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13935" windowHeight="11535"/>
  </bookViews>
  <sheets>
    <sheet name="Config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6" i="1" l="1"/>
  <c r="AA39" i="1"/>
  <c r="AA21" i="1"/>
</calcChain>
</file>

<file path=xl/comments1.xml><?xml version="1.0" encoding="utf-8"?>
<comments xmlns="http://schemas.openxmlformats.org/spreadsheetml/2006/main">
  <authors>
    <author>23529</author>
  </authors>
  <commentList>
    <comment ref="A1" authorId="0" shapeId="0">
      <text>
        <r>
          <rPr>
            <b/>
            <sz val="9"/>
            <rFont val="宋体"/>
            <family val="3"/>
            <charset val="134"/>
          </rPr>
          <t>23529:</t>
        </r>
        <r>
          <rPr>
            <sz val="9"/>
            <rFont val="宋体"/>
            <family val="3"/>
            <charset val="134"/>
          </rPr>
          <t xml:space="preserve">
关联每个城市青楼ID</t>
        </r>
      </text>
    </comment>
    <comment ref="B1" authorId="0" shapeId="0">
      <text>
        <r>
          <rPr>
            <b/>
            <sz val="9"/>
            <rFont val="宋体"/>
            <family val="3"/>
            <charset val="134"/>
          </rPr>
          <t>23529:</t>
        </r>
        <r>
          <rPr>
            <sz val="9"/>
            <rFont val="宋体"/>
            <family val="3"/>
            <charset val="134"/>
          </rPr>
          <t xml:space="preserve">
所属哪个城市</t>
        </r>
      </text>
    </comment>
    <comment ref="C1" authorId="0" shapeId="0">
      <text>
        <r>
          <rPr>
            <b/>
            <sz val="9"/>
            <rFont val="宋体"/>
            <family val="3"/>
            <charset val="134"/>
          </rPr>
          <t xml:space="preserve">zyh:
</t>
        </r>
        <r>
          <rPr>
            <sz val="9"/>
            <rFont val="宋体"/>
            <family val="3"/>
            <charset val="134"/>
          </rPr>
          <t>雅阁子地图，使用_分隔，每一个雅阁对应一个歌妓</t>
        </r>
      </text>
    </comment>
    <comment ref="D1" authorId="0" shapeId="0">
      <text>
        <r>
          <rPr>
            <b/>
            <sz val="9"/>
            <rFont val="宋体"/>
            <family val="3"/>
            <charset val="134"/>
          </rPr>
          <t>23529:</t>
        </r>
        <r>
          <rPr>
            <sz val="9"/>
            <rFont val="宋体"/>
            <family val="3"/>
            <charset val="134"/>
          </rPr>
          <t xml:space="preserve">
雅阁地图入口交互物位置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23529:</t>
        </r>
        <r>
          <rPr>
            <sz val="9"/>
            <rFont val="宋体"/>
            <family val="3"/>
            <charset val="134"/>
          </rPr>
          <t xml:space="preserve">
方向用数字标识：
1001：下
1002：左
1003：右
1004：上
注：数字为图片名称，一一对应，如果效果不对，那就是图片名称对不上，被修改了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23529:</t>
        </r>
        <r>
          <rPr>
            <sz val="9"/>
            <rFont val="宋体"/>
            <family val="3"/>
            <charset val="134"/>
          </rPr>
          <t xml:space="preserve">
每个雅阁地图传送点位置</t>
        </r>
      </text>
    </comment>
    <comment ref="G1" authorId="0" shapeId="0">
      <text>
        <r>
          <rPr>
            <sz val="9"/>
            <rFont val="宋体"/>
            <family val="3"/>
            <charset val="134"/>
          </rPr>
          <t>zyh:
出生在雅阁地图的位置，坐标：X_Y</t>
        </r>
      </text>
    </comment>
    <comment ref="J1" authorId="0" shapeId="0">
      <text>
        <r>
          <rPr>
            <sz val="9"/>
            <rFont val="宋体"/>
            <family val="3"/>
            <charset val="134"/>
          </rPr>
          <t>zyh:
舞女在青楼跳舞的位置
X_Y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23529:</t>
        </r>
        <r>
          <rPr>
            <sz val="9"/>
            <rFont val="宋体"/>
            <family val="3"/>
            <charset val="134"/>
          </rPr>
          <t xml:space="preserve">
舞女跳舞的服饰，目前就三套，对应服饰ID：
10001，10002，10003</t>
        </r>
      </text>
    </comment>
    <comment ref="M1" authorId="0" shapeId="0">
      <text>
        <r>
          <rPr>
            <sz val="9"/>
            <rFont val="宋体"/>
            <family val="3"/>
            <charset val="134"/>
          </rPr>
          <t>zyh:
老鸨在青楼的位置</t>
        </r>
      </text>
    </comment>
    <comment ref="O1" authorId="0" shapeId="0">
      <text>
        <r>
          <rPr>
            <sz val="9"/>
            <rFont val="宋体"/>
            <family val="3"/>
            <charset val="134"/>
          </rPr>
          <t>服饰：部位，服饰下标索引</t>
        </r>
      </text>
    </comment>
  </commentList>
</comments>
</file>

<file path=xl/sharedStrings.xml><?xml version="1.0" encoding="utf-8"?>
<sst xmlns="http://schemas.openxmlformats.org/spreadsheetml/2006/main" count="84" uniqueCount="57">
  <si>
    <t>青楼ID</t>
  </si>
  <si>
    <t>归属城市地图ID</t>
  </si>
  <si>
    <t>雅阁地图ID</t>
  </si>
  <si>
    <t>雅间入口交互物位置</t>
  </si>
  <si>
    <t>交互物入口箭头方向</t>
  </si>
  <si>
    <t>雅阁传送点位置</t>
  </si>
  <si>
    <t>歌妓DialogID</t>
  </si>
  <si>
    <t>舞女数量</t>
  </si>
  <si>
    <t>舞女表演地点</t>
  </si>
  <si>
    <t>舞女服饰</t>
  </si>
  <si>
    <t>舞女DialogID</t>
  </si>
  <si>
    <t>老鸨位置</t>
  </si>
  <si>
    <t>老鸨DialogID</t>
  </si>
  <si>
    <t>老鸨服装</t>
  </si>
  <si>
    <t>ID</t>
  </si>
  <si>
    <t>MapID</t>
  </si>
  <si>
    <t>ChildRoomID</t>
  </si>
  <si>
    <t>TouchPoint</t>
  </si>
  <si>
    <t>ArrowDirection</t>
  </si>
  <si>
    <t>TransferPoint</t>
  </si>
  <si>
    <t>GeishaPoint</t>
  </si>
  <si>
    <t>GeishaDialogID</t>
  </si>
  <si>
    <t>DancingGirNum</t>
  </si>
  <si>
    <t>DancingGirPoint</t>
  </si>
  <si>
    <t>DancingGirStyle</t>
  </si>
  <si>
    <t>DancingGirDialog</t>
  </si>
  <si>
    <t>MadamePoint</t>
  </si>
  <si>
    <t>MadameDialog</t>
  </si>
  <si>
    <t>MadameStyle</t>
  </si>
  <si>
    <t>16060_16061_16062</t>
  </si>
  <si>
    <t>1004_1004_1002</t>
  </si>
  <si>
    <t>2_0|2_0|0_2</t>
  </si>
  <si>
    <t>10001</t>
  </si>
  <si>
    <t>16_7|</t>
  </si>
  <si>
    <t>0,1;1,12;2,6;3,2;4,6;5,7;6,6;7,4;8,1;9,11;10,1</t>
  </si>
  <si>
    <t>17060_17061_17062</t>
  </si>
  <si>
    <t>10002</t>
  </si>
  <si>
    <t>0,2;1,6;2,6;3,7;4,9;5,2;6,13;7,1;8,1;9,1;10,1</t>
  </si>
  <si>
    <t>20070_20071_20072</t>
  </si>
  <si>
    <t>10003</t>
  </si>
  <si>
    <t>0,4;1,31;2,12;3,9;4,8;5,2;6,10;7,1;8,1;9,10;10,1</t>
  </si>
  <si>
    <t>14_13|9_15|19_12</t>
    <phoneticPr fontId="3" type="noConversion"/>
  </si>
  <si>
    <t>10_8|</t>
    <phoneticPr fontId="3" type="noConversion"/>
  </si>
  <si>
    <t>歌妓出生位置</t>
    <phoneticPr fontId="3" type="noConversion"/>
  </si>
  <si>
    <t>2_4|2_4|4_2</t>
    <phoneticPr fontId="3" type="noConversion"/>
  </si>
  <si>
    <t>1002_1002_1004</t>
    <phoneticPr fontId="3" type="noConversion"/>
  </si>
  <si>
    <t>0_2|0_2|2_0</t>
    <phoneticPr fontId="3" type="noConversion"/>
  </si>
  <si>
    <t>7_16|</t>
    <phoneticPr fontId="3" type="noConversion"/>
  </si>
  <si>
    <t>8_10|</t>
    <phoneticPr fontId="3" type="noConversion"/>
  </si>
  <si>
    <t>13_14|15_9|12_19</t>
    <phoneticPr fontId="3" type="noConversion"/>
  </si>
  <si>
    <t>4_2|4_2|2_4</t>
    <phoneticPr fontId="3" type="noConversion"/>
  </si>
  <si>
    <t>21060_21061_21062</t>
    <phoneticPr fontId="4" type="noConversion"/>
  </si>
  <si>
    <t>14_13|9_15|19_12</t>
    <phoneticPr fontId="4" type="noConversion"/>
  </si>
  <si>
    <t>2_4|2_4|4_2</t>
    <phoneticPr fontId="4" type="noConversion"/>
  </si>
  <si>
    <t>10_8|</t>
    <phoneticPr fontId="4" type="noConversion"/>
  </si>
  <si>
    <t>23060_23061_23062</t>
    <phoneticPr fontId="4" type="noConversion"/>
  </si>
  <si>
    <t>24060_24061_24062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</si>
</sst>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abSelected="1" workbookViewId="0">
      <selection activeCell="H16" sqref="H16"/>
    </sheetView>
  </sheetViews>
  <sheetFormatPr defaultColWidth="9" defaultRowHeight="13.5" x14ac:dyDescent="0.15"/>
  <cols>
    <col min="2" max="2" width="16.5" customWidth="1"/>
    <col min="3" max="3" width="19.75" customWidth="1"/>
    <col min="4" max="6" width="20.875" customWidth="1"/>
    <col min="7" max="7" width="14.125" customWidth="1"/>
    <col min="8" max="8" width="16.5" customWidth="1"/>
    <col min="9" max="9" width="15.25" customWidth="1"/>
    <col min="10" max="10" width="17.5" customWidth="1"/>
    <col min="11" max="11" width="17.5" style="1" customWidth="1"/>
    <col min="12" max="12" width="18.625" customWidth="1"/>
    <col min="13" max="13" width="13" customWidth="1"/>
    <col min="14" max="14" width="14.125" customWidth="1"/>
    <col min="15" max="15" width="49.625" customWidth="1"/>
    <col min="18" max="18" width="11.125" customWidth="1"/>
    <col min="22" max="22" width="8.5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20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20" x14ac:dyDescent="0.15">
      <c r="A3">
        <v>16030</v>
      </c>
      <c r="B3">
        <v>16000</v>
      </c>
      <c r="C3" t="s">
        <v>29</v>
      </c>
      <c r="D3" t="s">
        <v>41</v>
      </c>
      <c r="E3" t="s">
        <v>30</v>
      </c>
      <c r="F3" t="s">
        <v>31</v>
      </c>
      <c r="G3" t="s">
        <v>44</v>
      </c>
      <c r="H3">
        <v>402</v>
      </c>
      <c r="I3">
        <v>1</v>
      </c>
      <c r="J3" t="s">
        <v>42</v>
      </c>
      <c r="K3" s="1" t="s">
        <v>32</v>
      </c>
      <c r="L3">
        <v>401</v>
      </c>
      <c r="M3" t="s">
        <v>33</v>
      </c>
      <c r="N3">
        <v>400</v>
      </c>
      <c r="O3" t="s">
        <v>34</v>
      </c>
    </row>
    <row r="4" spans="1:20" x14ac:dyDescent="0.15">
      <c r="A4">
        <v>17030</v>
      </c>
      <c r="B4">
        <v>17000</v>
      </c>
      <c r="C4" t="s">
        <v>35</v>
      </c>
      <c r="D4" t="s">
        <v>49</v>
      </c>
      <c r="E4" t="s">
        <v>45</v>
      </c>
      <c r="F4" t="s">
        <v>46</v>
      </c>
      <c r="G4" t="s">
        <v>50</v>
      </c>
      <c r="H4">
        <v>402</v>
      </c>
      <c r="I4">
        <v>1</v>
      </c>
      <c r="J4" t="s">
        <v>48</v>
      </c>
      <c r="K4" s="1" t="s">
        <v>36</v>
      </c>
      <c r="L4">
        <v>401</v>
      </c>
      <c r="M4" t="s">
        <v>47</v>
      </c>
      <c r="N4">
        <v>400</v>
      </c>
      <c r="O4" t="s">
        <v>37</v>
      </c>
    </row>
    <row r="5" spans="1:20" x14ac:dyDescent="0.15">
      <c r="A5">
        <v>20060</v>
      </c>
      <c r="B5">
        <v>20000</v>
      </c>
      <c r="C5" t="s">
        <v>38</v>
      </c>
      <c r="D5" t="s">
        <v>49</v>
      </c>
      <c r="E5" t="s">
        <v>45</v>
      </c>
      <c r="F5" t="s">
        <v>46</v>
      </c>
      <c r="G5" t="s">
        <v>50</v>
      </c>
      <c r="H5">
        <v>402</v>
      </c>
      <c r="I5">
        <v>1</v>
      </c>
      <c r="J5" t="s">
        <v>48</v>
      </c>
      <c r="K5" s="1" t="s">
        <v>39</v>
      </c>
      <c r="L5">
        <v>401</v>
      </c>
      <c r="M5" t="s">
        <v>47</v>
      </c>
      <c r="N5">
        <v>400</v>
      </c>
      <c r="O5" t="s">
        <v>40</v>
      </c>
    </row>
    <row r="6" spans="1:20" x14ac:dyDescent="0.15">
      <c r="A6">
        <v>21030</v>
      </c>
      <c r="B6">
        <v>21000</v>
      </c>
      <c r="C6" t="s">
        <v>51</v>
      </c>
      <c r="D6" t="s">
        <v>52</v>
      </c>
      <c r="E6" t="s">
        <v>30</v>
      </c>
      <c r="F6" t="s">
        <v>31</v>
      </c>
      <c r="G6" t="s">
        <v>53</v>
      </c>
      <c r="H6">
        <v>402</v>
      </c>
      <c r="I6">
        <v>1</v>
      </c>
      <c r="J6" t="s">
        <v>54</v>
      </c>
      <c r="K6" s="1" t="s">
        <v>39</v>
      </c>
      <c r="L6">
        <v>401</v>
      </c>
      <c r="M6" t="s">
        <v>33</v>
      </c>
      <c r="N6">
        <v>400</v>
      </c>
      <c r="O6" t="s">
        <v>40</v>
      </c>
    </row>
    <row r="7" spans="1:20" x14ac:dyDescent="0.15">
      <c r="A7">
        <v>23030</v>
      </c>
      <c r="B7">
        <v>23000</v>
      </c>
      <c r="C7" t="s">
        <v>55</v>
      </c>
      <c r="D7" t="s">
        <v>52</v>
      </c>
      <c r="E7" t="s">
        <v>30</v>
      </c>
      <c r="F7" t="s">
        <v>31</v>
      </c>
      <c r="G7" t="s">
        <v>53</v>
      </c>
      <c r="H7">
        <v>402</v>
      </c>
      <c r="I7">
        <v>1</v>
      </c>
      <c r="J7" t="s">
        <v>54</v>
      </c>
      <c r="K7" s="1" t="s">
        <v>39</v>
      </c>
      <c r="L7">
        <v>401</v>
      </c>
      <c r="M7" t="s">
        <v>33</v>
      </c>
      <c r="N7">
        <v>400</v>
      </c>
      <c r="O7" t="s">
        <v>40</v>
      </c>
    </row>
    <row r="8" spans="1:20" x14ac:dyDescent="0.15">
      <c r="A8">
        <v>24030</v>
      </c>
      <c r="B8">
        <v>24000</v>
      </c>
      <c r="C8" t="s">
        <v>56</v>
      </c>
      <c r="D8" t="s">
        <v>52</v>
      </c>
      <c r="E8" t="s">
        <v>30</v>
      </c>
      <c r="F8" t="s">
        <v>31</v>
      </c>
      <c r="G8" t="s">
        <v>53</v>
      </c>
      <c r="H8">
        <v>402</v>
      </c>
      <c r="I8">
        <v>1</v>
      </c>
      <c r="J8" t="s">
        <v>54</v>
      </c>
      <c r="K8" s="1" t="s">
        <v>39</v>
      </c>
      <c r="L8">
        <v>401</v>
      </c>
      <c r="M8" t="s">
        <v>33</v>
      </c>
      <c r="N8">
        <v>400</v>
      </c>
      <c r="O8" t="s">
        <v>40</v>
      </c>
    </row>
    <row r="11" spans="1:20" x14ac:dyDescent="0.15">
      <c r="R11" s="2"/>
      <c r="S11" s="2"/>
      <c r="T11" s="2"/>
    </row>
    <row r="12" spans="1:20" x14ac:dyDescent="0.15">
      <c r="R12" s="2"/>
      <c r="S12" s="2"/>
      <c r="T12" s="2"/>
    </row>
    <row r="13" spans="1:20" x14ac:dyDescent="0.15">
      <c r="R13" s="2"/>
      <c r="S13" s="2"/>
      <c r="T13" s="2"/>
    </row>
    <row r="14" spans="1:20" x14ac:dyDescent="0.15">
      <c r="R14" s="2"/>
      <c r="S14" s="2"/>
      <c r="T14" s="2"/>
    </row>
    <row r="15" spans="1:20" x14ac:dyDescent="0.15">
      <c r="R15" s="2"/>
      <c r="S15" s="2"/>
      <c r="T15" s="2"/>
    </row>
    <row r="16" spans="1:20" x14ac:dyDescent="0.15">
      <c r="R16" s="2"/>
      <c r="S16" s="2"/>
      <c r="T16" s="2"/>
    </row>
    <row r="17" spans="18:27" x14ac:dyDescent="0.15">
      <c r="R17" s="2"/>
      <c r="S17" s="2"/>
      <c r="T17" s="2"/>
    </row>
    <row r="18" spans="18:27" x14ac:dyDescent="0.15">
      <c r="R18" s="2"/>
      <c r="S18" s="2"/>
      <c r="T18" s="2"/>
    </row>
    <row r="19" spans="18:27" x14ac:dyDescent="0.15">
      <c r="R19" s="2"/>
      <c r="S19" s="2"/>
      <c r="T19" s="2"/>
    </row>
    <row r="20" spans="18:27" x14ac:dyDescent="0.15">
      <c r="R20" s="2"/>
      <c r="S20" s="2"/>
      <c r="T20" s="2"/>
    </row>
    <row r="21" spans="18:27" x14ac:dyDescent="0.15">
      <c r="R21" s="2"/>
      <c r="S21" s="2"/>
      <c r="T21" s="2"/>
      <c r="AA21" t="str">
        <f>_xlfn.CONCAT(Y11:Y21)</f>
        <v/>
      </c>
    </row>
    <row r="29" spans="18:27" x14ac:dyDescent="0.15">
      <c r="R29" s="2"/>
      <c r="S29" s="2"/>
      <c r="T29" s="2"/>
    </row>
    <row r="30" spans="18:27" x14ac:dyDescent="0.15">
      <c r="R30" s="2"/>
      <c r="S30" s="2"/>
      <c r="T30" s="2"/>
    </row>
    <row r="31" spans="18:27" x14ac:dyDescent="0.15">
      <c r="R31" s="2"/>
      <c r="S31" s="2"/>
      <c r="T31" s="2"/>
    </row>
    <row r="32" spans="18:27" x14ac:dyDescent="0.15">
      <c r="R32" s="2"/>
      <c r="S32" s="2"/>
      <c r="T32" s="2"/>
    </row>
    <row r="33" spans="18:27" x14ac:dyDescent="0.15">
      <c r="R33" s="2"/>
      <c r="S33" s="2"/>
      <c r="T33" s="2"/>
    </row>
    <row r="34" spans="18:27" x14ac:dyDescent="0.15">
      <c r="R34" s="2"/>
      <c r="S34" s="2"/>
      <c r="T34" s="2"/>
    </row>
    <row r="35" spans="18:27" x14ac:dyDescent="0.15">
      <c r="R35" s="2"/>
      <c r="S35" s="2"/>
      <c r="T35" s="2"/>
    </row>
    <row r="36" spans="18:27" x14ac:dyDescent="0.15">
      <c r="R36" s="2"/>
      <c r="S36" s="2"/>
      <c r="T36" s="2"/>
    </row>
    <row r="37" spans="18:27" x14ac:dyDescent="0.15">
      <c r="R37" s="2"/>
      <c r="S37" s="2"/>
      <c r="T37" s="2"/>
    </row>
    <row r="38" spans="18:27" x14ac:dyDescent="0.15">
      <c r="R38" s="2"/>
      <c r="S38" s="2"/>
      <c r="T38" s="2"/>
    </row>
    <row r="39" spans="18:27" x14ac:dyDescent="0.15">
      <c r="R39" s="2"/>
      <c r="S39" s="2"/>
      <c r="T39" s="2"/>
      <c r="AA39" t="str">
        <f>_xlfn.CONCAT(Y29:Y39)</f>
        <v/>
      </c>
    </row>
    <row r="46" spans="18:27" x14ac:dyDescent="0.15">
      <c r="R46" s="2"/>
      <c r="S46" s="2"/>
      <c r="T46" s="2"/>
    </row>
    <row r="47" spans="18:27" x14ac:dyDescent="0.15">
      <c r="R47" s="2"/>
      <c r="S47" s="2"/>
      <c r="T47" s="2"/>
    </row>
    <row r="48" spans="18:27" x14ac:dyDescent="0.15">
      <c r="R48" s="2"/>
      <c r="S48" s="2"/>
      <c r="T48" s="2"/>
    </row>
    <row r="49" spans="18:27" x14ac:dyDescent="0.15">
      <c r="R49" s="2"/>
      <c r="S49" s="2"/>
      <c r="T49" s="2"/>
    </row>
    <row r="50" spans="18:27" x14ac:dyDescent="0.15">
      <c r="R50" s="2"/>
      <c r="S50" s="2"/>
      <c r="T50" s="2"/>
    </row>
    <row r="51" spans="18:27" x14ac:dyDescent="0.15">
      <c r="R51" s="2"/>
      <c r="S51" s="2"/>
      <c r="T51" s="2"/>
    </row>
    <row r="52" spans="18:27" x14ac:dyDescent="0.15">
      <c r="R52" s="2"/>
      <c r="S52" s="2"/>
      <c r="T52" s="2"/>
    </row>
    <row r="53" spans="18:27" x14ac:dyDescent="0.15">
      <c r="R53" s="2"/>
      <c r="S53" s="2"/>
      <c r="T53" s="2"/>
    </row>
    <row r="54" spans="18:27" x14ac:dyDescent="0.15">
      <c r="R54" s="2"/>
      <c r="S54" s="2"/>
      <c r="T54" s="2"/>
    </row>
    <row r="55" spans="18:27" x14ac:dyDescent="0.15">
      <c r="R55" s="2"/>
      <c r="S55" s="2"/>
      <c r="T55" s="2"/>
    </row>
    <row r="56" spans="18:27" x14ac:dyDescent="0.15">
      <c r="R56" s="2"/>
      <c r="S56" s="2"/>
      <c r="T56" s="2"/>
      <c r="AA56" t="str">
        <f>_xlfn.CONCAT(Y46:Y56)</f>
        <v/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>
      <selection activeCell="D26" sqref="D26"/>
    </sheetView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3" sqref="D33"/>
    </sheetView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邹宇航</dc:creator>
  <cp:lastModifiedBy>Administrator</cp:lastModifiedBy>
  <dcterms:created xsi:type="dcterms:W3CDTF">2023-05-12T11:15:00Z</dcterms:created>
  <dcterms:modified xsi:type="dcterms:W3CDTF">2025-04-15T01:54:30Z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2B91928B170942FC817424F3809C65AB_12</vt:lpwstr>
  </property>
</Properties>
</file>