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版本内容\GIT\ExcelData\"/>
    </mc:Choice>
  </mc:AlternateContent>
  <xr:revisionPtr revIDLastSave="0" documentId="13_ncr:1_{AA881157-D181-47DB-801F-266597826BCC}" xr6:coauthVersionLast="47" xr6:coauthVersionMax="47" xr10:uidLastSave="{00000000-0000-0000-0000-000000000000}"/>
  <bookViews>
    <workbookView xWindow="-108" yWindow="-108" windowWidth="23256" windowHeight="13896" activeTab="1" xr2:uid="{00000000-000D-0000-FFFF-FFFF00000000}"/>
  </bookViews>
  <sheets>
    <sheet name="招式配置" sheetId="4" r:id="rId1"/>
    <sheet name="招式配置英文" sheetId="10" r:id="rId2"/>
    <sheet name="武学境界对应招式表" sheetId="5" r:id="rId3"/>
    <sheet name="武学境界对应招式表英文" sheetId="16" r:id="rId4"/>
    <sheet name="武学境界对应招式表英文1" sheetId="11" r:id="rId5"/>
    <sheet name="心诀配置" sheetId="3" r:id="rId6"/>
    <sheet name="心诀配置英文" sheetId="12" r:id="rId7"/>
    <sheet name="轻击对应招式表" sheetId="6" r:id="rId8"/>
    <sheet name="轻击对应招式表英文" sheetId="13" r:id="rId9"/>
    <sheet name="重击对应招式表" sheetId="14" r:id="rId10"/>
    <sheet name="重击对应招式表英文" sheetId="7" r:id="rId11"/>
    <sheet name="飞行道具配置" sheetId="2" r:id="rId12"/>
    <sheet name="散学对应招式表" sheetId="8" r:id="rId13"/>
    <sheet name="散学对应招式表英文" sheetId="15" r:id="rId14"/>
    <sheet name="Sheet1" sheetId="9" r:id="rId15"/>
  </sheets>
  <definedNames>
    <definedName name="_xlnm._FilterDatabase" localSheetId="2" hidden="1">武学境界对应招式表!$B$1:$P$102</definedName>
    <definedName name="_xlnm._FilterDatabase" localSheetId="3" hidden="1">武学境界对应招式表英文!$B$1:$P$102</definedName>
    <definedName name="_xlnm._FilterDatabase" localSheetId="4" hidden="1">武学境界对应招式表英文1!$B$1:$P$102</definedName>
    <definedName name="_xlnm._FilterDatabase" localSheetId="5" hidden="1">心诀配置!$A$1:$I$89</definedName>
    <definedName name="_xlnm._FilterDatabase" localSheetId="6" hidden="1">心诀配置英文!$A$1:$I$89</definedName>
    <definedName name="_xlnm._FilterDatabase" localSheetId="0" hidden="1">招式配置!$A$1:$AR$908</definedName>
    <definedName name="_xlnm._FilterDatabase" localSheetId="1" hidden="1">招式配置英文!$A$1:$AR$908</definedName>
    <definedName name="OLE_LINK27" localSheetId="2">武学境界对应招式表!$B$28</definedName>
    <definedName name="OLE_LINK27" localSheetId="3">武学境界对应招式表英文!$B$28</definedName>
    <definedName name="OLE_LINK27" localSheetId="4">武学境界对应招式表英文1!$B$28</definedName>
    <definedName name="OLE_LINK38" localSheetId="5">心诀配置!$J$94</definedName>
    <definedName name="OLE_LINK38" localSheetId="6">心诀配置英文!$J$94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16" i="9" l="1"/>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S69" i="9"/>
  <c r="I69" i="9"/>
  <c r="S68" i="9"/>
  <c r="I68" i="9"/>
  <c r="S67" i="9"/>
  <c r="I67" i="9"/>
  <c r="S66" i="9"/>
  <c r="I66" i="9"/>
  <c r="S65" i="9"/>
  <c r="I65" i="9"/>
  <c r="S64" i="9"/>
  <c r="I64" i="9"/>
  <c r="S63" i="9"/>
  <c r="I63" i="9"/>
  <c r="S62" i="9"/>
  <c r="I62" i="9"/>
  <c r="S61" i="9"/>
  <c r="I61" i="9"/>
  <c r="S60" i="9"/>
  <c r="I60" i="9"/>
  <c r="S59" i="9"/>
  <c r="I59" i="9"/>
  <c r="S58" i="9"/>
  <c r="I58" i="9"/>
  <c r="S57" i="9"/>
  <c r="I57" i="9"/>
  <c r="S56" i="9"/>
  <c r="I56" i="9"/>
  <c r="S55" i="9"/>
  <c r="I55" i="9"/>
  <c r="S54" i="9"/>
  <c r="I54" i="9"/>
  <c r="S53" i="9"/>
  <c r="I53" i="9"/>
  <c r="S52" i="9"/>
  <c r="I52" i="9"/>
  <c r="S51" i="9"/>
  <c r="I51" i="9"/>
  <c r="S50" i="9"/>
  <c r="I50" i="9"/>
  <c r="S49" i="9"/>
  <c r="I49" i="9"/>
  <c r="S48" i="9"/>
  <c r="I48" i="9"/>
  <c r="S47" i="9"/>
  <c r="I47" i="9"/>
  <c r="S46" i="9"/>
  <c r="I46" i="9"/>
  <c r="S45" i="9"/>
  <c r="I45" i="9"/>
  <c r="S44" i="9"/>
  <c r="I44" i="9"/>
  <c r="S43" i="9"/>
  <c r="I43" i="9"/>
  <c r="S42" i="9"/>
  <c r="I42" i="9"/>
  <c r="S41" i="9"/>
  <c r="I41" i="9"/>
  <c r="S40" i="9"/>
  <c r="I40" i="9"/>
  <c r="S39" i="9"/>
  <c r="I39" i="9"/>
  <c r="S38" i="9"/>
  <c r="I38" i="9"/>
  <c r="S37" i="9"/>
  <c r="I37" i="9"/>
  <c r="S36" i="9"/>
  <c r="I36" i="9"/>
  <c r="S35" i="9"/>
  <c r="I35" i="9"/>
  <c r="I34" i="9"/>
  <c r="S33" i="9"/>
  <c r="I33" i="9"/>
  <c r="S32" i="9"/>
  <c r="I32" i="9"/>
  <c r="S31" i="9"/>
  <c r="I31" i="9"/>
  <c r="S30" i="9"/>
  <c r="I30" i="9"/>
  <c r="S29" i="9"/>
  <c r="I29" i="9"/>
  <c r="S28" i="9"/>
  <c r="I28" i="9"/>
  <c r="S27" i="9"/>
  <c r="I27" i="9"/>
  <c r="S26" i="9"/>
  <c r="I26" i="9"/>
  <c r="S25" i="9"/>
  <c r="I25" i="9"/>
  <c r="S24" i="9"/>
  <c r="I24" i="9"/>
  <c r="S23" i="9"/>
  <c r="I23" i="9"/>
  <c r="S22" i="9"/>
  <c r="I22" i="9"/>
  <c r="S21" i="9"/>
  <c r="I21" i="9"/>
  <c r="S20" i="9"/>
  <c r="I20" i="9"/>
  <c r="S19" i="9"/>
  <c r="I19" i="9"/>
  <c r="S18" i="9"/>
  <c r="I18" i="9"/>
  <c r="S17" i="9"/>
  <c r="I17" i="9"/>
  <c r="S16" i="9"/>
  <c r="I16" i="9"/>
  <c r="S15" i="9"/>
  <c r="I15" i="9"/>
  <c r="S14" i="9"/>
  <c r="I14" i="9"/>
  <c r="S13" i="9"/>
  <c r="I13" i="9"/>
  <c r="S12" i="9"/>
  <c r="I12" i="9"/>
  <c r="S11" i="9"/>
  <c r="I11" i="9"/>
  <c r="S10" i="9"/>
  <c r="I10" i="9"/>
  <c r="S9" i="9"/>
  <c r="I9" i="9"/>
  <c r="S8" i="9"/>
  <c r="I8" i="9"/>
  <c r="S7" i="9"/>
  <c r="I7" i="9"/>
  <c r="S6" i="9"/>
  <c r="I6" i="9"/>
  <c r="S5" i="9"/>
  <c r="I5" i="9"/>
  <c r="S4" i="9"/>
  <c r="I4" i="9"/>
  <c r="S3" i="9"/>
  <c r="I3" i="9"/>
  <c r="S2" i="9"/>
  <c r="I2" i="9"/>
  <c r="I1" i="9"/>
  <c r="I108" i="12"/>
  <c r="I107" i="12"/>
  <c r="I97" i="12"/>
  <c r="I96" i="12"/>
  <c r="I95" i="12"/>
  <c r="I94" i="12"/>
  <c r="I57" i="12"/>
  <c r="I56" i="12"/>
  <c r="I40" i="12"/>
  <c r="I39" i="12"/>
  <c r="I20" i="12"/>
  <c r="I19" i="12"/>
  <c r="I108" i="3"/>
  <c r="I107" i="3"/>
  <c r="I97" i="3"/>
  <c r="I96" i="3"/>
  <c r="I95" i="3"/>
  <c r="I94" i="3"/>
  <c r="I57" i="3"/>
  <c r="I56" i="3"/>
  <c r="I40" i="3"/>
  <c r="I39" i="3"/>
  <c r="I20" i="3"/>
  <c r="I19" i="3"/>
  <c r="AQ873" i="10"/>
  <c r="AQ872" i="10"/>
  <c r="AQ871" i="10"/>
  <c r="AQ870" i="10"/>
  <c r="AQ869" i="10"/>
  <c r="AQ868" i="10"/>
  <c r="AQ867" i="10"/>
  <c r="AQ866" i="10"/>
  <c r="AQ865" i="10"/>
  <c r="AQ864" i="10"/>
  <c r="AQ863" i="10"/>
  <c r="AQ862" i="10"/>
  <c r="AQ861" i="10"/>
  <c r="AQ851" i="10"/>
  <c r="AQ850" i="10"/>
  <c r="AQ840" i="10"/>
  <c r="AQ839" i="10"/>
  <c r="AQ829" i="10"/>
  <c r="AQ828" i="10"/>
  <c r="AQ818" i="10"/>
  <c r="AQ817" i="10"/>
  <c r="AQ807" i="10"/>
  <c r="AQ806" i="10"/>
  <c r="AQ796" i="10"/>
  <c r="AQ795" i="10"/>
  <c r="AQ785" i="10"/>
  <c r="AQ784" i="10"/>
  <c r="AQ774" i="10"/>
  <c r="AQ773" i="10"/>
  <c r="AQ763" i="10"/>
  <c r="AQ762" i="10"/>
  <c r="AQ752" i="10"/>
  <c r="AQ751" i="10"/>
  <c r="AQ741" i="10"/>
  <c r="AQ740" i="10"/>
  <c r="AQ730" i="10"/>
  <c r="AQ729" i="10"/>
  <c r="AQ710" i="10"/>
  <c r="AQ709" i="10"/>
  <c r="AQ699" i="10"/>
  <c r="AQ698" i="10"/>
  <c r="AQ688" i="10"/>
  <c r="AQ687" i="10"/>
  <c r="AQ686" i="10"/>
  <c r="AQ685" i="10"/>
  <c r="AQ684" i="10"/>
  <c r="AQ683" i="10"/>
  <c r="AQ682" i="10"/>
  <c r="AQ681" i="10"/>
  <c r="AQ680" i="10"/>
  <c r="AQ679" i="10"/>
  <c r="AQ678" i="10"/>
  <c r="AQ677" i="10"/>
  <c r="AQ676" i="10"/>
  <c r="AQ666" i="10"/>
  <c r="AQ665" i="10"/>
  <c r="AQ655" i="10"/>
  <c r="AQ654" i="10"/>
  <c r="AQ644" i="10"/>
  <c r="AQ643" i="10"/>
  <c r="AQ633" i="10"/>
  <c r="AQ632" i="10"/>
  <c r="AQ622" i="10"/>
  <c r="AQ621" i="10"/>
  <c r="AQ611" i="10"/>
  <c r="AQ610" i="10"/>
  <c r="AQ600" i="10"/>
  <c r="AQ599" i="10"/>
  <c r="AQ589" i="10"/>
  <c r="AQ588" i="10"/>
  <c r="AQ578" i="10"/>
  <c r="AQ577" i="10"/>
  <c r="AQ567" i="10"/>
  <c r="AQ566" i="10"/>
  <c r="AQ556" i="10"/>
  <c r="AQ555" i="10"/>
  <c r="AQ545" i="10"/>
  <c r="AQ544" i="10"/>
  <c r="AQ534" i="10"/>
  <c r="AQ533" i="10"/>
  <c r="AQ523" i="10"/>
  <c r="AQ522" i="10"/>
  <c r="AQ512" i="10"/>
  <c r="AQ511" i="10"/>
  <c r="AQ501" i="10"/>
  <c r="AQ500" i="10"/>
  <c r="AQ490" i="10"/>
  <c r="AQ489" i="10"/>
  <c r="AQ479" i="10"/>
  <c r="AQ478" i="10"/>
  <c r="AQ467" i="10"/>
  <c r="AQ466" i="10"/>
  <c r="AQ454" i="10"/>
  <c r="AQ453" i="10"/>
  <c r="AQ439" i="10"/>
  <c r="AQ438" i="10"/>
  <c r="AQ424" i="10"/>
  <c r="AQ423" i="10"/>
  <c r="AQ422" i="10"/>
  <c r="AQ421" i="10"/>
  <c r="AQ420" i="10"/>
  <c r="AQ419" i="10"/>
  <c r="AQ418" i="10"/>
  <c r="AQ417" i="10"/>
  <c r="AQ416" i="10"/>
  <c r="AQ415" i="10"/>
  <c r="AQ414" i="10"/>
  <c r="AQ413" i="10"/>
  <c r="AQ412" i="10"/>
  <c r="AQ411" i="10"/>
  <c r="AQ410" i="10"/>
  <c r="AQ396" i="10"/>
  <c r="AQ395" i="10"/>
  <c r="AQ381" i="10"/>
  <c r="AQ380" i="10"/>
  <c r="AQ366" i="10"/>
  <c r="AQ365" i="10"/>
  <c r="AQ364" i="10"/>
  <c r="AQ363" i="10"/>
  <c r="AQ362" i="10"/>
  <c r="AQ361" i="10"/>
  <c r="AQ360" i="10"/>
  <c r="AQ359" i="10"/>
  <c r="AQ358" i="10"/>
  <c r="AQ357" i="10"/>
  <c r="AQ356" i="10"/>
  <c r="AQ355" i="10"/>
  <c r="AQ354" i="10"/>
  <c r="AQ353" i="10"/>
  <c r="AQ352" i="10"/>
  <c r="AQ351" i="10"/>
  <c r="AQ350" i="10"/>
  <c r="AQ349" i="10"/>
  <c r="AQ348" i="10"/>
  <c r="AQ347" i="10"/>
  <c r="AQ346" i="10"/>
  <c r="AQ345" i="10"/>
  <c r="AQ344" i="10"/>
  <c r="AQ343" i="10"/>
  <c r="AQ342" i="10"/>
  <c r="AQ341" i="10"/>
  <c r="AQ340" i="10"/>
  <c r="AQ339" i="10"/>
  <c r="AQ327" i="10"/>
  <c r="AQ326" i="10"/>
  <c r="AQ311" i="10"/>
  <c r="AQ310" i="10"/>
  <c r="AQ298" i="10"/>
  <c r="AQ297" i="10"/>
  <c r="AQ283" i="10"/>
  <c r="AQ282" i="10"/>
  <c r="AQ281" i="10"/>
  <c r="AQ280" i="10"/>
  <c r="AQ279" i="10"/>
  <c r="AQ278" i="10"/>
  <c r="AQ277" i="10"/>
  <c r="AQ276" i="10"/>
  <c r="AQ275" i="10"/>
  <c r="AQ274" i="10"/>
  <c r="AQ273" i="10"/>
  <c r="AQ272" i="10"/>
  <c r="AQ271" i="10"/>
  <c r="AQ270" i="10"/>
  <c r="AQ269" i="10"/>
  <c r="AQ254" i="10"/>
  <c r="AQ253" i="10"/>
  <c r="AQ241" i="10"/>
  <c r="AQ240" i="10"/>
  <c r="AQ225" i="10"/>
  <c r="AQ224" i="10"/>
  <c r="AQ212" i="10"/>
  <c r="AQ211" i="10"/>
  <c r="AQ199" i="10"/>
  <c r="AQ198" i="10"/>
  <c r="AQ186" i="10"/>
  <c r="AQ185" i="10"/>
  <c r="AQ170" i="10"/>
  <c r="AQ169" i="10"/>
  <c r="AQ157" i="10"/>
  <c r="AQ156" i="10"/>
  <c r="AQ142" i="10"/>
  <c r="AQ141" i="10"/>
  <c r="AQ140" i="10"/>
  <c r="AQ139" i="10"/>
  <c r="AQ138" i="10"/>
  <c r="AQ137" i="10"/>
  <c r="AQ136" i="10"/>
  <c r="AQ135" i="10"/>
  <c r="AQ134" i="10"/>
  <c r="AQ133" i="10"/>
  <c r="AQ132" i="10"/>
  <c r="AQ131" i="10"/>
  <c r="AQ130" i="10"/>
  <c r="AQ129" i="10"/>
  <c r="AQ128" i="10"/>
  <c r="AQ116" i="10"/>
  <c r="AQ115" i="10"/>
  <c r="AQ103" i="10"/>
  <c r="AQ102" i="10"/>
  <c r="AQ90" i="10"/>
  <c r="AQ89" i="10"/>
  <c r="AQ77" i="10"/>
  <c r="AQ76" i="10"/>
  <c r="AQ59" i="10"/>
  <c r="AQ58" i="10"/>
  <c r="AQ57" i="10"/>
  <c r="AQ56" i="10"/>
  <c r="AQ55" i="10"/>
  <c r="AQ54" i="10"/>
  <c r="AQ53" i="10"/>
  <c r="AQ52" i="10"/>
  <c r="AQ51" i="10"/>
  <c r="AQ50" i="10"/>
  <c r="AQ49" i="10"/>
  <c r="AQ48" i="10"/>
  <c r="AQ47" i="10"/>
  <c r="AQ873" i="4"/>
  <c r="AQ872" i="4"/>
  <c r="AQ871" i="4"/>
  <c r="AQ870" i="4"/>
  <c r="AQ869" i="4"/>
  <c r="AQ868" i="4"/>
  <c r="AQ867" i="4"/>
  <c r="AQ866" i="4"/>
  <c r="AQ865" i="4"/>
  <c r="AQ864" i="4"/>
  <c r="AQ863" i="4"/>
  <c r="AQ862" i="4"/>
  <c r="AQ861" i="4"/>
  <c r="AQ851" i="4"/>
  <c r="AQ850" i="4"/>
  <c r="AQ840" i="4"/>
  <c r="AQ839" i="4"/>
  <c r="AQ829" i="4"/>
  <c r="AQ828" i="4"/>
  <c r="AQ818" i="4"/>
  <c r="AQ817" i="4"/>
  <c r="AQ807" i="4"/>
  <c r="AQ806" i="4"/>
  <c r="AQ796" i="4"/>
  <c r="AQ795" i="4"/>
  <c r="AQ785" i="4"/>
  <c r="AQ784" i="4"/>
  <c r="AQ774" i="4"/>
  <c r="AQ773" i="4"/>
  <c r="AQ763" i="4"/>
  <c r="AQ762" i="4"/>
  <c r="AQ752" i="4"/>
  <c r="AQ751" i="4"/>
  <c r="AQ741" i="4"/>
  <c r="AQ740" i="4"/>
  <c r="AQ730" i="4"/>
  <c r="AQ729" i="4"/>
  <c r="AQ710" i="4"/>
  <c r="AQ709" i="4"/>
  <c r="AQ699" i="4"/>
  <c r="AQ698" i="4"/>
  <c r="AQ688" i="4"/>
  <c r="AQ687" i="4"/>
  <c r="AQ686" i="4"/>
  <c r="AQ685" i="4"/>
  <c r="AQ684" i="4"/>
  <c r="AQ683" i="4"/>
  <c r="AQ682" i="4"/>
  <c r="AQ681" i="4"/>
  <c r="AQ680" i="4"/>
  <c r="AQ679" i="4"/>
  <c r="AQ678" i="4"/>
  <c r="AQ677" i="4"/>
  <c r="AQ676" i="4"/>
  <c r="AQ666" i="4"/>
  <c r="AQ665" i="4"/>
  <c r="AQ655" i="4"/>
  <c r="AQ654" i="4"/>
  <c r="AQ644" i="4"/>
  <c r="AQ643" i="4"/>
  <c r="AQ633" i="4"/>
  <c r="AQ632" i="4"/>
  <c r="AQ622" i="4"/>
  <c r="AQ621" i="4"/>
  <c r="AQ611" i="4"/>
  <c r="AQ610" i="4"/>
  <c r="AQ600" i="4"/>
  <c r="AQ599" i="4"/>
  <c r="AQ589" i="4"/>
  <c r="AQ588" i="4"/>
  <c r="AQ578" i="4"/>
  <c r="AQ577" i="4"/>
  <c r="AQ567" i="4"/>
  <c r="AQ566" i="4"/>
  <c r="AQ556" i="4"/>
  <c r="AQ555" i="4"/>
  <c r="AQ545" i="4"/>
  <c r="AQ544" i="4"/>
  <c r="AQ534" i="4"/>
  <c r="AQ533" i="4"/>
  <c r="AQ523" i="4"/>
  <c r="AQ522" i="4"/>
  <c r="AQ512" i="4"/>
  <c r="AQ511" i="4"/>
  <c r="AQ501" i="4"/>
  <c r="AQ500" i="4"/>
  <c r="AQ490" i="4"/>
  <c r="AQ489" i="4"/>
  <c r="AQ479" i="4"/>
  <c r="AQ478" i="4"/>
  <c r="AQ467" i="4"/>
  <c r="AQ466" i="4"/>
  <c r="AQ454" i="4"/>
  <c r="AQ453" i="4"/>
  <c r="AQ439" i="4"/>
  <c r="AQ438" i="4"/>
  <c r="AQ424" i="4"/>
  <c r="W424" i="4"/>
  <c r="AQ423" i="4"/>
  <c r="W423" i="4"/>
  <c r="AQ422" i="4"/>
  <c r="W422" i="4"/>
  <c r="AQ421" i="4"/>
  <c r="W421" i="4"/>
  <c r="AQ420" i="4"/>
  <c r="W420" i="4"/>
  <c r="AQ419" i="4"/>
  <c r="W419" i="4"/>
  <c r="AQ418" i="4"/>
  <c r="W418" i="4"/>
  <c r="AQ417" i="4"/>
  <c r="W417" i="4"/>
  <c r="AQ416" i="4"/>
  <c r="W416" i="4"/>
  <c r="AQ415" i="4"/>
  <c r="W415" i="4"/>
  <c r="AQ414" i="4"/>
  <c r="W414" i="4"/>
  <c r="AQ413" i="4"/>
  <c r="W413" i="4"/>
  <c r="AQ412" i="4"/>
  <c r="W412" i="4"/>
  <c r="AQ411" i="4"/>
  <c r="AQ410" i="4"/>
  <c r="AQ396" i="4"/>
  <c r="AQ395" i="4"/>
  <c r="AQ381" i="4"/>
  <c r="AQ380" i="4"/>
  <c r="AQ366" i="4"/>
  <c r="AQ365" i="4"/>
  <c r="AQ364" i="4"/>
  <c r="AQ363" i="4"/>
  <c r="AQ362" i="4"/>
  <c r="AQ361" i="4"/>
  <c r="AQ360" i="4"/>
  <c r="AQ359" i="4"/>
  <c r="AQ358" i="4"/>
  <c r="AQ357" i="4"/>
  <c r="AQ356" i="4"/>
  <c r="AQ355" i="4"/>
  <c r="AQ354" i="4"/>
  <c r="AQ353" i="4"/>
  <c r="AQ352" i="4"/>
  <c r="AQ351" i="4"/>
  <c r="AQ350" i="4"/>
  <c r="AQ349" i="4"/>
  <c r="AQ348" i="4"/>
  <c r="AQ347" i="4"/>
  <c r="AQ346" i="4"/>
  <c r="AQ345" i="4"/>
  <c r="AQ344" i="4"/>
  <c r="AQ343" i="4"/>
  <c r="AQ342" i="4"/>
  <c r="AQ341" i="4"/>
  <c r="AQ340" i="4"/>
  <c r="AQ339" i="4"/>
  <c r="AQ327" i="4"/>
  <c r="AQ326" i="4"/>
  <c r="AQ311" i="4"/>
  <c r="AQ310" i="4"/>
  <c r="AQ298" i="4"/>
  <c r="AQ297" i="4"/>
  <c r="AQ283" i="4"/>
  <c r="AQ282" i="4"/>
  <c r="AQ281" i="4"/>
  <c r="AQ280" i="4"/>
  <c r="AQ279" i="4"/>
  <c r="AQ278" i="4"/>
  <c r="AQ277" i="4"/>
  <c r="AQ276" i="4"/>
  <c r="AQ275" i="4"/>
  <c r="AQ274" i="4"/>
  <c r="AQ273" i="4"/>
  <c r="AQ272" i="4"/>
  <c r="AQ271" i="4"/>
  <c r="AQ270" i="4"/>
  <c r="AQ269" i="4"/>
  <c r="AQ254" i="4"/>
  <c r="AQ253" i="4"/>
  <c r="AQ241" i="4"/>
  <c r="AQ240" i="4"/>
  <c r="AQ225" i="4"/>
  <c r="AQ224" i="4"/>
  <c r="AQ212" i="4"/>
  <c r="AQ211" i="4"/>
  <c r="AQ199" i="4"/>
  <c r="AQ198" i="4"/>
  <c r="AQ186" i="4"/>
  <c r="AQ185" i="4"/>
  <c r="AQ170" i="4"/>
  <c r="AQ169" i="4"/>
  <c r="AQ157" i="4"/>
  <c r="AQ156" i="4"/>
  <c r="AQ142" i="4"/>
  <c r="AQ141" i="4"/>
  <c r="AQ140" i="4"/>
  <c r="AQ139" i="4"/>
  <c r="AQ138" i="4"/>
  <c r="AQ137" i="4"/>
  <c r="AQ136" i="4"/>
  <c r="AQ135" i="4"/>
  <c r="AQ134" i="4"/>
  <c r="AQ133" i="4"/>
  <c r="AQ132" i="4"/>
  <c r="AQ131" i="4"/>
  <c r="AQ130" i="4"/>
  <c r="AQ129" i="4"/>
  <c r="AQ128" i="4"/>
  <c r="AQ116" i="4"/>
  <c r="AQ115" i="4"/>
  <c r="AQ103" i="4"/>
  <c r="AQ102" i="4"/>
  <c r="AQ90" i="4"/>
  <c r="AQ89" i="4"/>
  <c r="AQ77" i="4"/>
  <c r="AQ76" i="4"/>
  <c r="AQ59" i="4"/>
  <c r="AQ58" i="4"/>
  <c r="AQ57" i="4"/>
  <c r="AQ56" i="4"/>
  <c r="AQ55" i="4"/>
  <c r="AQ54" i="4"/>
  <c r="AQ53" i="4"/>
  <c r="AQ52" i="4"/>
  <c r="AQ51" i="4"/>
  <c r="AQ50" i="4"/>
  <c r="AQ49" i="4"/>
  <c r="AQ48" i="4"/>
  <c r="AQ4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3080</author>
    <author>米</author>
    <author>26250</author>
    <author>Admin</author>
    <author>作者</author>
    <author>dave666</author>
  </authors>
  <commentList>
    <comment ref="J1" authorId="0" shapeId="0" xr:uid="{00000000-0006-0000-0000-000001000000}">
      <text>
        <r>
          <rPr>
            <b/>
            <sz val="9"/>
            <rFont val="宋体"/>
            <family val="3"/>
            <charset val="134"/>
          </rPr>
          <t>3080:</t>
        </r>
        <r>
          <rPr>
            <sz val="9"/>
            <rFont val="宋体"/>
            <family val="3"/>
            <charset val="134"/>
          </rPr>
          <t xml:space="preserve">
如果1技能为被动时进行如下判断
0：不做如何处理
1：技能显示在总章1号位 </t>
        </r>
      </text>
    </comment>
    <comment ref="K1" authorId="1" shapeId="0" xr:uid="{00000000-0006-0000-0000-000002000000}">
      <text>
        <r>
          <rPr>
            <b/>
            <sz val="9"/>
            <rFont val="宋体"/>
            <family val="3"/>
            <charset val="134"/>
          </rPr>
          <t>米:</t>
        </r>
        <r>
          <rPr>
            <sz val="9"/>
            <rFont val="宋体"/>
            <family val="3"/>
            <charset val="134"/>
          </rPr>
          <t xml:space="preserve">
只有通式要填
 4 或 5
其他招式位置都是固定的，不用填
</t>
        </r>
      </text>
    </comment>
    <comment ref="R1" authorId="2" shapeId="0" xr:uid="{00000000-0006-0000-0000-000003000000}">
      <text>
        <r>
          <rPr>
            <sz val="9"/>
            <rFont val="宋体"/>
            <family val="3"/>
            <charset val="134"/>
          </rPr>
          <t xml:space="preserve">武学会用到该字段
内功和轻功不会用到
</t>
        </r>
      </text>
    </comment>
    <comment ref="Y1" authorId="3" shapeId="0" xr:uid="{00000000-0006-0000-0000-000004000000}">
      <text>
        <r>
          <rPr>
            <b/>
            <sz val="9"/>
            <rFont val="宋体"/>
            <family val="3"/>
            <charset val="134"/>
          </rPr>
          <t>Admin:</t>
        </r>
        <r>
          <rPr>
            <sz val="9"/>
            <rFont val="宋体"/>
            <family val="3"/>
            <charset val="134"/>
          </rPr>
          <t xml:space="preserve">
1真气;
2体力；
3气血</t>
        </r>
      </text>
    </comment>
    <comment ref="AE1" authorId="3" shapeId="0" xr:uid="{00000000-0006-0000-0000-000005000000}">
      <text>
        <r>
          <rPr>
            <b/>
            <sz val="9"/>
            <rFont val="宋体"/>
            <family val="3"/>
            <charset val="134"/>
          </rPr>
          <t>Admin:</t>
        </r>
        <r>
          <rPr>
            <sz val="9"/>
            <rFont val="宋体"/>
            <family val="3"/>
            <charset val="134"/>
          </rPr>
          <t xml:space="preserve">
1真气;
2体力；
3气血</t>
        </r>
      </text>
    </comment>
    <comment ref="AJ1" authorId="4" shapeId="0" xr:uid="{00000000-0006-0000-0000-000006000000}">
      <text>
        <r>
          <rPr>
            <b/>
            <sz val="9"/>
            <rFont val="宋体"/>
            <family val="3"/>
            <charset val="134"/>
          </rPr>
          <t>作者:</t>
        </r>
        <r>
          <rPr>
            <sz val="9"/>
            <rFont val="宋体"/>
            <family val="3"/>
            <charset val="134"/>
          </rPr>
          <t xml:space="preserve">
（只计算受击和格挡）</t>
        </r>
      </text>
    </comment>
    <comment ref="AL1" authorId="2" shapeId="0" xr:uid="{00000000-0006-0000-0000-000007000000}">
      <text>
        <r>
          <rPr>
            <b/>
            <sz val="9"/>
            <rFont val="宋体"/>
            <family val="3"/>
            <charset val="134"/>
          </rPr>
          <t>26250:</t>
        </r>
        <r>
          <rPr>
            <sz val="9"/>
            <rFont val="宋体"/>
            <family val="3"/>
            <charset val="134"/>
          </rPr>
          <t xml:space="preserve">
1：气血变更</t>
        </r>
      </text>
    </comment>
    <comment ref="T60" authorId="5" shapeId="0" xr:uid="{00000000-0006-0000-0000-000008000000}">
      <text/>
    </comment>
    <comment ref="T61" authorId="5" shapeId="0" xr:uid="{00000000-0006-0000-0000-000009000000}">
      <text/>
    </comment>
    <comment ref="Q92" authorId="5" shapeId="0" xr:uid="{00000000-0006-0000-0000-00000A000000}">
      <text>
        <r>
          <rPr>
            <b/>
            <sz val="9"/>
            <rFont val="宋体"/>
            <family val="3"/>
            <charset val="134"/>
          </rPr>
          <t>dave666:</t>
        </r>
        <r>
          <rPr>
            <sz val="9"/>
            <rFont val="宋体"/>
            <family val="3"/>
            <charset val="134"/>
          </rPr>
          <t xml:space="preserve">
敌人血量斩杀,敌人血量低于系数,几率，释放动作名字</t>
        </r>
      </text>
    </comment>
    <comment ref="T188" authorId="4" shapeId="0" xr:uid="{00000000-0006-0000-0000-00000B000000}">
      <text>
        <r>
          <rPr>
            <b/>
            <sz val="9"/>
            <rFont val="宋体"/>
            <family val="3"/>
            <charset val="134"/>
          </rPr>
          <t>追击动作伤害：
格式：
伤害,概率,影响的动作id</t>
        </r>
      </text>
    </comment>
    <comment ref="U188" authorId="4" shapeId="0" xr:uid="{00000000-0006-0000-0000-00000C000000}">
      <text>
        <r>
          <rPr>
            <b/>
            <sz val="9"/>
            <rFont val="宋体"/>
            <family val="3"/>
            <charset val="134"/>
          </rPr>
          <t>追击动作伤害：
格式：
伤害,概率,影响的动作id</t>
        </r>
      </text>
    </comment>
    <comment ref="T190" authorId="4" shapeId="0" xr:uid="{00000000-0006-0000-0000-00000D000000}">
      <text>
        <r>
          <rPr>
            <b/>
            <sz val="9"/>
            <rFont val="宋体"/>
            <family val="3"/>
            <charset val="134"/>
          </rPr>
          <t>追击动作伤害：
格式：
伤害,概率,影响的动作id</t>
        </r>
      </text>
    </comment>
    <comment ref="U190" authorId="4" shapeId="0" xr:uid="{00000000-0006-0000-0000-00000E000000}">
      <text>
        <r>
          <rPr>
            <b/>
            <sz val="9"/>
            <rFont val="宋体"/>
            <family val="3"/>
            <charset val="134"/>
          </rPr>
          <t>追击动作伤害：
格式：
伤害,概率,影响的动作id</t>
        </r>
      </text>
    </comment>
    <comment ref="T214" authorId="4" shapeId="0" xr:uid="{00000000-0006-0000-0000-00000F000000}">
      <text>
        <r>
          <rPr>
            <b/>
            <sz val="9"/>
            <rFont val="宋体"/>
            <family val="3"/>
            <charset val="134"/>
          </rPr>
          <t>追击动作伤害：
格式：
伤害,概率,影响的动作id</t>
        </r>
      </text>
    </comment>
    <comment ref="U214" authorId="4" shapeId="0" xr:uid="{00000000-0006-0000-0000-000010000000}">
      <text>
        <r>
          <rPr>
            <b/>
            <sz val="9"/>
            <rFont val="宋体"/>
            <family val="3"/>
            <charset val="134"/>
          </rPr>
          <t>追击动作伤害：
格式：
伤害,概率,影响的动作id</t>
        </r>
      </text>
    </comment>
    <comment ref="T216" authorId="4" shapeId="0" xr:uid="{00000000-0006-0000-0000-000011000000}">
      <text>
        <r>
          <rPr>
            <b/>
            <sz val="9"/>
            <rFont val="宋体"/>
            <family val="3"/>
            <charset val="134"/>
          </rPr>
          <t>追击动作伤害：
格式：
伤害,概率,影响的动作id</t>
        </r>
      </text>
    </comment>
    <comment ref="U216" authorId="4" shapeId="0" xr:uid="{00000000-0006-0000-0000-000012000000}">
      <text>
        <r>
          <rPr>
            <b/>
            <sz val="9"/>
            <rFont val="宋体"/>
            <family val="3"/>
            <charset val="134"/>
          </rPr>
          <t>追击动作伤害：
格式：
伤害,概率,影响的动作id</t>
        </r>
      </text>
    </comment>
    <comment ref="T230" authorId="4" shapeId="0" xr:uid="{00000000-0006-0000-0000-000013000000}">
      <text>
        <r>
          <rPr>
            <b/>
            <sz val="9"/>
            <rFont val="宋体"/>
            <family val="3"/>
            <charset val="134"/>
          </rPr>
          <t>追击动作伤害：
格式：
伤害,概率,影响的动作id</t>
        </r>
      </text>
    </comment>
    <comment ref="AN230" authorId="5" shapeId="0" xr:uid="{00000000-0006-0000-0000-000014000000}">
      <text>
        <r>
          <rPr>
            <b/>
            <sz val="9"/>
            <rFont val="宋体"/>
            <family val="3"/>
            <charset val="134"/>
          </rPr>
          <t>dave666:</t>
        </r>
        <r>
          <rPr>
            <sz val="9"/>
            <rFont val="宋体"/>
            <family val="3"/>
            <charset val="134"/>
          </rPr>
          <t xml:space="preserve">
要追击的动作。</t>
        </r>
      </text>
    </comment>
    <comment ref="T232" authorId="4" shapeId="0" xr:uid="{00000000-0006-0000-0000-000015000000}">
      <text>
        <r>
          <rPr>
            <b/>
            <sz val="9"/>
            <rFont val="宋体"/>
            <family val="3"/>
            <charset val="134"/>
          </rPr>
          <t>增加难觅buff  
影响招式1050101的概率，5秒有效时间</t>
        </r>
      </text>
    </comment>
    <comment ref="T238" authorId="4" shapeId="0" xr:uid="{00000000-0006-0000-0000-000016000000}">
      <text>
        <r>
          <rPr>
            <b/>
            <sz val="9"/>
            <rFont val="宋体"/>
            <family val="3"/>
            <charset val="134"/>
          </rPr>
          <t>遮幕,被致盲者攻击60%击空</t>
        </r>
      </text>
    </comment>
    <comment ref="T243" authorId="4" shapeId="0" xr:uid="{00000000-0006-0000-0000-000017000000}">
      <text>
        <r>
          <rPr>
            <b/>
            <sz val="9"/>
            <rFont val="宋体"/>
            <family val="3"/>
            <charset val="134"/>
          </rPr>
          <t>追击动作伤害：
格式：
伤害,概率,影响的动作id</t>
        </r>
      </text>
    </comment>
    <comment ref="AN243" authorId="5" shapeId="0" xr:uid="{00000000-0006-0000-0000-000018000000}">
      <text>
        <r>
          <rPr>
            <b/>
            <sz val="9"/>
            <rFont val="宋体"/>
            <family val="3"/>
            <charset val="134"/>
          </rPr>
          <t>dave666:</t>
        </r>
        <r>
          <rPr>
            <sz val="9"/>
            <rFont val="宋体"/>
            <family val="3"/>
            <charset val="134"/>
          </rPr>
          <t xml:space="preserve">
要追击的动作。</t>
        </r>
      </text>
    </comment>
    <comment ref="T245" authorId="4" shapeId="0" xr:uid="{00000000-0006-0000-0000-000019000000}">
      <text>
        <r>
          <rPr>
            <b/>
            <sz val="9"/>
            <rFont val="宋体"/>
            <family val="3"/>
            <charset val="134"/>
          </rPr>
          <t>增加难觅buff  
影响招式1050101的概率，5秒有效时间</t>
        </r>
      </text>
    </comment>
    <comment ref="T251" authorId="4" shapeId="0" xr:uid="{00000000-0006-0000-0000-00001A000000}">
      <text>
        <r>
          <rPr>
            <b/>
            <sz val="9"/>
            <rFont val="宋体"/>
            <family val="3"/>
            <charset val="134"/>
          </rPr>
          <t>遮幕,被致盲者攻击60%击空</t>
        </r>
      </text>
    </comment>
    <comment ref="AN259" authorId="5" shapeId="0" xr:uid="{00000000-0006-0000-0000-00001B000000}">
      <text>
        <r>
          <rPr>
            <b/>
            <sz val="9"/>
            <rFont val="宋体"/>
            <family val="3"/>
            <charset val="134"/>
          </rPr>
          <t>dave666:</t>
        </r>
        <r>
          <rPr>
            <sz val="9"/>
            <rFont val="宋体"/>
            <family val="3"/>
            <charset val="134"/>
          </rPr>
          <t xml:space="preserve">
要追击的动作。</t>
        </r>
      </text>
    </comment>
    <comment ref="AN272" authorId="5" shapeId="0" xr:uid="{00000000-0006-0000-0000-00001C000000}">
      <text>
        <r>
          <rPr>
            <b/>
            <sz val="9"/>
            <rFont val="宋体"/>
            <family val="3"/>
            <charset val="134"/>
          </rPr>
          <t>dave666:</t>
        </r>
        <r>
          <rPr>
            <sz val="9"/>
            <rFont val="宋体"/>
            <family val="3"/>
            <charset val="134"/>
          </rPr>
          <t xml:space="preserve">
要追击的动作。</t>
        </r>
      </text>
    </comment>
    <comment ref="R469" authorId="5" shapeId="0" xr:uid="{00000000-0006-0000-0000-00001D000000}">
      <text>
        <r>
          <rPr>
            <b/>
            <sz val="9"/>
            <rFont val="宋体"/>
            <family val="3"/>
            <charset val="134"/>
            <scheme val="minor"/>
          </rPr>
          <t>dave666:</t>
        </r>
        <r>
          <rPr>
            <sz val="9"/>
            <rFont val="宋体"/>
            <family val="3"/>
            <charset val="134"/>
            <scheme val="minor"/>
          </rPr>
          <t xml:space="preserve">
增加多个buff,中间用分号隔开
攻击力,0.1,5  逗号隔开，分别代表 攻击力 提升10% 持续时间5秒
防御力,0.1,5  逗号隔开，分别代表 攻击力 提升10% 持续时间5秒</t>
        </r>
      </text>
    </comment>
    <comment ref="R472" authorId="5" shapeId="0" xr:uid="{00000000-0006-0000-0000-00001E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26" authorId="5" shapeId="0" xr:uid="{00000000-0006-0000-0000-00001F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28" authorId="5" shapeId="0" xr:uid="{00000000-0006-0000-0000-000020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29" authorId="5" shapeId="0" xr:uid="{00000000-0006-0000-0000-000021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30" authorId="5" shapeId="0" xr:uid="{00000000-0006-0000-0000-000022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31" authorId="5" shapeId="0" xr:uid="{00000000-0006-0000-0000-000023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743" authorId="5" shapeId="0" xr:uid="{00000000-0006-0000-0000-000024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748" authorId="5" shapeId="0" xr:uid="{00000000-0006-0000-0000-000025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3080</author>
    <author>米</author>
    <author>26250</author>
    <author>Admin</author>
    <author>作者</author>
    <author>dave666</author>
  </authors>
  <commentList>
    <comment ref="J1" authorId="0" shapeId="0" xr:uid="{00000000-0006-0000-0100-000001000000}">
      <text>
        <r>
          <rPr>
            <b/>
            <sz val="9"/>
            <rFont val="宋体"/>
            <family val="3"/>
            <charset val="134"/>
          </rPr>
          <t>3080:</t>
        </r>
        <r>
          <rPr>
            <sz val="9"/>
            <rFont val="宋体"/>
            <family val="3"/>
            <charset val="134"/>
          </rPr>
          <t xml:space="preserve">
如果1技能为被动时进行如下判断
0：不做如何处理
1：技能显示在总章1号位 </t>
        </r>
      </text>
    </comment>
    <comment ref="K1" authorId="1" shapeId="0" xr:uid="{00000000-0006-0000-0100-000002000000}">
      <text>
        <r>
          <rPr>
            <b/>
            <sz val="9"/>
            <rFont val="宋体"/>
            <family val="3"/>
            <charset val="134"/>
          </rPr>
          <t>米:</t>
        </r>
        <r>
          <rPr>
            <sz val="9"/>
            <rFont val="宋体"/>
            <family val="3"/>
            <charset val="134"/>
          </rPr>
          <t xml:space="preserve">
只有通式要填
 4 或 5
其他招式位置都是固定的，不用填
</t>
        </r>
      </text>
    </comment>
    <comment ref="R1" authorId="2" shapeId="0" xr:uid="{00000000-0006-0000-0100-000003000000}">
      <text>
        <r>
          <rPr>
            <sz val="9"/>
            <rFont val="宋体"/>
            <family val="3"/>
            <charset val="134"/>
          </rPr>
          <t xml:space="preserve">武学会用到该字段
内功和轻功不会用到
</t>
        </r>
      </text>
    </comment>
    <comment ref="Y1" authorId="3" shapeId="0" xr:uid="{00000000-0006-0000-0100-000004000000}">
      <text>
        <r>
          <rPr>
            <b/>
            <sz val="9"/>
            <rFont val="宋体"/>
            <family val="3"/>
            <charset val="134"/>
          </rPr>
          <t>Admin:</t>
        </r>
        <r>
          <rPr>
            <sz val="9"/>
            <rFont val="宋体"/>
            <family val="3"/>
            <charset val="134"/>
          </rPr>
          <t xml:space="preserve">
1真气;
2体力；
3气血</t>
        </r>
      </text>
    </comment>
    <comment ref="AE1" authorId="3" shapeId="0" xr:uid="{00000000-0006-0000-0100-000005000000}">
      <text>
        <r>
          <rPr>
            <b/>
            <sz val="9"/>
            <rFont val="宋体"/>
            <family val="3"/>
            <charset val="134"/>
          </rPr>
          <t>Admin:</t>
        </r>
        <r>
          <rPr>
            <sz val="9"/>
            <rFont val="宋体"/>
            <family val="3"/>
            <charset val="134"/>
          </rPr>
          <t xml:space="preserve">
1真气;
2体力；
3气血</t>
        </r>
      </text>
    </comment>
    <comment ref="AJ1" authorId="4" shapeId="0" xr:uid="{00000000-0006-0000-0100-000006000000}">
      <text>
        <r>
          <rPr>
            <b/>
            <sz val="9"/>
            <rFont val="宋体"/>
            <family val="3"/>
            <charset val="134"/>
          </rPr>
          <t>作者:</t>
        </r>
        <r>
          <rPr>
            <sz val="9"/>
            <rFont val="宋体"/>
            <family val="3"/>
            <charset val="134"/>
          </rPr>
          <t xml:space="preserve">
（只计算受击和格挡）</t>
        </r>
      </text>
    </comment>
    <comment ref="AL1" authorId="2" shapeId="0" xr:uid="{00000000-0006-0000-0100-000007000000}">
      <text>
        <r>
          <rPr>
            <b/>
            <sz val="9"/>
            <rFont val="宋体"/>
            <family val="3"/>
            <charset val="134"/>
          </rPr>
          <t>26250:</t>
        </r>
        <r>
          <rPr>
            <sz val="9"/>
            <rFont val="宋体"/>
            <family val="3"/>
            <charset val="134"/>
          </rPr>
          <t xml:space="preserve">
1：气血变更</t>
        </r>
      </text>
    </comment>
    <comment ref="T60" authorId="5" shapeId="0" xr:uid="{00000000-0006-0000-0100-000008000000}">
      <text/>
    </comment>
    <comment ref="T61" authorId="5" shapeId="0" xr:uid="{00000000-0006-0000-0100-000009000000}">
      <text/>
    </comment>
    <comment ref="Q92" authorId="5" shapeId="0" xr:uid="{00000000-0006-0000-0100-00000A000000}">
      <text>
        <r>
          <rPr>
            <b/>
            <sz val="9"/>
            <rFont val="宋体"/>
            <family val="3"/>
            <charset val="134"/>
          </rPr>
          <t>dave666:</t>
        </r>
        <r>
          <rPr>
            <sz val="9"/>
            <rFont val="宋体"/>
            <family val="3"/>
            <charset val="134"/>
          </rPr>
          <t xml:space="preserve">
敌人血量斩杀,敌人血量低于系数,几率，释放动作名字</t>
        </r>
      </text>
    </comment>
    <comment ref="T188" authorId="4" shapeId="0" xr:uid="{00000000-0006-0000-0100-00000B000000}">
      <text>
        <r>
          <rPr>
            <b/>
            <sz val="9"/>
            <rFont val="宋体"/>
            <family val="3"/>
            <charset val="134"/>
          </rPr>
          <t>追击动作伤害：
格式：
伤害,概率,影响的动作id</t>
        </r>
      </text>
    </comment>
    <comment ref="U188" authorId="4" shapeId="0" xr:uid="{00000000-0006-0000-0100-00000C000000}">
      <text>
        <r>
          <rPr>
            <b/>
            <sz val="9"/>
            <rFont val="宋体"/>
            <family val="3"/>
            <charset val="134"/>
          </rPr>
          <t>追击动作伤害：
格式：
伤害,概率,影响的动作id</t>
        </r>
      </text>
    </comment>
    <comment ref="T190" authorId="4" shapeId="0" xr:uid="{00000000-0006-0000-0100-00000D000000}">
      <text>
        <r>
          <rPr>
            <b/>
            <sz val="9"/>
            <rFont val="宋体"/>
            <family val="3"/>
            <charset val="134"/>
          </rPr>
          <t>追击动作伤害：
格式：
伤害,概率,影响的动作id</t>
        </r>
      </text>
    </comment>
    <comment ref="U190" authorId="4" shapeId="0" xr:uid="{00000000-0006-0000-0100-00000E000000}">
      <text>
        <r>
          <rPr>
            <b/>
            <sz val="9"/>
            <rFont val="宋体"/>
            <family val="3"/>
            <charset val="134"/>
          </rPr>
          <t>追击动作伤害：
格式：
伤害,概率,影响的动作id</t>
        </r>
      </text>
    </comment>
    <comment ref="T214" authorId="4" shapeId="0" xr:uid="{00000000-0006-0000-0100-00000F000000}">
      <text>
        <r>
          <rPr>
            <b/>
            <sz val="9"/>
            <rFont val="宋体"/>
            <family val="3"/>
            <charset val="134"/>
          </rPr>
          <t>追击动作伤害：
格式：
伤害,概率,影响的动作id</t>
        </r>
      </text>
    </comment>
    <comment ref="U214" authorId="4" shapeId="0" xr:uid="{00000000-0006-0000-0100-000010000000}">
      <text>
        <r>
          <rPr>
            <b/>
            <sz val="9"/>
            <rFont val="宋体"/>
            <family val="3"/>
            <charset val="134"/>
          </rPr>
          <t>追击动作伤害：
格式：
伤害,概率,影响的动作id</t>
        </r>
      </text>
    </comment>
    <comment ref="T216" authorId="4" shapeId="0" xr:uid="{00000000-0006-0000-0100-000011000000}">
      <text>
        <r>
          <rPr>
            <b/>
            <sz val="9"/>
            <rFont val="宋体"/>
            <family val="3"/>
            <charset val="134"/>
          </rPr>
          <t>追击动作伤害：
格式：
伤害,概率,影响的动作id</t>
        </r>
      </text>
    </comment>
    <comment ref="U216" authorId="4" shapeId="0" xr:uid="{00000000-0006-0000-0100-000012000000}">
      <text>
        <r>
          <rPr>
            <b/>
            <sz val="9"/>
            <rFont val="宋体"/>
            <family val="3"/>
            <charset val="134"/>
          </rPr>
          <t>追击动作伤害：
格式：
伤害,概率,影响的动作id</t>
        </r>
      </text>
    </comment>
    <comment ref="T230" authorId="4" shapeId="0" xr:uid="{00000000-0006-0000-0100-000013000000}">
      <text>
        <r>
          <rPr>
            <b/>
            <sz val="9"/>
            <rFont val="宋体"/>
            <family val="3"/>
            <charset val="134"/>
          </rPr>
          <t>追击动作伤害：
格式：
伤害,概率,影响的动作id</t>
        </r>
      </text>
    </comment>
    <comment ref="AN230" authorId="5" shapeId="0" xr:uid="{00000000-0006-0000-0100-000014000000}">
      <text>
        <r>
          <rPr>
            <b/>
            <sz val="9"/>
            <rFont val="宋体"/>
            <family val="3"/>
            <charset val="134"/>
          </rPr>
          <t>dave666:</t>
        </r>
        <r>
          <rPr>
            <sz val="9"/>
            <rFont val="宋体"/>
            <family val="3"/>
            <charset val="134"/>
          </rPr>
          <t xml:space="preserve">
要追击的动作。</t>
        </r>
      </text>
    </comment>
    <comment ref="T232" authorId="4" shapeId="0" xr:uid="{00000000-0006-0000-0100-000015000000}">
      <text>
        <r>
          <rPr>
            <b/>
            <sz val="9"/>
            <rFont val="宋体"/>
            <family val="3"/>
            <charset val="134"/>
          </rPr>
          <t>增加难觅buff  
影响招式1050101的概率，5秒有效时间</t>
        </r>
      </text>
    </comment>
    <comment ref="T238" authorId="4" shapeId="0" xr:uid="{00000000-0006-0000-0100-000016000000}">
      <text>
        <r>
          <rPr>
            <b/>
            <sz val="9"/>
            <rFont val="宋体"/>
            <family val="3"/>
            <charset val="134"/>
          </rPr>
          <t>遮幕,被致盲者攻击60%击空</t>
        </r>
      </text>
    </comment>
    <comment ref="T243" authorId="4" shapeId="0" xr:uid="{00000000-0006-0000-0100-000017000000}">
      <text>
        <r>
          <rPr>
            <b/>
            <sz val="9"/>
            <rFont val="宋体"/>
            <family val="3"/>
            <charset val="134"/>
          </rPr>
          <t>追击动作伤害：
格式：
伤害,概率,影响的动作id</t>
        </r>
      </text>
    </comment>
    <comment ref="AN243" authorId="5" shapeId="0" xr:uid="{00000000-0006-0000-0100-000018000000}">
      <text>
        <r>
          <rPr>
            <b/>
            <sz val="9"/>
            <rFont val="宋体"/>
            <family val="3"/>
            <charset val="134"/>
          </rPr>
          <t>dave666:</t>
        </r>
        <r>
          <rPr>
            <sz val="9"/>
            <rFont val="宋体"/>
            <family val="3"/>
            <charset val="134"/>
          </rPr>
          <t xml:space="preserve">
要追击的动作。</t>
        </r>
      </text>
    </comment>
    <comment ref="T245" authorId="4" shapeId="0" xr:uid="{00000000-0006-0000-0100-000019000000}">
      <text>
        <r>
          <rPr>
            <b/>
            <sz val="9"/>
            <rFont val="宋体"/>
            <family val="3"/>
            <charset val="134"/>
          </rPr>
          <t>增加难觅buff  
影响招式1050101的概率，5秒有效时间</t>
        </r>
      </text>
    </comment>
    <comment ref="T251" authorId="4" shapeId="0" xr:uid="{00000000-0006-0000-0100-00001A000000}">
      <text>
        <r>
          <rPr>
            <b/>
            <sz val="9"/>
            <rFont val="宋体"/>
            <family val="3"/>
            <charset val="134"/>
          </rPr>
          <t>遮幕,被致盲者攻击60%击空</t>
        </r>
      </text>
    </comment>
    <comment ref="AN259" authorId="5" shapeId="0" xr:uid="{00000000-0006-0000-0100-00001B000000}">
      <text>
        <r>
          <rPr>
            <b/>
            <sz val="9"/>
            <rFont val="宋体"/>
            <family val="3"/>
            <charset val="134"/>
          </rPr>
          <t>dave666:</t>
        </r>
        <r>
          <rPr>
            <sz val="9"/>
            <rFont val="宋体"/>
            <family val="3"/>
            <charset val="134"/>
          </rPr>
          <t xml:space="preserve">
要追击的动作。</t>
        </r>
      </text>
    </comment>
    <comment ref="AN272" authorId="5" shapeId="0" xr:uid="{00000000-0006-0000-0100-00001C000000}">
      <text>
        <r>
          <rPr>
            <b/>
            <sz val="9"/>
            <rFont val="宋体"/>
            <family val="3"/>
            <charset val="134"/>
          </rPr>
          <t>dave666:</t>
        </r>
        <r>
          <rPr>
            <sz val="9"/>
            <rFont val="宋体"/>
            <family val="3"/>
            <charset val="134"/>
          </rPr>
          <t xml:space="preserve">
要追击的动作。</t>
        </r>
      </text>
    </comment>
    <comment ref="R469" authorId="5" shapeId="0" xr:uid="{00000000-0006-0000-0100-00001D000000}">
      <text>
        <r>
          <rPr>
            <b/>
            <sz val="9"/>
            <rFont val="宋体"/>
            <family val="3"/>
            <charset val="134"/>
            <scheme val="minor"/>
          </rPr>
          <t>dave666:</t>
        </r>
        <r>
          <rPr>
            <sz val="9"/>
            <rFont val="宋体"/>
            <family val="3"/>
            <charset val="134"/>
            <scheme val="minor"/>
          </rPr>
          <t xml:space="preserve">
增加多个buff,中间用分号隔开
攻击力,0.1,5  逗号隔开，分别代表 攻击力 提升10% 持续时间5秒
防御力,0.1,5  逗号隔开，分别代表 攻击力 提升10% 持续时间5秒</t>
        </r>
      </text>
    </comment>
    <comment ref="R472" authorId="5" shapeId="0" xr:uid="{00000000-0006-0000-0100-00001E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26" authorId="5" shapeId="0" xr:uid="{00000000-0006-0000-0100-00001F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28" authorId="5" shapeId="0" xr:uid="{00000000-0006-0000-0100-000020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29" authorId="5" shapeId="0" xr:uid="{00000000-0006-0000-0100-000021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30" authorId="5" shapeId="0" xr:uid="{00000000-0006-0000-0100-000022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531" authorId="5" shapeId="0" xr:uid="{00000000-0006-0000-0100-000023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743" authorId="5" shapeId="0" xr:uid="{00000000-0006-0000-0100-000024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R748" authorId="5" shapeId="0" xr:uid="{00000000-0006-0000-0100-000025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26250</author>
  </authors>
  <commentList>
    <comment ref="E2" authorId="0" shapeId="0" xr:uid="{00000000-0006-0000-0200-000001000000}">
      <text>
        <r>
          <rPr>
            <b/>
            <sz val="9"/>
            <rFont val="宋体"/>
            <family val="3"/>
            <charset val="134"/>
          </rPr>
          <t>26250:</t>
        </r>
        <r>
          <rPr>
            <sz val="9"/>
            <rFont val="宋体"/>
            <family val="3"/>
            <charset val="134"/>
          </rPr>
          <t xml:space="preserve">
1=外功
2=内功
0=不做判断</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26250</author>
  </authors>
  <commentList>
    <comment ref="E2" authorId="0" shapeId="0" xr:uid="{00000000-0006-0000-0300-000001000000}">
      <text>
        <r>
          <rPr>
            <b/>
            <sz val="9"/>
            <rFont val="宋体"/>
            <family val="3"/>
            <charset val="134"/>
          </rPr>
          <t>26250:</t>
        </r>
        <r>
          <rPr>
            <sz val="9"/>
            <rFont val="宋体"/>
            <family val="3"/>
            <charset val="134"/>
          </rPr>
          <t xml:space="preserve">
1=外功
2=内功
0=不做判断</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26250</author>
  </authors>
  <commentList>
    <comment ref="E2" authorId="0" shapeId="0" xr:uid="{00000000-0006-0000-0400-000001000000}">
      <text>
        <r>
          <rPr>
            <b/>
            <sz val="9"/>
            <rFont val="宋体"/>
            <family val="3"/>
            <charset val="134"/>
          </rPr>
          <t>26250:</t>
        </r>
        <r>
          <rPr>
            <sz val="9"/>
            <rFont val="宋体"/>
            <family val="3"/>
            <charset val="134"/>
          </rPr>
          <t xml:space="preserve">
1=外功
2=内功
0=不做判断</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3080</author>
  </authors>
  <commentList>
    <comment ref="A26" authorId="0" shapeId="0" xr:uid="{00000000-0006-0000-0500-000001000000}">
      <text>
        <r>
          <rPr>
            <b/>
            <sz val="9"/>
            <rFont val="宋体"/>
            <family val="3"/>
            <charset val="134"/>
          </rPr>
          <t>3080:</t>
        </r>
        <r>
          <rPr>
            <sz val="9"/>
            <rFont val="宋体"/>
            <family val="3"/>
            <charset val="134"/>
          </rPr>
          <t xml:space="preserve">
ID问题历史原因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3080</author>
  </authors>
  <commentList>
    <comment ref="A26" authorId="0" shapeId="0" xr:uid="{00000000-0006-0000-0600-000001000000}">
      <text>
        <r>
          <rPr>
            <b/>
            <sz val="9"/>
            <rFont val="宋体"/>
            <family val="3"/>
            <charset val="134"/>
          </rPr>
          <t>3080:</t>
        </r>
        <r>
          <rPr>
            <sz val="9"/>
            <rFont val="宋体"/>
            <family val="3"/>
            <charset val="134"/>
          </rPr>
          <t xml:space="preserve">
ID问题历史原因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1" authorId="0" shapeId="0" xr:uid="{00000000-0006-0000-0B00-000001000000}">
      <text>
        <r>
          <rPr>
            <b/>
            <sz val="9"/>
            <rFont val="宋体"/>
            <family val="3"/>
            <charset val="134"/>
          </rPr>
          <t>作者:</t>
        </r>
        <r>
          <rPr>
            <sz val="9"/>
            <rFont val="宋体"/>
            <family val="3"/>
            <charset val="134"/>
          </rPr>
          <t xml:space="preserve">
追踪式
直线式
自定义弹道</t>
        </r>
      </text>
    </comment>
  </commentList>
</comments>
</file>

<file path=xl/sharedStrings.xml><?xml version="1.0" encoding="utf-8"?>
<sst xmlns="http://schemas.openxmlformats.org/spreadsheetml/2006/main" count="29024" uniqueCount="6771">
  <si>
    <t>动作ID</t>
  </si>
  <si>
    <t>归属武学</t>
  </si>
  <si>
    <t>招式名称</t>
  </si>
  <si>
    <t>所属类别</t>
  </si>
  <si>
    <t>所属亚类别 (武器类型)</t>
  </si>
  <si>
    <t>境界要求</t>
  </si>
  <si>
    <t>对应武器</t>
  </si>
  <si>
    <t>武学性质 主动类型</t>
  </si>
  <si>
    <t>武学类型</t>
  </si>
  <si>
    <t>技能显示类似</t>
  </si>
  <si>
    <t>装配位置</t>
  </si>
  <si>
    <t>备注</t>
  </si>
  <si>
    <t>按键方式</t>
  </si>
  <si>
    <t>使用的技能效果</t>
  </si>
  <si>
    <t>散学类型</t>
  </si>
  <si>
    <t>攻击距离  (这个字段战斗未使用)</t>
  </si>
  <si>
    <t>属性提升</t>
  </si>
  <si>
    <t>招式效果</t>
  </si>
  <si>
    <t>效果组成公式</t>
  </si>
  <si>
    <t>内功效果组成公式</t>
  </si>
  <si>
    <t>需要替换的描述</t>
  </si>
  <si>
    <t>招式描述</t>
  </si>
  <si>
    <t>互斥组</t>
  </si>
  <si>
    <t>互斥优先级</t>
  </si>
  <si>
    <t>效果段数 (这个字段战斗未使用)</t>
  </si>
  <si>
    <t>效果目标  (这个字段战斗未使用)</t>
  </si>
  <si>
    <t>攻击附加状态(攻击的时候才会生效)</t>
  </si>
  <si>
    <t>状态持续时间(这个字段战斗未使用)</t>
  </si>
  <si>
    <t>消耗类型</t>
  </si>
  <si>
    <t>消耗值</t>
  </si>
  <si>
    <t>冷却时间</t>
  </si>
  <si>
    <t>技能持续时间</t>
  </si>
  <si>
    <t>增加内劲点</t>
  </si>
  <si>
    <t>受击方被击中增加内劲点</t>
  </si>
  <si>
    <t>对应心诀</t>
  </si>
  <si>
    <t>被动技能类型</t>
  </si>
  <si>
    <t>被动技能参数</t>
  </si>
  <si>
    <t>对应动作</t>
  </si>
  <si>
    <t>共用CD动作</t>
  </si>
  <si>
    <t>共用CD动作2</t>
  </si>
  <si>
    <t>对应ICON</t>
  </si>
  <si>
    <t>攻击序列</t>
  </si>
  <si>
    <t>name</t>
  </si>
  <si>
    <t>WuxueName</t>
  </si>
  <si>
    <t>SkillName</t>
  </si>
  <si>
    <t>AnimationType</t>
  </si>
  <si>
    <t>WeaponType</t>
  </si>
  <si>
    <t>attribute</t>
  </si>
  <si>
    <t>weapon</t>
  </si>
  <si>
    <t>ActiveType</t>
  </si>
  <si>
    <t>tipType</t>
  </si>
  <si>
    <t>ShowType</t>
  </si>
  <si>
    <t>EquipPos</t>
  </si>
  <si>
    <t>UseSkill</t>
  </si>
  <si>
    <t>SanxueName</t>
  </si>
  <si>
    <t>AtkDistance</t>
  </si>
  <si>
    <t>SxTs</t>
  </si>
  <si>
    <t>EffectType</t>
  </si>
  <si>
    <t>Effect</t>
  </si>
  <si>
    <t>Effect2</t>
  </si>
  <si>
    <t>ReplaceDes</t>
  </si>
  <si>
    <t>Des</t>
  </si>
  <si>
    <t>mutexGroup</t>
  </si>
  <si>
    <t>mutexPriority</t>
  </si>
  <si>
    <t>BuffTarget</t>
  </si>
  <si>
    <t>Buff</t>
  </si>
  <si>
    <t>BuffTime</t>
  </si>
  <si>
    <t>CostType</t>
  </si>
  <si>
    <t>cost</t>
  </si>
  <si>
    <t>CD</t>
  </si>
  <si>
    <t>sustainTime</t>
  </si>
  <si>
    <t>addPoint</t>
  </si>
  <si>
    <t>BeaddPoint</t>
  </si>
  <si>
    <t>XinJue</t>
  </si>
  <si>
    <t>stateName</t>
  </si>
  <si>
    <t>stateName2</t>
  </si>
  <si>
    <t>stateName3</t>
  </si>
  <si>
    <t>Icon</t>
  </si>
  <si>
    <t>AttackID</t>
  </si>
  <si>
    <t>拳掌</t>
  </si>
  <si>
    <t>白猿托印</t>
  </si>
  <si>
    <t>武功</t>
  </si>
  <si>
    <t>主动</t>
  </si>
  <si>
    <t>江湖通式</t>
  </si>
  <si>
    <t xml:space="preserve">主动技能：向前上方双掌斜推，攻击敌方下巴，把人托起
可中断普攻，敌浮空半人高
</t>
  </si>
  <si>
    <t>伤害</t>
  </si>
  <si>
    <t>外功攻击*0.5</t>
  </si>
  <si>
    <t>内功攻击*0.5</t>
  </si>
  <si>
    <t>0.5;0.5</t>
  </si>
  <si>
    <t>主动招式：双掌向前上方斜推，猛击敌人下颌，造成内外功伤害并使其浮空。</t>
  </si>
  <si>
    <t>敌人</t>
  </si>
  <si>
    <t>quan/Skill7</t>
  </si>
  <si>
    <t>tricks/1010001</t>
  </si>
  <si>
    <t>如雷贯耳</t>
  </si>
  <si>
    <t>集迅猛之势向前，聚势于一点，猛突贯破，对前方目标造成伤害</t>
  </si>
  <si>
    <t>主动招式：踏步趋前，聚势于掌心猛贯而出，对敌人造成外功伤害与内功伤害。</t>
  </si>
  <si>
    <t>quan/Skill9</t>
  </si>
  <si>
    <t>tricks/1010002</t>
  </si>
  <si>
    <t>1010101_1</t>
  </si>
  <si>
    <t>千锻拳势</t>
  </si>
  <si>
    <t>古锤-贯体</t>
  </si>
  <si>
    <t>武学总章</t>
  </si>
  <si>
    <t>重拳冲击，猛击敌方腹部，造成{0}点伤害，在短暂间隔后爆发内劲，使目标倒地。</t>
  </si>
  <si>
    <t>((1+武力*拳法系数*14*0.5)*(0.5/(1+0.5+0.5))*0.9+(外功攻击*1.3))</t>
  </si>
  <si>
    <t>((1+内息*拳法系数*20*0.5)*(1.0/(1+0.5+0.5))*0.1+(外功攻击*0.1))*0.2</t>
  </si>
  <si>
    <t>0.9;0.1</t>
  </si>
  <si>
    <t>主动招式：势如雷霆，力若千钧，连续轰出三段猛击，造成外功伤害与部分内功伤害。武力越高，此招式效果越强。</t>
  </si>
  <si>
    <t>8010101;8010103</t>
  </si>
  <si>
    <t>quan/Skill1</t>
  </si>
  <si>
    <t>tricks/1010101</t>
  </si>
  <si>
    <t>1010101_2</t>
  </si>
  <si>
    <t>古锤-贯体式开启二段攻击对敌人造成伤害。</t>
  </si>
  <si>
    <t>((1+武力*拳法系数*14*0.5)*(0.5/(1+0.5+0.5))*0.9+(外功攻击*1))</t>
  </si>
  <si>
    <t>主动招式：势如雷霆，力若千钧，可连续轰出三段猛击，造成外功伤害与部分内功伤害。武力越高，此招式效果越强。</t>
  </si>
  <si>
    <t>自己</t>
  </si>
  <si>
    <t>quan/Skill2</t>
  </si>
  <si>
    <t>tricks/1010104</t>
  </si>
  <si>
    <t>1010101_3</t>
  </si>
  <si>
    <t>古锤-贯体式开启三段攻击对敌人造成伤害。</t>
  </si>
  <si>
    <t>((1+武力*拳法系数*14*0.5)*(0.5/(1+0.5+0.5))*0.9+(外功攻击*1.1))</t>
  </si>
  <si>
    <t>quan/Skill3</t>
  </si>
  <si>
    <t>tricks/1010105</t>
  </si>
  <si>
    <t>1010103_1</t>
  </si>
  <si>
    <t>古锤-叠冲</t>
  </si>
  <si>
    <t>古锤-贯体式施展后{0}秒内可以施展，追击敌方目标，造成{0}点伤害，在短暂间隔后爆发内劲，使目标倒地。</t>
  </si>
  <si>
    <t>((1+武力*拳法系数*14*0.5)*(0.5/(1+0.5+0.5))*0.9+(外功攻击*1.2))</t>
  </si>
  <si>
    <t>((1+内息*拳法系数*20*0.5)*(0.5/(1+0.5+0.5))*0.1+(外功攻击*0.1))</t>
  </si>
  <si>
    <t>主动招式：拳出如锤，迅猛无铸，持续按键可连续轰出两段猛击，造成外功伤害与部分内功伤害。武力越高，此招式效果越强。</t>
  </si>
  <si>
    <t>8010102</t>
  </si>
  <si>
    <t>quan/Skill4</t>
  </si>
  <si>
    <t>tricks/1010102</t>
  </si>
  <si>
    <t>1010103_2</t>
  </si>
  <si>
    <t>古锤-叠浪式开启二段</t>
  </si>
  <si>
    <t>quan/Skill5</t>
  </si>
  <si>
    <t>tricks/1010106</t>
  </si>
  <si>
    <r>
      <rPr>
        <sz val="10.5"/>
        <color theme="1"/>
        <rFont val="等线"/>
        <family val="3"/>
        <charset val="134"/>
      </rPr>
      <t>百炼罡</t>
    </r>
  </si>
  <si>
    <t>被动</t>
  </si>
  <si>
    <t>武学注解</t>
  </si>
  <si>
    <t>被动招式：轻击外功攻击提升5%。</t>
  </si>
  <si>
    <r>
      <rPr>
        <sz val="10.5"/>
        <color theme="1"/>
        <rFont val="等线"/>
        <family val="3"/>
        <charset val="134"/>
      </rPr>
      <t>千锻守心</t>
    </r>
  </si>
  <si>
    <t>被动招式：【古锤-锻终】施展后有几率触发【守心】效果（影响属性：身法）：对目标额外造成5%招式伤害</t>
  </si>
  <si>
    <t>古锤-锻终</t>
  </si>
  <si>
    <t>古锤-叠冲式施展后{0}秒内可以施展，追击敌方目标，造成{0}点伤害，对目标造成击飞效果。</t>
  </si>
  <si>
    <t>(1+武力*拳法系数*10*0.5)*(0.5/(1+0.5+0.5))*0.9+(外功攻击*2.8)</t>
  </si>
  <si>
    <t>(1+内息*拳法系数*20*0.5)*(0.5/(1+0.5+0.5))*0.1+(外功攻击*0.1)</t>
  </si>
  <si>
    <t>主动招式：身形如箭，踏步藏身，以肩破敌。造成外功伤害与部分内功伤害。武力越高，此招式效果越强。</t>
  </si>
  <si>
    <t>8010101</t>
  </si>
  <si>
    <t>quan/Skill6</t>
  </si>
  <si>
    <t>tricks/1010103</t>
  </si>
  <si>
    <r>
      <rPr>
        <sz val="10.5"/>
        <color theme="1"/>
        <rFont val="等线"/>
        <family val="3"/>
        <charset val="134"/>
      </rPr>
      <t>破新炉</t>
    </r>
  </si>
  <si>
    <t>被动招式：施展【古锤-锻终】时，使用者有概率获得【烈炉】效果，具有此效果时，施展招式【古锤-叠冲】时必定造成暴击。该效果持续三秒，身法越高，触发【烈炉】效果几率越大。</t>
  </si>
  <si>
    <t>新炼-崩山</t>
  </si>
  <si>
    <t>古锤-贯体式施展时有{0}概率附带【烈炉】效果，3秒内使用古锤-叠浪式攻击必暴击。</t>
  </si>
  <si>
    <t>增加buff</t>
  </si>
  <si>
    <t>被动招式：造成伤害后，使用者获得一层【崩山】效果，此效果可根据使用者自身属性额外提升2%外功攻击，该效果持续三秒，最高可叠加三层。</t>
  </si>
  <si>
    <t>tricks/1010107</t>
  </si>
  <si>
    <t>新炼-断海</t>
  </si>
  <si>
    <t>古锤-叠浪式二段攻击后，3秒内施展古锤-终锻式有{0}概率额外增加100%伤害。</t>
  </si>
  <si>
    <t>被动招式：施展【古锤-贯体】后，三秒内施展【古锤-锻终】有概率获得5%的外功攻击提升，该效果持续三秒。</t>
  </si>
  <si>
    <t>tricks/1010108</t>
  </si>
  <si>
    <r>
      <rPr>
        <sz val="10.5"/>
        <color theme="1"/>
        <rFont val="等线"/>
        <family val="3"/>
        <charset val="134"/>
      </rPr>
      <t>破钢穹</t>
    </r>
  </si>
  <si>
    <t>古锤-终锻式释放后，5秒内提升拳法轻击和重击的伤害10%。</t>
  </si>
  <si>
    <t>被动招式：施展【古锤-锻终】后，五秒内，提升5％拳法轻击造成的外功攻击</t>
  </si>
  <si>
    <t>tricks/1010109</t>
  </si>
  <si>
    <r>
      <rPr>
        <sz val="10.5"/>
        <color theme="1"/>
        <rFont val="等线"/>
        <family val="3"/>
        <charset val="134"/>
      </rPr>
      <t>古叠复法</t>
    </r>
  </si>
  <si>
    <t>每次施展技能【古锤-贯体式】会获得1层【锤炼】效果。每一层提高2%攻击力持续10秒，最高可以叠加10层。</t>
  </si>
  <si>
    <t>被动招式：【古锤-贯体】第一段若对敌人造成伤害，使用者获得一层【锤炼】效果。具有此效果时，提升1%外功攻击，该效果持续十秒，最高可叠加十层。</t>
  </si>
  <si>
    <t>tricks/1010110</t>
  </si>
  <si>
    <t>破炉罡</t>
  </si>
  <si>
    <t>被动招式：进入战斗后,武力属性增加3点</t>
  </si>
  <si>
    <t>覆锤古法</t>
  </si>
  <si>
    <t>被动招式：施展【古锤-叠冲】时，伤害提升5%</t>
  </si>
  <si>
    <t>tricks/1010112</t>
  </si>
  <si>
    <t>震炉拳意</t>
  </si>
  <si>
    <t>被动招式：当【守心】、【崩山】、【锤炼】这三种效果中任意二种效果同时存在时，获得【拳意】效果，暴击提升10%，该效果持续5秒。</t>
  </si>
  <si>
    <t>tricks/1010113</t>
  </si>
  <si>
    <t>伏阳开碑拳</t>
  </si>
  <si>
    <t>旭烈万缕</t>
  </si>
  <si>
    <t>对前方目标造成迅速的（4）次伤害，每段造成{0}点伤害。
消耗：（5）点真气。
攻击部位：（胸腹）
冷却时间：（9s）</t>
  </si>
  <si>
    <t>((1+武力*拳法系数*2*0.5)*(1.5/(1.5+1+1))*0.5+(外功攻击*0.8))*0.5</t>
  </si>
  <si>
    <t>((1+内息*拳法系数*2*0.5)*(1.5/(1.5+1+1))*0.5+(内功攻击*0.8))*0.5</t>
  </si>
  <si>
    <t>主动招式：势如炎阳，炽热刚猛。对敌人连续攻出五段猛击，造成外功伤害与内功伤害并使其浮空。武力与内息越高，该招式效果越强。</t>
  </si>
  <si>
    <t>quan/Skill10</t>
  </si>
  <si>
    <t>tricks/1010201</t>
  </si>
  <si>
    <t>中天诸悬</t>
  </si>
  <si>
    <t>施展招式【旭烈万缕】时，有（50%+身法*系数/当前境界）的几率自动释放此招式，对目标造成{0}点伤害。</t>
  </si>
  <si>
    <t>被动招式：施展【旭烈万缕】时，有几率获得【中天】效果，具有此效果时，提升5%外功攻击和内功攻击，该效果持续五秒。</t>
  </si>
  <si>
    <t>tricks/1010202</t>
  </si>
  <si>
    <t>镇残碑</t>
  </si>
  <si>
    <t xml:space="preserve">骤起膝击，对目标{0}点伤害，若成功命中目标，则自动追加后续2次攻击，分别造成{0}点，与{0}点伤害，此技能可中断普通攻击，强制施展。
消耗：（3）点真气。
攻击部位：（胸腹）
冷却时间：（9s）
</t>
  </si>
  <si>
    <t>((1+武力*拳法系数*4*0.5)*(1/(1.5+1+1))*0.5+(外功攻击*0.9))*0.6</t>
  </si>
  <si>
    <t>((1+内息*拳法系数*4*0.5)*(1/(1.5+1+1))*0.5+(内功攻击*0.9))*0.6</t>
  </si>
  <si>
    <t>主动招式：旋身起膝，锐猛难当，对目标造成外功伤害与内功伤害，可中断轻击招式强制施展。武力与内息越高，该招式效果越强。</t>
  </si>
  <si>
    <t>quan/Skill11</t>
  </si>
  <si>
    <t>tricks/1010203</t>
  </si>
  <si>
    <t>朝暮碎</t>
  </si>
  <si>
    <t>施展招式【镇残碑】后，下一次普通攻击造成破防效果。</t>
  </si>
  <si>
    <t>被动招式：施展【镇残碑】后5秒内，下一次轻击对敌人附加【破防】效果，具有此效果时，外功防御降低20%。</t>
  </si>
  <si>
    <t>tricks/1010204</t>
  </si>
  <si>
    <t>伏邪诛阳</t>
  </si>
  <si>
    <t xml:space="preserve">向前下方肘击，对目标{0}点伤害，反转侧身肘击，再对目标{0}点伤害。
消耗：（3）点真气。
攻击部位：（胸腹）
冷却时间：（9s）
可中断普通攻击
</t>
  </si>
  <si>
    <t>((1+武力*拳法系数*4*0.5)*(1/(1.5+1+1))*0.5+(外功攻击*0.7))</t>
  </si>
  <si>
    <t>((1+内息*拳法系数*5*0.5)*(1/(1.5+1+1))*0.5+(内功攻击*0.7))</t>
  </si>
  <si>
    <t>主动招式：动若炎雷，破云贯日，造成外功伤害与内功伤害。武力与内息越高，该招式效果越强。</t>
  </si>
  <si>
    <t>quan/Skill12</t>
  </si>
  <si>
    <t>tricks/1010205</t>
  </si>
  <si>
    <t>射日引</t>
  </si>
  <si>
    <t>每次施展招式【中天诸悬】后，下一次施展【伏邪诛阳】时获得霸体状态。</t>
  </si>
  <si>
    <t>被动招式：施展【旭烈万缕】后，两秒内施展【伏邪诛阳】，可在施展时获得【霸体】效果。</t>
  </si>
  <si>
    <t>tricks/1010206</t>
  </si>
  <si>
    <t>余晖尽</t>
  </si>
  <si>
    <t>每次施展招式【伏邪诛阳】后，提升招式【镇残碑】20%的命中率。</t>
  </si>
  <si>
    <t>被动招式：施展【伏邪诛阳】时，获得5%的外功攻击提升，该效果持续三秒。</t>
  </si>
  <si>
    <t>tricks/1010207</t>
  </si>
  <si>
    <t>破残开碑</t>
  </si>
  <si>
    <t>招式【镇残碑】每次造成暴击伤害时，减少招式【伏邪诛阳】（1）秒CD。</t>
  </si>
  <si>
    <t>被动招式：【镇残碑】若造成暴击，减少一秒【伏邪诛阳】当前的调息时间。</t>
  </si>
  <si>
    <t>tricks/1010208</t>
  </si>
  <si>
    <t>三千炙尽</t>
  </si>
  <si>
    <t>招式【伏邪诛阳】施展时，若处于霸体状态，则必定对敌方造成暴击伤害。</t>
  </si>
  <si>
    <t>被动招式：施展【伏邪诛阳】时若处于霸体状态，则必定造成暴击。</t>
  </si>
  <si>
    <t>tricks/1010209</t>
  </si>
  <si>
    <t>伏旱炽绝</t>
  </si>
  <si>
    <t>施展招式【旭烈万缕】时，会获得buff【炽日】。
【炽日】：持续10秒，每层提升3%角色破甲，最高叠加5层。</t>
  </si>
  <si>
    <t>被动招式：施展【旭烈万缕】时，获得一层【旭烈】效果，具有此效果时，可无视敌人3％的外功防御，该效果持续十秒，最高可叠加五层。</t>
  </si>
  <si>
    <t>tricks/1010210</t>
  </si>
  <si>
    <t>覆众生</t>
  </si>
  <si>
    <t>独抵泰山</t>
  </si>
  <si>
    <t>被动招式：施展【伏邪诛阳】时若触发【射日引】的霸体状态，伤害提升5%</t>
  </si>
  <si>
    <t>tricks/1010212</t>
  </si>
  <si>
    <t>金乌焚尽</t>
  </si>
  <si>
    <t>被动招式：攻击附带【破防】效果的目标，额外增加2.5%外功攻击和内功攻击伤害。</t>
  </si>
  <si>
    <t>被动招式：攻击附带【破防】效果的目标时，额外增加2%外功攻击和内功攻击伤害。</t>
  </si>
  <si>
    <t>tricks/1010213</t>
  </si>
  <si>
    <t>太极拳</t>
  </si>
  <si>
    <t>大道始分</t>
  </si>
  <si>
    <t>太极拳的第一技能：连出五拳，后面加被动可以连出六拳</t>
  </si>
  <si>
    <t>((1+内息*拳法系数*5*0.5)*(1.5/(1.5+1+1))*0.5+(内功攻击*0.7))</t>
  </si>
  <si>
    <t>0;1</t>
  </si>
  <si>
    <t>主动招式：肩肘云舒，意在劲先，对敌人连续攻出五段连击，造成内功伤害。内息越高，该招式效果越强。</t>
  </si>
  <si>
    <t>quan/Skill13</t>
  </si>
  <si>
    <t>8010301;8010303;8010305;8010307</t>
  </si>
  <si>
    <t>tricks/1010301</t>
  </si>
  <si>
    <t>抱元守一</t>
  </si>
  <si>
    <t>被动技能：1技能每次攻击给自己增加BUFF，增加自身3%防御，最多6层，持续6秒。</t>
  </si>
  <si>
    <t>被动招式：施展【大道始分】后，十秒内每次造成伤害，使用者都会获得【卸力】效果，具有此效果时，提升3%外功防御与内功防御，最多六层，该效果持续六秒。</t>
  </si>
  <si>
    <t>tricks/1010302</t>
  </si>
  <si>
    <t>合太极</t>
  </si>
  <si>
    <t>太极拳的第二技能 主动技能：按键不动后，我方做招架状，任何攻击打过来都会被化解，然后把敌方推到身后且处于踉跄状态</t>
  </si>
  <si>
    <t>主动招式：收心猿，栓意马，心神合一。使用后可将所有近战招式悉数化解，并把敌方劲力卸至一旁，使其进入踉跄状态。</t>
  </si>
  <si>
    <r>
      <rPr>
        <sz val="11"/>
        <color theme="1"/>
        <rFont val="宋体"/>
        <family val="3"/>
        <charset val="134"/>
        <scheme val="minor"/>
      </rPr>
      <t>quan/Skill1</t>
    </r>
    <r>
      <rPr>
        <sz val="11"/>
        <color theme="1"/>
        <rFont val="宋体"/>
        <family val="3"/>
        <charset val="134"/>
        <scheme val="minor"/>
      </rPr>
      <t>4</t>
    </r>
  </si>
  <si>
    <t>8010304;8010306</t>
  </si>
  <si>
    <t>tricks/1010303</t>
  </si>
  <si>
    <t>无极劲</t>
  </si>
  <si>
    <t>角色受到的所有来源的最终伤害降低10%</t>
  </si>
  <si>
    <t>被动招式：【合太极】每次成功化解招式，都会将部分劲力储于自身，施展【开太极】时，将释放所有储存劲力，额外提升【开太极】的招式伤害。</t>
  </si>
  <si>
    <t>tricks/1010304</t>
  </si>
  <si>
    <t>开太极</t>
  </si>
  <si>
    <t>太极拳的第三技能：按键后如果马上松开，会直接爆炸，伤害为X+内息*系数/境界，如果之前有储能的BUFF，加上储能的伤害并清除储能BUFF。</t>
  </si>
  <si>
    <t>(1+内息*拳法系数*15*0.5)*(0.5/(1+0.5+0.5))*0.9+(内功攻击*1.2)</t>
  </si>
  <si>
    <t>主动招式：气势团聚，水到渠成。长按可持续运转真气，释放按键可对周围敌人造成内功伤害。内息越高，该招式效果越强。</t>
  </si>
  <si>
    <t>quan/Skill16</t>
  </si>
  <si>
    <t>quan/Skill17</t>
  </si>
  <si>
    <t>tricks/1010305</t>
  </si>
  <si>
    <t>辟鸿蒙</t>
  </si>
  <si>
    <t>被动技能：5技能晕眩敌人1秒。</t>
  </si>
  <si>
    <t>被动招式：被【开太极】命中的敌人会被附加眩晕效果，该效果持续二秒。</t>
  </si>
  <si>
    <t>tricks/1010306</t>
  </si>
  <si>
    <t>太极无极</t>
  </si>
  <si>
    <t>角色造成的内功伤害额外提升（悟性*1%）点。</t>
  </si>
  <si>
    <t>被动招式：施展【开太极】后获得2秒【霸体】效果。</t>
  </si>
  <si>
    <t>tricks/1010307</t>
  </si>
  <si>
    <t>凌太虚</t>
  </si>
  <si>
    <t>被动技能：1技能有X+内息*系数/境界几率释放6段攻击</t>
  </si>
  <si>
    <t>被动招式：提升【大道始分】造成的内功伤害，内息越高，此招式效果越强。</t>
  </si>
  <si>
    <t>tricks/1010308</t>
  </si>
  <si>
    <t>物我两忘</t>
  </si>
  <si>
    <t>被动技能：1技能的BUFF，额外增加提升内劲产生速度5%。</t>
  </si>
  <si>
    <t>被动招式：施展【大道始分】后，获得【合道】效果，额外提升5%内劲产生速度，持续6秒。</t>
  </si>
  <si>
    <t>tricks/1010309</t>
  </si>
  <si>
    <t>万道归一</t>
  </si>
  <si>
    <t>角色的内功攻击力额外上升等同于（外功攻击力*30%）的数值，外功攻击力额外上升等同于（内功攻击力*30%）的数值，此数值仅计算一次。</t>
  </si>
  <si>
    <t>被动招式：获得【增强】效果，具有此效果时，提升内功攻击。内息越高，该招式效果越强。</t>
  </si>
  <si>
    <t>tricks/1010310</t>
  </si>
  <si>
    <t>根性无</t>
  </si>
  <si>
    <t>被动招式：进入战斗后,内息属性增加3点</t>
  </si>
  <si>
    <t>无我道</t>
  </si>
  <si>
    <t>被动招式：【物我两忘】效果额外提升5%内劲产生速度，持续时间变更为10秒</t>
  </si>
  <si>
    <t>tricks/1010312</t>
  </si>
  <si>
    <t>混元合</t>
  </si>
  <si>
    <t>被动招式：当装备【太玄混元经】内功时，施展【大道始分】招式并对目标造成伤害后有30%的概率额外获得一次【混元护体】效果。</t>
  </si>
  <si>
    <t>tricks/1010313</t>
  </si>
  <si>
    <t>神通剑指</t>
  </si>
  <si>
    <t>摘星寥</t>
  </si>
  <si>
    <t>((1+内息*拳法系数*5*0.5)*(1.5/(1.5+1+1))*0.5+(内功攻击*1.3))</t>
  </si>
  <si>
    <t>主动招式：气行太阴肺经、厥阴心包经，以气伤人，对敌人造成三段内功伤害。（影响属性：内息）</t>
  </si>
  <si>
    <t>quan/Skill18</t>
  </si>
  <si>
    <t>仙人摘星</t>
  </si>
  <si>
    <t>被动招式：招式【摘星寥】命中时，为自身添加【星寥】效果，该效果可以叠加3层，持续6秒，每层使自身伤害提高1%。</t>
  </si>
  <si>
    <t>引星穹</t>
  </si>
  <si>
    <t>(1+内息*拳法系数*10*0.5)*(0.5/(1+0.5+0.5))*0.9+(内功攻击*0.35)</t>
  </si>
  <si>
    <t>主动招式：气行少阴心经、太阳小肠经，聚气成剑，对敌人造成多段内功伤害。（影响属性：内息）</t>
  </si>
  <si>
    <t>quan/Skill19</t>
  </si>
  <si>
    <t>牵织绕指</t>
  </si>
  <si>
    <t>被动招式：每次对敌方造成伤害时，为敌方附带【绕指】效果，该效果不可叠加，持续3秒，使敌方移动速度下降20%。</t>
  </si>
  <si>
    <t>挂星河</t>
  </si>
  <si>
    <t>(1+内息*拳法系数*10*0.5)*(0.5/(1+0.5+0.5))*0.9+(内功攻击*0.25)</t>
  </si>
  <si>
    <t>主动招式：气行阳明胃经、少阳三焦经，绝伦逸尘，往来奔突，对敌人造成多段内功伤害。（影响属性：内息）</t>
  </si>
  <si>
    <t>quan/Skill20</t>
  </si>
  <si>
    <t>星海浩瀚</t>
  </si>
  <si>
    <t>被动招式：招式【引星穹】造成的伤害提升2%。</t>
  </si>
  <si>
    <t>寰宇为棋</t>
  </si>
  <si>
    <t>被动招式：进入战斗时，立刻获得2层【星寥】效果。</t>
  </si>
  <si>
    <t>千川星辰</t>
  </si>
  <si>
    <t>被动招式：招式【摘星寥】造成的伤害提升2%。</t>
  </si>
  <si>
    <t>星河倒转</t>
  </si>
  <si>
    <t>被动招式：招式【挂星河】造成的伤害提升2%。</t>
  </si>
  <si>
    <t>北辰灿烂</t>
  </si>
  <si>
    <t>被动招式：自身具有【星寥】效果时，造成的伤害提升2%。</t>
  </si>
  <si>
    <t>掩垂星</t>
  </si>
  <si>
    <t>被动招式：进入战斗后，内息属性提升3点。</t>
  </si>
  <si>
    <t>瀚海回溯</t>
  </si>
  <si>
    <t>被动招式：增加内劲增长10%。</t>
  </si>
  <si>
    <t>碎寰</t>
  </si>
  <si>
    <t>被动招式：增加暴击15%。</t>
  </si>
  <si>
    <t>单手轻刃</t>
  </si>
  <si>
    <t>提撩式</t>
  </si>
  <si>
    <t>剑的第4技能 原地上挑</t>
  </si>
  <si>
    <t>主动招式：提剑上削，旋身如风，造成外功伤害并使其浮空。</t>
  </si>
  <si>
    <t>jian/Skill4</t>
  </si>
  <si>
    <t>tricks/1020001</t>
  </si>
  <si>
    <t>贯日斩</t>
  </si>
  <si>
    <t>剑的第5技能  向前穿刺，攻击沿途敌人</t>
  </si>
  <si>
    <t>2~5</t>
  </si>
  <si>
    <t>主动招式：拖剑藏身，疾行掠割，对沿途敌人造成外功伤害与内功伤害。</t>
  </si>
  <si>
    <t>jian/Skill5</t>
  </si>
  <si>
    <t>tricks/1020002</t>
  </si>
  <si>
    <t>1020201_1</t>
  </si>
  <si>
    <t>凌鸿剑势</t>
  </si>
  <si>
    <t>纵起惊鸿</t>
  </si>
  <si>
    <t>剑的第一技能：纵起惊鸿 第1段</t>
  </si>
  <si>
    <t>((1+身法*剑法系数*20*0.5)*(1.0/(1+0.5+0.5))*1+(外功攻击*0.1))</t>
  </si>
  <si>
    <t>1;0</t>
  </si>
  <si>
    <t>主动招式：纵身高跃，剑势如星，持续按键可连续发出三段【惊鸿】坠击，造成外功伤害。身法越高，该招式效果越强。</t>
  </si>
  <si>
    <t>jian/Skill1</t>
  </si>
  <si>
    <t>jian/Skill1_2_2</t>
  </si>
  <si>
    <t>tricks/1020201</t>
  </si>
  <si>
    <t>1020201_2</t>
  </si>
  <si>
    <t>剑的第一技能：纵起惊鸿 第2段</t>
  </si>
  <si>
    <t>纵起惊鸿 第二段 额外消耗35体力释放</t>
  </si>
  <si>
    <t>8020204</t>
  </si>
  <si>
    <t>jian/Skill1_2</t>
  </si>
  <si>
    <t>1020201_2_2</t>
  </si>
  <si>
    <t>剑的第一技能：附属 跳击</t>
  </si>
  <si>
    <t>纵起惊鸿 附属 跳击</t>
  </si>
  <si>
    <t>1020201_3</t>
  </si>
  <si>
    <t>剑的第一技能：纵起惊鸿 第3段</t>
  </si>
  <si>
    <t>纵起惊鸿 第三段 额外消耗35体力释放</t>
  </si>
  <si>
    <t>jian/Skill1_3</t>
  </si>
  <si>
    <t>骋风图南</t>
  </si>
  <si>
    <t>招式【纵起惊鸿】的二段式【惊鸿】释放次数增加(1)。</t>
  </si>
  <si>
    <t>激活招式</t>
  </si>
  <si>
    <t>被动招式：【纵起惊鸿】的【惊鸿】可施展段数提升一段。</t>
  </si>
  <si>
    <t>tricks/1020202</t>
  </si>
  <si>
    <t>物衍天行</t>
  </si>
  <si>
    <t>剑的第二技能:物衍天行 持剑上挑</t>
  </si>
  <si>
    <t>((1+身法*剑法系数*40*0.5)*(1.0/(1+0.5+0.5))*0.9+(外功攻击*1.7))</t>
  </si>
  <si>
    <t>主动招式：纵身凌空，提剑上削，造成外功伤害。身法越高，该招式效果越强。</t>
  </si>
  <si>
    <t>jian/Skill2</t>
  </si>
  <si>
    <t>tricks/1020203</t>
  </si>
  <si>
    <t>青扶意</t>
  </si>
  <si>
    <t>自身处于跳跃状态时，可施展招式【纵起惊鸿】二段式【惊鸿】，此技能与【纵起惊鸿】共享冷却时间。</t>
  </si>
  <si>
    <t>被动招式：暴击概率提升5%。</t>
  </si>
  <si>
    <t>tricks/1020204</t>
  </si>
  <si>
    <t>孤鸿照影</t>
  </si>
  <si>
    <t>长剑倒刺入地面，借助剑势向前横飞，刺到敌人后停止。</t>
  </si>
  <si>
    <t>2~8</t>
  </si>
  <si>
    <t>(1+身法*剑法系数*60*0.5)*(0.5/(1+0.5+0.5))*0.9+(外功攻击*1.8)</t>
  </si>
  <si>
    <t>主动招式：如苍鸿飞掠，向前凌厉疾刺，造成外功伤害。身法越高，该招式效果越强。</t>
  </si>
  <si>
    <t>8020201;
8020202;
8020203;</t>
  </si>
  <si>
    <t>jian/Skill3</t>
  </si>
  <si>
    <t>tricks/1020205</t>
  </si>
  <si>
    <t>振羽行</t>
  </si>
  <si>
    <t>招式【纵起惊鸿】的二段式【惊鸿】释放次数额外增加(1)。</t>
  </si>
  <si>
    <t>tricks/1020206</t>
  </si>
  <si>
    <t>何问南北</t>
  </si>
  <si>
    <t>招式【物衍天行】命中敌方目标时，有（10+身法*0.5/境界等级）%的概率清【纵起惊鸿】的冷却时间</t>
  </si>
  <si>
    <t>被动招式：【物衍天行】命中敌人时，有概率重置【纵起惊鸿】的调息时间。身法越高，重置概率越大。</t>
  </si>
  <si>
    <t>tricks/1020207</t>
  </si>
  <si>
    <t>雁归南返</t>
  </si>
  <si>
    <t>纵起惊鸿技能第3刺必破格挡</t>
  </si>
  <si>
    <t>被动招式：【纵起惊鸿】招式无视其【格挡】状态。</t>
  </si>
  <si>
    <t>tricks/1020208</t>
  </si>
  <si>
    <t>踏羽凌霄</t>
  </si>
  <si>
    <t>招式【纵起惊鸿】弹起时，攻击提升20%，持续3秒</t>
  </si>
  <si>
    <t>被动招式：跳跃时，获得【轻盈】效果，具有此效果时，提升5%外功攻击，该效果持续两秒。</t>
  </si>
  <si>
    <t>tricks/1020209</t>
  </si>
  <si>
    <t>孤觅寒影</t>
  </si>
  <si>
    <t>招式【纵起惊鸿】跳起时候无敌1秒</t>
  </si>
  <si>
    <t>被动招式：以站立状态施展【纵起惊鸿】时，获得【无敌】效果，该效果持续一秒。</t>
  </si>
  <si>
    <t>tricks/1020210</t>
  </si>
  <si>
    <t>掠远涯</t>
  </si>
  <si>
    <t>被动招式：进入战斗后,身法属性增加3点</t>
  </si>
  <si>
    <t>被动招式：进入战斗后,身法属性增加3点。</t>
  </si>
  <si>
    <t>长鸣惊</t>
  </si>
  <si>
    <t>被动招式：施展【孤鸿照影】时获得【剑意】效果，施展【物衍天行】时增加招式伤害，该效果持续8秒。</t>
  </si>
  <si>
    <t>归鸿顾</t>
  </si>
  <si>
    <t>被动招式：最终伤害和暴击概率提升3%。</t>
  </si>
  <si>
    <t>清风剑法</t>
  </si>
  <si>
    <t>风潇雨晦</t>
  </si>
  <si>
    <t>主动技能：瞬间向前刺出5剑</t>
  </si>
  <si>
    <t>((1+身法*剑法系数*14*0.5)*(1.0/(1+0.5+0.5))*1+(外功攻击*0.15))</t>
  </si>
  <si>
    <t>((1+身法*剑法系数*20*0.5)*(1/(1.5+1+0.5))*0.3+(内功攻击*0.1))</t>
  </si>
  <si>
    <t>0.7;0.3</t>
  </si>
  <si>
    <t>主动招式：势如疾风乍止，劲力冲荡，发出五段瞬刺，造成外功伤害与内功伤害。身法越高，该招式效果越强。</t>
  </si>
  <si>
    <t>8020301</t>
  </si>
  <si>
    <r>
      <rPr>
        <sz val="11"/>
        <color theme="1"/>
        <rFont val="宋体"/>
        <family val="3"/>
        <charset val="134"/>
        <scheme val="minor"/>
      </rPr>
      <t>jian/Skill</t>
    </r>
    <r>
      <rPr>
        <sz val="11"/>
        <color theme="1"/>
        <rFont val="宋体"/>
        <family val="3"/>
        <charset val="134"/>
        <scheme val="minor"/>
      </rPr>
      <t>7</t>
    </r>
  </si>
  <si>
    <t>tricks/1020301</t>
  </si>
  <si>
    <t>游风皆引</t>
  </si>
  <si>
    <t>被动技能：提升10%+身法*系数/当前境界 暴击。</t>
  </si>
  <si>
    <t>被动招式：提升暴击。身法越高，该招式效果越强。</t>
  </si>
  <si>
    <t>tricks/1020302</t>
  </si>
  <si>
    <t>秋风落尽</t>
  </si>
  <si>
    <r>
      <rPr>
        <sz val="11"/>
        <color rgb="FF000000"/>
        <rFont val="宋体"/>
        <family val="3"/>
        <charset val="134"/>
      </rPr>
      <t>主动技能：像前横飞一段距离，身体持剑旋转，同时遇敌则造成</t>
    </r>
    <r>
      <rPr>
        <sz val="11"/>
        <color rgb="FF00B0F0"/>
        <rFont val="宋体"/>
        <family val="3"/>
        <charset val="134"/>
      </rPr>
      <t>4次</t>
    </r>
    <r>
      <rPr>
        <sz val="11"/>
        <color rgb="FF000000"/>
        <rFont val="宋体"/>
        <family val="3"/>
        <charset val="134"/>
      </rPr>
      <t>攻击并穿过敌人</t>
    </r>
  </si>
  <si>
    <t>((1+身法*剑法系数*14*0.5)*(1.0/(1+0.5+0.5))*1+(外功攻击*0.1))</t>
  </si>
  <si>
    <t>主动招式：势如狂风骤至，疾旋掠卷，对敌方造成多段刺击，造成外功伤害与内功伤害。身法越高，该招式效果越强。</t>
  </si>
  <si>
    <t>8020302;8020303</t>
  </si>
  <si>
    <r>
      <rPr>
        <sz val="11"/>
        <color theme="1"/>
        <rFont val="宋体"/>
        <family val="3"/>
        <charset val="134"/>
        <scheme val="minor"/>
      </rPr>
      <t>jian/Skill</t>
    </r>
    <r>
      <rPr>
        <sz val="11"/>
        <color theme="1"/>
        <rFont val="宋体"/>
        <family val="3"/>
        <charset val="134"/>
        <scheme val="minor"/>
      </rPr>
      <t>8</t>
    </r>
  </si>
  <si>
    <t>tricks/1020303</t>
  </si>
  <si>
    <t>长风时归</t>
  </si>
  <si>
    <t>3技能释放后，减少1技能真气消耗1点</t>
  </si>
  <si>
    <t>被动招式：施展【秋风落尽】后，减少【风潇雨晦】当前调息时间一秒。</t>
  </si>
  <si>
    <t>tricks/1020304</t>
  </si>
  <si>
    <t>朔风厉松</t>
  </si>
  <si>
    <t xml:space="preserve">寻找前方5格内敌人，自身站立持剑旋转，绕敌一周回到原位置，造成5次攻击 </t>
  </si>
  <si>
    <t>((1+身法*剑法系数*20*0.5)*(0.5/(1.5+1+0.5))*0.3+(内功攻击*0.1))</t>
  </si>
  <si>
    <t>主动招式：势如清风徐来，旋舞扫尘，造成五段外功伤害与内功伤害。身法越高，该招式效果越强。</t>
  </si>
  <si>
    <t>8020304</t>
  </si>
  <si>
    <t>jian/Skill9</t>
  </si>
  <si>
    <t>tricks/1020305</t>
  </si>
  <si>
    <t>飘柳断絮</t>
  </si>
  <si>
    <t>被动技能：5技能每次攻击成功一次则增加BUFF，提升2%攻击，最多叠加5层，持续5秒</t>
  </si>
  <si>
    <t>被动招式：施展【朔风厉松】后，获得【苍松】效果，具有此效果时，提升1%外功攻击与内功攻击，最多叠加五层，该效果持续五秒。</t>
  </si>
  <si>
    <t>tricks/1020306</t>
  </si>
  <si>
    <t>冽风骤</t>
  </si>
  <si>
    <t>被动技能：1技能每一剑比上一剑伤害提升10%。</t>
  </si>
  <si>
    <t>被动招式：施展【风潇雨晦】后，获得【聚风】效果，具有此效果时，提升1%外功攻击和内功攻击，最多叠加五层，该效果持续五秒。</t>
  </si>
  <si>
    <t>tricks/1020307</t>
  </si>
  <si>
    <t>晦风急</t>
  </si>
  <si>
    <t>被动技能：1技能每次暴击时减少3技能CD1秒</t>
  </si>
  <si>
    <t>被动招式：【风潇雨晦】若暴击，减少【秋风落尽】当前调息时间一秒。</t>
  </si>
  <si>
    <t>tricks/1020308</t>
  </si>
  <si>
    <t>转蓄亟</t>
  </si>
  <si>
    <t>被动技能：5技能释放时减少1技能CD1秒</t>
  </si>
  <si>
    <t>被动招式：施展【朔风厉松】时，减少【风潇雨晦】当前调息时间一秒。</t>
  </si>
  <si>
    <t>tricks/1020309</t>
  </si>
  <si>
    <t>晓风残月</t>
  </si>
  <si>
    <t>大成：每次攻击（包括技能和普攻）暴击时，获得1层BUFF，每一层提升暴击伤害10%，暴击几率2%，最高叠加5层，持续10秒</t>
  </si>
  <si>
    <t>被动招式：造成暴击伤害时，获得【残风】效果，具有此效果时，提升暴击伤害10%，暴击概率2%，最高叠加五层，该效果持续十秒。</t>
  </si>
  <si>
    <t>tricks/1020310</t>
  </si>
  <si>
    <t>转清浊</t>
  </si>
  <si>
    <t>朔急</t>
  </si>
  <si>
    <t>被动招式：【朔风厉松】招式对造成伤害的目标附加【朔风】效果，获得该效果的目标移动速度降低30%，该效果持续5秒。</t>
  </si>
  <si>
    <t>尽秋萧瑟</t>
  </si>
  <si>
    <t>被动招式：施展【秋风落尽】后，获得【萧瑟】效果，具有此效果时，提升1%外功攻击与内功攻击，最多叠加五层，该效果持续7秒</t>
  </si>
  <si>
    <t>沧海观澜刀法</t>
  </si>
  <si>
    <t>焚沧断海</t>
  </si>
  <si>
    <t>主动技能：单手转刀，然后腿踢转刀，最后双手握持收势。造成4次攻击</t>
  </si>
  <si>
    <t>0.8;0.2</t>
  </si>
  <si>
    <t>主动招式：刀势初起，如惊涛拍岸，无息无止，对前方发起多次疾斩，造成外功伤害与内功伤害。武力越高，该招式效果越强。</t>
  </si>
  <si>
    <t>8020401</t>
  </si>
  <si>
    <t>jian/Skill10</t>
  </si>
  <si>
    <t>tricks/1020401</t>
  </si>
  <si>
    <t>观澜隙</t>
  </si>
  <si>
    <t>被动技能：1技能结束时，如果敌人此时血量低于x+武力*系数/境界，则有X+内息*系数/境界几率释放斩杀技能</t>
  </si>
  <si>
    <t>((1+武力*剑法系数*2*0.5)*(1.5/(1.5+0.8+0.8))*0.8+(外功攻击*1))</t>
  </si>
  <si>
    <t>((1+内息*剑法系数*2*0.5)*(1.5/(1.5+0.8+0.8))*0.2+(内功攻击*0.1))</t>
  </si>
  <si>
    <t>被动招式：【焚沧断海】最后一段斩击命中敌人时，若敌人气血较低30%，则有概率将其直接斩杀。身法越高斩杀概率越大。</t>
  </si>
  <si>
    <t>jian/Skill10_2</t>
  </si>
  <si>
    <t>tricks/1020402</t>
  </si>
  <si>
    <t>临碣寒</t>
  </si>
  <si>
    <t>主动技能：按键后，我方反手横刀做防御状，再按键则取消状态，任何人靠近到攻击范围内（前方4步内），都会先被我方自动攻击到（极快的速度冲刺反撩），击飞。</t>
  </si>
  <si>
    <t>(1+武力*剑法系数*6*0.5)*(0.8/(1.5+0.8+0.8))*0.8+(外功攻击*2)</t>
  </si>
  <si>
    <t>(1+内息*剑法系数*10*0.5)*(0.8/(1.5+0.8+0.8))*0.2+(内功攻击*0.2)</t>
  </si>
  <si>
    <t>主动招式：刀势渊滞，如碣石立海，岿然不动，施展后可凝立不动，待时而发，一斩制敌，斩击造成外功伤害与内功伤害，再次按键可取消凝立状态。武力越高，该招式效果越强。</t>
  </si>
  <si>
    <t>8020402;8020403</t>
  </si>
  <si>
    <t>jian/Skill11</t>
  </si>
  <si>
    <t>tricks/1020403</t>
  </si>
  <si>
    <t>暗涌浪徊</t>
  </si>
  <si>
    <t>被动技能：每一次被敌人闪避，自身产生BUFF，增加1技能斩杀几率3%，最多5层，持续5秒。</t>
  </si>
  <si>
    <t>被动招式：造成暴击伤害时，产生【竦峙】效果：增加招式【焚沧断海】斩杀概率3%，最多5层，持续5秒。</t>
  </si>
  <si>
    <t>tricks/1020404</t>
  </si>
  <si>
    <t>骇浪惊涛</t>
  </si>
  <si>
    <t>主动技能：弯腰持刀旋转3次，造成3次攻击</t>
  </si>
  <si>
    <t>(1+武力*剑法系数*5*0.5)*(0.8/(1.5+0.8+0.8))*0.8+(外功攻击*1)</t>
  </si>
  <si>
    <t>(1+内息*剑法系数*5*0.5)*(0.8/(1.5+0.8+0.8))*0.2+(内功攻击*0.2)</t>
  </si>
  <si>
    <t>主动招式：刀势澜卷，如沧海轰流，蔽日遮天，对敌人连续施展三段坠刺，造成外功伤害与内功伤害。武力越高，该招式效果越强。</t>
  </si>
  <si>
    <t>8020404</t>
  </si>
  <si>
    <t>jian/Skill12</t>
  </si>
  <si>
    <t>tricks/1020405</t>
  </si>
  <si>
    <t>千川纳海</t>
  </si>
  <si>
    <t>被动技能：1技能每次暴击时减少3技能CD1秒。</t>
  </si>
  <si>
    <t>被动招式：【焚沧断海】若暴击，减少【骇浪惊涛】当前调息时间一秒。</t>
  </si>
  <si>
    <t>tricks/1020406</t>
  </si>
  <si>
    <t>东临锐</t>
  </si>
  <si>
    <t>被动技能：3技能自动攻击时霸体。</t>
  </si>
  <si>
    <t>被动招式：【临碣寒】施展时，获得2秒【霸体】效果。</t>
  </si>
  <si>
    <t>tricks/1020407</t>
  </si>
  <si>
    <t>海复桑归</t>
  </si>
  <si>
    <t>被动技能：1技能斩杀成功则返还所有真元，且刷新CD。</t>
  </si>
  <si>
    <t>被动招式：【焚沧断海】斩杀成功则返还1点真气，且重置调息时间。</t>
  </si>
  <si>
    <t>tricks/1020408</t>
  </si>
  <si>
    <t>浮浪沉涛</t>
  </si>
  <si>
    <t>被动技能：5技能每次攻击成功一次则增加BUFF，提升1技能斩杀血量X点，最多叠加5层，持续5秒。</t>
  </si>
  <si>
    <t>被动招式：【骇浪惊涛】若命中敌人，获得【浮沉】效果，具有此效果时，提升【焚沧断海】2％斩杀概率，最多叠加五层，此效果持续五秒。</t>
  </si>
  <si>
    <t>tricks/1020409</t>
  </si>
  <si>
    <t>涯尽沧终</t>
  </si>
  <si>
    <t xml:space="preserve">大成：每一次普攻被敌人格挡，自身产生BUFF，暴击几率提升3%，持续5秒，最多6层，满6层后必破格挡（要有特效，比如身体发红光，或者手中发红光），破格挡后BUFF清0 </t>
  </si>
  <si>
    <t>被动招式：轻击时获得【沧终】效果，具有此效果时，提升3%暴击，最多叠加3层，此效果持续二秒。</t>
  </si>
  <si>
    <t>tricks/1020410</t>
  </si>
  <si>
    <t>逐沧浪</t>
  </si>
  <si>
    <t>惊澜沧</t>
  </si>
  <si>
    <t>被动招式：【焚沧断海】击杀敌人获得【锐惊】效果，增加2%暴击伤害，最多可叠加5层,该效果持续15秒</t>
  </si>
  <si>
    <t>潮汐还</t>
  </si>
  <si>
    <t>被动招式：【焚沧断海】击杀敌人增加自身气血恢复属性10%,该效果持续10秒。</t>
  </si>
  <si>
    <t>两仪剑法</t>
  </si>
  <si>
    <t>分阴阳</t>
  </si>
  <si>
    <t>五段伤害</t>
  </si>
  <si>
    <t>((1+武力*剑法系数*2*0.5)*(1.0/(1+0.5+0.5))*0.1+(外功攻击*0.1))</t>
  </si>
  <si>
    <t>((1+内息*扇子系数*5*0.5)*(1.5/(1.5+1+1))*0.5+(内功攻击*0.6))</t>
  </si>
  <si>
    <t>0.1;0.9</t>
  </si>
  <si>
    <t>主动招式：持而盈之，不如其已。连续施展六段连绵剑势，造成外功伤害与内功伤害。内息越高，该招式效果越强。</t>
  </si>
  <si>
    <t>jian/Skill13</t>
  </si>
  <si>
    <t>tricks/1020501</t>
  </si>
  <si>
    <t>生太极</t>
  </si>
  <si>
    <t>1技能每一段攻击有X+内息*系数/境界几率回复1点真元（X和系数都依次增加）</t>
  </si>
  <si>
    <t>被动招式：【分阴阳】每段剑势有概率获得一点真气。内息越高，该招式效果越强。</t>
  </si>
  <si>
    <t>tricks/1020502</t>
  </si>
  <si>
    <t>割昏晓</t>
  </si>
  <si>
    <r>
      <rPr>
        <sz val="10.5"/>
        <color theme="1"/>
        <rFont val="等线"/>
        <family val="3"/>
        <charset val="134"/>
      </rPr>
      <t>持剑挥舞一个圆周，然后刺出，一道剑气飞行出去，长度3个剑身长度，剑气刺击敌方。</t>
    </r>
  </si>
  <si>
    <t>主动招式：揣而锐之，不可常保。持剑纳元，剑气如白虹贯日，直穿凌霄。造成外功伤害与内功伤害。</t>
  </si>
  <si>
    <t>jian/Skill14</t>
  </si>
  <si>
    <t>tricks/1020503</t>
  </si>
  <si>
    <r>
      <rPr>
        <sz val="10.5"/>
        <color theme="1"/>
        <rFont val="等线"/>
        <family val="3"/>
        <charset val="134"/>
      </rPr>
      <t>定乾坤</t>
    </r>
  </si>
  <si>
    <r>
      <rPr>
        <sz val="10.5"/>
        <color theme="1"/>
        <rFont val="等线"/>
        <family val="3"/>
        <charset val="134"/>
      </rPr>
      <t>3技能造成伤害时造成定身效果1秒（受击方卡帧30帧）</t>
    </r>
  </si>
  <si>
    <t>被动招式：【荡寰宇】造成伤害时，向敌人附加【定身】效果，此效果持续4秒。</t>
  </si>
  <si>
    <t>tricks/1020504</t>
  </si>
  <si>
    <t>荡寰宇</t>
  </si>
  <si>
    <t>右手竖持剑，左手做剑指手势，顺着剑柄滑向剑头，转身然后挥剑从上向下斩，剑气特效比剑本身延长2个剑身长度。</t>
  </si>
  <si>
    <t>(1+武力*剑法系数*2*0.5)*(0.5/(1+0+1))*0.1+(外功攻击*0.1)</t>
  </si>
  <si>
    <t>(1+内息*剑法系数*15*0.5)*(0.5/(1+0.5+0.5))*0.9+(内功攻击*1.5)</t>
  </si>
  <si>
    <t>主动招式：大音希声，大象无形。人剑合一，剑势圆转，生生不息。造成外功伤害与内功伤害。内息越高，该招式效果越强。</t>
  </si>
  <si>
    <t>jian/Skill15</t>
  </si>
  <si>
    <t>tricks/1020505</t>
  </si>
  <si>
    <t>阴鱼泽</t>
  </si>
  <si>
    <r>
      <rPr>
        <sz val="10.5"/>
        <color theme="1"/>
        <rFont val="等线"/>
        <family val="3"/>
        <charset val="134"/>
      </rPr>
      <t>5技能对敌人造成伤害后减敌人移动速度20%，持续5秒。</t>
    </r>
  </si>
  <si>
    <t>被动招式：【荡寰宇】造成伤害时，向敌人附加【阴泽】效果，具有此效果时，速度降低20%，此效果持续7秒。</t>
  </si>
  <si>
    <t>tricks/1020506</t>
  </si>
  <si>
    <r>
      <rPr>
        <sz val="10.5"/>
        <color theme="1"/>
        <rFont val="等线"/>
        <family val="3"/>
        <charset val="134"/>
      </rPr>
      <t>化两仪</t>
    </r>
  </si>
  <si>
    <r>
      <rPr>
        <sz val="10.5"/>
        <color theme="1"/>
        <rFont val="等线"/>
        <family val="3"/>
        <charset val="134"/>
      </rPr>
      <t>3技能剑气长度延长1个剑身长度.</t>
    </r>
  </si>
  <si>
    <t>被动招式：提升【割昏晓】招式伤害5%。</t>
  </si>
  <si>
    <t>tricks/1020507</t>
  </si>
  <si>
    <t>阳鱼绛</t>
  </si>
  <si>
    <r>
      <rPr>
        <sz val="10.5"/>
        <color theme="1"/>
        <rFont val="等线"/>
        <family val="3"/>
        <charset val="134"/>
      </rPr>
      <t>5技能暴击几率提升X+内息*系数/境界</t>
    </r>
  </si>
  <si>
    <t>被动招式：提升【割昏晓】招式暴击。身法越高，该招式效果越强。</t>
  </si>
  <si>
    <t>tricks/1020508</t>
  </si>
  <si>
    <t>扬清浊</t>
  </si>
  <si>
    <r>
      <rPr>
        <sz val="10.5"/>
        <color theme="1"/>
        <rFont val="等线"/>
        <family val="3"/>
        <charset val="134"/>
      </rPr>
      <t>3技能对减速的敌人提升伤害30%</t>
    </r>
  </si>
  <si>
    <t>被动招式：【荡寰宇】对附带【阴泽】效果的敌人造成额外伤害。内息越高，该招式效果越强。</t>
  </si>
  <si>
    <t>tricks/1020509</t>
  </si>
  <si>
    <t>朝闻道</t>
  </si>
  <si>
    <r>
      <rPr>
        <sz val="10.5"/>
        <color theme="1"/>
        <rFont val="等线"/>
        <family val="3"/>
        <charset val="134"/>
      </rPr>
      <t xml:space="preserve"> 1技能有X+身法*系数/境界几率释放6技能，6技能释放后，给自身产生BUFF【闻道】，提升内劲产生速度20%，持续10秒。</t>
    </r>
  </si>
  <si>
    <t>被动招式：施展【分阴阳】后获得【闻道】效果，具有此效果时，提升10%内劲增长，此效果持续十秒。</t>
  </si>
  <si>
    <t>tricks/1020510</t>
  </si>
  <si>
    <t>光尘锐</t>
  </si>
  <si>
    <t>阴阳两道</t>
  </si>
  <si>
    <t>被动招式：提升【分阴阳】招式伤害5%</t>
  </si>
  <si>
    <t>无极破晓</t>
  </si>
  <si>
    <t>被动招式：当装备【太虚无极劲】内功时，施展【分阴阳】招式后获得【霸体】效果。</t>
  </si>
  <si>
    <t>浮萍剑诀</t>
  </si>
  <si>
    <t>掠青川</t>
  </si>
  <si>
    <t>((1+身法*剑法系数*18*0.5)*(1.5/(1.5+0.8+0.8))*0.8+(外功攻击*0.3))</t>
  </si>
  <si>
    <t>1;1</t>
  </si>
  <si>
    <t>主动招式：剑如深潭萍影，无形无踪，对范围内敌人发起多段掠削斩刺，造成外功伤害。身法越高，该招式效果越强。</t>
  </si>
  <si>
    <t>jian/Skill16</t>
  </si>
  <si>
    <t>tricks/1020601</t>
  </si>
  <si>
    <t>渡秋萍</t>
  </si>
  <si>
    <t>被动招式：【掠青川】若造成伤害，获得【迅捷】效果，具有此效果时，提升60速度，此效果持续三秒。</t>
  </si>
  <si>
    <t>tricks/1020602</t>
  </si>
  <si>
    <t>飞残絮</t>
  </si>
  <si>
    <t>((1+身法*剑法系数*50*0.5)*(0.5/(1+0.5+0.5))*0.9+(外功攻击*1))</t>
  </si>
  <si>
    <t>主动招式:剑如秋林飞絮，难测其迹，飘掠至敌人身后，诡回反刺，造成外功伤害。身法越高，该招式效果越强。</t>
  </si>
  <si>
    <t>jian/Skill17</t>
  </si>
  <si>
    <t>tricks/1020603</t>
  </si>
  <si>
    <t>绝妄念</t>
  </si>
  <si>
    <t>被动招式：【飞残絮】造成伤害时，向敌人附加【妄念】效果，具有此效果时，外功防御降低15%,该效果持续5秒。</t>
  </si>
  <si>
    <t>tricks/1020604</t>
  </si>
  <si>
    <t>沧溟游</t>
  </si>
  <si>
    <r>
      <rPr>
        <sz val="10.5"/>
        <color theme="1"/>
        <rFont val="等线"/>
        <family val="3"/>
        <charset val="134"/>
      </rPr>
      <t>右手竖持剑，左手做剑指手势，顺着剑柄滑向剑头，转身然后挥剑从上向下斩，剑气特效比剑本身延长2个剑身长度。</t>
    </r>
  </si>
  <si>
    <t>((1+身法*剑法系数*20*0.5)*(1/(1.5+1+1))*1+(外功攻击*0.8))</t>
  </si>
  <si>
    <t>主动招式：剑如星河映江，进退无方，可避敌之锋芒，又能出其不意，攻敌不备，造成外功伤害。若敌人暂难追索，则会折返身形，退回原位。身法越高，该招式效果越强。</t>
  </si>
  <si>
    <t>jian/Skill18</t>
  </si>
  <si>
    <t>tricks/1020605</t>
  </si>
  <si>
    <t>鸿啄枝</t>
  </si>
  <si>
    <t>被动招式：【掠青川】造成伤害时，向敌人附加【鸿啄】效果，具有此效果时，速度降低30%，此效果持续三秒。</t>
  </si>
  <si>
    <t>tricks/1020606</t>
  </si>
  <si>
    <t>花拂影</t>
  </si>
  <si>
    <t>被动招式：提升【迅捷】效果的持续时间一秒，额外提升【迅捷】效果20速度。</t>
  </si>
  <si>
    <t>tricks/1020607</t>
  </si>
  <si>
    <t>云梳叶</t>
  </si>
  <si>
    <t>被动招式：【掠青川】造成伤害时，若敌人具有【妄念】效果，向其额外附加【失明】效果，具有此效果时，命中降低25%，此效果持续七秒。</t>
  </si>
  <si>
    <t>tricks/1020608</t>
  </si>
  <si>
    <t>修椽来寄</t>
  </si>
  <si>
    <t>tricks/1020609</t>
  </si>
  <si>
    <t>独照松月</t>
  </si>
  <si>
    <t>被动招式：攻击具有【失明】效果的敌人，可获得15%的暴击提升，此效果持续五秒。</t>
  </si>
  <si>
    <t>tricks/1020610</t>
  </si>
  <si>
    <t>散飘零</t>
  </si>
  <si>
    <t>苍茫尽</t>
  </si>
  <si>
    <t>被动招式：施展【沧溟游】招式时，增加5%暴击几率</t>
  </si>
  <si>
    <t>诛妄</t>
  </si>
  <si>
    <t>被动招式：当攻击的目标同时存在【妄念】和【失明】效果时，触发【残絮】效果，暴击伤害增加20%，该效果持续10秒</t>
  </si>
  <si>
    <t>槎枒寻梅</t>
  </si>
  <si>
    <t>绞青鸾</t>
  </si>
  <si>
    <t>((1+内息*剑法系数*25*0.5)*(1/(1.5+1+1))*1+(内功攻击*0.2))</t>
  </si>
  <si>
    <t>主动招式：旋身荡刀，刃路诡妙多变，对敌人造成多段外功伤害。（影响属性：内息）</t>
  </si>
  <si>
    <t>jian/Skill19</t>
  </si>
  <si>
    <t>入劫</t>
  </si>
  <si>
    <t>被动招式：进入战斗时，内功攻击力提高2％。</t>
  </si>
  <si>
    <t>曳芳影</t>
  </si>
  <si>
    <t>((1+内息*剑法系数*14*0.5)*(0.5/(1+0.5+0.5))*0.9+(内功攻击*0.5))</t>
  </si>
  <si>
    <t>主动招式:疾挑跃起，凌空斩落，轻灵高妙，对敌人造成多段外功伤害。（影响属性：内息）</t>
  </si>
  <si>
    <t>jian/Skill20</t>
  </si>
  <si>
    <t>胜寒</t>
  </si>
  <si>
    <t>被动招式：造成伤害时，为目标叠加【寒梅】效果，每层降低目标内功防御力5％，最多叠加3层，持续5秒。</t>
  </si>
  <si>
    <t>斜窥檐</t>
  </si>
  <si>
    <t>((1+内息*剑法系数*5*0.5)*(0.5/(1+0.5+0.5))*0.9+(内功攻击*0.9))</t>
  </si>
  <si>
    <t>主动招式：藏刃于胸，旋身腾斩，对敌人造成多段外功伤害，阴狠间不失潇洒。（影响属性：内息）</t>
  </si>
  <si>
    <t>jian/Skill21</t>
  </si>
  <si>
    <t>藏雨</t>
  </si>
  <si>
    <t>被动招式：增加10％的吸血属性。</t>
  </si>
  <si>
    <t>煮酒</t>
  </si>
  <si>
    <t>被动招式：进入战斗时，暴击与暴伤提高5％。</t>
  </si>
  <si>
    <t>琢石</t>
  </si>
  <si>
    <t>被动招式：施展【绞青鸾】时额外增加伤害。</t>
  </si>
  <si>
    <t>翛然</t>
  </si>
  <si>
    <t>被动招式：攻击带有【寒梅】效果的敌人时，伤害提高5％。</t>
  </si>
  <si>
    <t>意气平生</t>
  </si>
  <si>
    <t>被动招式：【槎枒寻梅】主动招式调息时间降低1秒。</t>
  </si>
  <si>
    <t>估月</t>
  </si>
  <si>
    <t>被动招式：进入战斗后,内息属性增加3点。</t>
  </si>
  <si>
    <t>牧星</t>
  </si>
  <si>
    <t>被动招式：提升气血回复属性10%。</t>
  </si>
  <si>
    <t>凭栏叹</t>
  </si>
  <si>
    <t>被动招式：提升10％的移动速度。</t>
  </si>
  <si>
    <t>重刃</t>
  </si>
  <si>
    <t>断西关</t>
  </si>
  <si>
    <t>向前横挥刀面，造成{0}点范围伤害，并造成吹飞效果。</t>
  </si>
  <si>
    <t>外功攻击*1.8</t>
  </si>
  <si>
    <t>主动招式：不仗锋刃之利，以力破巧，其威足可断金裂石。对目标造成外功伤害并使其眩晕。</t>
  </si>
  <si>
    <t>8030102;8030103</t>
  </si>
  <si>
    <t>zhongren/Skill2</t>
  </si>
  <si>
    <t>tricks/1030001</t>
  </si>
  <si>
    <t>撼地摧城</t>
  </si>
  <si>
    <t>双手持刃，以内劲灌入，对身周圆形范围内的敌人造成{0}点伤害，并扩散{0}尺，对其范围的敌人再度造成{0}点伤害。</t>
  </si>
  <si>
    <t>主动招式：拔地跃起，以刃撼地，足有裂地之威，对身周圆形范围内敌人造成外功伤害。</t>
  </si>
  <si>
    <t>zhongren/Skill3</t>
  </si>
  <si>
    <t>tricks/1030002</t>
  </si>
  <si>
    <t>斩铁无锋卷</t>
  </si>
  <si>
    <t>锋卷破浪</t>
  </si>
  <si>
    <t>手持重刃旋转，造成2次{0}点范围伤害，并造成吹飞效果。</t>
  </si>
  <si>
    <t>((1+武力*重剑系数*5*0.5)*(1.0/(1+0.5+0.5))*1+(外功攻击*1.2))</t>
  </si>
  <si>
    <t>主动招式：身形骤转，以身带刃，连续以刃身挥出三段猛击，造成外功伤害。武力越高，该招式效果越强。</t>
  </si>
  <si>
    <t>8030104</t>
  </si>
  <si>
    <t>zhongren/Skill5</t>
  </si>
  <si>
    <t>tricks/1030101</t>
  </si>
  <si>
    <t>气贯千膂</t>
  </si>
  <si>
    <r>
      <rPr>
        <sz val="10.5"/>
        <color theme="1"/>
        <rFont val="宋体"/>
        <family val="3"/>
        <charset val="134"/>
      </rPr>
      <t>调动内劲，强化重击的跳跃距离，使其提升</t>
    </r>
    <r>
      <rPr>
        <sz val="10.5"/>
        <color theme="1"/>
        <rFont val="Calibri"/>
        <family val="2"/>
      </rPr>
      <t>20%</t>
    </r>
    <r>
      <rPr>
        <sz val="10.5"/>
        <color theme="1"/>
        <rFont val="宋体"/>
        <family val="3"/>
        <charset val="134"/>
      </rPr>
      <t>。</t>
    </r>
  </si>
  <si>
    <t>被动招式：提升【覆压千钧】造成的外功伤害。武力越高，该招式效果越强。</t>
  </si>
  <si>
    <t>tricks/1030102</t>
  </si>
  <si>
    <t>覆压千钧</t>
  </si>
  <si>
    <t>处于空中状态时方可施展此招式，造成3次{0}点范围伤害。</t>
  </si>
  <si>
    <t>((1+武力*重剑系数*5*0.5)*(1.0/(1+0.5+0.5))*1+(外功攻击*0.9))</t>
  </si>
  <si>
    <t>主动招式：跃然腾空，借崩坠之势，向前方连续劈滚，造成多段外功伤害。武力越高，该招式效果越强。</t>
  </si>
  <si>
    <t>zhongren/Skill4</t>
  </si>
  <si>
    <t>tricks/1030103</t>
  </si>
  <si>
    <t>回锋逆浪</t>
  </si>
  <si>
    <r>
      <rPr>
        <sz val="10.5"/>
        <color theme="1"/>
        <rFont val="宋体"/>
        <family val="3"/>
        <charset val="134"/>
      </rPr>
      <t>招式【锋卷破浪】将旋转</t>
    </r>
    <r>
      <rPr>
        <sz val="10.5"/>
        <color theme="1"/>
        <rFont val="Calibri"/>
        <family val="2"/>
      </rPr>
      <t>3</t>
    </r>
    <r>
      <rPr>
        <sz val="10.5"/>
        <color theme="1"/>
        <rFont val="宋体"/>
        <family val="3"/>
        <charset val="134"/>
      </rPr>
      <t>周，造成</t>
    </r>
    <r>
      <rPr>
        <sz val="10.5"/>
        <color theme="1"/>
        <rFont val="Calibri"/>
        <family val="2"/>
      </rPr>
      <t>3</t>
    </r>
    <r>
      <rPr>
        <sz val="10.5"/>
        <color theme="1"/>
        <rFont val="宋体"/>
        <family val="3"/>
        <charset val="134"/>
      </rPr>
      <t>次范围伤害。</t>
    </r>
  </si>
  <si>
    <t>追击动作伤害</t>
  </si>
  <si>
    <t>被动招式：重击伤害提升10%。</t>
  </si>
  <si>
    <t>tricks/1030104</t>
  </si>
  <si>
    <t>夜斩石虎</t>
  </si>
  <si>
    <t>向前方连续横挥重刃3次，每次造成{0}点范围伤害。</t>
  </si>
  <si>
    <t>((1+武力*重剑系数*2*0.5)*(1/(1.5+1+1))*1+(外功攻击*1.1))*0.5</t>
  </si>
  <si>
    <t>主动招式：消耗所有真气，以腰为轴，旋身横斩，手持重刃旋转，施展连续旋击，消耗真气越多，段数越多，旋身过程中可控制移动方向。武力越高，该招式效果越强。</t>
  </si>
  <si>
    <t>zhongren/Skill1</t>
  </si>
  <si>
    <t>tricks/1030105</t>
  </si>
  <si>
    <t>破锋浪</t>
  </si>
  <si>
    <r>
      <rPr>
        <sz val="10.5"/>
        <color theme="1"/>
        <rFont val="宋体"/>
        <family val="3"/>
        <charset val="134"/>
      </rPr>
      <t>招式【锋卷破浪】的攻击范围加大</t>
    </r>
    <r>
      <rPr>
        <sz val="10.5"/>
        <color theme="1"/>
        <rFont val="Calibri"/>
        <family val="2"/>
      </rPr>
      <t>1</t>
    </r>
    <r>
      <rPr>
        <sz val="10.5"/>
        <color theme="1"/>
        <rFont val="宋体"/>
        <family val="3"/>
        <charset val="134"/>
      </rPr>
      <t>格。</t>
    </r>
  </si>
  <si>
    <t>被动招式：提升【锋卷破浪】造成的外功伤害。武力越高，该招式效果越强。</t>
  </si>
  <si>
    <t>tricks/1030106</t>
  </si>
  <si>
    <t>无不摧</t>
  </si>
  <si>
    <t>招式【夜斩石虎】的最后一式具有（30%+武力*系数）几率击破敌方格挡状态。</t>
  </si>
  <si>
    <t>被动招式：【夜斩石虎】有30%概率无视敌人的格挡状态。</t>
  </si>
  <si>
    <t>tricks/1030107</t>
  </si>
  <si>
    <t>斩铁气</t>
  </si>
  <si>
    <t>招式【夜斩石虎】的最后一式，若对敌方造成了伤害，则增加BUFF【斩铁】。</t>
  </si>
  <si>
    <t>被动招式：施展【锋卷破浪】后，获得【斩铁】效果,具有此效果时，提升【夜斩石虎】造成的外功伤害，此效果持续三秒。身法越高，该招式效果越强。</t>
  </si>
  <si>
    <t>tricks/1030108</t>
  </si>
  <si>
    <t>千钧落</t>
  </si>
  <si>
    <t>招式【覆压千钧】对空中的敌人造成的伤害提升50%。</t>
  </si>
  <si>
    <t>被动招式：提升招式【覆压千钧】对敌人造成的额外伤害。</t>
  </si>
  <si>
    <t>tricks/1030109</t>
  </si>
  <si>
    <t>无我无锋</t>
  </si>
  <si>
    <r>
      <rPr>
        <sz val="10.5"/>
        <color theme="1"/>
        <rFont val="宋体"/>
        <family val="3"/>
        <charset val="134"/>
      </rPr>
      <t>【斩铁无锋卷】套路下，所有主动技能释放时获得霸体状态。</t>
    </r>
  </si>
  <si>
    <t>被动招式：施展【锋卷破浪】【覆压千钧】【夜斩石虎】时，获得【霸体】效果。</t>
  </si>
  <si>
    <t>tricks/1030110</t>
  </si>
  <si>
    <t>无前意</t>
  </si>
  <si>
    <t>锋锐不歇</t>
  </si>
  <si>
    <t>被动招式：施展【夜斩石虎】招式时，移动速度提升50。</t>
  </si>
  <si>
    <t>狂浪饮歌</t>
  </si>
  <si>
    <t>被动招式：提升招式【锋卷破浪】对敌人造成的额外伤害</t>
  </si>
  <si>
    <t>醉君侯刀铭</t>
  </si>
  <si>
    <t>醉横沙场</t>
  </si>
  <si>
    <t>((1+武力*重剑系数*5*0.5)*(1.0/(1+0.5+0.5))*1+(外功攻击*1.6))</t>
  </si>
  <si>
    <t>主动招式：向前奋力挥刀，按住蓄力可斩出剑气攻击前方，最多可斩出两道剑气造成外功攻击伤害。（影响属性：武力）</t>
  </si>
  <si>
    <t>zhongren/Skill6</t>
  </si>
  <si>
    <t>tricks/1030201</t>
  </si>
  <si>
    <t>朔风叱</t>
  </si>
  <si>
    <t>被动招式：施展【骋天下】招式后获得【驰骋】效果，移动速度增加10%，该效果持续5秒 。</t>
  </si>
  <si>
    <t>tricks/1030202</t>
  </si>
  <si>
    <t>骋天下</t>
  </si>
  <si>
    <t>((1+武力*重剑系数*5*0.5)*(1.0/(1+0.5+0.5))*1+(外功攻击*0.8))</t>
  </si>
  <si>
    <t>主动招式：连续斩击前方敌人，后小跳劈斩击，受到伤害的目标造成外功攻击伤害。（影响属性：武力）</t>
  </si>
  <si>
    <t>zhongren/Skill7</t>
  </si>
  <si>
    <t>tricks/1030203</t>
  </si>
  <si>
    <t>笑胡虏</t>
  </si>
  <si>
    <t>被动招式：施展【醉横沙场】蓄力招式时伤害额外增加5%。</t>
  </si>
  <si>
    <t>tricks/1030204</t>
  </si>
  <si>
    <t>长驱摧城</t>
  </si>
  <si>
    <t>((1+武力*重剑系数*2*0.5)*(1/(1.5+1+1))*1+(外功攻击*1))*0.5</t>
  </si>
  <si>
    <t>主动招式：架刀在身前，抵刀前行连续攻击路径上所有敌人，后将敌人挑飞。（影响属性：武力）</t>
  </si>
  <si>
    <t>zhongren/Skill8</t>
  </si>
  <si>
    <t>tricks/1030205</t>
  </si>
  <si>
    <t>樽中意</t>
  </si>
  <si>
    <t>被动招式：获得【驰骋】效果后，有35%几率获得【无羁】效果，该效果持续5秒，效果持续期间，施展招式【长驱摧城】时获得【霸体】效果。</t>
  </si>
  <si>
    <t>tricks/1030206</t>
  </si>
  <si>
    <t>归无计</t>
  </si>
  <si>
    <t>被动招式：招式【长驱摧城】对受到伤害的目标造成【无归】效果，目标移动速度降低30%。</t>
  </si>
  <si>
    <t>tricks/1030207</t>
  </si>
  <si>
    <t>出汉塞</t>
  </si>
  <si>
    <t>被动招式：招式【长驱摧城】若触发暴击伤害，则减少【醉横沙场】当前调息时间1秒。武力越高，该招式效果越强。</t>
  </si>
  <si>
    <t>tricks/1030208</t>
  </si>
  <si>
    <t>归青冢</t>
  </si>
  <si>
    <t>被动招式：招式【骋天下】攻击目标后获得【征伐】效果，该效果持续7秒，效果持续期间增加外功攻击5%,武力越高,该招式效果越强。</t>
  </si>
  <si>
    <t>tricks/1030209</t>
  </si>
  <si>
    <t>踏山河</t>
  </si>
  <si>
    <t>被动招式：【驰骋】效果额外增加100移动速度，效果持续期间，必定触发【无羁】效果。</t>
  </si>
  <si>
    <t>tricks/1030210</t>
  </si>
  <si>
    <t>醉里狂歌</t>
  </si>
  <si>
    <t>tricks/1030211</t>
  </si>
  <si>
    <t>催城军</t>
  </si>
  <si>
    <t>被动招式：提升招式【长驱摧城】对敌人造成的额外伤害</t>
  </si>
  <si>
    <t>故破楼兰</t>
  </si>
  <si>
    <t>被动招式：施展【骋天下】招式时，对造成伤害的目标附加眩晕效果。</t>
  </si>
  <si>
    <t>长兵</t>
  </si>
  <si>
    <t>肃勇志</t>
  </si>
  <si>
    <t>长枪直挑，对附近目标造成{0}点伤害，并造成浮空效果。
消耗：消耗（2）点真气，
冷却时间：（10s）
攻击部位：（胸部）
攻击距离2-4格</t>
  </si>
  <si>
    <t>外功攻击*0.7</t>
  </si>
  <si>
    <t>内功攻击*0.7</t>
  </si>
  <si>
    <t>主动招式：长兵升挑，势如层峦，造成内外功伤害并使其浮空。</t>
  </si>
  <si>
    <t>qiangfa/Skill3</t>
  </si>
  <si>
    <t>tricks/1040001</t>
  </si>
  <si>
    <t>敌万军</t>
  </si>
  <si>
    <t xml:space="preserve">双手持握长枪，旋转1次，对附近所有敌人造成{0}点伤害，并造成击飞效果。
消耗：消耗（2）点真气，
冷却时间：（10s）
攻击部位：（胸部）
攻击距离全身周围1-2格
</t>
  </si>
  <si>
    <t>主动招式：杆身旋舞，势如风卷，造成外功伤害与内功伤害。</t>
  </si>
  <si>
    <t>qiangfa/Skill7</t>
  </si>
  <si>
    <t>tricks/1040002</t>
  </si>
  <si>
    <t>觅天狼</t>
  </si>
  <si>
    <t>运力纵枪跳起，（2）秒内可以选择向前或者向后，并再次释放此招式，造成范围{0}点伤害。</t>
  </si>
  <si>
    <t>运力纵枪跳起，2秒内可以选择向前或者向后，并再次释放此招式，造成范围内敌人外功攻击和内功攻击。（影响属性：外功攻击，内功攻击）</t>
  </si>
  <si>
    <t>tricks/1040003</t>
  </si>
  <si>
    <t>北顾枪法</t>
  </si>
  <si>
    <t>望三关</t>
  </si>
  <si>
    <t>北顾枪法的第一技能：抖枪花3次，每抖一次攻击3次，也就是3个枪花，浮空</t>
  </si>
  <si>
    <t>1040101_1</t>
  </si>
  <si>
    <t>((1+身法*长兵系数*10*0.5)*(1.5/(1.5+0.8+0.8))*1+(外功攻击*0.1))</t>
  </si>
  <si>
    <t>((1+内息*长兵系数*2*0.5)*(0.5/(0.5+0+0.5))*0.2+(内功攻击*0.05))</t>
  </si>
  <si>
    <t>主动招式：枪影层叠，若舞梨花，对前方敌人造成多段外功伤害与内功伤害。身法越高，该招式效果越强。</t>
  </si>
  <si>
    <t>qiangfa/Skill1</t>
  </si>
  <si>
    <t>tricks/1040101</t>
  </si>
  <si>
    <t>固边陲</t>
  </si>
  <si>
    <t>招式【望三关】造成的伤害提升10%。</t>
  </si>
  <si>
    <t>被动招式：提升【望三关】造成的外功伤害。武力越高，该招式效果越强。</t>
  </si>
  <si>
    <t>tricks/1040102</t>
  </si>
  <si>
    <t>横叠嶂</t>
  </si>
  <si>
    <t>北顾枪法的第二技能 枪插地，双手握住枪尾，撑杆，翻身跳到敌人背后，落地后方向依然是不变</t>
  </si>
  <si>
    <t>((1+身法*长兵系数*10*0.5)*(1.5/(1.5+0.8+0.8))*1+(外功攻击*2))</t>
  </si>
  <si>
    <t>主动招式：立地腾身，向前撑跃，对前方敌人造成外功伤害与内功伤害,同时获得5层【回马枪】效果,身法越高,该招式效果越强。</t>
  </si>
  <si>
    <t>qiangfa/Skill5</t>
  </si>
  <si>
    <t>tricks/1040103</t>
  </si>
  <si>
    <t>挑山阙</t>
  </si>
  <si>
    <t>1招式3枪花后变化动作，再攻击1次，击飞</t>
  </si>
  <si>
    <t>被动招式：减少【望三关】调息时间一秒。</t>
  </si>
  <si>
    <t>tricks/1040104</t>
  </si>
  <si>
    <t>钧北顾</t>
  </si>
  <si>
    <t>北顾枪法的第三技能：回马枪，向同一方向移动时，产生BUFF，提升1技能伤害，一直持续到转向或者释放技能时消失，本技能反向攻击，伤害根据BUFF时长决定，最高提升50%</t>
  </si>
  <si>
    <t>(1+身法*长兵系数*80*0.5)*(0.5/(1+0.5+0.5))*0.9+(外功攻击*1)</t>
  </si>
  <si>
    <t>(1+内息*长兵系数*2*0.5)*(0.3/(0.5+0+0.3))*0.2+(内功攻击*0.05)</t>
  </si>
  <si>
    <t>主动招式：持续向同一方向移动时，获得【回马枪】效果，具有此效果时，提升【钧北顾】外功伤害10％，最多叠加五层。施展时反身折刺，造成外功伤害与内功伤害。身法越高，该招式效果越强。</t>
  </si>
  <si>
    <t>qiangfa/Skill4</t>
  </si>
  <si>
    <t>tricks/1040105</t>
  </si>
  <si>
    <t>载催军</t>
  </si>
  <si>
    <t>被动技能：5技能暴击伤害提升50%</t>
  </si>
  <si>
    <t>被动招式：减少【钧北顾】调息时间一秒。</t>
  </si>
  <si>
    <t>tricks/1040106</t>
  </si>
  <si>
    <t>伐破釜</t>
  </si>
  <si>
    <t>被动技能：5技能伤害提升30%。</t>
  </si>
  <si>
    <t>被动招式：提升【钧北顾】造成的外功伤害。身法越高，该招式效果越强。</t>
  </si>
  <si>
    <t>tricks/1040107</t>
  </si>
  <si>
    <t>断坚阵</t>
  </si>
  <si>
    <t>被动技能：3技能之后5技能暴击几率提升20%。</t>
  </si>
  <si>
    <t>被动招式：施展【横叠嶂】后,提升【钧北顾】暴击10%，此效果持续三秒。</t>
  </si>
  <si>
    <t>tricks/1040108</t>
  </si>
  <si>
    <t>守孤山</t>
  </si>
  <si>
    <t>被动技能：5技能释放时，如果敌方有流血状态，每一层流血额外造成X+武力*系数/境界 伤害。</t>
  </si>
  <si>
    <t>被动招式：若不携带任何同伴进入战斗，外功防御与外功攻击提升15％。</t>
  </si>
  <si>
    <t>tricks/1040109</t>
  </si>
  <si>
    <t>大成：回马枪无法格挡，弹反</t>
  </si>
  <si>
    <t>被动招式：施展【钧北顾】后,提升暴击伤害20%，此效果持续三秒。</t>
  </si>
  <si>
    <t>tricks/1040110</t>
  </si>
  <si>
    <t>镇沙场</t>
  </si>
  <si>
    <t>叠峦丛生</t>
  </si>
  <si>
    <t>被动招式：提升招式【横叠嶂】对敌人造成的额外伤害</t>
  </si>
  <si>
    <t>不复还</t>
  </si>
  <si>
    <t>被动招式：当激活【载催军】被动注释后，施展【钧北顾】招式时获得霸体效果。</t>
  </si>
  <si>
    <t>玄黄入阵旌</t>
  </si>
  <si>
    <t>九州纵横</t>
  </si>
  <si>
    <t>来回滑行3次。浮空</t>
  </si>
  <si>
    <t>((1+武力*长兵系数*8*0.5)*(1.0/(1+0.5+0.5))*1+(外功攻击*0.9))</t>
  </si>
  <si>
    <t>((1+内息*长兵系数*8*0.5)*(1.5/(1.5+1+1))*0.4+(内功攻击*0.4))</t>
  </si>
  <si>
    <t>0.6;0.4</t>
  </si>
  <si>
    <t>主动招式：左冲右突，纵穿横挑，往来发起三段冲锋。造成外功伤害与内功伤害和内功攻击。武力越高，该招式效果越强。</t>
  </si>
  <si>
    <t>qiangfa/Skill10</t>
  </si>
  <si>
    <t>tricks/1040201</t>
  </si>
  <si>
    <t>入阵鼓</t>
  </si>
  <si>
    <r>
      <rPr>
        <sz val="10.5"/>
        <color theme="1"/>
        <rFont val="等线"/>
        <family val="3"/>
        <charset val="134"/>
      </rPr>
      <t>1技能每一次攻击增加自身BUFF，提升攻击2%，命中2%，持续10秒。</t>
    </r>
  </si>
  <si>
    <t>增加多个buff</t>
  </si>
  <si>
    <t>被动招式：施展【九州纵横】后，获得【擂鼓】效果，具有此效果时，提升外功攻击，此效果持续十秒，武力越高，该招式效果越强。</t>
  </si>
  <si>
    <t>tricks/1040202</t>
  </si>
  <si>
    <t>十方共主</t>
  </si>
  <si>
    <t>水平旋转自身挥舞枪身和腿部，对身边所有敌人造成（2）次{0}点伤害。</t>
  </si>
  <si>
    <t>((1+武力*长兵系数*8*0.5)*(1.0/(1+0.5+0.5))*1+(外功攻击*0.7))</t>
  </si>
  <si>
    <t>((1+内息*长兵系数*8*0.5)*(1.5/(1.5+1+1))*0.4+(内功攻击*0.3))</t>
  </si>
  <si>
    <t>主动招式：旋扫破阵，万夫不当，对范围内敌人最多造成四段外功伤害与内功伤害。武力越高，该招式效果越强。</t>
  </si>
  <si>
    <t>8040202</t>
  </si>
  <si>
    <t>qiangfa/Skill11</t>
  </si>
  <si>
    <t>tricks/1040203</t>
  </si>
  <si>
    <t>兵主蚩</t>
  </si>
  <si>
    <r>
      <rPr>
        <sz val="10.5"/>
        <color theme="1"/>
        <rFont val="等线"/>
        <family val="3"/>
        <charset val="134"/>
      </rPr>
      <t>当血量低于50%时，释放1技能的时候，会释放第四招。</t>
    </r>
  </si>
  <si>
    <t>被动招式：提升【九州纵横】造成的外功伤害。武力越高，该招式效果越强。</t>
  </si>
  <si>
    <t>qiangfa/Skill10_2</t>
  </si>
  <si>
    <t>tricks/1040204</t>
  </si>
  <si>
    <t>八荒尽取</t>
  </si>
  <si>
    <t>持枪攻击3次，对前方目标造成3次{0}点伤害，此技能可中断普通攻击强制施展。</t>
  </si>
  <si>
    <t>((1+武力*长兵系数*8*0.5)*(1/(1.5+1+1))*1+(外功攻击*0.6))</t>
  </si>
  <si>
    <t>((1+内息*长兵系数*8*0.5)*(1/(1.5+1+1))*0.4+(内功攻击*0.2))</t>
  </si>
  <si>
    <t>主动招式：寒星点点，银光皪皪，连续施展三段枪势，造成外功伤害与内功伤害。武力越高，该招式效果越强。</t>
  </si>
  <si>
    <t>8040203</t>
  </si>
  <si>
    <t>qiangfa/Skill12</t>
  </si>
  <si>
    <t>tricks/1040205</t>
  </si>
  <si>
    <t>觐卸甲</t>
  </si>
  <si>
    <r>
      <rPr>
        <sz val="10.5"/>
        <color theme="1"/>
        <rFont val="等线"/>
        <family val="3"/>
        <charset val="134"/>
      </rPr>
      <t>3技能每次攻击降低敌方5%防御，持续6秒。</t>
    </r>
  </si>
  <si>
    <t>被动招式：【十方共主】命中时，降低敌方10%外功防御，此效果持续六秒。</t>
  </si>
  <si>
    <t>tricks/1040206</t>
  </si>
  <si>
    <t>敕封玄</t>
  </si>
  <si>
    <r>
      <rPr>
        <sz val="10.5"/>
        <color theme="1"/>
        <rFont val="等线"/>
        <family val="3"/>
        <charset val="134"/>
      </rPr>
      <t>3技能旋转3次。</t>
    </r>
  </si>
  <si>
    <t>被动招式：提升15%外功防御与内功防御。</t>
  </si>
  <si>
    <t>tricks/1040207</t>
  </si>
  <si>
    <r>
      <rPr>
        <sz val="10.5"/>
        <color theme="1"/>
        <rFont val="等线"/>
        <family val="3"/>
        <charset val="134"/>
      </rPr>
      <t>百战于野</t>
    </r>
  </si>
  <si>
    <r>
      <rPr>
        <sz val="10.5"/>
        <color theme="1"/>
        <rFont val="等线"/>
        <family val="3"/>
        <charset val="134"/>
      </rPr>
      <t>1技能4动作触发时，减少3技能CD1秒。</t>
    </r>
  </si>
  <si>
    <t>被动招式：【九州纵横】造成伤害时，减少【十方共主】当前调息时间一秒。</t>
  </si>
  <si>
    <t>tricks/1040208</t>
  </si>
  <si>
    <r>
      <rPr>
        <sz val="10.5"/>
        <color theme="1"/>
        <rFont val="等线"/>
        <family val="3"/>
        <charset val="134"/>
      </rPr>
      <t>辕镇厌</t>
    </r>
  </si>
  <si>
    <r>
      <rPr>
        <sz val="10.5"/>
        <color theme="1"/>
        <rFont val="等线"/>
        <family val="3"/>
        <charset val="134"/>
      </rPr>
      <t>5技能每次攻击时，给敌方上debuff【镇厌】持续10秒。</t>
    </r>
  </si>
  <si>
    <t>被动招式：【八荒尽取】命中时，对敌人附加【镇厌】效果，习得被动招式【诛祟破邪】后，施展招式【九州纵横】时对附带【镇厌】的目标额外增加自身15%暴击伤害，持续10秒。</t>
  </si>
  <si>
    <t>tricks/1040209</t>
  </si>
  <si>
    <t>诛祟破邪</t>
  </si>
  <si>
    <t>1技能4动作触发时，霸体，提升伤害40%，同时对有【镇厌】debuff的敌方提升更多伤害（每一层20%）。</t>
  </si>
  <si>
    <t>被动招式：【九州纵横】施展时获得【霸体】效果，同时对有【镇厌】效果的敌人提升10％暴击与15％暴击伤害。</t>
  </si>
  <si>
    <t>8040201;8040204</t>
  </si>
  <si>
    <t>tricks/1040210</t>
  </si>
  <si>
    <t>荡群邪</t>
  </si>
  <si>
    <t>任纵横</t>
  </si>
  <si>
    <t>被动招式：【九州纵横】调息时间减少1秒</t>
  </si>
  <si>
    <t>覆压千载</t>
  </si>
  <si>
    <t>被动招式：对附带【镇厌】效果的敌人造成伤害时,附加【减速】效果，移动速度降低30%</t>
  </si>
  <si>
    <t>众相菩提杖</t>
  </si>
  <si>
    <t>无我无相</t>
  </si>
  <si>
    <r>
      <rPr>
        <sz val="10.5"/>
        <color theme="1"/>
        <rFont val="等线"/>
        <family val="3"/>
        <charset val="134"/>
      </rPr>
      <t>旋转4次。</t>
    </r>
  </si>
  <si>
    <t>((1+筋骨*众相菩提杖*2*0.5)*(1.5/(1.5+1+0.5))*0.3+(外功攻击*0.3))</t>
  </si>
  <si>
    <t>((1+筋骨*众相菩提杖*4*0.5)*(1.5/(1.5+0.8+0.8))*1+(内功攻击*0.3))</t>
  </si>
  <si>
    <t>0.3;0.7</t>
  </si>
  <si>
    <t>主动招式：棍势圆转，水泼不进，对敌人连续造成多段外功伤害与内功伤害。筋骨越高，该招式效果越强。</t>
  </si>
  <si>
    <t>qiangfa/Skill13</t>
  </si>
  <si>
    <t>tricks/1040301</t>
  </si>
  <si>
    <t>如如不动</t>
  </si>
  <si>
    <t>每次普攻获得buff【不动】：提升4%防御，持续8秒，最高叠加5次。</t>
  </si>
  <si>
    <t>被动招式：轻击造成伤害时，获得【不动】效果，具有此效果时，提升4%防御，最多叠加五层，此效果持续八秒。</t>
  </si>
  <si>
    <t>tricks/1040302</t>
  </si>
  <si>
    <t>一苇横江</t>
  </si>
  <si>
    <r>
      <rPr>
        <sz val="10.5"/>
        <color theme="1"/>
        <rFont val="等线"/>
        <family val="3"/>
        <charset val="134"/>
      </rPr>
      <t>站立于棍上，按住键位不动时，最多持续3秒，可以弹反所有飞行道具，格挡攻击，松开键位时，棍棒弹起攻击前方敌人，击飞。</t>
    </r>
  </si>
  <si>
    <t>((1+筋骨*众相菩提杖*2*0.5)*(1/(1.5+1+0.5))*0.3+(外功攻击*0.3))</t>
  </si>
  <si>
    <t>(1+筋骨*众相菩提杖*30*0.5)*(0.5/(1+0.5+0.5))*0.9+(内功攻击*2.3)</t>
  </si>
  <si>
    <t>主动招式：棍势松活，后发先至，可持续施展，持续施展时可如临渊观鱼，岿然不动，获得【霸体】效果与5％伤害减免，持续施展终止时骤然发棍，造成外功伤害与内功伤害。筋骨越高，该招式效果越强。</t>
  </si>
  <si>
    <t>qiangfa/Skill14</t>
  </si>
  <si>
    <t>tricks/1040303</t>
  </si>
  <si>
    <r>
      <rPr>
        <sz val="10.5"/>
        <color theme="1"/>
        <rFont val="等线"/>
        <family val="3"/>
        <charset val="134"/>
      </rPr>
      <t>金钟无色</t>
    </r>
  </si>
  <si>
    <r>
      <rPr>
        <sz val="10.5"/>
        <color theme="1"/>
        <rFont val="等线"/>
        <family val="3"/>
        <charset val="134"/>
      </rPr>
      <t>3技能释放时增加BUFF，降低格挡体力消耗值50%，持续10秒，不可叠加，只能刷新</t>
    </r>
  </si>
  <si>
    <t>被动招式：施展【一苇横江】时获得【横练】效果，具有此效果时，格挡状态的体力消耗降低50％，此效果持续十秒，筋骨越高，该招式效果越强。</t>
  </si>
  <si>
    <t>tricks/1040304</t>
  </si>
  <si>
    <t>拈花掷象</t>
  </si>
  <si>
    <t>格挡状态下，按下此键，弹反，并向前横踢一脚，随后挥棍3次，非格挡状态下也可以直接使用但无弹反，浮空。</t>
  </si>
  <si>
    <t>((1+筋骨*众相菩提杖*2*0.5)*(0.5/(1.5+1+0.5))*0.3+(外功攻击*0.3))</t>
  </si>
  <si>
    <t>((1+筋骨*众相菩提杖*10*0.5)*(1.5/(1.5+0.8+0.8))*0.8+(内功攻击*0.3))</t>
  </si>
  <si>
    <t>主动招式：棍势雄浑，禅武一体，对敌人最多造成四段外功伤害与内功伤害，施展过程中获得伤害减免效果。筋骨越高，该招式效果越强。</t>
  </si>
  <si>
    <t>qiangfa/Skill15</t>
  </si>
  <si>
    <t>tricks/1040305</t>
  </si>
  <si>
    <r>
      <rPr>
        <sz val="10.5"/>
        <color theme="1"/>
        <rFont val="等线"/>
        <family val="3"/>
        <charset val="134"/>
      </rPr>
      <t>枯荣禅</t>
    </r>
  </si>
  <si>
    <r>
      <rPr>
        <sz val="10.5"/>
        <color theme="1"/>
        <rFont val="等线"/>
        <family val="3"/>
        <charset val="134"/>
      </rPr>
      <t>5技能每次攻击给敌方增加debuff【枯荣】，降低对方攻击5%，持续6秒，最多叠加3层。</t>
    </r>
  </si>
  <si>
    <t>被动招式：【拈花掷象】命中敌人时，对敌人附加【枯荣】效果，具有此效果时，降低5%外功攻击与内功攻击，最多叠加三层，此效果持续六秒。</t>
  </si>
  <si>
    <t>tricks/1040306</t>
  </si>
  <si>
    <r>
      <rPr>
        <sz val="10.5"/>
        <color theme="1"/>
        <rFont val="等线"/>
        <family val="3"/>
        <charset val="134"/>
      </rPr>
      <t>袖纳乾坤</t>
    </r>
  </si>
  <si>
    <r>
      <rPr>
        <sz val="10.5"/>
        <color theme="1"/>
        <rFont val="等线"/>
        <family val="3"/>
        <charset val="134"/>
      </rPr>
      <t>技能1可以抵消所有飞行道具（不包括回马枪）。</t>
    </r>
  </si>
  <si>
    <t>被动招式：施展【无我无相】时，抵消所有本应命中的弹道攻击。</t>
  </si>
  <si>
    <t>tricks/1040307</t>
  </si>
  <si>
    <r>
      <rPr>
        <sz val="10.5"/>
        <color theme="1"/>
        <rFont val="等线"/>
        <family val="3"/>
        <charset val="134"/>
      </rPr>
      <t>须弥无量</t>
    </r>
  </si>
  <si>
    <r>
      <rPr>
        <sz val="10.5"/>
        <color theme="1"/>
        <rFont val="等线"/>
        <family val="3"/>
        <charset val="134"/>
      </rPr>
      <t>1技能有几率50%+根骨*系数/境界 触发第5次攻击。</t>
    </r>
  </si>
  <si>
    <t>被动招式：提升【无我无相】造成的内功伤害。</t>
  </si>
  <si>
    <t>tricks/1040308</t>
  </si>
  <si>
    <t>慈悲渡厄</t>
  </si>
  <si>
    <r>
      <rPr>
        <sz val="10.5"/>
        <color theme="1"/>
        <rFont val="等线"/>
        <family val="3"/>
        <charset val="134"/>
      </rPr>
      <t>5技能弹反时恢复血量6%。</t>
    </r>
  </si>
  <si>
    <t>被动招式：施展【拈花掷象】时，提升气血恢复属性，持续3秒。</t>
  </si>
  <si>
    <t>tricks/1040309</t>
  </si>
  <si>
    <t>金刚怒目</t>
  </si>
  <si>
    <r>
      <rPr>
        <sz val="10.5"/>
        <color theme="1"/>
        <rFont val="等线"/>
        <family val="3"/>
        <charset val="134"/>
      </rPr>
      <t>血量低于30%，当受到伤害&gt;0时自动触发一次弹反，无敌1秒且驱除所有debuff，回复自身血量20%+内息*系数/境界，CD30秒。（如果浮空状态，立即结束浮空并播放空中攻击动作然后正常降落下来，如果是站立受击状态，立刻恢复正常站立状态且播放弹反动作）</t>
    </r>
  </si>
  <si>
    <t>被动招式：战斗开始后，额外提升15％反伤属性。</t>
  </si>
  <si>
    <t>tricks/1040310</t>
  </si>
  <si>
    <t>悯众生</t>
  </si>
  <si>
    <t>被动招式：进入战斗后,筋骨属性增加3点</t>
  </si>
  <si>
    <t>独我相</t>
  </si>
  <si>
    <t>被动招式：提升招式【一苇横江】对敌人造成的额外伤害</t>
  </si>
  <si>
    <t>不动怒目</t>
  </si>
  <si>
    <t>被动招式：当激活【金刚怒目】被动注释后，施展【无我无相】招式时获得【怒目】效果，效果持续期间额外增加25%的反伤属性，该效果持续5秒。</t>
  </si>
  <si>
    <t>镇国抵岳枪</t>
  </si>
  <si>
    <t>秦王入阵</t>
  </si>
  <si>
    <t>((1+身法*长兵系数*10*0.5)*(1.5/(1.5+0.8+0.8))*1+(外功攻击*0.2))</t>
  </si>
  <si>
    <t>((1+身法*长兵系数*10*0.5)*(0.5/(0.5+0+0.5))*0.2+(内功攻击*0.05))</t>
  </si>
  <si>
    <t>主动招式：抖枪前行，最后以枪砸地震开敌人，对敌人造成外功伤害。（影响属性：身法）</t>
  </si>
  <si>
    <t>qiangfa/Skill17</t>
  </si>
  <si>
    <t>qiangfa/Skill17_2</t>
  </si>
  <si>
    <t>qiangfa/Skill17_3</t>
  </si>
  <si>
    <t>tricks/1040401</t>
  </si>
  <si>
    <t>镇敌仇</t>
  </si>
  <si>
    <t>被动招式：施展【破城踏阙】招式后，有40%概率重置【秦王入阵】当前调息时间。</t>
  </si>
  <si>
    <t>tricks/1040402</t>
  </si>
  <si>
    <t>独挑乾坤</t>
  </si>
  <si>
    <t>((1+身法*剑法系数*16*0.5)*(1.0/(1+0.5+0.5))*1+(外功攻击*0.3))</t>
  </si>
  <si>
    <t>((1+身法*剑法系数*16*0.5)*(1/(1.5+1+0.5))*0.3+(内功攻击*0.1))</t>
  </si>
  <si>
    <t>主动招式：转枪花连续攻击敌人，再向敌人刺击，对敌人造成外功伤害。（影响属性：身法）</t>
  </si>
  <si>
    <t>qiangfa/Skill18</t>
  </si>
  <si>
    <t>tricks/1040403</t>
  </si>
  <si>
    <t>转阵化</t>
  </si>
  <si>
    <t>被动招式：施展【秦王入阵】招式后，【独挑乾坤】招式当前调息时间减1秒。</t>
  </si>
  <si>
    <t>tricks/1040404</t>
  </si>
  <si>
    <t>破城踏阙</t>
  </si>
  <si>
    <t>((1+身法*剑法系数*16*0.5)*(1.0/(1+0.5+0.5))*1+(外功攻击*0.1))</t>
  </si>
  <si>
    <t>((1+身法*剑法系数*16*0.5)*(0.5/(1.5+1+0.5))*0.3+(内功攻击*0.1))</t>
  </si>
  <si>
    <t>主动招式：旋转挑枪，后顺势向前奋力刺击，对敌人造成外功伤害。（影响属性：身法）</t>
  </si>
  <si>
    <t>qiangfa/Skill19</t>
  </si>
  <si>
    <t>tricks/1040405</t>
  </si>
  <si>
    <t>兵煞威</t>
  </si>
  <si>
    <t>被动招式：被动招式【镇敌仇】的重置【秦王入阵】的概率额外增加10%</t>
  </si>
  <si>
    <t>tricks/1040406</t>
  </si>
  <si>
    <t>驱逐寇</t>
  </si>
  <si>
    <t>被动招式：施展【秦王入阵】招式对受到伤害的目标附加【逐寇】效果，速度降低30%,持续5秒。</t>
  </si>
  <si>
    <t>tricks/1040407</t>
  </si>
  <si>
    <t>破虏意</t>
  </si>
  <si>
    <t>被动招式：施展【独挑乾坤】招式对目标造成伤害后，获得【破虏】效果，增加【秦王入阵】招式5%额外伤害。</t>
  </si>
  <si>
    <t>tricks/1040408</t>
  </si>
  <si>
    <t>犁庭归</t>
  </si>
  <si>
    <t>被动招式：施展【破城踏阙】招式后，减少【独挑乾坤】招式的当前调息时间1秒。</t>
  </si>
  <si>
    <t>tricks/1040409</t>
  </si>
  <si>
    <t>定军山</t>
  </si>
  <si>
    <t>被动招式：【逐寇】效果变更为【定军】效果，受到伤害的敌人原地无法移动,对【定军】目标施展【秦王入阵】招式后，同伴和自身获得【城谋】效果，10%暴击几率和15%暴击伤害增加，效果持续5秒。</t>
  </si>
  <si>
    <t>tricks/1040410</t>
  </si>
  <si>
    <t>激悍勇</t>
  </si>
  <si>
    <t>tricks/1040411</t>
  </si>
  <si>
    <t>入阵声</t>
  </si>
  <si>
    <t>被动招式：提升招式【秦王入阵】对敌人造成的额外伤害</t>
  </si>
  <si>
    <t>智将首</t>
  </si>
  <si>
    <t>被动招式：当获得【城谋】效果时，自身气血回复属性额外增加30%，伤害额外增加5%，该效果持续5秒</t>
  </si>
  <si>
    <t>喷酒</t>
  </si>
  <si>
    <t>boss技： 葛有方  喷酒</t>
  </si>
  <si>
    <t>(外功攻击*1)*2.1</t>
  </si>
  <si>
    <t>(内功攻击*1)*2.1</t>
  </si>
  <si>
    <t>喷酒。</t>
  </si>
  <si>
    <t>qiangfa/Skill16_喷酒</t>
  </si>
  <si>
    <t>tricks/1046001</t>
  </si>
  <si>
    <t>扇法</t>
  </si>
  <si>
    <t>复重楼</t>
  </si>
  <si>
    <t>复重楼   释放出毒砂,致盲状态</t>
  </si>
  <si>
    <t>外功攻击*0.1</t>
  </si>
  <si>
    <t>内功攻击*2</t>
  </si>
  <si>
    <t>主动招式：展面横扇，将扇内所藏毒砂挥震而出，造成外功伤害与内功伤害。</t>
  </si>
  <si>
    <t>8050102;</t>
  </si>
  <si>
    <t>shanzi/Skill4</t>
  </si>
  <si>
    <r>
      <rPr>
        <sz val="11"/>
        <color theme="1"/>
        <rFont val="宋体"/>
        <family val="3"/>
        <charset val="134"/>
        <scheme val="minor"/>
      </rPr>
      <t>tricks/105000</t>
    </r>
    <r>
      <rPr>
        <sz val="11"/>
        <color theme="1"/>
        <rFont val="宋体"/>
        <family val="3"/>
        <charset val="134"/>
        <scheme val="minor"/>
      </rPr>
      <t>1</t>
    </r>
  </si>
  <si>
    <r>
      <rPr>
        <sz val="10.5"/>
        <color theme="1"/>
        <rFont val="宋体"/>
        <family val="3"/>
        <charset val="134"/>
      </rPr>
      <t>转千阙</t>
    </r>
  </si>
  <si>
    <t>整个身体压低，攻击目标腿部，造成击倒效果。(无法格挡，不能中断普攻)</t>
  </si>
  <si>
    <t>主动招式：翻腕伏身，以扇骨疾扫敌人下盘要穴，造成内外功伤害并使其倒地。</t>
  </si>
  <si>
    <t>击倒</t>
  </si>
  <si>
    <t>shanzi/Skill5</t>
  </si>
  <si>
    <r>
      <rPr>
        <sz val="11"/>
        <color theme="1"/>
        <rFont val="宋体"/>
        <family val="3"/>
        <charset val="134"/>
        <scheme val="minor"/>
      </rPr>
      <t>tricks/105000</t>
    </r>
    <r>
      <rPr>
        <sz val="11"/>
        <color theme="1"/>
        <rFont val="宋体"/>
        <family val="3"/>
        <charset val="134"/>
        <scheme val="minor"/>
      </rPr>
      <t>2</t>
    </r>
  </si>
  <si>
    <t>悲遮扇法</t>
  </si>
  <si>
    <t>问秋风</t>
  </si>
  <si>
    <t>扇子的第一技能：问秋风 持扇直刺</t>
  </si>
  <si>
    <t>((1+武力*扇子系数*2*0.5)*(1.5/(1.5+1+1))*0.1+(外功攻击*0.1))</t>
  </si>
  <si>
    <t>((1+内息*扇子系数*5*0.5)*(1.5/(1.5+1+1))*1.5+(内功攻击*0.5))</t>
  </si>
  <si>
    <t>主动招式：如秋风乍起，点划旋舞之际，对敌人造成多段外功伤害与内功伤害。内息越高，该招式效果越强。</t>
  </si>
  <si>
    <t>shanzi/Skill1</t>
  </si>
  <si>
    <t>shanzi/Skill1_2</t>
  </si>
  <si>
    <t>tricks/1050101</t>
  </si>
  <si>
    <t>萧意寒</t>
  </si>
  <si>
    <t>施展招式【问秋风】时，有概率展开折扇（10+身法*0.3/境界等级）%，对范围内目标造成伤害。</t>
  </si>
  <si>
    <t>被动招式：施展【问秋风】时，有30%概率获得【萧意】效果，具有此效果时，提升内功攻击10%，降低外功攻击5％，此效果持续五秒。</t>
  </si>
  <si>
    <t>tricks/1050102</t>
  </si>
  <si>
    <t>归去来</t>
  </si>
  <si>
    <t>扇子的第三技能：归去来   抛出折扇</t>
  </si>
  <si>
    <t>飞行道具</t>
  </si>
  <si>
    <t>主动招式：如乳燕归巢，折反回兮，对沿途被折扇命中的敌人造成外功伤害与内功伤害。内息越高，该招式效果越强。</t>
  </si>
  <si>
    <t>shanzi/Skill3</t>
  </si>
  <si>
    <t>tricks/1050103</t>
  </si>
  <si>
    <t>觅难寻</t>
  </si>
  <si>
    <t>重击攻击命中目标时，获得buff：【难觅】(难觅：下一次施展【问秋风】时必定触发【萧意寒】效果，持续5秒。)</t>
  </si>
  <si>
    <t>被动招式：重击造成伤害时，获得【难觅】效果，具有此效果时，下次施展【问秋风】必定获得【萧意】效果，【难觅】持续五秒。</t>
  </si>
  <si>
    <t>tricks/1050104</t>
  </si>
  <si>
    <t>柔云绕指</t>
  </si>
  <si>
    <t>扇子处于展开状态向前攻击，在短距离旋转两次后，扇子将回手。</t>
  </si>
  <si>
    <t>((1+武力*扇子系数*2*0.5)*(1/(1.5+1+1))*0.1+(外功攻击*0.1))</t>
  </si>
  <si>
    <t>((1+内息*扇子系数*5*0.5)*(1.5/(1.5+1+1))*1.5+(内功攻击*0.6))</t>
  </si>
  <si>
    <t>主动招式：如柔风绕鬓，变幻无常，对敌人造成多段外功伤害与内功伤害。内息越高，该招式效果越强。</t>
  </si>
  <si>
    <r>
      <rPr>
        <sz val="11"/>
        <color theme="1"/>
        <rFont val="宋体"/>
        <family val="3"/>
        <charset val="134"/>
        <scheme val="minor"/>
      </rPr>
      <t>shanzi/Skill</t>
    </r>
    <r>
      <rPr>
        <sz val="11"/>
        <color theme="1"/>
        <rFont val="宋体"/>
        <family val="3"/>
        <charset val="134"/>
        <scheme val="minor"/>
      </rPr>
      <t>6</t>
    </r>
  </si>
  <si>
    <t>tricks/1050105</t>
  </si>
  <si>
    <t>悲穷途</t>
  </si>
  <si>
    <t>自身血量值在(20%)以下时，获得buff：【穷途】(穷途：提升移动速度20%，持续(10)秒。</t>
  </si>
  <si>
    <t>被动招式：若气血值低于70%，获得【穷途】效果，具有此效果时，速度提升20%。</t>
  </si>
  <si>
    <t>8050103;</t>
  </si>
  <si>
    <t>tricks/1050106</t>
  </si>
  <si>
    <t>生亦欢</t>
  </si>
  <si>
    <t>普通攻击具有(30%)概率使敌方目标【中毒】</t>
  </si>
  <si>
    <t>被动招式：轻击有15%概率对敌人附加【中毒】效果，具有此效果时，每五秒减少1%最大气血，持续十秒。</t>
  </si>
  <si>
    <t>tricks/1050107</t>
  </si>
  <si>
    <t>竹劲骨</t>
  </si>
  <si>
    <t>每次弹反目标成功时，下一击的攻击伤害/技能伤害提升(50%)。</t>
  </si>
  <si>
    <t>被动招式：若成功弹反敌人招式，内功攻击提升5％,持续5秒。</t>
  </si>
  <si>
    <t>tricks/1050108</t>
  </si>
  <si>
    <t>同归去</t>
  </si>
  <si>
    <t>招式【归去来】变为充能式招式，可同时拥有2层充能，每(8)秒提升一层。</t>
  </si>
  <si>
    <t>被动招式：【归去来】获得【同归】效果，每八秒获得一层,每有一层充能，【归去来】伤害提升10％，施展【归去来】招式后移除一层，最多可拥有两层充能。</t>
  </si>
  <si>
    <t>tricks/1050109</t>
  </si>
  <si>
    <t>遮栏幕</t>
  </si>
  <si>
    <t>招式【复重楼】施展后，会添加buff【遮幕】</t>
  </si>
  <si>
    <t>被动招式：【问秋风】造成伤害后，对敌人附加【致盲】效果，具有此效果时，攻击无法命中，此效果持续五秒。</t>
  </si>
  <si>
    <t>tricks/1050110</t>
  </si>
  <si>
    <t>潇湘竹雨</t>
  </si>
  <si>
    <t>落秋意</t>
  </si>
  <si>
    <t>扇子</t>
  </si>
  <si>
    <t>被动招式：提升招式【问秋风】对敌人造成的额外伤害</t>
  </si>
  <si>
    <t>竹韧文章</t>
  </si>
  <si>
    <t>被动招式：当触发【竹劲骨】的弹反效果时，获得3秒的【无敌】效果。</t>
  </si>
  <si>
    <t>小周天扇法</t>
  </si>
  <si>
    <t>经合夜昼</t>
  </si>
  <si>
    <t>((1+武力*扇子系数*40*0.5)*(1.5/(1.5+1+1))*0.1+(外功攻击*0.1))</t>
  </si>
  <si>
    <t>((1+内息*扇子系数*4*0.5)*(1.5/(1.5+1+1))*0.5+(内功攻击*0.5))</t>
  </si>
  <si>
    <t>主动招式：向前上方投掷扇子，扇子飞行过程中连续击打路径上的敌人。内息越高，该招式效果越强。</t>
  </si>
  <si>
    <t>shanzi/Skill7</t>
  </si>
  <si>
    <t>tricks/1050201</t>
  </si>
  <si>
    <t>白玉京</t>
  </si>
  <si>
    <t>被动招式：气血回复属性额外提升5%。</t>
  </si>
  <si>
    <t>tricks/1050202</t>
  </si>
  <si>
    <t>蕴纳周身</t>
  </si>
  <si>
    <t>((1+武力*扇子系数*40*0.5)*(1/(1.5+1+1))*0.1+(外功攻击*0.1))</t>
  </si>
  <si>
    <t>((1+内息*扇子系数*4*0.5)*(1.5/(1.5+1+1))*0.5+(内功攻击*0.4))</t>
  </si>
  <si>
    <t>主动招式：用扇舞旋转向前，连续攻击前方敌人。内息越高，该招式效果越强。</t>
  </si>
  <si>
    <t>shanzi/Skill8</t>
  </si>
  <si>
    <t>tricks/1050203</t>
  </si>
  <si>
    <t>太玄气</t>
  </si>
  <si>
    <t>被动招式：施展【经合夜昼】对受到伤害的目标附加【玄气】效果，移动速度降低30%,效果持续3秒。</t>
  </si>
  <si>
    <t>tricks/1050204</t>
  </si>
  <si>
    <t>化气贯神</t>
  </si>
  <si>
    <t>主动招式：催动内劲在身前扇出一道小旋风，对进入的敌人形成连续伤害。内息越高，该招式效果越强。</t>
  </si>
  <si>
    <t>shanzi/Skill9</t>
  </si>
  <si>
    <t>tricks/1050205</t>
  </si>
  <si>
    <t>关脉轮</t>
  </si>
  <si>
    <t>被动招式：施展【经合夜昼】，额外提升内功攻击。（影响属性，内息）</t>
  </si>
  <si>
    <t>tricks/1050206</t>
  </si>
  <si>
    <t>奇经纵</t>
  </si>
  <si>
    <t>被动招式：施展【蕴纳周身】，额外提升内功攻击。（影响属性，内息）</t>
  </si>
  <si>
    <t>tricks/1050207</t>
  </si>
  <si>
    <t>抵任督</t>
  </si>
  <si>
    <t>被动招式：施展【化气贯神】时增加吸血属性,效果持续5秒。（影响属性，筋骨）</t>
  </si>
  <si>
    <t>tricks/1050208</t>
  </si>
  <si>
    <t>天璇位</t>
  </si>
  <si>
    <t>被动招式：暴击概率额外提升。（影响属性：身法）</t>
  </si>
  <si>
    <t>tricks/1050209</t>
  </si>
  <si>
    <t>福生冥</t>
  </si>
  <si>
    <t>被动招式：攻击目标时，如果对方浮空获得1层【福生】效果，额外提升5%的内功攻击,持续5秒。</t>
  </si>
  <si>
    <t>tricks/1050210</t>
  </si>
  <si>
    <t>天晨灌脉</t>
  </si>
  <si>
    <t>化神通玄</t>
  </si>
  <si>
    <t>被动招式：施展【化气贯神】对敌人造成的额外伤害</t>
  </si>
  <si>
    <t>天人衰</t>
  </si>
  <si>
    <t>被动招式：施展【化气贯神】招式后，有25%概率重置该招式，当该招式重置成功后。</t>
  </si>
  <si>
    <t>枪击</t>
  </si>
  <si>
    <t xml:space="preserve">boss技：火枪    连天明 </t>
  </si>
  <si>
    <t>boss技：火枪    连天明。</t>
  </si>
  <si>
    <t>shanzi/Skill11_火枪</t>
  </si>
  <si>
    <t>tricks/1056001</t>
  </si>
  <si>
    <t>暗器</t>
  </si>
  <si>
    <t>广寒挂星</t>
  </si>
  <si>
    <t>后跃，旋转身体，左手从左到右挥出飞刀。
消耗：消耗（2）点真气，
冷却时间：（10s）
攻击部位：（胸部）
攻击距离2-10格
可中断普通攻击</t>
  </si>
  <si>
    <t>3;7</t>
  </si>
  <si>
    <t>主动招式：旋转身体向后跃时挥出飞刀，每把飞刀对目标造成部分外功攻击和内功攻击。（影响属性：外功攻击，内功攻击）</t>
  </si>
  <si>
    <t>anqi/Skill2</t>
  </si>
  <si>
    <t>tricks/1060001</t>
  </si>
  <si>
    <t>鹞哨</t>
  </si>
  <si>
    <t>蹬开，蹬飞敌人（击飞）
消耗：消耗（2）点真气，
冷却时间：（6s）
攻击部位：（胸部）
攻击距离2-10格
可中断普通攻击</t>
  </si>
  <si>
    <t>内功攻击*0.3</t>
  </si>
  <si>
    <t>主动招式：蹬飞敌人，并且对目标造成部分外功攻击和内功攻击。（影响属性：外功攻击，内功攻击）</t>
  </si>
  <si>
    <t>anqi/Skill3</t>
  </si>
  <si>
    <t>tricks/1060002</t>
  </si>
  <si>
    <t>暴雨梨花刀</t>
  </si>
  <si>
    <t>雨骤</t>
  </si>
  <si>
    <t xml:space="preserve">消耗：消耗（6）点真气，
冷却时间：（10s）
攻击部位：（胸部）
攻击距离2-10格
</t>
  </si>
  <si>
    <t>主动招式：隐匿身形，迅疾如风，瞬间刺杀目标。对目标造成部分外功攻击和内功攻击。（影响属性：内息）</t>
  </si>
  <si>
    <t>anqi/Skill1</t>
  </si>
  <si>
    <t>tricks/1060101</t>
  </si>
  <si>
    <t>沾叶</t>
  </si>
  <si>
    <t>提升飞行距离2步。</t>
  </si>
  <si>
    <t>被动招式：提升投掷的暗器飞行距离2步。</t>
  </si>
  <si>
    <t>tricks/1060102</t>
  </si>
  <si>
    <t>花绽盛</t>
  </si>
  <si>
    <t xml:space="preserve">左手向前挥舞半周，甩出5把飞刀，攻击面前90度扇形范围所有敌人，同时给敌人DEBUFF减速20%，持续3秒。
消耗：消耗（3）点真气，
冷却时间：（5s）
攻击部位：（胸部）
攻击距离1-2格
可中断普通攻击
</t>
  </si>
  <si>
    <t>主动招式：左手向前挥舞半周，甩出5把飞刀攻击前方所有敌人，每把飞刀对目标造成部分外功攻击和内功攻击。同时被攻击的敌人获得减速40%效果，持续3秒。（影响属性：内息）</t>
  </si>
  <si>
    <t>减速敌方:0.3,3</t>
  </si>
  <si>
    <t>anqi/Skill4</t>
  </si>
  <si>
    <t>anqi/Skill4_2</t>
  </si>
  <si>
    <t>tricks/1060103</t>
  </si>
  <si>
    <t>流聚催散</t>
  </si>
  <si>
    <t>1技能挥5次</t>
  </si>
  <si>
    <t>被动招式：【雨骤】招式内功攻击提升5%</t>
  </si>
  <si>
    <t>tricks/1060104</t>
  </si>
  <si>
    <t>暴雨梨花</t>
  </si>
  <si>
    <t>身体旋转一周，挥出10把飞刀，攻击全部方向所有敌人
消耗：消耗（5）点真气，
冷却时间：（8s）
攻击部位：（胸部）
攻击距离1-2格
可中断普通攻击</t>
  </si>
  <si>
    <t>主动招式：身体旋转一周，挥出10把飞刀，攻击周围的敌人，每把飞刀对目标造成部分外功攻击和内功攻击。（影响属性：内息）</t>
  </si>
  <si>
    <t>anqi/Skill5</t>
  </si>
  <si>
    <t>tricks/1060105</t>
  </si>
  <si>
    <t>棃绽重</t>
  </si>
  <si>
    <t>被动技能：3技能释放时减少5技能CD1秒。</t>
  </si>
  <si>
    <t>被动招式：【花绽盛】招式释放时减少【暴雨梨花】招式当前调息时间1秒。</t>
  </si>
  <si>
    <t>tricks/1060106</t>
  </si>
  <si>
    <t>旧蔓生</t>
  </si>
  <si>
    <t>所有攻击对有减速DEBUFF的敌人提升5%破甲。</t>
  </si>
  <si>
    <t>被动招式：施展【雨骤】招式时对敌人额外造成5%破甲伤害。</t>
  </si>
  <si>
    <t>tricks/1060107</t>
  </si>
  <si>
    <t>落水葬花</t>
  </si>
  <si>
    <t>提升攻击X+武力*系数/境界</t>
  </si>
  <si>
    <t>被动招式：提升所有招式内功攻击5%。</t>
  </si>
  <si>
    <t>tricks/1060108</t>
  </si>
  <si>
    <t>枯荣花序</t>
  </si>
  <si>
    <t>每一把飞刀给与敌人DEBUFF刺伤，每秒损失1%血量，持续3秒，DEBUFF最多叠加10层，10层时一次性造成150%攻击伤害，并晕眩敌人1秒。</t>
  </si>
  <si>
    <t>被动招式：目标造成伤害时,自身可获得【刺备】效果，该效果叠加10层时在次攻击目标可晕眩敌人1秒。</t>
  </si>
  <si>
    <t>tricks/1060109</t>
  </si>
  <si>
    <t>别离</t>
  </si>
  <si>
    <t>充能飞刀，每2秒多1把，除了1以外，所有攻击的消耗飞刀数量X2，最多充能10把。</t>
  </si>
  <si>
    <t>被动招式：【花绽盛】、【暴雨梨花】招式 每3秒获得1把暗器，最多可累积10把，每次轻击时可消耗一把暗器额外多一次伤害。</t>
  </si>
  <si>
    <t>tricks/1060110</t>
  </si>
  <si>
    <t>枯枝生残</t>
  </si>
  <si>
    <t>横棘刺</t>
  </si>
  <si>
    <t>缠悱恻</t>
  </si>
  <si>
    <t>被动招式：【花绽盛】的减速效果变更为定身效果。</t>
  </si>
  <si>
    <t>羁离谱</t>
  </si>
  <si>
    <t>闻幽声</t>
  </si>
  <si>
    <t>主动招式：将雷火弹敛于袖中，挥洒之际杀机轰鸣，对敌人造成外功伤害。（影响属性：武力）</t>
  </si>
  <si>
    <t>主动招式：将雷火弹敛于袖中，挥洒之际杀机轰鸣，对敌人造成外功伤害。（影响属性：内息）</t>
  </si>
  <si>
    <t>anqi/Skill6</t>
  </si>
  <si>
    <t>锥骨</t>
  </si>
  <si>
    <t>被动招式：造成伤害时，对目标附加一层【羁离】效果，每层减少目标血上限2％，最多叠加3层，持续3秒。</t>
  </si>
  <si>
    <t>追虹影</t>
  </si>
  <si>
    <t>主动招式：杯弓蛇影，杀机暗藏，埋设一枚雷火弹，激发时对周围敌人造成外功伤害。（影响属性：武力）</t>
  </si>
  <si>
    <t>主动招式：杯弓蛇影，杀机暗藏，埋设一枚雷火弹，激发时对周围敌人造成外功伤害。（影响属性：内息）</t>
  </si>
  <si>
    <t>anqi/Skill7</t>
  </si>
  <si>
    <t>剜心</t>
  </si>
  <si>
    <t>被动招式：提升【闻幽声】的招式伤害</t>
  </si>
  <si>
    <t>碎灯花</t>
  </si>
  <si>
    <t>((1+身法*暗器系数*10*0.5)*(1.5/(1.5+0.8+0.8))*1+(外功攻击*1))</t>
  </si>
  <si>
    <t>((1+内息*暗器系数*2*0.5)*(0.5/(0.5+0+0.5))*0.2+(内功攻击*0.05))</t>
  </si>
  <si>
    <t>主动招式：疾掠向前，中敌则反身而起，挥洒星火，对敌人造成多段外功伤害，不中则敛器于袖，隐而不发。（影响属性：武力）</t>
  </si>
  <si>
    <t>主动招式：疾掠向前，中敌则反身而起，挥洒星火，对敌人造成多段外功伤害，不中则敛器于袖，隐而不发。（影响属性：内息）</t>
  </si>
  <si>
    <t>anqi/Skill8</t>
  </si>
  <si>
    <t>削肠</t>
  </si>
  <si>
    <t>被动招式：提升【追虹影】的招式伤害。</t>
  </si>
  <si>
    <t>破势</t>
  </si>
  <si>
    <t>被动招式：进入战斗时，提升伤害2％。</t>
  </si>
  <si>
    <t>杀胆</t>
  </si>
  <si>
    <t>被动招式：进入战斗时，提升5％的移动速度。</t>
  </si>
  <si>
    <t>绝目</t>
  </si>
  <si>
    <t>被动招式：提升【碎灯花】的招式伤害。</t>
  </si>
  <si>
    <t>夜鸦啼霜</t>
  </si>
  <si>
    <t>被动招式：【闻幽声】招式调息时间降低1秒。</t>
  </si>
  <si>
    <t>千离恨</t>
  </si>
  <si>
    <t>被动招式：进入战斗后,武力属性增加3点。</t>
  </si>
  <si>
    <t>却无愁</t>
  </si>
  <si>
    <t>被动招式：提高外功攻击2%。</t>
  </si>
  <si>
    <t>割穹</t>
  </si>
  <si>
    <t>被动招式：进入战斗后,提升6%移动速度。</t>
  </si>
  <si>
    <t>腿脚</t>
  </si>
  <si>
    <t>云龙九现</t>
  </si>
  <si>
    <t>向前上方斜腿踹出，敌浮空1人高
消耗：（2）点真气。
攻击部位：（胸腹）
冷却时间：（6s）
可中断普通攻击</t>
  </si>
  <si>
    <t>外功攻击*1</t>
  </si>
  <si>
    <t>内功攻击*0.2</t>
  </si>
  <si>
    <t>主动招式：向前方突然发力踹出，将敌人踢至空中，并造成外功攻击和内功攻击。（影响属性：外功攻击，内功攻击）</t>
  </si>
  <si>
    <t>tui/Skill5</t>
  </si>
  <si>
    <t>tricks/1090001</t>
  </si>
  <si>
    <t>山川无极</t>
  </si>
  <si>
    <t>飞腿踹。位移技能
消耗：（2）点真气。
攻击部位：（胸腹）
冷却时间：（6s）
可中断普通攻击</t>
  </si>
  <si>
    <t>主动招式：向前飞身踢向敌人，并造成外功攻击和内功攻击。（影响属性：外功攻击，内功攻击）</t>
  </si>
  <si>
    <t>tui/Skill4</t>
  </si>
  <si>
    <t>tricks/1090002</t>
  </si>
  <si>
    <t>醉饮降龙无双式</t>
  </si>
  <si>
    <t>飞龙在天</t>
  </si>
  <si>
    <t>跳起空中5踢，最后一段击飞。</t>
  </si>
  <si>
    <t>((1+武力*腿脚系数*2*0.4)*(1.5/(1.5+1+1))*0.4+(外功攻击*0.7))*0.8</t>
  </si>
  <si>
    <t>(1+内息*腿脚系数*40*0.5)*(1/(1.5+1+1))*0.2+(内功攻击*0.2)</t>
  </si>
  <si>
    <t>主动招式：调息运气，灌风于双腿，凌空跃起在空中对敌人造成5段外功攻击和部分内功攻击。（影响属性：武力）</t>
  </si>
  <si>
    <r>
      <rPr>
        <sz val="11"/>
        <color theme="1"/>
        <rFont val="宋体"/>
        <family val="3"/>
        <charset val="134"/>
        <scheme val="minor"/>
      </rPr>
      <t>809010</t>
    </r>
    <r>
      <rPr>
        <sz val="11"/>
        <color theme="1"/>
        <rFont val="宋体"/>
        <family val="3"/>
        <charset val="134"/>
        <scheme val="minor"/>
      </rPr>
      <t>5</t>
    </r>
  </si>
  <si>
    <t>tui/Skill1</t>
  </si>
  <si>
    <t>tricks/1090101</t>
  </si>
  <si>
    <r>
      <rPr>
        <sz val="10.5"/>
        <color theme="1"/>
        <rFont val="等线"/>
        <family val="3"/>
        <charset val="134"/>
      </rPr>
      <t>醉饮江海</t>
    </r>
  </si>
  <si>
    <t>所有腿攻击（不论是否格挡），都会给对方加一个【慑醉】debuff，敌方防御降低3%，持续5秒</t>
  </si>
  <si>
    <t>被动招式：醉饮降龙无双式中的任意招式，都会给对方加一个【慑醉】效果，降低敌方10%外功防御和内功防御，持续5秒。</t>
  </si>
  <si>
    <t>tricks/1090102</t>
  </si>
  <si>
    <t>龙游天地</t>
  </si>
  <si>
    <r>
      <rPr>
        <sz val="10.5"/>
        <color theme="1"/>
        <rFont val="等线"/>
        <family val="3"/>
        <charset val="134"/>
      </rPr>
      <t>我方跳起双膝攻击敌方胸部，位移攻击。</t>
    </r>
  </si>
  <si>
    <t>(1+武力*腿脚系数*15*0.5)*(0.5/(1+0.5+0.5))*0.9+(外功攻击*2.8)</t>
  </si>
  <si>
    <t>主动招式：纵跃而起，双膝猛撞敌人胸部造成外功攻击和部分内功攻击，并造成敌人退后。（影响属性：武力）</t>
  </si>
  <si>
    <r>
      <rPr>
        <sz val="11"/>
        <color theme="1"/>
        <rFont val="宋体"/>
        <family val="3"/>
        <charset val="134"/>
        <scheme val="minor"/>
      </rPr>
      <t>8090101</t>
    </r>
    <r>
      <rPr>
        <sz val="11"/>
        <color theme="1"/>
        <rFont val="宋体"/>
        <family val="3"/>
        <charset val="134"/>
        <scheme val="minor"/>
      </rPr>
      <t>;8090103</t>
    </r>
  </si>
  <si>
    <t>tui/Skill2</t>
  </si>
  <si>
    <t>tui/Skill2_2</t>
  </si>
  <si>
    <t>tricks/1090103</t>
  </si>
  <si>
    <r>
      <rPr>
        <sz val="10.5"/>
        <color theme="1"/>
        <rFont val="等线"/>
        <family val="3"/>
        <charset val="134"/>
      </rPr>
      <t>醉舞狂歌</t>
    </r>
  </si>
  <si>
    <t>3技能暴击几率提升X+身法*系数/境界。</t>
  </si>
  <si>
    <t>被动招式：招式【龙游天地】的暴击几率提升。（影响属性：身法）</t>
  </si>
  <si>
    <t>tricks/1090104</t>
  </si>
  <si>
    <t>神龙摆尾</t>
  </si>
  <si>
    <r>
      <rPr>
        <sz val="10.5"/>
        <color theme="1"/>
        <rFont val="等线"/>
        <family val="3"/>
        <charset val="134"/>
      </rPr>
      <t>我方在地面3连踢，最后一段击飞</t>
    </r>
  </si>
  <si>
    <t>((1+武力*腿脚系数*2*0.5)*(1/(1.5+1+1))*0.8+(外功攻击*0.8))</t>
  </si>
  <si>
    <t>主动招式：一气呵成的使出连环腿给敌人造成3段外功攻击和部分内功攻击。（影响属性：武力）</t>
  </si>
  <si>
    <r>
      <rPr>
        <sz val="11"/>
        <color theme="1"/>
        <rFont val="宋体"/>
        <family val="3"/>
        <charset val="134"/>
        <scheme val="minor"/>
      </rPr>
      <t>8090102</t>
    </r>
    <r>
      <rPr>
        <sz val="11"/>
        <color theme="1"/>
        <rFont val="宋体"/>
        <family val="3"/>
        <charset val="134"/>
        <scheme val="minor"/>
      </rPr>
      <t>;8090104</t>
    </r>
  </si>
  <si>
    <t>tui/Skill3</t>
  </si>
  <si>
    <t>tricks/1090105</t>
  </si>
  <si>
    <r>
      <rPr>
        <sz val="10.5"/>
        <color theme="1"/>
        <rFont val="等线"/>
        <family val="3"/>
        <charset val="134"/>
      </rPr>
      <t>龙吟四海</t>
    </r>
  </si>
  <si>
    <r>
      <rPr>
        <sz val="10.5"/>
        <color theme="1"/>
        <rFont val="等线"/>
        <family val="3"/>
        <charset val="134"/>
      </rPr>
      <t>3技能暴击且造成伤害时，给敌方DEBUFF【龙吟】，让敌方无法自动回血，持续5秒。</t>
    </r>
  </si>
  <si>
    <t>被动招式：招式【神龙摆尾】产生暴击伤害时，会导致敌人产生【龙吟】效果：气血恢复属性降低100%，持续10秒。</t>
  </si>
  <si>
    <t>tricks/1090106</t>
  </si>
  <si>
    <r>
      <rPr>
        <sz val="10.5"/>
        <color theme="1"/>
        <rFont val="等线"/>
        <family val="3"/>
        <charset val="134"/>
      </rPr>
      <t>云起龙襄</t>
    </r>
  </si>
  <si>
    <r>
      <rPr>
        <sz val="10.5"/>
        <color theme="1"/>
        <rFont val="等线"/>
        <family val="3"/>
        <charset val="134"/>
      </rPr>
      <t>1技能攻击有【龙吟】DEBUFF的敌方伤害提升30%。</t>
    </r>
  </si>
  <si>
    <t>被动招式：招式【飞龙在天】攻击附有【龙吟】效果的敌人提升5%外功攻击。</t>
  </si>
  <si>
    <t>tricks/1090107</t>
  </si>
  <si>
    <r>
      <rPr>
        <sz val="10.5"/>
        <color theme="1"/>
        <rFont val="等线"/>
        <family val="3"/>
        <charset val="134"/>
      </rPr>
      <t>龙跃于渊</t>
    </r>
  </si>
  <si>
    <r>
      <rPr>
        <sz val="10.5"/>
        <color theme="1"/>
        <rFont val="等线"/>
        <family val="3"/>
        <charset val="134"/>
      </rPr>
      <t>5技能释放后，获得BUFF【破渊】，下次3技能暴击几率提升X，持续时间1秒。</t>
    </r>
  </si>
  <si>
    <t>被动招式：施展【神龙摆尾】招式后自身获得【破渊】效果,该效果持续5秒,在效果持续期间施展【龙游天地】招式时暴击几率提升10%。</t>
  </si>
  <si>
    <t>tricks/1090108</t>
  </si>
  <si>
    <r>
      <rPr>
        <sz val="10.5"/>
        <color theme="1"/>
        <rFont val="等线"/>
        <family val="3"/>
        <charset val="134"/>
      </rPr>
      <t>潜龙勿用</t>
    </r>
  </si>
  <si>
    <r>
      <rPr>
        <sz val="10.5"/>
        <color theme="1"/>
        <rFont val="等线"/>
        <family val="3"/>
        <charset val="134"/>
      </rPr>
      <t>DEBUFF【龙吟】降低敌方治疗效果50%（包括吃血瓶和加血技能）。</t>
    </r>
  </si>
  <si>
    <t>被动招式：【龙吟】效果增强为【龙吟·极】：降低敌方治疗效果50%。（包括服药回复和招式回复）</t>
  </si>
  <si>
    <t>tricks/1090109</t>
  </si>
  <si>
    <t>亢龙有悔</t>
  </si>
  <si>
    <r>
      <rPr>
        <sz val="10.5"/>
        <color theme="1"/>
        <rFont val="等线"/>
        <family val="3"/>
        <charset val="134"/>
      </rPr>
      <t>敌方【龙吟】忍满10层时再被腿攻击，必被破格挡和闪避，之后debuff清0</t>
    </r>
  </si>
  <si>
    <t>被动招式：敌方【龙吟】叠满10层时再被任意招式攻击，必定破格挡，之后【龙吟】效果清除。</t>
  </si>
  <si>
    <t>tricks/1090110</t>
  </si>
  <si>
    <t>降世伏龙</t>
  </si>
  <si>
    <t>龙吟镇恶</t>
  </si>
  <si>
    <t>被动招式：攻击附有【龙吟】效果的敌人时额外增加10%暴击伤害</t>
  </si>
  <si>
    <t>独翱天地</t>
  </si>
  <si>
    <t>被动招式：施展【飞龙在天】招式时，获得【霸体】效果</t>
  </si>
  <si>
    <t>踪影孤鸿</t>
  </si>
  <si>
    <t>梭云回日</t>
  </si>
  <si>
    <t>((1+武力*腿脚系数*10*0.5)*(1.0/(1+0.5+0.5))*1+(外功攻击*0.9))</t>
  </si>
  <si>
    <t>((1+内息*腿脚系数*40*0.5)*(1.5/(1.5+1+1))*0.2+(内功攻击*0.2))</t>
  </si>
  <si>
    <t>主动招式：向前快速踢击两次，再接回旋转踢将敌人高高踢起。武力越高，该招式效果越强。</t>
  </si>
  <si>
    <t>tui/Skill6</t>
  </si>
  <si>
    <t>tricks/1090201</t>
  </si>
  <si>
    <t>鸿影无觅</t>
  </si>
  <si>
    <t>被动招式：施展【梭云回日】后，增加自身100移动速度，持续3秒。</t>
  </si>
  <si>
    <t>tricks/1090202</t>
  </si>
  <si>
    <t>纵九霄</t>
  </si>
  <si>
    <t>((1+武力*腿脚系数*10*0.5)*(1/(1.5+1+1))*1+(外功攻击*0.8))</t>
  </si>
  <si>
    <t>主动招式：向上连续踢腿将敌人击飞，然后快速砸地连击空中敌人。武力越高，该招式效果越强。</t>
  </si>
  <si>
    <t>tui/Skill7</t>
  </si>
  <si>
    <t>tricks/1090203</t>
  </si>
  <si>
    <t>孤雁残声</t>
  </si>
  <si>
    <t>被动招式：施展【纵九霄】后，对受到伤害的敌人附加【孤雁】效果，目标移动速度降低30%，效果持续4秒。</t>
  </si>
  <si>
    <t>tricks/1090204</t>
  </si>
  <si>
    <t>雁南归</t>
  </si>
  <si>
    <t>((1+武力*腿脚系数*2*0.5)*(1/(1.5+1+1))*0.8+(外功攻击*1.2))</t>
  </si>
  <si>
    <t>((1+内息*腿脚系数*40*0.5)*(1/(1.5+1+1))*0.2+(内功攻击*0.2))</t>
  </si>
  <si>
    <t>主动招式：后空翻顺势将敌人击飞，再向前飞踢攻击空中的敌人。武力越高，该招式效果越强。</t>
  </si>
  <si>
    <t>tui/Skill8</t>
  </si>
  <si>
    <t>tricks/1090205</t>
  </si>
  <si>
    <t>穿南纵北</t>
  </si>
  <si>
    <t>被动招式：【雁南归】释放时减少【梭云回日】当前调息时间1秒。</t>
  </si>
  <si>
    <t>tricks/1090206</t>
  </si>
  <si>
    <t>栖梧桐</t>
  </si>
  <si>
    <t>被动招式：所有攻击对附有【孤雁】效果的敌人额外降低10%内功和外功防御，持续3秒。</t>
  </si>
  <si>
    <t>tricks/1090207</t>
  </si>
  <si>
    <t>远孤遨</t>
  </si>
  <si>
    <t>被动招式：提升外功攻击。（影响属性：武力）</t>
  </si>
  <si>
    <t>tricks/1090208</t>
  </si>
  <si>
    <t>破云逐浪</t>
  </si>
  <si>
    <t>被动招式：击杀目标后获得【破云】效果，增加自身10%的暴击几率，该效果持续5秒。</t>
  </si>
  <si>
    <t>tricks/1090209</t>
  </si>
  <si>
    <t>归鸿</t>
  </si>
  <si>
    <t>被动招式：攻击附带【孤雁】效果的目标，获得【归鸿】效果，增加自身20%的暴击伤害，该效果持续5秒。</t>
  </si>
  <si>
    <t>tricks/1090210</t>
  </si>
  <si>
    <t>羁旅西东</t>
  </si>
  <si>
    <t>悲雁苦</t>
  </si>
  <si>
    <t>被动招式：施展【雁南归】招式时，对造成伤害的目标减少30%移动速度，该效果持续5秒。</t>
  </si>
  <si>
    <t>孤雁声声</t>
  </si>
  <si>
    <t>被动招式：攻击附带【孤雁】效果的敌人额外增加10%暴击伤害</t>
  </si>
  <si>
    <t>双手轻刃</t>
  </si>
  <si>
    <t>鬼十斩</t>
  </si>
  <si>
    <t>浮空技，转身双手撩剑敌浮空1人高
消耗：（3）点真气。
攻击部位：（胸腹）
冷却时间：（6s）
可中断普通攻击</t>
  </si>
  <si>
    <t>外功攻击*1.18</t>
  </si>
  <si>
    <t>内功攻击*0.13</t>
  </si>
  <si>
    <t>主动招式：以腰为轴，转身双手撩剑将敌人提至空中，且造成外功攻击和部分内功攻击。（影响属性：外功攻击，内功攻击）</t>
  </si>
  <si>
    <t>shuangshouqingren/Skill4</t>
  </si>
  <si>
    <t>tricks/1100001</t>
  </si>
  <si>
    <t>一闪</t>
  </si>
  <si>
    <t>双手持刀前冲，碰到敌人停下。
消耗：（3）点真气。
攻击部位：（胸腹）
冷却时间：（6s）
可中断普通攻击</t>
  </si>
  <si>
    <t>主动招式：双手持刀借势前冲，闪击前方敌人造成外功攻击和部分内功攻击。（影响属性：外功攻击，内功攻击）</t>
  </si>
  <si>
    <t>shuangshouqingren/Skill5</t>
  </si>
  <si>
    <t>tricks/1100002</t>
  </si>
  <si>
    <t>无心流·拔刀术</t>
  </si>
  <si>
    <t>居·合</t>
  </si>
  <si>
    <r>
      <rPr>
        <sz val="10.5"/>
        <color theme="1"/>
        <rFont val="等线"/>
        <family val="3"/>
        <charset val="134"/>
      </rPr>
      <t>拔刀术.居合，击飞。</t>
    </r>
  </si>
  <si>
    <t>((1+武力*拳法系数*20*0.5)*(1.0/(1+0.5+0.5))*0.9+(外功攻击*1.6))</t>
  </si>
  <si>
    <t>((1+内息*拔刀系数*40*0.5)*(1.5/(1.5+1+1))*0.1+(内功攻击*0.1))</t>
  </si>
  <si>
    <t>主动招式：利用刀鞘的阻力让刀在拔出的瞬间产生巨大的爆发力，给前方范围内敌人造成外功攻击和部分内功攻击。（影响属性：武力）</t>
  </si>
  <si>
    <r>
      <rPr>
        <sz val="11"/>
        <color theme="1"/>
        <rFont val="宋体"/>
        <family val="3"/>
        <charset val="134"/>
        <scheme val="minor"/>
      </rPr>
      <t>8100103</t>
    </r>
    <r>
      <rPr>
        <sz val="11"/>
        <color theme="1"/>
        <rFont val="宋体"/>
        <family val="3"/>
        <charset val="134"/>
        <scheme val="minor"/>
      </rPr>
      <t>;8100104</t>
    </r>
  </si>
  <si>
    <t>shuangshouqingren/Skill1</t>
  </si>
  <si>
    <t>tricks/1100101</t>
  </si>
  <si>
    <t>1100101_2</t>
  </si>
  <si>
    <t>shuangshouqingren/Skill1_2</t>
  </si>
  <si>
    <t>流·隙</t>
  </si>
  <si>
    <r>
      <rPr>
        <sz val="10.5"/>
        <color theme="1"/>
        <rFont val="等线"/>
        <family val="3"/>
        <charset val="134"/>
      </rPr>
      <t>X+身法*系数/境界 几率改技能1动作居合为双龙斩（2段伤害，动作不一样），击飞。</t>
    </r>
  </si>
  <si>
    <t>被动招式：施展【刀术.居合】对目标造成伤害时，有概率（影响属性：身法）对目标敌人附加【减速】效果,移动速度降低30%,效果持续5秒。</t>
  </si>
  <si>
    <t>tricks/1100102</t>
  </si>
  <si>
    <t>刀术.里切</t>
  </si>
  <si>
    <t>拔刀术.里切，先右脚前踏一步，再左脚前踏一步，然后释放浮空技</t>
  </si>
  <si>
    <t>(1+武力*拔刀系数*15*0.5)*(0.5/(1+0.5+0.5))*0.9+(外功攻击*3)</t>
  </si>
  <si>
    <t>(1+内息*拔刀系数*40*0.5)*(1.5/(1.5+1+1))*0.1+(内功攻击*0.1)</t>
  </si>
  <si>
    <t>主动招式：通过步法位移施展出拔刀术，产生更强的威力给敌人造成外功攻击和部分内功攻击，并造成浮空。（影响属性：武力）</t>
  </si>
  <si>
    <r>
      <rPr>
        <sz val="11"/>
        <color theme="1"/>
        <rFont val="宋体"/>
        <family val="3"/>
        <charset val="134"/>
        <scheme val="minor"/>
      </rPr>
      <t>8100101</t>
    </r>
    <r>
      <rPr>
        <sz val="11"/>
        <color theme="1"/>
        <rFont val="宋体"/>
        <family val="3"/>
        <charset val="134"/>
        <scheme val="minor"/>
      </rPr>
      <t>;8100102</t>
    </r>
  </si>
  <si>
    <t>shuangshouqingren/Skill2</t>
  </si>
  <si>
    <t>shuangshouqingren/Skill2_2</t>
  </si>
  <si>
    <t>tricks/1100103</t>
  </si>
  <si>
    <t>流·蛭丸</t>
  </si>
  <si>
    <r>
      <rPr>
        <sz val="10.5"/>
        <color theme="1"/>
        <rFont val="等线"/>
        <family val="3"/>
        <charset val="134"/>
      </rPr>
      <t>3技能如果造成伤害&gt;0，给敌方流血DEBUFF，敌方每秒损失总血量的1%，</t>
    </r>
  </si>
  <si>
    <t>被动招式：施展【刀术.里切】后，会给敌人造成【蛭丸】效果，每秒损失气血1%的气血，可叠3层，效果持续5秒。</t>
  </si>
  <si>
    <t>tricks/1100104</t>
  </si>
  <si>
    <t>刀术.里返</t>
  </si>
  <si>
    <r>
      <rPr>
        <sz val="10.5"/>
        <color theme="1"/>
        <rFont val="等线"/>
        <family val="3"/>
        <charset val="134"/>
      </rPr>
      <t>拔刀术.里返，旋转到敌身后，拔刀斩，击飞。（敌方必须转向才能格挡）</t>
    </r>
  </si>
  <si>
    <t>(1+武力*拔刀系数*15*0.5)*(0.5/(1+0.5+0.5))*0.9+(外功攻击*2.6)</t>
  </si>
  <si>
    <t>主动招式：通过转身位移至敌人身后，借助旋转和移动的双重惯性施展拔刀术将爆发力发挥至极致。给敌人造成外功攻击和部分内功攻击。（影响属性：武力）</t>
  </si>
  <si>
    <t>shuangshouqingren/Skill3</t>
  </si>
  <si>
    <t>tricks/1100105</t>
  </si>
  <si>
    <t>流·烈</t>
  </si>
  <si>
    <r>
      <rPr>
        <sz val="10.5"/>
        <color theme="1"/>
        <rFont val="等线"/>
        <family val="3"/>
        <charset val="134"/>
      </rPr>
      <t>1技能攻击流血BUFF敌人，提升伤害10%</t>
    </r>
  </si>
  <si>
    <t>被动招式：施展招式【刀术.居合】攻击附带【蛭丸】效果的敌人，提升外功攻击和暴击几率。（影响属性：武力、身法）</t>
  </si>
  <si>
    <t>tricks/1100106</t>
  </si>
  <si>
    <t>流·戮</t>
  </si>
  <si>
    <r>
      <rPr>
        <sz val="10.5"/>
        <color theme="1"/>
        <rFont val="等线"/>
        <family val="3"/>
        <charset val="134"/>
      </rPr>
      <t>5技能如果造成伤害&gt;0，获得BUFF【逐戮】，提升身法X+内息*系数/境界 ，持续5秒</t>
    </r>
  </si>
  <si>
    <t>被动招式：使用招式【刀术·里切】有概率重置当前招式的调息时间。（影响属性：身法）</t>
  </si>
  <si>
    <t>tricks/1100107</t>
  </si>
  <si>
    <t>流·凪</t>
  </si>
  <si>
    <r>
      <rPr>
        <sz val="10.5"/>
        <color theme="1"/>
        <rFont val="等线"/>
        <family val="3"/>
        <charset val="134"/>
      </rPr>
      <t>1技能被敌方闪避时，获得BUFF【凪刃】，提升命中10%，最多3层，持续10秒。</t>
    </r>
  </si>
  <si>
    <t>被动招式：招式【居合】增加暴击几率。（影响属性：身法）</t>
  </si>
  <si>
    <t>tricks/1100108</t>
  </si>
  <si>
    <t>流·残心</t>
  </si>
  <si>
    <t>3技能有X+内息*系数/境界几率对敌人造成弹反效果（如果敌方格挡）。</t>
  </si>
  <si>
    <t>被动招式：受到伤害时，有30%概率获得【残心】效果，增加反伤属性，持续5秒。（影响属性：筋骨）</t>
  </si>
  <si>
    <t>tricks/1100109</t>
  </si>
  <si>
    <t>奥义·双竜冥</t>
  </si>
  <si>
    <r>
      <rPr>
        <sz val="10.5"/>
        <color theme="1"/>
        <rFont val="等线"/>
        <family val="3"/>
        <charset val="134"/>
      </rPr>
      <t>双龙斩第2击有X+内息*系数/境界 几率暴击，暴击后吸血，值为敌方流血层数*（X+根骨*系数/境界），如果有多个敌人，加起来。最大值不超过自身血量的30%。要有特效显示吸血</t>
    </r>
  </si>
  <si>
    <t>被动招式：招式【居合】攻击附加【蛭丸】效果的目标如果触发暴击伤害，则获得【吸血】效果，增加自身的吸血属性，该效果持续10秒。（影响属性：身法）</t>
  </si>
  <si>
    <t>tricks/1100110</t>
  </si>
  <si>
    <t>升</t>
  </si>
  <si>
    <t>奥义·瞬</t>
  </si>
  <si>
    <t>被动招式：提升招式【居·合】对敌人造成的额外伤害</t>
  </si>
  <si>
    <t>奥义·战</t>
  </si>
  <si>
    <t>被动招式：当触发【吸血】效果时，增加自身气血回复属性10%，该效果持续8秒。</t>
  </si>
  <si>
    <t>密剑·山中石响</t>
  </si>
  <si>
    <t>斩·断石</t>
  </si>
  <si>
    <t>((1+武力*拔刀系数*2*0.5)*(1/(1.5+1+1))*1+(外功攻击*1.3))</t>
  </si>
  <si>
    <t>主动招式：奋力向前砍击，斩出剑气攻击前方敌人。武力越高，该招式效果越强。</t>
  </si>
  <si>
    <t>shuangshouqingren/Skill6</t>
  </si>
  <si>
    <t>tricks/1100201</t>
  </si>
  <si>
    <t>响泉</t>
  </si>
  <si>
    <t>被动招式：施展【斩·断石】后，增加5%的吸血属性，持续3秒。</t>
  </si>
  <si>
    <t>tricks/1100202</t>
  </si>
  <si>
    <t>裟·破林</t>
  </si>
  <si>
    <t>((1+武力*拔刀系数*2*0.5)*(1/(1.5+1+1))*1+(外功攻击*0.9))</t>
  </si>
  <si>
    <t>主动招式：使用身法旋转斩击三击前方的敌人。武力越高，该招式效果越强。</t>
  </si>
  <si>
    <t>shuangshouqingren/Skill7</t>
  </si>
  <si>
    <t>tricks/1100203</t>
  </si>
  <si>
    <t>林纵</t>
  </si>
  <si>
    <t>被动招式：施展【裟·破林】时，自身移动速度增加100，持续4秒。</t>
  </si>
  <si>
    <t>tricks/1100204</t>
  </si>
  <si>
    <t>密·归寂</t>
  </si>
  <si>
    <t>((1+武力*拔刀系数*2*0.4)*(1.5/(1.5+1+1))*0.4+(外功攻击*0.9))</t>
  </si>
  <si>
    <t>主动招式：居合斩快速打击前方的敌人，过程中快速的刀光斩击残留，对击中的敌人形成多段伤害。武力越高，该招式效果越强。</t>
  </si>
  <si>
    <t>shuangshouqingren/Skill8</t>
  </si>
  <si>
    <t>tricks/1100205</t>
  </si>
  <si>
    <t>残心</t>
  </si>
  <si>
    <t>被动招式：施展【密·归寂】时，提升外功攻击。</t>
  </si>
  <si>
    <t>tricks/1100206</t>
  </si>
  <si>
    <t>逆袈</t>
  </si>
  <si>
    <t>被动招式：施展【密·归寂】时，额外增加10%暴击几率。</t>
  </si>
  <si>
    <t>tricks/1100207</t>
  </si>
  <si>
    <t>怀石</t>
  </si>
  <si>
    <t>被动招式：气血低于40%时，增加自身外功防御和内功防御20%。</t>
  </si>
  <si>
    <t>tricks/1100208</t>
  </si>
  <si>
    <t>密·枯寂</t>
  </si>
  <si>
    <t>被动招式：施展【密·归寂】时获得【霸体】效果。</t>
  </si>
  <si>
    <t>tricks/1100209</t>
  </si>
  <si>
    <t>密·神鬼</t>
  </si>
  <si>
    <t>被动招式：增加暴击伤害40%。</t>
  </si>
  <si>
    <t>tricks/1100210</t>
  </si>
  <si>
    <t>斗</t>
  </si>
  <si>
    <t>摧</t>
  </si>
  <si>
    <t>被动招式：提升招式【斩·断石】对敌人造成的额外伤害</t>
  </si>
  <si>
    <t>响水清泉流</t>
  </si>
  <si>
    <t>被动招式：当【响泉】的被动效果生效后，增加全队气血回复属性5%，该效果持续8秒。</t>
  </si>
  <si>
    <t>弑流·伐剑取</t>
  </si>
  <si>
    <t>初取·攻伐</t>
  </si>
  <si>
    <t>((1+武力*拔刀系数*2*0.5)*(1/(1.5+1+1))*1+(外功攻击*1.5))</t>
  </si>
  <si>
    <t>主动招式：藏锋旋割，阴损诡诈，对敌人连续造成两段外功伤害。（影响属性：武力）</t>
  </si>
  <si>
    <t>shuangshouqingren/Skill9</t>
  </si>
  <si>
    <t>士道初</t>
  </si>
  <si>
    <t>被动招式：进入战斗时，外功攻击提升2%。</t>
  </si>
  <si>
    <t>复取·枯戮</t>
  </si>
  <si>
    <t>((1+武力*拔刀系数*2*0.5)*(1/(1.5+1+1))*1+(外功攻击*0.8))</t>
  </si>
  <si>
    <t>主动招式：伏身猛进，挑斩劈削，对敌人造成多段外功伤害。（影响属性：武力）</t>
  </si>
  <si>
    <t>shuangshouqingren/Skill10</t>
  </si>
  <si>
    <t>转取刃</t>
  </si>
  <si>
    <t>被动招式：击杀敌方目标时，增加1%气血恢复属性,该效果最高可叠加10层。</t>
  </si>
  <si>
    <t>终取·残心</t>
  </si>
  <si>
    <t>((1+武力*拔刀系数*2*0.4)*(1.5/(1.5+1+1))*0.4+(外功攻击*0.8))</t>
  </si>
  <si>
    <t>主动招式：大开大阖，斩尽杀绝，对敌人造成多段外功伤害。（影响属性：武力）</t>
  </si>
  <si>
    <t>shuangshouqingren/Skill11</t>
  </si>
  <si>
    <t>影伐步</t>
  </si>
  <si>
    <t>被动招式：为上阵同伴和自己额外增加80点移动速度。</t>
  </si>
  <si>
    <t>流结营</t>
  </si>
  <si>
    <t>被动招式：为上阵同伴和自己额外增加10%外功防御，为自身额外增加2%外功攻击。</t>
  </si>
  <si>
    <t>非空繁花</t>
  </si>
  <si>
    <t>被动招式：提升气血恢复属性。（影响属性：筋骨）</t>
  </si>
  <si>
    <t>秘枯骨</t>
  </si>
  <si>
    <t>被动招式：自身血量每降低5%，提升自身暴击伤害2%。</t>
  </si>
  <si>
    <t>夜叉鬼</t>
  </si>
  <si>
    <t>被动招式：自身血量每降低5%，暴击几率提升0.5%。</t>
  </si>
  <si>
    <t>拟修罗</t>
  </si>
  <si>
    <t>空天鬼</t>
  </si>
  <si>
    <t>被动招式：外功攻击提升2%，体力值上限增加10点。</t>
  </si>
  <si>
    <t>弑血饮</t>
  </si>
  <si>
    <t>被动招式：进入战斗时，提升自身15%吸血属性。</t>
  </si>
  <si>
    <t>天威军阵刀术</t>
  </si>
  <si>
    <t>煌煌天威</t>
  </si>
  <si>
    <t>((1+武力*拔刀系数*2*0.5)*(1/(1.5+1+1))*1+(外功攻击*1.1))</t>
  </si>
  <si>
    <t>主动招式：刀步一体，杀意凛凛，对敌人造成多段外功伤害。（影响属性：武力）</t>
  </si>
  <si>
    <t>shuangshouqingren/Skill12</t>
  </si>
  <si>
    <t>浩然军威</t>
  </si>
  <si>
    <t>被动招式：进入战斗时，外功攻击提升2%，防御力提升2%。</t>
  </si>
  <si>
    <t>破贼虏</t>
  </si>
  <si>
    <t>主动招式：悍猛前突，中敌则动如雷霆，对敌人造成多段外功伤害。不中则暂敛收势，再寻他机。（影响属性：武力）</t>
  </si>
  <si>
    <t>shuangshouqingren/Skill13</t>
  </si>
  <si>
    <t>荡寇诛邪</t>
  </si>
  <si>
    <t>被动招式：对敌方造成伤害时，为敌方附带【军威】效果，每秒损失气血1%的气血，可叠3层，效果持续5秒。</t>
  </si>
  <si>
    <t>守土开疆</t>
  </si>
  <si>
    <t>((1+武力*拔刀系数*2*0.4)*(1.5/(1.5+1+1))*0.4+(外功攻击*0.5))</t>
  </si>
  <si>
    <t>主动招式：攻守一体，渊峙如山，中敌则有进无退，对敌人造成多段外功伤害，不中则雁过留痕，一发即收。（影响属性：武力）</t>
  </si>
  <si>
    <t>shuangshouqingren/Skill14</t>
  </si>
  <si>
    <t>固阵势</t>
  </si>
  <si>
    <t>被动招式：为上阵同伴和自己额外增加2%外功防御。</t>
  </si>
  <si>
    <t>破敌势</t>
  </si>
  <si>
    <t>被动招式：为上阵同伴和自身额外增加2%外功攻击。</t>
  </si>
  <si>
    <t>威震慑</t>
  </si>
  <si>
    <t>被动招式：施展【煌煌天威】招式时伤害提升。</t>
  </si>
  <si>
    <t>镇邪扶正</t>
  </si>
  <si>
    <t>被动招式：攻击附加了【军威】效果的敌人时,获得【镇邪】效果,该效果额外提升5%伤害,持续5秒。</t>
  </si>
  <si>
    <t>荡敌营</t>
  </si>
  <si>
    <t>被动招式：进入战斗时，提升最大气血。</t>
  </si>
  <si>
    <t>将相首</t>
  </si>
  <si>
    <t>锁山河</t>
  </si>
  <si>
    <t>被动招式：提高暴击伤害15%。</t>
  </si>
  <si>
    <t>骋远疆</t>
  </si>
  <si>
    <t>被动招式：提高暴击率10%。</t>
  </si>
  <si>
    <t>流缶金绳镖</t>
  </si>
  <si>
    <t>镖影诡式</t>
  </si>
  <si>
    <t>绳镖</t>
  </si>
  <si>
    <t>外功攻击*0.9</t>
  </si>
  <si>
    <t>内功攻击*0.1</t>
  </si>
  <si>
    <t>主动招式：向前直线甩出绳镖，后侧身同时右手向后发力带起地上的绳镖，带飞路径上所有敌人</t>
  </si>
  <si>
    <t>shengbiao/Skill4</t>
  </si>
  <si>
    <t>tricks/1110001</t>
  </si>
  <si>
    <t>隐火匿尘</t>
  </si>
  <si>
    <t>主动招式：出流星锤头中隐藏的火星，将扩散的火焰燃烧前方的敌人,对敌人造成致盲效果，命中几率降低，该效果持续3秒，同时对攻击范围内的敌人造成外功攻击和部分内功攻击。（影响属性：武力）</t>
  </si>
  <si>
    <t>shengbiao/Skill1</t>
  </si>
  <si>
    <t>tricks/1110101</t>
  </si>
  <si>
    <t>扫岳荡丘</t>
  </si>
  <si>
    <t>((1+武力*绳镖系数*20*0.5)*(1.0/(1+0.5+0.5))*0.9+(外功攻击*1.6))</t>
  </si>
  <si>
    <t>((1+内息*绳镖系数*40*0.5)*(1.5/(1.5+1+1))*0.1+(内功攻击*0.1))*0.1</t>
  </si>
  <si>
    <t>主动招式：施向前方投出钩爪端，后快速拉回，对前方直线敌人造成二次伤害，受到伤害的目标造成外功攻击和部分内功攻击。（影响属性：武力）</t>
  </si>
  <si>
    <t>shengbiao/Skill2</t>
  </si>
  <si>
    <t>tricks/1110103</t>
  </si>
  <si>
    <t>金萤灼秋</t>
  </si>
  <si>
    <t>被动招式：施展【扫岳荡丘】招式对敌人造成伤害时,额外附加1层【灼烧】效果，每叠加1层会使目标流失1%的气血，该效果可以叠加3层效果持续时间3秒。</t>
  </si>
  <si>
    <t>tricks/1110102</t>
  </si>
  <si>
    <t>草蛇金线</t>
  </si>
  <si>
    <t>((1+武力*绳镖系数*20*0.5)*(1.0/(1+0.5+0.5))*0.9+(外功攻击*1.4))</t>
  </si>
  <si>
    <t>主动招式：跳起向斜下方投出钩爪镶入地面，再拉动自身向下撞击路径上的敌人，对目标造成外功攻击和部分内功攻击。（影响属性：武力）</t>
  </si>
  <si>
    <t>shengbiao/Skill3</t>
  </si>
  <si>
    <t>tricks/1110105</t>
  </si>
  <si>
    <t>铁尾撼山</t>
  </si>
  <si>
    <t>被动招式：施展【草蛇金线】招式对敌人造成伤害时，如果受到伤害的敌人中有附带【灼烧】效果，并对所有人增加1层【灼烧】效果，同时【扫岳荡丘】攻击附带该效果的敌人增加暴击伤害。（影响属性：身法）</t>
  </si>
  <si>
    <t>tricks/1110104</t>
  </si>
  <si>
    <t>流星奔散</t>
  </si>
  <si>
    <t>((1+武力*绳镖系数*2*0.4)*(1.5/(1.5+1+1))*0.4+(外功攻击*1.2))*0.6</t>
  </si>
  <si>
    <t>主动招式：举起绳镖一边旋转一边向前跑动，跑动一段后小跳起甩动流星锤端砸地，连续打击路径上所有敌人。</t>
  </si>
  <si>
    <t>shengbiao/Skill5</t>
  </si>
  <si>
    <t>tricks/1110002</t>
  </si>
  <si>
    <t>趋炎赶热</t>
  </si>
  <si>
    <t>被动招式：被动招式【铁尾撼山】中的暴击伤害额外增加10%。</t>
  </si>
  <si>
    <t>tricks/1110106</t>
  </si>
  <si>
    <t>炽蛟吐信</t>
  </si>
  <si>
    <t>被动招式：施展【扫岳荡丘】招式时,对受到伤害的目标降低治疗效果10%,持续5秒。</t>
  </si>
  <si>
    <t>tricks/1110107</t>
  </si>
  <si>
    <t>枉墨矫绳</t>
  </si>
  <si>
    <t>被动招式：被动招式【流星奔散】增加暴击伤害。（影响属性：身法）</t>
  </si>
  <si>
    <t>tricks/1110108</t>
  </si>
  <si>
    <t>火尽灰寒</t>
  </si>
  <si>
    <t>被动招式：攻击附带【灼烧】效果的敌人时，额外增加外功攻击,持续5秒。</t>
  </si>
  <si>
    <t>tricks/1110109</t>
  </si>
  <si>
    <t>金焰敛血</t>
  </si>
  <si>
    <t>被动招式：施展【草蛇金线】招式时，对地面形成1个持续2秒的【火海】效果，停留的敌人每2秒额外造成的伤害，受到伤害额外增加1层【灼烧】效果，并附加2秒【毒火】效果，攻击附加【毒火】效果的敌人暴击几率增加10%。</t>
  </si>
  <si>
    <t>tricks/1110110</t>
  </si>
  <si>
    <t>残恶生念</t>
  </si>
  <si>
    <t>飞星逐日</t>
  </si>
  <si>
    <t>被动招式：提升招式【扫岳荡丘】对敌人造成的额外伤害</t>
  </si>
  <si>
    <t>恶火蛟蛇</t>
  </si>
  <si>
    <t>被动招式：激活【炽蛟吐信】被动注释并且触发该效果后,额外对受到伤害的目标降低30%移动速度，该效果持续5秒。</t>
  </si>
  <si>
    <t>锋狩控弦决</t>
  </si>
  <si>
    <t>纵弓离弦</t>
  </si>
  <si>
    <t>弓箭</t>
  </si>
  <si>
    <t>主动招式：向后团身跳跃，下落中向斜下方射击。</t>
  </si>
  <si>
    <t>主动招式：向后团身跳跃，下落中向斜下方射击，造成外功攻击。（影响属性：外功攻击）</t>
  </si>
  <si>
    <t>gongjian/Skill5</t>
  </si>
  <si>
    <t>tricks/1200002</t>
  </si>
  <si>
    <t>捕兽陷阱</t>
  </si>
  <si>
    <t>主动招式：向前方近距离扔出一个捕兽夹，持续6秒，过程中如果有敌人踩中，对目标造伤害，并且在原地停留一定时间，只对1人生效。</t>
  </si>
  <si>
    <t>主动招式：向前方近距离扔出一个捕兽夹，持续6秒，过程中如果有敌人踩中，对目标造伤害，并且在原地停留一定时间，只对1人生效，造成外功攻击（影响属性：外功攻击）</t>
  </si>
  <si>
    <t>gongjian/Skill1</t>
  </si>
  <si>
    <t>tricks/1200101</t>
  </si>
  <si>
    <t>矢雨晴</t>
  </si>
  <si>
    <t>主动招式：向斜上方瞄准，可用左右键移动靶心，点击攻击后向靶心位置抛物线连续射击3支箭，后2支依次向后增加固定角度仰角。</t>
  </si>
  <si>
    <t>主动招式：向斜上方瞄准，连续射击3支抛物线箭矢，对敌人造成外功攻击。（影响属性：武力）</t>
  </si>
  <si>
    <t>gongjian/Skill4</t>
  </si>
  <si>
    <t>tricks/1200001</t>
  </si>
  <si>
    <t>潋清</t>
  </si>
  <si>
    <t>被动招式：防御力额外提升10%。</t>
  </si>
  <si>
    <t>tricks/1120102</t>
  </si>
  <si>
    <t>寒猎晓镝</t>
  </si>
  <si>
    <t>主动招式：从箭袋里拿箭刺击后转身用同一支箭搭弓下蹲向前射击，对目标造成伤害。</t>
  </si>
  <si>
    <t>((1+武力*弓箭系数*10*0.5)*(1/(1.5+1+1))*1+(外功攻击*0.6))</t>
  </si>
  <si>
    <t>主动招式：从箭袋里拿箭刺击后转身用同一支箭搭弓下蹲向前射击，对目标造成伤害，对目标造成外功攻击。（影响属性：武力）</t>
  </si>
  <si>
    <t>gongjian/Skill2</t>
  </si>
  <si>
    <t>tricks/1200103</t>
  </si>
  <si>
    <t>追寒</t>
  </si>
  <si>
    <t>被动招式：速度提升50点</t>
  </si>
  <si>
    <t>tricks/1120104</t>
  </si>
  <si>
    <t>箭穿杨</t>
  </si>
  <si>
    <t>主动招式：蓄力向前射击，箭矢击中敌人后原地螺旋旋转，对敌人造成伤害。</t>
  </si>
  <si>
    <t>主动招式：蓄力向前射击，箭矢击中敌人后原地螺旋旋转，对敌人造成伤害，对目标造成外功攻击。（影响属性：武力）</t>
  </si>
  <si>
    <t>gongjian/Skill3</t>
  </si>
  <si>
    <t>tricks/1200105</t>
  </si>
  <si>
    <t>身独</t>
  </si>
  <si>
    <t>被动招式：攻击力额外提升10%。</t>
  </si>
  <si>
    <t>被动招式：【寒猎晓镝】招式对造成伤害的目标附加【减速】效果,该效果持续4秒。</t>
  </si>
  <si>
    <t>tricks/1120106</t>
  </si>
  <si>
    <t>弦骤</t>
  </si>
  <si>
    <t>tricks/1120107</t>
  </si>
  <si>
    <t>复林</t>
  </si>
  <si>
    <t>被动招式：气血回复额外提升。（影响属性：内息）</t>
  </si>
  <si>
    <t>被动招式：气血回复额外提升5%。</t>
  </si>
  <si>
    <t>tricks/1120108</t>
  </si>
  <si>
    <t>陷戮</t>
  </si>
  <si>
    <t>被动招式：外功攻击力额外提升5%。</t>
  </si>
  <si>
    <t>tricks/1120109</t>
  </si>
  <si>
    <t>跬步</t>
  </si>
  <si>
    <t>被动招式：命中率额外提升。（影响属性：身法）</t>
  </si>
  <si>
    <t>被动招式：暴击伤害额外提升。（影响属性：身法）</t>
  </si>
  <si>
    <t>tricks/1120110</t>
  </si>
  <si>
    <t>潜狩</t>
  </si>
  <si>
    <t>骤雨急爆</t>
  </si>
  <si>
    <t>被动招式：提升招式【矢雨晴】对敌人造成的额外伤害</t>
  </si>
  <si>
    <t>孑孓独</t>
  </si>
  <si>
    <t>被动招式：【身独】的减速效果变更为定身效果。</t>
  </si>
  <si>
    <t>鳞五净蛊鞭</t>
  </si>
  <si>
    <t>涤山荡野</t>
  </si>
  <si>
    <t>软鞭</t>
  </si>
  <si>
    <t>主动招式：抽击敌人后再上挑，将敌人打飞。（影响属性：外功攻击）</t>
  </si>
  <si>
    <t>ruanbian/Skill4</t>
  </si>
  <si>
    <t>tricks/1130001</t>
  </si>
  <si>
    <t>破踪却敌</t>
  </si>
  <si>
    <t>主动招式：在前方抽击形成音爆，对范围内敌人造成眩晕效果。（影响属性：外功攻击）</t>
  </si>
  <si>
    <t>ruanbian/Skill5</t>
  </si>
  <si>
    <t>tricks/1130002</t>
  </si>
  <si>
    <t>澜沧凌栈</t>
  </si>
  <si>
    <t xml:space="preserve">((1+武力*剑法系数*8*0.5)*(1.0/(1+0.5+0.5))*1+(外功攻击*0.9))       </t>
  </si>
  <si>
    <t>主动招式：向斜上方轴心旋转跳起，带动身体向周围旋转打击，到最高点后向下快速下落向地面抽击。（影响属性：武力）</t>
  </si>
  <si>
    <t>ruanbian/Skill1</t>
  </si>
  <si>
    <t>tricks/1130101</t>
  </si>
  <si>
    <t>丹玉蟾</t>
  </si>
  <si>
    <t xml:space="preserve">        </t>
  </si>
  <si>
    <t>被动招式：施展【澜沧凌栈】招式时减少【天龙佑躯】当前调息时间降低1秒，并且获得【玉蟾】效果，效果持续期间获得【霸体】，该效果持续2秒。</t>
  </si>
  <si>
    <t>tricks/1130102</t>
  </si>
  <si>
    <t>灵蛇刁蛊</t>
  </si>
  <si>
    <t xml:space="preserve">((1+武力*扇子系数*5*0.5)*(1.5/(1.5+1+1))*0.5+(内功攻击*0.6))       </t>
  </si>
  <si>
    <t>主动招式：侧身自后向前直抽出鞭子，命中后连续点击轻击可追加打击，未击中时直接撤回鞭子。（影响属性：武力）</t>
  </si>
  <si>
    <t>ruanbian/Skill2</t>
  </si>
  <si>
    <t>Skill2_7</t>
  </si>
  <si>
    <t>tricks/1130103</t>
  </si>
  <si>
    <t>蜕双生</t>
  </si>
  <si>
    <t>被动招式：施展【灵蛇刁蛊】招式时对【澜沧凌栈】招式当前调息时间降低1秒，并且获得【灵蛇】效果，外功攻击额外增加5%，该效果持续3秒。</t>
  </si>
  <si>
    <t>tricks/1130104</t>
  </si>
  <si>
    <t>天龙佑躯</t>
  </si>
  <si>
    <t xml:space="preserve">((1+武力*扇子系数*5*0.5)*(1.5/(1.5+1+1))*0.5+(内功攻击*0.5))       </t>
  </si>
  <si>
    <t>主动招式：连续转鞭子同时向前移动。（影响属性：武力）</t>
  </si>
  <si>
    <t>ruanbian/Skill3</t>
  </si>
  <si>
    <t>tricks/1130105</t>
  </si>
  <si>
    <t>幻天蛛</t>
  </si>
  <si>
    <t>被动招式：施展【天龙佑躯】招式时，对【灵蛇刁蛊】招式当前调息时间降低1秒，并且获得【天蛛】效果，吸血属性额外增加5%，该效果持续3秒。</t>
  </si>
  <si>
    <t>tricks/1130106</t>
  </si>
  <si>
    <t>饮啜蜈</t>
  </si>
  <si>
    <t>被动招式：施展【澜沧凌栈】招式时额外增加吸血属性。（影响属性：筋骨）</t>
  </si>
  <si>
    <t>tricks/1130107</t>
  </si>
  <si>
    <t>蜘牵丝</t>
  </si>
  <si>
    <t>被动招式：施展【灵蛇刁蛊】招式时对受到伤害的目标附加【牵丝】效果，目标移动速度降低30%，该效果持续3秒。</t>
  </si>
  <si>
    <t>tricks/1130108</t>
  </si>
  <si>
    <t>蝎心毒</t>
  </si>
  <si>
    <t>被动招式：攻击附带【牵丝】效果的敌人时的额外增加外功攻击，该效果持续2秒。（影响属性：武力）</t>
  </si>
  <si>
    <t>tricks/1130109</t>
  </si>
  <si>
    <t>五圣躯</t>
  </si>
  <si>
    <t>被动招式：降低【鳞五净蛊鞭】招式当前调息时间1秒，并且外功攻击额外增加5%，吸血属性额外增加10%。</t>
  </si>
  <si>
    <t>tricks/1130110</t>
  </si>
  <si>
    <t>锻蛊入躯</t>
  </si>
  <si>
    <t>怒江水</t>
  </si>
  <si>
    <t>被动招式：提升招式【澜沧凌栈】对敌人造成的额外伤害</t>
  </si>
  <si>
    <t>情难明</t>
  </si>
  <si>
    <t>被动招式：内功【玄黎蛊瘴】中的【赤蛛织心】招式触发气血回复的血限条件额外增加5%</t>
  </si>
  <si>
    <t>掣骨金虹决</t>
  </si>
  <si>
    <t>取骨</t>
  </si>
  <si>
    <t xml:space="preserve">((1+内息*剑法系数*8*0.5)*(1.0/(1+0.5+0.5))*1+(外功攻击*0.85))       </t>
  </si>
  <si>
    <t>主动招式：先以巧劲将敌人轰扫而起，随后借势连攻要穴，对敌人造成多段外功伤害。（影响属性：武力）</t>
  </si>
  <si>
    <t>ruanbian/Skill6</t>
  </si>
  <si>
    <t>飞虹灼目</t>
  </si>
  <si>
    <t>被动招式：使用【掣骨金虹决】招式造成伤害时额外对敌方附加【灼虹】效果，每秒损失气血1%的气血，效果持续5秒。</t>
  </si>
  <si>
    <t>缠虹</t>
  </si>
  <si>
    <t xml:space="preserve">((1+内息*扇子系数*5*0.5)*(1.5/(1.5+1+1))*0.5+(外功攻击*0.4))       </t>
  </si>
  <si>
    <t>主动招式：大开大阖，遮拦扫打，对敌人造成多段外功伤害。（影响属性：武力）</t>
  </si>
  <si>
    <t>ruanbian/Skill7</t>
  </si>
  <si>
    <t>ruanbian/Skill7_2</t>
  </si>
  <si>
    <t>逆骨生</t>
  </si>
  <si>
    <t>被动招式：外功攻击力额外提升2%。</t>
  </si>
  <si>
    <t>劈世</t>
  </si>
  <si>
    <t>主动招式：内力贯于掌中软兵之上，令其坚逾金铁、刚柔并济，挥洒恣意，并无定势，对敌人造成多段外功伤害。（影响属性：武力）</t>
  </si>
  <si>
    <t>ruanbian/Skill8</t>
  </si>
  <si>
    <t>赤练缠绳</t>
  </si>
  <si>
    <t>被动招式：自身血量低于50%时，造成的伤害提升3%。</t>
  </si>
  <si>
    <t>何所饮</t>
  </si>
  <si>
    <t>被动招式：自身的吸血属性提升10%。</t>
  </si>
  <si>
    <t>断虹瀑</t>
  </si>
  <si>
    <t>被动招式：角色造成伤害时即为目标附加【灼虹】效果。</t>
  </si>
  <si>
    <t>缭乱尽洒</t>
  </si>
  <si>
    <t>被动招式：自身血量低于50%时，造成的伤害提升至5%。</t>
  </si>
  <si>
    <t>归饮金兵</t>
  </si>
  <si>
    <t>被动招式：自身造成的伤害额外提升5%，移动速度提升50点。</t>
  </si>
  <si>
    <t>定骨驮</t>
  </si>
  <si>
    <t>无不尽</t>
  </si>
  <si>
    <t>被动招式：对目标造成伤害时，为自身恢复1点真气值，此效果每20秒仅能触发1次。</t>
  </si>
  <si>
    <t>诛骨断流虹</t>
  </si>
  <si>
    <t>被动招式：自身外功攻击提升3%，且武力额外提升5点。</t>
  </si>
  <si>
    <t>西域火器·珠</t>
  </si>
  <si>
    <t>炸珠·破</t>
  </si>
  <si>
    <t>火器</t>
  </si>
  <si>
    <t>向前方地面射击，在地面形成小爆炸，将敌人击飞</t>
  </si>
  <si>
    <t>主动招式：向前方地面射击，在地面形成小爆炸，将敌人击飞，对敌人造成外功攻击。（影响属性：外功攻击）</t>
  </si>
  <si>
    <t>huoqiang/Skill4</t>
  </si>
  <si>
    <t>tricks/1400001</t>
  </si>
  <si>
    <t>机巧·蓄</t>
  </si>
  <si>
    <t>5秒内加速装填的技能</t>
  </si>
  <si>
    <t>主动招式：5秒内加速装填子弹的速度。</t>
  </si>
  <si>
    <t>huoqiang/Skill5</t>
  </si>
  <si>
    <t>tricks/1400002</t>
  </si>
  <si>
    <t>焰弥烟散</t>
  </si>
  <si>
    <t>向前抛洒火药，在前方持续飘散一段时间，火药本身没有伤害，任意枪械攻击打击火药覆盖后，形成快速连续小爆炸，对范围内的敌人造成伤害。</t>
  </si>
  <si>
    <t>主动招式：向前瞄准射击，有固定蓄力时间，时间到后击发，可打击一直线内所有敌人，对敌人造成外功攻击。（影响属性：武力）</t>
  </si>
  <si>
    <t>huoqiang/Skill1</t>
  </si>
  <si>
    <t>tricks/1400101</t>
  </si>
  <si>
    <t>珠烈</t>
  </si>
  <si>
    <t>被动招式：普通弹药攻击力增加</t>
  </si>
  <si>
    <t>被动招式：普通攻击增加外功攻击。</t>
  </si>
  <si>
    <t>tricks/1140102</t>
  </si>
  <si>
    <t>散珠·蓄</t>
  </si>
  <si>
    <t>子弹可在命中的敌人周围产生小爆炸，蓄力力爆炸范围增大</t>
  </si>
  <si>
    <t>主动招式：子弹可在命中的敌人周围产生小爆炸，蓄力爆炸范围增大，对敌人造成外功攻击。（影响属性：武力）</t>
  </si>
  <si>
    <t>huoqiang/Skill2</t>
  </si>
  <si>
    <t>tricks/1140105</t>
  </si>
  <si>
    <t>散势</t>
  </si>
  <si>
    <t>被动招式：焰弥烟散覆盖范围增加</t>
  </si>
  <si>
    <t>被动招式：进入战斗后,默认额外增加1颗初始子弹数量。</t>
  </si>
  <si>
    <t>tricks/1140104</t>
  </si>
  <si>
    <t>贯珠·定</t>
  </si>
  <si>
    <t>向前瞄准射击，有固定蓄力时间，时间到后击发，可打击一直线内所有敌人，暴击率高</t>
  </si>
  <si>
    <t>主动招式：枪械对前方的敌人瞄准2秒，描述射击会对目标造成外功攻击，并且有40%概率对目标造成暴击效果。（影响属性：武力）</t>
  </si>
  <si>
    <t>huoqiang/Skill3</t>
  </si>
  <si>
    <t>tricks/1400103</t>
  </si>
  <si>
    <t>聚远</t>
  </si>
  <si>
    <t>被动招式：弹容量增加1发</t>
  </si>
  <si>
    <t>被动招式：弹容量增加1发。</t>
  </si>
  <si>
    <t>tricks/1140106</t>
  </si>
  <si>
    <t>燃破</t>
  </si>
  <si>
    <t>被动招式：爆炸伤害增加</t>
  </si>
  <si>
    <t>被动招式：【散珠·蓄】爆炸所产生的伤害增加。（影响属性：武力）</t>
  </si>
  <si>
    <t>tricks/1140107</t>
  </si>
  <si>
    <t>架势</t>
  </si>
  <si>
    <t>被动招式：爆炸有机率对敌人产生灼烧效果</t>
  </si>
  <si>
    <t>tricks/1140108</t>
  </si>
  <si>
    <t>雷惊</t>
  </si>
  <si>
    <t>tricks/1140109</t>
  </si>
  <si>
    <t>蓄势</t>
  </si>
  <si>
    <t>被动招式：增加技能3的暴击几率15%，暴击伤害50%</t>
  </si>
  <si>
    <t>被动招式：增加【贯珠·定】的暴击几率15%，暴击伤害50%。</t>
  </si>
  <si>
    <t>tricks/1140110</t>
  </si>
  <si>
    <t>机枢法</t>
  </si>
  <si>
    <t>木改栝</t>
  </si>
  <si>
    <t>藏隐弹</t>
  </si>
  <si>
    <t>七情缠蛊</t>
  </si>
  <si>
    <t>肋斜剜骨</t>
  </si>
  <si>
    <t>短兵</t>
  </si>
  <si>
    <t>内功攻击*1</t>
  </si>
  <si>
    <t>0；1</t>
  </si>
  <si>
    <t>主动招式：向前上方斜推，攻击敌方两肋，把人托起造成浮空效果，对目标造成内功攻击。（影响属性：内功攻击）</t>
  </si>
  <si>
    <t>duanbing/Skill4</t>
  </si>
  <si>
    <t>tricks/1150001</t>
  </si>
  <si>
    <t>魅魈美人刺</t>
  </si>
  <si>
    <t>主动招式：身体下蹲向前后方刺击，中断普攻，对目标造成内功攻击。（影响属性：内功攻击）</t>
  </si>
  <si>
    <t>duanbing/Skill5</t>
  </si>
  <si>
    <t>tricks/1150002</t>
  </si>
  <si>
    <t>绕蛊缠身</t>
  </si>
  <si>
    <t>向对方进行冲刺攻击，碰到敌人停下</t>
  </si>
  <si>
    <t>1200101_1</t>
  </si>
  <si>
    <t>((1+内息*短兵系数*2*0.5)*(1.5/(1.5+1+1))*0.5+(内功攻击*0.6))</t>
  </si>
  <si>
    <t>主动招式：向前突进，遇到敌人后对前方敌人进行攻击，造成内功攻击。（影响属性：内息）</t>
  </si>
  <si>
    <t>duanbing/Skill1</t>
  </si>
  <si>
    <t>duanbing/Skill1_2</t>
  </si>
  <si>
    <t>tricks/1150101</t>
  </si>
  <si>
    <t>疳蛊</t>
  </si>
  <si>
    <t>被动招式：【绕蛊缠身】对目标造成伤害后，有几率对目标附加【疳蛊】效果，目标每秒损失1％的气血，效果持续7秒。（影响属性：身法）</t>
  </si>
  <si>
    <t>tricks/1150102</t>
  </si>
  <si>
    <t>残空凌</t>
  </si>
  <si>
    <t>((1+内息*短兵系数*2*0.5)*(1.5/(1.5+0.8+0.8))*0.8+(内功攻击*0.3))</t>
  </si>
  <si>
    <t>主动招式：纵身越过敌人的头顶，旋转自身的同时对下方的敌人进行攻击、造成内功攻击。（影响属性：内息）</t>
  </si>
  <si>
    <t>duanbing/Skill2</t>
  </si>
  <si>
    <t>duanbing/Skill2_2</t>
  </si>
  <si>
    <t>tricks/1150103</t>
  </si>
  <si>
    <t>蛊阴蛇</t>
  </si>
  <si>
    <t>被动招式：招式【残空凌】对受到伤害的敌人附加【腐蚀】效果，降低目标15％的内功防御，持续7秒。</t>
  </si>
  <si>
    <t>tricks/1150104</t>
  </si>
  <si>
    <t>青丝缠蛇法</t>
  </si>
  <si>
    <t>((1+内息*短兵系数*2*0.5)*(1/(1.5+1+1))*0.8+(内功攻击*0.8))</t>
  </si>
  <si>
    <t>主动招式：向前空翻，遇到敌人后对其进行割喉，造成内功攻击。（影响属性：内息）</t>
  </si>
  <si>
    <t>duanbing/Skill3</t>
  </si>
  <si>
    <t>duanbing/Skill3_2</t>
  </si>
  <si>
    <t>duanbing/Skill3_3</t>
  </si>
  <si>
    <t>tricks/1150105</t>
  </si>
  <si>
    <t>青丝遍</t>
  </si>
  <si>
    <t>被动招式：招式【残空凌】施展时额外增加5％内功攻击。</t>
  </si>
  <si>
    <t>tricks/1150106</t>
  </si>
  <si>
    <t>淤蛊种血</t>
  </si>
  <si>
    <t>被动招式：施展【绕蛊缠身】招式时增加吸血属性,效果持续5秒。（影响属性，筋骨）</t>
  </si>
  <si>
    <t>tricks/1150107</t>
  </si>
  <si>
    <t>跗骨蛆</t>
  </si>
  <si>
    <t>被动招式：招式【青丝缠蛇法】对带有【腐蚀】效果的敌人附加【减速】效果,该效果持续5秒。</t>
  </si>
  <si>
    <t>tricks/1150108</t>
  </si>
  <si>
    <t>瘴纠蔑</t>
  </si>
  <si>
    <t>被动招式：重击额外增加内功攻击。（影响属性：内息）</t>
  </si>
  <si>
    <t>tricks/1150109</t>
  </si>
  <si>
    <t>催心中害</t>
  </si>
  <si>
    <t>被动招式：短兵通式招式调试时间降低1秒，五圣教轻功招式调息时间降低15秒。</t>
  </si>
  <si>
    <t>tricks/1150110</t>
  </si>
  <si>
    <t>柔蛊心</t>
  </si>
  <si>
    <t>七情缠蛊匕</t>
  </si>
  <si>
    <t>深蛊经</t>
  </si>
  <si>
    <t>被动招式：提升招式【绕蛊缠身】对敌人造成的额外伤害</t>
  </si>
  <si>
    <t>赤心一片</t>
  </si>
  <si>
    <t>月残经</t>
  </si>
  <si>
    <t>身双影残</t>
  </si>
  <si>
    <t>主动招式：向前交叉挥动武器，在前方划出锋利刀光攻击前方敌人，可在施展【独饮邀月】、【谪玉盘】之后按键释放。内息越高，该招式效果越强。</t>
  </si>
  <si>
    <t>duanbing/Skill6</t>
  </si>
  <si>
    <t>duanbing/Skill6_2</t>
  </si>
  <si>
    <t>tricks/1150201</t>
  </si>
  <si>
    <t>月圆晦朔</t>
  </si>
  <si>
    <t>被动招式：施展【身双影残】招式时的暴击几率提升（影响属性：身法）</t>
  </si>
  <si>
    <t>tricks/1150202</t>
  </si>
  <si>
    <t>独饮邀月</t>
  </si>
  <si>
    <t>((1+内息*短兵系数*5*0.5)*(0.5/(1+0.5+0.5))*0.9+(内功攻击*1))</t>
  </si>
  <si>
    <t>主动招式：转身横斩敌人下盘，再高高跃起将敌人打到空中，在空中可按轻、重击或【身双影残】进行追击。内息越高，该招式效果越强。</t>
  </si>
  <si>
    <t>duanbing/Skill7</t>
  </si>
  <si>
    <t>tricks/1150203</t>
  </si>
  <si>
    <t>天涯汐盈</t>
  </si>
  <si>
    <t>被动招式：施展【独饮邀月】后，获得【邀月】效果，三秒内【身双影残】提升内功攻击力5%</t>
  </si>
  <si>
    <t>被动招式：施展【独饮邀月】后，获得【邀月】效果，8秒内【身双影残】提升内功攻击力5%</t>
  </si>
  <si>
    <t>tricks/1150204</t>
  </si>
  <si>
    <t>谪玉盘</t>
  </si>
  <si>
    <t>((1+内息*短兵系数*5*0.5)*(0.5/(1+0.5+0.5))*0.9+(内功攻击*0.9))</t>
  </si>
  <si>
    <t>主动招式：快速向前突进斩击，再空翻将敌人打到空中，在空中可按轻、重击或【身双影残】进行追击。内息越高，该招式效果越强。</t>
  </si>
  <si>
    <t>duanbing/Skill8</t>
  </si>
  <si>
    <t>tricks/1150205</t>
  </si>
  <si>
    <t>暮星披尘</t>
  </si>
  <si>
    <t>被动招式：施展【谪玉盘】后，获得【玉盘】效果，三秒内【身双影残】能暴击概率提升。（影响属性：身法）</t>
  </si>
  <si>
    <t>被动招式：施展【谪玉盘】后，获得【玉盘】效果，8秒内【身双影残】能暴击概率提升。（影响属性：身法）</t>
  </si>
  <si>
    <t>tricks/1150206</t>
  </si>
  <si>
    <t>皓月凌空</t>
  </si>
  <si>
    <t>被动招式：当跳跃时，暴击伤害增加。（影响属性：身法）</t>
  </si>
  <si>
    <t>tricks/1150207</t>
  </si>
  <si>
    <t>桂树折枝</t>
  </si>
  <si>
    <t>被动招式：招式【身双影残】的调息时间降低1秒</t>
  </si>
  <si>
    <t>tricks/1150208</t>
  </si>
  <si>
    <t>广寒远</t>
  </si>
  <si>
    <t>被动招式：增加吸血属性（影响属性：筋骨）</t>
  </si>
  <si>
    <t>tricks/1150209</t>
  </si>
  <si>
    <t>遥光寒</t>
  </si>
  <si>
    <t>被动招式：当自身气血在20%以下时，提升内功攻击。（影响属性：内息）</t>
  </si>
  <si>
    <t>tricks/1150210</t>
  </si>
  <si>
    <t>玉盘清辉</t>
  </si>
  <si>
    <t>残身悲</t>
  </si>
  <si>
    <t>被动招式：提升招式【身双影残】对敌人造成的额外伤害</t>
  </si>
  <si>
    <t>玉盘隐</t>
  </si>
  <si>
    <t>被动招式：当存在【邀月】或【玉盘】效果时，施展【身双影残】招式后获得【月迷风影】效果，敌人的攻击有一定几率无法命中自身。</t>
  </si>
  <si>
    <t>被动招式：当存在【邀月】和【玉盘】效果时，获得【月迷风影】效果，敌人的攻击有一定几率无法命中自身，该效果持续3秒。</t>
  </si>
  <si>
    <t>混合武学</t>
  </si>
  <si>
    <t>主动招式：混合武学自由搭配</t>
  </si>
  <si>
    <t>天涯月明章</t>
  </si>
  <si>
    <t>朔独还</t>
  </si>
  <si>
    <t>内功</t>
  </si>
  <si>
    <t>主动技能：提升10%攻击，降低防御5%，持续5秒，CD30秒。</t>
  </si>
  <si>
    <t>主动招式：提升3%额外伤害，降低5%外功防御和内功防御，效果持续10秒。</t>
  </si>
  <si>
    <t>neigong_tianyayuemingzhang</t>
  </si>
  <si>
    <t>tricks/2010101</t>
  </si>
  <si>
    <t>执无言</t>
  </si>
  <si>
    <t>提升命中10%。</t>
  </si>
  <si>
    <t>被动招式：根据自身属性提升气血恢复5%。</t>
  </si>
  <si>
    <t>tricks/2010102</t>
  </si>
  <si>
    <t>涯无书</t>
  </si>
  <si>
    <t>提升暴击几率 X+身法*系数/境界。</t>
  </si>
  <si>
    <t>被动招式：额外提升暴击几率。（影响属性：身法）</t>
  </si>
  <si>
    <t>tricks/2010103</t>
  </si>
  <si>
    <t>晓月残星</t>
  </si>
  <si>
    <t>1技能提升20%攻击，降低防御10%，CD25秒。</t>
  </si>
  <si>
    <t>被动招式：【朔独还】效果额外提升2%，额外降低3%外功防御和内功防御，调息时间额外降低5秒。</t>
  </si>
  <si>
    <t>tricks/2010104</t>
  </si>
  <si>
    <t>人踟躇</t>
  </si>
  <si>
    <t>暴击时提高移动速度10%，持续5秒。</t>
  </si>
  <si>
    <t>被动招式：产生暴击后提高移动速度10%，持续5秒。</t>
  </si>
  <si>
    <t>tricks/2010105</t>
  </si>
  <si>
    <t>携吴钩</t>
  </si>
  <si>
    <t>提升刀法武学伤害10%。</t>
  </si>
  <si>
    <t>被动招式：提升【沧海观澜刀法】所有主动招式10%暴击伤害。</t>
  </si>
  <si>
    <t>tricks/2010106</t>
  </si>
  <si>
    <t>折桂枝</t>
  </si>
  <si>
    <t>1技能提升30%攻击，降低防御15%，CD20秒。</t>
  </si>
  <si>
    <t>被动招式：【朔独还】效果额外提升2%，额外降低6%外功防御和内功防御，调息时间额外降低5秒。</t>
  </si>
  <si>
    <t>tricks/2010107</t>
  </si>
  <si>
    <t>天涯共此</t>
  </si>
  <si>
    <t>1技能不再降低防御，提升本门刀法暴击伤害 60+内息*系数/境界。</t>
  </si>
  <si>
    <t>被动招式：【朔独还】不在降低外功防御和内功防御，提升【沧海观澜刀法】所有主动招式15%暴击伤害。</t>
  </si>
  <si>
    <t>tricks/2010108</t>
  </si>
  <si>
    <t>共此时</t>
  </si>
  <si>
    <t>被动招式：进入战斗后,武力属性增加2点</t>
  </si>
  <si>
    <t>终慨叹</t>
  </si>
  <si>
    <t>被动招式：【朔独还】调息时间减5秒</t>
  </si>
  <si>
    <t>无名气</t>
  </si>
  <si>
    <t>被动招式：【朔独还】效果额外提升3%额外伤害，降低5%外功防御和内功防御</t>
  </si>
  <si>
    <t>嗤魔祭血真经</t>
  </si>
  <si>
    <t>嗤魔万化</t>
  </si>
  <si>
    <t>【爆气技能】技能CD8秒，血量消耗减少至7%。</t>
  </si>
  <si>
    <t>被动招式：【爆气】招式调息时间额外降低1秒，气血消耗减少5%。</t>
  </si>
  <si>
    <t>tricks/2010201</t>
  </si>
  <si>
    <t>鬼哭阴嚎</t>
  </si>
  <si>
    <t>【爆气技能】技能CD7秒，血量消耗减少至6%。</t>
  </si>
  <si>
    <t>被动招式：【爆气】招式施展后，提升内劲属性20%，持续3秒。</t>
  </si>
  <si>
    <t>tricks/2010203</t>
  </si>
  <si>
    <t>附疽黄泉</t>
  </si>
  <si>
    <t>1技能释放时，身上每个DEBUFF提升5%攻击，可以叠加，持续3秒。</t>
  </si>
  <si>
    <t>被动招式：【爆气】招式施展后，身上每有1个异常效果，额外提升1%外功攻击和内功攻击，最大叠加5层，持续5秒。</t>
  </si>
  <si>
    <t>Debuff数量增加攻击比例,0.02,3</t>
  </si>
  <si>
    <t>tricks/2010204</t>
  </si>
  <si>
    <t>幽魂出窍</t>
  </si>
  <si>
    <t>1技能释放后，提升内劲产生速度20%，持续3秒。</t>
  </si>
  <si>
    <t>被动招式：【爆气】招式调息时间额外降低1秒，血量消耗减少5%。</t>
  </si>
  <si>
    <t>内劲增加比例,0.2,3</t>
  </si>
  <si>
    <t>tricks/2010202</t>
  </si>
  <si>
    <t>残恶两生咒</t>
  </si>
  <si>
    <t>每次被攻击伤害&gt;0提升暴击几率X+身法*系数/境界，持续3秒，最多叠加3层。</t>
  </si>
  <si>
    <t>暂未实现，境界等级超过5</t>
  </si>
  <si>
    <t>被动招式：每次受到伤害提升自身的暴击属性，持续5秒，最多叠加3层。</t>
  </si>
  <si>
    <t>tricks/2010205</t>
  </si>
  <si>
    <t>恶鬼争食</t>
  </si>
  <si>
    <t>每次1技能暴击刷新当前装备武学1技能CD</t>
  </si>
  <si>
    <t>被动招式：每次【爆气】招式产生暴击伤害，立即刷新当前装备的第一个招式的调息时间。</t>
  </si>
  <si>
    <t>tricks/2010206</t>
  </si>
  <si>
    <t>瘟啼无间</t>
  </si>
  <si>
    <t>【爆气技能】技能CD6秒。血量消耗减少至5%</t>
  </si>
  <si>
    <t>被动招式：【爆气】招式调息时间额外降低1秒。气血消耗减少5%。</t>
  </si>
  <si>
    <t>tricks/2010207</t>
  </si>
  <si>
    <t>嗤魔笑</t>
  </si>
  <si>
    <t>承受一次致死攻击时，可自动触发【爆气技能】技能且使用【爆气技能时】不消耗血量，CD5秒。</t>
  </si>
  <si>
    <t>被动招式：当濒死时承受一次致命攻击，可自动触发招式【爆气】且不消耗气血，调息时间10秒。</t>
  </si>
  <si>
    <t>tricks/2010208</t>
  </si>
  <si>
    <t>残躯转</t>
  </si>
  <si>
    <t>被动招式：进入战斗后,内息属性增加2点</t>
  </si>
  <si>
    <t>返世魔</t>
  </si>
  <si>
    <t>被动招式：额外提升体力恢复2点</t>
  </si>
  <si>
    <t>浊饮恶酒</t>
  </si>
  <si>
    <t>被动招式：身上每有1个异常效果，额外提升2%额外伤害</t>
  </si>
  <si>
    <t>连珏天璧法</t>
  </si>
  <si>
    <t>璧碎珠沉</t>
  </si>
  <si>
    <t xml:space="preserve">血量每降低1%，提升防御0.6%，该效果最高可叠加40层。 </t>
  </si>
  <si>
    <t xml:space="preserve">被动招式：血量每降低1%，根据自身属性提升外功防御和内功防御0.8%，该效果最高可叠加99层。 </t>
  </si>
  <si>
    <t>tricks/2010301</t>
  </si>
  <si>
    <t>圭角无痕</t>
  </si>
  <si>
    <t>每秒体力恢复+1点。</t>
  </si>
  <si>
    <t>被动招式：额外提升体力恢复1点。</t>
  </si>
  <si>
    <t>tricks/2010302</t>
  </si>
  <si>
    <t>璞玉浑金</t>
  </si>
  <si>
    <t>提升回血 X+内息*系数/境界 每秒。</t>
  </si>
  <si>
    <t>被动招式：根据自身属性提升气血恢复10%。</t>
  </si>
  <si>
    <t>tricks/2010303</t>
  </si>
  <si>
    <t>乱琼碎玉</t>
  </si>
  <si>
    <t>血量每降低1%，提升防御0.7%</t>
  </si>
  <si>
    <t>被动招式：血量每降低1%，额外提升外功防御和内功防御0.1%。</t>
  </si>
  <si>
    <t>tricks/2010305</t>
  </si>
  <si>
    <t>白璧无瑕</t>
  </si>
  <si>
    <t>格挡时降低体力消耗1点</t>
  </si>
  <si>
    <t>被动招式：格挡时降低体力消耗1点。</t>
  </si>
  <si>
    <t>tricks/2010304</t>
  </si>
  <si>
    <t>金枝菩树</t>
  </si>
  <si>
    <t xml:space="preserve">受到DEBUFF时，有X+内息*系数/境界几率反弹此DEBUFF给攻击者。 </t>
  </si>
  <si>
    <t>被动招式：额外提升10%暴击减免和免暴属性。</t>
  </si>
  <si>
    <t>tricks/2010306</t>
  </si>
  <si>
    <t>珠联璧合</t>
  </si>
  <si>
    <t>血量每降低1%，提升防御0.8%。</t>
  </si>
  <si>
    <t>tricks/2010307</t>
  </si>
  <si>
    <t>完璧不破</t>
  </si>
  <si>
    <t>当血量低于30%时，一次性提升防御500%，持续5秒</t>
  </si>
  <si>
    <t>被动招式：当血量低于30%时，一次性提升外功防御和内功防御100%，持续20秒,每场战斗仅生效1次。</t>
  </si>
  <si>
    <t>tricks/2010308</t>
  </si>
  <si>
    <t>不破壁</t>
  </si>
  <si>
    <t>被动招式：进入战斗后,筋骨属性增加2点</t>
  </si>
  <si>
    <t>剔透玲珑</t>
  </si>
  <si>
    <t>石中玉</t>
  </si>
  <si>
    <t>被动招式：血量每降低1%，额外提升外功防御和内功防御0.2%</t>
  </si>
  <si>
    <t>玄黎蛊瘴</t>
  </si>
  <si>
    <t>赤蛛织心</t>
  </si>
  <si>
    <t>血量低于20%时，瞬间恢复血量X+内息*系数/境界，（特效同吟唱治疗，但无吟唱动作，且有特效），CD45秒</t>
  </si>
  <si>
    <t>被动招式：气血低于20%时，瞬间恢复至最大气血上限30%的气血，每隔5分钟可重复触发该效果。</t>
  </si>
  <si>
    <t>tricks/2010401</t>
  </si>
  <si>
    <t>天龙披山</t>
  </si>
  <si>
    <t>提升防御X+根骨*系数/境界。</t>
  </si>
  <si>
    <t>被动招式：额外提升外功和内功防御。（影响属性：筋骨、内息）</t>
  </si>
  <si>
    <t>tricks/2010402</t>
  </si>
  <si>
    <t>撩蝎剔骨</t>
  </si>
  <si>
    <t>提升软鞭攻击10%。</t>
  </si>
  <si>
    <t>被动招式：根据自身属性提升短兵类武学外功攻击和内功攻击1%。</t>
  </si>
  <si>
    <t>tricks/2010403</t>
  </si>
  <si>
    <t>仙蛛缠月</t>
  </si>
  <si>
    <t>1技能血量判断为25%，CD40秒。</t>
  </si>
  <si>
    <t>被动招式：【赤蛛织心】招式中触发气血回复的血限条件额外增加5%。</t>
  </si>
  <si>
    <t>tricks/2010404</t>
  </si>
  <si>
    <t>灵蛇淬骨</t>
  </si>
  <si>
    <t>身上每个DEBUFF提升攻击1.5%。</t>
  </si>
  <si>
    <t>被动招式：身上每个拥有1个异常效果获得1层【淬骨】效果，提升1.5%内功攻击，最大可叠加20层，该效果持续5秒。</t>
  </si>
  <si>
    <t>tricks/2010405</t>
  </si>
  <si>
    <t>怒鳞拨云</t>
  </si>
  <si>
    <t>霸体时降低伤害20%。</t>
  </si>
  <si>
    <t>被动招式：自身获得【霸体】效果时获得20%伤害减免。</t>
  </si>
  <si>
    <t>tricks/2010406</t>
  </si>
  <si>
    <t>金蟾宝衣</t>
  </si>
  <si>
    <t>1技能血量判断为30%，CD35秒。</t>
  </si>
  <si>
    <t>tricks/2010407</t>
  </si>
  <si>
    <t>玄黎蛊体</t>
  </si>
  <si>
    <t>1技血量判断为40%，且触发回血时降低敌方命中率10%，持续3秒， CD30秒。</t>
  </si>
  <si>
    <t>被动招式：进入战斗后,降低全体敌人命中自身的几率。</t>
  </si>
  <si>
    <t>tricks/2010408</t>
  </si>
  <si>
    <t>蚩尤身</t>
  </si>
  <si>
    <t>蚩尤颅</t>
  </si>
  <si>
    <t>被动招式：自身获得【霸体】效果时获得10%伤害减免</t>
  </si>
  <si>
    <t>浊欢歌</t>
  </si>
  <si>
    <t>被动招式：每个拥有1个异常效果，额外提升1%内功攻击</t>
  </si>
  <si>
    <t>三昧阿修罗道</t>
  </si>
  <si>
    <t>罗睺忿身相</t>
  </si>
  <si>
    <t xml:space="preserve">被动招式：血量每降低1%，提升攻击0.4%，防御降低0.5%。 </t>
  </si>
  <si>
    <t>被动招式：获得【业因】效果，全队参战人员每秒额外恢复2点气血，并且全队提升10%气血恢复属性,同时移动速度提升50</t>
  </si>
  <si>
    <t>tricks/2010501</t>
  </si>
  <si>
    <t>广纳障孽</t>
  </si>
  <si>
    <t>被动招式：血量上限提升X+根骨*系数/境界。</t>
  </si>
  <si>
    <t>被动招式：存活的伙伴气血上限提升。（影响属性：筋骨）</t>
  </si>
  <si>
    <t>tricks/2010502</t>
  </si>
  <si>
    <t>刹鬼缚身</t>
  </si>
  <si>
    <t>被动招式：每一个DEBUFF提升防御X+内息*系数/境界。</t>
  </si>
  <si>
    <t>被动招式：每拥有1个异常效果，自身额外提升外功防御和内功防御。（影响属性：筋骨）</t>
  </si>
  <si>
    <t>tricks/2010503</t>
  </si>
  <si>
    <t>黑绳众狱</t>
  </si>
  <si>
    <t>被动招式：每个在场且存活的同伴提升暴击几率1%。【未开放】</t>
  </si>
  <si>
    <t>被动招式：每个在场且存活的同伴提升暴击概率5%。</t>
  </si>
  <si>
    <t>tricks/2010504</t>
  </si>
  <si>
    <t>明王身</t>
  </si>
  <si>
    <t>被动招式：被治疗时，提升治疗效果30%（包括技能和药品）。</t>
  </si>
  <si>
    <t>被动招式：被治疗时，提升自身治疗效果20%（包括招式和药品）。</t>
  </si>
  <si>
    <t>tricks/2010505</t>
  </si>
  <si>
    <t>势至怒法</t>
  </si>
  <si>
    <t xml:space="preserve">被动招式：每次被暴击时获得霸体，持续1秒。 </t>
  </si>
  <si>
    <t>被动招式：自身每次被暴击时获得霸体，持续1秒。</t>
  </si>
  <si>
    <t>tricks/2010506</t>
  </si>
  <si>
    <t>五浊恶时</t>
  </si>
  <si>
    <t>被动招式：血量每降低1%，提升攻击0.6%，防御降低0.3%。</t>
  </si>
  <si>
    <t>被动招式：自身气血每降低1%，所有伙伴提升0.1%内功攻击，降低0.1%内功防御。</t>
  </si>
  <si>
    <t>tricks/2010507</t>
  </si>
  <si>
    <t>大自在天</t>
  </si>
  <si>
    <t>被动招式：血量每降低1%，提升攻击0.8%，防御降低0.1%，每个同伴死亡时，提升攻击5%。</t>
  </si>
  <si>
    <t>被动招式：战斗中，如果有伙伴阵亡，每位阵亡的伙伴为自身提升5％外功攻击和内功攻击（复活的伙伴如果阵亡不会计算在内）。</t>
  </si>
  <si>
    <t>tricks/2010508</t>
  </si>
  <si>
    <t>离三昧</t>
  </si>
  <si>
    <t>存修罗</t>
  </si>
  <si>
    <t>被动招式：每个在场且存活的同伴提升暴击概率5%</t>
  </si>
  <si>
    <t>尝业障</t>
  </si>
  <si>
    <t>被动招式：【业因】效果额外提升全队参战人员10%气血恢复属性</t>
  </si>
  <si>
    <t>太素灵枢篇</t>
  </si>
  <si>
    <t>神农百草诀</t>
  </si>
  <si>
    <t>瞬间恢复血量X+内息*系数/境界，（动作同吟唱治疗，但无吟唱动作，且有特效），给与自己BUFF，降低内劲产生速度20%，持续5秒，CD45秒</t>
  </si>
  <si>
    <t>主动招式：施展后瞬间恢复气血，并造成自己【气塞】效果，降低内劲增长速度20%，持续5秒。（影响属性：内息）</t>
  </si>
  <si>
    <t>neigong_taisulingshupian</t>
  </si>
  <si>
    <t>tricks/2010601</t>
  </si>
  <si>
    <t>丹脉庇身</t>
  </si>
  <si>
    <t>被动招式：额外提升内功防御。（影响属性：内息）</t>
  </si>
  <si>
    <t>tricks/2010603</t>
  </si>
  <si>
    <t>转经驱脉</t>
  </si>
  <si>
    <t>提升回血 XX+内息*系数/境界 每秒。</t>
  </si>
  <si>
    <t>被动招式：根据自身属性提升气血回复5%。</t>
  </si>
  <si>
    <t>tricks/2010604</t>
  </si>
  <si>
    <t>净辟苏息</t>
  </si>
  <si>
    <t>1技能BUFF附带每秒回复血量X+内息*系数/境界。</t>
  </si>
  <si>
    <t>被动招式：招式【神农百草诀】额外附带【盈血】效果，增加气血恢复属性。持续5秒。（影响属性：内息）</t>
  </si>
  <si>
    <t>tricks/2010602</t>
  </si>
  <si>
    <t>五禽杖</t>
  </si>
  <si>
    <t>提升棍法伤害5%。</t>
  </si>
  <si>
    <t>被动招式：根据自身属性提升长兵类武学外功攻击和内功攻击1%。</t>
  </si>
  <si>
    <t>tricks/2010606</t>
  </si>
  <si>
    <t>五禽健佑</t>
  </si>
  <si>
    <t>受到单次伤害大于自己血量10%时，提升免伤10%，持续5秒。</t>
  </si>
  <si>
    <t>被动招式：1秒内遭受到伤害伤害时获得【五禽】效果：提升最终伤害减免10%，持续5秒。</t>
  </si>
  <si>
    <t>tricks/2010607</t>
  </si>
  <si>
    <t>寸草寒香</t>
  </si>
  <si>
    <t>1技能恢复血量+X，CD35秒。</t>
  </si>
  <si>
    <t>被动招式：招式【神农百草诀】治疗效果根据自身属性额外增加15%，调息时间额外降低15秒。（影响属性：内息）</t>
  </si>
  <si>
    <t>tricks/2010605</t>
  </si>
  <si>
    <t>灵枢妙手</t>
  </si>
  <si>
    <t>1技能不再降低内劲产生速度，BUFF持续8秒，CD30秒。</t>
  </si>
  <si>
    <t>被动招式：招式【神农百草诀】不再有【气塞】效果，内劲额外增长5%。【盈血】恢复效果增加20%，持续时间增至8秒。</t>
  </si>
  <si>
    <t>tricks/2010608</t>
  </si>
  <si>
    <t>顺脉通贯</t>
  </si>
  <si>
    <t>清九黎</t>
  </si>
  <si>
    <t>被动招式：【神农百草诀】调息时间减5秒</t>
  </si>
  <si>
    <t>悬壶济</t>
  </si>
  <si>
    <t>被动招式：治疗效果额外增加10%</t>
  </si>
  <si>
    <t>太玄混元经</t>
  </si>
  <si>
    <t>混元一气诀</t>
  </si>
  <si>
    <t>立刻获得护盾，吸收伤害X+内息*系数/境界，持续20秒，CD40秒，消耗3真元</t>
  </si>
  <si>
    <t>(内息*护盾系数)+100</t>
  </si>
  <si>
    <t>主动招式：施展后立刻获得【混元护体】效果，吸收伤害，持续5秒。（影响属性：内息）</t>
  </si>
  <si>
    <t>主动招式：施展后立刻获得【混元护体】效果，吸收伤害，持续10秒。（影响属性：内息）</t>
  </si>
  <si>
    <t>neigong_taixuanhunyuanjing</t>
  </si>
  <si>
    <t>tricks/2010701</t>
  </si>
  <si>
    <t>道法合和</t>
  </si>
  <si>
    <t>护盾持续时间内，提升体力恢复速度X点 每秒。</t>
  </si>
  <si>
    <t>被动招式：【混元护体】持续时间内，体力恢复额外增加1点。</t>
  </si>
  <si>
    <t>tricks/2010702</t>
  </si>
  <si>
    <t>鹤拂云</t>
  </si>
  <si>
    <t>本门拳法3技能的储能值上限增加（增加值等于护盾的最大吸收伤害值*系数）。</t>
  </si>
  <si>
    <t>被动招式：太极拳招式【太极无极】的储能值上限增加。</t>
  </si>
  <si>
    <t>tricks/2010704</t>
  </si>
  <si>
    <t>洞玄纳真</t>
  </si>
  <si>
    <t>1技能吸收伤害增加X，持续20秒，CD35秒</t>
  </si>
  <si>
    <t>被动招式：【混元一气诀】招式额外吸收伤害。（影响属性：内息）</t>
  </si>
  <si>
    <t>tricks/2010703</t>
  </si>
  <si>
    <t>乾卦昇</t>
  </si>
  <si>
    <t>提升免伤X+身法*系数/境界。</t>
  </si>
  <si>
    <t>被动招式：根据自身属性提升拳掌类武学外功攻击和内功攻击1％。</t>
  </si>
  <si>
    <t>tricks/2010705</t>
  </si>
  <si>
    <t>列冲纯阳</t>
  </si>
  <si>
    <t>本门拳法释放6段攻击的时候有X+身法*系数/境界几率刷新护盾（如果护盾存在）</t>
  </si>
  <si>
    <t>被动招式：【大道始分】招式施展的时候有概率刷新【混元一气诀】当前调息时间。（影响属性：内息）</t>
  </si>
  <si>
    <t>tricks/2010706</t>
  </si>
  <si>
    <t>坤卦载</t>
  </si>
  <si>
    <t>1技能吸收伤害增加X，持续20秒，CD30秒。</t>
  </si>
  <si>
    <t>tricks/2010707</t>
  </si>
  <si>
    <t>太和清气</t>
  </si>
  <si>
    <t>1技能吸收的伤害会转为本门拳法的3技能储能值。</t>
  </si>
  <si>
    <t>被动招式：【混元一气诀】招式调息时间降低15秒。</t>
  </si>
  <si>
    <t>tricks/2010708</t>
  </si>
  <si>
    <t>玄远意</t>
  </si>
  <si>
    <t>一气复明</t>
  </si>
  <si>
    <t>被动招式：【混元一气诀】调息时间减5秒</t>
  </si>
  <si>
    <t>凝气固源</t>
  </si>
  <si>
    <t>悟玄参契</t>
  </si>
  <si>
    <t>北海倒悬</t>
  </si>
  <si>
    <t>键后，以秒为单位持续消耗血量且转为真元，每一秒损失10%血量，转换1真元，血量低于10%则无法使用，可以主动松开按键，CD40秒。</t>
  </si>
  <si>
    <t>主动招式：按下键位可激活招式，该招式每秒损失10％的气血转化1点真元，可以主动取消激活。</t>
  </si>
  <si>
    <t>neigong_wuxuancanqi</t>
  </si>
  <si>
    <t>tricks/2010801</t>
  </si>
  <si>
    <t>用晦而明</t>
  </si>
  <si>
    <t>被动技能：提升攻击X+内息*系数/境界。</t>
  </si>
  <si>
    <t>被动招式：根据自身属性提升内功攻击。（影响属性：内息）</t>
  </si>
  <si>
    <t>tricks/2010802</t>
  </si>
  <si>
    <t>倒果为因</t>
  </si>
  <si>
    <t>吸血提升8%。</t>
  </si>
  <si>
    <t>被动招式：提升8%吸血属性。</t>
  </si>
  <si>
    <t>tricks/2010803</t>
  </si>
  <si>
    <t>同乘同体</t>
  </si>
  <si>
    <t>1技能每一秒损失8%血量，CD30秒。</t>
  </si>
  <si>
    <t>被动招式：【北海倒悬】招式每秒损失8%血量，调息时间降低5秒。</t>
  </si>
  <si>
    <t>tricks/2010807</t>
  </si>
  <si>
    <t>阙少围多</t>
  </si>
  <si>
    <t xml:space="preserve">周围每1个敌人增加血量上限X+内息*系数/境界 </t>
  </si>
  <si>
    <t>被动招式：双手轻刃类招式伤害提升1％</t>
  </si>
  <si>
    <t>tricks/2010804</t>
  </si>
  <si>
    <t>熄命燃性</t>
  </si>
  <si>
    <t>1技能释放时每一秒减少轻功CD1秒（技能释放完之后判断技能持续时间Y秒去小数取整，则轻功剩余的CD时间减去Y秒）。</t>
  </si>
  <si>
    <t>被动招式：【北海倒悬】调息时间降低10秒。</t>
  </si>
  <si>
    <t>tricks/2010805</t>
  </si>
  <si>
    <t>真始玄篇</t>
  </si>
  <si>
    <t>初始真气点数+3</t>
  </si>
  <si>
    <t>被动招式：【北海倒悬】招式每秒损失5%血量，调息时间降低5秒。</t>
  </si>
  <si>
    <t>tricks/2010806</t>
  </si>
  <si>
    <t>敛羽化生势</t>
  </si>
  <si>
    <t>1技能每一秒损失5%血量， CD20秒，1技能释放时霸体且降低敌方伤害10%。</t>
  </si>
  <si>
    <t>被动招式：【北海倒悬】招式施展时获得【霸体】效果，且受到的伤害降低10%，该效果持续5秒。</t>
  </si>
  <si>
    <t>tricks/2010808</t>
  </si>
  <si>
    <t>入北冥</t>
  </si>
  <si>
    <t>海不尽</t>
  </si>
  <si>
    <t>被动招式：【北海倒悬】调息时间减5秒</t>
  </si>
  <si>
    <t>浪涌护</t>
  </si>
  <si>
    <t>被动招式：【北海倒悬】招式施展时受到的伤害额外降低20%</t>
  </si>
  <si>
    <t>吸星噬寰图</t>
  </si>
  <si>
    <t>噬寰吞鸿</t>
  </si>
  <si>
    <t>按键后，消耗10%血量，把正前方4步半径内敌人向我方位置吸引，同时吸取敌方真气，每0.3秒造成1次伤害，每个成功伤害的敌人减少1点真元（如果有真元），且给与我方。持续1.8秒，（随时可以松开按键，或者等技能自动结束）。如果吸取后真元总数量超过自身真元上限Y，会给与自己BUFF真气充溢（提升攻击力百分比（X-Y）Y），持续3秒，真气充溢消失时会自爆给自己造成（X-Y）Y*总血量的伤害，并给与我方DEBUFF，降低20%防御，降低内劲产生速度50%，持续5秒，。（此技能敌方可以格挡，但依然会被吸向施法者移动）</t>
  </si>
  <si>
    <t>主动招式：按下键位后，消耗10%气血，把正前方敌人向我方位置吸引，同时吸取敌方真气并造成内功攻击，每个受到伤害的敌人吸取1点真元。如果吸取的真元超过自身真元上限，获得【充盈】效果，提升自身内功攻击，该效果持续5秒，【充盈】效果消失会产生自爆给自己造成伤害，同时获得【反噬】效果,自身降低20%防御，50%内劲产生速度，持续5秒。</t>
  </si>
  <si>
    <t>neigong_xixingzuohuantu</t>
  </si>
  <si>
    <t>neigong_xixingzuohuantu_2</t>
  </si>
  <si>
    <t>tricks/2010901</t>
  </si>
  <si>
    <t>气荡瀚斗</t>
  </si>
  <si>
    <t>真气充溢BUFF存在时，每次攻击额外造成敌方血量2%的真实伤害。</t>
  </si>
  <si>
    <t>被动招式：真气【充盈】效果存在时，额外提升5%的攻击力加成。</t>
  </si>
  <si>
    <t>tricks/2010902</t>
  </si>
  <si>
    <t>枯髓钻脉</t>
  </si>
  <si>
    <t>被1技能攻击者会受到DEBUFF，降低内劲产生速度30%，持续5秒，不可叠加。</t>
  </si>
  <si>
    <t>被动招式：被【噬寰吞鸿】招式攻击会受降低内劲产生速度30%，持续5秒。</t>
  </si>
  <si>
    <t>tricks/2010903</t>
  </si>
  <si>
    <t>搜山检海</t>
  </si>
  <si>
    <t>1技能持续2.4秒。</t>
  </si>
  <si>
    <t>被动招式：【噬寰吞鸿】招式调息时间降低5秒。</t>
  </si>
  <si>
    <t>tricks/2010904</t>
  </si>
  <si>
    <t>九窍俱裂</t>
  </si>
  <si>
    <t>真气充溢BUFF存在时，提升破甲10%。</t>
  </si>
  <si>
    <t>被动招式：真气【充盈】存在时，增加10%破甲伤害,该效果持续10秒。</t>
  </si>
  <si>
    <t>tricks/2010905</t>
  </si>
  <si>
    <t>玄冥天渊</t>
  </si>
  <si>
    <t>提升真气点数上限X+内息*系数/境界。</t>
  </si>
  <si>
    <t>被动招式：额外增加1点真气上限。</t>
  </si>
  <si>
    <t>tricks/2010906</t>
  </si>
  <si>
    <t>浑天碎穹</t>
  </si>
  <si>
    <t>1技能持续3秒。</t>
  </si>
  <si>
    <t>tricks/2010907</t>
  </si>
  <si>
    <t>星衍万曜</t>
  </si>
  <si>
    <t>1技能自爆后不再有DEBUFF，且自爆时霸体0.5秒（不会因为自爆而硬直），自爆伤害上限为当前血量的50%。</t>
  </si>
  <si>
    <t>被动招式：【噬寰吞鸿】招式自爆后不再受到【反噬】效果影响，且自爆时霸体3秒。</t>
  </si>
  <si>
    <t>tricks/2010908</t>
  </si>
  <si>
    <t>化躯</t>
  </si>
  <si>
    <t>餐星躯</t>
  </si>
  <si>
    <t>被动招式：额外增加1点真气上限</t>
  </si>
  <si>
    <t>冲太虚</t>
  </si>
  <si>
    <t>被动招式：【充盈】存在时，【气荡瀚斗】效果额外提升10秒</t>
  </si>
  <si>
    <t>湘竹葬兰书</t>
  </si>
  <si>
    <t>扶柳飘絮</t>
  </si>
  <si>
    <t>主动技能：提升15%身法，降低血量上限20%，持续10秒，CD30秒</t>
  </si>
  <si>
    <t>主动招式：施展招式后，提升10%暴击几率，消耗20%气血，持续10秒，调息时间30秒</t>
  </si>
  <si>
    <t>1</t>
  </si>
  <si>
    <t>-(hp*0.2)</t>
  </si>
  <si>
    <t>neigong_xiangzhuzanglanshu</t>
  </si>
  <si>
    <t>tricks/2011001</t>
  </si>
  <si>
    <t>竹有骨</t>
  </si>
  <si>
    <t>血量每降低10%提升防御2%。</t>
  </si>
  <si>
    <t>被动招式：气血每降低10%提升2％外功防御防御和内功防御。</t>
  </si>
  <si>
    <t>tricks/2011002</t>
  </si>
  <si>
    <t>敛朱颜</t>
  </si>
  <si>
    <t>提升扇法攻击5%</t>
  </si>
  <si>
    <t>被动招式：根据自身属性提升扇法类武学外功攻击和内功攻击1%。</t>
  </si>
  <si>
    <t>tricks/2011003</t>
  </si>
  <si>
    <t>随花傍柳</t>
  </si>
  <si>
    <t>1技能提升17.5%身法，降低血量上限15%，CD25秒。</t>
  </si>
  <si>
    <t>被动招式：【扶柳飘絮】招式额外提升5%暴击几率，所要消耗的气血额外降低5%。</t>
  </si>
  <si>
    <t>tricks/2011004</t>
  </si>
  <si>
    <t>兰庭叹</t>
  </si>
  <si>
    <t>提升战斗开始时真气点数2+内息*系数/境界</t>
  </si>
  <si>
    <t>被动招式：战斗初始额外获取真气2点</t>
  </si>
  <si>
    <t>tricks/2011005</t>
  </si>
  <si>
    <t>何觅芳兰</t>
  </si>
  <si>
    <t>技能攻击时给敌方DEBUFF【葬兰】，降低敌方内劲生成速度30%，持续5秒。</t>
  </si>
  <si>
    <t>被动招式：【扶柳飘絮】持续期间，受到伤害的目标获得【葬兰】效果，降低敌方内劲生成速度30%，持续5秒。</t>
  </si>
  <si>
    <t>tricks/2011006</t>
  </si>
  <si>
    <t>落英枯雅</t>
  </si>
  <si>
    <t>1技能提升20%身法，降低血量上限10%，CD20秒。</t>
  </si>
  <si>
    <t>tricks/2011007</t>
  </si>
  <si>
    <t>兰竹调</t>
  </si>
  <si>
    <t>满血时，内劲自动生成1点/秒（不需要攻击）, 血量每降低10%，多提升1点，降低本门扇法技能CD1秒。</t>
  </si>
  <si>
    <t>被动招式：降低【悲遮扇法】所有招式调息时间1秒。</t>
  </si>
  <si>
    <t>tricks/2011008</t>
  </si>
  <si>
    <t>泪竹兰</t>
  </si>
  <si>
    <t>藏北海</t>
  </si>
  <si>
    <t>被动招式：【北海倒悬】调息时间减10秒</t>
  </si>
  <si>
    <t>夏秋生发</t>
  </si>
  <si>
    <t>被动招式：【扶柳飘絮】招式额外提升5%暴击几率，所要消耗的气血额外降低5%</t>
  </si>
  <si>
    <t>昭霞别册</t>
  </si>
  <si>
    <t>紫气东来</t>
  </si>
  <si>
    <t>主动技能：给自己BUFF【紫气】，下一次攻击必定晕眩敌人1秒（包括普攻和技能），持续2秒，CD45秒。</t>
  </si>
  <si>
    <t>主动招式：给自己附加【紫气】效果，下一次攻击必定晕眩敌人2秒（仅对近战攻击生效）。</t>
  </si>
  <si>
    <t>neigong_shaoxiabiece</t>
  </si>
  <si>
    <t>tricks/2011101</t>
  </si>
  <si>
    <t>炽霞破晓</t>
  </si>
  <si>
    <t>1BUFF存在时，每次攻击有X+身法*系数/境界几率给敌方上灼烧BUFF，每秒损失血量1%，持续5秒，最多叠加3层。</t>
  </si>
  <si>
    <t>被动招式：【紫气】效果存在时，每次攻击有概率给敌方上【灼霞】效果，每获得1层每秒损失气血1%，持续10秒，最多叠加3层。</t>
  </si>
  <si>
    <t>tricks/2011102</t>
  </si>
  <si>
    <t>璨华贯虹</t>
  </si>
  <si>
    <t>被动技能：攻击带有灼烧BUFF的敌方时，给对手额外造成X+（我方内息-对方内息）*系数/境界的阳性伤害。</t>
  </si>
  <si>
    <t>被动招式：攻击带有【灼霞】效果的目标时，给对手额外造成2%最终伤害。</t>
  </si>
  <si>
    <t>tricks/2011103</t>
  </si>
  <si>
    <t>熠霞辉朝</t>
  </si>
  <si>
    <t>1技能晕眩时间1.5秒，CD40秒。</t>
  </si>
  <si>
    <t>被动招式：【紫气东来】招式调息时间额外降低5秒。</t>
  </si>
  <si>
    <t>tricks/2011104</t>
  </si>
  <si>
    <t>昼霞凝紫</t>
  </si>
  <si>
    <t xml:space="preserve">提升攻击X+内息*系数/境界。 </t>
  </si>
  <si>
    <t>被动招式：施展【紫气东来】，额外提升外功攻击，持续5秒。 （影响属性：武力）</t>
  </si>
  <si>
    <t>tricks/2011105</t>
  </si>
  <si>
    <t>层云叠翳</t>
  </si>
  <si>
    <t>对带有灼烧BUFF的敌方暴击时，刷新灼烧DEBUFF。</t>
  </si>
  <si>
    <t>被动招式：对带有【灼霞】的目标造成暴击时，刷新【灼霞】效果的持续时间。</t>
  </si>
  <si>
    <t>tricks/2011106</t>
  </si>
  <si>
    <t>霞清曜阳</t>
  </si>
  <si>
    <t xml:space="preserve">提升破甲X+内息*系数/境界。 </t>
  </si>
  <si>
    <t>tricks/2011107</t>
  </si>
  <si>
    <t>长天净</t>
  </si>
  <si>
    <t>1技能BUFF下的攻击无法格挡或者弹反，CD30秒。</t>
  </si>
  <si>
    <t>被动招式：【紫气】效果下的攻击无法格挡或者弹反。</t>
  </si>
  <si>
    <t>tricks/2011108</t>
  </si>
  <si>
    <t>紫气凝</t>
  </si>
  <si>
    <t>东难言</t>
  </si>
  <si>
    <t>被动招式：施展【紫气东来】后5秒内必定触发暴击效果，该效果每隔20秒触发1次</t>
  </si>
  <si>
    <t>荡尘世</t>
  </si>
  <si>
    <t>被动招式：攻击带有【灼霞】效果的目标时增加10%破甲伤害,该效果持续10秒</t>
  </si>
  <si>
    <t>禅音狮子吼</t>
  </si>
  <si>
    <t>轰雷贯耳</t>
  </si>
  <si>
    <t>主动技能：施展技能后，以玩家为正前方半圆范围（距离4个身位），敌人必定眩晕，效果持续2秒，技能CD时间40秒</t>
  </si>
  <si>
    <t>主动招式：施展招式后，向前怒吼，对正前方敌人造成【眩晕】效果，并造成外功和内功攻击伤害。（影响属性：武力、内息）</t>
  </si>
  <si>
    <t>neigong_chanyinshizihou</t>
  </si>
  <si>
    <t>tricks/2011201</t>
  </si>
  <si>
    <t>乍破天光</t>
  </si>
  <si>
    <t>内劲增长提供3%。</t>
  </si>
  <si>
    <t>被动招式：根据自身属性内劲增长提供3%。</t>
  </si>
  <si>
    <t>tricks/2011202</t>
  </si>
  <si>
    <t>暮鼓晨钟</t>
  </si>
  <si>
    <t>被动招式：额外提升外功防御和内功防御。（影响属性：筋骨、内息）</t>
  </si>
  <si>
    <t>tricks/2011203</t>
  </si>
  <si>
    <t>啸傲湖山</t>
  </si>
  <si>
    <t>1技能效果持续2.5秒，技能CD时间35秒</t>
  </si>
  <si>
    <t>被动招式： 【轰雷贯耳】招式调息时间降低5秒。</t>
  </si>
  <si>
    <t>tricks/2011204</t>
  </si>
  <si>
    <t>驱雷掣电</t>
  </si>
  <si>
    <t>1技能使用后恢复10点内劲。</t>
  </si>
  <si>
    <t>被动招式：【轰雷贯耳】招式使用后恢复10点内劲。</t>
  </si>
  <si>
    <t>tricks/2011205</t>
  </si>
  <si>
    <t>摧枯折腐</t>
  </si>
  <si>
    <t xml:space="preserve"> 攻击被眩晕的敌人获得10%破甲</t>
  </si>
  <si>
    <t>被动招式：施展【轰雷贯耳】招式后,增加内功攻击3%，持续5秒。</t>
  </si>
  <si>
    <t>tricks/2011206</t>
  </si>
  <si>
    <t>奔雷谲云</t>
  </si>
  <si>
    <t>被眩晕的敌人获得【紊乱】效果，内劲增长降低10%技能</t>
  </si>
  <si>
    <t>被动招式：被眩晕的敌人获得【紊乱】效果，内劲增长降低10%技能,持续10秒。</t>
  </si>
  <si>
    <t>tricks/2011207</t>
  </si>
  <si>
    <t>龙吟虎啸</t>
  </si>
  <si>
    <t>1技能效果持续时间3秒，被眩晕的敌人降低10%外功防御和内功防御，技能CD时间30秒</t>
  </si>
  <si>
    <t>被动招式，【轰雷贯耳】招式施展后，降低目标10%防御力,该效果持续5秒，招式调息时间降低5秒。</t>
  </si>
  <si>
    <t>tricks/2011208</t>
  </si>
  <si>
    <t>罗汉相</t>
  </si>
  <si>
    <t>佛音鸣</t>
  </si>
  <si>
    <t>被动招式：【轰雷贯耳】调息时间减5秒</t>
  </si>
  <si>
    <t>长慈悲</t>
  </si>
  <si>
    <t>被动招式：【轰雷贯耳】招式使用后额外恢复50点内劲</t>
  </si>
  <si>
    <t>金钟护体罩</t>
  </si>
  <si>
    <t>无漏金钟</t>
  </si>
  <si>
    <t>主动技能：施展招式后获得3层【金钟罩】效果，每层持续2秒，持续期间不在恢复玩家体力，同时可以抵挡玩家受到的100%最终伤害，技能CD时间40秒。（没有受击动作） 技能效果：角色播放通用动作【tongyongdongzuo/yinchangzhilliao_a】，同时循环播放金钟罩特效，在BUFF持续时间内，特效循环跟在人身上</t>
  </si>
  <si>
    <t>主动招式：施展招式后获得2层【金钟罩】效果，持续期间不在恢复玩家体力，受到攻击不会产生硬直效果，同时可以抵挡玩家受到的100%最终伤害。</t>
  </si>
  <si>
    <t>neigong_jinzhonghutizhao</t>
  </si>
  <si>
    <t>tricks/2011301</t>
  </si>
  <si>
    <t>金沉共音</t>
  </si>
  <si>
    <t>体力上限增加5。</t>
  </si>
  <si>
    <t>被动招式：体力上限增加5。</t>
  </si>
  <si>
    <t>tricks/2011302</t>
  </si>
  <si>
    <t>至刚至鸣</t>
  </si>
  <si>
    <t>自身血量每降低1%，战场内所有已方成员提升防御0.5%</t>
  </si>
  <si>
    <t>被动招式：自身血量降低至70%%，战场内所有已方成员提升防御15%。</t>
  </si>
  <si>
    <t>tricks/2011305</t>
  </si>
  <si>
    <t>钟鼎不垢</t>
  </si>
  <si>
    <t>1技能【无漏金钟】增加1层【金钟罩】效果，技能CD时间35秒。</t>
  </si>
  <si>
    <t>被动招式：【无漏金钟】额外增加1层【金钟罩】效果，招式调息时间额外降低5秒。</t>
  </si>
  <si>
    <t>tricks/2011304</t>
  </si>
  <si>
    <t>烁金抵岳</t>
  </si>
  <si>
    <t>免暴属性增加10%</t>
  </si>
  <si>
    <t>被动招式：额外提升免暴属性10%。</t>
  </si>
  <si>
    <t>tricks/2011306</t>
  </si>
  <si>
    <t>金城汤池</t>
  </si>
  <si>
    <t>爆伤减免属性增加15%</t>
  </si>
  <si>
    <t>被动招式：额外提升暴击伤害减免属性15%。</t>
  </si>
  <si>
    <t>tricks/2011307</t>
  </si>
  <si>
    <t>菩提种</t>
  </si>
  <si>
    <t>自身血量每降低1%，战场内所有已方成员提升防御0.3%。</t>
  </si>
  <si>
    <t>被动招式：【无漏金钟】额外增加1层【金钟罩】效果，技能调息时间降低5秒。</t>
  </si>
  <si>
    <t>tricks/2011303</t>
  </si>
  <si>
    <t>广震钟三音</t>
  </si>
  <si>
    <t>1技能【无漏金钟】增加2层【金钟罩】效果，效果持续期间体力可以正常恢复，技能CD时间30秒。</t>
  </si>
  <si>
    <t>被动招式：【无漏金钟】效果持续期间体力可以正常恢复，技能调息时间额外降低5秒。</t>
  </si>
  <si>
    <t>tricks/2011308</t>
  </si>
  <si>
    <t>禅合躯</t>
  </si>
  <si>
    <t>不败不垢</t>
  </si>
  <si>
    <t>被动招式：体力上限增加15</t>
  </si>
  <si>
    <t>不止不灭</t>
  </si>
  <si>
    <t>被动招式：【无漏金钟】额外增加1层【金钟罩】效果，技能调息时间降低5秒</t>
  </si>
  <si>
    <t>太虚无极劲</t>
  </si>
  <si>
    <t>虚实相生</t>
  </si>
  <si>
    <t>主动技能：立刻获得2点真气，随后真气产生速度降低30%，持续10秒，CD50秒
消耗：10点体力。</t>
  </si>
  <si>
    <t>主动招式：立刻获得2点真气，随后内劲恢复降低30%，该效果持续10秒。</t>
  </si>
  <si>
    <t>neigong_taixuwujijin</t>
  </si>
  <si>
    <t>tricks/2011401</t>
  </si>
  <si>
    <t>阐幽明微</t>
  </si>
  <si>
    <t>真气点数上限提升 X+内息*系数/境界  点（四舍五入取整）。</t>
  </si>
  <si>
    <t>被动招式：真气上限+1。</t>
  </si>
  <si>
    <t>tricks/2011402</t>
  </si>
  <si>
    <t>为而不争</t>
  </si>
  <si>
    <t>提升攻击（真气点数上限-10）/100*20%</t>
  </si>
  <si>
    <t>被动招式：额外提升内功攻击（影响属性：内息）</t>
  </si>
  <si>
    <t>tricks/2011403</t>
  </si>
  <si>
    <t>见素抱朴</t>
  </si>
  <si>
    <t>1技能获得1点真气，随后内劲产生速度降低20%，持续10秒，CD40秒。</t>
  </si>
  <si>
    <t>被动招式：【虚实相生】招式施展后额外获得1点真气，内劲产生速度额外增加10%，招式调息时间降低5秒。</t>
  </si>
  <si>
    <t>tricks/2011404</t>
  </si>
  <si>
    <t>持盈避锐</t>
  </si>
  <si>
    <t>体力恢复增加X+根骨*系数/境界 每秒。</t>
  </si>
  <si>
    <t>被动招式：每秒额外增加1点体力。</t>
  </si>
  <si>
    <t>tricks/2011405</t>
  </si>
  <si>
    <t>天道行乾</t>
  </si>
  <si>
    <t>本门武学技能暴击时降低当前使用技能CD1秒</t>
  </si>
  <si>
    <t>被动招式：本门武学招式调息时间降低1秒</t>
  </si>
  <si>
    <t>tricks/2011406</t>
  </si>
  <si>
    <t>大实若虚</t>
  </si>
  <si>
    <t>1技能获得2点真气，随后真气产生速度降低10%，持续10秒， CD30秒。</t>
  </si>
  <si>
    <t>被动招式：【虚实相生】招式施展后额外获得2点真气，内劲恢复额外增加10%，招式调息时间降低5秒。</t>
  </si>
  <si>
    <t>tricks/2011407</t>
  </si>
  <si>
    <t>太虚无极</t>
  </si>
  <si>
    <t>1技能不再降低真气产生速度</t>
  </si>
  <si>
    <t>被动招式：【虚实相生】不再降低内劲恢复速度</t>
  </si>
  <si>
    <t>tricks/2011408</t>
  </si>
  <si>
    <t>无极之极</t>
  </si>
  <si>
    <t>长生体</t>
  </si>
  <si>
    <t>被动招式：真气上限+1</t>
  </si>
  <si>
    <t>虚实化意</t>
  </si>
  <si>
    <t>被动招式：【虚实相生】招式施展后额外获得2点真气，内劲恢复额外增加10%，招式调息时间降低5秒</t>
  </si>
  <si>
    <t>霸王卸甲</t>
  </si>
  <si>
    <t>解甲投戈</t>
  </si>
  <si>
    <t>被动技能：血量每降低1%，提升免伤0.1%</t>
  </si>
  <si>
    <t>被动招式：血量每降低1%，额外提升免伤0.2%。</t>
  </si>
  <si>
    <t>tricks/2011501</t>
  </si>
  <si>
    <t>剽勇轻悍</t>
  </si>
  <si>
    <t>每次受到伤害&gt;0时，得到BUFF，提升防御3%，持续5秒，最多5层。</t>
  </si>
  <si>
    <t>被动招式：受到的伤害时，获得1层【悍勇】效果，提升自身防御力属性，持续5秒，最多5层。（影响属性：筋骨）</t>
  </si>
  <si>
    <t>tricks/2011502</t>
  </si>
  <si>
    <t>隙末凶终</t>
  </si>
  <si>
    <t>提升攻击X+内息*系数/境界。</t>
  </si>
  <si>
    <t>被动招式：额外提升外功攻击。(影响属性：武力）</t>
  </si>
  <si>
    <t>tricks/2011503</t>
  </si>
  <si>
    <t>沐血为衣</t>
  </si>
  <si>
    <t>血量每降低1%，提升免伤0.15%。</t>
  </si>
  <si>
    <t>tricks/2011504</t>
  </si>
  <si>
    <t>悍疾如风</t>
  </si>
  <si>
    <t>每次被暴击伤害&gt;0时，降低被暴击几率5%，持续5秒，可叠加最多3层</t>
  </si>
  <si>
    <t>被动招式：每次受到暴击伤害时，提升1层【甲胄】效果免暴属性5%，持续5秒，最多可叠加3层。</t>
  </si>
  <si>
    <t>tricks/2011505</t>
  </si>
  <si>
    <t>遗风余烈</t>
  </si>
  <si>
    <t>每个DEBUFF反弹敌人伤害百分比(X+身法*系数/境界) 伤害，可叠加</t>
  </si>
  <si>
    <t>被动招式：每获得1个的异常效果，获得1层【余烈】效果，增加自身2%的反伤属性，最大可叠加5层，持续10秒。</t>
  </si>
  <si>
    <t>tricks/2011506</t>
  </si>
  <si>
    <t>八面威风</t>
  </si>
  <si>
    <t>血量每降低1%，提升免伤0.2%。</t>
  </si>
  <si>
    <t>tricks/2011507</t>
  </si>
  <si>
    <t>天衣无缝</t>
  </si>
  <si>
    <t>血量每降低1%，提升免伤0.3%，装备次内功的角色进入濒死状态不会死亡，持续5秒</t>
  </si>
  <si>
    <t>被动招式：当装备此内功的角色即将死亡时，触发【死战】效果，角色暂时不会死亡，持续5秒。</t>
  </si>
  <si>
    <t>tricks/2011508</t>
  </si>
  <si>
    <t>闯阵曲</t>
  </si>
  <si>
    <t>此锋锐</t>
  </si>
  <si>
    <t>被动招式：【悍勇】效果持续时间变更为持续10秒</t>
  </si>
  <si>
    <t>狂戮笑</t>
  </si>
  <si>
    <t>被动招式：血量每降低1%，额外提升免伤0.2%</t>
  </si>
  <si>
    <t>青囊宝钞</t>
  </si>
  <si>
    <t>妙手生春</t>
  </si>
  <si>
    <t>主动技能：恢复血量X+内息*系数/境界，前摇1秒（需要单独做动作，且有特效），降低防御15%，持续10秒，CD45秒（需要吟唱，治疗效果大）消耗真气：3点</t>
  </si>
  <si>
    <t>(内息*治疗系数+基础治疗系数)*1.1</t>
  </si>
  <si>
    <t>主动招式：施展招式后恢复自身气血，同时额外降低自身外功和内功防御15%，效果持续10秒。（影响属性：内息）</t>
  </si>
  <si>
    <t>neigong_qingnangbaochao</t>
  </si>
  <si>
    <t>tricks/2011601</t>
  </si>
  <si>
    <t>安神法</t>
  </si>
  <si>
    <t>1技能释放时随机驱散1个DEBUFF。</t>
  </si>
  <si>
    <t>被动招式：【妙手生春】施展时额外提升气血恢复5%,持续10秒。</t>
  </si>
  <si>
    <t>tricks/2011603</t>
  </si>
  <si>
    <t>识穴法</t>
  </si>
  <si>
    <t>提升拳法武学伤害5%。</t>
  </si>
  <si>
    <t>被动招式：根据自身属性提升腿脚类武学外功攻击和内功攻击1%。</t>
  </si>
  <si>
    <t>tricks/2011606</t>
  </si>
  <si>
    <t>养脉法</t>
  </si>
  <si>
    <t>1技能恢复血量+X，CD40秒。</t>
  </si>
  <si>
    <t>被动招式：【妙手生春】治疗效果提升20%，同时额外降低自身外功和内功防御5%，调息时间额外降低5秒。</t>
  </si>
  <si>
    <t>tricks/2011604</t>
  </si>
  <si>
    <t>延寿法</t>
  </si>
  <si>
    <t>提升血量上限X+根骨*系数/境界。</t>
  </si>
  <si>
    <t>被动招式：额外提升气血上限。（影响属性：根骨）</t>
  </si>
  <si>
    <t>tricks/2011607</t>
  </si>
  <si>
    <t>切剖法</t>
  </si>
  <si>
    <t>格挡时减少体力消耗1点。</t>
  </si>
  <si>
    <t>被动招式：格挡时减少体力消耗1点。</t>
  </si>
  <si>
    <t>tricks/2011605</t>
  </si>
  <si>
    <t>枯衣法</t>
  </si>
  <si>
    <t>提升防御10%。</t>
  </si>
  <si>
    <t>被动招式：【妙手生春】治疗效果提升30%，同时额外降低自身外功和内功防御5%。</t>
  </si>
  <si>
    <t>tricks/2011602</t>
  </si>
  <si>
    <t>回生法</t>
  </si>
  <si>
    <t>1技能不再降低防御，CD35秒。</t>
  </si>
  <si>
    <t>被动招式：【妙手生春】不再降低防御，调息时间额外降低5秒。</t>
  </si>
  <si>
    <t>tricks/2011608</t>
  </si>
  <si>
    <t>青壶</t>
  </si>
  <si>
    <t>暖回春意</t>
  </si>
  <si>
    <t>被动招式：【妙手生春】调息时间减5秒</t>
  </si>
  <si>
    <t>盎然青囊医</t>
  </si>
  <si>
    <t>被动招式：治疗效果额外增加15%</t>
  </si>
  <si>
    <t>饮情蛊</t>
  </si>
  <si>
    <t>痴缠两怨</t>
  </si>
  <si>
    <t>被动招式：每次普通攻击额外提升吸血几率，同时自己的内劲产生速度降低20%。</t>
  </si>
  <si>
    <t>tricks/2011701</t>
  </si>
  <si>
    <t>愁绪难消</t>
  </si>
  <si>
    <t>被动招式：提升轻击内功攻击5%。</t>
  </si>
  <si>
    <t>tricks/2011702</t>
  </si>
  <si>
    <t>如芒囚心</t>
  </si>
  <si>
    <t>被动招式：根据自身属性提升气血回复。（影响属性：内息）</t>
  </si>
  <si>
    <t>tricks/2011703</t>
  </si>
  <si>
    <t>欢喜趣</t>
  </si>
  <si>
    <t>被动招式：【痴缠两怨】获取的吸血效果增强，自己的内劲产生速度降低5%。</t>
  </si>
  <si>
    <t>tricks/2011705</t>
  </si>
  <si>
    <t>抵死生</t>
  </si>
  <si>
    <t>被动招式：提升重击内功攻击5%。</t>
  </si>
  <si>
    <t>tricks/2011704</t>
  </si>
  <si>
    <t>乍见欢</t>
  </si>
  <si>
    <t>被动招式：受到伤害时，有25%概率增加15%反伤属性,本场战斗永久生效（每次战斗仅生效1次）。</t>
  </si>
  <si>
    <t>tricks/2011706</t>
  </si>
  <si>
    <t>离怨无缘</t>
  </si>
  <si>
    <t>被动招式：【痴缠两怨】获取的吸血效果增强，自己的内劲产生速度降低5%.</t>
  </si>
  <si>
    <t>tricks/2011707</t>
  </si>
  <si>
    <t>情蛊</t>
  </si>
  <si>
    <t>被动招式：【痴缠两怨】招式不在降低内劲产生速度，轻击对目标造成伤害后获得【因蛊】效果，提升暴击概率5%，该效果持续2秒。</t>
  </si>
  <si>
    <t>tricks/2011708</t>
  </si>
  <si>
    <t>缠情</t>
  </si>
  <si>
    <t>荆情缠</t>
  </si>
  <si>
    <t>被动招式：受到伤害时，有50%概率增加15%反伤属性,本场战斗永久生效（每次战斗仅生效1次）</t>
  </si>
  <si>
    <t>两怨离愁</t>
  </si>
  <si>
    <t>被动招式：【痴缠两怨】获取的吸血效果增强，额外提升气血回复属性</t>
  </si>
  <si>
    <t>支山祁</t>
  </si>
  <si>
    <t>支无祁身</t>
  </si>
  <si>
    <t>主动招式：释放后获得3秒【霸体】效果</t>
  </si>
  <si>
    <t>neigong_zhishanqi</t>
  </si>
  <si>
    <t>tricks/2011801</t>
  </si>
  <si>
    <t>破山荡淮</t>
  </si>
  <si>
    <t>被动招式：【支无祁身】的【霸体】效果增加额外2秒。</t>
  </si>
  <si>
    <t>tricks/2011802</t>
  </si>
  <si>
    <t>涡脉流川</t>
  </si>
  <si>
    <t>被动招式：施展【支无祁身】时，防御力增加，效果持续8秒。（影响属性：筋骨、内息）</t>
  </si>
  <si>
    <t>tricks/2011803</t>
  </si>
  <si>
    <t>淮水锻岳</t>
  </si>
  <si>
    <t>被动招式：施展【支无祁身】时，反伤属性增加，效果持续8秒（。影响属性：筋骨）</t>
  </si>
  <si>
    <t>tricks/2011804</t>
  </si>
  <si>
    <t>古铁横锁</t>
  </si>
  <si>
    <t>tricks/2011805</t>
  </si>
  <si>
    <t>宫阁水君</t>
  </si>
  <si>
    <t>被动招式：【支无祁身】招式的调息时间降低5秒。</t>
  </si>
  <si>
    <t>tricks/2011806</t>
  </si>
  <si>
    <t>诸邪伏拜</t>
  </si>
  <si>
    <t>被动招式：【支无祁身】的【霸体】效果增加至7秒。（不再享受【破山荡淮】效果加成）</t>
  </si>
  <si>
    <t>tricks/2011807</t>
  </si>
  <si>
    <t>予天寿</t>
  </si>
  <si>
    <t>被动招式：【支无祁身】招式的调息时间降低10秒。</t>
  </si>
  <si>
    <t>tricks/2011808</t>
  </si>
  <si>
    <t>镇水</t>
  </si>
  <si>
    <t>君临万水</t>
  </si>
  <si>
    <t>被动招式：根据自身属性提升气血回复5%</t>
  </si>
  <si>
    <t>法相真身</t>
  </si>
  <si>
    <t>被动招式：施展【支无祁身】时，防御力、反伤属性增加，效果持续8秒（影响属性：筋骨、内息）</t>
  </si>
  <si>
    <t>七煞铁衣功</t>
  </si>
  <si>
    <t>煞血骨</t>
  </si>
  <si>
    <t>tricks/2011901</t>
  </si>
  <si>
    <t>折刃</t>
  </si>
  <si>
    <t>被动招式：施展【醉君侯刀铭】武学或【镇国抵岳枪】武学时获得【旗魂】效果,额外增加2%外功攻击,该效果持续3秒。</t>
  </si>
  <si>
    <t>tricks/2011902</t>
  </si>
  <si>
    <t>百战</t>
  </si>
  <si>
    <t>tricks/2011903</t>
  </si>
  <si>
    <t>烽燃</t>
  </si>
  <si>
    <t>tricks/2011904</t>
  </si>
  <si>
    <t>横戈</t>
  </si>
  <si>
    <t>tricks/2011905</t>
  </si>
  <si>
    <t>叱咤</t>
  </si>
  <si>
    <t>tricks/2011906</t>
  </si>
  <si>
    <t>北朔</t>
  </si>
  <si>
    <t>tricks/2011907</t>
  </si>
  <si>
    <t>阴山月</t>
  </si>
  <si>
    <t>被动招式：【醉君侯刀铭】武学施展招式【醉横沙场】时，获得2秒【霸体】效果，【镇国抵岳枪】武学施展招式【独挑乾坤】攻击附加【定军】效果的目标时额外提升5%暴击几率，该效果持续4秒。</t>
  </si>
  <si>
    <t>tricks/2011908</t>
  </si>
  <si>
    <t>向天悲</t>
  </si>
  <si>
    <t>被动招式：进入战斗后,武力属性增加2点。</t>
  </si>
  <si>
    <t>铁衣柔钢</t>
  </si>
  <si>
    <t>血骨饮</t>
  </si>
  <si>
    <t>不仁经</t>
  </si>
  <si>
    <t>刍狗红尘世</t>
  </si>
  <si>
    <t>被动招式：自身血量每降低1%，提升0.1%伤害，该效果最大可叠加40层。</t>
  </si>
  <si>
    <t>诛世刀</t>
  </si>
  <si>
    <t>被动招式：自身暴击提升5%。</t>
  </si>
  <si>
    <t>恨法晦</t>
  </si>
  <si>
    <t>被动招式：对敌方造成暴击伤害时，获得【刀痕】提升自身50点移动速度，持续5秒，不可叠加。</t>
  </si>
  <si>
    <t>笑忘生</t>
  </si>
  <si>
    <t>被动招式：【刀痕】效果持续时，暴击提升5%，暴击伤害提升10%。</t>
  </si>
  <si>
    <t>浊世经文</t>
  </si>
  <si>
    <t>被动招式：每次击杀敌人时，获得【浊意】，每层提升自身2%伤害，持续5秒，最大叠加3层。</t>
  </si>
  <si>
    <t>枯骨界</t>
  </si>
  <si>
    <t>被动招式：进入战斗时，获得3层【浊意】1层【刀痕】。</t>
  </si>
  <si>
    <t>大悲苦</t>
  </si>
  <si>
    <t>被动招式：提升攻击力与防御力。（影响属性：筋骨、内息、武力）</t>
  </si>
  <si>
    <t>枯守红梅</t>
  </si>
  <si>
    <t>被动招式：提升内劲增长10%。</t>
  </si>
  <si>
    <t>恨人痴</t>
  </si>
  <si>
    <t>被动招式：进入战斗后,筋骨属性增加2点。</t>
  </si>
  <si>
    <t>离别苦</t>
  </si>
  <si>
    <t>无穷劫</t>
  </si>
  <si>
    <t>被动招式：提升暴击伤害10%。</t>
  </si>
  <si>
    <t>步海阁</t>
  </si>
  <si>
    <t>轻别离</t>
  </si>
  <si>
    <t>轻功</t>
  </si>
  <si>
    <t>主动技能：提升移动速度15%，持续10秒，CD30秒；消耗真气：1点</t>
  </si>
  <si>
    <t>主动招式：施展后提升移动速度+200，持续10秒。</t>
  </si>
  <si>
    <t>qinggong_buhaige</t>
  </si>
  <si>
    <t>tricks/3010101</t>
  </si>
  <si>
    <t>身飘絮</t>
  </si>
  <si>
    <t>扇子武器增加体力上限10。</t>
  </si>
  <si>
    <t>被动招式：根据自身属性提升体力上限。（影响属性：身法）</t>
  </si>
  <si>
    <t>tricks/3010102</t>
  </si>
  <si>
    <t>车载竹</t>
  </si>
  <si>
    <t>提升命中 XX+身法*系数/境界。</t>
  </si>
  <si>
    <t>被动招式：根据自身属性提升气血上限。（影响属性：筋骨）</t>
  </si>
  <si>
    <t>tricks/3010104</t>
  </si>
  <si>
    <t>风牧松</t>
  </si>
  <si>
    <t>3.1技能提升移动速度20%，CD25秒。</t>
  </si>
  <si>
    <t>被动招式：【轻别离】施展后额外提升移动速度50，调息时间额外降低5秒。</t>
  </si>
  <si>
    <t>tricks/3010103</t>
  </si>
  <si>
    <t>纵阁登楼</t>
  </si>
  <si>
    <t>被动技能：提升回血 XX+内息*系数/境界 每秒</t>
  </si>
  <si>
    <t>tricks/3010105</t>
  </si>
  <si>
    <t>环顾自影</t>
  </si>
  <si>
    <t>被动技能：【悲遮扇法】武学中【生亦欢】招式对目标造成的【中毒】概率增加至50%</t>
  </si>
  <si>
    <t>被动招式：【悲遮扇法】所有武学调息时间减少1秒。</t>
  </si>
  <si>
    <t>tricks/3010107</t>
  </si>
  <si>
    <t>掠寒柏</t>
  </si>
  <si>
    <t>被动技能：1技能提升移动速度25%，CD20秒。</t>
  </si>
  <si>
    <t>被动招式：【轻别离】施展后，移动速度提升50，调息时间额外降低5秒。</t>
  </si>
  <si>
    <t>tricks/3010106</t>
  </si>
  <si>
    <t>海角觅此声</t>
  </si>
  <si>
    <t>被动技能：【归去来】充能完成时间缩短2秒</t>
  </si>
  <si>
    <t>被动招式：【归去来】每8秒额外增加1层【同归】效果。</t>
  </si>
  <si>
    <t>tricks/3010108</t>
  </si>
  <si>
    <t>穿海步履</t>
  </si>
  <si>
    <t>被动招式：进入战斗后,身法属性增加2点</t>
  </si>
  <si>
    <t>海阔两宽</t>
  </si>
  <si>
    <t>被动招式：体力上限额外提升10点</t>
  </si>
  <si>
    <t>离莫寻</t>
  </si>
  <si>
    <t>被动招式：【轻别离】调息时间额外降低5秒，施展后移动速度额外提升50</t>
  </si>
  <si>
    <t>赶蝉游身环</t>
  </si>
  <si>
    <t>粘蝉环步</t>
  </si>
  <si>
    <t>施展后，下个格挡被攻击时必弹反，调息时间40秒</t>
  </si>
  <si>
    <t>主动招式：施展后下个格挡被攻击时必弹反.</t>
  </si>
  <si>
    <t>qinggong_ganchanyoushenhuan</t>
  </si>
  <si>
    <t>tricks/3010201</t>
  </si>
  <si>
    <t>粘蝉劲</t>
  </si>
  <si>
    <t>被动技能：被攻击前先降低目标的命中率X+身法*系数/境界</t>
  </si>
  <si>
    <t>被动招式：被攻击前先降低目标的命中率。</t>
  </si>
  <si>
    <t>tricks/3010202</t>
  </si>
  <si>
    <t>长亭寒</t>
  </si>
  <si>
    <t>提升闪避X+身法*系数/境界。</t>
  </si>
  <si>
    <t>被动招式：每秒额外回复2点体力</t>
  </si>
  <si>
    <t>tricks/3010203</t>
  </si>
  <si>
    <t>鸣皋烟</t>
  </si>
  <si>
    <t>1招式调息时间30秒。</t>
  </si>
  <si>
    <t>被动招式：【粘蝉环步】招式调息时间额外降低5秒。</t>
  </si>
  <si>
    <t>tricks/3010204</t>
  </si>
  <si>
    <t>蝉鸣秋</t>
  </si>
  <si>
    <t>提升命中X+身法*系数/境界。</t>
  </si>
  <si>
    <t>被动招式：移动速度额外增加100点。</t>
  </si>
  <si>
    <t>tricks/3010205</t>
  </si>
  <si>
    <t>游身步</t>
  </si>
  <si>
    <t>被动技能：体力上限提升5</t>
  </si>
  <si>
    <t>被动招式：体力上限额外提升10点。</t>
  </si>
  <si>
    <t>tricks/3010207</t>
  </si>
  <si>
    <t>昼夏生</t>
  </si>
  <si>
    <t>1招式调息时间20秒。</t>
  </si>
  <si>
    <t>tricks/3010206</t>
  </si>
  <si>
    <t>暮蝉运巧</t>
  </si>
  <si>
    <t>本次弹反不耗体力。</t>
  </si>
  <si>
    <t>被动招式：格挡增加20%气血恢复属性,持续5秒。</t>
  </si>
  <si>
    <t>tricks/3010208</t>
  </si>
  <si>
    <t>游寰穿身</t>
  </si>
  <si>
    <t>蝉鸣长生</t>
  </si>
  <si>
    <t>游巧世</t>
  </si>
  <si>
    <t>被动招式：【粘蝉环步】招式调息时间额外降低5秒</t>
  </si>
  <si>
    <t>洄流身法</t>
  </si>
  <si>
    <t>川流不息</t>
  </si>
  <si>
    <t>后跃调息时间减少1秒</t>
  </si>
  <si>
    <t>（暂未实装）后跃调息时间减少1秒</t>
  </si>
  <si>
    <t>tricks/3010301</t>
  </si>
  <si>
    <t>如渠似通</t>
  </si>
  <si>
    <t>（暂未实装）提升闪避X+身法*系数/境界。</t>
  </si>
  <si>
    <t>tricks/3010302</t>
  </si>
  <si>
    <t>水流云散</t>
  </si>
  <si>
    <t>后跃调息时间减少2秒。</t>
  </si>
  <si>
    <t>（暂未实装）后跃调息时间减少2秒。</t>
  </si>
  <si>
    <t>tricks/3010303</t>
  </si>
  <si>
    <t>击水穿石</t>
  </si>
  <si>
    <t>（暂未实装）提升命中X+身法*系数/境界。</t>
  </si>
  <si>
    <t>tricks/3010304</t>
  </si>
  <si>
    <t>洄远山遥</t>
  </si>
  <si>
    <t>后跃调息时间减少3秒。</t>
  </si>
  <si>
    <t>（暂未实装）后跃调息时间减少3秒。</t>
  </si>
  <si>
    <t>tricks/3010305</t>
  </si>
  <si>
    <t>涌泉洄</t>
  </si>
  <si>
    <t>被动技能：每秒体力恢复+1点</t>
  </si>
  <si>
    <t>（暂未实装）被动招式：每秒体力恢复+1点</t>
  </si>
  <si>
    <t>tricks/3010306</t>
  </si>
  <si>
    <t>冲泉灌顶</t>
  </si>
  <si>
    <t>被动技能：体力上限增加10</t>
  </si>
  <si>
    <t>（暂未实装）被动招式：体力上限增加10</t>
  </si>
  <si>
    <t>tricks/3010307</t>
  </si>
  <si>
    <t>易水留歌</t>
  </si>
  <si>
    <t>后跃体力消耗减少5点。</t>
  </si>
  <si>
    <t>（暂未实装）后跃体力消耗减少5点。</t>
  </si>
  <si>
    <t>tricks/3010308</t>
  </si>
  <si>
    <t>奔泉涌</t>
  </si>
  <si>
    <t>洛神踏雪步</t>
  </si>
  <si>
    <t>冰肌玉骨</t>
  </si>
  <si>
    <t>提升闪避率到50%+身法*系数/境界，持续10秒 调息时间30秒</t>
  </si>
  <si>
    <t>主动招式：施展后获得【冰肌】效果：有概率使敌人无法命中自身，持续10秒。</t>
  </si>
  <si>
    <t>qinggong_luoshentaxuebu</t>
  </si>
  <si>
    <t>tricks/3010401</t>
  </si>
  <si>
    <t>繁霜至曙</t>
  </si>
  <si>
    <t>被动招式：提升自身攻击命中敌人的概率。</t>
  </si>
  <si>
    <t>tricks/3010402</t>
  </si>
  <si>
    <t>洛水寒</t>
  </si>
  <si>
    <t>被动技能：每秒额外回复1体力</t>
  </si>
  <si>
    <t>被动招式：每秒额外回复2点体力。</t>
  </si>
  <si>
    <t>tricks/3010404</t>
  </si>
  <si>
    <t>罗袂掩涕</t>
  </si>
  <si>
    <t>1招式提升闪避率到60%+身法*系数/境界，持续2秒 调息时间25秒。</t>
  </si>
  <si>
    <t>被动招式：【冰肌】效果的无法命中自身的概率提升，调息时间额外降低5秒。</t>
  </si>
  <si>
    <t>tricks/3010403</t>
  </si>
  <si>
    <t>暖玉生烟</t>
  </si>
  <si>
    <t>被动技能：提升回血 XX+内息*系数/境界每秒</t>
  </si>
  <si>
    <t>被动招式：移动速度额外增加100。</t>
  </si>
  <si>
    <t>tricks/3010405</t>
  </si>
  <si>
    <t>哀逝异乡</t>
  </si>
  <si>
    <t>1招式持续时如果被命中，恢复10点体力。</t>
  </si>
  <si>
    <t>被动招式：【冰肌玉骨】招式持续时间提升2秒。</t>
  </si>
  <si>
    <t>tricks/3010406</t>
  </si>
  <si>
    <t>神宵蔽光</t>
  </si>
  <si>
    <t>1招式提升闪避率到70%+身法*系数/境界，持续2秒， 调息时间20秒。</t>
  </si>
  <si>
    <t>tricks/3010407</t>
  </si>
  <si>
    <t>鸣玉鸾偕</t>
  </si>
  <si>
    <t>1招式持续3秒。</t>
  </si>
  <si>
    <t>被动招式：【冰肌玉骨】效果持续时如果被命中，恢复10点体力。</t>
  </si>
  <si>
    <t>tricks/3010408</t>
  </si>
  <si>
    <t>飘摇仿佛</t>
  </si>
  <si>
    <t>寒玉暖</t>
  </si>
  <si>
    <t>被动招式：【冰肌玉骨】调息时间减5秒</t>
  </si>
  <si>
    <t>独蹁跹</t>
  </si>
  <si>
    <t>被动招式：体力上限增加10，每秒额外回复2点体力</t>
  </si>
  <si>
    <t>晴梅花步</t>
  </si>
  <si>
    <t>如香故</t>
  </si>
  <si>
    <t>血量每降低5%，提升移动速度1%。</t>
  </si>
  <si>
    <t>被动招式：气血每降低5%，根据自身属性提升移动速度1%。</t>
  </si>
  <si>
    <t>tricks/3010501</t>
  </si>
  <si>
    <t>群芳任妒</t>
  </si>
  <si>
    <t>提升回血 X+内息*系数/境界 每秒</t>
  </si>
  <si>
    <t>被动招式：移动速度额外增加50。</t>
  </si>
  <si>
    <t>tricks/3010502</t>
  </si>
  <si>
    <t>独寒归</t>
  </si>
  <si>
    <t>每秒额外回复1体力</t>
  </si>
  <si>
    <t>被动招式：每秒额外回复1点体力</t>
  </si>
  <si>
    <t>tricks/3010503</t>
  </si>
  <si>
    <t>暗香盖雪</t>
  </si>
  <si>
    <t>血量每降低4%，提升移动速度1%。</t>
  </si>
  <si>
    <t>被动招式：【如香故】判断移动速度增加的气血条件额外降低1%。</t>
  </si>
  <si>
    <t>tricks/3010504</t>
  </si>
  <si>
    <t>寒梅缀枝</t>
  </si>
  <si>
    <t>提升命中X+身法*系数/境界</t>
  </si>
  <si>
    <t>被动招式：体力上限额外增加10点。</t>
  </si>
  <si>
    <t>tricks/3010505</t>
  </si>
  <si>
    <t>傲骨梅十</t>
  </si>
  <si>
    <t>为上阵同伴增加X%外功防御和X%内功防御</t>
  </si>
  <si>
    <t>被动招式：为上阵同伴增加10%防御力。</t>
  </si>
  <si>
    <t>tricks/3010506</t>
  </si>
  <si>
    <t>暮诗咏雪</t>
  </si>
  <si>
    <t>血量每降低3%，提升移动速度1%</t>
  </si>
  <si>
    <t>tricks/3010507</t>
  </si>
  <si>
    <t>淡墨洗砚</t>
  </si>
  <si>
    <t>免伤提升10%，在场每多1个敌人减少1%免伤，最多减少10%。</t>
  </si>
  <si>
    <t>被动招式：在场敌人比自身阵营的人数每多1个，自身提升1%外功攻击和内功攻击，最多增加10%。</t>
  </si>
  <si>
    <t>tricks/3010508</t>
  </si>
  <si>
    <t>傲梅骨</t>
  </si>
  <si>
    <t>孤寒冷香</t>
  </si>
  <si>
    <t>被动招式：体力上限额外增加10点</t>
  </si>
  <si>
    <t>凛梅暗来</t>
  </si>
  <si>
    <t>被动招式：【如香故】判断移动速度增加的气血条件额外降低1%</t>
  </si>
  <si>
    <t>犰狳穿滚术</t>
  </si>
  <si>
    <t>狳甲翻</t>
  </si>
  <si>
    <t>主动招式：如同犰狳打滚一样，以无敌状态向前滚动一段距离。</t>
  </si>
  <si>
    <t>闪避</t>
  </si>
  <si>
    <t>qinggong_qiuyuchuangunshu</t>
  </si>
  <si>
    <t>tricks/3010601</t>
  </si>
  <si>
    <t>叠软猬</t>
  </si>
  <si>
    <t>被动招式：每受到攻击1次，招式【狳甲翻】调息时间立即减少1秒。</t>
  </si>
  <si>
    <t>被动招式：每受到攻击1次，招式【狳甲翻】当前调息时间立即减少1秒。</t>
  </si>
  <si>
    <t>tricks/3010602</t>
  </si>
  <si>
    <t>甲御鳞</t>
  </si>
  <si>
    <t>被动招式：每秒额外回复1体力。</t>
  </si>
  <si>
    <t>tricks/3010604</t>
  </si>
  <si>
    <t>破洞伐庙</t>
  </si>
  <si>
    <t>被动招式：招式【狳甲翻】调息时间降至8秒。</t>
  </si>
  <si>
    <t>CD,1</t>
  </si>
  <si>
    <t>被动招式：招式【狳甲翻】调息时间降低5秒。</t>
  </si>
  <si>
    <t>tricks/3010603</t>
  </si>
  <si>
    <t>寻隙定神</t>
  </si>
  <si>
    <t>被动招式：提升{0}命中。（影响属性：身法）</t>
  </si>
  <si>
    <t>被动招式：移动速度额外增加10。</t>
  </si>
  <si>
    <t>tricks/3010605</t>
  </si>
  <si>
    <t>环犰无痕</t>
  </si>
  <si>
    <t>被动招式：招式【狳甲翻】调息时间降至5秒，且附带【撙节】效果：翻滚后体力恢复每秒2点，持续5秒。</t>
  </si>
  <si>
    <t>被动招式：施展【狳甲翻】时附带【撙节】效果：体力恢复每秒增加2点，持续5秒。</t>
  </si>
  <si>
    <t>tricks/3010607</t>
  </si>
  <si>
    <t>穿山梭海</t>
  </si>
  <si>
    <t>被动招式：招式【狳甲翻】调息时间降至6秒。</t>
  </si>
  <si>
    <t>CD,25</t>
  </si>
  <si>
    <t>tricks/3010606</t>
  </si>
  <si>
    <t>地霸身</t>
  </si>
  <si>
    <t>被动技能，翻滚后获得【霸体】效果，持续3秒</t>
  </si>
  <si>
    <t>被动招式，施展【狳甲翻】后获得【霸体】效果，持续3秒</t>
  </si>
  <si>
    <t>tricks/3010608</t>
  </si>
  <si>
    <t>犰形穿叠</t>
  </si>
  <si>
    <t>巧机穿纵</t>
  </si>
  <si>
    <t>被动招式：招式【狳甲翻】调息时间降低5秒</t>
  </si>
  <si>
    <t>甲胄长存</t>
  </si>
  <si>
    <t>梯云纵</t>
  </si>
  <si>
    <t>广凌纳云</t>
  </si>
  <si>
    <t>主动招式：给自己BUFF，格挡时提升内劲生成速度20%，持续6秒，调息时间30秒</t>
  </si>
  <si>
    <t>主动招式：获得【凌云】效果，提升内劲生成速度20%，持续6秒。</t>
  </si>
  <si>
    <t>qinggong_tiyunzong</t>
  </si>
  <si>
    <t>tricks/3010701</t>
  </si>
  <si>
    <t>云鬟梯</t>
  </si>
  <si>
    <t>提升闪避 X+身法*系数/境界。</t>
  </si>
  <si>
    <t>tricks/3010702</t>
  </si>
  <si>
    <t>太和游身法</t>
  </si>
  <si>
    <t>提升本门武学连击几率X+身法*系数/境界。</t>
  </si>
  <si>
    <t>被动招式：根据自身属性提升暴击几率。（影响属性：身法）</t>
  </si>
  <si>
    <t>tricks/3010704</t>
  </si>
  <si>
    <t>归藏步</t>
  </si>
  <si>
    <t>1招式提升内劲生成速度25%，持续8秒，调息时间25秒。</t>
  </si>
  <si>
    <t>被动招式：【广凌纳云】调息时间额外降低5秒,招式施展后额外提升内劲生成速度5%，持续6秒。</t>
  </si>
  <si>
    <t>tricks/3010703</t>
  </si>
  <si>
    <t>登云架</t>
  </si>
  <si>
    <t>武学【太极拳】招式中【抱元守一】招架时间增加至10秒</t>
  </si>
  <si>
    <t>tricks/3010705</t>
  </si>
  <si>
    <t>破云势</t>
  </si>
  <si>
    <t>武学【太极拳】招式中【辟鸿蒙】眩晕时间增加1秒</t>
  </si>
  <si>
    <t>tricks/3010707</t>
  </si>
  <si>
    <t>周而始</t>
  </si>
  <si>
    <t>1招式提升内劲生成速度，持续10秒，调息时间20秒。</t>
  </si>
  <si>
    <t>tricks/3010706</t>
  </si>
  <si>
    <t>复纵层云</t>
  </si>
  <si>
    <t>格挡成功后提高闪避X+身法*系数/境界 ，持续5秒。</t>
  </si>
  <si>
    <t>被动招式：真气上限增加2点。</t>
  </si>
  <si>
    <t>tricks/3010708</t>
  </si>
  <si>
    <t>远望登云</t>
  </si>
  <si>
    <t>云梯阴阳</t>
  </si>
  <si>
    <t>被动招式：【大道始分】调息时间降低1秒，【分阴阳】调息时间降低1秒</t>
  </si>
  <si>
    <t>凌云归未</t>
  </si>
  <si>
    <t>被动招式：【广凌纳云】调息时间额外降低5秒,招式施展后额外提升内劲生成速度10%，持续6秒</t>
  </si>
  <si>
    <t>魍魉诡步</t>
  </si>
  <si>
    <t>离魂鬼降</t>
  </si>
  <si>
    <t>下蹲，跳到血量最低的敌方身后（此过程无敌），给与敌方DEBUFF慌乱持续3秒，降低此敌防御30%，CD45秒。</t>
  </si>
  <si>
    <t>主动招式：跳到血量最低的敌方身前，并闪身至对方身后，同时给对方造成【眩晕】效果，同时自身附加【离魂】效果增加内外防御30%，该效果持续5秒。</t>
  </si>
  <si>
    <t>qinggong_wangliangguibu_1</t>
  </si>
  <si>
    <t>tricks/3010801</t>
  </si>
  <si>
    <t>影残乱</t>
  </si>
  <si>
    <t>1技能攻击后提升移动速度10%，持续5秒</t>
  </si>
  <si>
    <t>被动招式：每秒额外回复1点体力。</t>
  </si>
  <si>
    <t>tricks/3010802</t>
  </si>
  <si>
    <t>晓残蛊</t>
  </si>
  <si>
    <t>短兵武器额外提升5%内功攻击</t>
  </si>
  <si>
    <t>被动招式：体力上限额外增加5点。</t>
  </si>
  <si>
    <t>tricks/3010803</t>
  </si>
  <si>
    <t>草木皆兵</t>
  </si>
  <si>
    <t>1技能CD40秒。</t>
  </si>
  <si>
    <t>被动招式：【离魂鬼降】招式调息时间额外降低5秒。</t>
  </si>
  <si>
    <t>tricks/3010804</t>
  </si>
  <si>
    <t>猎戮无常</t>
  </si>
  <si>
    <t>tricks/3010805</t>
  </si>
  <si>
    <t>噬骨吸髓</t>
  </si>
  <si>
    <t>武学【七情缠蛊匕】招式中【瘴纠蔑】对浮空状态下的敌人造成的伤害额外增加X%</t>
  </si>
  <si>
    <t>被动招式：五圣教武学招式调息时间减少1秒。</t>
  </si>
  <si>
    <t>tricks/3010806</t>
  </si>
  <si>
    <t>潜影炼形</t>
  </si>
  <si>
    <t>1技能CD35秒</t>
  </si>
  <si>
    <t>tricks/3010807</t>
  </si>
  <si>
    <t>十殿阎罗</t>
  </si>
  <si>
    <t>1技能CD30秒，且闪现后如果杀死带有DEBUFF慌乱的敌人，则刷新1技能CD。</t>
  </si>
  <si>
    <t>被动招式：【离魂】效果持续时间内击杀目标，则刷新招式当前的调息时间。</t>
  </si>
  <si>
    <t>tricks/3010808</t>
  </si>
  <si>
    <t>七诡扶步</t>
  </si>
  <si>
    <t>鬼卒宝刹</t>
  </si>
  <si>
    <t>被动招式：【离魂鬼降】招式调息时间额外降低5秒</t>
  </si>
  <si>
    <t>离魂引</t>
  </si>
  <si>
    <t>被动招式：【离魂】持续时间增加至8秒</t>
  </si>
  <si>
    <t>燕纵步</t>
  </si>
  <si>
    <t>憩燕登云</t>
  </si>
  <si>
    <t>主动技能：向上翻滚2步， CD30秒</t>
  </si>
  <si>
    <t>主动招式：施展轻功向上方或下方翻滚躲避攻击。</t>
  </si>
  <si>
    <t>qinggong_yanzongbu</t>
  </si>
  <si>
    <t>tricks/3010901</t>
  </si>
  <si>
    <t>雀环身</t>
  </si>
  <si>
    <t>每被攻击1次，1技能CD减少1秒</t>
  </si>
  <si>
    <t>被动招式：每秒额外回复3点体力。</t>
  </si>
  <si>
    <t>tricks/3010902</t>
  </si>
  <si>
    <t>游隼目</t>
  </si>
  <si>
    <t>被动招式：体力上限额外增加15点。</t>
  </si>
  <si>
    <t>tricks/3010904</t>
  </si>
  <si>
    <t>驻栖巢</t>
  </si>
  <si>
    <t>1技能CD25秒。</t>
  </si>
  <si>
    <t>被动招式：【憩燕登云】招式调息时间降低5秒。</t>
  </si>
  <si>
    <t>tricks/3010903</t>
  </si>
  <si>
    <t>燕踏云</t>
  </si>
  <si>
    <t>体力上限提升5</t>
  </si>
  <si>
    <t>被动招式：移动速度额外增加150点。</t>
  </si>
  <si>
    <t>tricks/3010906</t>
  </si>
  <si>
    <t>燕子掠水</t>
  </si>
  <si>
    <t>1技能CD15秒，翻滚后提升闪避10%，持续3秒。</t>
  </si>
  <si>
    <t>被动招式：身法属性额外增加1点。</t>
  </si>
  <si>
    <t>tricks/3010907</t>
  </si>
  <si>
    <t>翅羽不落</t>
  </si>
  <si>
    <t>每秒体力恢复+1点</t>
  </si>
  <si>
    <t>tricks/3010905</t>
  </si>
  <si>
    <t>掠水浮萍</t>
  </si>
  <si>
    <t>翻滚后获得【霸体】效果，持续2秒</t>
  </si>
  <si>
    <t>被动招式：【憩燕登云】翻滚后获得【轻燕】效果，该效果持续期间敌人造成的攻击有概率无法命中自身，效果持续5秒。</t>
  </si>
  <si>
    <t>tricks/3010908</t>
  </si>
  <si>
    <t>叠燕</t>
  </si>
  <si>
    <t>燕巧</t>
  </si>
  <si>
    <t>被动招式：【憩燕登云】招式调息时间降低5秒</t>
  </si>
  <si>
    <t>身燕轻云</t>
  </si>
  <si>
    <t>被动招式：【轻燕】效果持续时间增加至8秒</t>
  </si>
  <si>
    <t>长亭远寄</t>
  </si>
  <si>
    <t>阳关三别</t>
  </si>
  <si>
    <t>释放技能后，得到BUFF【关别】，必定闪避下3次攻击，持续到3次消耗完为止，CD45秒。</t>
  </si>
  <si>
    <t>主动招式：施展招式后，获得1层【关别】效果，敌人的攻击必定无法命中，该效果持续到效果消耗完为止。</t>
  </si>
  <si>
    <t>qinggong_changtingyuanji</t>
  </si>
  <si>
    <t>tricks/3011001</t>
  </si>
  <si>
    <t>长亭送晚</t>
  </si>
  <si>
    <t>成功闪避敌人攻击后，提升防御10%，持续10秒。</t>
  </si>
  <si>
    <t>被动招式：敌人攻击如果未命中自身，提升外功和内功防御10%，持续10秒。</t>
  </si>
  <si>
    <t>tricks/3011004</t>
  </si>
  <si>
    <t>十里岸</t>
  </si>
  <si>
    <t xml:space="preserve">提升命中X+身法*系数/境界。 </t>
  </si>
  <si>
    <t xml:space="preserve">被动招式：【焚沧断海】对敌人造成伤害后有概率附加【减速】效果,该效果持续5秒。 </t>
  </si>
  <si>
    <t>tricks/3011002</t>
  </si>
  <si>
    <t>枫日落</t>
  </si>
  <si>
    <t>1技能必定闪避下3次攻击，CD40秒。</t>
  </si>
  <si>
    <t>被动招式：【阳关三别】招式的调息时间降低5秒。</t>
  </si>
  <si>
    <t>tricks/3011003</t>
  </si>
  <si>
    <t>碧云天</t>
  </si>
  <si>
    <t>被动招式：减少【临碣寒】招式调息时间1秒。</t>
  </si>
  <si>
    <t>tricks/3011005</t>
  </si>
  <si>
    <t>染霜林</t>
  </si>
  <si>
    <t>提升回血 XX+内息*系数/境界 每秒</t>
  </si>
  <si>
    <t>被动招式：【沧海观澜刀法】中所有招式增加5%暴击伤害。</t>
  </si>
  <si>
    <t>tricks/3011006</t>
  </si>
  <si>
    <t>凋晓星</t>
  </si>
  <si>
    <t>1技能必定闪避下3次攻击，CD35秒。</t>
  </si>
  <si>
    <t>tricks/3011007</t>
  </si>
  <si>
    <t>孤凭栏</t>
  </si>
  <si>
    <t>1技能CD30秒，此buff存在时，提升攻击10%。</t>
  </si>
  <si>
    <t>被动招式：【阳关三别】招式的调息时间降低5秒，提升外功攻击10%。</t>
  </si>
  <si>
    <t>tricks/3011008</t>
  </si>
  <si>
    <t>归来亭</t>
  </si>
  <si>
    <t>远遥红尘</t>
  </si>
  <si>
    <t>被动招式：移动速度额外增加100点</t>
  </si>
  <si>
    <t>长关固别</t>
  </si>
  <si>
    <t>被动招式：【关别】效果额外增加1层</t>
  </si>
  <si>
    <t>巫蟒堕月</t>
  </si>
  <si>
    <t>杯弓蛇影</t>
  </si>
  <si>
    <t>主动技能：使用后，获得【遁地】效果，此时角色先无法移动，先播放遁入/遁出特效，然后在改变角色模型为遁地模型后可以进行移动操作，持续5秒。CD50秒</t>
  </si>
  <si>
    <t>主动招式：使用后，获得【遁地】效果，会扎入土堆中进行移动，持续5秒。</t>
  </si>
  <si>
    <t>qinggong_duanbingdundiqinggong_1</t>
  </si>
  <si>
    <t>tricks/3011101</t>
  </si>
  <si>
    <t>黯雨灵风</t>
  </si>
  <si>
    <t>被动技能，提升命中10%</t>
  </si>
  <si>
    <t>tricks/3011102</t>
  </si>
  <si>
    <t>八仙瘴</t>
  </si>
  <si>
    <t>被动技能，短兵武器额外提升5%内功攻击</t>
  </si>
  <si>
    <t>tricks/3011103</t>
  </si>
  <si>
    <t>恣穿穴</t>
  </si>
  <si>
    <t>被动技能，1技能持续时间增加至7秒，CD时间缩短至45秒</t>
  </si>
  <si>
    <t>被动招式：【杯弓蛇影】招式调息降低5秒。</t>
  </si>
  <si>
    <t>tricks/3011104</t>
  </si>
  <si>
    <t>碧鳞缠</t>
  </si>
  <si>
    <t>被动技能，2技能【疳蛊】，额外提升敌人的中毒概率5%</t>
  </si>
  <si>
    <t>tricks/3011105</t>
  </si>
  <si>
    <t>地游仙</t>
  </si>
  <si>
    <t>被动技能，暴击时提高移动速度10%，持续5秒</t>
  </si>
  <si>
    <t>被动招式：暴击时提高移动速度10%，持续5秒。</t>
  </si>
  <si>
    <t>tricks/3011106</t>
  </si>
  <si>
    <t>金蛟横岭</t>
  </si>
  <si>
    <t>被动技能，1技能持续时间增加至10秒，CD时间缩短至40秒</t>
  </si>
  <si>
    <t>tricks/3011107</t>
  </si>
  <si>
    <t>巴蟒吞天</t>
  </si>
  <si>
    <t>被动技能，解除【遁地】状态后，获得【奇袭】BUFF，奇袭CD持续5秒，【奇袭】BUFF持续期间角色的暴击几率增加{0}％</t>
  </si>
  <si>
    <t>被动招式：解除【遁地】状态后，获得【奇袭】效果，该效果持续5秒，【奇袭】效果持续期间增加暴击几率。</t>
  </si>
  <si>
    <t>tricks/3011108</t>
  </si>
  <si>
    <t>巫蛊身</t>
  </si>
  <si>
    <t>蛇巫饮</t>
  </si>
  <si>
    <t>被动招式：【杯弓蛇影】招式调息降低5秒</t>
  </si>
  <si>
    <t>化娲身</t>
  </si>
  <si>
    <t>凌波微步</t>
  </si>
  <si>
    <t>凌波生尘</t>
  </si>
  <si>
    <t>主动技能：施展技能后获得【挪移】效果，效果持续期间降低敌人攻击自己时的命中率100%，效果持续3秒，技能CD时间40秒</t>
  </si>
  <si>
    <t>主动技能：施展技能后获得【凌波】效果，效果持续期间敌人攻击必定无法命中自身，效果持续10秒。</t>
  </si>
  <si>
    <t>qinggong_lingboweibu</t>
  </si>
  <si>
    <t>tricks/3011201</t>
  </si>
  <si>
    <t>履下生莲</t>
  </si>
  <si>
    <t>被动技能：移动速度增加20</t>
  </si>
  <si>
    <t>被动技能：移动速度额外增加150点。</t>
  </si>
  <si>
    <t>tricks/3011202</t>
  </si>
  <si>
    <t>摧刚为柔</t>
  </si>
  <si>
    <t>被动技能：点提升自身命中率X+身法*系数/境界</t>
  </si>
  <si>
    <t>被动技能：提升自身命中敌人的概率。</t>
  </si>
  <si>
    <t>tricks/3011203</t>
  </si>
  <si>
    <t>竹帛兰心</t>
  </si>
  <si>
    <t>被动技能：1技能降低敌人攻击自己时的命中率100%，效果持续时间4秒，技能CD：35秒</t>
  </si>
  <si>
    <t>被动技能：【凌波生尘】招式中的【凌波】效果持续时间增加至12秒，调息时间降低5秒。</t>
  </si>
  <si>
    <t>tricks/3011205</t>
  </si>
  <si>
    <t>玉洁松贞</t>
  </si>
  <si>
    <t>被动技能：增加身法属性X点</t>
  </si>
  <si>
    <t>被动技能：额外增加身法属性2点。</t>
  </si>
  <si>
    <t>tricks/3011204</t>
  </si>
  <si>
    <t>绝伦逸群</t>
  </si>
  <si>
    <t>被动技能：被动技能：每秒额外回复1体力</t>
  </si>
  <si>
    <t>被动技能：每秒额外回复2点体力。</t>
  </si>
  <si>
    <t>tricks/3011206</t>
  </si>
  <si>
    <t>倾国绝世</t>
  </si>
  <si>
    <t>被动技能：1技能降低敌人攻击自己时的命中率100%，效果持续时间5秒，技能CD：30秒</t>
  </si>
  <si>
    <t>被动技能：【凌波生尘】招式中的【凌波】效果持续时间增加14秒，调息时间降低5秒。</t>
  </si>
  <si>
    <t>tricks/3011208</t>
  </si>
  <si>
    <t>金枝玉叶</t>
  </si>
  <si>
    <t>被动技能：体力上限增加5点</t>
  </si>
  <si>
    <t>被动技能：体力上限额外增加15点。</t>
  </si>
  <si>
    <t>tricks/3011207</t>
  </si>
  <si>
    <t>仙姿清</t>
  </si>
  <si>
    <t>凌波寒</t>
  </si>
  <si>
    <t>生尘同光</t>
  </si>
  <si>
    <t>被动招式：【凌波生尘】招式的调息时间降低5秒</t>
  </si>
  <si>
    <t>紫乌啸凤图</t>
  </si>
  <si>
    <t>紫乌啼月</t>
  </si>
  <si>
    <t>主动技能：1技能释放后，大幅提升命中X+身法*系数/境界，持续5秒 CD30秒</t>
  </si>
  <si>
    <t>主动技能：招式施展后获得【凤鸣】效果，大幅提升自身命中敌人的概率，该效果持续20秒。</t>
  </si>
  <si>
    <t>qinggong_ziwuxiaofengtu</t>
  </si>
  <si>
    <t>tricks/3011301</t>
  </si>
  <si>
    <t>羽裳鸿衣</t>
  </si>
  <si>
    <t>被动技能：提升体力上限3</t>
  </si>
  <si>
    <t>被动技能：额外提升体力上限10点。</t>
  </si>
  <si>
    <t>tricks/3011302</t>
  </si>
  <si>
    <t>鸾停鹄峙</t>
  </si>
  <si>
    <t>被动技能：提升闪避X+身法*系数/境界。</t>
  </si>
  <si>
    <t>被动技能：额外提升移动速度100点。</t>
  </si>
  <si>
    <t>tricks/3011303</t>
  </si>
  <si>
    <t>飞鸿印雪</t>
  </si>
  <si>
    <t>被动技能：1技能大幅提升命中X+身法*系数/境界，持续5秒，CD25秒</t>
  </si>
  <si>
    <t>被动技能：【紫乌啼月】命中效果提升，招式调息时间降低5秒。</t>
  </si>
  <si>
    <t>tricks/3011304</t>
  </si>
  <si>
    <t>玄鸟泣江</t>
  </si>
  <si>
    <t>被动技能：每秒体力恢复额外增加2点。</t>
  </si>
  <si>
    <t>tricks/3011305</t>
  </si>
  <si>
    <t>悲凤鸣鸾</t>
  </si>
  <si>
    <t>被动技能：1技能持续时如果未命中敌人，提升命中率10%，最多叠加3层。</t>
  </si>
  <si>
    <t>被动技能：【紫乌啼月】招式中的【凤鸣】效果持续时，如果未命中敌人，自身获得1层【泣鸣】效果，增加自身1%外功攻击和内功攻击，最多叠加3层，该效果持续至战斗结束。</t>
  </si>
  <si>
    <t>tricks/3011307</t>
  </si>
  <si>
    <t>铩羽暴鳞</t>
  </si>
  <si>
    <t>被动技能：1技能大幅提升命中X+身法*系数/境界，持续5秒，CD20秒。</t>
  </si>
  <si>
    <t>tricks/3011306</t>
  </si>
  <si>
    <t>有凤来仪</t>
  </si>
  <si>
    <t>被动技能：被动技能：1技能持续时，提升暴击率5%</t>
  </si>
  <si>
    <t>被动技能：【凤鸣】效果持续时，提升暴击概率5%。</t>
  </si>
  <si>
    <t>tricks/3011308</t>
  </si>
  <si>
    <t>越山魈</t>
  </si>
  <si>
    <t>凤鸣岐山</t>
  </si>
  <si>
    <t>被动招式：【凤鸣】效果持续时，提升暴击概率5%</t>
  </si>
  <si>
    <t>日月同啸</t>
  </si>
  <si>
    <t>被动招式：【紫乌啼月】命中效果提升，招式调息时间降低5秒</t>
  </si>
  <si>
    <t>撼山步</t>
  </si>
  <si>
    <t>叠嶂层峦</t>
  </si>
  <si>
    <t>被动技能：提升体力上限5</t>
  </si>
  <si>
    <t>被动技能：提升体力上限15点。</t>
  </si>
  <si>
    <t>tricks/3011401</t>
  </si>
  <si>
    <t>积石成岭</t>
  </si>
  <si>
    <t>被动技能：每秒体力恢复+1点。</t>
  </si>
  <si>
    <t>被动技能：每秒体力恢复增加2点。</t>
  </si>
  <si>
    <t>tricks/3011402</t>
  </si>
  <si>
    <t>遥嵩岳长</t>
  </si>
  <si>
    <t>被动技能：格挡降低5%体力消耗</t>
  </si>
  <si>
    <t>被动技能：格挡降低体力消耗1点。</t>
  </si>
  <si>
    <t>tricks/3011403</t>
  </si>
  <si>
    <t>岳秀山明</t>
  </si>
  <si>
    <t>被动技能：提升体力上限增加7</t>
  </si>
  <si>
    <t>被动技能：【叠嶂层峦】体力上限增加2点。</t>
  </si>
  <si>
    <t>tricks/3011404</t>
  </si>
  <si>
    <t>根牙磐错</t>
  </si>
  <si>
    <t>被动技能：每秒体力恢复+2点</t>
  </si>
  <si>
    <t>被动技能：【积石成岭】每秒体力恢复增加3点。</t>
  </si>
  <si>
    <t>tricks/3011405</t>
  </si>
  <si>
    <t>横峰侧岭</t>
  </si>
  <si>
    <t>被动技能：格挡降低10%体力消耗</t>
  </si>
  <si>
    <t>tricks/3011406</t>
  </si>
  <si>
    <t>千峰百障</t>
  </si>
  <si>
    <t>被动技能：提升体力上限增加10</t>
  </si>
  <si>
    <t>被动技能：【叠嶂层峦】体力上限增加3。</t>
  </si>
  <si>
    <t>tricks/3011407</t>
  </si>
  <si>
    <t>山穷水尽</t>
  </si>
  <si>
    <t>被动技能：体力耗尽后，一次性回复的值提升到60点</t>
  </si>
  <si>
    <t>被动技能：体力耗尽后，一次性回复的值提升到60点。</t>
  </si>
  <si>
    <t>tricks/3011408</t>
  </si>
  <si>
    <t>破石印</t>
  </si>
  <si>
    <t>山掩映</t>
  </si>
  <si>
    <t>被动招式：【叠嶂层峦】体力上限增加10点</t>
  </si>
  <si>
    <t>石筑躯</t>
  </si>
  <si>
    <t>被动招式：【积石成岭】每秒体力恢复增加3点</t>
  </si>
  <si>
    <t>逆流十二身</t>
  </si>
  <si>
    <t>逆流逐浪</t>
  </si>
  <si>
    <t>(外功攻击*1)*0.2</t>
  </si>
  <si>
    <t>主动技能：向前快速滑铲一段，过程中命中敌人停止。</t>
  </si>
  <si>
    <t>qinggong_niliushiershen</t>
  </si>
  <si>
    <t>qinggong_niliushiershen_2</t>
  </si>
  <si>
    <t>tricks/3011501</t>
  </si>
  <si>
    <t>溯回身</t>
  </si>
  <si>
    <t>被动技能：【逆流逐浪】招式调息时间额外降低5秒。</t>
  </si>
  <si>
    <t>tricks/3011502</t>
  </si>
  <si>
    <t>缠逆身</t>
  </si>
  <si>
    <t>被动技能：对命中的敌人附加【减速】效果，移动速度降低30%，该效果持续3秒。</t>
  </si>
  <si>
    <t>tricks/3011503</t>
  </si>
  <si>
    <t>砺石身</t>
  </si>
  <si>
    <t>tricks/3011504</t>
  </si>
  <si>
    <t>奔流法</t>
  </si>
  <si>
    <t>tricks/3011505</t>
  </si>
  <si>
    <t>立身法</t>
  </si>
  <si>
    <t>被动技能：每秒体力恢复增加3点。</t>
  </si>
  <si>
    <t>tricks/3011506</t>
  </si>
  <si>
    <t>千川挂瀑</t>
  </si>
  <si>
    <t>tricks/3011507</t>
  </si>
  <si>
    <t>涌涡逆洄</t>
  </si>
  <si>
    <t>被动技能：【缠逆身】的【减速】效果变更为【定身】效果，该效果持续3秒。</t>
  </si>
  <si>
    <t>tricks/3011508</t>
  </si>
  <si>
    <t>涌逆奔</t>
  </si>
  <si>
    <t>逆法顺流</t>
  </si>
  <si>
    <t>被动招式：【逆流逐浪】招式调息时间额外降低5秒</t>
  </si>
  <si>
    <t>百川击石</t>
  </si>
  <si>
    <t>被动招式：【逆流逐浪】对受到攻击的目标额外附加【破甲】效果</t>
  </si>
  <si>
    <t>虎贲阵</t>
  </si>
  <si>
    <t>漠玉鞍</t>
  </si>
  <si>
    <t>主动技能：施展后恢复30点体力，战斗时每存活一名敌人，提升自身3%的外功防御和内功防御。</t>
  </si>
  <si>
    <t>qinggong_moyuan</t>
  </si>
  <si>
    <t>tricks/3011601</t>
  </si>
  <si>
    <t>踏蒺藜</t>
  </si>
  <si>
    <t>被动技能：为上阵同伴和自己额外增加10点体力上限。</t>
  </si>
  <si>
    <t>tricks/3011602</t>
  </si>
  <si>
    <t>击锐师</t>
  </si>
  <si>
    <t>被动技能：自身每秒额外回复2点体力。</t>
  </si>
  <si>
    <t>tricks/3011603</t>
  </si>
  <si>
    <t>绕龙城</t>
  </si>
  <si>
    <t>被动技能：【漠玉鞍】招式效果增强，使用时额外恢复10点体力，额外提升1%的外功防御和内功防御，技能调息时间额外降低5秒。</t>
  </si>
  <si>
    <t>tricks/3011604</t>
  </si>
  <si>
    <t>勒胡马</t>
  </si>
  <si>
    <t>被动技能：【大旗门】中所有招式增加5%暴击几率。</t>
  </si>
  <si>
    <t>tricks/3011605</t>
  </si>
  <si>
    <t>夜渡江</t>
  </si>
  <si>
    <t>被动技能：施展【大旗门】中所有招式并且触发暴击后，为上阵同伴和自己额外增加10%暴击伤害，效果持续3秒。</t>
  </si>
  <si>
    <t>tricks/3011606</t>
  </si>
  <si>
    <t>净虏尘</t>
  </si>
  <si>
    <t>tricks/3011607</t>
  </si>
  <si>
    <t>辞凤阙</t>
  </si>
  <si>
    <t>被动技能：施展大旗门轻功后，重置【大旗门】武学中【秦王入阵】和【醉横沙场】招式的当前调息时间。</t>
  </si>
  <si>
    <t>tricks/3011608</t>
  </si>
  <si>
    <t>登龙城</t>
  </si>
  <si>
    <t>被动技能：进入战斗后,武力属性增加2点。</t>
  </si>
  <si>
    <t>广漠楼兰</t>
  </si>
  <si>
    <t>被动招式：【漠玉鞍】技能调息时间额外降低5秒</t>
  </si>
  <si>
    <t>军势杀阵</t>
  </si>
  <si>
    <t>被动招式：【大旗门】中所有招式增加5%暴击几率</t>
  </si>
  <si>
    <t>影血秘典</t>
  </si>
  <si>
    <t>踏血藏花</t>
  </si>
  <si>
    <t>被动技能：自身移动速度增加50点。</t>
  </si>
  <si>
    <t>花落凛生</t>
  </si>
  <si>
    <t>被动技能：暴击提升5%。</t>
  </si>
  <si>
    <t>邪冽</t>
  </si>
  <si>
    <t>被动技能：对敌方造成暴击伤害时，额外增加气血恢复属性，该效果持续10秒。</t>
  </si>
  <si>
    <t>被动技能：对敌方造成暴击伤害时，额外增加体力恢复属性，该效果持续10秒。</t>
  </si>
  <si>
    <t>痕踪</t>
  </si>
  <si>
    <t>被动技能：提升内功防御5%。</t>
  </si>
  <si>
    <t>藏禁骨</t>
  </si>
  <si>
    <t>被动技能：提升外功防御5%。</t>
  </si>
  <si>
    <t>饮寒血</t>
  </si>
  <si>
    <t>被动技能：进入战斗时，提升自身10%吸血属性。</t>
  </si>
  <si>
    <t>绽地藏</t>
  </si>
  <si>
    <t>被动技能：自身移动速度增加80点。</t>
  </si>
  <si>
    <t>刀痕</t>
  </si>
  <si>
    <t>被动技能：每次击杀敌人时，获得【刀痕】提升自身50点移动速度，持续5秒，不可叠加。</t>
  </si>
  <si>
    <t>归冷刃</t>
  </si>
  <si>
    <t>被动招式：进入战斗后,身法属性增加2点。</t>
  </si>
  <si>
    <t>遥望繁花</t>
  </si>
  <si>
    <t>戮婆娑</t>
  </si>
  <si>
    <t>被动招式：【刀痕】效果持续时，自身造成的所有伤害提升5%。</t>
  </si>
  <si>
    <t>狼技能</t>
  </si>
  <si>
    <t>扑咬</t>
  </si>
  <si>
    <t>通常动作</t>
  </si>
  <si>
    <t>江湖散学</t>
  </si>
  <si>
    <t>狼技能1</t>
  </si>
  <si>
    <t>(外功攻击*1)*2.0</t>
  </si>
  <si>
    <t>(内功攻击*1)*2.0</t>
  </si>
  <si>
    <t>狼招式1</t>
  </si>
  <si>
    <t>lang/Skill1</t>
  </si>
  <si>
    <t>tricks/5210001</t>
  </si>
  <si>
    <t>兽爪</t>
  </si>
  <si>
    <t>狼技能2</t>
  </si>
  <si>
    <t>(外功攻击*1)*1.5</t>
  </si>
  <si>
    <t>(内功攻击*1)*1.5</t>
  </si>
  <si>
    <t>狼招式2</t>
  </si>
  <si>
    <t>lang/Skill2</t>
  </si>
  <si>
    <t>tricks/5210002</t>
  </si>
  <si>
    <t>蛇技能</t>
  </si>
  <si>
    <t>毒雾</t>
  </si>
  <si>
    <t>蛇技能1</t>
  </si>
  <si>
    <t>蛇招式1</t>
  </si>
  <si>
    <t>she/Skill</t>
  </si>
  <si>
    <t>tricks/5310001</t>
  </si>
  <si>
    <t>熊技能</t>
  </si>
  <si>
    <t>熊技能1</t>
  </si>
  <si>
    <t>xiong/Skill1</t>
  </si>
  <si>
    <t>格挡</t>
  </si>
  <si>
    <t xml:space="preserve">江湖中的架招格挡手法，借体力而卸力。持续按住格挡操作，可以正面抵挡大部分敌人攻击。在敌方攻击前摇的时如果能及时格挡，可以触发弹反效果，让敌人露出较大的破绽。 </t>
  </si>
  <si>
    <r>
      <rPr>
        <sz val="11"/>
        <color rgb="FF000000"/>
        <rFont val="宋体"/>
        <family val="3"/>
        <charset val="134"/>
      </rPr>
      <t>江湖中的架招格挡手法，借体力而卸力。持续按住格挡操作，可以正面抵挡大部分敌人攻击。在敌方攻击前摇的时如果能及时格挡，可以触发弹反效果，让敌人露出较大的破绽。</t>
    </r>
    <r>
      <rPr>
        <sz val="11"/>
        <color rgb="FF000000"/>
        <rFont val="宋体"/>
        <family val="3"/>
        <charset val="134"/>
      </rPr>
      <t xml:space="preserve"> </t>
    </r>
  </si>
  <si>
    <t>tricks/9000001</t>
  </si>
  <si>
    <t>闪躲</t>
  </si>
  <si>
    <t>江湖中的闪避架势，身轻如鸿，配合左右方向键的使用，可以进行左右冲刺。在任何时候（包括受击状态，普通攻击中）都可施展后跃，和敌人拉开距离并躲避对方的攻击。</t>
  </si>
  <si>
    <t>tricks/9000002</t>
  </si>
  <si>
    <t>纵跃</t>
  </si>
  <si>
    <t>角色跳起后可再度点击纵跃键，在空中急速俯冲，以足撼地，对附近的敌方造成击退效果（对体型大于角色的目标无效）</t>
  </si>
  <si>
    <t>双足点地纵身跃起，任何人可以轻而易举的学会的跳跃身法。纵跃滞空时可以再次施展二段纵跃。</t>
  </si>
  <si>
    <t>tricks/9000003</t>
  </si>
  <si>
    <t>爆气</t>
  </si>
  <si>
    <t>主动招式：可以在任何时候（包括受击状态，被浮空状态，被控制状态）消耗10%气血施展，对范围内敌人造成伤害，并脱离受击或被控制状态。（影响属性：内息）</t>
  </si>
  <si>
    <t>SheShenJi</t>
  </si>
  <si>
    <t>tricks/9000004</t>
  </si>
  <si>
    <t>前闪避</t>
  </si>
  <si>
    <t>起身技</t>
  </si>
  <si>
    <t>(外功攻击*1)*0.68</t>
  </si>
  <si>
    <t>(内功攻击*1)*0.68</t>
  </si>
  <si>
    <t>qishenji_1</t>
  </si>
  <si>
    <t>力竭起身技</t>
  </si>
  <si>
    <t>MorRecovery_Res</t>
  </si>
  <si>
    <t>撼山跃</t>
  </si>
  <si>
    <t>拳掌轻击壹式</t>
  </si>
  <si>
    <t>拳掌的普攻 一段 A1</t>
  </si>
  <si>
    <t>(外功攻击*1)*0.6*0.5</t>
  </si>
  <si>
    <t>(内功攻击*1)*0.6*0.5</t>
  </si>
  <si>
    <t>江湖中流转的拳法武学，招式如奔马飞瀑，势不可挡。连续按键会使出连续轻击动作。</t>
  </si>
  <si>
    <t>quan/A1</t>
  </si>
  <si>
    <t>tricks/9010001</t>
  </si>
  <si>
    <t>拳掌轻击贰式</t>
  </si>
  <si>
    <t>拳掌的普攻 二段 A2</t>
  </si>
  <si>
    <t>(外功攻击*1)*0.7*0.5</t>
  </si>
  <si>
    <t>(内功攻击*1)*0.7*0.5</t>
  </si>
  <si>
    <t>quan/A2</t>
  </si>
  <si>
    <t>tricks/9010002</t>
  </si>
  <si>
    <t>拳掌轻击叁式</t>
  </si>
  <si>
    <t>拳掌的普攻 三段 A3</t>
  </si>
  <si>
    <t>(外功攻击*1)*0.8*0.5</t>
  </si>
  <si>
    <t>(内功攻击*1)*0.8*0.5</t>
  </si>
  <si>
    <t>quan/A3</t>
  </si>
  <si>
    <t>tricks/9010003</t>
  </si>
  <si>
    <t>拳掌轻击肆式</t>
  </si>
  <si>
    <t>拳掌的普攻 四段 A4</t>
  </si>
  <si>
    <t>(外功攻击*1)*0.5</t>
  </si>
  <si>
    <t>(内功攻击*1)*0.5</t>
  </si>
  <si>
    <t>quan/A4</t>
  </si>
  <si>
    <t>tricks/9010004</t>
  </si>
  <si>
    <t>拳掌重击</t>
  </si>
  <si>
    <t>重击：蓄力攻击</t>
  </si>
  <si>
    <t>(外功攻击*1)*1.1</t>
  </si>
  <si>
    <t>(内功攻击*1)*1.1</t>
  </si>
  <si>
    <t>江湖中流转的拳法之重击，招式如奔马飞瀑，势不可挡。</t>
  </si>
  <si>
    <t>减速敌方:0.3,3;格挡弹反</t>
  </si>
  <si>
    <t>quan/B6</t>
  </si>
  <si>
    <t>tricks/9010005</t>
  </si>
  <si>
    <t>重击：无蓄力</t>
  </si>
  <si>
    <t>后跃 -闪避</t>
  </si>
  <si>
    <t>quan/闪避</t>
  </si>
  <si>
    <t>quan/闪避_2</t>
  </si>
  <si>
    <t>quan/前闪避</t>
  </si>
  <si>
    <t>单手轻刃轻击壹式</t>
  </si>
  <si>
    <t>江湖中流转的单手轻刃武学，招式轻灵潇洒，迅疾无形。连续按键会使出连续轻击动作。</t>
  </si>
  <si>
    <t>jian/A1</t>
  </si>
  <si>
    <t>tricks/9020001</t>
  </si>
  <si>
    <t>单手轻刃轻击贰式</t>
  </si>
  <si>
    <t>jian/A2</t>
  </si>
  <si>
    <t>tricks/9020002</t>
  </si>
  <si>
    <t>单手轻刃轻击叁式</t>
  </si>
  <si>
    <t>jian/A3</t>
  </si>
  <si>
    <t>tricks/9020003</t>
  </si>
  <si>
    <t>单手轻刃重击</t>
  </si>
  <si>
    <t>江湖中流转的单手轻刃之重击，招式轻灵潇洒，迅疾无形。</t>
  </si>
  <si>
    <t>jian/B6</t>
  </si>
  <si>
    <t>tricks/9020011</t>
  </si>
  <si>
    <t>jian/闪避</t>
  </si>
  <si>
    <t>jian/闪避_2</t>
  </si>
  <si>
    <t>jian/前闪避</t>
  </si>
  <si>
    <t>重刃轻击壹式</t>
  </si>
  <si>
    <t>重刃的普攻 一段 A1</t>
  </si>
  <si>
    <t>(外功攻击*1)*0.8*0.7</t>
  </si>
  <si>
    <t>(内功攻击*1)*0.8*0.7</t>
  </si>
  <si>
    <t>江湖中流转的重刃武学，招式如封似闭，重若千钧。</t>
  </si>
  <si>
    <t>zhongren/A1</t>
  </si>
  <si>
    <t>tricks/9030001</t>
  </si>
  <si>
    <t>重刃轻击贰式</t>
  </si>
  <si>
    <t>重刃的普攻 二段 A2</t>
  </si>
  <si>
    <t>(外功攻击*1)*0.7</t>
  </si>
  <si>
    <t>(内功攻击*1)*0.7</t>
  </si>
  <si>
    <t>zhongren/A2</t>
  </si>
  <si>
    <t>tricks/9030002</t>
  </si>
  <si>
    <t>重刃重击</t>
  </si>
  <si>
    <t>江湖中流转的重刃之重击，招式如封似闭，重若千钧。</t>
  </si>
  <si>
    <t>8030101;8030102;8030103;8030105</t>
  </si>
  <si>
    <t>zhongren/B6</t>
  </si>
  <si>
    <t>tricks/9030011</t>
  </si>
  <si>
    <t>zhongren/闪避</t>
  </si>
  <si>
    <t>zhongren/闪避_2</t>
  </si>
  <si>
    <t>zhongren/前闪避</t>
  </si>
  <si>
    <t>长兵轻击壹式</t>
  </si>
  <si>
    <t>枪法的普攻 一段 A1</t>
  </si>
  <si>
    <t>江湖中流转的长兵武学，招式大开大合，威势惊人，令人闻之生畏。连续按键会使出连续轻击动作。</t>
  </si>
  <si>
    <t>qiangfa/A1</t>
  </si>
  <si>
    <t>tricks/9040001</t>
  </si>
  <si>
    <t>长兵轻击贰式</t>
  </si>
  <si>
    <t>枪法的普攻 二段 A2</t>
  </si>
  <si>
    <t>(外功攻击*1)*0.9*0.5</t>
  </si>
  <si>
    <t>(内功攻击*1)*0.9*0.5</t>
  </si>
  <si>
    <t>qiangfa/A2</t>
  </si>
  <si>
    <t>tricks/9040002</t>
  </si>
  <si>
    <t>长兵轻击叁式</t>
  </si>
  <si>
    <t>枪法的普攻 三段 A3</t>
  </si>
  <si>
    <t>qiangfa/A3</t>
  </si>
  <si>
    <t>tricks/9040003</t>
  </si>
  <si>
    <t>长兵重击</t>
  </si>
  <si>
    <t>枪法的重击 B招</t>
  </si>
  <si>
    <t>江湖中流转的长兵之重击，招式大开大合，威势惊人，令人闻之生畏。</t>
  </si>
  <si>
    <t>qiangfa/A4</t>
  </si>
  <si>
    <t>tricks/9040004</t>
  </si>
  <si>
    <t>枪法的重击 B招 变招</t>
  </si>
  <si>
    <t>qiangfa/B6</t>
  </si>
  <si>
    <t>qiangfa/闪避</t>
  </si>
  <si>
    <t>qiangfa/闪避_2</t>
  </si>
  <si>
    <t>qiangfa/前闪避</t>
  </si>
  <si>
    <t>一叶知秋</t>
  </si>
  <si>
    <t>重击伤害降低至30%但变为多次连击，此连击的每一段无法触发攻击特效。</t>
  </si>
  <si>
    <t>重击伤害降低30%但变为多次连击，此连击的每一段无法触发攻击特效。</t>
  </si>
  <si>
    <t>tricks/9040008</t>
  </si>
  <si>
    <t>扇法轻击壹式</t>
  </si>
  <si>
    <t>扇子的普攻 一段 A1</t>
  </si>
  <si>
    <t>江湖中流转的扇法武学，招式潇洒灵动，却亦暗藏杀机。连续按键会使出连续轻击动作。</t>
  </si>
  <si>
    <t>8050106</t>
  </si>
  <si>
    <t>shanzi/A1</t>
  </si>
  <si>
    <t>tricks/9050001</t>
  </si>
  <si>
    <t>扇法轻击贰式</t>
  </si>
  <si>
    <t>扇子的普攻 二段 A2</t>
  </si>
  <si>
    <t>shanzi/A2</t>
  </si>
  <si>
    <t>tricks/9050002</t>
  </si>
  <si>
    <t>扇法轻击叁式</t>
  </si>
  <si>
    <t>扇子的普攻 三段 A3</t>
  </si>
  <si>
    <t>shanzi/A3</t>
  </si>
  <si>
    <t>tricks/9050003</t>
  </si>
  <si>
    <t>扇法轻击肆式</t>
  </si>
  <si>
    <t>扇子的普攻 四段 A4</t>
  </si>
  <si>
    <t>shanzi/A4</t>
  </si>
  <si>
    <t>tricks/9050004</t>
  </si>
  <si>
    <t>扇法重击</t>
  </si>
  <si>
    <t>江湖中流转的扇法之重击，招式潇洒灵动，却亦暗藏杀机。</t>
  </si>
  <si>
    <t>shanzi/B6</t>
  </si>
  <si>
    <t>tricks/9050005</t>
  </si>
  <si>
    <t>shanzi/闪避</t>
  </si>
  <si>
    <t>shanzi/闪避_2</t>
  </si>
  <si>
    <t>shanzi/前闪避</t>
  </si>
  <si>
    <t>暗器轻击壹式</t>
  </si>
  <si>
    <t>暗器的普攻 一段 A1</t>
  </si>
  <si>
    <t>江湖中流转的暗器武学，其内杀机隐现，至阴至险。连续按键会使出连续轻击动作。</t>
  </si>
  <si>
    <t>anqi/A1</t>
  </si>
  <si>
    <t>tricks/9060001</t>
  </si>
  <si>
    <t>暗器轻击贰式</t>
  </si>
  <si>
    <t>暗器的普攻 二段 A2</t>
  </si>
  <si>
    <t>anqi/A2</t>
  </si>
  <si>
    <t>tricks/9060002</t>
  </si>
  <si>
    <t>暗器轻击叁式</t>
  </si>
  <si>
    <t>暗器的普攻 三段 A3</t>
  </si>
  <si>
    <t>anqi/A3</t>
  </si>
  <si>
    <t>tricks/9060003</t>
  </si>
  <si>
    <t>暗器重击</t>
  </si>
  <si>
    <t>江湖中流转的暗器之重击，其内杀机隐现，至阴至险。</t>
  </si>
  <si>
    <t>anqi/B6</t>
  </si>
  <si>
    <t>tricks/9060011</t>
  </si>
  <si>
    <t>anqi/闪避</t>
  </si>
  <si>
    <t>anqi/闪避_2</t>
  </si>
  <si>
    <t>anqi/前闪避</t>
  </si>
  <si>
    <t>腿脚轻击壹式</t>
  </si>
  <si>
    <t>腿脚的普攻 一段 A1</t>
  </si>
  <si>
    <t>江湖中流转的腿法武学，刚猛无匹。连续按键会使出连续轻击动作。</t>
  </si>
  <si>
    <t>tui/A1</t>
  </si>
  <si>
    <t>tricks/9090001</t>
  </si>
  <si>
    <t>腿脚轻击贰式</t>
  </si>
  <si>
    <t>腿脚的普攻 二段 A2</t>
  </si>
  <si>
    <t>tui/A2</t>
  </si>
  <si>
    <t>tricks/9090002</t>
  </si>
  <si>
    <t>腿脚轻击叁式</t>
  </si>
  <si>
    <t>腿脚的普攻 三段 A3</t>
  </si>
  <si>
    <t>tui/A3</t>
  </si>
  <si>
    <t>tricks/9090003</t>
  </si>
  <si>
    <t>腿脚轻击肆式</t>
  </si>
  <si>
    <t>腿脚的普攻 四段 A4</t>
  </si>
  <si>
    <t>tui/A4</t>
  </si>
  <si>
    <t>tricks/9090004</t>
  </si>
  <si>
    <t>腿脚重击</t>
  </si>
  <si>
    <t>江湖中流转的腿法之重击，刚猛无匹。</t>
  </si>
  <si>
    <t>tui/B6</t>
  </si>
  <si>
    <t>tricks/9090011</t>
  </si>
  <si>
    <t>tui/闪避</t>
  </si>
  <si>
    <t>tui/闪避_2</t>
  </si>
  <si>
    <t>tui/前闪避</t>
  </si>
  <si>
    <t>双手轻刃轻击壹式</t>
  </si>
  <si>
    <t>双手轻刃的普攻 一段 A1</t>
  </si>
  <si>
    <t>江湖中流转的双手轻刃武学，其招式与中原武学迥异。连续按键会使出连续轻击动作。</t>
  </si>
  <si>
    <t>shuangshouqingren/A1</t>
  </si>
  <si>
    <t>tricks/9100001</t>
  </si>
  <si>
    <t>双手轻刃轻击贰式</t>
  </si>
  <si>
    <t>双手轻刃的普攻 二段 A2</t>
  </si>
  <si>
    <t>shuangshouqingren/A2</t>
  </si>
  <si>
    <t>tricks/9100002</t>
  </si>
  <si>
    <t>双手轻刃轻击叁式</t>
  </si>
  <si>
    <t>双手轻刃的普攻 三段 A3</t>
  </si>
  <si>
    <t>shuangshouqingren/A3</t>
  </si>
  <si>
    <t>tricks/9100003</t>
  </si>
  <si>
    <t>双手轻刃重击</t>
  </si>
  <si>
    <t>江湖中流转的双手轻刃之重击，其招式与中原武学迥异。</t>
  </si>
  <si>
    <t>shuangshouqingren/B6</t>
  </si>
  <si>
    <t>tricks/9100011</t>
  </si>
  <si>
    <t>shuangshouqingren/闪避</t>
  </si>
  <si>
    <t>shuangshouqingren/闪避_2</t>
  </si>
  <si>
    <t>shuangshouqingren/前闪避</t>
  </si>
  <si>
    <t>绳镖轻击壹式</t>
  </si>
  <si>
    <t>绳镖的普攻 一段 A1</t>
  </si>
  <si>
    <t>(外功攻击*1)*0.5*0.9</t>
  </si>
  <si>
    <t>(内功攻击*1)*0.5*0.9</t>
  </si>
  <si>
    <t>江湖中流转的绳镖武学，多为诡门所习，令人防不胜防。连续按键会使出连续轻击动作。</t>
  </si>
  <si>
    <t>shengbiao/A1</t>
  </si>
  <si>
    <t>tricks/9110001</t>
  </si>
  <si>
    <t>绳镖轻击贰式</t>
  </si>
  <si>
    <t>绳镖的普攻 二段 A2</t>
  </si>
  <si>
    <t>(内功攻击*1)*0.6*0.9</t>
  </si>
  <si>
    <t>shengbiao/A2</t>
  </si>
  <si>
    <t>tricks/9110002</t>
  </si>
  <si>
    <t>绳镖轻击叁式</t>
  </si>
  <si>
    <t>绳镖的普攻 三段 A3</t>
  </si>
  <si>
    <t>(外功攻击*1)*0.6*0.9</t>
  </si>
  <si>
    <t>shengbiao/A3</t>
  </si>
  <si>
    <t>tricks/9110003</t>
  </si>
  <si>
    <t>绳镖重击</t>
  </si>
  <si>
    <t>绳镖的重击 B招</t>
  </si>
  <si>
    <t>江湖中流转的绳镖之重击，多为诡门所习，令人防不胜防。</t>
  </si>
  <si>
    <t>shengbiao/B6</t>
  </si>
  <si>
    <t>tricks/9110011</t>
  </si>
  <si>
    <t>绳镖的重击 B招 变招</t>
  </si>
  <si>
    <t>shengbiao/闪避</t>
  </si>
  <si>
    <t>shengbiao/闪避_2</t>
  </si>
  <si>
    <t>shengbiao/前闪避</t>
  </si>
  <si>
    <t>弓箭轻击</t>
  </si>
  <si>
    <t>普攻 一段 A1</t>
  </si>
  <si>
    <t>江湖中流转的弓箭操持之法，多为军阵所传，连续按键会使出连续轻击动作。</t>
  </si>
  <si>
    <t>gongjian/A1</t>
  </si>
  <si>
    <t>tricks/9120001</t>
  </si>
  <si>
    <t>弓箭重击</t>
  </si>
  <si>
    <t>江湖中流转的弓箭之重击，多为军阵所传，</t>
  </si>
  <si>
    <t>gongjian/B6</t>
  </si>
  <si>
    <t>tricks/9120011</t>
  </si>
  <si>
    <t>重击：蓄力</t>
  </si>
  <si>
    <t>gongjian/闪避</t>
  </si>
  <si>
    <t>gongjian/闪避_2</t>
  </si>
  <si>
    <t>gongjian/前闪避</t>
  </si>
  <si>
    <t>软鞭轻击壹式</t>
  </si>
  <si>
    <t>江湖中流转的软鞭武学，多为南疆武学，招式刚柔并济，招式诡谲令人防不胜防。</t>
  </si>
  <si>
    <t>ruanbian/A1</t>
  </si>
  <si>
    <t>tricks/9130001</t>
  </si>
  <si>
    <t>软鞭轻击贰式</t>
  </si>
  <si>
    <t>ruanbian/A2</t>
  </si>
  <si>
    <t>tricks/9130002</t>
  </si>
  <si>
    <t>软鞭轻击叁式</t>
  </si>
  <si>
    <t>ruanbian/A3</t>
  </si>
  <si>
    <t>tricks/9130003</t>
  </si>
  <si>
    <t>软鞭重击</t>
  </si>
  <si>
    <t>ruanbian/B6</t>
  </si>
  <si>
    <t>tricks/9130011</t>
  </si>
  <si>
    <t>ruanbian/闪避</t>
  </si>
  <si>
    <t>ruanbian/闪避_2</t>
  </si>
  <si>
    <t>ruanbian/前闪避</t>
  </si>
  <si>
    <t>火器轻击</t>
  </si>
  <si>
    <t>((1+武力*弓箭系数*40*0.5)*(1/(1.5+1+1))*1+(外功攻击*1))*0.3</t>
  </si>
  <si>
    <t>江湖中流转的火器操持之法，多为军阵所传，连续按键会使出连续轻击动作。</t>
  </si>
  <si>
    <t>huoqiang/A1</t>
  </si>
  <si>
    <t>tricks/9140001</t>
  </si>
  <si>
    <t>火器重击</t>
  </si>
  <si>
    <t>江湖中流传的火器操持之法，为火器填装弹药。</t>
  </si>
  <si>
    <t>huoqiang/B6</t>
  </si>
  <si>
    <t>tricks/9140011</t>
  </si>
  <si>
    <t>huoqiang/闪避</t>
  </si>
  <si>
    <t>huoqiang/闪避_2</t>
  </si>
  <si>
    <t>huoqiang/前闪避</t>
  </si>
  <si>
    <t>短兵轻击壹式</t>
  </si>
  <si>
    <t>江湖中流转的短兵武学，轻灵迅疾，千变万化。连续按键会使出连续轻击动作。</t>
  </si>
  <si>
    <t>duanbing/A1</t>
  </si>
  <si>
    <t>tricks/9150001</t>
  </si>
  <si>
    <t>短兵轻击贰式</t>
  </si>
  <si>
    <t>普攻 二段 A2</t>
  </si>
  <si>
    <t>duanbing/A2</t>
  </si>
  <si>
    <t>tricks/9150002</t>
  </si>
  <si>
    <t>短兵轻击叁式</t>
  </si>
  <si>
    <t>普攻 三段 A3</t>
  </si>
  <si>
    <t>duanbing/A3</t>
  </si>
  <si>
    <t>tricks/9150003</t>
  </si>
  <si>
    <t>短兵轻击肆式</t>
  </si>
  <si>
    <t>普攻 四段 A4</t>
  </si>
  <si>
    <t>duanbing/A4</t>
  </si>
  <si>
    <t>tricks/9150004</t>
  </si>
  <si>
    <t>短兵重击</t>
  </si>
  <si>
    <t>江湖中流转的短兵之重击，轻灵迅疾，千变万化。</t>
  </si>
  <si>
    <t>duanbing/B6</t>
  </si>
  <si>
    <t>tricks/9150011</t>
  </si>
  <si>
    <t>duanbing/闪避</t>
  </si>
  <si>
    <t>duanbing/闪避_2</t>
  </si>
  <si>
    <t>duanbing/前闪避</t>
  </si>
  <si>
    <t>狼</t>
  </si>
  <si>
    <t>普攻</t>
  </si>
  <si>
    <t>狼普攻1</t>
  </si>
  <si>
    <t>(外功攻击*1)*2</t>
  </si>
  <si>
    <t>(内功攻击*1)*2</t>
  </si>
  <si>
    <t>狼普攻2</t>
  </si>
  <si>
    <t>lang/A1</t>
  </si>
  <si>
    <t>tricks/9110016</t>
  </si>
  <si>
    <t>跃噬</t>
  </si>
  <si>
    <t>狼技能技能1</t>
  </si>
  <si>
    <t>蛇</t>
  </si>
  <si>
    <t>蛇普攻1</t>
  </si>
  <si>
    <t>(外功攻击*1)</t>
  </si>
  <si>
    <t>(内功攻击*1)</t>
  </si>
  <si>
    <t>蛇普攻2</t>
  </si>
  <si>
    <t>she/A1</t>
  </si>
  <si>
    <t>tricks/9110017</t>
  </si>
  <si>
    <t>攻击</t>
  </si>
  <si>
    <t>蛇技能技能1</t>
  </si>
  <si>
    <t>蛇技能2</t>
  </si>
  <si>
    <t>she/Skill1</t>
  </si>
  <si>
    <t>熊</t>
  </si>
  <si>
    <t>熊普攻1</t>
  </si>
  <si>
    <t>熊普攻</t>
  </si>
  <si>
    <t>xiong/A1</t>
  </si>
  <si>
    <t>熊闪避1</t>
  </si>
  <si>
    <t>xiong/闪避</t>
  </si>
  <si>
    <t>蛤蟆</t>
  </si>
  <si>
    <t>蛤蟆普攻1</t>
  </si>
  <si>
    <t>蛤蟆普攻</t>
  </si>
  <si>
    <t>chanchu/A1</t>
  </si>
  <si>
    <t>蛤蟆闪避1</t>
  </si>
  <si>
    <t>chanchu/闪避</t>
  </si>
  <si>
    <t>蛊人</t>
  </si>
  <si>
    <t>蛊人普攻1</t>
  </si>
  <si>
    <t>蛊人普攻</t>
  </si>
  <si>
    <t>guren/A1</t>
  </si>
  <si>
    <t>蛊人闪避1</t>
  </si>
  <si>
    <t>guren/闪避</t>
  </si>
  <si>
    <t>虎</t>
  </si>
  <si>
    <t>虎普攻1</t>
  </si>
  <si>
    <t>虎普攻</t>
  </si>
  <si>
    <t>laohu/A1</t>
  </si>
  <si>
    <t>虎闪避1</t>
  </si>
  <si>
    <t>laohu/闪避</t>
  </si>
  <si>
    <t>蜘蛛</t>
  </si>
  <si>
    <t>蜘蛛普攻1</t>
  </si>
  <si>
    <t>蜘蛛普攻</t>
  </si>
  <si>
    <t>zhizhu/A1</t>
  </si>
  <si>
    <t>蜘蛛闪避1</t>
  </si>
  <si>
    <t>zhizhu/闪避</t>
  </si>
  <si>
    <t>蝎子</t>
  </si>
  <si>
    <t>蝎子普攻1</t>
  </si>
  <si>
    <t>蝎子普攻</t>
  </si>
  <si>
    <t>xiezi/A1</t>
  </si>
  <si>
    <t>蝎子闪避1</t>
  </si>
  <si>
    <t>xiezi/闪避</t>
  </si>
  <si>
    <t>狗</t>
  </si>
  <si>
    <t>狗普攻1</t>
  </si>
  <si>
    <t>狗普攻</t>
  </si>
  <si>
    <t>baigou/A1</t>
  </si>
  <si>
    <t>狗闪避1</t>
  </si>
  <si>
    <t>baigou/闪避</t>
  </si>
  <si>
    <t>蜈蚣</t>
  </si>
  <si>
    <t>蜈蚣普攻1</t>
  </si>
  <si>
    <t>wugong/A1</t>
  </si>
  <si>
    <t>蜈蚣闪避1</t>
  </si>
  <si>
    <t>wugong/闪避</t>
  </si>
  <si>
    <t>大蛇</t>
  </si>
  <si>
    <t>大蛇普攻1</t>
  </si>
  <si>
    <t>dashe/A1</t>
  </si>
  <si>
    <t>大蛇闪避1</t>
  </si>
  <si>
    <t>dashe/闪避</t>
  </si>
  <si>
    <t>墨家甲卫_近战</t>
  </si>
  <si>
    <t>墨家甲卫_近战普攻1</t>
  </si>
  <si>
    <t>mojiajiawei_jinzhan/A1</t>
  </si>
  <si>
    <t>咆哮</t>
  </si>
  <si>
    <t>熊技能技能1</t>
  </si>
  <si>
    <t>墨家甲卫_近战闪避1</t>
  </si>
  <si>
    <t>mojiajiawei_jinzhan/闪避</t>
  </si>
  <si>
    <t>蜈蚣技能1</t>
  </si>
  <si>
    <t>狗技能</t>
  </si>
  <si>
    <t>蛤蟆技能</t>
  </si>
  <si>
    <t>毒涎</t>
  </si>
  <si>
    <t>蛤蟆技能技能1</t>
  </si>
  <si>
    <t>chanchu/Skill1</t>
  </si>
  <si>
    <t>蛊人技能</t>
  </si>
  <si>
    <t>蛊人技能技能1</t>
  </si>
  <si>
    <t>guren/Skill1</t>
  </si>
  <si>
    <t>虎技能</t>
  </si>
  <si>
    <t>虎技能技能1</t>
  </si>
  <si>
    <t>laohu/Skill1</t>
  </si>
  <si>
    <t>蜘蛛技能</t>
  </si>
  <si>
    <t>蜘蛛技能技能1</t>
  </si>
  <si>
    <t>zhizhu/Skill1</t>
  </si>
  <si>
    <t>蝎子技能</t>
  </si>
  <si>
    <t>蝎子技能技能1</t>
  </si>
  <si>
    <t>xiezi/Skill1</t>
  </si>
  <si>
    <t>狗技能技能1</t>
  </si>
  <si>
    <t>baigou/Skill1</t>
  </si>
  <si>
    <t>蜈蚣技能</t>
  </si>
  <si>
    <t>蜈蚣技能技能1</t>
  </si>
  <si>
    <t>wugong/Skill1</t>
  </si>
  <si>
    <t>大蛇技能</t>
  </si>
  <si>
    <t>缠山</t>
  </si>
  <si>
    <t>大蛇技能技能1</t>
  </si>
  <si>
    <t>dashe/Skill2</t>
  </si>
  <si>
    <t>墨家甲卫_远程</t>
  </si>
  <si>
    <t>墨家甲卫_远程技能1</t>
  </si>
  <si>
    <t>mojiajiawei_yuancheng/Skill1</t>
  </si>
  <si>
    <t>Normal</t>
  </si>
  <si>
    <t>White Ape Holds Seal</t>
  </si>
  <si>
    <t>Common</t>
  </si>
  <si>
    <t>Active Skill: Push both palms forward and upward at an angle, striking the enemy's jaw with force, dealing hybrid (internal and external) damage and launching them into the air.</t>
  </si>
  <si>
    <t>Thunderous Reputation</t>
  </si>
  <si>
    <t>Active Skill: Step forward, gather momentum into the palms, and unleash a fierce strike, dealing external and internal damage to the enemy.</t>
  </si>
  <si>
    <t>Ancient Hammer - Body Piercer</t>
  </si>
  <si>
    <t>Active Skill: With the force of thunder and the weight of a thousand jun, deliver three consecutive heavy strikes, dealing external damage and partial internal damage. The higher the Strength attribute, the stronger this skill's effect.</t>
  </si>
  <si>
    <t>Ancient Hammer - Surging Overlap</t>
  </si>
  <si>
    <t>Active Skill: Fist strikes like a hammer, swift and unstoppable. Holding the button allows for two consecutive heavy strikes, dealing external damage and partial internal damage. The higher the Strength attribute, the stronger this skill's effect.</t>
  </si>
  <si>
    <t>Hundred Refinements Hardened</t>
  </si>
  <si>
    <t>Passive Skill: Light external attacks gain a 5% damage increase.</t>
  </si>
  <si>
    <t>Thousand Forgings Guard Heart</t>
  </si>
  <si>
    <t>Passive Skill: After executing [Ancient Hammer - Final Forge], there is a chance to trigger the [Focused Mind] effect (affected by Agility): deals an additional 5% skill damage to the target.</t>
  </si>
  <si>
    <t>Ancient Hammer - Forging End</t>
  </si>
  <si>
    <t>Active Skill: Move like an arrow, step forward while concealing stance, and strike the enemy with the shoulder, dealing external damage and partial internal damage. The higher the Strength attribute, the stronger this skill's effect.</t>
  </si>
  <si>
    <t>Break New Furnace</t>
  </si>
  <si>
    <t>Passive Skill: When executing [Ancient Hammer - Final Forge], the user has a chance to gain the [Fierce Furnace] effect. While under this effect, executing [Ancient Hammer - Stacking Impact] guarantees a critical hit. This effect lasts for three seconds. Higher Agility increases the chance of triggering [Fierce Furnace].</t>
  </si>
  <si>
    <t>New Forge - Mountain Crasher</t>
  </si>
  <si>
    <t>Passive Skill: After dealing damage, the user gains one stack of [Mountain Breaker] effect, which increases external attack by 2% based on the user's attributes. This effect lasts for three seconds and can stack up to three times.</t>
  </si>
  <si>
    <t>New Forge - Sea Splitter</t>
  </si>
  <si>
    <t>Passive Skill: After executing [Ancient Hammer - Piercing Strike], using [Ancient Hammer - Final Forge] within three seconds has a chance to increase external attack by 5% for three seconds.</t>
  </si>
  <si>
    <t>Break Steel Dome</t>
  </si>
  <si>
    <t>Passive Skill: After executing [Ancient Hammer - Final Forge], for five seconds, light fist attacks gain a 5% external attack increase.</t>
  </si>
  <si>
    <t>Ancient Overlap Renewed</t>
  </si>
  <si>
    <t>Passive Skill: If the first hit of [Ancient Hammer - Piercing Strike] deals damage, the user gains one stack of [Tempering] effect. Each stack increases external attack by 1%, lasting for ten seconds, with a maximum of ten stacks.</t>
  </si>
  <si>
    <t>Break Furnace Hardened</t>
  </si>
  <si>
    <t>Passive Skill: Upon entering combat, Strength increases by 3 points.</t>
  </si>
  <si>
    <t>Cover Hammer Ancient Law</t>
  </si>
  <si>
    <t>Passive Skill: When executing [Ancient Hammer - Stacking Impact], damage increases by 5%.</t>
  </si>
  <si>
    <t>Furnace-Shaking Fist Intent</t>
  </si>
  <si>
    <t>Passive Skill: When any two of the effects [Focused Mind], [Mountain Breaker], or [Tempering] are active simultaneously, the user gains the [Fist Intent] effect, increasing critical hit chance by 10% for five seconds.</t>
  </si>
  <si>
    <t>Violent Sun Myriad Rays</t>
  </si>
  <si>
    <t>Active Skill: Like the blazing sun, fierce and unstoppable. Deliver five consecutive strikes, dealing external and internal damage while launching the enemy into the air. The higher the Strength and Internal Energy, the stronger this skill's effect.</t>
  </si>
  <si>
    <t>Mid-Heaven Hanging Objects</t>
  </si>
  <si>
    <t>Passive Skill: When executing [Radiant Myriad Strands], there is a chance to gain the [Midheaven] effect, increasing external and internal attack by 5% for five seconds.</t>
  </si>
  <si>
    <t>Quell Broken Stele</t>
  </si>
  <si>
    <t>Active Skill: Spin and raise the knee with unstoppable force, dealing external and internal damage. Can interrupt light attacks to force execution. The higher the Strength and Internal Energy, the stronger this skill's effect.</t>
  </si>
  <si>
    <t>Morning Twilight Shatter</t>
  </si>
  <si>
    <t>Passive Skill: After executing [Crushing Stele], the next light attack within five seconds applies the [Armor Break] effect, reducing the target's external defense by 20%.</t>
  </si>
  <si>
    <t>Subdue Evil, Destroy Yang</t>
  </si>
  <si>
    <t>Active Skill: Move like thunder, piercing through clouds and sun, dealing external and internal damage. The higher the Strength and Internal Energy, the stronger this skill's effect.</t>
  </si>
  <si>
    <t>Draw Bow Shooting Sun</t>
  </si>
  <si>
    <t>Passive Skill: Executing [Radiant Myriad Strands] and then [Sun-Sundering Strike] within two seconds grants the [Unstoppable] effect during execution.</t>
  </si>
  <si>
    <t>Last Rays Extinct</t>
  </si>
  <si>
    <t>Passive Skill: When executing [Sun-Sundering Strike], external attack increases by 5% for three seconds.</t>
  </si>
  <si>
    <t>Break Ruin Open Stele</t>
  </si>
  <si>
    <t>Passive Skill: If [Crushing Stele] scores a critical hit, it reduces the cooldown of [Sun-Sundering Strike] by one second.</t>
  </si>
  <si>
    <t>Three Thousand Searing Blaze End</t>
  </si>
  <si>
    <t>Passive Skill: If [Sun-Sundering Strike] is executed while under the [Unstoppable] effect, it guarantees a critical hit.</t>
  </si>
  <si>
    <t>Subdue Drought Fiery Extinction</t>
  </si>
  <si>
    <t>Passive Skill: Executing [Radiant Myriad Strands] grants one stack of [Radiant] effect, ignoring 3% of the enemy's external defense per stack. This effect lasts for ten seconds, stacking up to five times.</t>
  </si>
  <si>
    <t>Cover All Living Beings</t>
  </si>
  <si>
    <t>Alone Push Against Tai Mountain</t>
  </si>
  <si>
    <t>Passive Skill: If [Sun-Sundering Strike] is executed while under the [Unstoppable] effect from [Sun-Drawing Arrow], damage increases by 5%.</t>
  </si>
  <si>
    <t>Golden Crow Consumed by Fire</t>
  </si>
  <si>
    <t>Passive Skill: Attacks against targets with the [Armor Break] effect deal an additional 2.5% external and internal damage.</t>
  </si>
  <si>
    <t>Great Dao First Division</t>
  </si>
  <si>
    <t>Active Skill: Shoulder and elbow flow smoothly, striking with intent before force. Deliver five consecutive hits, dealing internal damage. The higher the Internal Energy, the stronger this skill's effect.</t>
  </si>
  <si>
    <t>Embrace Origin, Guard the One</t>
  </si>
  <si>
    <t>Passive Skill: After executing [Great Dao's Beginning], for ten seconds, each instance of damage dealt grants the user one stack of [Force Dispersion], increasing external and internal defense by 3% per stack (max six stacks), lasting six seconds.</t>
  </si>
  <si>
    <t>Merge Taiji</t>
  </si>
  <si>
    <t>Active Skill: Restrain the mind, unify focus. After use, all melee attacks can be neutralized, redirecting the enemy's force and causing them to stagger.</t>
  </si>
  <si>
    <t>Wuji Momentum</t>
  </si>
  <si>
    <t>Passive Skill: Each successful neutralization with [Harmonizing Tai Chi] stores a portion of the enemy's force. When executing [Unleashing Tai Chi], all stored force is released, increasing its damage.</t>
  </si>
  <si>
    <t>Open Taiji</t>
  </si>
  <si>
    <t>Active Skill: Gather momentum like flowing water. Holding the button channels energy, releasing it deals internal damage to surrounding enemies. The higher the Internal Energy, the stronger this skill's effect.</t>
  </si>
  <si>
    <t>Cleave Primordial Chaos</t>
  </si>
  <si>
    <t>Passive Skill: Enemies hit by [Unleashing Tai Chi] are stunned for two seconds.</t>
  </si>
  <si>
    <t>Taiji Wuji</t>
  </si>
  <si>
    <t>Passive Skill: After executing [Unleashing Tai Chi], gain the [Unstoppable] effect for two seconds.</t>
  </si>
  <si>
    <t>Ascend Supreme Void</t>
  </si>
  <si>
    <t>Passive Skill: Increases the internal damage of [Great Dao's Beginning]. The higher the Internal Energy, the stronger this effect.</t>
  </si>
  <si>
    <t>Forget Self and World</t>
  </si>
  <si>
    <t>Passive Skill: After executing [Great Dao's Beginning], gain the [Unity with Dao] effect, increasing internal energy generation speed by 5% for six seconds.</t>
  </si>
  <si>
    <t>All Paths Converge</t>
  </si>
  <si>
    <t>Passive Skill: Gain the [Empowered] effect, increasing internal attack. The higher the Internal Energy, the stronger this effect.</t>
  </si>
  <si>
    <t>Root Nature Null</t>
  </si>
  <si>
    <t>Passive Skill: Upon entering combat, Internal Energy increases by 3 points.</t>
  </si>
  <si>
    <t>No-Self Way</t>
  </si>
  <si>
    <t>Passive Skill: The [Selfless Clarity] effect additionally increases internal energy generation speed by 5%, and its duration is extended to ten seconds.</t>
  </si>
  <si>
    <t>Primordial Chaos Merge</t>
  </si>
  <si>
    <t>Passive Skill: When equipped with the [Primordial Chaos Scripture] internal skill, executing [Great Dao's Beginning] and dealing damage has a 30% chance to grant an additional [Chaos Protection] effect.</t>
  </si>
  <si>
    <t>Grasp Stars' Vastness</t>
  </si>
  <si>
    <t>Active Skill: Channel energy through the Taiyin Lung and Jueyin Pericardium meridians, striking the enemy with three instances of internal damage. (Affected by Internal Energy)</t>
  </si>
  <si>
    <t>Immortal Plucks the Star</t>
  </si>
  <si>
    <t>Passive Skill: When [Plucking the Stars] hits, apply the [Starlit] effect to oneself, stacking up to three times (lasting six seconds). Each stack increases damage dealt by 1%.</t>
  </si>
  <si>
    <t>Draw Starry Canopy</t>
  </si>
  <si>
    <t>Active Skill: Channel energy through the Shaoxin Heart and Taiyang Small Intestine meridians, condensing energy into a sword, dealing multiple instances of internal damage. (Affected by Internal Energy)</t>
  </si>
  <si>
    <t>Spin Stars Wrap Finger</t>
  </si>
  <si>
    <t>Passive Skill: Each time damage is dealt to an enemy, apply the [Entwining Fingers] effect (non-stackable, lasts three seconds), reducing their movement speed by 20%.</t>
  </si>
  <si>
    <t>Hang Starry River</t>
  </si>
  <si>
    <t>Active Skill: Channel energy through the Yangming Stomach and Shaoyang Triple Burner meridians, moving with unparalleled speed and striking unpredictably, dealing multiple instances of internal damage. (Affected by Internal Energy)</t>
  </si>
  <si>
    <t>Starry Sea Immeasurable</t>
  </si>
  <si>
    <t>Passive Skill: Increases damage dealt by [Drawing the Starry Sky] by 2%.</t>
  </si>
  <si>
    <t>Cosmos as Chessboard</t>
  </si>
  <si>
    <t>Passive Skill: Upon entering combat, immediately gain 2 stacks of the [Starlit] effect.</t>
  </si>
  <si>
    <t>A Thousand Rivers of Stars</t>
  </si>
  <si>
    <t>Passive Skill: Increases damage dealt by [Plucking the Stars] by 2%.</t>
  </si>
  <si>
    <t>Starry River Reversal</t>
  </si>
  <si>
    <t>Passive Skill: Increases damage dealt by [Hanging the Starry River] by 2%.</t>
  </si>
  <si>
    <t>North Star Resplendent</t>
  </si>
  <si>
    <t>Passive Skill: While under the [Starlit] effect, damage dealt increases by 2%.</t>
  </si>
  <si>
    <t>Veil Drooping Stars</t>
  </si>
  <si>
    <t>Vast Sea Retrograde</t>
  </si>
  <si>
    <t>Passive Skill: Increases internal energy generation by 10%.</t>
  </si>
  <si>
    <t>Shatter Cosmos</t>
  </si>
  <si>
    <t>Passive Skill: Increases critical hit chance by 15%.</t>
  </si>
  <si>
    <t>Lift and Flick Stance</t>
  </si>
  <si>
    <t>Active Skill: Lift the sword in an upward slash, spinning like the wind, dealing external damage and launching the enemy into the air.</t>
  </si>
  <si>
    <t>Sun Piercing Slash</t>
  </si>
  <si>
    <t>Active Skill: Drag the sword while concealing stance, swiftly slashing enemies along the path, dealing external and internal damage.</t>
  </si>
  <si>
    <t>Soar, Startling Swan</t>
  </si>
  <si>
    <t>Active Skill: Leap high into the air, sword descending like a falling star. Holding the button allows for three consecutive [Startling Swan] plunging strikes, dealing external damage. The higher the Agility, the stronger this skill's effect.</t>
  </si>
  <si>
    <t>Startling Swan (Second Strike): Consumes an additional 35 Stamina.</t>
  </si>
  <si>
    <t>Startling Swan (Subsidiary): Jump Attack.</t>
  </si>
  <si>
    <t>Startling Swan (Third Strike): Consumes an additional 35 Stamina.</t>
  </si>
  <si>
    <t>Ride Wind Southward Plan</t>
  </si>
  <si>
    <t>Passive Skill: Increases the maximum number of [Startling Swan] strikes by one.</t>
  </si>
  <si>
    <t>Derived Entities Natural Motion</t>
  </si>
  <si>
    <t>Active Skill: Soar into the air, lifting the sword in an upward slash, dealing external damage. The higher the Agility, the stronger this skill's effect.</t>
  </si>
  <si>
    <t>Green Upheld Will</t>
  </si>
  <si>
    <t>Passive Skill: Increases critical hit chance by 5%.</t>
  </si>
  <si>
    <t>Lone Swan Reflected Shadow</t>
  </si>
  <si>
    <t>Active Skill: Like a swift swan, dash forward with a piercing thrust, dealing external damage. The higher the Agility, the stronger this skill's effect.</t>
  </si>
  <si>
    <t>Flap Wings Proceed</t>
  </si>
  <si>
    <t>Ask Not North or South</t>
  </si>
  <si>
    <t>Passive Skill: When [Heavenly Motion] hits an enemy, there is a chance to reset the cooldown of [Startling Swan]. Higher Agility increases the reset chance.</t>
  </si>
  <si>
    <t>Geese Return Southbound</t>
  </si>
  <si>
    <t>Passive Skill: [Startling Swan] ignores the enemy's [Block] status.</t>
  </si>
  <si>
    <t>Tread Feathers Ascend Sky</t>
  </si>
  <si>
    <t>Passive Skill: While jumping, gain the [Lightness] effect, increasing external attack by 5% for two seconds.</t>
  </si>
  <si>
    <t>Lone Search Cold Shadow</t>
  </si>
  <si>
    <t>Passive Skill: When executing [Startling Swan] from a standing position, gain the [Invincible] effect for one second.</t>
  </si>
  <si>
    <t>Skim Distant Shore</t>
  </si>
  <si>
    <t>Passive Skill: Upon entering combat, Agility increases by 3 points.</t>
  </si>
  <si>
    <t>Long Cry Alarms</t>
  </si>
  <si>
    <t>Passive Skill: When executing [Lone Swan's Shadow], gain the [Sword Intent] effect. When executing [Heavenly Motion], skill damage is increased. This effect lasts for 8 seconds.</t>
  </si>
  <si>
    <t>Returning Swan Looks Back</t>
  </si>
  <si>
    <t>Passive Skill: Increases final damage and critical hit chance by 3%.</t>
  </si>
  <si>
    <t>Wind Howls, Rain Darkens</t>
  </si>
  <si>
    <t>Active Skill: Like a sudden halt in a storm, unleash five rapid thrusts, dealing external and internal damage. The higher the Agility, the stronger this skill's effect.</t>
  </si>
  <si>
    <t>Gather All Wandering Winds</t>
  </si>
  <si>
    <t>Passive Skill: Increases critical hit chance. The higher the Agility, the stronger this effect.</t>
  </si>
  <si>
    <t>Autumn Wind Falls Extinct</t>
  </si>
  <si>
    <t>Active Skill: Like a raging tempest, spin and slash rapidly, dealing multiple piercing strikes that inflict external and internal damage. The higher the Agility, the stronger this skill's effect.</t>
  </si>
  <si>
    <t>Long Wind Returning Timely</t>
  </si>
  <si>
    <t>Passive Skill: After executing [Autumn Wind's End], reduces the cooldown of [Storm and Rain] by one second.</t>
  </si>
  <si>
    <t>North Wind Sharpens Pines</t>
  </si>
  <si>
    <t>Active Skill: Like a gentle breeze, spin gracefully while sweeping the dust, dealing five strikes of external and internal damage. The higher the Agility, the stronger this skill's effect.</t>
  </si>
  <si>
    <t>Fluttering Willow, Broken Catkins</t>
  </si>
  <si>
    <t>Passive Skill: After executing [North Wind Pierces the Pines], gain the [Ancient Pine] effect, increasing external and internal attack by 1% per stack (max 5 stacks), lasting five seconds.</t>
  </si>
  <si>
    <t>Bitter Wind Sudden</t>
  </si>
  <si>
    <t>Passive Skill: After executing [Storm and Rain], gain the [Gathering Wind] effect, increasing external and internal attack by 1% per stack (max 5 stacks), lasting five seconds.</t>
  </si>
  <si>
    <t>Gloomy Wind Rush</t>
  </si>
  <si>
    <t>Passive Skill: If [Storm and Rain] scores a critical hit, reduces the cooldown of [Autumn Wind's End] by one second.</t>
  </si>
  <si>
    <t>Twist Store Imminent</t>
  </si>
  <si>
    <t>Passive Skill: When executing [North Wind Pierces the Pines], reduces the cooldown of [Storm and Rain] by one second.</t>
  </si>
  <si>
    <t>Dawn Wind Fading Moon</t>
  </si>
  <si>
    <t>Passive Skill: When dealing critical damage, gain the [Remnant Wind] effect, increasing critical damage by 10% and critical hit chance by 2% per stack (max 5 stacks), lasting ten seconds.</t>
  </si>
  <si>
    <t>Shift Pure and Turbid</t>
  </si>
  <si>
    <t>North Wind Harsh</t>
  </si>
  <si>
    <t>Passive Skill: [North Wind Pierces the Pines] applies the [North Wind] effect to damaged enemies, reducing their movement speed by 30% for five seconds.</t>
  </si>
  <si>
    <t>Exhaust Autumn Bleakness</t>
  </si>
  <si>
    <t>Passive Skill: After executing [Autumn Wind's End], gain the [Withered] effect, increasing external and internal attack by 1% per stack (max 5 stacks), lasting seven seconds.</t>
  </si>
  <si>
    <t>Burn Vast, Sever Seas</t>
  </si>
  <si>
    <t>Active Skill: The blade rises like crashing waves, endlessly slashing forward multiple times, dealing external and internal damage. The higher the Strength, the stronger this skill's effect.</t>
  </si>
  <si>
    <t>Observe Waves' Gap</t>
  </si>
  <si>
    <t>Passive Skill: If the final strike of [Burning Seas, Severing Tides] hits an enemy below 30% HP, there is a chance to instantly execute them. Higher Agility increases the execution chance.</t>
  </si>
  <si>
    <t>Face Frosty Boulder</t>
  </si>
  <si>
    <t>Active Skill: The blade stands firm like a reef in the ocean, unmoving. After activation, remain still before delivering a decisive slash, dealing external and internal damage. Pressing the button again cancels the stance. The higher the Strength, the stronger this skill's effect.</t>
  </si>
  <si>
    <t>Dark Swell Waves Waver</t>
  </si>
  <si>
    <t>Passive Skill: When dealing critical damage, gain the [Unshaken] effect, increasing [Burning Seas, Severing Tides]'s execution chance by 3% per stack (max 5 stacks), lasting five seconds.</t>
  </si>
  <si>
    <t>Savage Waves Terrifying Billows</t>
  </si>
  <si>
    <t>Active Skill: The blade surges like a raging sea, striking three plunging thrusts, dealing external and internal damage. The higher the Strength, the stronger this skill's effect.</t>
  </si>
  <si>
    <t>Thousand Rivers Gather Sea</t>
  </si>
  <si>
    <t>Passive Skill: If [Burning Seas, Severing Tides] scores a critical hit, reduces the cooldown of [Terrifying Waves] by one second.</t>
  </si>
  <si>
    <t>East Faces Sharpness</t>
  </si>
  <si>
    <t>Passive Skill: When executing [Standing at the Cliff], gain the [Unstoppable] effect for two seconds.</t>
  </si>
  <si>
    <t>Sea Returns, Mulberry Repents</t>
  </si>
  <si>
    <t>Passive Skill: If [Burning Seas, Severing Tides] successfully executes an enemy, restores 1 Qi and resets its cooldown.</t>
  </si>
  <si>
    <t>Floating Wave Sink Billow</t>
  </si>
  <si>
    <t>Passive Skill: If [Terrifying Waves] hits an enemy, gain the [Ebb and Flow] effect, increasing [Burning Seas, Severing Tides]'s execution chance by 2% per stack (max 5 stacks), lasting five seconds.</t>
  </si>
  <si>
    <t>Shore's End, Azure's Close</t>
  </si>
  <si>
    <t>Passive Skill: Light attacks grant the [Sea's End] effect, increasing critical hit chance by 3% per stack (max 3 stacks), lasting two seconds.</t>
  </si>
  <si>
    <t>Chase Azure Billow</t>
  </si>
  <si>
    <t>Shocking Blue Waves</t>
  </si>
  <si>
    <t>Passive Skill: Killing an enemy with [Burning Seas, Severing Tides] grants the [Sharp Shock] effect, increasing critical damage by 2% (max 5 stacks), lasting 15 seconds.</t>
  </si>
  <si>
    <t>Tide Ebb and Flow</t>
  </si>
  <si>
    <t>Passive Skill: Killing an enemy with [Burning Seas, Severing Tides] increases HP recovery by 10%, lasting 10 seconds.</t>
  </si>
  <si>
    <t>Divide Yin and Yang</t>
  </si>
  <si>
    <t>Active Skill: Holding to fullness is not as good as stopping in time. Execute six consecutive sword strikes, dealing external and internal damage. The higher the Internal Energy, the stronger this skill's effect.</t>
  </si>
  <si>
    <t>Generate Tai Chi</t>
  </si>
  <si>
    <t>Passive Skill: Each strike of [Dividing Yin and Yang] has a chance to restore 1 Qi. The higher the Internal Energy, the stronger this effect.</t>
  </si>
  <si>
    <t>Split Dawn and Dusk</t>
  </si>
  <si>
    <t>Active Skill: To sharpen a blade too much cannot preserve it long. Gather energy into the sword, releasing a piercing sword beam that deals external and internal damage.</t>
  </si>
  <si>
    <t>Define Heaven and Earth</t>
  </si>
  <si>
    <t>Passive Skill: [Shaking the Cosmos] applies the [Immobilize] effect to damaged enemies, lasting 4 seconds.</t>
  </si>
  <si>
    <t>Purge the Cosmos</t>
  </si>
  <si>
    <t>Active Skill: The greatest music has no sound, the greatest form has no shape. Merge with the sword in endless circular strikes, dealing external and internal damage. The higher the Internal Energy, the stronger this skill's effect.</t>
  </si>
  <si>
    <t>Yin Fish Marsh</t>
  </si>
  <si>
    <t>Passive Skill: [Shaking the Cosmos] applies the [Yin Marsh] effect to damaged enemies, reducing their speed by 20% for 7 seconds.</t>
  </si>
  <si>
    <t>Transform Two Polarities</t>
  </si>
  <si>
    <t>Passive Skill: Increases damage of [Cleaving Dawn and Dusk] by 5%.</t>
  </si>
  <si>
    <t>Yang Fish Crimson</t>
  </si>
  <si>
    <t>Passive Skill: Increases critical hit chance of [Cleaving Dawn and Dusk]. The higher the Agility, the stronger this effect.</t>
  </si>
  <si>
    <t>Raise Pure and Turbid</t>
  </si>
  <si>
    <t>Passive Skill: [Shaking the Cosmos] deals additional damage to enemies with the [Yin Marsh] effect. The higher the Internal Energy, the stronger this effect.</t>
  </si>
  <si>
    <t>Hear the Dao at Dawn</t>
  </si>
  <si>
    <t>Passive Skill: After executing [Dividing Yin and Yang], gain the [Enlightened Path] effect, increasing internal energy generation by 10% for ten seconds.</t>
  </si>
  <si>
    <t>Glowing Dust Sharp</t>
  </si>
  <si>
    <t>Pathways of Yin and Yang</t>
  </si>
  <si>
    <t>Passive Skill: Increases damage of [Dividing Yin and Yang] by 5%.</t>
  </si>
  <si>
    <t>Wuji Sundering Dawn</t>
  </si>
  <si>
    <t>Passive Skill: When equipped with the [Supreme Void Limitless Force] internal skill, executing [Dividing Yin and Yang] grants the [Unstoppable] effect.</t>
  </si>
  <si>
    <t>Sweep Over Green Peaks</t>
  </si>
  <si>
    <t>Active Skill: Sword moves like shadows on deep pools, striking unpredictably with multiple slashes and thrusts, dealing external damage. The higher the Agility, the stronger this skill's effect.</t>
  </si>
  <si>
    <t>Cross Autumn Duckweed</t>
  </si>
  <si>
    <t>Passive Skill: If [Sweeping Green Rivers] deals damage, gain the [Swift] effect, increasing speed by 60 for three seconds.</t>
  </si>
  <si>
    <t>Fly Scattered Catkins</t>
  </si>
  <si>
    <t>Active Skill: Sword moves like autumn leaves, unpredictably darting behind enemies for a sudden thrust, dealing external damage. The higher the Agility, the stronger this skill's effect.</t>
  </si>
  <si>
    <t>Sever Delusive Thoughts</t>
  </si>
  <si>
    <t>Passive Skill: [Flying Remnant Fluff] applies the [Delusion] effect to damaged enemies, reducing their external defense by 15% for 5 seconds.</t>
  </si>
  <si>
    <t>Wander Azure Depths</t>
  </si>
  <si>
    <t>Active Skill: Sword moves like stars reflected on rivers, unpredictably shifting positions to strike unexpectedly, dealing external damage. The higher the Agility, the stronger this skill's effect.</t>
  </si>
  <si>
    <t>Swan Pecks Branch</t>
  </si>
  <si>
    <t>Passive Skill: [Sweeping Green Rivers] applies the [Goose Peck] effect to damaged enemies, reducing their speed by 30% for three seconds.</t>
  </si>
  <si>
    <t>Flowers Brush Shadows</t>
  </si>
  <si>
    <t>Passive Skill: Extends [Swift] effect duration by one second and increases its speed bonus by 20.</t>
  </si>
  <si>
    <t>Clouds Comb Leaves</t>
  </si>
  <si>
    <t>Passive Skill: If [Sweeping Green Rivers] damages an enemy with the [Delusion] effect, additionally applies the [Blind] effect, reducing accuracy by 25% for seven seconds.</t>
  </si>
  <si>
    <t>Long Beam Bears Tidings</t>
  </si>
  <si>
    <t>Solitary Shine Pine Moon</t>
  </si>
  <si>
    <t>Passive Skill: Attacking enemies with the [Blind] effect grants 15% critical hit chance for five seconds.</t>
  </si>
  <si>
    <t>Scatter Adrift</t>
  </si>
  <si>
    <t>Boundless Expanses End</t>
  </si>
  <si>
    <t>Passive Skill: When executing [Wandering the Vast Sea], critical hit chance increases by 5%.</t>
  </si>
  <si>
    <t>Slay Delusion</t>
  </si>
  <si>
    <t>Passive Skill: When attacking targets with both [Delusion] and [Blind] effects, triggers the [Remnant Fluff] effect, increasing critical damage by 20% for 10 seconds.</t>
  </si>
  <si>
    <t>Stranded Luan Bird</t>
  </si>
  <si>
    <t>Active Skill: Spin while swinging the blade in unpredictable patterns, dealing multiple instances of external damage. (Affected by Internal Energy)</t>
  </si>
  <si>
    <t>Enter Tribulation</t>
  </si>
  <si>
    <t>Passive Skill: Upon entering combat, internal attack increases by 2%.</t>
  </si>
  <si>
    <t>Drag Graceful Shadow</t>
  </si>
  <si>
    <t>Active Skill: Leap up with a quick slash, dealing multiple instances of external damage. (Affected by Internal Energy)</t>
  </si>
  <si>
    <t>Best Cold</t>
  </si>
  <si>
    <t>Passive Skill: Damaging attacks apply the [Cold Plum] effect, reducing target's internal defense by 5% per stack (max 3 stacks), lasting 5 seconds.</t>
  </si>
  <si>
    <t>Sidelong Eavesdropping</t>
  </si>
  <si>
    <t>Active Skill: Conceal the blade while spinning and leaping, dealing multiple instances of external damage. (Affected by Internal Energy)</t>
  </si>
  <si>
    <t>Hidden Rain</t>
  </si>
  <si>
    <t>Passive Skill: Increases lifesteal by 10%.</t>
  </si>
  <si>
    <t>Brew Wine</t>
  </si>
  <si>
    <t>Passive Skill: Upon entering combat, critical hit chance and critical damage increase by 5%.</t>
  </si>
  <si>
    <t>Carve Stone</t>
  </si>
  <si>
    <t>Passive Skill: [Twisting the Azure Phoenix] deals additional damage.</t>
  </si>
  <si>
    <t>Carefree and Unfettered</t>
  </si>
  <si>
    <t>Passive Skill: Attacks against enemies with the [Cold Plum] effect deal 5% more damage.</t>
  </si>
  <si>
    <t>Life's Aspirations</t>
  </si>
  <si>
    <t>Passive Skill: Reduces cooldown of [Searching for Plum Blossoms] by 1 second.</t>
  </si>
  <si>
    <t>Contemplate Moon</t>
  </si>
  <si>
    <t>Shepherd Stars</t>
  </si>
  <si>
    <t>Passive Skill: Increases HP recovery by 10%.</t>
  </si>
  <si>
    <t>Lean on Rail Sigh</t>
  </si>
  <si>
    <t>Passive Skill: Increases movement speed by 10%.</t>
  </si>
  <si>
    <t>Shatter Western Pass</t>
  </si>
  <si>
    <t>Active Skill: Rely not on the blade's sharpness, but on overwhelming force to break defenses, dealing external damage and stunning the target.</t>
  </si>
  <si>
    <t>Shake Earth, Shatter Wall</t>
  </si>
  <si>
    <t>Active Skill: Leap up and slam the blade into the ground, creating a shockwave that damages surrounding enemies.</t>
  </si>
  <si>
    <t>Sword Edge Rolls Breaking Waves</t>
  </si>
  <si>
    <t>Active Skill: Spin rapidly while delivering three powerful strikes with the blade's body, dealing external damage. The higher the Strength, the stronger this skill's effect.</t>
  </si>
  <si>
    <t>Spirit Pierces Thousand Sinews</t>
  </si>
  <si>
    <t>Passive Skill: Increases external damage of [Overwhelming Force]. The higher the Strength, the stronger this effect.</t>
  </si>
  <si>
    <t>Crush Under Thousand Tons</t>
  </si>
  <si>
    <t>Active Skill: Leap forward while delivering multiple downward slashes, dealing external damage. The higher the Strength, the stronger this skill's effect.</t>
  </si>
  <si>
    <t>Reverse Edge Against Current</t>
  </si>
  <si>
    <t>Passive Skill: Increases heavy attack damage by 10%.</t>
  </si>
  <si>
    <t>Night Slash Stone Tiger</t>
  </si>
  <si>
    <t>Active Skill: Consume all Qi to spin while swinging a heavy blade continuously. More Qi consumed increases the number of spins. The higher the Strength, the stronger this skill's effect.</t>
  </si>
  <si>
    <t>Break Edge Wave</t>
  </si>
  <si>
    <t>Passive Skill: Increases external damage of [Whirling Tidal Wave]. The higher the Strength, the stronger this effect.</t>
  </si>
  <si>
    <t>Nothing Unbreakable</t>
  </si>
  <si>
    <t>Passive Skill: [Night Slash on Stone Tiger] has a 30% chance to ignore enemy block.</t>
  </si>
  <si>
    <t>Slash Iron Spirit</t>
  </si>
  <si>
    <t>Passive Skill: After executing [Whirling Tidal Wave], gain the [Iron-Cutting] effect, increasing damage of [Night Slash on Stone Tiger] for three seconds. The higher the Agility, the stronger this effect.</t>
  </si>
  <si>
    <t>Thousand Tons Fall</t>
  </si>
  <si>
    <t>Passive Skill: Increases additional damage dealt by [Overwhelming Force].</t>
  </si>
  <si>
    <t>No Self, No Edge</t>
  </si>
  <si>
    <t>Passive Skill: When executing [Whirling Tidal Wave], [Overwhelming Force], or [Night Slash on Stone Tiger], gain the [Unstoppable] effect.</t>
  </si>
  <si>
    <t>Unstoppable Will</t>
  </si>
  <si>
    <t>Edge's Sharpness Unceasing</t>
  </si>
  <si>
    <t>Passive Skill: When executing [Night Slash on Stone Tiger], movement speed increases by 50.</t>
  </si>
  <si>
    <t>Wild Wave Drinking Song</t>
  </si>
  <si>
    <t>Passive Skill: Increases additional damage dealt by [Whirling Tidal Wave].</t>
  </si>
  <si>
    <t>Drunken Rampage on Battlefield</t>
  </si>
  <si>
    <t>Active Skill: Swing the blade forward powerfully. Holding the button charges up to two sword beams that deal external damage. (Affected by Strength)</t>
  </si>
  <si>
    <t>North Wind Rebuke</t>
  </si>
  <si>
    <t>Passive Skill: After executing [Galloping Across the World], gain the [Galloping] effect, increasing movement speed by 10% for 5 seconds.</t>
  </si>
  <si>
    <t>Gallop Across the Land</t>
  </si>
  <si>
    <t>Active Skill: Deliver consecutive slashes followed by a leaping downward strike, dealing external damage. (Affected by Strength)</t>
  </si>
  <si>
    <t>Laugh at Foe Barbarians</t>
  </si>
  <si>
    <t>Passive Skill: Charged attacks with [Drunken Battlefield] deal 5% additional damage.</t>
  </si>
  <si>
    <t>Charging Demolish Fortress</t>
  </si>
  <si>
    <t>Active Skill: Hold the blade defensively while advancing to attack all enemies in path, then launch them upward. (Affected by Strength)</t>
  </si>
  <si>
    <t>Spirit in the Wine Cup</t>
  </si>
  <si>
    <t>Passive Skill: While under the [Galloping] effect, has a 35% chance to gain the [Unbridled] effect for 5 seconds, granting [Unstoppable] when executing [Long Drive Breaching the City].</t>
  </si>
  <si>
    <t>Return Without Plan</t>
  </si>
  <si>
    <t>Passive Skill: [Long Drive Breaching the City] applies the [No Return] effect to damaged enemies, reducing their movement speed by 30%.</t>
  </si>
  <si>
    <t>Beyond Han Frontier</t>
  </si>
  <si>
    <t>Passive Skill: If [Long Drive Breaching the City] scores a critical hit, reduces cooldown of [Drunken Battlefield] by 1 second. The higher the Strength, the stronger this effect.</t>
  </si>
  <si>
    <t>Return to Green Grave</t>
  </si>
  <si>
    <t>Passive Skill: [Galloping Across the World] grants the [Conquest] effect for 7 seconds, increasing external attack by 5%. The higher the Strength, the stronger this effect.</t>
  </si>
  <si>
    <t>Tread Mountains and Rivers</t>
  </si>
  <si>
    <t>Passive Skill: [Galloping] effect additionally increases speed by 100 and guarantees [Unbridled] effect activation.</t>
  </si>
  <si>
    <t>Drunken Wild Song</t>
  </si>
  <si>
    <t>Urge City Troops</t>
  </si>
  <si>
    <t>Passive Skill: Increases additional damage dealt by [Long Drive Breaching the City].</t>
  </si>
  <si>
    <t>Thus Breach Loulan</t>
  </si>
  <si>
    <t>Passive Skill: [Galloping Across the World] stuns damaged enemies.</t>
  </si>
  <si>
    <t>Resolute Valor</t>
  </si>
  <si>
    <t>Active Skill: Lift the polearm like rising mountains, dealing hybrid damage and launching enemies.</t>
  </si>
  <si>
    <t>Fight Ten Thousand Troops</t>
  </si>
  <si>
    <t>Active Skill: Spin the polearm like a whirlwind, dealing external and internal damage.</t>
  </si>
  <si>
    <t>Seek Sirius Star</t>
  </si>
  <si>
    <t>Leap while channeling energy, then within 2 seconds choose to strike forward or backward, dealing area damage based on external and internal attack. (Affected by external attack, internal attack)</t>
  </si>
  <si>
    <t>Gaze at Three Passes</t>
  </si>
  <si>
    <t>Active Skill: Create overlapping spear shadows like blooming pear flowers, dealing multiple instances of external and internal damage. The higher the Agility, the stronger this skill's effect.</t>
  </si>
  <si>
    <t>Guard Borderland</t>
  </si>
  <si>
    <t>Passive Skill: Increases external damage of [Gazing at Three Passes]. The higher the Strength, the stronger this effect.</t>
  </si>
  <si>
    <t>Block Overlapping Ridges</t>
  </si>
  <si>
    <t>Active Skill: Leap forward while thrusting, dealing external and internal damage while gaining 5 stacks of [Returning Spear] effect. The higher the Agility, the stronger this effect.</t>
  </si>
  <si>
    <t>Lift Mountain Pass</t>
  </si>
  <si>
    <t>Passive Skill: Reduces cooldown of [Gazing at Three Passes] by 1 second.</t>
  </si>
  <si>
    <t>Gravity Northward Look</t>
  </si>
  <si>
    <t>Active Skill: Continuously moving in one direction grants [Returning Spear] stacks (max 5), increasing [Turning Northward] damage by 10% per stack. Execute a sudden turn-and-thrust, dealing external and internal damage. The higher the Agility, the stronger this effect.</t>
  </si>
  <si>
    <t>Carry Urge Army</t>
  </si>
  <si>
    <t>Passive Skill: Reduces cooldown of [Turning Northward] by 1 second.</t>
  </si>
  <si>
    <t>Fight Smash Kettles</t>
  </si>
  <si>
    <t>Passive Skill: Increases external damage of [Turning Northward]. The higher the Agility, the stronger this effect.</t>
  </si>
  <si>
    <t>Sever Solid Ranks</t>
  </si>
  <si>
    <t>Passive Skill: After executing [Horizontal Mountain Ranges], increases [Turning Northward] critical hit chance by 10% for three seconds.</t>
  </si>
  <si>
    <t>Guard Lonely Mountain</t>
  </si>
  <si>
    <t>Passive Skill: When entering combat without companions, increases external defense and attack by 15%.</t>
  </si>
  <si>
    <t>Passive Skill: After executing [Turning Northward], increases critical damage by 20% for three seconds.</t>
  </si>
  <si>
    <t>Secure Battlefield</t>
  </si>
  <si>
    <t>Ridges Multiply</t>
  </si>
  <si>
    <t>Passive Skill: Increases additional damage dealt by [Horizontal Mountain Ranges].</t>
  </si>
  <si>
    <t>Never Return</t>
  </si>
  <si>
    <t>Passive Skill: When [Army-Destroying Charge] passive is active, executing [Turning Northward] grants [Unstoppable] effect.</t>
  </si>
  <si>
    <t>Traverse Nine Regions</t>
  </si>
  <si>
    <t>Active Skill: Charge left and right with three powerful thrusts, dealing external and internal damage. The higher the Strength, the stronger this effect.</t>
  </si>
  <si>
    <t>Drums Enter Battle</t>
  </si>
  <si>
    <t>Passive Skill: After executing [Traversing the Nine Provinces], gain the [Drumbeat] effect, increasing external attack for ten seconds. The higher the Strength, the stronger this effect.</t>
  </si>
  <si>
    <t>Lord of Ten Directions</t>
  </si>
  <si>
    <t>Active Skill: Spin while sweeping through enemies with up to four strikes, dealing external and internal damage. The higher the Strength, the stronger this effect.</t>
  </si>
  <si>
    <t>Warlord Chi</t>
  </si>
  <si>
    <t>Passive Skill: Increases external damage of [Traversing the Nine Provinces]. The higher the Strength, the stronger this effect.</t>
  </si>
  <si>
    <t>Conquer All Directions</t>
  </si>
  <si>
    <t>Active Skill: Like cold stars flickering, execute three spear techniques, dealing external and internal damage. The higher the Strength, the stronger this effect.</t>
  </si>
  <si>
    <t>Present Tribute to Dismiss Armor</t>
  </si>
  <si>
    <t>Passive Skill: [Ruler of Ten Directions] reduces enemy external defense by 10% for six seconds.</t>
  </si>
  <si>
    <t>Decree Conferred Mysterious</t>
  </si>
  <si>
    <t>Passive Skill: Increases external and internal defense by 15%.</t>
  </si>
  <si>
    <t>Hundred Battles in Wilderness</t>
  </si>
  <si>
    <t>Passive Skill: [Traversing the Nine Provinces] reduces cooldown of [Ruler of Ten Directions] by 1 second.</t>
  </si>
  <si>
    <t>Carriage Quells Oppression</t>
  </si>
  <si>
    <t>Passive Skill: [Conquering All Directions] applies the [Suppression] effect. With the [Destroying Evil] passive, [Traversing the Nine Provinces] deals 15% additional critical damage to suppressed enemies for 10 seconds.</t>
  </si>
  <si>
    <t>Slay Evil, Break Malediction</t>
  </si>
  <si>
    <t>Passive Skill: [Traversing the Nine Provinces] grants [Unstoppable] and increases critical hit chance by 10% and critical damage by 15% against suppressed enemies.</t>
  </si>
  <si>
    <t>Purge All Evil</t>
  </si>
  <si>
    <t>Roam Unfettered</t>
  </si>
  <si>
    <t>Passive Skill: Reduces cooldown of [Traversing the Nine Provinces] by 1 second.</t>
  </si>
  <si>
    <t>Crush Millennia</t>
  </si>
  <si>
    <t>Passive Skill: Attacks against suppressed enemies apply [Slow], reducing movement speed by 30%.</t>
  </si>
  <si>
    <t>No Self, No Form</t>
  </si>
  <si>
    <t>Active Skill: Spin the staff like impenetrable water, dealing multiple instances of external and internal damage. The higher the Physique, the stronger this effect.</t>
  </si>
  <si>
    <t>Still as a Mountain</t>
  </si>
  <si>
    <t>Passive Skill: When light attacks deal damage, gain the [Immovable] effect, increasing defense by 4% per stack (max 5 stacks), lasting 8 seconds.</t>
  </si>
  <si>
    <t>Single Reed Crosses River</t>
  </si>
  <si>
    <t>Active Skill: Staff techniques flow naturally, striking late but arriving first. Can be channeled to enter a defensive stance like observing fish in deep waters, gaining [Unstoppable] effect and 5% damage reduction. When channeling ends, suddenly release a powerful staff strike dealing external and internal damage. The higher the Physique, the stronger this effect.</t>
  </si>
  <si>
    <t>Golden Bell Colorless</t>
  </si>
  <si>
    <t>Passive Skill: When executing [Single Reed Crossing the River], gain the [Iron Body Training] effect, reducing stamina consumption during block by 50% for 10 seconds. The higher the Physique, the stronger this effect.</t>
  </si>
  <si>
    <t>Flick Flower, Hurl Elephant</t>
  </si>
  <si>
    <t>Active Skill: Powerful staff techniques combining martial arts and Zen philosophy, delivering up to four strikes of external and internal damage with damage reduction during execution. The higher the Physique, the stronger this effect.</t>
  </si>
  <si>
    <t>Withered and Flourishing Zen</t>
  </si>
  <si>
    <t>Passive Skill: [Plucking Flowers to Throw Elephants] applies the [Withering Glory] effect to enemies, reducing their external and internal attack by 5% per stack (max 3 stacks), lasting 6 seconds.</t>
  </si>
  <si>
    <t>Sleeves Contain Universe</t>
  </si>
  <si>
    <t>Passive Skill: When executing [No-Self No-Form], negates all incoming projectile attacks.</t>
  </si>
  <si>
    <t>Vastness Immeasurable</t>
  </si>
  <si>
    <t>Passive Skill: Increases internal damage of [No-Self No-Form].</t>
  </si>
  <si>
    <t>Compassion Ferry Calamity</t>
  </si>
  <si>
    <t>Passive Skill: When executing [Plucking Flowers to Throw Elephants], increases HP recovery for 3 seconds.</t>
  </si>
  <si>
    <t>Vajra's Wrathful Eye</t>
  </si>
  <si>
    <t>Passive Skill: After combat begins, increases reflect damage by 15%.</t>
  </si>
  <si>
    <t>Pity the Sentient Beings</t>
  </si>
  <si>
    <t>Passive Skill: Upon entering combat, Physique increases by 3 points.</t>
  </si>
  <si>
    <t>Isolated Self</t>
  </si>
  <si>
    <t>Passive Skill: Increases additional damage dealt by [Single Reed Crossing the River].</t>
  </si>
  <si>
    <t>Unmoved Wrathful Eye</t>
  </si>
  <si>
    <t>Passive Skill: With [Furious Vajra Eyes] passive active, executing [No-Self No-Form] grants the [Wrathful Eyes] effect, increasing reflect damage by 25% for 5 seconds.</t>
  </si>
  <si>
    <t>Qin King Enters Battle</t>
  </si>
  <si>
    <t>Active Skill: Shake the spear while advancing, ending with a ground slam to knock enemies away, dealing external damage. (Affected by Agility)</t>
  </si>
  <si>
    <t>Quell Enemy Hatred</t>
  </si>
  <si>
    <t>Passive Skill: After executing [Breaching Walls and Gates], 40% chance to reset cooldown of [Qin King Enters Battle].</t>
  </si>
  <si>
    <t>Alone Bear Heaven and Earth</t>
  </si>
  <si>
    <t>Active Skill: Twirl the spear continuously before thrusting, dealing external damage. (Affected by Agility)</t>
  </si>
  <si>
    <t>Shift Formation Transform</t>
  </si>
  <si>
    <t>Passive Skill: After executing [Qin King Enters Battle], reduces cooldown of [Single-Handed Upholding the World] by 1 second.</t>
  </si>
  <si>
    <t>Breach City, Trample Tower</t>
  </si>
  <si>
    <t>Active Skill: Spin and uppercut with the spear before thrusting forward powerfully, dealing external damage. (Affected by Agility)</t>
  </si>
  <si>
    <t>Warrior Omen Might</t>
  </si>
  <si>
    <t>Passive Skill: [Enemy's Bane] passive's reset chance for [Qin King Enters Battle] increases by 10%.</t>
  </si>
  <si>
    <t>Expel Raiders</t>
  </si>
  <si>
    <t>Passive Skill: [Qin King Enters Battle] applies the [Pursuing Bandits] effect to damaged enemies, reducing speed by 30% for 5 seconds.</t>
  </si>
  <si>
    <t>Defeat Foe Will</t>
  </si>
  <si>
    <t>Passive Skill: After [Single-Handed Upholding the World] deals damage, gain the [Destroying Foes] effect, increasing [Qin King Enters Battle] damage by 5%.</t>
  </si>
  <si>
    <t>Plough Courtyard, Return Home</t>
  </si>
  <si>
    <t>Passive Skill: After executing [Breaching Walls and Gates], reduces cooldown of [Single-Handed Upholding the World] by 1 second.</t>
  </si>
  <si>
    <t>Secure Jun Hill</t>
  </si>
  <si>
    <t>Passive Skill: [Pursuing Bandits] effect upgrades to [Pacifying Army] - immobilized enemies. Using [Qin King Enters Battle] on them grants allies [City Strategist] effect: +10% crit chance and +15% crit damage for 5 seconds.</t>
  </si>
  <si>
    <t>Stir Ferocious Courage</t>
  </si>
  <si>
    <t>Battle Array Chants</t>
  </si>
  <si>
    <t>Passive Skill: Increases additional damage dealt by [Qin King Enters Battle].</t>
  </si>
  <si>
    <t>Wise General Head</t>
  </si>
  <si>
    <t>Passive Skill: When under [City Strategist] effect, increases HP recovery by 30% and damage by 5% for 5 seconds.</t>
  </si>
  <si>
    <t>Spray Wine</t>
  </si>
  <si>
    <t>[Spits wine]</t>
  </si>
  <si>
    <t>Restore Towering Pinnacles</t>
  </si>
  <si>
    <t>Active Skill: Spread the fan horizontally to release hidden poison sand, dealing external and internal damage.</t>
  </si>
  <si>
    <t>Twist Thousand Towers</t>
  </si>
  <si>
    <t>Active Skill: Flip the wrist while crouching to sweep enemy's vital points with fan ribs, dealing hybrid damage and knocking them down.</t>
  </si>
  <si>
    <t>Ask Autumn Wind</t>
  </si>
  <si>
    <t>Active Skill: Like autumn wind rising, deliver multiple fan strikes dealing external and internal damage. The higher the Internal Energy, the stronger this effect.</t>
  </si>
  <si>
    <t>Xiao's Intent Cold</t>
  </si>
  <si>
    <t>Passive Skill: When executing [Questioning the Autumn Wind], 30% chance to gain [Melancholy] effect: +10% internal attack but -5% external attack for 5 seconds.</t>
  </si>
  <si>
    <t>Departure and Return</t>
  </si>
  <si>
    <t>Active Skill: Like swallows returning to nest, the fan flies out and returns, damaging enemies along its path. The higher the Internal Energy, the stronger this effect.</t>
  </si>
  <si>
    <t>Hard to Find</t>
  </si>
  <si>
    <t>Passive Skill: Heavy attacks grant [Untraceable] effect: guarantees [Melancholy] on next [Questioning the Autumn Wind], lasting 5 seconds.</t>
  </si>
  <si>
    <t>Soft Clouds Wrap Fingers</t>
  </si>
  <si>
    <t>Active Skill: Gentle yet unpredictable fan techniques dealing multiple strikes. The higher the Internal Energy, the stronger this effect.</t>
  </si>
  <si>
    <t>Mourn Dead End</t>
  </si>
  <si>
    <t>Passive Skill: When HP drops below 70%, gain [Desperate Path] effect increasing speed by 20%.</t>
  </si>
  <si>
    <t>Life Also Joy</t>
  </si>
  <si>
    <t>Passive Skill: Light attacks have 15% chance to apply [Poison], dealing 1% max HP damage every 5 seconds for 10 seconds.</t>
  </si>
  <si>
    <t>Bamboo's Resilient Core</t>
  </si>
  <si>
    <t>Passive Skill: Successful counters increase internal attack by 5% for 5 seconds.</t>
  </si>
  <si>
    <t>Return Together</t>
  </si>
  <si>
    <t>Passive Skill: [Returning Home] gains [Shared Fate] charges (1 per 8 seconds, max 2). Each charge increases its damage by 10% (consumed on use).</t>
  </si>
  <si>
    <t>Veil Curtains</t>
  </si>
  <si>
    <t>Passive Skill: [Questioning the Autumn Wind] applies [Blind] effect, preventing attacks from landing for 5 seconds.</t>
  </si>
  <si>
    <t>Xiaoxiang Bamboo Rain</t>
  </si>
  <si>
    <t>Falling Autumn Sentiment</t>
  </si>
  <si>
    <t>Passive Skill: Increases additional damage dealt by [Questioning the Autumn Wind].</t>
  </si>
  <si>
    <t>Bamboo Resilience Discourse</t>
  </si>
  <si>
    <t>Passive Skill: When triggering [Bamboo Strength] counter, gain 3 seconds of [Invincible] effect.</t>
  </si>
  <si>
    <t>Merge Night and Day</t>
  </si>
  <si>
    <t>Active Skill: Throw the fan diagonally upward, continuously hitting enemies along its path. The higher the Internal Energy, the stronger this effect.</t>
  </si>
  <si>
    <t>White Jade Capital</t>
  </si>
  <si>
    <t>Passive Skill: Increases HP recovery by 5%.</t>
  </si>
  <si>
    <t>Nurture Surroundings</t>
  </si>
  <si>
    <t>Active Skill: Spin forward while attacking with the fan. The higher the Internal Energy, the stronger this effect.</t>
  </si>
  <si>
    <t>Mysterious Great Qi</t>
  </si>
  <si>
    <t>Passive Skill: [Merging Night and Day] applies [Mystic Qi] effect to enemies, reducing speed by 30% for 3 seconds.</t>
  </si>
  <si>
    <t>Transform Qi, Penetrate Spirit</t>
  </si>
  <si>
    <t>Active Skill: Create a small whirlwind that continuously damages entering enemies. The higher the Internal Energy, the stronger this effect.</t>
  </si>
  <si>
    <t>Pass Meridian Wheels</t>
  </si>
  <si>
    <t>Passive Skill: [Merging Night and Day] additionally increases internal attack. (Affected by Internal Energy)</t>
  </si>
  <si>
    <t>Extraordinary Channels Run</t>
  </si>
  <si>
    <t>Passive Skill: [Containing Energy Throughout Body] additionally increases internal attack. (Affected by Internal Energy)</t>
  </si>
  <si>
    <t>Reach Ren and Du</t>
  </si>
  <si>
    <t>Passive Skill: [Channeling Energy Through Spirit] increases lifesteal for 5 seconds. (Affected by Physique)</t>
  </si>
  <si>
    <t>Celestial Pivot Position</t>
  </si>
  <si>
    <t>Passive Skill: Increases critical hit chance. (Affected by Agility)</t>
  </si>
  <si>
    <t>Blessings From Nether</t>
  </si>
  <si>
    <t>Passive Skill: Attacks against airborne enemies grant [Blessed Life] effect: +5% internal attack per stack for 5 seconds.</t>
  </si>
  <si>
    <t>Morning Sky Meridian Surge</t>
  </si>
  <si>
    <t>Transform Divine Profound</t>
  </si>
  <si>
    <t>Passive Skill: Increases additional damage dealt by [Channeling Energy Through Spirit].</t>
  </si>
  <si>
    <t>Heavenly Man Decline</t>
  </si>
  <si>
    <t>Passive Skill: After executing [Channeling Energy Through Spirit], 25% chance to reset its cooldown.</t>
  </si>
  <si>
    <t>Spear Thrust</t>
  </si>
  <si>
    <t>[Boss Skill: Firearm - Continuous Daylight]</t>
  </si>
  <si>
    <t>Moon Palace Hangs Stars</t>
  </si>
  <si>
    <t>Active Skill: Spin backward while throwing daggers, each dealing partial external and internal damage. (Affected by external attack, internal attack)</t>
  </si>
  <si>
    <t>Goshawk Whistle</t>
  </si>
  <si>
    <t>Active Skill: Kick enemies away while dealing partial hybrid damage. (Affected by external attack, internal attack)</t>
  </si>
  <si>
    <t>Sudden Rain</t>
  </si>
  <si>
    <t>Active Skill: Vanish and reappear for an instant assassination. (Affected by Internal Energy)</t>
  </si>
  <si>
    <t>Moisten Leaves</t>
  </si>
  <si>
    <t>Passive Skill: Increases thrown projectile range by 2 steps.</t>
  </si>
  <si>
    <t>Bloom Lush Flowers</t>
  </si>
  <si>
    <t>Active Skill: Swing left arm to throw 5 daggers in a fan pattern, each dealing partial hybrid damage and applying 40% slow for 3 seconds. (Affected by Internal Energy)</t>
  </si>
  <si>
    <t>Gather and Disperse</t>
  </si>
  <si>
    <t>Passive Skill: [Sudden Downpour] internal damage increases by 5%.</t>
  </si>
  <si>
    <t>Furious Pear Blossoms</t>
  </si>
  <si>
    <t>Active Skill: Spin to throw 10 daggers in all directions. (Affected by Internal Energy)</t>
  </si>
  <si>
    <t>Pear Blossom Burst Heavy</t>
  </si>
  <si>
    <t>Passive Skill: [Blossoming Flowers] reduces cooldown of [Pear Blossom Storm] by 1 second.</t>
  </si>
  <si>
    <t>Old Vines Sprout</t>
  </si>
  <si>
    <t>Passive Skill: [Sudden Downpour] deals 5% additional armor-piercing damage.</t>
  </si>
  <si>
    <t>Falling Water Buries Flowers</t>
  </si>
  <si>
    <t>Passive Skill: Increases all skills' internal damage by 5%.</t>
  </si>
  <si>
    <t>Withered and Flourishing Bloom Order</t>
  </si>
  <si>
    <t>Passive Skill: Dealing damage grants [Assassin's Prep] stacks. At 10 stacks, next attack stuns for 1 second.</t>
  </si>
  <si>
    <t>Parting</t>
  </si>
  <si>
    <t>Passive Skill: [Blossoming Flowers] and [Pear Blossom Storm] generate 1 dagger every 3 seconds (max 10). Light attacks consume daggers for extra hits.</t>
  </si>
  <si>
    <t>Dead Branch Sprouts Wither</t>
  </si>
  <si>
    <t>Horizontal Thorns Pierce</t>
  </si>
  <si>
    <t>Entangled Affection</t>
  </si>
  <si>
    <t>Passive Skill: [Blossoming Flowers]'s slow becomes immobilize.</t>
  </si>
  <si>
    <t>Hear Whispering Sound</t>
  </si>
  <si>
    <t>Active Skill: Conceal thunderfire bombs in sleeves before releasing explosive damage. (Affected by Internal Energy)</t>
  </si>
  <si>
    <t>Stab Bone</t>
  </si>
  <si>
    <t>Passive Skill: Attacks apply [Severed Bonds] effect, reducing enemy max HP by 2% per stack (max 3 stacks) for 3 seconds.</t>
  </si>
  <si>
    <t>Pursue Rainbow Shadow</t>
  </si>
  <si>
    <t>Active Skill: Set hidden thunderfire bombs that explode when triggered. (Affected by Internal Energy)</t>
  </si>
  <si>
    <t>Gouge Heart</t>
  </si>
  <si>
    <t>Passive Skill: Increases damage of [Hearing Faint Sounds].</t>
  </si>
  <si>
    <t>Shatter Lamp Flower</t>
  </si>
  <si>
    <t>Active Skill: Dash forward - if hitting an enemy, flip back while scattering sparks; otherwise retract weapons. (Affected by Internal Energy)</t>
  </si>
  <si>
    <t>Slicing Intestine</t>
  </si>
  <si>
    <t>Passive Skill: Increases damage of [Chasing Rainbow Shadows].</t>
  </si>
  <si>
    <t>Break Momentum</t>
  </si>
  <si>
    <t>Passive Skill: Upon entering combat, damage increases by 2%.</t>
  </si>
  <si>
    <t>Kill Courage</t>
  </si>
  <si>
    <t>Passive Skill: Upon entering combat, movement speed increases by 5%.</t>
  </si>
  <si>
    <t>Sever Sight</t>
  </si>
  <si>
    <t>Passive Skill: Increases damage of [Shattering Lantern Sparks].</t>
  </si>
  <si>
    <t>Crow Cries Frost</t>
  </si>
  <si>
    <t>Passive Skill: Reduces cooldown of [Hearing Faint Sounds] by 1 second.</t>
  </si>
  <si>
    <t>Thousand Departures Hatred</t>
  </si>
  <si>
    <t>Yet Without Sorrow</t>
  </si>
  <si>
    <t>Passive Skill: Increases external attack by 2%.</t>
  </si>
  <si>
    <t>Cleave Firmament</t>
  </si>
  <si>
    <t>Passive Skill: Upon entering combat, movement speed increases by 6%.</t>
  </si>
  <si>
    <t>Nine Appearances Cloud Dragon</t>
  </si>
  <si>
    <t>Active Skill: Suddenly kick forward to launch enemies upward, dealing hybrid damage. (Affected by external attack, internal attack)</t>
  </si>
  <si>
    <t>Mountains Rivers Boundless</t>
  </si>
  <si>
    <t>Active Skill: Flying kick dealing hybrid damage. (Affected by external attack, internal attack)</t>
  </si>
  <si>
    <t>Soaring Dragon In Heaven</t>
  </si>
  <si>
    <t>Active Skill: Channel energy into legs for 5 aerial kicks dealing external and partial internal damage. (Affected by Strength)</t>
  </si>
  <si>
    <t>Drunken Swig Rivers Seas</t>
  </si>
  <si>
    <t>Passive Skill: Any move from [Drunken Dragon's Unparalleled Style] applies [Drunken Dread]: -10% enemy defenses for 5 seconds.</t>
  </si>
  <si>
    <t>Dragon Roam Sky Earth</t>
  </si>
  <si>
    <t>Active Skill: Leap with knee strike to chest, knocking enemies back with hybrid damage. (Affected by Strength)</t>
  </si>
  <si>
    <t>Drunken Dance Mad Song</t>
  </si>
  <si>
    <t>Passive Skill: Increases [Dragon Roams Heaven and Earth] critical chance. (Affected by Agility)</t>
  </si>
  <si>
    <t>Divine Dragon Flicks Tail</t>
  </si>
  <si>
    <t>Active Skill: Three consecutive kicks dealing external and partial internal damage. (Affected by Strength)</t>
  </si>
  <si>
    <t>Dragon Roar Four Seas</t>
  </si>
  <si>
    <t>Passive Skill: [Divine Dragon's Tail] crits apply [Dragon's Roar]: -100% HP recovery for 10 seconds.</t>
  </si>
  <si>
    <t>Clouds Rise, Dragon Prospers</t>
  </si>
  <si>
    <t>Passive Skill: [Soaring Dragon Strikes] deals +5% damage to [Dragon's Roar] targets.</t>
  </si>
  <si>
    <t>Dragon Leaps From Abyss</t>
  </si>
  <si>
    <t>Passive Skill: After [Divine Dragon's Tail], gain [Abyss Breaker] effect: +10% crit chance for [Dragon Roams Heaven and Earth] for 5 seconds.</t>
  </si>
  <si>
    <t>Submerged Dragon Lie Hidden</t>
  </si>
  <si>
    <t>Passive Skill: [Dragon's Roar] upgrades to [Extreme Dragon's Roar]: -50% all healing (including potions and skills).</t>
  </si>
  <si>
    <t>Apex Dragon Regrets</t>
  </si>
  <si>
    <t>Passive Skill: At 10 [Dragon's Roar] stacks, any attack breaks block (then clears stacks).</t>
  </si>
  <si>
    <t>Descend World, Subdue Dragon</t>
  </si>
  <si>
    <t>Dragon Roar Suppress Evil</t>
  </si>
  <si>
    <t>Passive Skill: +10% crit damage against [Dragon's Roar] targets.</t>
  </si>
  <si>
    <t>Alone Soar Sky Earth</t>
  </si>
  <si>
    <t>Passive Skill: [Soaring Dragon Strikes] grants [Unstoppable] effect.</t>
  </si>
  <si>
    <t>Cloud Shuttle Sun Recall</t>
  </si>
  <si>
    <t>Active Skill: Two rapid front kicks followed by spinning kick to launch enemies high. The higher the Strength, the stronger this effect.</t>
  </si>
  <si>
    <t>Swan Shadow Untraceable</t>
  </si>
  <si>
    <t>Passive Skill: After [Shuttle Clouds Return Sun], gain +100 movement speed for 3 seconds.</t>
  </si>
  <si>
    <t>Soar Nine Skies</t>
  </si>
  <si>
    <t>Active Skill: Kick upwards continuously to launch enemies, then quickly slam down to combo airborne enemies. The higher the Strength, the stronger this effect.</t>
  </si>
  <si>
    <t>Lone Swan Broken Call</t>
  </si>
  <si>
    <t>Passive Skill: After executing [Soaring Nine Heavens], applies [Lone Goose] effect to damaged enemies, reducing movement speed by 30% for 4 seconds.</t>
  </si>
  <si>
    <t>Swan Southbound</t>
  </si>
  <si>
    <t>Active Skill: Backflip to launch enemies, then flying kick to attack airborne enemies. The higher the Strength, the stronger this effect.</t>
  </si>
  <si>
    <t>Pierce South, Traverse North</t>
  </si>
  <si>
    <t>Passive Skill: [Returning Goose South] reduces cooldown of [Shuttle Clouds Return Sun] by 1 second.</t>
  </si>
  <si>
    <t>Roost on Wu-Tong Tree</t>
  </si>
  <si>
    <t>Passive Skill: All attacks against enemies with [Lone Goose] effect additionally reduce their internal and external defense by 10% for 3 seconds.</t>
  </si>
  <si>
    <t>Distant Lone Roaming</t>
  </si>
  <si>
    <t>Passive Skill: Increases external attack. (Affected by Strength)</t>
  </si>
  <si>
    <t>Break Clouds, Chase Waves</t>
  </si>
  <si>
    <t>Passive Skill: Killing targets grants [Cloud Piercer] effect, increasing critical hit chance by 10% for 5 seconds.</t>
  </si>
  <si>
    <t>Returning Swan</t>
  </si>
  <si>
    <t>Passive Skill: Attacking targets with [Lone Goose] effect grants [Returning Swan] effect, increasing critical damage by 20% for 5 seconds.</t>
  </si>
  <si>
    <t>Wandering East and West</t>
  </si>
  <si>
    <t>Mourn Swan's Sorrow</t>
  </si>
  <si>
    <t>Passive Skill: When executing [Returning Goose South], reduces movement speed of damaged enemies by 30% for 5 seconds.</t>
  </si>
  <si>
    <t>Lone Swan's Repeated Cries</t>
  </si>
  <si>
    <t>Passive Skill: Attacks against enemies with [Lone Goose] effect gain 10% additional critical damage.</t>
  </si>
  <si>
    <t>Ghost Ten Slash</t>
  </si>
  <si>
    <t>Active Skill: Use waist as pivot, turn and lift sword with both hands to launch enemies, dealing external attack and partial internal damage. (Affected by external attack, internal attack)</t>
  </si>
  <si>
    <t>Flash</t>
  </si>
  <si>
    <t>Active Skill: Charge forward with sword in both hands, flash attacking enemies ahead, dealing external attack and partial internal damage. (Affected by external attack, internal attack)</t>
  </si>
  <si>
    <t>Iaijutsu Draw</t>
  </si>
  <si>
    <t>Active Skill: Utilize scabbard resistance to generate explosive force when drawing sword, dealing external attack and partial internal damage to enemies ahead. (Affected by Strength)</t>
  </si>
  <si>
    <t>Flow - Gap</t>
  </si>
  <si>
    <t>Passive Skill: When [Iaido Technique] deals damage, has chance (affected by Agility) to apply [Slow] effect, reducing movement speed by 30% for 5 seconds.</t>
  </si>
  <si>
    <t>Sword Art: Rear Cut</t>
  </si>
  <si>
    <t>Active Skill: Perform iaido with footwork displacement for greater power, dealing external attack and partial internal damage while launching enemies. (Affected by Strength)</t>
  </si>
  <si>
    <t>Flow - Hiryumaru</t>
  </si>
  <si>
    <t>Passive Skill: After executing [Reverse Cut Technique], applies [Leech Pill] effect to enemies, causing 1% HP loss per second (max 3 stacks), lasting 5 seconds.</t>
  </si>
  <si>
    <t>Sword Art: Reverse Return</t>
  </si>
  <si>
    <t>Active Skill: Turn and displace behind enemy, utilizing rotation and movement momentum to perform ultimate iaido strike, dealing external attack and partial internal damage. (Affected by Strength)</t>
  </si>
  <si>
    <t>Flow - Fury</t>
  </si>
  <si>
    <t>Passive Skill: [Iaido Technique] against enemies with [Leech Pill] effect increases external attack and critical hit chance. (Affected by Strength, Agility)</t>
  </si>
  <si>
    <t>Flow - Slaughter</t>
  </si>
  <si>
    <t>Passive Skill: Using [Reverse Cut Technique] has chance to reset current skill cooldown. (Affected by Agility)</t>
  </si>
  <si>
    <t>Flow - Calm</t>
  </si>
  <si>
    <t>Passive Skill: [Iaido] increases critical hit chance. (Affected by Agility)</t>
  </si>
  <si>
    <t>Flow - Remnant Spirit</t>
  </si>
  <si>
    <t>Passive Skill: When taking damage, 30% chance to gain [Remaining Mind] effect, increasing reflect damage for 5 seconds. (Affected by Physique)</t>
  </si>
  <si>
    <t>Passive Skill: If [Iaido] critically hits enemies with [Leech Pill] effect, gain [Lifesteal] effect increasing lifesteal for 10 seconds. (Affected by Agility)</t>
  </si>
  <si>
    <t>Secret Art - Twin Dragons Nether</t>
  </si>
  <si>
    <t>Rising</t>
  </si>
  <si>
    <t>Passive Skill: Increases additional damage dealt by [Iaido].</t>
  </si>
  <si>
    <t>Secret Art - Instant</t>
  </si>
  <si>
    <t>Passive Skill: When [Lifesteal] effect triggers, increases HP recovery by 10% for 8 seconds.</t>
  </si>
  <si>
    <t>Secret Art - Combat</t>
  </si>
  <si>
    <t>Active Skill: Slash forward with full force, releasing sword energy to attack enemies ahead. The higher the Strength, the stronger this effect.</t>
  </si>
  <si>
    <t>Slash - Sever Stone</t>
  </si>
  <si>
    <t>Passive Skill: After executing [Slash路Stone Splitter], increases lifesteal by 5% for 3 seconds.</t>
  </si>
  <si>
    <t>Echoing Spring</t>
  </si>
  <si>
    <t>Active Skill: Use footwork to spin and slash enemies ahead three times. The higher the Strength, the stronger this effect.</t>
  </si>
  <si>
    <t>Sa - Shatter Forest</t>
  </si>
  <si>
    <t>Passive Skill: When executing [Monk Robe路Forest Breaker], increases movement speed by 100 for 4 seconds.</t>
  </si>
  <si>
    <t>Forest Traverse</t>
  </si>
  <si>
    <t>Active Skill: Perform rapid iaido slashes ahead, leaving residual sword light that deals multi-hit damage. The higher the Strength, the stronger this effect.</t>
  </si>
  <si>
    <t>Secret - Solitary Extinction</t>
  </si>
  <si>
    <t>Passive Skill: When executing [Dense路Return to Silence], increases external attack.</t>
  </si>
  <si>
    <t>Remnant Spirit</t>
  </si>
  <si>
    <t>Passive Skill: When executing [Dense路Return to Silence], additionally increases critical hit chance by 10%.</t>
  </si>
  <si>
    <t>Inverse Kesa</t>
  </si>
  <si>
    <t>Passive Skill: When HP drops below 40%, increases external and internal defense by 20%.</t>
  </si>
  <si>
    <t>Cherish Stone</t>
  </si>
  <si>
    <t>Passive Skill: When executing [Dense路Return to Silence], gains [Unstoppable] effect.</t>
  </si>
  <si>
    <t>Secret - Withered Silence</t>
  </si>
  <si>
    <t>Passive Skill: Increases critical damage by 40%.</t>
  </si>
  <si>
    <t>Secret - Deity Ghost</t>
  </si>
  <si>
    <t>Struggle</t>
  </si>
  <si>
    <t>Passive Skill: Increases additional damage dealt by [Slash路Stone Splitter].</t>
  </si>
  <si>
    <t>Devastate</t>
  </si>
  <si>
    <t>Passive Skill: When [Resonant Spring] passive activates, increases party HP recovery by 5% for 8 seconds.</t>
  </si>
  <si>
    <t>Ringing Water Clear Spring Flow</t>
  </si>
  <si>
    <t>Active Skill: Concealed edge spinning slash, insidious and cunning, dealing two consecutive external damage hits. (Affected by Strength)</t>
  </si>
  <si>
    <t>First Draw - Assault</t>
  </si>
  <si>
    <t>Passive Skill: Upon entering combat, increases external attack by 2%.</t>
  </si>
  <si>
    <t>Warrior's Way Initiate</t>
  </si>
  <si>
    <t>Active Skill: Crouch and charge forward with upward slash and downward chop, dealing multiple external damage hits. (Affected by Strength)</t>
  </si>
  <si>
    <t>Double Draw - Withered Slay</t>
  </si>
  <si>
    <t>Passive Skill: Killing enemy targets increases HP recovery by 1% (max 10 stacks).</t>
  </si>
  <si>
    <t>Turning Draw Blade</t>
  </si>
  <si>
    <t>Active Skill: Grand sweeping strikes to annihilate enemies, dealing multiple external damage hits. (Affected by Strength)</t>
  </si>
  <si>
    <t>Final Draw - Remnant Spirit</t>
  </si>
  <si>
    <t>Passive Skill: Increases movement speed of deployed companions and self by 80.</t>
  </si>
  <si>
    <t>Shadow Stride Step</t>
  </si>
  <si>
    <t>Passive Skill: Increases external defense of deployed companions and self by 10%, and self external attack by 2%.</t>
  </si>
  <si>
    <t>Flow Camp Formation</t>
  </si>
  <si>
    <t>Passive Skill: Increases HP recovery. (Affected by Physique)</t>
  </si>
  <si>
    <t>Non-Empty Blossoming Flowers</t>
  </si>
  <si>
    <t>Passive Skill: For every 5% HP lost, increases critical damage by 2%.</t>
  </si>
  <si>
    <t>Secret Withered Bones</t>
  </si>
  <si>
    <t>Passive Skill: For every 5% HP lost, increases critical hit chance by 0.5%.</t>
  </si>
  <si>
    <t>Yaksha Demon</t>
  </si>
  <si>
    <t>Imitate Asura</t>
  </si>
  <si>
    <t>Passive Skill: Increases external attack by 2% and max stamina by 10.</t>
  </si>
  <si>
    <t>Sky Devil</t>
  </si>
  <si>
    <t>Passive Skill: Upon entering combat, increases lifesteal by 15%.</t>
  </si>
  <si>
    <t>Slay Blood Drink</t>
  </si>
  <si>
    <t>Active Skill: Sword and footwork united with murderous intent, dealing multiple external damage hits. (Affected by Strength)</t>
  </si>
  <si>
    <t>Majestic Heaven's Might</t>
  </si>
  <si>
    <t>Passive Skill: Upon entering combat, increases external attack and defense by 2%.</t>
  </si>
  <si>
    <t>Vast Army Aura</t>
  </si>
  <si>
    <t>Active Skill: Fierce forward dash, striking like thunder if hitting enemy, otherwise retracting stance to seek new opportunity. (Affected by Strength)</t>
  </si>
  <si>
    <t>Break Foe Hordes</t>
  </si>
  <si>
    <t>Passive Skill: When damaging enemies, applies [Military Might] effect causing 1% HP loss per second (max 3 stacks), lasting 5 seconds.</t>
  </si>
  <si>
    <t>Purge Raiders, Slay Evils</t>
  </si>
  <si>
    <t>Active Skill: Unified offense and defense, steadfast as mountains, advancing relentlessly if hitting enemy, otherwise leaving trace like passing geese. (Affected by Strength)</t>
  </si>
  <si>
    <t>Guard Land, Expand Territory</t>
  </si>
  <si>
    <t>Passive Skill: Increases external defense of deployed companions and self by 2%.</t>
  </si>
  <si>
    <t>Solidify Battle Line</t>
  </si>
  <si>
    <t>Passive Skill: Increases external attack of deployed companions and self by 2%.</t>
  </si>
  <si>
    <t>Shatter Enemy Momentum</t>
  </si>
  <si>
    <t>Passive Skill: When executing [Resplendent Heavenly Might], increases damage.</t>
  </si>
  <si>
    <t>Awe Deterrence</t>
  </si>
  <si>
    <t>Passive Skill: Attacking enemies with [Military Might] effect grants [Evil Suppression] effect, increasing damage by 5% for 5 seconds.</t>
  </si>
  <si>
    <t>Suppress Evils, Uphold Righteousness</t>
  </si>
  <si>
    <t>Passive Skill: Upon entering combat, increases max HP.</t>
  </si>
  <si>
    <t>Purge Enemy Camp</t>
  </si>
  <si>
    <t>General and Minister Head</t>
  </si>
  <si>
    <t>Passive Skill: Increases critical damage by 15%.</t>
  </si>
  <si>
    <t>Lock Mountains Rivers</t>
  </si>
  <si>
    <t>Passive Skill: Increases critical hit chance by 10%.</t>
  </si>
  <si>
    <t>Gallop Distant Frontiers</t>
  </si>
  <si>
    <t>Active Skill: Throw rope dart forward in straight line, then pull back forcefully to lift all enemies along path.</t>
  </si>
  <si>
    <t>Dart Shadow Deceptive Stance</t>
  </si>
  <si>
    <t>Active Skill: Release hidden sparks from meteor hammer head to spread flames that burn enemies ahead, applying blind effect (reduces accuracy) for 3 seconds while dealing external attack and partial internal damage to enemies in range. (Affected by Strength)</t>
  </si>
  <si>
    <t>Hide Fire, Conceal Dust</t>
  </si>
  <si>
    <t>Active Skill: Throw hook claw forward then quickly retract, dealing secondary damage to enemies in straight line, dealing external attack and partial internal damage. (Affected by Strength)</t>
  </si>
  <si>
    <t>Sweep Peaks, Scour Hills</t>
  </si>
  <si>
    <t>Passive Skill: When [Sweeping Mountains and Hills] damages enemies, applies 1 stack of [Burning] effect per hit (max 3 stacks), each causing 1% HP loss per second for 3 seconds.</t>
  </si>
  <si>
    <t>Golden Firefly Burns Autumn</t>
  </si>
  <si>
    <t>Active Skill: Jump and throw hook claw diagonally downward to embed in ground, then pull down to smash enemies along path, dealing external attack and partial internal damage. (Affected by Strength)</t>
  </si>
  <si>
    <t>Grass Snake Gold Thread</t>
  </si>
  <si>
    <t>Passive Skill: When [Golden Thread Through Grass] damages enemies with [Burning] effect, adds 1 stack to all and increases [Sweeping Mountains and Hills] critical damage against such enemies. (Affected by Agility)</t>
  </si>
  <si>
    <t>Iron Tail Shakes Mountain</t>
  </si>
  <si>
    <t>Active Skill: Lift rope dart while spinning forward, then small jump to swing meteor hammer end for ground slam, continuously damaging enemies along path.</t>
  </si>
  <si>
    <t>Meteors Scatter</t>
  </si>
  <si>
    <t>Passive Skill: [Iron Tail Shakes Mountains] passive additionally increases critical damage by 10%.</t>
  </si>
  <si>
    <t>Chase Fire, Follow Heat</t>
  </si>
  <si>
    <t>Passive Skill: When executing [Sweeping Mountains and Hills], reduces enemy healing received by 10% for 5 seconds.</t>
  </si>
  <si>
    <t>Fierce Viper Spits Tongue</t>
  </si>
  <si>
    <t>Passive Skill: [Meteor Scattering] passive increases critical damage. (Affected by Agility)</t>
  </si>
  <si>
    <t>Twist Ink, Straighten Rope</t>
  </si>
  <si>
    <t>Passive Skill: Attacking enemies with [Burning] effect increases external attack for 5 seconds.</t>
  </si>
  <si>
    <t>Fire Extinguished, Ashes Cold</t>
  </si>
  <si>
    <t>Passive Skill: When executing [Golden Thread Through Grass], creates [Fire Sea] effect on ground lasting 2 seconds - enemies staying take damage every 2 seconds, gain 1 [Burning] stack, and receive [Poison Fire] effect for 2 seconds (increases critical hit chance by 10% when attacking such enemies).</t>
  </si>
  <si>
    <t>Gold Flame Subdues Blood</t>
  </si>
  <si>
    <t>Remnant Malice Spawns Thought</t>
  </si>
  <si>
    <t>Passive Skill: Increases additional damage dealt by [Sweeping Mountains and Hills].</t>
  </si>
  <si>
    <t>Flying Star Chases Sun</t>
  </si>
  <si>
    <t>Passive Skill: When [Blazing Serpent's Tongue] passive activates, additionally reduces movement speed of damaged enemies by 30% for 5 seconds.</t>
  </si>
  <si>
    <t>Malice-Fire Serpent</t>
  </si>
  <si>
    <t>Active Skill: Tuck and jump backwards while shooting diagonally downward, dealing external attack. (Affected by external attack)</t>
  </si>
  <si>
    <t>Bowstring's Release</t>
  </si>
  <si>
    <t>Active Skill: Throw bear trap forward that lasts 6 seconds - if enemy steps on it, deals damage and immobilizes single target for duration, dealing external attack. (Affected by external attack)</t>
  </si>
  <si>
    <t>Beast Trap</t>
  </si>
  <si>
    <t>Active Skill: Aim diagonally upward to shoot three parabolic arrows, dealing external attack. (Affected by Strength)</t>
  </si>
  <si>
    <t>Arrow Rain Clear</t>
  </si>
  <si>
    <t>Passive Skill: Increases defense by 10%.</t>
  </si>
  <si>
    <t>Glimmer Clear</t>
  </si>
  <si>
    <t>Active Skill: Stab with arrow from quiver, then turn and shoot same arrow forward while crouching, dealing external attack. (Affected by Strength)</t>
  </si>
  <si>
    <t>Cold Hunt Morning Whistle</t>
  </si>
  <si>
    <t>Passive Skill: Increases speed by 50.</t>
  </si>
  <si>
    <t>Chill Pursuit</t>
  </si>
  <si>
    <t>Active Skill: Charge forward shot - arrow spins on impact, dealing external attack. (Affected by Strength)</t>
  </si>
  <si>
    <t>Arrow Pierces Willow</t>
  </si>
  <si>
    <t>Passive Skill: [Dawn Arrow Hunt] applies [Slow] effect to damaged enemies for 4 seconds.</t>
  </si>
  <si>
    <t>Solitary Body</t>
  </si>
  <si>
    <t>String Sudden</t>
  </si>
  <si>
    <t>Repeat Forest</t>
  </si>
  <si>
    <t>Passive Skill: Increases external attack by 5%.</t>
  </si>
  <si>
    <t>Trap Slaughter</t>
  </si>
  <si>
    <t>Passive Skill: Increases critical damage. (Affected by Agility)</t>
  </si>
  <si>
    <t>Small Steps</t>
  </si>
  <si>
    <t>Hidden Hunting</t>
  </si>
  <si>
    <t>Passive Skill: Increases additional damage dealt by [Arrow Rain Clear].</t>
  </si>
  <si>
    <t>Sudden Rain Rapid Burst</t>
  </si>
  <si>
    <t>Passive Skill: [Lone Body]'s slow effect changes to immobilize.</t>
  </si>
  <si>
    <t>Lone and Isolated</t>
  </si>
  <si>
    <t>Active Skill: Whip enemy then uppercut to launch them. (Affected by external attack)</t>
  </si>
  <si>
    <t>Cleanse Mountains, Purge Wilds</t>
  </si>
  <si>
    <t>Active Skill: Whip forward to create sonic boom that stuns enemies in range. (Affected by external attack)</t>
  </si>
  <si>
    <t>Break Traces, Repel Foes</t>
  </si>
  <si>
    <t>Active Skill: Spin jump diagonally upward around central axis, whipping surrounding enemies, then quickly descend for ground slam. (Affected by Strength)</t>
  </si>
  <si>
    <t>Langcang Ice Plank Road</t>
  </si>
  <si>
    <t>Passive Skill: When executing [Lancang Soaring Plank], reduces [Heavenly Dragon's Protection] cooldown by 1 second and gains [Jade Toad] effect granting [Unstoppable] for 2 seconds.</t>
  </si>
  <si>
    <t>Crimson Jade Toad</t>
  </si>
  <si>
    <t>Active Skill: Whip forward from behind with a sideways stance. If it hits, rapidly tap light attack to follow up. If it misses, immediately retract the whip. (Affected by Strength)</t>
  </si>
  <si>
    <t>Spirit Snake Vicious Gu</t>
  </si>
  <si>
    <t>Passive Skill: When executing [Cunning Serpent Strike], reduces cooldown of [Lancang Soaring Plank] by 1 second and grants [Serpent Spirit] effect, increasing external attack by 5% for 3 seconds.</t>
  </si>
  <si>
    <t>Shed Twin Life</t>
  </si>
  <si>
    <t>Active Skill: Continuously spin whip while advancing forward. (Affected by Strength)</t>
  </si>
  <si>
    <t>Heaven Dragon Protects Body</t>
  </si>
  <si>
    <t>Passive Skill: When executing [Heavenly Dragon's Protection], reduces cooldown of [Cunning Serpent Strike] by 1 second and grants [Celestial Spider] effect, increasing lifesteal by 5% for 3 seconds.</t>
  </si>
  <si>
    <t>Illusion Sky Spider</t>
  </si>
  <si>
    <t>Passive Skill: [Lancang Soaring Plank] additionally increases lifesteal. (Affected by Physique)</t>
  </si>
  <si>
    <t>Sip-Suck Centipede</t>
  </si>
  <si>
    <t>Passive Skill: [Cunning Serpent Strike] applies [Silk Bind] effect to damaged enemies, reducing movement speed by 30% for 3 seconds.</t>
  </si>
  <si>
    <t>Spider Spins Silk</t>
  </si>
  <si>
    <t>Passive Skill: Attacks against enemies with [Silk Bind] effect gain additional external attack for 2 seconds. (Affected by Strength)</t>
  </si>
  <si>
    <t>Scorpion Heart Venom</t>
  </si>
  <si>
    <t>Passive Skill: Reduces cooldown of [Five-Scale Purification Whip] by 1 second, while increasing external attack by 5% and lifesteal by 10%.</t>
  </si>
  <si>
    <t>Five Sacred Physiques</t>
  </si>
  <si>
    <t>Forge Gu into Body</t>
  </si>
  <si>
    <t>Passive Skill: Increases additional damage dealt by [Lancang Soaring Plank].</t>
  </si>
  <si>
    <t>Angry River Water</t>
  </si>
  <si>
    <t>Passive Skill: [Crimson Spider Weaves Heart] from internal skill [Mystic Li Poison Miasma] has its HP recovery threshold increased by 5%.</t>
  </si>
  <si>
    <t>Feeling Hard to Understand</t>
  </si>
  <si>
    <t>Active Skill: Use deft force to sweep enemies up, then strike vital points in succession, dealing multiple external damage hits. (Affected by Strength)</t>
  </si>
  <si>
    <t>Take Bone</t>
  </si>
  <si>
    <t>Passive Skill: [Golden Rainbow Bone Breaker] applies [Scorching Rainbow] effect, causing 1% HP loss per second for 5 seconds.</t>
  </si>
  <si>
    <t>Flying Rainbow Burns Eyes</t>
  </si>
  <si>
    <t>Active Skill: Grand sweeping strikes to overwhelm enemies, dealing multiple external damage hits. (Affected by Strength)</t>
  </si>
  <si>
    <t>Entwined Rainbow</t>
  </si>
  <si>
    <t>Rebel Bone Grows</t>
  </si>
  <si>
    <t>Active Skill: Channel internal energy to make flexible weapons hard as steel, striking unpredictably with multiple external damage hits. (Affected by Strength)</t>
  </si>
  <si>
    <t>Cleave World</t>
  </si>
  <si>
    <t>Passive Skill: When HP drops below 50%, damage increases by 3%.</t>
  </si>
  <si>
    <t>Red-Practice Wrapped Rope</t>
  </si>
  <si>
    <t>What to Drink</t>
  </si>
  <si>
    <t>Passive Skill: All damage dealt applies [Scorching Rainbow] effect to targets.</t>
  </si>
  <si>
    <t>Sever Rainbow Waterfall</t>
  </si>
  <si>
    <t>Passive Skill: When HP drops below 50%, damage bonus increases to 5%.</t>
  </si>
  <si>
    <t>Chaos Fully Scattered</t>
  </si>
  <si>
    <t>Passive Skill: Increases damage by 5% and movement speed by 50.</t>
  </si>
  <si>
    <t>Return to Drink Golden Soldier</t>
  </si>
  <si>
    <t>Set Bone Carriage</t>
  </si>
  <si>
    <t>Passive Skill: When dealing damage, restores 1 Qi (20s cooldown).</t>
  </si>
  <si>
    <t>None Unexhausted</t>
  </si>
  <si>
    <t>Passive Skill: Increases external attack by 3% and Strength by 5 points.</t>
  </si>
  <si>
    <t>Slay Bone Sever Rainbow Flow</t>
  </si>
  <si>
    <t>Active Skill: Shoot at ground ahead to create small explosion that launches enemies, dealing external attack. (Affected by external attack)</t>
  </si>
  <si>
    <t>Exploding Pearl - Break</t>
  </si>
  <si>
    <t>Active Skill: Increases reload speed for 5 seconds.</t>
  </si>
  <si>
    <t>Mechanism - Store</t>
  </si>
  <si>
    <t>Active Skill: Aim and charge shot that hits all enemies in straight line, dealing external attack. (Affected by Strength)</t>
  </si>
  <si>
    <t>Flame Spreads, Smoke Scatters</t>
  </si>
  <si>
    <t>Passive Skill: Normal attacks gain external attack bonus.</t>
  </si>
  <si>
    <t>Pearl Fierce</t>
  </si>
  <si>
    <t>Active Skill: Bullets create small explosions on impact (larger when charged), dealing external attack. (Affected by Strength)</t>
  </si>
  <si>
    <t>Scatter Pearls - Store</t>
  </si>
  <si>
    <t>Passive Skill: Starts combat with +1 max ammo capacity.</t>
  </si>
  <si>
    <t>Disperse Momentum</t>
  </si>
  <si>
    <t>Active Skill: 2-second aimed shot with 40% critical chance, dealing external attack. (Affected by Strength)</t>
  </si>
  <si>
    <t>Pierce Pearl - Fix</t>
  </si>
  <si>
    <t>Passive Skill: +1 max ammo capacity.</t>
  </si>
  <si>
    <t>Gather Distance</t>
  </si>
  <si>
    <t>Passive Skill: Increases [Scatter Shot路Charge] explosion damage. (Affected by Strength)</t>
  </si>
  <si>
    <t>Burning Break</t>
  </si>
  <si>
    <t>Posture</t>
  </si>
  <si>
    <t>Thunder Shock</t>
  </si>
  <si>
    <t>Passive Skill: [Piercing Shot路Lock] gains +15% crit chance and +50% crit damage.</t>
  </si>
  <si>
    <t>Store Momentum</t>
  </si>
  <si>
    <t>Mechanism Pivot Method</t>
  </si>
  <si>
    <t>Wood Modified Notch</t>
  </si>
  <si>
    <t>Conceal Hidden Projectile</t>
  </si>
  <si>
    <t>Active Skill: Push diagonally upward to strike enemy ribs and launch them, dealing internal attack. (Affected by internal attack)</t>
  </si>
  <si>
    <t>Rib Oblique Bone Gouge</t>
  </si>
  <si>
    <t>Active Skill: Crouch to stab forward and backward, interrupting normal attacks, dealing internal attack. (Affected by internal attack)</t>
  </si>
  <si>
    <t>Enchantress Beauty Thorn</t>
  </si>
  <si>
    <t>Active Skill: Dash forward to attack enemies ahead, dealing internal attack. (Affected by Internal Energy)</t>
  </si>
  <si>
    <t>Winding Gu Entwined Body</t>
  </si>
  <si>
    <t>Passive Skill: [Coiling Venom Bind] has chance to apply [Gan Poison] effect, causing 1% HP loss per second for 7 seconds. (Affected by Agility)</t>
  </si>
  <si>
    <t>Gan Gu</t>
  </si>
  <si>
    <t>Active Skill: Leap over enemies while spinning to attack below, dealing internal attack. (Affected by Internal Energy)</t>
  </si>
  <si>
    <t>Broken Void Frost</t>
  </si>
  <si>
    <t>Passive Skill: [Rending Void Strike] applies [Corrosion] effect, reducing enemy internal defense by 15% for 7 seconds.</t>
  </si>
  <si>
    <t>Gu Poison Yin Snake</t>
  </si>
  <si>
    <t>Active Skill: Front flip to perform throat slash on enemies, dealing internal attack. (Affected by Internal Energy)</t>
  </si>
  <si>
    <t>Silk Thread Snake Technique</t>
  </si>
  <si>
    <t>Passive Skill: [Rending Void Strike] gains +5% internal attack.</t>
  </si>
  <si>
    <t>Silk Thread Pervasive</t>
  </si>
  <si>
    <t>Passive Skill: [Coiling Venom Bind] increases lifesteal for 5 seconds. (Affected by Physique)</t>
  </si>
  <si>
    <t>Stagnant Gu Plant Blood</t>
  </si>
  <si>
    <t>Passive Skill: [Green Silk Serpent Technique] applies [Slow] to enemies with [Corrosion] effect for 5 seconds.</t>
  </si>
  <si>
    <t>Flesh Maggot</t>
  </si>
  <si>
    <t>Passive Skill: Heavy attacks gain internal attack bonus. (Affected by Internal Energy)</t>
  </si>
  <si>
    <t>Miasma Entangle Scorn</t>
  </si>
  <si>
    <t>Passive Skill: Reduces short weapon skill cooldown by 1s and Five Saints movement skill by 15s.</t>
  </si>
  <si>
    <t>Urge Heart Harm</t>
  </si>
  <si>
    <t>Soft Gu Heart</t>
  </si>
  <si>
    <t>Passive Skill: Increases additional damage dealt by [Coiling Venom Bind].</t>
  </si>
  <si>
    <t>Deep Gu Scripture</t>
  </si>
  <si>
    <t>One Crimson Heart</t>
  </si>
  <si>
    <t>Active Skill: Cross-slash forward with sharp blade light, executable after [Lone Moon Toast] or [Jade Plate Fall]. The higher the Internal Energy, the stronger this effect.</t>
  </si>
  <si>
    <t>Body Twin Shadows Faded</t>
  </si>
  <si>
    <t>Passive Skill: [Phantom Twin Strike] gains increased critical chance. (Affected by Agility)</t>
  </si>
  <si>
    <t>Moon Full Phase Wane</t>
  </si>
  <si>
    <t>Active Skill: Turn to sweep enemy legs, then leap to launch them - follow up with light/heavy attacks or [Phantom Twin Strike] midair. The higher the Internal Energy, the stronger this effect.</t>
  </si>
  <si>
    <t>Lone Drink Invite Moon</t>
  </si>
  <si>
    <t>Passive Skill: After [Lone Moon Toast], gains [Moon Invite] effect increasing [Phantom Twin Strike] internal attack by 5% for 8s.</t>
  </si>
  <si>
    <t>Horizon Tide Full</t>
  </si>
  <si>
    <t>Active Skill: Dash-slash forward, then flip to launch enemies - follow up with light/heavy attacks or [Phantom Twin Strike] midair. The higher the Internal Energy, the stronger this effect.</t>
  </si>
  <si>
    <t>Falling Jade Plate</t>
  </si>
  <si>
    <t>Passive Skill: After [Jade Plate Fall], gains [Jade Plate] effect increasing [Phantom Twin Strike] crit chance for 8s. (Affected by Agility)</t>
  </si>
  <si>
    <t>Dusk Star Veiled Dust</t>
  </si>
  <si>
    <t>Passive Skill: While jumping, increases critical damage. (Affected by Agility)</t>
  </si>
  <si>
    <t>Bright Moon Surpasses Sky</t>
  </si>
  <si>
    <t>Passive Skill: Reduces [Phantom Twin Strike] cooldown by 1s.</t>
  </si>
  <si>
    <t>Osmanthus Broken Branch</t>
  </si>
  <si>
    <t>Passive Skill: Increases lifesteal. (Affected by Physique)</t>
  </si>
  <si>
    <t>Moon Palace Distant</t>
  </si>
  <si>
    <t>Passive Skill: When HP drops below 20%, increases internal attack. (Affected by Internal Energy)</t>
  </si>
  <si>
    <t>Distant Light Cold</t>
  </si>
  <si>
    <t>Jade Plate Clear Radiance</t>
  </si>
  <si>
    <t>Passive Skill: Increases additional damage dealt by [Phantom Twin Strike].</t>
  </si>
  <si>
    <t>Broken Body Sorrow</t>
  </si>
  <si>
    <t>Passive Skill: With both [Moon Invite] and [Jade Plate] effects active, gains [Moonlit Phantom] effect giving chance to evade attacks for 3s.</t>
  </si>
  <si>
    <t>Jade Plate Concealed</t>
  </si>
  <si>
    <t>Active Skill: Freely combine martial arts</t>
  </si>
  <si>
    <t>Mixed Martial Arts</t>
  </si>
  <si>
    <t>Active Skill: +3% damage but -5% defenses for 10s.</t>
  </si>
  <si>
    <t>North Alone Return</t>
  </si>
  <si>
    <t>Passive Skill: Increases HP recovery by 5% based on attributes.</t>
  </si>
  <si>
    <t>Hold Silence</t>
  </si>
  <si>
    <t>Passive Skill: Increases critical chance. (Affected by Agility)</t>
  </si>
  <si>
    <t>Shoreless Writing</t>
  </si>
  <si>
    <t>Passive Skill: [Lone Solitude Return] effect +2%, additional -3% defenses, cooldown -5s.</t>
  </si>
  <si>
    <t>Dawn Moon, Fading Star</t>
  </si>
  <si>
    <t>Passive Skill: Critical hits increase movement speed by 10% for 5s.</t>
  </si>
  <si>
    <t>Man Hesitates</t>
  </si>
  <si>
    <t>Passive Skill: [Oceanview Wave Blade] skills gain +10% critical damage.</t>
  </si>
  <si>
    <t>Carry Wu Hook</t>
  </si>
  <si>
    <t>Passive Skill: [Lone Solitude Return] effect +2%, additional -6% defenses, cooldown -5s.</t>
  </si>
  <si>
    <t>Break Osmanthus Branch</t>
  </si>
  <si>
    <t>Passive Skill: [Lone Solitude Return] no longer reduces defenses, [Oceanview Wave Blade] skills gain +15% critical damage.</t>
  </si>
  <si>
    <t>Shared Horizon</t>
  </si>
  <si>
    <t>Passive Skill: Upon entering combat, Strength increases by 2 points.</t>
  </si>
  <si>
    <t>Shared Moment</t>
  </si>
  <si>
    <t>Passive Skill: [Lone Solitude Return] cooldown -5s.</t>
  </si>
  <si>
    <t>Final Sigh</t>
  </si>
  <si>
    <t>Passive Skill: [Lone Solitude Return] effect +3% damage but -5% defenses.</t>
  </si>
  <si>
    <t>Nameless Aura</t>
  </si>
  <si>
    <t>Passive Skill: [Energy Burst] cooldown -1s, HP cost -5%.</t>
  </si>
  <si>
    <t>Sneer Demon Myriad Forms</t>
  </si>
  <si>
    <t>Passive Skill: After [Energy Burst], increases Internal Energy by 20% for 3s.</t>
  </si>
  <si>
    <t>Ghost Wail, Yin Howl</t>
  </si>
  <si>
    <t>Passive Skill: After [Energy Burst], each debuff increases attack by 1% (max 5 stacks) for 5s.</t>
  </si>
  <si>
    <t>Attachment Canker Underworld</t>
  </si>
  <si>
    <t>Wraith Ectoplasm</t>
  </si>
  <si>
    <t>Passive Skill: When taking damage, increases critical stats for 5s (max 3 stacks).</t>
  </si>
  <si>
    <t>Remnant Malice Twin Curse</t>
  </si>
  <si>
    <t>Passive Skill: Critical hits from [Energy Burst] reset first equipped skill's cooldown.</t>
  </si>
  <si>
    <t>Evil Ghosts Struggle for Food</t>
  </si>
  <si>
    <t>Passive Skill: [Energy Burst] cooldown -1s.</t>
  </si>
  <si>
    <t>Plague Weep Unending</t>
  </si>
  <si>
    <t>Passive Skill: Automatically triggers [Energy Burst] without HP cost when near death (10s cooldown).</t>
  </si>
  <si>
    <t>Sneer Demon Laugh</t>
  </si>
  <si>
    <t>Passive Skill: Upon entering combat, Internal Energy increases by 2 points.</t>
  </si>
  <si>
    <t>Broken Body Shift</t>
  </si>
  <si>
    <t>Passive Skill: Increases stamina recovery by 2.</t>
  </si>
  <si>
    <t>Return World Devil</t>
  </si>
  <si>
    <t>Passive Skill: Each debuff increases damage by 2%.</t>
  </si>
  <si>
    <t>Turbid Drink Malice Wine</t>
  </si>
  <si>
    <t>Passive Skill: For every 1% HP lost, increases defenses by 0.8% based on attributes (max 99 stacks).</t>
  </si>
  <si>
    <t>Jade Broken, Pearl Sunk</t>
  </si>
  <si>
    <t>Passive Skill: Increases stamina recovery by 1.</t>
  </si>
  <si>
    <t>Sharpness No Trace</t>
  </si>
  <si>
    <t>Passive Skill: Increases HP recovery by 10% based on attributes.</t>
  </si>
  <si>
    <t>Uncut Jade Pure Gold</t>
  </si>
  <si>
    <t>Passive Skill: For every 1% HP lost, increases defenses by 0.1%.</t>
  </si>
  <si>
    <t>Chaotic Shattered Jade</t>
  </si>
  <si>
    <t>Passive Skill: Blocking consumes 1 less stamina.</t>
  </si>
  <si>
    <t>White Jade Flawless</t>
  </si>
  <si>
    <t>Passive Skill: Increases critical resistance and immunity by 10%.</t>
  </si>
  <si>
    <t>Golden Branch Bodhi Tree</t>
  </si>
  <si>
    <t>Pearls Joined, Jade United</t>
  </si>
  <si>
    <t>Passive Skill: When HP drops below 30%, instantly doubles defenses for 20s (once per battle).</t>
  </si>
  <si>
    <t>Perfect Jade Unbroken</t>
  </si>
  <si>
    <t>Passive Skill: Upon entering combat, Physique increases by 2 points.</t>
  </si>
  <si>
    <t>Unbroken Wall</t>
  </si>
  <si>
    <t>Lucid and Gleaming</t>
  </si>
  <si>
    <t>Passive Skill: For every 1% HP lost, increases external and internal defense by 0.2%.</t>
  </si>
  <si>
    <t>Jade within Stone</t>
  </si>
  <si>
    <t>Passive Skill: When HP drops below 20%, instantly restores 30% of max HP (5-minute cooldown).</t>
  </si>
  <si>
    <t>Crimson Spider Weaves Heart</t>
  </si>
  <si>
    <t>Passive Skill: Increases external and internal defense. (Affected by Physique, Internal Energy)</t>
  </si>
  <si>
    <t>Heaven Dragon Drapes Mountain</t>
  </si>
  <si>
    <t>Passive Skill: Increases short weapon external and internal attack by 1% based on attributes.</t>
  </si>
  <si>
    <t>Flick Scorpion Gouge Bone</t>
  </si>
  <si>
    <t>Passive Skill: [Crimson Spider Weaves Heart] HP recovery threshold increased by 5%.</t>
  </si>
  <si>
    <t>Immortal Spider Entwines Moon</t>
  </si>
  <si>
    <t>Passive Skill: Each debuff grants [Tempered Bones] stack (max 20), increasing internal attack by 1.5% for 5s.</t>
  </si>
  <si>
    <t>Spirit Snake Tempered Bone</t>
  </si>
  <si>
    <t>Passive Skill: When under [Unstoppable] effect, gains 20% damage reduction.</t>
  </si>
  <si>
    <t>Angry Scale Part Clouds</t>
  </si>
  <si>
    <t>Golden Toad Treasure Robe</t>
  </si>
  <si>
    <t>Passive Skill: Upon entering combat, reduces enemy accuracy against self.</t>
  </si>
  <si>
    <t>Mystical Li Gu Body</t>
  </si>
  <si>
    <t>Chi You Body</t>
  </si>
  <si>
    <t>Passive Skill: When under [Unstoppable] effect, gains 10% damage reduction.</t>
  </si>
  <si>
    <t>Chi You Skull</t>
  </si>
  <si>
    <t>Passive Skill: Each debuff increases internal attack by 1%.</t>
  </si>
  <si>
    <t>Turbid Cheer Song</t>
  </si>
  <si>
    <t>Passive Skill: Grants [Karmic Cause] effect: party recovers +2 HP/s, +10% HP recovery, +50 movement speed.</t>
  </si>
  <si>
    <t>Rahu Wrathful Body Aspect</t>
  </si>
  <si>
    <t>Passive Skill: Increases surviving companions' max HP. (Affected by Physique)</t>
  </si>
  <si>
    <t>Vastly Embrace Defilement</t>
  </si>
  <si>
    <t>Passive Skill: Each debuff increases defenses. (Affected by Physique)</t>
  </si>
  <si>
    <t>Ghost-Binding Shackle</t>
  </si>
  <si>
    <t>Passive Skill: Each living companion increases crit chance by 5%.</t>
  </si>
  <si>
    <t>Black Ropes Multi-Prison</t>
  </si>
  <si>
    <t>Passive Skill: When healed, increases healing received by 20% (includes skills and items).</t>
  </si>
  <si>
    <t>Ming King Body</t>
  </si>
  <si>
    <t>Passive Skill: When critically hit, gains [Unstoppable] for 1s.</t>
  </si>
  <si>
    <t>Power Wrath Method</t>
  </si>
  <si>
    <t>Passive Skill: For every 1% HP lost, all companions gain 0.1% internal attack but lose 0.1% internal defense.</t>
  </si>
  <si>
    <t>Five Impurities Evil Time</t>
  </si>
  <si>
    <t>Passive Skill: For each fallen companion (excluding revived), increases self's external and internal attack by 5%.</t>
  </si>
  <si>
    <t>Great Freedom Heaven</t>
  </si>
  <si>
    <t>Part Three Poisons</t>
  </si>
  <si>
    <t>Harbor Asura</t>
  </si>
  <si>
    <t>Passive Skill: [Karmic Cause] additionally increases party HP recovery by 10%.</t>
  </si>
  <si>
    <t>Taste Karmic Hindrance</t>
  </si>
  <si>
    <t>Active Skill: Instantly restores HP but applies [Qi Block] effect: -20% internal energy generation for 5s. (Affected by Internal Energy)</t>
  </si>
  <si>
    <t>Shennong Hundred Herbs Art</t>
  </si>
  <si>
    <t>Passive Skill: Increases internal defense. (Affected by Internal Energy)</t>
  </si>
  <si>
    <t>Cinnabar Meridian Protects Body</t>
  </si>
  <si>
    <t>Turn Sutra, Expel Meridians</t>
  </si>
  <si>
    <t>Passive Skill: [Divine Farmer's Herbal Art] applies [Overflowing Blood] effect: increases HP recovery for 5s. (Affected by Internal Energy)</t>
  </si>
  <si>
    <t>Cleanse Revive</t>
  </si>
  <si>
    <t>Passive Skill: Increases polearm external and internal attack by 1% based on attributes.</t>
  </si>
  <si>
    <t>Five Beasts Staff</t>
  </si>
  <si>
    <t>Passive Skill: When taking damage within 1s, gains [Five Beasts] effect: +10% final damage reduction for 5s.</t>
  </si>
  <si>
    <t>Five Beasts Vigor Protect</t>
  </si>
  <si>
    <t>Passive Skill: [Divine Farmer's Herbal Art] healing +15% based on attributes, cooldown -15s. (Affected by Internal Energy)</t>
  </si>
  <si>
    <t>Inch Grass Cold Fragrance</t>
  </si>
  <si>
    <t>Passive Skill: [Divine Farmer's Herbal Art] no longer applies [Qi Block], internal energy +5%. [Overflowing Blood] effect +20%, duration extended to 8s.</t>
  </si>
  <si>
    <t>Divine Pivot Skilled Hands</t>
  </si>
  <si>
    <t>Smooth Meridians Connect</t>
  </si>
  <si>
    <t>Passive Skill: [Divine Farmer's Herbal Art] cooldown -5s.</t>
  </si>
  <si>
    <t>Cleanse Nine Li</t>
  </si>
  <si>
    <t>Passive Skill: Healing effects +10%.</t>
  </si>
  <si>
    <t>Hang Gourd Aid</t>
  </si>
  <si>
    <t>Active Skill: Gains [Primordial Protection] absorbing damage for 10s. (Affected by Internal Energy)</t>
  </si>
  <si>
    <t>Primordial Chaos Breath Art</t>
  </si>
  <si>
    <t>Passive Skill: During [Primordial Protection], stamina recovery +1.</t>
  </si>
  <si>
    <t>Dao Method Harmony</t>
  </si>
  <si>
    <t>Passive Skill: Increases [Taiji Limitless] energy storage capacity.</t>
  </si>
  <si>
    <t>Crane Brushes Cloud</t>
  </si>
  <si>
    <t>Passive Skill: [Primordial Unity Art] absorbs additional damage. (Affected by Internal Energy)</t>
  </si>
  <si>
    <t>Profound Insight, Absorb Truth</t>
  </si>
  <si>
    <t>Passive Skill: Increases fist/palm external and internal attack by 1% based on attributes.</t>
  </si>
  <si>
    <t>Qian Trigram Ascend</t>
  </si>
  <si>
    <t>Passive Skill: [Great Dao's Beginning] has chance to reset [Primordial Unity Art] cooldown. (Affected by Internal Energy)</t>
  </si>
  <si>
    <t>Purely Yang Charge</t>
  </si>
  <si>
    <t>Kun Trigram Bear</t>
  </si>
  <si>
    <t>Passive Skill: [Primordial Unity Art] cooldown -15s.</t>
  </si>
  <si>
    <t>Grand Harmony Clear Qi</t>
  </si>
  <si>
    <t>Mystic Distance Intent</t>
  </si>
  <si>
    <t>Passive Skill: [Primordial Unity Art] cooldown -5s.</t>
  </si>
  <si>
    <t>Breath Recovered Bright</t>
  </si>
  <si>
    <t>Condense Qi Solidify Source</t>
  </si>
  <si>
    <t>Active Skill: Toggle to convert 10% HP/s into 1 True Energy/s (can be canceled).</t>
  </si>
  <si>
    <t>North Sea Upside Down</t>
  </si>
  <si>
    <t>Passive Skill: Increases internal attack based on attributes. (Affected by Internal Energy)</t>
  </si>
  <si>
    <t>Using Darkness to Illuminate</t>
  </si>
  <si>
    <t>Passive Skill: Lifesteal +8%.</t>
  </si>
  <si>
    <t>Reversing Cause and Effect</t>
  </si>
  <si>
    <t>Passive Skill: [North Sea Inversion] loses 8% HP/s, cooldown -5s.</t>
  </si>
  <si>
    <t>Shared Ride, Shared Body</t>
  </si>
  <si>
    <t>Passive Skill: Dual light blade damage +1%.</t>
  </si>
  <si>
    <t>Missing Few, Surround Many</t>
  </si>
  <si>
    <t>Passive Skill: [North Sea Inversion] cooldown -10s.</t>
  </si>
  <si>
    <t>Extinguish Life, Burn Nature</t>
  </si>
  <si>
    <t>Passive Skill: [North Sea Inversion] loses 5% HP/s, cooldown -5s.</t>
  </si>
  <si>
    <t>True Origin Profound Chapter</t>
  </si>
  <si>
    <t>Passive Skill: [North Sea Inversion] grants [Unstoppable] and 10% damage reduction for 5s.</t>
  </si>
  <si>
    <t>Close Feathers Transformation Stance</t>
  </si>
  <si>
    <t>Enter North Sea</t>
  </si>
  <si>
    <t>Passive Skill: [North Sea Inversion] cooldown -5s.</t>
  </si>
  <si>
    <t>Sea Unexhausted</t>
  </si>
  <si>
    <t>Passive Skill: [North Sea Inversion] damage reduction +20%.</t>
  </si>
  <si>
    <t>Surging Wave Protect</t>
  </si>
  <si>
    <t>Active Skill: Consumes 10% HP to pull enemies forward while draining 1 True Energy per enemy hit. Excess True Energy grants [Overflow] effect (+internal attack for 5s). When [Overflow] expires, self-detonates (causing damage and applying [Backlash]: -20% defense, -50% internal energy gen for 5s).</t>
  </si>
  <si>
    <t>Devour Cosmos, Swallow Vastness</t>
  </si>
  <si>
    <t>Passive Skill: During [Overflow], attack bonus +5%.</t>
  </si>
  <si>
    <t>Qi Shakes Starry Dipper</t>
  </si>
  <si>
    <t>Passive Skill: Targets hit by [Devouring Cosmos] suffer -30% internal energy gen for 5s.</t>
  </si>
  <si>
    <t>Withered Marrow Drill Veins</t>
  </si>
  <si>
    <t>Passive Skill: [Devouring Cosmos] cooldown -5s.</t>
  </si>
  <si>
    <t>Search Mountains, Inspect Seas</t>
  </si>
  <si>
    <t>Passive Skill: During [Overflow], armor penetration +10% for 10s.</t>
  </si>
  <si>
    <t>Nine Orifices Split</t>
  </si>
  <si>
    <t>Passive Skill: +1 max True Energy.</t>
  </si>
  <si>
    <t>Profound Nether Sky Abyss</t>
  </si>
  <si>
    <t>Chaotic Heaven Shatter Firmament</t>
  </si>
  <si>
    <t>Passive Skill: [Devouring Cosmos] no longer applies [Backlash] after detonation, and grants 3s [Unstoppable].</t>
  </si>
  <si>
    <t>Stars Multiply Myriad Radiance</t>
  </si>
  <si>
    <t>Incarnate Body</t>
  </si>
  <si>
    <t>Feast on Stars Body</t>
  </si>
  <si>
    <t>Passive Skill: During [Overflow], [Shaking the Stars] duration +10s.</t>
  </si>
  <si>
    <t>Charge Supreme Void</t>
  </si>
  <si>
    <t>Active Skill: +10% crit chance for 10s (consumes 20% HP, 30s cooldown).</t>
  </si>
  <si>
    <t>Willow Support Fluttering Catkins</t>
  </si>
  <si>
    <t>Passive Skill: For every 10% HP lost, defenses +2%.</t>
  </si>
  <si>
    <t>Bamboo Has Bone</t>
  </si>
  <si>
    <t>Passive Skill: Increases fan techniques' external and internal attack by 1% based on attributes.</t>
  </si>
  <si>
    <t>Restrain Crimson Visage</t>
  </si>
  <si>
    <t>Passive Skill: [Willow Catkins] crit chance +5%, HP cost -5%.</t>
  </si>
  <si>
    <t>Follow Flowers By Willows</t>
  </si>
  <si>
    <t>Passive Skill: Starts combat with +2 True Energy.</t>
  </si>
  <si>
    <t>Orchid Pavilion Sigh</t>
  </si>
  <si>
    <t>Passive Skill: During [Willow Catkins], damaged enemies gain [Buried Orchid]: -30% internal energy gen for 5s.</t>
  </si>
  <si>
    <t>Where to Find Fragrant Orchids</t>
  </si>
  <si>
    <t>Fallen Petals Withered Elegance</t>
  </si>
  <si>
    <t>Passive Skill: Reduces all [Mourning Fan Arts] cooldowns by 1s.</t>
  </si>
  <si>
    <t>Orchid Bamboo Tone</t>
  </si>
  <si>
    <t>Tear Bamboo Orchid</t>
  </si>
  <si>
    <t>Passive Skill: [Willow Catkins] cooldown -10s.</t>
  </si>
  <si>
    <t>Hide North Sea</t>
  </si>
  <si>
    <t>Summer Autumn Growth</t>
  </si>
  <si>
    <t>Active Skill: Applies [Purple Qi] effect: next melee attack stuns for 2s.</t>
  </si>
  <si>
    <t>Purple Qi East Arrival</t>
  </si>
  <si>
    <t>Passive Skill: During [Purple Qi], attacks may apply [Scorching Glow] (1% HP loss/s per stack, max 3 stacks, 10s duration).</t>
  </si>
  <si>
    <t>Fiery Dawn Breaks Dusk</t>
  </si>
  <si>
    <t>Passive Skill: Attacks against [Scorching Glow] targets deal +2% final damage.</t>
  </si>
  <si>
    <t>Radiant Brilliance Pierces Rainbow</t>
  </si>
  <si>
    <t>Passive Skill: [Purple Qi from the East] cooldown -5s.</t>
  </si>
  <si>
    <t>Glittering Dawn Rays Morn</t>
  </si>
  <si>
    <t>Passive Skill: [Purple Qi from the East] increases external attack for 5s. (Affected by Strength)</t>
  </si>
  <si>
    <t>Layered Clouds Overcast</t>
  </si>
  <si>
    <t>Passive Skill: Crits against [Scorching Glow] targets refresh its duration.</t>
  </si>
  <si>
    <t>Dawn Clear, Sun Glows</t>
  </si>
  <si>
    <t>Eternal Sky Pure</t>
  </si>
  <si>
    <t>Passive Skill: [Purple Qi] attacks cannot be blocked or countered.</t>
  </si>
  <si>
    <t>Purple Qi Condense</t>
  </si>
  <si>
    <t>East Hard to Speak</t>
  </si>
  <si>
    <t>Passive Skill: Within 5s after [Purple Qi from the East], attacks guarantee crits.</t>
  </si>
  <si>
    <t>Sweep Dusty World</t>
  </si>
  <si>
    <t>Passive Skill: Against [Scorching Glow] targets, armor penetration +10% for 10s.</t>
  </si>
  <si>
    <t>Thunderous Peal</t>
  </si>
  <si>
    <t>Active Skill: Roars forward, stunning enemies and dealing hybrid damage. (Affected by Strength, Internal Energy)</t>
  </si>
  <si>
    <t>Pierce Sky Light</t>
  </si>
  <si>
    <t>Passive Skill: Internal energy generation +3% based on attributes.</t>
  </si>
  <si>
    <t>Dusk Drum Dawn Bell</t>
  </si>
  <si>
    <t>Roam Proud Lakes Mountains</t>
  </si>
  <si>
    <t>Passive Skill: [Thunderclap Piercing Ear] cooldown -5s.</t>
  </si>
  <si>
    <t>Drive Thunder, Pull Lightning</t>
  </si>
  <si>
    <t>Passive Skill: [Thunderclap Piercing Ear] restores 10 internal energy.</t>
  </si>
  <si>
    <t>Crumble Rotten, Destroy Decay</t>
  </si>
  <si>
    <t>Passive Skill: After [Thunderclap Piercing Ear], internal attack +3% for 5s.</t>
  </si>
  <si>
    <t>Galloping Thunder Deceitful Clouds</t>
  </si>
  <si>
    <t>Passive Skill: Stunned enemies gain [Disorder]: -10% internal energy gen for 10s.</t>
  </si>
  <si>
    <t>Dragon Roar Tiger Growl</t>
  </si>
  <si>
    <t>Passive Skill: After [Thunderclap Piercing Ear], target defense -10% for 5s, cooldown -5s.</t>
  </si>
  <si>
    <t>Arhat Aspect</t>
  </si>
  <si>
    <t>Buddhist Sound Chime</t>
  </si>
  <si>
    <t>Eternal Compassion</t>
  </si>
  <si>
    <t>Passive Skill: [Thunderclap Piercing Ear] additionally restores 50 internal energy.</t>
  </si>
  <si>
    <t>Flawless Golden Bell</t>
  </si>
  <si>
    <t>Active Skill: After execution, gain 2 stacks of [Golden Bell Shield] effect. During this effect, player stamina does not recover, attacks received will not cause stagger, and blocks 100% of final damage taken.</t>
  </si>
  <si>
    <t>Gold Sink Shared Tone</t>
  </si>
  <si>
    <t>Passive Skill: Stamina cap +5.</t>
  </si>
  <si>
    <t>Supreme Hard, Supreme Resonate</t>
  </si>
  <si>
    <t>Passive Skill: When HP drops below 70%, all allies gain +15% defense.</t>
  </si>
  <si>
    <t>Bell Furnace Stainless</t>
  </si>
  <si>
    <t>Passive Skill: [Flawless Golden Bell] gains +1 [Golden Bell Shield] stack and cooldown -5s.</t>
  </si>
  <si>
    <t>Shining Gold Resists Peak</t>
  </si>
  <si>
    <t>Passive Skill: Critical resistance +10%.</t>
  </si>
  <si>
    <t>Impregnable Fortress</t>
  </si>
  <si>
    <t>Passive Skill: Critical damage reduction +15%.</t>
  </si>
  <si>
    <t>Bodhi Seed</t>
  </si>
  <si>
    <t>Vast Bell Three Tones</t>
  </si>
  <si>
    <t>Passive Skill: During [Flawless Golden Bell], stamina recovers normally and cooldown -5s.</t>
  </si>
  <si>
    <t>Chan Harmony Body</t>
  </si>
  <si>
    <t>Passive Skill: Upon entering combat, Physique +2.</t>
  </si>
  <si>
    <t>Never Defeated, Never Stained</t>
  </si>
  <si>
    <t>Passive Skill: Stamina cap +15.</t>
  </si>
  <si>
    <t>Never Cease, Never Perish</t>
  </si>
  <si>
    <t>Substance Void Mutually Born</t>
  </si>
  <si>
    <t>Active Skill: Instantly gain 2 True Energy, then internal energy recovery -30% for 10s.</t>
  </si>
  <si>
    <t>Clarify Hidden, Illuminate Subtle</t>
  </si>
  <si>
    <t>Passive Skill: True Energy cap +1.</t>
  </si>
  <si>
    <t>Act Without Struggle</t>
  </si>
  <si>
    <t>Passive Skill: Increases internal attack (Affected by Internal Energy).</t>
  </si>
  <si>
    <t>See Plain, Embrace Simplicity</t>
  </si>
  <si>
    <t>Passive Skill: [Illusory Reality] grants +1 True Energy, internal energy generation +10%, cooldown -5s.</t>
  </si>
  <si>
    <t>Hold Fullness, Avoid Edge</t>
  </si>
  <si>
    <t>Passive Skill: Stamina recovery +1/s.</t>
  </si>
  <si>
    <t>Heavenly Dao Moves Qian</t>
  </si>
  <si>
    <t>Passive Skill: All martial arts cooldown -1s.</t>
  </si>
  <si>
    <t>Great Substance Like Void</t>
  </si>
  <si>
    <t>Passive Skill: [Illusory Reality] grants +2 True Energy, internal energy recovery +10%, cooldown -5s.</t>
  </si>
  <si>
    <t>Grand Void No Extremity</t>
  </si>
  <si>
    <t>Passive Skill: [Illusory Reality] no longer reduces internal energy recovery.</t>
  </si>
  <si>
    <t>No Extremity's Extremity</t>
  </si>
  <si>
    <t>Passive Skill: Upon entering combat, Internal Energy +2.</t>
  </si>
  <si>
    <t>Longevity Body</t>
  </si>
  <si>
    <t>Substance Void Dissolve Intent</t>
  </si>
  <si>
    <t>Discard Armor, Cast Spears</t>
  </si>
  <si>
    <t>Passive Skill: For every 1% HP lost, damage reduction +0.2%.</t>
  </si>
  <si>
    <t>Bold Courage Light Ferocity</t>
  </si>
  <si>
    <t>Passive Skill: When taking damage, gain 1 [Fierce Valor] stack (max 5), increasing defense for 5s (Affected by Physique).</t>
  </si>
  <si>
    <t>Gap End Violent End</t>
  </si>
  <si>
    <t>Passive Skill: Increases external attack (Affected by Strength).</t>
  </si>
  <si>
    <t>Bathe Blood as Robe</t>
  </si>
  <si>
    <t>Ferocious Swift as Wind</t>
  </si>
  <si>
    <t>Passive Skill: When critically hit, gain 1 [Armor] stack: critical resistance +5% for 5s (max 3 stacks).</t>
  </si>
  <si>
    <t>Legacy Wind Remnant Fierce</t>
  </si>
  <si>
    <t>Passive Skill: For each debuff, gain 1 [Remnant Fury] stack: reflect damage +2% (max 5 stacks) for 10s.</t>
  </si>
  <si>
    <t>Awe in All Directions</t>
  </si>
  <si>
    <t>Seamless Heavenly Robe</t>
  </si>
  <si>
    <t>Passive Skill: When near death, triggers [Last Stand] preventing death for 5s.</t>
  </si>
  <si>
    <t>Break Through Battle Tune</t>
  </si>
  <si>
    <t>This Edge Sharp</t>
  </si>
  <si>
    <t>Passive Skill: [Fierce Valor] duration extended to 10s.</t>
  </si>
  <si>
    <t>Frenzied Slaughter Laugh</t>
  </si>
  <si>
    <t>Skillful Hand Brings Spring</t>
  </si>
  <si>
    <t>Active Skill: Restores HP but reduces defenses by 15% for 10s (Affected by Internal Energy).</t>
  </si>
  <si>
    <t>Calm Spirit Method</t>
  </si>
  <si>
    <t>Passive Skill: [Miraculous Healing] HP recovery +5% for 10s.</t>
  </si>
  <si>
    <t>Know Pressure Points Method</t>
  </si>
  <si>
    <t>Passive Skill: Increases leg/kick techniques' external and internal attack by 1% based on attributes.</t>
  </si>
  <si>
    <t>Nurture Meridians Method</t>
  </si>
  <si>
    <t>Passive Skill: [Miraculous Healing] healing +20%, self defenses -5%, cooldown -5s.</t>
  </si>
  <si>
    <t>Extend Life Method</t>
  </si>
  <si>
    <t>Passive Skill: Increases max HP (Affected by Bone Structure).</t>
  </si>
  <si>
    <t>Incise Section Method</t>
  </si>
  <si>
    <t>Withering Robe Method</t>
  </si>
  <si>
    <t>Passive Skill: [Miraculous Healing] healing +30%, self defenses -5%.</t>
  </si>
  <si>
    <t>Revival Method</t>
  </si>
  <si>
    <t>Passive Skill: [Miraculous Healing] no longer reduces defenses, cooldown -5s.</t>
  </si>
  <si>
    <t>Azure Gourd</t>
  </si>
  <si>
    <t>Warm Return Spring Feeling</t>
  </si>
  <si>
    <t>Passive Skill: [Miraculous Healing] cooldown -5s.</t>
  </si>
  <si>
    <t>Lush Green Bag Doctor</t>
  </si>
  <si>
    <t>Passive Skill: Healing effects +15%.</t>
  </si>
  <si>
    <t>Obsessive Entangled Resentment</t>
  </si>
  <si>
    <t>Passive Skill: Normal attacks gain lifesteal chance but internal energy generation -20%.</t>
  </si>
  <si>
    <t>Melancholy Hard to Disperse</t>
  </si>
  <si>
    <t>Passive Skill: Light attack internal damage +5%.</t>
  </si>
  <si>
    <t>Like Thorn Prison Heart</t>
  </si>
  <si>
    <t>Passive Skill: Increases HP recovery based on attributes (Affected by Internal Energy).</t>
  </si>
  <si>
    <t>Joyful Fun</t>
  </si>
  <si>
    <t>Passive Skill: [Obsessive Grudge] lifesteal enhanced, internal energy generation -5%.</t>
  </si>
  <si>
    <t>Resist Life Death</t>
  </si>
  <si>
    <t>Passive Skill: Heavy attack internal damage +5%.</t>
  </si>
  <si>
    <t>Sudden Meeting Joy</t>
  </si>
  <si>
    <t>Passive Skill: When taking damage, 25% chance to permanently gain +15% reflect damage (once per battle).</t>
  </si>
  <si>
    <t>Parting Resentment No Fate</t>
  </si>
  <si>
    <t>Love Gu</t>
  </si>
  <si>
    <t>Passive Skill: [Obsessive Grudge] no longer reduces internal energy generation. Light attacks apply [Guilt Curse]: crit chance +5% for 2s.</t>
  </si>
  <si>
    <t>Entangled Love</t>
  </si>
  <si>
    <t>Bramble Love Tangle</t>
  </si>
  <si>
    <t>Passive Skill: When taking damage, 50% chance to permanently gain +15% reflect damage (once per battle).</t>
  </si>
  <si>
    <t>Mutual Resentment Parting Sorrow</t>
  </si>
  <si>
    <t>Passive Skill: [Obsessive Grudge] lifesteal enhanced, additional HP recovery.</t>
  </si>
  <si>
    <t>Zhiwuqi Body</t>
  </si>
  <si>
    <t>Active Skill: Grants [Unstoppable] for 3s.</t>
  </si>
  <si>
    <t>Break Mountain Sweep Huai</t>
  </si>
  <si>
    <t>Passive Skill: [Zhiwuqi Body] [Unstoppable] duration +2s.</t>
  </si>
  <si>
    <t>Vortex Veins Flowing Rivers</t>
  </si>
  <si>
    <t>Passive Skill: When executing [Zhiwuqi Body], defense increases for 8s (Affected by Physique, Internal Energy).</t>
  </si>
  <si>
    <t>Huai Water Forges Peaks</t>
  </si>
  <si>
    <t>Passive Skill: When executing [Zhiwuqi Body], reflect damage increases for 8s (Affected by Physique).</t>
  </si>
  <si>
    <t>Ancient Iron Cross Lock</t>
  </si>
  <si>
    <t>Passive Skill: HP recovery +5% based on attributes.</t>
  </si>
  <si>
    <t>Palace Pavilion Water Lord</t>
  </si>
  <si>
    <t>Passive Skill: [Zhiwuqi Body] cooldown -5s.</t>
  </si>
  <si>
    <t>All Evils Prostrate</t>
  </si>
  <si>
    <t>Passive Skill: [Zhiwuqi Body] [Unstoppable] duration increased to 7s (no longer benefits from [Mountain Breaker] effect).</t>
  </si>
  <si>
    <t>Grant Heaven's Longevity</t>
  </si>
  <si>
    <t>Passive Skill: [Zhiwuqi Body] cooldown -10s.</t>
  </si>
  <si>
    <t>Suppress Water</t>
  </si>
  <si>
    <t>Passive Skill: Upon entering combat, Strength +2.</t>
  </si>
  <si>
    <t>Lords Over All Waters</t>
  </si>
  <si>
    <t>Dharma Form True Body</t>
  </si>
  <si>
    <t>Passive Skill: When executing [Zhiwuqi Body], defense and reflect damage increase for 8s (Affected by Physique, Internal Energy).</t>
  </si>
  <si>
    <t>Blood Aura Bone</t>
  </si>
  <si>
    <t>Break Blade</t>
  </si>
  <si>
    <t>Passive Skill: When executing [Drunken Lord Saber] or [Nation Defender Spear] techniques, gain [Banner Soul] effect: external attack +2% for 3s.</t>
  </si>
  <si>
    <t>Hundred Battles</t>
  </si>
  <si>
    <t>Beacon Flame</t>
  </si>
  <si>
    <t>Passive Skill: After [Blood Bone] ends, instantly restore 20% max HP.</t>
  </si>
  <si>
    <t>Crossed Halberd</t>
  </si>
  <si>
    <t>Shout Thunder</t>
  </si>
  <si>
    <t>Passive Skill: [Drunken Lord Saber] and [Nation Defender Spear] techniques grant [Banner Soul] effect: external attack +3% for 3s.</t>
  </si>
  <si>
    <t>North Cliff</t>
  </si>
  <si>
    <t>Yin Mountain Moon</t>
  </si>
  <si>
    <t>Passive Skill: [Drunken Lord Saber]'s [Drunken Battlefield] grants 2s [Unstoppable]. [Nation Defender Spear]'s [Single-Handed Upholding World] gains +5% crit chance against [Pacifying Army] targets for 4s.</t>
  </si>
  <si>
    <t>Gaze Sky Grief</t>
  </si>
  <si>
    <t>Iron Robe Supple Steel</t>
  </si>
  <si>
    <t>Blood Bone Drink</t>
  </si>
  <si>
    <t>Straw Dog Red Dust World</t>
  </si>
  <si>
    <t>Passive Skill: For every 1% HP lost, damage +0.1% (max 40 stacks).</t>
  </si>
  <si>
    <t>Slay World Blade</t>
  </si>
  <si>
    <t>Passive Skill: Critical chance +5%.</t>
  </si>
  <si>
    <t>Hatred Law Obscure</t>
  </si>
  <si>
    <t>Passive Skill: Critical hits grant [Saber Mark]: movement speed +50 for 5s (non-stackable).</t>
  </si>
  <si>
    <t>Laugh Forget Life</t>
  </si>
  <si>
    <t>Passive Skill: During [Saber Mark], critical chance +5%, critical damage +10%.</t>
  </si>
  <si>
    <t>Turbid World Scriptures</t>
  </si>
  <si>
    <t>Passive Skill: Each kill grants [Turbid Intent]: damage +2% per stack (max 3) for 5s.</t>
  </si>
  <si>
    <t>Withered Bone Realm</t>
  </si>
  <si>
    <t>Passive Skill: Enter combat with 3 [Turbid Intent] stacks and 1 [Saber Mark].</t>
  </si>
  <si>
    <t>Great Sorrow Suffering</t>
  </si>
  <si>
    <t>Passive Skill: Increases attack and defense (Affected by Physique, Internal Energy, Strength).</t>
  </si>
  <si>
    <t>Withered Guard Red Plum</t>
  </si>
  <si>
    <t>Passive Skill: Internal energy generation +10%.</t>
  </si>
  <si>
    <t>Hate Man's Obsession</t>
  </si>
  <si>
    <t>Parting Suffering</t>
  </si>
  <si>
    <t>Endless Calamity</t>
  </si>
  <si>
    <t>Passive Skill: Critical damage +10%.</t>
  </si>
  <si>
    <t>Light Parting</t>
  </si>
  <si>
    <t>Active Skill: Movement speed +200 for 10s.</t>
  </si>
  <si>
    <t>Body Fluttering Catkin</t>
  </si>
  <si>
    <t>Passive Skill: Increases stamina cap based on attributes (Affected by Agility).</t>
  </si>
  <si>
    <t>Cart Load Bamboo</t>
  </si>
  <si>
    <t>Passive Skill: Increases max HP based on attributes (Affected by Physique).</t>
  </si>
  <si>
    <t>Wind Shepherds Pine</t>
  </si>
  <si>
    <t>Passive Skill: [Light Farewell] movement speed +50, cooldown -5s.</t>
  </si>
  <si>
    <t>Ascend Tower Pavilion</t>
  </si>
  <si>
    <t>Glance Around Own Shadow</t>
  </si>
  <si>
    <t>Passive Skill: All [Mourning Fan Arts] cooldown -1s.</t>
  </si>
  <si>
    <t>Skim Cold Cypress</t>
  </si>
  <si>
    <t>Sea's Edge Seek This Voice</t>
  </si>
  <si>
    <t>Passive Skill: [Returning Home] gains +1 [Shared Fate] stack every 8s.</t>
  </si>
  <si>
    <t>Cross Sea Stride</t>
  </si>
  <si>
    <t>Passive Skill: Upon entering combat, Agility +2.</t>
  </si>
  <si>
    <t>Sea Vast Both Free</t>
  </si>
  <si>
    <t>Passive Skill: Stamina cap +10.</t>
  </si>
  <si>
    <t>Parting Cannot Seek</t>
  </si>
  <si>
    <t>Passive Skill: [Light Farewell] cooldown -5s, movement speed +50.</t>
  </si>
  <si>
    <t>Sticking Cicada Circle Step</t>
  </si>
  <si>
    <t>Active Skill: Next blocked attack will automatically counter.</t>
  </si>
  <si>
    <t>Sticking Cicada Force</t>
  </si>
  <si>
    <t>Passive Skill: Reduces target's accuracy before being attacked.</t>
  </si>
  <si>
    <t>Long Pavilion Cold</t>
  </si>
  <si>
    <t>Passive Skill: Recovers 2 additional stamina per second.</t>
  </si>
  <si>
    <t>Cry Falcon Mist</t>
  </si>
  <si>
    <t>Passive Skill: [Cicada Stance] cooldown reduced by 5 seconds.</t>
  </si>
  <si>
    <t>Cicada Cry Autumn</t>
  </si>
  <si>
    <t>Passive Skill: Movement speed increased by 100.</t>
  </si>
  <si>
    <t>Wandering Body Step</t>
  </si>
  <si>
    <t>Passive Skill: Stamina cap increased by 10.</t>
  </si>
  <si>
    <t>Day Summer Born</t>
  </si>
  <si>
    <t>Dusk Cicada Moves Skill</t>
  </si>
  <si>
    <t>Passive Skill: Blocking increases HP recovery by 20% for 5 seconds.</t>
  </si>
  <si>
    <t>Roam Cosmos Through Body</t>
  </si>
  <si>
    <t>Passive Skill: Upon entering combat, Agility increased by 2.</t>
  </si>
  <si>
    <t>Cicada Cry Longevity</t>
  </si>
  <si>
    <t>Roam Skill World</t>
  </si>
  <si>
    <t>Rivers Flow Unceasing</t>
  </si>
  <si>
    <t>(Not yet implemented) Backstep cooldown reduced by 1 second.</t>
  </si>
  <si>
    <t>Like Canal Flows Through</t>
  </si>
  <si>
    <t>(Not yet implemented) Increases dodge chance by X + Agility coefficient/level.</t>
  </si>
  <si>
    <t>Water Flow Cloud Scatter</t>
  </si>
  <si>
    <t>(Not yet implemented) Backstep cooldown reduced by 2 seconds.</t>
  </si>
  <si>
    <t>Strike Water Pierces Stone</t>
  </si>
  <si>
    <t>(Not yet implemented) Increases accuracy by X + Agility coefficient/level.</t>
  </si>
  <si>
    <t>Winding Far Mountain Distant</t>
  </si>
  <si>
    <t>(Not yet implemented) Backstep cooldown reduced by 3 seconds.</t>
  </si>
  <si>
    <t>Spring Surge Whirl</t>
  </si>
  <si>
    <t>(Not yet implemented) Passive Skill: Recovers 1 additional stamina per second.</t>
  </si>
  <si>
    <t>Fountain Rush Crown</t>
  </si>
  <si>
    <t>(Not yet implemented) Passive Skill: Stamina cap increased by 10.</t>
  </si>
  <si>
    <t>Yi River Leaves Song</t>
  </si>
  <si>
    <t>(Not yet implemented) Backstep stamina cost reduced by 5.</t>
  </si>
  <si>
    <t>Rushing Spring Surge</t>
  </si>
  <si>
    <t>Jade Skin Ice Bone</t>
  </si>
  <si>
    <t>Active Skill: Gains [Ice Skin] effect: chance to make enemies miss attacks for 10 seconds.</t>
  </si>
  <si>
    <t>Heavy Frost Until Dawn</t>
  </si>
  <si>
    <t>Passive Skill: Increases chance to hit enemies.</t>
  </si>
  <si>
    <t>Luo River Cold</t>
  </si>
  <si>
    <t>Gauze Sleeves Wipe Tears</t>
  </si>
  <si>
    <t>Passive Skill: [Ice Skin] effect's dodge chance increased, cooldown reduced by 5 seconds.</t>
  </si>
  <si>
    <t>Warm Jade Generates Mist</t>
  </si>
  <si>
    <t>Grief Died Foreign Land</t>
  </si>
  <si>
    <t>Passive Skill: [Ice Jade Bones] duration increased by 2 seconds.</t>
  </si>
  <si>
    <t>Divine Sky Veils Light</t>
  </si>
  <si>
    <t>Jade Bird's Shared Cry</t>
  </si>
  <si>
    <t>Passive Skill: When hit during [Ice Jade Bones] effect, recovers 10 stamina.</t>
  </si>
  <si>
    <t>Drifting Dimly Visible</t>
  </si>
  <si>
    <t>Cold Jade Warm</t>
  </si>
  <si>
    <t>Passive Skill: [Ice Jade Bones] cooldown reduced by 5 seconds.</t>
  </si>
  <si>
    <t>Lone Soaring</t>
  </si>
  <si>
    <t>Passive Skill: Stamina cap increased by 10, recovers 2 additional stamina per second.</t>
  </si>
  <si>
    <t>Like Fragrance Past</t>
  </si>
  <si>
    <t>Passive Skill: For every 5% HP lost, movement speed increased by 1% based on attributes.</t>
  </si>
  <si>
    <t>All Fragrances Allow Envy</t>
  </si>
  <si>
    <t>Passive Skill: Movement speed increased by 50.</t>
  </si>
  <si>
    <t>Lone Cold Return</t>
  </si>
  <si>
    <t>Passive Skill: Recovers 1 additional stamina per second.</t>
  </si>
  <si>
    <t>Hidden Fragrance Covers Snow</t>
  </si>
  <si>
    <t>Passive Skill: [Familiar Scent] movement speed threshold reduced by 1%.</t>
  </si>
  <si>
    <t>Cold Plum Adorns Branch</t>
  </si>
  <si>
    <t>Ten Proud Plum Bones</t>
  </si>
  <si>
    <t>Passive Skill: Increases allies' defense by 10%.</t>
  </si>
  <si>
    <t>Dusk Poem Chants Snow</t>
  </si>
  <si>
    <t>Light Ink Washes Inkstone</t>
  </si>
  <si>
    <t>Passive Skill: For each additional enemy beyond your party size, increases external and internal attack by 1% (max 10%).</t>
  </si>
  <si>
    <t>Proud Plum Bone</t>
  </si>
  <si>
    <t>Lone Cold Hidden Fragrance</t>
  </si>
  <si>
    <t>Stark Plum Stealth Comes</t>
  </si>
  <si>
    <t>Armadillo Armor Flip</t>
  </si>
  <si>
    <t>Active Skill: Rolls forward with invincibility like an armadillo.</t>
  </si>
  <si>
    <t>Stacked Soft Quill</t>
  </si>
  <si>
    <t>Passive Skill: Each time hit, reduces [Armadillo Roll] cooldown by 1 second.</t>
  </si>
  <si>
    <t>Armor Scale Guard</t>
  </si>
  <si>
    <t>Break Caves, Demolish Shrines</t>
  </si>
  <si>
    <t>Passive Skill: [Armadillo Roll] cooldown reduced by 5 seconds.</t>
  </si>
  <si>
    <t>Seek Gap Fix Spirit</t>
  </si>
  <si>
    <t>Passive Skill: Movement speed increased by 10.</t>
  </si>
  <si>
    <t>Looping Armadillo Seamless</t>
  </si>
  <si>
    <t>Passive Skill: [Armadillo Roll] applies [Thrift] effect: stamina recovery +2/s for 5 seconds.</t>
  </si>
  <si>
    <t>Pierce Mountain Weave Sea</t>
  </si>
  <si>
    <t>Earth Tyrant Body</t>
  </si>
  <si>
    <t>Passive Skill: After using [Armadillo Roll], gains [Unstoppable] for 3 seconds.</t>
  </si>
  <si>
    <t>Armadillo Form Pierce Stacks</t>
  </si>
  <si>
    <t>Skilled Mechanism Pierce Traverse</t>
  </si>
  <si>
    <t>Armor Endures Eternal</t>
  </si>
  <si>
    <t>Vast Sky Holds Cloud</t>
  </si>
  <si>
    <t>Active Skill: Gains [Soaring Clouds] effect: internal energy generation +20% for 6 seconds.</t>
  </si>
  <si>
    <t>Cloud Coiffure Ladder</t>
  </si>
  <si>
    <t>Grand Harmony Body Wandering</t>
  </si>
  <si>
    <t>Passive Skill: Increases critical chance based on attributes (Affected by Agility).</t>
  </si>
  <si>
    <t>Return to Store Step</t>
  </si>
  <si>
    <t>Passive Skill: [Vast Clouds] cooldown reduced by 5 seconds, after use internal energy generation +5% for 6 seconds.</t>
  </si>
  <si>
    <t>Ascend Clouds Frame</t>
  </si>
  <si>
    <t>Break Cloud Momentum</t>
  </si>
  <si>
    <t>Cycle Begin</t>
  </si>
  <si>
    <t>Repeat Layered Clouds</t>
  </si>
  <si>
    <t>Passive Skill: True Energy cap increased by 2.</t>
  </si>
  <si>
    <t>Gaze Far Ascend Clouds</t>
  </si>
  <si>
    <t>Cloud Ladder Yin Yang</t>
  </si>
  <si>
    <t>Passive Skill: [Great Dao's Beginning] cooldown reduced by 1 second, [Dividing Yin Yang] cooldown reduced by 1 second.</t>
  </si>
  <si>
    <t>Surpass Clouds Return?</t>
  </si>
  <si>
    <t>Passive Skill: [Vast Clouds] cooldown reduced by 5 seconds, after use internal energy generation +10% for 6 seconds.</t>
  </si>
  <si>
    <t>Parted Soul Ghost Fall</t>
  </si>
  <si>
    <t>Active Skill: Jumps to enemy with lowest HP and appears behind them, applying [Stun] while gaining [Soul Separation] effect: defenses +30% for 5 seconds.</t>
  </si>
  <si>
    <t>Shadow Chaos Faded</t>
  </si>
  <si>
    <t>Dawn Withered Gu</t>
  </si>
  <si>
    <t>Passive Skill: Stamina cap increased by 5.</t>
  </si>
  <si>
    <t>Grass Trees Become Soldiers</t>
  </si>
  <si>
    <t>Passive Skill: [Soul Descending] cooldown reduced by 5 seconds.</t>
  </si>
  <si>
    <t>Hunt Kill Without Constancy</t>
  </si>
  <si>
    <t>Devour Bone Suck Marrow</t>
  </si>
  <si>
    <t>Passive Skill: Five Saints martial arts cooldown reduced by 1 second.</t>
  </si>
  <si>
    <t>Hidden Shadow Refine Form</t>
  </si>
  <si>
    <t>Ten Kings Yama</t>
  </si>
  <si>
    <t>Passive Skill: Killing target during [Soul Separation] refreshes current cooldown.</t>
  </si>
  <si>
    <t>Seven Wraiths Support Steps</t>
  </si>
  <si>
    <t>Ghost Soldier Precious Shrine</t>
  </si>
  <si>
    <t>Parted Soul Lead</t>
  </si>
  <si>
    <t>Passive Skill: [Soul Separation] duration increased to 8 seconds.</t>
  </si>
  <si>
    <t>Resting Swallow Ascend Clouds</t>
  </si>
  <si>
    <t>Active Skill: Performs aerial or ground roll to dodge attacks.</t>
  </si>
  <si>
    <t>Sparrow Circle Body</t>
  </si>
  <si>
    <t>Passive Skill: Recovers 3 additional stamina per second.</t>
  </si>
  <si>
    <t>Falcon Eye</t>
  </si>
  <si>
    <t>Passive Skill: Stamina cap increased by 15.</t>
  </si>
  <si>
    <t>Roost Nest</t>
  </si>
  <si>
    <t>Passive Skill: [Resting Swallow] cooldown reduced by 5 seconds.</t>
  </si>
  <si>
    <t>Swallow Treads Cloud</t>
  </si>
  <si>
    <t>Passive Skill: Movement speed increased by 150.</t>
  </si>
  <si>
    <t>Swallow Skims Water</t>
  </si>
  <si>
    <t>Passive Skill: Agility increased by 1.</t>
  </si>
  <si>
    <t>Wing Feathers No Fall</t>
  </si>
  <si>
    <t>Skim Water Floating Duckweed</t>
  </si>
  <si>
    <t>Passive Skill: After [Resting Swallow] roll, gains [Light Swallow] effect: chance to evade attacks for 5 seconds.</t>
  </si>
  <si>
    <t>Stack Swallow</t>
  </si>
  <si>
    <t>Swallow Skill</t>
  </si>
  <si>
    <t>Body Swallow Light Cloud</t>
  </si>
  <si>
    <t>Passive Skill: [Light Swallow] duration increased to 8 seconds.</t>
  </si>
  <si>
    <t>Three Farewells at Yang Pass</t>
  </si>
  <si>
    <t>Active Skill: Gains 1 [Farewell] stack making enemies miss attacks until consumed.</t>
  </si>
  <si>
    <t>Long Pavilion Escort Dusk</t>
  </si>
  <si>
    <t>Passive Skill: When enemies miss attacks, defenses increased by 10% for 10 seconds.</t>
  </si>
  <si>
    <t>Ten Mile Shore</t>
  </si>
  <si>
    <t>Passive Skill: [Burning Seas] has chance to apply [Slow] for 5 seconds.</t>
  </si>
  <si>
    <t>Maple Sun Set</t>
  </si>
  <si>
    <t>Passive Skill: [Three Farewells] cooldown reduced by 5 seconds.</t>
  </si>
  <si>
    <t>Azure Sky Cloud</t>
  </si>
  <si>
    <t>Passive Skill: [Standing at the Cliff] cooldown reduced by 1 second.</t>
  </si>
  <si>
    <t>Frosted Forest</t>
  </si>
  <si>
    <t>Passive Skill: [Oceanview Wave Blade] skills gain +5% critical damage.</t>
  </si>
  <si>
    <t>Wilt Dawn Star</t>
  </si>
  <si>
    <t>Lone Lean Rail</t>
  </si>
  <si>
    <t>Passive Skill: [Three Farewells] cooldown reduced by 5 seconds, external attack +10%.</t>
  </si>
  <si>
    <t>Return Pavilion</t>
  </si>
  <si>
    <t>Distant Remote Red Dust</t>
  </si>
  <si>
    <t>Long Pass Solid Farewell</t>
  </si>
  <si>
    <t>Passive Skill: [Farewell] effect gains +1 stack.</t>
  </si>
  <si>
    <t>Cup Bow Snake Shadow</t>
  </si>
  <si>
    <t>Active Skill: Gains [Burrow] effect allowing underground movement for 5 seconds.</t>
  </si>
  <si>
    <t>Dark Rain Spirit Wind</t>
  </si>
  <si>
    <t>Eight Immortals Miasma</t>
  </si>
  <si>
    <t>Reckless Burrow Tunnel</t>
  </si>
  <si>
    <t>Passive Skill: [Cup Bow Shadow] cooldown reduced by 5 seconds.</t>
  </si>
  <si>
    <t>Azure Scale Bind</t>
  </si>
  <si>
    <t>Passive Skill: Movement speed +150</t>
  </si>
  <si>
    <t>Earth Traveling Immortal</t>
  </si>
  <si>
    <t>Passive Skill: Critical hits increase movement speed by 10% for 5s</t>
  </si>
  <si>
    <t>Golden Flood Dragon Crosses Ridge</t>
  </si>
  <si>
    <t>Passive Skill: [Cup Bow Shadow] cooldown -5s</t>
  </si>
  <si>
    <t>Ba Constrictor Swallows Sky</t>
  </si>
  <si>
    <t>Passive Skill: After exiting [Burrow], gain [Ambush] effect increasing crit chance for 5s</t>
  </si>
  <si>
    <t>Witchcraft Body</t>
  </si>
  <si>
    <t>Passive Skill: Enter combat: Agility +2</t>
  </si>
  <si>
    <t>Serpent Sorcerer's Drink</t>
  </si>
  <si>
    <t>Transform N眉wa Body</t>
  </si>
  <si>
    <t>Passive Skill: Stamina cap +10</t>
  </si>
  <si>
    <t>Tread Waves Generate Dust</t>
  </si>
  <si>
    <t>Active Skill: Gain [Ripple Step] effect making enemies miss attacks for 10s</t>
  </si>
  <si>
    <t>Shoes Sprout Lotus</t>
  </si>
  <si>
    <t>Crush Hard to Soft</t>
  </si>
  <si>
    <t>Passive Skill: Increases attack accuracy</t>
  </si>
  <si>
    <t>Bamboo Silk Orchid Heart</t>
  </si>
  <si>
    <t>Passive Skill: [Ripple Dust] extends [Ripple Step] to 12s, cooldown -5s</t>
  </si>
  <si>
    <t>Jade Pure Pine Steadfast</t>
  </si>
  <si>
    <t>Passive Skill: Agility +2</t>
  </si>
  <si>
    <t>Matchless Elegant Grace</t>
  </si>
  <si>
    <t>Passive Skill: Stamina recovery +2/s</t>
  </si>
  <si>
    <t>Topple Nation Unrivaled</t>
  </si>
  <si>
    <t>Passive Skill: [Ripple Dust] extends [Ripple Step] to 14s, cooldown -5s</t>
  </si>
  <si>
    <t>Golden Branch Jade Leaf</t>
  </si>
  <si>
    <t>Passive Skill: Stamina cap +15</t>
  </si>
  <si>
    <t>Immortal Grace Pure</t>
  </si>
  <si>
    <t>Tread Waves Cold</t>
  </si>
  <si>
    <t>Generate Dust Shared Light</t>
  </si>
  <si>
    <t>Passive Skill: [Ripple Dust] cooldown -5s</t>
  </si>
  <si>
    <t>Purple Crow Cries Moon</t>
  </si>
  <si>
    <t>Active Skill: Gain [Phoenix Cry] effect greatly increasing accuracy for 20s</t>
  </si>
  <si>
    <t>Feather Robe Swan Dress</t>
  </si>
  <si>
    <t>Phoenix Perches Swan Stands</t>
  </si>
  <si>
    <t>Passive Skill: Movement speed +100</t>
  </si>
  <si>
    <t>Flying Swan Prints Snow</t>
  </si>
  <si>
    <t>Passive Skill: [Purple Crow Cries at Moon] accuracy improved, cooldown -5s</t>
  </si>
  <si>
    <t>Black Bird Weeps River</t>
  </si>
  <si>
    <t>Sorrow Phoenix Cries Luan</t>
  </si>
  <si>
    <t>Passive Skill: During [Phoenix Cry], missed attacks grant [Weeping Cry] stacks: +1% attack per stack (max 3) lasting until battle ends</t>
  </si>
  <si>
    <t>Broken Feathers Violent Scales</t>
  </si>
  <si>
    <t>Phoenix Presents Majesty</t>
  </si>
  <si>
    <t>Passive Skill: During [Phoenix Cry], crit chance +5%</t>
  </si>
  <si>
    <t>Leap Mountain Goblin</t>
  </si>
  <si>
    <t>Phoenix Cries Qishan</t>
  </si>
  <si>
    <t>Sun Moon Roar Together</t>
  </si>
  <si>
    <t>Layered Peaks Stacked Ridges</t>
  </si>
  <si>
    <t>Stones Accumulate to Peaks</t>
  </si>
  <si>
    <t>Distant Song Mountain Long</t>
  </si>
  <si>
    <t>Passive Skill: Blocking consumes 1 less stamina</t>
  </si>
  <si>
    <t>Peak Elegant Mountain Bright</t>
  </si>
  <si>
    <t>Passive Skill: [Layered Peaks] stamina cap +2</t>
  </si>
  <si>
    <t>Roots Intertwined Firm</t>
  </si>
  <si>
    <t>Passive Skill: [Stone Accumulation] stamina recovery +3/s</t>
  </si>
  <si>
    <t>Horizontal Peaks Slanted Ridges</t>
  </si>
  <si>
    <t>Thousand Peaks Hundred Barriers</t>
  </si>
  <si>
    <t>Passive Skill: [Layered Peaks] stamina cap +3</t>
  </si>
  <si>
    <t>Mountains Exhaust Waters End</t>
  </si>
  <si>
    <t>Passive Skill: When stamina is depleted, instantly recovers 60</t>
  </si>
  <si>
    <t>Break Stone Seal</t>
  </si>
  <si>
    <t>Mountain Conceal Emerge</t>
  </si>
  <si>
    <t>Passive Skill: [Layered Peaks] stamina cap +10</t>
  </si>
  <si>
    <t>Stone Construct Body</t>
  </si>
  <si>
    <t>Counter Current Chase Wave</t>
  </si>
  <si>
    <t>Active Skill: Slides forward rapidly, stopping if hitting enemies</t>
  </si>
  <si>
    <t>Trace Winding Body</t>
  </si>
  <si>
    <t>Passive Skill: [Against the Current] cooldown -5s</t>
  </si>
  <si>
    <t>Entwined Inverse Body</t>
  </si>
  <si>
    <t>Passive Skill: Applies [Slow] reducing movement speed by 30% for 3s</t>
  </si>
  <si>
    <t>Whetstone Body</t>
  </si>
  <si>
    <t>Torrent Method</t>
  </si>
  <si>
    <t>Establish Body Method</t>
  </si>
  <si>
    <t>Passive Skill: Stamina recovery +3/s</t>
  </si>
  <si>
    <t>Thousand Rivers Hang Waterfall</t>
  </si>
  <si>
    <t>Swirl Vortex Reverse</t>
  </si>
  <si>
    <t>Passive Skill: [Entangling Counter]'s [Slow] becomes [Immobilize] for 3s</t>
  </si>
  <si>
    <t>Surge Reverse Rush</t>
  </si>
  <si>
    <t>Inverse Method Follow Flow</t>
  </si>
  <si>
    <t>Hundred Rivers Strike Stone</t>
  </si>
  <si>
    <t>Passive Skill: [Against the Current] additionally applies [Armor Break]</t>
  </si>
  <si>
    <t>Desert Jade Saddle</t>
  </si>
  <si>
    <t>Active Skill: Restores 30 stamina. For each living enemy, defenses +3%</t>
  </si>
  <si>
    <t>Tread Caltrops</t>
  </si>
  <si>
    <t>Passive Skill: Party stamina cap +10</t>
  </si>
  <si>
    <t>Strike Sharp Division</t>
  </si>
  <si>
    <t>Circle Dragon City</t>
  </si>
  <si>
    <t>Passive Skill: [Desert Jade Saddle] enhanced: additional 10 stamina recovery, defenses +1%, cooldown -5s</t>
  </si>
  <si>
    <t>Rein Hu Horse</t>
  </si>
  <si>
    <t>Passive Skill: [Great Banner Gate] skills gain +5% crit chance</t>
  </si>
  <si>
    <t>Night Cross River</t>
  </si>
  <si>
    <t>Passive Skill: After [Great Banner Gate] critical hits, party gains +10% crit damage for 3s</t>
  </si>
  <si>
    <t>Purge Foe Dust</t>
  </si>
  <si>
    <t>Leave Phoenix Tower</t>
  </si>
  <si>
    <t>Passive Skill: Using [Great Banner Gate] movement skills resets [Qin King Enters Battle] and [Drunken Battlefield] cooldowns</t>
  </si>
  <si>
    <t>Ascend Dragon City</t>
  </si>
  <si>
    <t>Passive Skill: Enter combat: Strength +2</t>
  </si>
  <si>
    <t>Vast Desert Loulan</t>
  </si>
  <si>
    <t>Passive Skill: [Desert Jade Saddle] cooldown -5s</t>
  </si>
  <si>
    <t>Military Formation Killing Array</t>
  </si>
  <si>
    <t>Tread Blood Hidden Flowers</t>
  </si>
  <si>
    <t>Passive Skill: Movement speed +50</t>
  </si>
  <si>
    <t>Flowers Fall Stern Born</t>
  </si>
  <si>
    <t>Passive Skill: Critical chance +5%</t>
  </si>
  <si>
    <t>Evil Chill</t>
  </si>
  <si>
    <t>Passive Skill: Critical hits increase stamina recovery for 10s</t>
  </si>
  <si>
    <t>Trace Markings</t>
  </si>
  <si>
    <t>Passive Skill: Internal defense +5%</t>
  </si>
  <si>
    <t>Hide Forbidden Bone</t>
  </si>
  <si>
    <t>Passive Skill: External defense +5%</t>
  </si>
  <si>
    <t>Drink Cold Blood</t>
  </si>
  <si>
    <t>Passive Skill: Enter combat: lifesteal +10%</t>
  </si>
  <si>
    <t>Bloom Earthly Storage</t>
  </si>
  <si>
    <t>Blade Scar</t>
  </si>
  <si>
    <t>Passive Skill: Each kill grants [Saber Mark]: movement speed +50 for 5s (non-stackable)</t>
  </si>
  <si>
    <t>Return Cold Blade</t>
  </si>
  <si>
    <t>Gaze Distant Blossoms</t>
  </si>
  <si>
    <t>Passive Skill: Critical damage +10%</t>
  </si>
  <si>
    <t>Slaughter Pristine</t>
  </si>
  <si>
    <t>Passive Skill: During [Saber Mark], all damage +5%</t>
  </si>
  <si>
    <t>Pounce Bite</t>
  </si>
  <si>
    <t>Wolf Skill 1</t>
  </si>
  <si>
    <t>Beast Claw</t>
  </si>
  <si>
    <t>Wolf Skill 2</t>
  </si>
  <si>
    <t>Poison Mist</t>
  </si>
  <si>
    <t>Snake Skill 1</t>
  </si>
  <si>
    <t>Block</t>
  </si>
  <si>
    <t>Basic blocking technique that consumes stamina to deflect attacks. Holding block can withstand most frontal attacks. Perfectly timed blocks trigger counters, leaving enemies vulnerable.</t>
  </si>
  <si>
    <t>Dodge</t>
  </si>
  <si>
    <t>Basic dodge technique allowing quick sidesteps with directional input. Can backstep at any time (including during attacks or when hit) to evade.</t>
  </si>
  <si>
    <t>Vertical Leap</t>
  </si>
  <si>
    <t>Basic jump technique. Press jump again mid-air for a double jump.</t>
  </si>
  <si>
    <t>Burst Qi</t>
  </si>
  <si>
    <t>Active Skill: Can be used at any time (including when hit, launched, or CC'd) consuming 10% HP to damage nearby enemies and break free from CC. (Affected by Internal Energy)</t>
  </si>
  <si>
    <t>Front Dodge</t>
  </si>
  <si>
    <t>Rising Technique</t>
  </si>
  <si>
    <t>Exhausted Rising Technique</t>
  </si>
  <si>
    <t>Mountain-Shaking Leap</t>
  </si>
  <si>
    <t>After jumping, press jump again to perform a diving kick that knocks back nearby enemies (ineffective against larger targets).</t>
  </si>
  <si>
    <t>Fist Palm Light Strike I</t>
  </si>
  <si>
    <t>Basic fist martial arts with flowing, powerful strikes. Continuous light attacks chain combos.</t>
  </si>
  <si>
    <t>Fist Palm Light Strike II</t>
  </si>
  <si>
    <t>Fist Palm Light Strike III</t>
  </si>
  <si>
    <t>Fist Palm Light Strike IV</t>
  </si>
  <si>
    <t>Fist Palm Heavy Strike</t>
  </si>
  <si>
    <t>Basic fist heavy attacks with flowing, powerful strikes.</t>
  </si>
  <si>
    <t>Single-Hand Light Blade Light Strike I</t>
  </si>
  <si>
    <t>Basic single light blade techniques with agile, unpredictable movements. Continuous light attacks chain combos.</t>
  </si>
  <si>
    <t>Single-Hand Light Blade Light Strike II</t>
  </si>
  <si>
    <t>Single-Hand Light Blade Light Strike III</t>
  </si>
  <si>
    <t>Single-Hand Light Blade Heavy Strike</t>
  </si>
  <si>
    <t>Basic single light blade heavy attacks with agile, unpredictable movements.</t>
  </si>
  <si>
    <t>Heavy Blade Light Strike I</t>
  </si>
  <si>
    <t>Basic heavy blade techniques with powerful, defensive stances.</t>
  </si>
  <si>
    <t>Heavy Blade Light Strike II</t>
  </si>
  <si>
    <t>Heavy Blade Heavy Strike</t>
  </si>
  <si>
    <t>Basic heavy blade heavy attacks with powerful, defensive stances.</t>
  </si>
  <si>
    <t>Long Weapon Light Strike I</t>
  </si>
  <si>
    <t>Basic polearm techniques with wide, intimidating sweeps. Continuous light attacks chain combos.</t>
  </si>
  <si>
    <t>Long Weapon Light Strike II</t>
  </si>
  <si>
    <t>Long Weapon Light Strike III</t>
  </si>
  <si>
    <t>Long Weapon Heavy Strike</t>
  </si>
  <si>
    <t>Basic polearm heavy attacks with wide, intimidating sweeps.</t>
  </si>
  <si>
    <t>One Leaf Heralds Autumn</t>
  </si>
  <si>
    <t>Heavy attack damage -30% but becomes multi-hit combo (individual hits cannot trigger attack effects).</t>
  </si>
  <si>
    <t>Fan Technique Light Strike I</t>
  </si>
  <si>
    <t>Basic fan techniques with elegant yet deadly movements. Continuous light attacks chain combos.</t>
  </si>
  <si>
    <t>Fan Technique Light Strike II</t>
  </si>
  <si>
    <t>Fan Technique Light Strike III</t>
  </si>
  <si>
    <t>Fan Technique Light Strike IV</t>
  </si>
  <si>
    <t>Fan Technique Heavy Strike</t>
  </si>
  <si>
    <t>Basic fan heavy attacks with elegant yet deadly movements.</t>
  </si>
  <si>
    <t>Hidden Weapon Light Strike I</t>
  </si>
  <si>
    <t>Basic ranged techniques with hidden lethal potential. Continuous light attacks chain combos.</t>
  </si>
  <si>
    <t>Hidden Weapon Light Strike II</t>
  </si>
  <si>
    <t>Hidden Weapon Light Strike III</t>
  </si>
  <si>
    <t>Hidden Weapon Heavy Strike</t>
  </si>
  <si>
    <t>Basic ranged heavy attacks with hidden lethal potential.</t>
  </si>
  <si>
    <t>Leg Light Strike I</t>
  </si>
  <si>
    <t>Basic leg techniques with overwhelming force. Continuous light attacks chain combos.</t>
  </si>
  <si>
    <t>Leg Light Strike II</t>
  </si>
  <si>
    <t>Leg Light Strike III</t>
  </si>
  <si>
    <t>Leg Light Strike IV</t>
  </si>
  <si>
    <t>Leg Heavy Strike</t>
  </si>
  <si>
    <t>Basic leg heavy attacks with overwhelming force.</t>
  </si>
  <si>
    <t>Dual-Hand Light Blade Light Strike I</t>
  </si>
  <si>
    <t>Basic dual light blade techniques distinct from Central Plains styles. Continuous light attacks chain combos.</t>
  </si>
  <si>
    <t>Dual-Hand Light Blade Light Strike II</t>
  </si>
  <si>
    <t>Dual-Hand Light Blade Light Strike III</t>
  </si>
  <si>
    <t>Dual-Hand Light Blade Heavy Strike</t>
  </si>
  <si>
    <t>Basic dual light blade heavy attacks distinct from Central Plains styles.</t>
  </si>
  <si>
    <t>Rope Dart Light Strike I</t>
  </si>
  <si>
    <t>Basic rope dart techniques known for unpredictability. Continuous light attacks chain combos.</t>
  </si>
  <si>
    <t>Rope Dart Light Strike II</t>
  </si>
  <si>
    <t>Rope Dart Light Strike III</t>
  </si>
  <si>
    <t>Rope Dart Heavy Strike</t>
  </si>
  <si>
    <t>Basic rope dart heavy attacks known for unpredictability.</t>
  </si>
  <si>
    <t>Bow Light Strike</t>
  </si>
  <si>
    <t>Basic archery techniques from military formations. Continuous light attacks chain combos.</t>
  </si>
  <si>
    <t>Bow Heavy Strike</t>
  </si>
  <si>
    <t>Basic archery heavy attacks from military formations.</t>
  </si>
  <si>
    <t>Soft Whip Light Strike I</t>
  </si>
  <si>
    <t>Basic whip techniques from Southern borders combining hardness/softness.</t>
  </si>
  <si>
    <t>Soft Whip Light Strike II</t>
  </si>
  <si>
    <t>Soft Whip Light Strike III</t>
  </si>
  <si>
    <t>Soft Whip Heavy Strike</t>
  </si>
  <si>
    <t>Firearm Light Strike</t>
  </si>
  <si>
    <t>Basic firearm techniques from military formations. Continuous light attacks chain combos.</t>
  </si>
  <si>
    <t>Firearm Heavy Strike</t>
  </si>
  <si>
    <t>Basic firearm reloading technique.</t>
  </si>
  <si>
    <t>Short Weapon Light Strike I</t>
  </si>
  <si>
    <t>Basic short weapon techniques with agile, ever-changing movements. Continuous light attacks chain combos.</t>
  </si>
  <si>
    <t>Short Weapon Light Strike II</t>
  </si>
  <si>
    <t>Short Weapon Light Strike III</t>
  </si>
  <si>
    <t>Short Weapon Light Strike IV</t>
  </si>
  <si>
    <t>Short Weapon Heavy Strike</t>
  </si>
  <si>
    <t>Basic short weapon heavy attacks with agile, ever-changing movements.</t>
  </si>
  <si>
    <t>Basic Attack</t>
  </si>
  <si>
    <t>Wolf Normal Attack 2</t>
  </si>
  <si>
    <t>Leap Bite</t>
  </si>
  <si>
    <t>Snake Normal Attack 2</t>
  </si>
  <si>
    <t>Attack</t>
  </si>
  <si>
    <t>Snake Skill 2</t>
  </si>
  <si>
    <t>Bear Normal Attack</t>
  </si>
  <si>
    <t>Toad Normal Attack</t>
  </si>
  <si>
    <t>Gu Man Normal Attack</t>
  </si>
  <si>
    <t>Tiger Normal Attack</t>
  </si>
  <si>
    <t>Spider Normal Attack</t>
  </si>
  <si>
    <t>Scorpion Normal Attack</t>
  </si>
  <si>
    <t>Dog Normal Attack</t>
  </si>
  <si>
    <t>Normal Attack</t>
  </si>
  <si>
    <t>Roar</t>
  </si>
  <si>
    <t>Bear Skill</t>
  </si>
  <si>
    <t>Dog Skill</t>
  </si>
  <si>
    <t>Poison Saliva</t>
  </si>
  <si>
    <t>Toad Skill</t>
  </si>
  <si>
    <t>Gu Man Skill</t>
  </si>
  <si>
    <t>Tiger Skill</t>
  </si>
  <si>
    <t>Spider Skill</t>
  </si>
  <si>
    <t>Scorpion Skill</t>
  </si>
  <si>
    <t>Mountain Entanglement</t>
  </si>
  <si>
    <t>武学id</t>
  </si>
  <si>
    <t>武学名</t>
  </si>
  <si>
    <t>所属门派</t>
  </si>
  <si>
    <t>所属内外攻</t>
  </si>
  <si>
    <t>默认状态</t>
  </si>
  <si>
    <t>各境界等级对应武学（从小到大排列，分号;隔开)</t>
  </si>
  <si>
    <t>通用技能</t>
  </si>
  <si>
    <t>需解锁技能</t>
  </si>
  <si>
    <t>武学描述</t>
  </si>
  <si>
    <t>智力水平对应AI，越前面战斗智力越高</t>
  </si>
  <si>
    <t>开放世界是否开放</t>
  </si>
  <si>
    <t>Aiid</t>
  </si>
  <si>
    <t>AIid2</t>
  </si>
  <si>
    <t>Id</t>
  </si>
  <si>
    <t>tipSect</t>
  </si>
  <si>
    <t>attackType</t>
  </si>
  <si>
    <t>DefatultState</t>
  </si>
  <si>
    <t>Skill</t>
  </si>
  <si>
    <t>NomalSkill</t>
  </si>
  <si>
    <t>lockSkill</t>
  </si>
  <si>
    <t>des</t>
  </si>
  <si>
    <t>icon</t>
  </si>
  <si>
    <t>AIName</t>
  </si>
  <si>
    <r>
      <rPr>
        <sz val="11"/>
        <color theme="1"/>
        <rFont val="宋体"/>
        <family val="3"/>
        <charset val="134"/>
        <scheme val="minor"/>
      </rPr>
      <t>o</t>
    </r>
    <r>
      <rPr>
        <sz val="11"/>
        <color theme="1"/>
        <rFont val="宋体"/>
        <family val="3"/>
        <charset val="134"/>
        <scheme val="minor"/>
      </rPr>
      <t>pen_would</t>
    </r>
  </si>
  <si>
    <t>AI</t>
  </si>
  <si>
    <t>AI2</t>
  </si>
  <si>
    <t>拳掌通式</t>
  </si>
  <si>
    <t>江湖武学</t>
  </si>
  <si>
    <t>quan/Idle3</t>
  </si>
  <si>
    <t>1010001;1010002</t>
  </si>
  <si>
    <t>江湖中流转的拳法武学通用招式。</t>
  </si>
  <si>
    <t>skill/101000</t>
  </si>
  <si>
    <t>AI_quan3_1,AI_quan3_2,AI_quan3_3</t>
  </si>
  <si>
    <t>1010101_1;1010102;1010103_1;1010104;1010105;1010106;1010107;1010108;1010109;1010110;1010111;1010112;1010113</t>
  </si>
  <si>
    <t>拳势如锤，于转折伸缩之间刚柔并济，拆打八方。（影响属性：武力）</t>
  </si>
  <si>
    <t>skill/101001</t>
  </si>
  <si>
    <t>1010201;1010202;1010203;1010204;1010205;1010206;1010207;1010208;1010209;1010210;1010211;1010212;1010213</t>
  </si>
  <si>
    <t>至阳至刚，至横至猛，劲力迅强，有崩铠裂石之威。（影响属性：均衡）</t>
  </si>
  <si>
    <t>skill/101002</t>
  </si>
  <si>
    <t>太和</t>
  </si>
  <si>
    <t>1010301;1010302;1010303;1010304;1010305;1010306;1010307;1010308;1010309;1010310;1010311;1010312;1010313</t>
  </si>
  <si>
    <t>太和正法，真武太极，此拳法不拘门户之见，人人皆可修习，太极拳法自浅入深，以柔克刚，若然悟性心性不够，纵拳法天才亦难全尽其威。（影响属性：内息）</t>
  </si>
  <si>
    <t>skill/101003</t>
  </si>
  <si>
    <t>1010401;1010402;1010403;1010404;1010405;1010406;1010407;1010408;1010409;1010410;1010411;1010412;1010413</t>
  </si>
  <si>
    <t>据传为前朝靖南王所创的神妙武学，非内力盖世者断难修习，倘若练至大成，出手则剑气纵横，能杀人于百步之外。（影响属性：内息）</t>
  </si>
  <si>
    <t>skill/101004</t>
  </si>
  <si>
    <t>单手轻刃通式</t>
  </si>
  <si>
    <t>jian/Idle</t>
  </si>
  <si>
    <t>1020001;1020002</t>
  </si>
  <si>
    <t>江湖中流转的单手轻刃武学通用招式。</t>
  </si>
  <si>
    <t>skill/102000</t>
  </si>
  <si>
    <t>AI_Jian1_1,AI_Jian1_2,AI_Jian1_3</t>
  </si>
  <si>
    <t>1020201_1;1020202;1020203;1020204;1020205;1020206;1020207;1020208;1020209;1020210;1020211;1020212;1020213</t>
  </si>
  <si>
    <t>1020201_2;1020201_3;1020201_2_2</t>
  </si>
  <si>
    <t>惊鸿翩然，飞巧凌击，孤鸿之悲，何问归途，恩仇两别处，破甲三千里。（影响属性：身法）</t>
  </si>
  <si>
    <t>skill/102001</t>
  </si>
  <si>
    <t>jian/Idle2</t>
  </si>
  <si>
    <t>1020301;1020302;1020303;1020304;1020305;1020306;1020307;1020308;1020309;1020310;1020311;1020312;1020313</t>
  </si>
  <si>
    <t>清风快剑，迅疾无形，其势轻灵潇洒，据传由江湖前客江怀楚所创，后江怀楚身死于镇国卫，功法下落不明。（影响属性：身法）</t>
  </si>
  <si>
    <t>skill/102002</t>
  </si>
  <si>
    <t>AI_Jian2_1,AI_Jian2_2,AI_Jian2_3</t>
  </si>
  <si>
    <t>天涯海阁</t>
  </si>
  <si>
    <t>jian/Idle3</t>
  </si>
  <si>
    <t>1020401;1020402;1020403;1020404;1020405;1020406;1020407;1020408;1020409;1020410;1020411;1020412;1020413</t>
  </si>
  <si>
    <t>天涯海阁所传刀法，为天涯海阁门主左三思凭海观澜所创，其势骤烈，似沧海浪涛。（影响属性：武力）</t>
  </si>
  <si>
    <t>skill/102003</t>
  </si>
  <si>
    <t>AI_Jian3_1,AI_Jian3_2,AI_Jian3_3</t>
  </si>
  <si>
    <t>1020501;1020502;1020503;1020504;1020505;1020506;1020507;1020508;1020509;1020510;1020511;1020512;1020513</t>
  </si>
  <si>
    <t>太和剑法，谓阴阳之初分，定化两仪，囊含四宇，至真至纯，为道家剑法真传，其广博精妙，远非寻常江湖招式可比，但若然心性不诚，悟性不足，纵学其剑法之形亦是枉然。（影响属性：内息）</t>
  </si>
  <si>
    <t>skill/102005</t>
  </si>
  <si>
    <t>1020601;1020602;1020603;1020604;1020605;1020606;1020607;1020608;1020609;1020610;1020611;1020612;1020613</t>
  </si>
  <si>
    <t>聚散如浮萍，死生犹幻沫，此剑法据传乃前朝一无名宫宦所创，诡迅凌厉，进退如风。（影响属性：身法）</t>
  </si>
  <si>
    <t>skill/102006</t>
  </si>
  <si>
    <t>大雪山</t>
  </si>
  <si>
    <t>1020701;1020702;1020703;1020704;1020705;1020706;1020707;1020708;1020709;1020710;1020711;1020712;1020713</t>
  </si>
  <si>
    <t>于红梅合天山、少林两派之长创出的刀法，煞气腾腾中不失高妙意境，但其中杀意过重，心志不坚者倘若妄加习练，难免堕入魔道。（影响属性：内息）</t>
  </si>
  <si>
    <t>skill/102007</t>
  </si>
  <si>
    <t>重刃通式</t>
  </si>
  <si>
    <t>zhongren/Idle</t>
  </si>
  <si>
    <t>1030001;1030002</t>
  </si>
  <si>
    <t>skill/103000</t>
  </si>
  <si>
    <t>AI_zhongren_1,AI_zhongren_2,AI_zhongren_3</t>
  </si>
  <si>
    <t>1030101;1030102;1030103;1030104;1030105;1030106;1030107;1030108;1030109;1030110;1030111;1030112;1030113</t>
  </si>
  <si>
    <t>重刃无锋，大巧不工，时名斩铁，以拙胜巧，何须奇技于侧，人剑为一，此身即斩。（影响属性：武力）</t>
  </si>
  <si>
    <t>skill/103001</t>
  </si>
  <si>
    <t>大旗门</t>
  </si>
  <si>
    <t>1030201;1030202;1030203;1030204;1030205;1030206;1030207;1030208;1030209;1030210;1030211;1030212;1030213</t>
  </si>
  <si>
    <t>大旗门所传军阵刀法，运如电掣，势如虎跃龙腾，极尽刚猛，锋刃所向，万敌俯首。（影响属性：武力）</t>
  </si>
  <si>
    <t>skill/103002</t>
  </si>
  <si>
    <t>长兵通式</t>
  </si>
  <si>
    <t>qiangfa/Idle</t>
  </si>
  <si>
    <t>1040001;1040002;1040003</t>
  </si>
  <si>
    <t>江湖中流转的长兵武学，招式大开大合，威势惊人，令人闻之生畏。</t>
  </si>
  <si>
    <t>skill/104000</t>
  </si>
  <si>
    <t>AI_qiangfa2_1,AI_qiangfa2_2,AI_qiangfa2_3</t>
  </si>
  <si>
    <t>1040101;1040102;1040103;1040104;1040105;1040106;1040107;1040108;1040109;1040110;1040111;1040112;1040113</t>
  </si>
  <si>
    <t>1040001;1040002</t>
  </si>
  <si>
    <t>军阵所传枪法，拦扎扫打，有进无退，招式大开大阖，雄浑质朴。（影响属性：身法）</t>
  </si>
  <si>
    <t>skill/104001</t>
  </si>
  <si>
    <t>1040201;1040202;1040203;1040204;1040205;1040206;1040207;1040208;1040209;1040210;1040211;1040212;1040213</t>
  </si>
  <si>
    <t>有轩辕氏，玄血入阵，巡视四方，踏八荒而定九州，此为十方拜服之旌。（影响属性：武力）</t>
  </si>
  <si>
    <t>skill/104002</t>
  </si>
  <si>
    <t>1040301;1040302;1040303;1040304;1040305;1040306;1040307;1040308;1040309;1040310;1040311;1040312;1040313</t>
  </si>
  <si>
    <t>勾栏挂靠，伸缩圈点，明心释性，佛念昭然。（影响属性：筋骨）</t>
  </si>
  <si>
    <t>skill/104003</t>
  </si>
  <si>
    <t>1040401;1040402;1040403;1040404;1040405;1040406;1040407;1040408;1040409;1040410;1040411;1040412;1040413</t>
  </si>
  <si>
    <t>据传乃镇国公所创，威凌八方，枪影蔽日，势如蛟龙出渊，层层叠叠，又如银蛇乱舞，泼水难入。（影响属性：身法）</t>
  </si>
  <si>
    <t>skill/104004</t>
  </si>
  <si>
    <t>扇法通式</t>
  </si>
  <si>
    <t>shanzi/Idle</t>
  </si>
  <si>
    <t>1050001;1050002</t>
  </si>
  <si>
    <t>江湖中流转的扇法武学，招式潇洒灵动，却亦暗藏杀机。</t>
  </si>
  <si>
    <t>skill/105000</t>
  </si>
  <si>
    <t>AI_Shanzi1_1,AI_Shanzi1_2,AI_Shanzi1_3</t>
  </si>
  <si>
    <t>1050101;1050102;1050103;1050104;1050105;1050106;1050107;1050108;1050109;1050110;1050111;1050112;1050113</t>
  </si>
  <si>
    <t>遗响而悲风，遮拦迷眼，文人风骨轻赋，此扇法出自天涯海阁，集百家之长，其式亦隐隐有文章凤姿所在。（影响属性：内息）</t>
  </si>
  <si>
    <t>skill/105001</t>
  </si>
  <si>
    <t>1050201;1050202;1050203;1050204;1050205;1050206;1050207;1050208;1050209;1050210;1050211;1050212;1050213</t>
  </si>
  <si>
    <t>日月两周天，一纸滞途次。此法扇势轻柔，暗藏内劲。身形辗转，飘影绰绰。（影响属性：内息）</t>
  </si>
  <si>
    <t>skill/105002</t>
  </si>
  <si>
    <t>暗器通式</t>
  </si>
  <si>
    <t>anqi/Idle</t>
  </si>
  <si>
    <t>1060001;1060002</t>
  </si>
  <si>
    <t>江湖中流转的暗器武学，其内杀机隐现，至阴至险。</t>
  </si>
  <si>
    <t>skill/106000</t>
  </si>
  <si>
    <t>AI_anqi_1,AI_anqi_2,AI_anqi_3</t>
  </si>
  <si>
    <t>1060101;1060102;1060103;1060104;1060105;1060106;1060107;1060108;1060109;1060110;1060111;1060112;1060113</t>
  </si>
  <si>
    <t>江湖中流转的暗器武学，其内杀机隐现，至阴至险。（影响属性：内息）</t>
  </si>
  <si>
    <t>skill/106001</t>
  </si>
  <si>
    <t>1060201;1060202;1060203;1060204;1060205;1060206;1060207;1060208;1060209;1060210;1060211;1060212;1060213</t>
  </si>
  <si>
    <t>于红梅开辟大雪山门后，观天池落雪所创，手法如羚羊挂角不拘一格，暗器去路极尽刁钻飘忽，防不胜防。（影响属性：内息）</t>
  </si>
  <si>
    <t>skill/106002</t>
  </si>
  <si>
    <t>腿脚通式</t>
  </si>
  <si>
    <t>tui/Idle</t>
  </si>
  <si>
    <t>1090001;1090002</t>
  </si>
  <si>
    <t>江湖中流转的腿法武学通用招式，其势刚劲阳猛。</t>
  </si>
  <si>
    <t>skill/109000</t>
  </si>
  <si>
    <t>AI_tui_1,AI_tui_2,AI_tui_3</t>
  </si>
  <si>
    <t>1090101;1090102;1090103;1090104;1090105;1090106;1090107;1090108;1090109;1090110;1090111;1090112;1090113</t>
  </si>
  <si>
    <t>半梦半醒，破灭颠倒梦想，人笑饮醉狂歌，岂知人世知音，无双降龙，国士之疏狂，当如是也！（影响属性：武力）</t>
  </si>
  <si>
    <t>skill/109001</t>
  </si>
  <si>
    <t>1090201;1090202;1090203;1090204;1090205;1090206;1090207;1090208;1090209;1090210;1090211;1090212;1090213</t>
  </si>
  <si>
    <t>江上双飞鸿，饮啄行相随。迅瞬飘忽，似鸿掠苍穹，无影无形，难觅其迹。（影响属性：武力）</t>
  </si>
  <si>
    <t>skill/109002</t>
  </si>
  <si>
    <t>双手轻刃通式</t>
  </si>
  <si>
    <t>shuangshouqingren/Idle</t>
  </si>
  <si>
    <t>1100001;1100002</t>
  </si>
  <si>
    <t>江湖中流转的双手轻刃武学通用招式，与中原武学迥异。</t>
  </si>
  <si>
    <t>skill/110000</t>
  </si>
  <si>
    <t>AI_shuangshouqingren_1,AI_shuangshouqingren_2,AI_shuangshouqingren_3</t>
  </si>
  <si>
    <t>1100101;1100102;1100103;1100104;1100105;1100106;1100107;1100108;1100109;1100110;1100111;1100112;1100113</t>
  </si>
  <si>
    <t>记载了无心流拔刀术的技巧，其与中原武学迥然不同，除此以外，再无此招式的来历可考。（影响属性：武力）</t>
  </si>
  <si>
    <t>skill/110001</t>
  </si>
  <si>
    <t>1100201;1100202;1100203;1100204;1100205;1100206;1100207;1100208;1100209;1100210;1100211;1100212;1100213</t>
  </si>
  <si>
    <t>本属东瀛剑术，随倭乱传入中原后多经口耳相授，真义渐易，自得异妙。（影响属性：武力）</t>
  </si>
  <si>
    <t>skill/110002</t>
  </si>
  <si>
    <t>1100301;1100302;1100303;1100304;1100305;1100306;1100307;1100308;1100309;1100310;1100311;1100312;1100313</t>
  </si>
  <si>
    <t>自东瀛道场流出的剑术秘本，攻敌所必救、击敌所必破，招数煞气腾腾，迅捷明简。（影响属性：武力）</t>
  </si>
  <si>
    <t>skill/110003</t>
  </si>
  <si>
    <t>1100401;1100402;1100403;1100404;1100405;1100406;1100407;1100408;1100409;1100410;1100411;1100412;1100413</t>
  </si>
  <si>
    <t>自沿海抗倭官军中流传出的军阵刀法，暗含分进合击之法，工正严整，大巧不工。（影响属性：武力）</t>
  </si>
  <si>
    <t>skill/110004</t>
  </si>
  <si>
    <t>绳镖通式</t>
  </si>
  <si>
    <t>shengbiao/Idle</t>
  </si>
  <si>
    <t>1110001;1110002</t>
  </si>
  <si>
    <t>江湖中广为流传的绳镖武学招式，收缚隐蔽，来去自如，令人猝不及防。</t>
  </si>
  <si>
    <t>skill/111000</t>
  </si>
  <si>
    <t>AI_shengbiao_1,AI_shengbiao_2,AI_shengbiao_3</t>
  </si>
  <si>
    <t>1110101;1110102;1110103;1110104;1110105;1110106;1110107;1110108;1110109;1110110;1110111;1110112;1110113</t>
  </si>
  <si>
    <t>流火玄金，破缶裂甲，挥扫崩锤，柔中带刚。（影响属性：武力）</t>
  </si>
  <si>
    <t>skill/111001</t>
  </si>
  <si>
    <t>弓箭通式</t>
  </si>
  <si>
    <t>gongjian/Idle</t>
  </si>
  <si>
    <t>1120001;1120002</t>
  </si>
  <si>
    <t>自行伍中传出的弓箭之术，举止皆蕴肃杀之气。</t>
  </si>
  <si>
    <t>skill/112000</t>
  </si>
  <si>
    <t>AI_gongjian_1,AI_gongjian_2,AI_gongjian_3</t>
  </si>
  <si>
    <t>1120101;1120102;1120103;1120104;1120105;1120106;1120107;1120108;1120109;1120110;1120111;1120112;1120113</t>
  </si>
  <si>
    <t>尽载军阵所传弓弩操持之法，心体之术分而习练，方能百步穿杨，透石没簇。（影响属性：武力）</t>
  </si>
  <si>
    <t>skill/112001</t>
  </si>
  <si>
    <t>软鞭通式</t>
  </si>
  <si>
    <t>ruanbian/Idle</t>
  </si>
  <si>
    <t>1130001;1130002</t>
  </si>
  <si>
    <t>鞭法形刁，诡谲奇异，罕于江湖之中，所习软鞭者无不属天资聪颖之辈。</t>
  </si>
  <si>
    <t>skill/113000</t>
  </si>
  <si>
    <t>AI_huoqiang_1,AI_huoqiang_2,AI_huoqiang_3</t>
  </si>
  <si>
    <t>五圣教</t>
  </si>
  <si>
    <t>1130101;1130102;1130103;1130104;1130105;1130106;1130107;1130108;1130109;1130110;1130111;1130112;1130113</t>
  </si>
  <si>
    <t>蛇，蝎，蟾，蜈，蛛为五圣鳞之灵，辅净蛊锻体，乃五圣教内秘传鞭法。（影响属性：武力）</t>
  </si>
  <si>
    <t>skill/113001</t>
  </si>
  <si>
    <t>1130201;1130202;1130203;1130204;1130205;1130206;1130207;1130208;1130209;1130210;1130211;1130212;1130213</t>
  </si>
  <si>
    <t>百年前江湖奇人所创，招式凌厉翩然，劲力如雷，但若内力不济者强行修习，恐伤己身。（影响属性：武力）</t>
  </si>
  <si>
    <t>skill/113002</t>
  </si>
  <si>
    <t>火器通式</t>
  </si>
  <si>
    <t>huoqiang/Idle</t>
  </si>
  <si>
    <t>1140001;1140002</t>
  </si>
  <si>
    <t>自行伍中传出的火器操练之术，动如雷震。</t>
  </si>
  <si>
    <t>skill/114000</t>
  </si>
  <si>
    <t>1140101;1140102;1140103;1140104;1140105;1140106;1140107;1140108;1140109;1140110;1140111;1140112;1140113</t>
  </si>
  <si>
    <t>西域传入的火器机关详解，内含火器养护、击发、拆解等诸多法门，精奥晦杂，难以言述。（影响属性：武力）</t>
  </si>
  <si>
    <t>skill/114001</t>
  </si>
  <si>
    <t>短兵通式</t>
  </si>
  <si>
    <t>duanbing/Idle</t>
  </si>
  <si>
    <t>1150001;1150002</t>
  </si>
  <si>
    <t>江湖中流传的短兵通式，最擅贴身短打，险中求胜。</t>
  </si>
  <si>
    <t>skill/115000</t>
  </si>
  <si>
    <t>AI_duanbing_1,AI_duanbing_2,AI_duanbing_3</t>
  </si>
  <si>
    <t>1150101;1150102;1150103;1150104;1150105;1150106;1150107;1150108;1150109;1150110;1150111;1150112;1150113</t>
  </si>
  <si>
    <t>五圣教秘传，专擅贴身短打，近斗搏杀，观势如情人悱恻，诡雅难明，然却阴狠莫辨，凶毒至极。（影响属性：内息）</t>
  </si>
  <si>
    <t>skill/115001</t>
  </si>
  <si>
    <t>1150201;1150202;1150203;1150204;1150205;1150206;1150207;1150208;1150209;1150210;1150211;1150212;1150213</t>
  </si>
  <si>
    <t>残月出门时，美人和泪辞。如月隐云，如云遮月，势如天华骤现，令敌骨血彻寒。（影响属性：内息）</t>
  </si>
  <si>
    <t>skill/115002</t>
  </si>
  <si>
    <t>混合武学,自由搭配</t>
  </si>
  <si>
    <t>skill/199099</t>
  </si>
  <si>
    <t>2010101;2010102;2010103;2010104;2010105;2010106;2010107;2010108;2010109;2010110;2010111</t>
  </si>
  <si>
    <t>天涯海阁所传内功，据传为百十年前，一无名老者路途径三生石处所遗，其内招式浩然广博，深妙无穷。</t>
  </si>
  <si>
    <t>skill/201001</t>
  </si>
  <si>
    <t>2010201;2010202;2010203;2010204;2010205;2010206;2010207;2010208;2010209;2010210;2010211</t>
  </si>
  <si>
    <t>自河图洛书残篇之上衍化而出，奇诡怪诞，更兼残暴嗜虐，修习此术者无一善终。</t>
  </si>
  <si>
    <t>skill/201002</t>
  </si>
  <si>
    <t>2010301;2010302;2010303;2010304;2010305;2010306;2010307;2010308;2010309;2010310;2010311</t>
  </si>
  <si>
    <t>暇璧珠碎，连珏不破，其中所载心法至刚若柔，妙用无穷。</t>
  </si>
  <si>
    <t>skill/201003</t>
  </si>
  <si>
    <t>2010401;2010402;2010403;2010404;2010405;2010406;2010407;2010408;2010409;2010410;2010411</t>
  </si>
  <si>
    <t>据传是先古时期苗祖所创修习之法，其内法门多反其中原之道而行之，颇为玄异。</t>
  </si>
  <si>
    <t>skill/201004</t>
  </si>
  <si>
    <t>2010501;2010502;2010503;2010504;2010505;2010506;2010507;2010508;2010509;2010510;2010511</t>
  </si>
  <si>
    <t>神狩四年，刀祖于红梅叛出少林后独创此法：有德而性骄慢，受教而不改执，闻法而不能悟，是为修罗。</t>
  </si>
  <si>
    <t>skill/201005</t>
  </si>
  <si>
    <t>2010601;2010602;2010603;2010604;2010605;2010606;2010607;2010608;2010609;2010610;2010611</t>
  </si>
  <si>
    <t>太素之问无觅，医者之道独行，此灵枢一篇，悬壶济世，仅此便足。</t>
  </si>
  <si>
    <t>skill/201006</t>
  </si>
  <si>
    <t>2010701;2010702;2010703;2010704;2010705;2010706;2010707;2010708;2010709;2010710;2010711</t>
  </si>
  <si>
    <t>太和山秘传真法，位析乾坤，朴分呈瑞，法门由浅入深，实乃玄门正宗。</t>
  </si>
  <si>
    <t>skill/201007</t>
  </si>
  <si>
    <t>2010801;2010802;2010803;2010804;2010805;2010806;2010807;2010808;2010809;2010810;2010811</t>
  </si>
  <si>
    <t>悟玄可通明，悟理方参契，此上心决古朴难明，似与昆仑天池隐有关联。</t>
  </si>
  <si>
    <t>skill/201008</t>
  </si>
  <si>
    <t>2010901;2010902;2010903;2010904;2010905;2010906;2010907;2010908;2010909;2010910;2010911</t>
  </si>
  <si>
    <t>吸星而吞宇，噬寰而堙尘，此式霸道冠绝天下，远非寻常武学可比，但因其威势过烈，非大毅力之人难习至巅峰。</t>
  </si>
  <si>
    <t>skill/201009</t>
  </si>
  <si>
    <t>2011001;2011002;2011003;2011004;2011005;2011006;2011007;2011008;2011009;2011010;2011011</t>
  </si>
  <si>
    <t>湘妃洒泪成竹，流水无心葬兰，此书所载，既为武学，又似诗篇，其中悲切之意，难堪再语。</t>
  </si>
  <si>
    <t>skill/201010</t>
  </si>
  <si>
    <t>2011101;2011102;2011103;2011104;2011105;2011106;2011107;2011108;2011109;2011110;2011111</t>
  </si>
  <si>
    <t>世所罕见的内功心法，运使若朝霞漫天，云野四盖，紫气至处，万化皆消。</t>
  </si>
  <si>
    <t>skill/201011</t>
  </si>
  <si>
    <t>2011201;2011202;2011203;2011204;2011205;2011206;2011207;2011208;2011209;2011210;2011211</t>
  </si>
  <si>
    <t>佛门正宗，浩瀚磅礴，倘若发功呼啸，雷音滚滚，令敌肝胆俱裂，不战而溃。</t>
  </si>
  <si>
    <t>skill/201012</t>
  </si>
  <si>
    <t>2011301;2011302;2011303;2011304;2011305;2011306;2011307;2011308;2011309;2011310;2011311</t>
  </si>
  <si>
    <t>两禅寺新立，诸式流出，此心法亦是在少林分立之乱中传至江湖，后不知所踪，终不为人知。</t>
  </si>
  <si>
    <t>skill/201013</t>
  </si>
  <si>
    <t>2011401;2011402;2011403;2011404;2011405;2011406;2011407;2011408;2011409;2011410;2011411</t>
  </si>
  <si>
    <t>梦冷通仙阙，神融合太虚，据传乃太和道祖羽化所遗，与诸多修习之法迥异，讲求清净自然，顿悟登仙，唯悟性奇高者方可修习。</t>
  </si>
  <si>
    <t>skill/201014</t>
  </si>
  <si>
    <t>2011501;2011502;2011503;2011504;2011505;2011506;2011507;2011508;2011509;2011510;2011511</t>
  </si>
  <si>
    <t>刚猛横练，锻骨炼血，大成者真气沛然雄浑游走周身，断骨而不痛，浴血而不死，无惧者，无敌也。</t>
  </si>
  <si>
    <t>skill/201015</t>
  </si>
  <si>
    <t>2011601;2011602;2011603;2011604;2011605;2011606;2011607;2011608;2011609;2011610;2011611</t>
  </si>
  <si>
    <t>据传此法乃前朝医道圣手所遗，其间所载经脉医理高深晦涩，以之入武，亦有独到之处。</t>
  </si>
  <si>
    <t>skill/201016</t>
  </si>
  <si>
    <t>2011701;2011702;2011703;2011704;2011705;2011706;2011707;2011708;2011709;2011710;2011711</t>
  </si>
  <si>
    <t>苗疆独有心法，大成者顾盼生魅，不施刀兵便能乱人心神，是正是邪，犹未可知。</t>
  </si>
  <si>
    <t>skill/201017</t>
  </si>
  <si>
    <t>2011801;2011802;2011803;2011804;2011805;2011806;2011807;2011808;2011809;2011810;2011811</t>
  </si>
  <si>
    <t>尧九年支祈为孽，应龙驱之淮阳山足下，其怨动山荡海。</t>
  </si>
  <si>
    <t>skill/201018</t>
  </si>
  <si>
    <t>2011901;2011902;2011903;2011904;2011905;2011906;2011907;2011908;2011909;2011910;2011911</t>
  </si>
  <si>
    <t>借七脉之煞铸金铁之躯，大旗门外家功法，大成者筋骨凝实，刀枪难伤，有万夫莫敌之威。</t>
  </si>
  <si>
    <t>skill/201019</t>
  </si>
  <si>
    <t>2012001;2012002;2012003;2012004;2012005;2012006;2012007;2012008;2012009;2012010;2012011</t>
  </si>
  <si>
    <t>于红梅集少林、天山两派内功之长所创，虽霸道绝伦，威力无穷，但其中暗藏无穷杀意，非心如明镜者难窥其中真意。</t>
  </si>
  <si>
    <t>skill/201020</t>
  </si>
  <si>
    <t>3010101;3010102;3010103;3010104;3010105;3010106;3010107;3010108;3010109;3010110;3010111</t>
  </si>
  <si>
    <t>踏阁而步海，卧行而凌空，天涯海阁所传步法，潇洒灵动，独有文生气象。</t>
  </si>
  <si>
    <t>skill/301001</t>
  </si>
  <si>
    <t>3010201;3010202;3010203;3010204;3010205;3010206;3010207;3010208;3010209;3010210;3010211</t>
  </si>
  <si>
    <t>出自八卦的步法，行如游身，又谓游身八卦形，据传可八步黏蝉，不落身形。</t>
  </si>
  <si>
    <t>skill/301002</t>
  </si>
  <si>
    <t>3010301;3010302;3010303;3010304;3010305;3010306;3010307;3010308;3010309;3010310;3010311</t>
  </si>
  <si>
    <t>如水如势，无常无行，其身法似洄流奔水，反复莫测，其所创之出处已不可考。</t>
  </si>
  <si>
    <t>skill/301003</t>
  </si>
  <si>
    <t>3010401;3010402;3010403;3010404;3010405;3010406;3010407;3010408;3010409;3010410;3010411</t>
  </si>
  <si>
    <t>传闻有神女，轻移莲步，其姿轻盈，其法玄妙。</t>
  </si>
  <si>
    <t>skill/301004</t>
  </si>
  <si>
    <t>3010501;3010502;3010503;3010504;3010505;3010506;3010507;3010508;3010509;3010510;3010511</t>
  </si>
  <si>
    <t>步伐取自梅花寒香之意，独寒独蕴，实为江湖内不可多见之运步巧术。</t>
  </si>
  <si>
    <t>skill/301005</t>
  </si>
  <si>
    <t>3010601;3010602;3010603;3010604;3010605;3010606;3010607;3010608;3010609;3010610;3010611</t>
  </si>
  <si>
    <t>此术来源已不可追，其以犰狳之形入武，穿纵滚翻，攻敌之不备，避寻常招式所不可避。</t>
  </si>
  <si>
    <t>skill/301006</t>
  </si>
  <si>
    <t>3010701;3010702;3010703;3010704;3010705;3010706;3010707;3010708;3010709;3010710;3010711</t>
  </si>
  <si>
    <t>梯云而登青天，渺目浮云，可望得道之一字？</t>
  </si>
  <si>
    <t>skill/301007</t>
  </si>
  <si>
    <t>3010801;3010802;3010803;3010804;3010805;3010806;3010807;3010808;3010809;3010810;3010811</t>
  </si>
  <si>
    <t>十步杀一人，千里不留行，魍魉魑魅，步诡踏血。</t>
  </si>
  <si>
    <t>skill/301008</t>
  </si>
  <si>
    <t>3010901;3010902;3010903;3010904;3010905;3010906;3010907;3010908;3010909;3010910;3010911</t>
  </si>
  <si>
    <t>穿纵之燕，步身合一，纤巧破云，另有诸般变化寓中。</t>
  </si>
  <si>
    <t>skill/301009</t>
  </si>
  <si>
    <t>3011001;3011002;3011003;3011004;3011005;3011006;3011007;3011008;3011009;3011010;3011011</t>
  </si>
  <si>
    <t>长亭古道，故乡月明俱远寄，人无归还，此情何书？</t>
  </si>
  <si>
    <t>skill/301010</t>
  </si>
  <si>
    <t>3011201;3011202;3011203;3011204;3011205;3011206;3011207;3011208;3011209;3011210;3011211</t>
  </si>
  <si>
    <t>凌波微步，罗袜生尘，飘摇若雪，舞如仙骥。</t>
  </si>
  <si>
    <t>skill/301011</t>
  </si>
  <si>
    <t>3011101;3011102;3011103;3011104;3011105;3011106;3011107;3011108;3011109;3011110;3011111</t>
  </si>
  <si>
    <t>静若银蛟拦山，动如金蟒断江，五圣教独有腾挪身法，与中原武学迥异。</t>
  </si>
  <si>
    <t>skill/301012</t>
  </si>
  <si>
    <t>3011301;3011302;3011303;3011304;3011305;3011306;3011307;3011308;3011309;3011310;3011311</t>
  </si>
  <si>
    <t>玄鸟初归去，宾鸿属仲秋，此法腾挪如风，矫若鹏腾，飘逸灵动之间，不失潇洒。</t>
  </si>
  <si>
    <t>skill/301013</t>
  </si>
  <si>
    <t>3011401;3011402;3011403;3011404;3011405;3011406;3011407;3011408;3011409;3011410;3011411</t>
  </si>
  <si>
    <t>硬桥硬马的外门身法，取步履撼山，震震有声之意。</t>
  </si>
  <si>
    <t>skill/301014</t>
  </si>
  <si>
    <t>3011501;3011502;3011503;3011504;3011505;3011506;3011507;3011508;3011509;3011510;3011511</t>
  </si>
  <si>
    <t>习武修身，若逆水而行，此身既至，何不逆流击水？</t>
  </si>
  <si>
    <t>skill/301015</t>
  </si>
  <si>
    <t>3011601;3011602;3011603;3011604;3011605;3011606;3011607;3011608;3011609;3011610;3011611</t>
  </si>
  <si>
    <t>轻盈若疾风掠影，雄浑若恶虎踱山，稳中多变，硬桥硬马，可于方寸之地辗转腾挪，又可快逾奔马，星驰电掣。</t>
  </si>
  <si>
    <t>skill/301016</t>
  </si>
  <si>
    <t>3011701;3011702;3011703;3011704;3011705;3011706;3011707;3011708;3011709;3011710;3011711</t>
  </si>
  <si>
    <t>于红梅独创身法，诡谲难测，踏雪无痕，过水无波。</t>
  </si>
  <si>
    <t>skill/301017</t>
  </si>
  <si>
    <t>lang/Idle</t>
  </si>
  <si>
    <t>5210001;5210002</t>
  </si>
  <si>
    <t>狼牙撕咬，虽钻心刻骨，却并无技巧可言。</t>
  </si>
  <si>
    <t>skill/501001</t>
  </si>
  <si>
    <t>AI_lang_1,AI_lang_2,AI_lang_3</t>
  </si>
  <si>
    <t>she/Idle</t>
  </si>
  <si>
    <t>毒牙撕咬，内含剧毒，虽钻心刻骨，却并无技巧可言。</t>
  </si>
  <si>
    <t>skill/501002</t>
  </si>
  <si>
    <t>AI_she_1,AI_she_2,AI_she_3</t>
  </si>
  <si>
    <t>动物内功</t>
  </si>
  <si>
    <t>动物轻功</t>
  </si>
  <si>
    <t>蛊人攻击</t>
  </si>
  <si>
    <t>guren/Idle</t>
  </si>
  <si>
    <t>skill/501005</t>
  </si>
  <si>
    <t>xiong/Idle</t>
  </si>
  <si>
    <t>AI_xiong_1,AI_xiong_2,AI_xiong_3</t>
  </si>
  <si>
    <t>mojiajiawei jinzhan/Idle</t>
  </si>
  <si>
    <t>dashe/Idle</t>
  </si>
  <si>
    <t>蟾蜍</t>
  </si>
  <si>
    <t>canchu/Idle</t>
  </si>
  <si>
    <t>黄狗</t>
  </si>
  <si>
    <t>baigou/Idle</t>
  </si>
  <si>
    <t>zhizhu/Idle</t>
  </si>
  <si>
    <t>老虎</t>
  </si>
  <si>
    <t>laohu/Idle</t>
  </si>
  <si>
    <t>xiezi/Idle</t>
  </si>
  <si>
    <t>wugong/Idle</t>
  </si>
  <si>
    <t>mojiajiawei _yuancheng/Idle</t>
  </si>
  <si>
    <t>江湖中的纵跃法，双足鼎力，向上纵跃。</t>
  </si>
  <si>
    <t>skill/900000</t>
  </si>
  <si>
    <t>Fist/Palm Basic Moves</t>
  </si>
  <si>
    <t>The universally practiced fist techniques and martial arts moves circulating in the martial world.</t>
  </si>
  <si>
    <t>Thousand Forged Fist Stance</t>
  </si>
  <si>
    <t>Fist strikes like a hammer, balancing hardness and softness in transitions and extensions, dismantling attacks from all directions. (Affected Attribute: Strength)</t>
  </si>
  <si>
    <t>Sun Suppressing Stone-Splitting Fist</t>
  </si>
  <si>
    <t>Utmost yang, utmost firmness, utmost dominance, utmost ferocity—its explosive power is swift and mighty, capable of shattering armor and splitting stone. (Affected Attribute: Balance)</t>
  </si>
  <si>
    <t>Taiji Fist</t>
  </si>
  <si>
    <t>The Great Harmony’s Righteous Method, the True Martial Tai Chi—this fist technique transcends sectarian biases, allowing anyone to practice it. The Tai Chi fist technique progresses from shallow to profound, using softness to overcome hardness. However, if one lacks sufficient insight and temperament, even a genius in fist techniques may fail to unleash its full might. (Affected Attribute: Inner Energy)</t>
  </si>
  <si>
    <t>Divine Sword Finger</t>
  </si>
  <si>
    <t>Rumored to be a divine martial art created by the former Prince Jingnan of the previous dynasty, none but those with peerless internal strength can hope to master it. If cultivated to perfection, one’s strikes unleash crisscrossing sword energy, capable of killing enemies from a hundred paces away. (Affected Attribute: Inner Energy)</t>
  </si>
  <si>
    <t>Single Light Blade Basic Moves</t>
  </si>
  <si>
    <t>The universally practiced single-handed light-blade martial arts moves circulating in the martial world.</t>
  </si>
  <si>
    <t>Soaring Swan Sword Stance</t>
  </si>
  <si>
    <r>
      <rPr>
        <sz val="12"/>
        <color theme="1"/>
        <rFont val="Segoe UI"/>
        <family val="2"/>
      </rPr>
      <t>Swift as a Lone Swan​</t>
    </r>
    <r>
      <rPr>
        <sz val="12"/>
        <color theme="1"/>
        <rFont val="Segoe UI"/>
        <family val="2"/>
      </rPr>
      <t>​ – Graceful yet deadly, striking with precision, carrying the sorrow of a solitary swan. No need to ask the way home—parting with both gratitude and grudges, it pierces through armor for a thousand miles.</t>
    </r>
    <r>
      <rPr>
        <sz val="12"/>
        <color theme="1"/>
        <rFont val="Segoe UI"/>
        <family val="2"/>
      </rPr>
      <t> </t>
    </r>
    <r>
      <rPr>
        <i/>
        <sz val="12"/>
        <color theme="1"/>
        <rFont val="Segoe UI"/>
        <family val="2"/>
      </rPr>
      <t>(Affected Attribute: Agility)</t>
    </r>
  </si>
  <si>
    <t>Breeze Sword Technique</t>
  </si>
  <si>
    <r>
      <rPr>
        <sz val="12"/>
        <color theme="1"/>
        <rFont val="Segoe UI"/>
        <family val="2"/>
      </rPr>
      <t>​</t>
    </r>
    <r>
      <rPr>
        <sz val="12"/>
        <color theme="1"/>
        <rFont val="Segoe UI"/>
        <family val="2"/>
      </rPr>
      <t>​Breeze Swift Sword​</t>
    </r>
    <r>
      <rPr>
        <sz val="12"/>
        <color theme="1"/>
        <rFont val="Segoe UI"/>
        <family val="2"/>
      </rPr>
      <t>​ – Fast as the wind, formless and ethereal, its movements light and unrestrained. Rumored to be created by the wandering swordsman Jiang Huaichu, who later perished at the hands of the Imperial Guards, leaving the technique lost to time.</t>
    </r>
    <r>
      <rPr>
        <sz val="12"/>
        <color theme="1"/>
        <rFont val="Segoe UI"/>
        <family val="2"/>
      </rPr>
      <t> </t>
    </r>
    <r>
      <rPr>
        <i/>
        <sz val="12"/>
        <color theme="1"/>
        <rFont val="Segoe UI"/>
        <family val="2"/>
      </rPr>
      <t>(Affected Attribute: Agility)</t>
    </r>
  </si>
  <si>
    <t>Oceanview Wave Blade Technique</t>
  </si>
  <si>
    <r>
      <rPr>
        <sz val="12"/>
        <color theme="1"/>
        <rFont val="Segoe UI"/>
        <family val="2"/>
      </rPr>
      <t>​</t>
    </r>
    <r>
      <rPr>
        <sz val="12"/>
        <color theme="1"/>
        <rFont val="Segoe UI"/>
        <family val="2"/>
      </rPr>
      <t>​Blade of the Horizon Pavilion​</t>
    </r>
    <r>
      <rPr>
        <sz val="12"/>
        <color theme="1"/>
        <rFont val="Segoe UI"/>
        <family val="2"/>
      </rPr>
      <t>​ – A saber art passed down by the Horizon Pavilion, devised by its master, Zuo Sansi, while contemplating the ocean’s waves. Its force is sudden and violent, like the raging tides of the sea.</t>
    </r>
    <r>
      <rPr>
        <sz val="12"/>
        <color theme="1"/>
        <rFont val="Segoe UI"/>
        <family val="2"/>
      </rPr>
      <t> </t>
    </r>
    <r>
      <rPr>
        <i/>
        <sz val="12"/>
        <color theme="1"/>
        <rFont val="Segoe UI"/>
        <family val="2"/>
      </rPr>
      <t>(Affected Attribute: Strength)</t>
    </r>
  </si>
  <si>
    <t>Dual Principles Sword Technique</t>
  </si>
  <si>
    <r>
      <rPr>
        <sz val="12"/>
        <color theme="1"/>
        <rFont val="Segoe UI"/>
        <family val="2"/>
      </rPr>
      <t>​</t>
    </r>
    <r>
      <rPr>
        <sz val="12"/>
        <color theme="1"/>
        <rFont val="Segoe UI"/>
        <family val="2"/>
      </rPr>
      <t>​Great Harmony Swordplay​</t>
    </r>
    <r>
      <rPr>
        <sz val="12"/>
        <color theme="1"/>
        <rFont val="Segoe UI"/>
        <family val="2"/>
      </rPr>
      <t>​ – Said to embody the division of Yin and Yang, shaping the duality of existence, encompassing the vastness of the cosmos. The purest of Daoist sword arts, its depth and sophistication far surpass ordinary martial techniques. Yet, without sincerity and enlightenment, mastering its form is futile.</t>
    </r>
    <r>
      <rPr>
        <sz val="12"/>
        <color theme="1"/>
        <rFont val="Segoe UI"/>
        <family val="2"/>
      </rPr>
      <t> </t>
    </r>
    <r>
      <rPr>
        <i/>
        <sz val="12"/>
        <color theme="1"/>
        <rFont val="Segoe UI"/>
        <family val="2"/>
      </rPr>
      <t>(Affected Attribute: Inner Energy)</t>
    </r>
  </si>
  <si>
    <t>Duckweed Sword Formula</t>
  </si>
  <si>
    <r>
      <rPr>
        <sz val="12"/>
        <color theme="1"/>
        <rFont val="Segoe UI"/>
        <family val="2"/>
      </rPr>
      <t>​</t>
    </r>
    <r>
      <rPr>
        <sz val="12"/>
        <color theme="1"/>
        <rFont val="Segoe UI"/>
        <family val="2"/>
      </rPr>
      <t>​Drifting Duckweed Sword​</t>
    </r>
    <r>
      <rPr>
        <sz val="12"/>
        <color theme="1"/>
        <rFont val="Segoe UI"/>
        <family val="2"/>
      </rPr>
      <t>​ – Gathering and scattering like floating duckweed, life and death as fleeting as foam. This sword art is said to have been created by an unknown eunuch of the previous dynasty—swift, elusive, and fierce, advancing and retreating like the wind.</t>
    </r>
    <r>
      <rPr>
        <sz val="12"/>
        <color theme="1"/>
        <rFont val="Segoe UI"/>
        <family val="2"/>
      </rPr>
      <t> </t>
    </r>
    <r>
      <rPr>
        <i/>
        <sz val="12"/>
        <color theme="1"/>
        <rFont val="Segoe UI"/>
        <family val="2"/>
      </rPr>
      <t>(Affected Attribute: Agility)</t>
    </r>
  </si>
  <si>
    <t>Twig-Plucking Plum Seeking</t>
  </si>
  <si>
    <r>
      <rPr>
        <sz val="12"/>
        <color theme="1"/>
        <rFont val="Segoe UI"/>
        <family val="2"/>
      </rPr>
      <t>​</t>
    </r>
    <r>
      <rPr>
        <sz val="12"/>
        <color theme="1"/>
        <rFont val="Segoe UI"/>
        <family val="2"/>
      </rPr>
      <t>​Crimson Plum Saber Technique​</t>
    </r>
    <r>
      <rPr>
        <sz val="12"/>
        <color theme="1"/>
        <rFont val="Segoe UI"/>
        <family val="2"/>
      </rPr>
      <t>​ – A blade art forged by Yu Hongmei, merging the strengths of the Tianshan and Shaolin schools. Though brimming with baleful energy, it retains profound elegance. However, its overwhelming killing intent can lead the weak-willed astray into demonic paths.</t>
    </r>
    <r>
      <rPr>
        <sz val="12"/>
        <color theme="1"/>
        <rFont val="Segoe UI"/>
        <family val="2"/>
      </rPr>
      <t> </t>
    </r>
    <r>
      <rPr>
        <i/>
        <sz val="12"/>
        <color theme="1"/>
        <rFont val="Segoe UI"/>
        <family val="2"/>
      </rPr>
      <t>(Affected Attribute: Inner Energy)</t>
    </r>
  </si>
  <si>
    <t>Heavy Blade Basic Moves</t>
  </si>
  <si>
    <r>
      <rPr>
        <sz val="12"/>
        <color theme="1"/>
        <rFont val="Segoe UI"/>
        <family val="2"/>
      </rPr>
      <t>​</t>
    </r>
    <r>
      <rPr>
        <sz val="12"/>
        <color theme="1"/>
        <rFont val="Segoe UI"/>
        <family val="2"/>
      </rPr>
      <t>​Heavy-Blade Martial Arts​</t>
    </r>
    <r>
      <rPr>
        <sz val="12"/>
        <color theme="1"/>
        <rFont val="Segoe UI"/>
        <family val="2"/>
      </rPr>
      <t>​ – Moves that seal and strike with the weight of a thousand jun.</t>
    </r>
  </si>
  <si>
    <t>Iron-Cutting Blunt Edge Scroll</t>
  </si>
  <si>
    <r>
      <rPr>
        <sz val="12"/>
        <color theme="1"/>
        <rFont val="Segoe UI"/>
        <family val="2"/>
      </rPr>
      <t>​</t>
    </r>
    <r>
      <rPr>
        <sz val="12"/>
        <color theme="1"/>
        <rFont val="Segoe UI"/>
        <family val="2"/>
      </rPr>
      <t>​Unsharpened Heavy Blade​</t>
    </r>
    <r>
      <rPr>
        <sz val="12"/>
        <color theme="1"/>
        <rFont val="Segoe UI"/>
        <family val="2"/>
      </rPr>
      <t>​ – "The greatest skill seems unskilled." Known as Iron-Cleaver, it triumphs over finesse with simplicity—no need for flashy techniques, for the wielder and blade become one, and the body itself is the strike.</t>
    </r>
    <r>
      <rPr>
        <sz val="12"/>
        <color theme="1"/>
        <rFont val="Segoe UI"/>
        <family val="2"/>
      </rPr>
      <t> </t>
    </r>
    <r>
      <rPr>
        <i/>
        <sz val="12"/>
        <color theme="1"/>
        <rFont val="Segoe UI"/>
        <family val="2"/>
      </rPr>
      <t>(Affected Attribute: Strength)</t>
    </r>
  </si>
  <si>
    <t>Drunken Lord Saber Inscription</t>
  </si>
  <si>
    <r>
      <rPr>
        <sz val="12"/>
        <color theme="1"/>
        <rFont val="Segoe UI"/>
        <family val="2"/>
      </rPr>
      <t>​</t>
    </r>
    <r>
      <rPr>
        <sz val="12"/>
        <color theme="1"/>
        <rFont val="Segoe UI"/>
        <family val="2"/>
      </rPr>
      <t>​Great Banner Army Saber​</t>
    </r>
    <r>
      <rPr>
        <sz val="12"/>
        <color theme="1"/>
        <rFont val="Segoe UI"/>
        <family val="2"/>
      </rPr>
      <t>​ – A military saber technique passed down by the Great Banner Sect. Swift as lightning, fierce as a leaping tiger or soaring dragon—utterly domineering, its edge commands the surrender of ten thousand foes.</t>
    </r>
    <r>
      <rPr>
        <sz val="12"/>
        <color theme="1"/>
        <rFont val="Segoe UI"/>
        <family val="2"/>
      </rPr>
      <t> </t>
    </r>
    <r>
      <rPr>
        <i/>
        <sz val="12"/>
        <color theme="1"/>
        <rFont val="Segoe UI"/>
        <family val="2"/>
      </rPr>
      <t>(Affected Attribute: Strength)</t>
    </r>
  </si>
  <si>
    <t>Polearm Basic Moves</t>
  </si>
  <si>
    <r>
      <rPr>
        <sz val="12"/>
        <color theme="1"/>
        <rFont val="Segoe UI"/>
        <family val="2"/>
      </rPr>
      <t>​</t>
    </r>
    <r>
      <rPr>
        <sz val="12"/>
        <color theme="1"/>
        <rFont val="Segoe UI"/>
        <family val="2"/>
      </rPr>
      <t>​Polearm Martial Arts​</t>
    </r>
    <r>
      <rPr>
        <sz val="12"/>
        <color theme="1"/>
        <rFont val="Segoe UI"/>
        <family val="2"/>
      </rPr>
      <t>​ – Moves vast and sweeping, their terrifying might striking fear into all who witness them.</t>
    </r>
  </si>
  <si>
    <t>Northward-Gazing Spear Technique</t>
  </si>
  <si>
    <t>The spear techniques passed down through military formations involve blocking, thrusting, sweeping, and striking, advancing without retreat, with grand and unadorned movements. (Affects attribute: Agility)</t>
  </si>
  <si>
    <t>Mystic Yellow Battle Banner</t>
  </si>
  <si>
    <t>There was the Xuanyuan Clan, whose dark blood entered the battlefield, patrolling the four directions, treading the eight wastelands to pacify the nine regions—this is the banner that commands reverence from all. (Affects attribute: Martial Power)</t>
  </si>
  <si>
    <t>All-Phenomena Bodhi Staff</t>
  </si>
  <si>
    <t>Hanging from the railings, extending and retracting, encircling and pointing, it clarifies the mind and releases the spirit, with Buddhist intent shining brightly. (Affects attribute: Physique)</t>
  </si>
  <si>
    <t>Nation Defender Mountain-Spear</t>
  </si>
  <si>
    <t>Rumored to have been created by the Duke of Zhen, it dominates all directions, with spear shadows blotting out the sun, its momentum like a dragon emerging from the abyss, layer upon layer, or like silver serpents dancing wildly, impenetrable even to泼水. (Affects attribute: Agility)</t>
  </si>
  <si>
    <t>Fan Basic Moves</t>
  </si>
  <si>
    <t>A fan-based martial art circulating in the martial world, its techniques elegant and agile, yet also concealing lethal intent.</t>
  </si>
  <si>
    <t>Mourning Fan Arts</t>
  </si>
  <si>
    <t>Echoing with mournful winds, obscuring vision with deceptive movements, the refined grace of scholars lightly expressed—this fan technique originates from the Tianya Haige, synthesizing the strengths of many schools, its forms faintly bearing the elegance of literary phoenixes. (Affects attribute: Internal Energy)</t>
  </si>
  <si>
    <t>Minor Heavenly Cycle Fan Technique</t>
  </si>
  <si>
    <t>Two cycles of the sun and moon, a single sheet of paper halts the journey. This fan technique is gentle in motion, concealing internal force. The body twists and turns, its shadow flickering indistinctly. (Affects attribute: Internal Energy)</t>
  </si>
  <si>
    <t>Ranged Basic Moves</t>
  </si>
  <si>
    <t>A concealed weapon martial art circulating in the martial world, its killing intent hidden within, utterly sinister and treacherous.</t>
  </si>
  <si>
    <t>Storm of Pear Blossom Daggers</t>
  </si>
  <si>
    <t>A concealed weapon martial art circulating in the martial world, its killing intent hidden within, utterly sinister and treacherous. (Affects attribute: Internal Energy)</t>
  </si>
  <si>
    <t>Unorthodox Score</t>
  </si>
  <si>
    <t>After establishing the Great Snow Mountain Sect at Red Plum, observing the snowfall over the Heavenly Pool, this technique was created—its methods as unpredictable as an antelope’s horns, the trajectories of its concealed weapons extremely erratic and elusive, impossible to guard against. (Affects attribute: Internal Energy)</t>
  </si>
  <si>
    <t>Leg/Foot Basic Moves</t>
  </si>
  <si>
    <t>A common leg technique circulating in the martial world, its momentum fierce and unyielding.</t>
  </si>
  <si>
    <t>Drunken Dragon's Unparalleled Style</t>
  </si>
  <si>
    <t>Half-dreaming, half-awake, shattering delusions—laughing, drinking, singing wildly in drunkenness. Who knows the rarity of true understanding in this world? The peerless subduing of dragons, the unrestrained spirit of a national hero—this is how it should be! (Affects attribute: Martial Power)</t>
  </si>
  <si>
    <t>Lone Swan Traces</t>
  </si>
  <si>
    <t>A pair of geese flying over the river, feeding and moving together. Swift and fleeting, like geese skimming the heavens, leaving no trace, impossible to track. (Affects attribute: Martial Power)</t>
  </si>
  <si>
    <t>Dual Light Blade Basic Moves</t>
  </si>
  <si>
    <t>A common dual-blade technique circulating in the martial world, vastly different from Central Plains martial arts.</t>
  </si>
  <si>
    <t>Mindless Style路Iaido</t>
  </si>
  <si>
    <t>It records the techniques of the Heartless Draw, distinct from Central Plains martial arts. Beyond this, no other origins of this technique can be traced. (Affects attribute: Martial Power)</t>
  </si>
  <si>
    <t>Secret Sword路Mountain Echo</t>
  </si>
  <si>
    <t>Originally an Eastern swordsmanship, it spread to the Central Plains during the pirate rebellions, passed down orally until its true meaning gradually shifted, acquiring unique marvels. (Affects attribute: Martial Power)</t>
  </si>
  <si>
    <t>Killing Current路Sword Harvest</t>
  </si>
  <si>
    <t>A secret swordsmanship manual from an Eastern dojo, attacking where the enemy must defend, striking where they must falter—its techniques brim with killing intent, swift and straightforward. (Affects attribute: Martial Power)</t>
  </si>
  <si>
    <t>Heavenly Might Army Blade Technique</t>
  </si>
  <si>
    <t>A military blade technique passed down from anti-pirate garrisons along the coast, containing methods of dividing and converging attacks—precise, strict, and unadorned. (Affects attribute: Martial Power)</t>
  </si>
  <si>
    <t>Rope Dart Basic Moves</t>
  </si>
  <si>
    <t>A rope-dart technique widely circulated in the martial world, its movements concealed and unpredictable, free to come and go, catching opponents off guard.</t>
  </si>
  <si>
    <t>Flowing Jar Golden Rope Dart</t>
  </si>
  <si>
    <t>Flaming metal, shattering armor, sweeping and hammering—soft yet firm. (Affects attribute: Martial Power)</t>
  </si>
  <si>
    <t>Archery Basic Moves</t>
  </si>
  <si>
    <t>An archery technique passed down from military ranks, every movement imbued with a solemn killing intent.</t>
  </si>
  <si>
    <t>Sharp Hunt Bowstring Technique</t>
  </si>
  <si>
    <t>It fully records the archery methods passed down through military formations, with mind and body techniques trained separately to achieve pinpoint accuracy, piercing stone and burying arrowheads. (Affects attribute: Martial Power)</t>
  </si>
  <si>
    <t>Flexible Whip Basic Moves</t>
  </si>
  <si>
    <t>Whip techniques are cunning and bizarre, rare in the martial world—those who master soft whips are invariably gifted individuals.</t>
  </si>
  <si>
    <t>Five-Scale Purification Whip</t>
  </si>
  <si>
    <t>The snake, scorpion, toad, centipede, and spider are the five sacred scaled spirits. Combined with purified gu cultivation, this is the secret whip technique of the Five Saints Sect. (Affects attribute: Martial Power)</t>
  </si>
  <si>
    <t>Golden Rainbow Bone Breaker</t>
  </si>
  <si>
    <t>Created a century ago by a martial world eccentric, its techniques are fierce and graceful, its power like thunder—but those with insufficient internal energy who force themselves to learn it risk self-harm. (Affects attribute: Martial Power)</t>
  </si>
  <si>
    <t>Firearm Basic Moves</t>
  </si>
  <si>
    <t>A firearm technique passed down from military ranks, moving like thunder.</t>
  </si>
  <si>
    <t>Western Firearms路Pearl</t>
  </si>
  <si>
    <t>A detailed manual on firearms and mechanisms imported from the Western Regions, containing methods for maintenance, firing, disassembly, and more—profound, obscure, and difficult to describe. (Affects attribute: Martial Power)</t>
  </si>
  <si>
    <t>Short Weapon Basic Moves</t>
  </si>
  <si>
    <t>A common short-weapon technique in the martial world, excelling in close-quarters combat, seeking victory in danger.</t>
  </si>
  <si>
    <t>Seven Emotions Entangling Dagger</t>
  </si>
  <si>
    <t>A secret technique of the Five Saints Sect, specializing in close-quarters combat and lethal strikes. Observing its movements is like witnessing lovers’ sorrow—mysterious and inscrutable, yet vicious and treacherous to the extreme. (Affects attribute: Internal Energy)</t>
  </si>
  <si>
    <t>Moon Remnant Scripture</t>
  </si>
  <si>
    <t>As the waning moon departs, the beauty bids farewell with tears. Like the moon hidden by clouds, or clouds veiling the moon—its momentum like a sudden celestial brilliance, chilling enemies to the bone. (Affects attribute: Internal Energy)</t>
  </si>
  <si>
    <t>Hybrid Martial Arts, freely combined.</t>
  </si>
  <si>
    <t>World's Edge Moonlight Chapter</t>
  </si>
  <si>
    <t>An internal energy technique passed down by the Tianya Haige, rumored to have been left behind a century ago by an unnamed elder who passed by the Stone of Three Lives. Its techniques are vast and profound, infinitely subtle.</t>
  </si>
  <si>
    <t>Mocking Demon Blood Sacrifice Scripture</t>
  </si>
  <si>
    <t>Derived from fragments of the Hetu and Luoshu, bizarre and grotesque, further tainted by cruelty and bloodlust—none who practice this art meet a good end.</t>
  </si>
  <si>
    <t>Twin Jade Wall Method</t>
  </si>
  <si>
    <t>Shattered treasures remain, unbroken jade endures; within it lies a heart method, strongest yet softest, of wondrous and infinite application.</t>
  </si>
  <si>
    <t>Mystic Li Poison Miasma</t>
  </si>
  <si>
    <t>It is said to be a cultivation method created by the Miao Ancestor in ancient times, its doctrines often run contrary to the Central Plains' ways, quite extraordinary.</t>
  </si>
  <si>
    <t>Threefold Asura Path</t>
  </si>
  <si>
    <t>In the fourth year of Shenshou, Dao Zu, after defecting from Shaolin at Red Plum, uniquely devised this method: virtuous yet prideful, taught yet unyielding, hearing the dharma yet unenlightened — such is an Asura.</t>
  </si>
  <si>
    <t>Primordial Life Channeling</t>
  </si>
  <si>
    <t>The Question of Taishu remains unanswered, the healer's path walked alone; this chapter of the Lingshu, saving lives with medicine, is sufficient by itself.</t>
  </si>
  <si>
    <t>Grand Mystery Primordial Scripture</t>
  </si>
  <si>
    <t>The secret truth transmitted from Taihe Mountain distinguishes Qian from Kun, its simplicity reveals prosperity; the method progresses from shallow to deep, truly the orthodox school of the Profound Gate.</t>
  </si>
  <si>
    <t>Enlightenment Through Contemplation</t>
  </si>
  <si>
    <t>Comprehending the profound leads to enlightenment, understanding the principle allows grasping the covenant; this heart formula is ancient and difficult to discern, seemingly linked to the Kunlun Heavenly Pool.</t>
  </si>
  <si>
    <t>Star Devouring Cosmos Diagram</t>
  </si>
  <si>
    <t>Sucking stars, devouring the cosmos; consuming creation, burying dust; this style's tyranny crowns the world, far surpassing ordinary martial arts — yet its overwhelming power means only those of great perseverance can master it to the peak.</t>
  </si>
  <si>
    <t>Xiang Bamboo Buried Orchid Book</t>
  </si>
  <si>
    <t>Tears of Xiang Fei stain the bamboo, flowing water buries orchids carelessly; this book holds knowledge that is martial arts, yet like poetry; its sorrowful intent defies further words.</t>
  </si>
  <si>
    <t>Dawn Glow Separate Volume</t>
  </si>
  <si>
    <t>A rare inner energy heart method, its operation like morning clouds filling the sky, covering fields and clouds; where purple qi reaches, all transformations vanish.</t>
  </si>
  <si>
    <t>Lion's Roar of Zen</t>
  </si>
  <si>
    <t>Orthodox Buddhist methods, vast and mighty; if unleashed with a roar, thunder rumbles, causing the enemy’s liver and gall to burst — collapsing without battle.</t>
  </si>
  <si>
    <t>Golden Bell Protection</t>
  </si>
  <si>
    <t>Two Zen Temples newly established, many styles spread; this heart method also emerged during the chaos of Shaolin's division, later vanishing into the Jianghu, ultimately fading from knowledge.</t>
  </si>
  <si>
    <t>Void Limitless Power</t>
  </si>
  <si>
    <t>Dreams chill pass the immortal palace, spirit fuses merging with the Grand Void; said to be left behind by the Taihe Dao Ancestor at ascension, differing from many practices, demanding purity, nature, sudden enlightenment to ascend — only those of extraordinary insight can cultivate it.</t>
  </si>
  <si>
    <t>Overlord's Armor Shedding</t>
  </si>
  <si>
    <t>Fierce hardness tempered by training, forging bone and refining blood; masters exude abundant, vigorous true qi flowing throughout their body — broken bones cause no pain, bathed in blood but do not die; fearless, thus undefeatable.</t>
  </si>
  <si>
    <t>Green Bag Treasure Notes</t>
  </si>
  <si>
    <t>Said to be left behind by a healing sage of the previous dynasty; its recorded meridian theory is profound and abstruse — applying it to martial arts yields unique strengths.</t>
  </si>
  <si>
    <t>Emotion-Drinking Gu</t>
  </si>
  <si>
    <t>Unique Miao heart method; masters captivate with a glance, unsettling minds without weapons — righteous or evil remains unknown.</t>
  </si>
  <si>
    <t>Yao's ninth year, Zhi Qi wreaked havoc; Yinglong drove it to the foot of Huaiyang Mountain; its resentment shook mountains and stirred seas.</t>
  </si>
  <si>
    <t>Seven Killers Iron Cloth Skill</t>
  </si>
  <si>
    <t>Borrowing the baleful qi of the seven meridians to forge an iron-clad body; the Big Banner Gate's external technique; masters solidify bones and tendons, rendering weapons useless, possessing the might to oppose ten thousand.</t>
  </si>
  <si>
    <t>Ruthless Scripture</t>
  </si>
  <si>
    <t>Created by Yu Hongmei, combining the strengths of Shaolin and Tianshan sect's inner energy; overwhelmingly dominant, infinite power, yet it harbors boundless killing intent — only those with a heart like a clear mirror can perceive its true meaning.</t>
  </si>
  <si>
    <t>Striding Sea Pavilion</t>
  </si>
  <si>
    <t>Stepping through pavilions to tread the sea, walking reclined to soar through air; the footwork passed down by Tianya Haige embodies unrestrained elegance, uniquely scholarly in demeanor.</t>
  </si>
  <si>
    <t>Cicada Chasing Body Ring</t>
  </si>
  <si>
    <t>Footwork derived from the Eight Trigrams, flowing like coiling serpents—also called Coiling Body Eight Trigram Steps. Legend claims eight steps suffice to catch a cicada without disrupting posture.</t>
  </si>
  <si>
    <t>Countercurrent Body Technique</t>
  </si>
  <si>
    <t>Flowing like water, shifting like momentum; formless and unpredictable—this movement style resembles turbulent currents, elusive and fathomless. Its origins have become untraceable.</t>
  </si>
  <si>
    <t>Luo Goddess Treading Snow</t>
  </si>
  <si>
    <t>Tales tell of a goddess whose light lotus steps held ethereal grace and mystical subtlety.</t>
  </si>
  <si>
    <t>Sunny Plum Blossom Step</t>
  </si>
  <si>
    <t>Steps inspired by winter plum blossoms' cold fragrance, solitary yet profound—a rare and ingenious footwork art in the martial world.</t>
  </si>
  <si>
    <t>Armadillo Rolling Through Technique</t>
  </si>
  <si>
    <t>This technique’s source is lost to time. It mimics the pangolin's form—diving, rolling, striking enemies unprepared, evading the unevadable.</t>
  </si>
  <si>
    <t>Ladder Cloud Leap</t>
  </si>
  <si>
    <t>Ascending to azure skies via cloud ladders; peering at drifting mist—can enlightenment’s path be glimpsed?</t>
  </si>
  <si>
    <t>Wraith Deceptive Steps</t>
  </si>
  <si>
    <r>
      <rPr>
        <i/>
        <sz val="12"/>
        <color theme="1"/>
        <rFont val="Segoe UI"/>
        <family val="2"/>
      </rPr>
      <t>"Ten paces slay one foe; a thousand miles leave no trace."</t>
    </r>
    <r>
      <rPr>
        <sz val="12"/>
        <color theme="1"/>
        <rFont val="Segoe UI"/>
        <family val="2"/>
      </rPr>
      <t> </t>
    </r>
    <r>
      <rPr>
        <sz val="12"/>
        <color theme="1"/>
        <rFont val="Segoe UI"/>
        <family val="2"/>
      </rPr>
      <t>Phantoms and spirits tread bloodied paths in sinister steps.</t>
    </r>
  </si>
  <si>
    <t>Swallow Leap Step</t>
  </si>
  <si>
    <t>Soaring swallow flight—body and step united—piercing clouds with grace, containing myriad variations.</t>
  </si>
  <si>
    <t>Long Pavilion Far Sending</t>
  </si>
  <si>
    <t>Long pavilions, ancient roads; homeland’s bright moon fades far away. With none returning, how shall this sorrow be written?</t>
  </si>
  <si>
    <t>Ripple Step</t>
  </si>
  <si>
    <t>Ethereal tread on trembling waves, silk socks dusted, swirling like snow—dancing like immortal steeds.</t>
  </si>
  <si>
    <t>Witch Python Moon Fall</t>
  </si>
  <si>
    <t>Still as silver pythons barring mountains; swift as golden boas parting rivers. Five Sacred Cult's unique maneuvering art diverges sharply from Central Plains techniques.</t>
  </si>
  <si>
    <t>Purple Crow Cries Phoenix Diagram</t>
  </si>
  <si>
    <t>Mystical birds depart, wild geese herald mid-autumn; this movement flows like wind, powerful as soaring rocs—free yet ever composed.</t>
  </si>
  <si>
    <t>Mountain Shaking Step</t>
  </si>
  <si>
    <t>External "solid bridge, solid horse" stance, embodying earth-shaking steps that resound with might.</t>
  </si>
  <si>
    <t>Against Current Twelve Bodies</t>
  </si>
  <si>
    <t>To cultivate martial arts is to swim upstream—once your form arrives, why not strike against the current?</t>
  </si>
  <si>
    <t>Tiger Guard Formation</t>
  </si>
  <si>
    <t>Light as gale-swept shadows, fierce as tigers pacing mountains. Steady yet mutable, solid yet fluid—maneuvering in tight spaces or racing faster than galloping steeds.</t>
  </si>
  <si>
    <t>Shadow Blood Secret Manual</t>
  </si>
  <si>
    <t>Yu Hongmei's unique footwork—uncanny and elusive, stepping on snow without traces, crossing water without ripples.</t>
  </si>
  <si>
    <t>Wolf</t>
  </si>
  <si>
    <t>Wolf fang tearing—ferocious and bone-deep—yet lacking technical finesse.</t>
  </si>
  <si>
    <t>Snake</t>
  </si>
  <si>
    <t>Venomous fang tearing—imbued with deadly poison—agony runs marrow-deep, yet devoid of technique.</t>
  </si>
  <si>
    <t>Animal Internal Skills</t>
  </si>
  <si>
    <t>Animal Movement Skills</t>
  </si>
  <si>
    <t>Gu Man Attacks</t>
  </si>
  <si>
    <t>Bear</t>
  </si>
  <si>
    <t>Mohist Armor Guard_Melee</t>
  </si>
  <si>
    <t>Giant Snake</t>
  </si>
  <si>
    <t>Toad</t>
  </si>
  <si>
    <t>Yellow Dog</t>
  </si>
  <si>
    <t>Spider</t>
  </si>
  <si>
    <t>Tiger</t>
  </si>
  <si>
    <t>Scorpion</t>
  </si>
  <si>
    <t>Centipede</t>
  </si>
  <si>
    <t>Mohist Armor Guard_Ranged</t>
  </si>
  <si>
    <t>Leap</t>
  </si>
  <si>
    <t>The swift leaping technique of the martial world, with feet planted like a tripod, propels the user upward in a mighty leap.</t>
  </si>
  <si>
    <t>Fist and Palm</t>
  </si>
  <si>
    <t>Single-Handed Light Blade</t>
  </si>
  <si>
    <t>Heavy Blade</t>
  </si>
  <si>
    <t>Long Weapon</t>
  </si>
  <si>
    <t>Fan</t>
  </si>
  <si>
    <t>Hidden Weapon</t>
  </si>
  <si>
    <t>Leg and Foot</t>
  </si>
  <si>
    <t>Two-Handed Light Blade</t>
  </si>
  <si>
    <t>Rope Dart</t>
  </si>
  <si>
    <t>Bow and Arrow</t>
  </si>
  <si>
    <t>Soft Whip</t>
  </si>
  <si>
    <t>Firearm</t>
  </si>
  <si>
    <t>Short Weapon</t>
  </si>
  <si>
    <t>Internal Skill</t>
  </si>
  <si>
    <t>Lightness Skill</t>
  </si>
  <si>
    <t>心诀ID</t>
  </si>
  <si>
    <t>心诀名</t>
  </si>
  <si>
    <t>对应招式</t>
  </si>
  <si>
    <t>效果类型</t>
  </si>
  <si>
    <t>心诀效果</t>
  </si>
  <si>
    <r>
      <rPr>
        <sz val="11"/>
        <color rgb="FFFFFFFF"/>
        <rFont val="宋体"/>
        <family val="3"/>
        <charset val="134"/>
      </rPr>
      <t>冲突心诀(</t>
    </r>
    <r>
      <rPr>
        <sz val="11"/>
        <color rgb="FFFFFFFF"/>
        <rFont val="宋体"/>
        <family val="3"/>
        <charset val="134"/>
      </rPr>
      <t>没有生效的)</t>
    </r>
  </si>
  <si>
    <t>描述</t>
  </si>
  <si>
    <t>ID</t>
  </si>
  <si>
    <t>belong</t>
  </si>
  <si>
    <t>skill</t>
  </si>
  <si>
    <t>effectType</t>
  </si>
  <si>
    <t>effect</t>
  </si>
  <si>
    <t>长雁</t>
  </si>
  <si>
    <t>1020203</t>
  </si>
  <si>
    <t>追踪敌人距离提升:0.3</t>
  </si>
  <si>
    <t>招式【物衍天行】施展时获得【霸体】效果</t>
  </si>
  <si>
    <t>tricks/8020201</t>
  </si>
  <si>
    <t>返鸾</t>
  </si>
  <si>
    <t>使用后无敌:1</t>
  </si>
  <si>
    <t>暴击概率额外提升5%</t>
  </si>
  <si>
    <t>tricks/8020202</t>
  </si>
  <si>
    <t>鸳折</t>
  </si>
  <si>
    <t>使用时无敌</t>
  </si>
  <si>
    <t>施展招式【孤鸿照影】时，将获得【返鸾】效果：不受任何伤害和控制效果的影响</t>
  </si>
  <si>
    <t>tricks/8020203</t>
  </si>
  <si>
    <t>悲鸣</t>
  </si>
  <si>
    <t>无敌秒数:2</t>
  </si>
  <si>
    <t>招式【纵起惊鸿】在空中时无敌2秒</t>
  </si>
  <si>
    <t>tricks/8020204</t>
  </si>
  <si>
    <t>随风</t>
  </si>
  <si>
    <t>CD时间:-1</t>
  </si>
  <si>
    <t>招式【风潇雨晦】调息时间减少1秒</t>
  </si>
  <si>
    <t>tricks/8020301</t>
  </si>
  <si>
    <t>飘零</t>
  </si>
  <si>
    <t>招式【秋风落尽】调息时间减少1秒</t>
  </si>
  <si>
    <t>tricks/8020302</t>
  </si>
  <si>
    <t>罡破</t>
  </si>
  <si>
    <t>使用时霸体</t>
  </si>
  <si>
    <t>招式【秋风落尽】释放时霸体</t>
  </si>
  <si>
    <t>tricks/8020303</t>
  </si>
  <si>
    <t>栖隙</t>
  </si>
  <si>
    <t>1020305</t>
  </si>
  <si>
    <t>招式【朔风厉松】能释放时无敌</t>
  </si>
  <si>
    <t>tricks/8020304</t>
  </si>
  <si>
    <t>无涯</t>
  </si>
  <si>
    <t>招式【焚沧断海】调息时间减少1秒</t>
  </si>
  <si>
    <t>tricks/8020401</t>
  </si>
  <si>
    <t>壁岩</t>
  </si>
  <si>
    <t>招式【临碣寒】调息时间减少1秒</t>
  </si>
  <si>
    <t>tricks/8020402</t>
  </si>
  <si>
    <t>赤心</t>
  </si>
  <si>
    <r>
      <rPr>
        <sz val="11"/>
        <color theme="1"/>
        <rFont val="宋体"/>
        <family val="3"/>
        <charset val="134"/>
        <scheme val="minor"/>
      </rPr>
      <t>真气消耗:</t>
    </r>
    <r>
      <rPr>
        <sz val="11"/>
        <color theme="1"/>
        <rFont val="宋体"/>
        <family val="3"/>
        <charset val="134"/>
        <scheme val="minor"/>
      </rPr>
      <t>-1</t>
    </r>
  </si>
  <si>
    <t>施展招式【临碣寒】真气消耗减1</t>
  </si>
  <si>
    <t>tricks/8020403</t>
  </si>
  <si>
    <t>万凿</t>
  </si>
  <si>
    <t>施展招式【骇浪惊涛】真气消耗减1</t>
  </si>
  <si>
    <t>tricks/8020404</t>
  </si>
  <si>
    <r>
      <rPr>
        <sz val="10.5"/>
        <color theme="1"/>
        <rFont val="等线"/>
        <family val="3"/>
        <charset val="134"/>
      </rPr>
      <t>气清</t>
    </r>
  </si>
  <si>
    <t>招式【分阴阳】真气消耗降低1点</t>
  </si>
  <si>
    <t>tricks/8020503</t>
  </si>
  <si>
    <r>
      <rPr>
        <sz val="10.5"/>
        <color theme="1"/>
        <rFont val="等线"/>
        <family val="3"/>
        <charset val="134"/>
      </rPr>
      <t>万化</t>
    </r>
  </si>
  <si>
    <t>招式【割昏晓】真气消耗降低1点</t>
  </si>
  <si>
    <t>tricks/8020504</t>
  </si>
  <si>
    <r>
      <rPr>
        <sz val="10.5"/>
        <color theme="1"/>
        <rFont val="等线"/>
        <family val="3"/>
        <charset val="134"/>
      </rPr>
      <t>凌虚</t>
    </r>
  </si>
  <si>
    <t>招式【荡寰宇】减少调息时间1秒</t>
  </si>
  <si>
    <t>tricks/8020505</t>
  </si>
  <si>
    <t>魅身</t>
  </si>
  <si>
    <t>1020601</t>
  </si>
  <si>
    <t>招式【掠青川】施展后获得【霸体】效果</t>
  </si>
  <si>
    <t>tricks/8020506</t>
  </si>
  <si>
    <t>敛英</t>
  </si>
  <si>
    <t>1020703</t>
  </si>
  <si>
    <t>全局有效</t>
  </si>
  <si>
    <t>提升气血回复属性10%</t>
  </si>
  <si>
    <t>銮客</t>
  </si>
  <si>
    <t>1020705</t>
  </si>
  <si>
    <t>提升5％的移动速度</t>
  </si>
  <si>
    <t>放词</t>
  </si>
  <si>
    <t>飞行道具替换:7050102</t>
  </si>
  <si>
    <t>招式【归去来】的伤害提升10%</t>
  </si>
  <si>
    <t>tricks/8050101</t>
  </si>
  <si>
    <t>凌散</t>
  </si>
  <si>
    <t>1050105</t>
  </si>
  <si>
    <t>伤害设置:0;至盲:5</t>
  </si>
  <si>
    <t>招式【柔云绕指】释放时对敌方的造成【致盲】效果，有概率无法命中自身，效果持续3秒</t>
  </si>
  <si>
    <t>tricks/8050102</t>
  </si>
  <si>
    <t>风骨</t>
  </si>
  <si>
    <t>清除CD:1050002</t>
  </si>
  <si>
    <t>【穷途】触发时，立即重置招式【复重楼】调息时间，每隔20秒触发1次</t>
  </si>
  <si>
    <t>tricks/8050103</t>
  </si>
  <si>
    <t>肆宴</t>
  </si>
  <si>
    <t>伤害提升:0.5;真气消耗:1</t>
  </si>
  <si>
    <t>招式【归去来】的伤害提升5%，额外消耗（1）点真气</t>
  </si>
  <si>
    <t>tricks/8050104</t>
  </si>
  <si>
    <t>知秋</t>
  </si>
  <si>
    <t>清除CD:1050101</t>
  </si>
  <si>
    <t>每次获得【难觅】效果时，将立即刷新【问秋风】的时间</t>
  </si>
  <si>
    <t>tricks/8050105</t>
  </si>
  <si>
    <t>复始</t>
  </si>
  <si>
    <t>1050201</t>
  </si>
  <si>
    <r>
      <rPr>
        <sz val="10.5"/>
        <color theme="1"/>
        <rFont val="宋体"/>
        <family val="3"/>
        <charset val="134"/>
      </rPr>
      <t>移动速度增加</t>
    </r>
    <r>
      <rPr>
        <sz val="10.5"/>
        <color theme="1"/>
        <rFont val="Calibri"/>
        <family val="2"/>
      </rPr>
      <t>50</t>
    </r>
  </si>
  <si>
    <t>tricks/8050106</t>
  </si>
  <si>
    <t>不息</t>
  </si>
  <si>
    <t>额外增加【经合夜昼】扇子击中目标所造成的伤害</t>
  </si>
  <si>
    <t>tricks/8050201</t>
  </si>
  <si>
    <t>注化</t>
  </si>
  <si>
    <t>招式【化气贯神】施展时，获得霸体效果</t>
  </si>
  <si>
    <t>tricks/8050202</t>
  </si>
  <si>
    <t>破云</t>
  </si>
  <si>
    <t>1090201</t>
  </si>
  <si>
    <t>招式【梭云回日】施展后获得【霸体】效果</t>
  </si>
  <si>
    <t>tricks/8050107</t>
  </si>
  <si>
    <t>摧岳</t>
  </si>
  <si>
    <t>招式【钧北顾】暴击率提升5%</t>
  </si>
  <si>
    <t>tricks/8040101</t>
  </si>
  <si>
    <t>百炼</t>
  </si>
  <si>
    <t>1040101</t>
  </si>
  <si>
    <t>tricks/8040102</t>
  </si>
  <si>
    <t>昭烈</t>
  </si>
  <si>
    <t>招式【钧北顾】施展时增加20%暴击伤害</t>
  </si>
  <si>
    <t>tricks/8040103</t>
  </si>
  <si>
    <t>飞将</t>
  </si>
  <si>
    <t>招式【横叠嶂】在飞跃时，自身免受任何伤害/控制效果</t>
  </si>
  <si>
    <t>tricks/8040104</t>
  </si>
  <si>
    <t>痴缠</t>
  </si>
  <si>
    <t>1060101</t>
  </si>
  <si>
    <t>造成伤害时，附加【痴缠】效果，使目标每秒损失1%血量，持续5秒</t>
  </si>
  <si>
    <t>tricks/8060101</t>
  </si>
  <si>
    <t>雨绻</t>
  </si>
  <si>
    <t>造成伤害时，附加【雨绻】效果，使目标每5秒损失1真气，持续10秒</t>
  </si>
  <si>
    <t>tricks/8060102</t>
  </si>
  <si>
    <t>绸缪</t>
  </si>
  <si>
    <t>造成伤害时，附加【绸缪】效果，使目标每秒损失1%体力，持续5秒</t>
  </si>
  <si>
    <t>tricks/8060103</t>
  </si>
  <si>
    <t>梅雨</t>
  </si>
  <si>
    <t>1060110</t>
  </si>
  <si>
    <t>体力恢复每秒额外恢复2点</t>
  </si>
  <si>
    <t>tricks/8060104</t>
  </si>
  <si>
    <t>漫堤</t>
  </si>
  <si>
    <t>体力上限额外增加10点</t>
  </si>
  <si>
    <t>tricks/8060105</t>
  </si>
  <si>
    <t>炼血</t>
  </si>
  <si>
    <t>1060205</t>
  </si>
  <si>
    <t>进入战斗时，提升5％的移动速度</t>
  </si>
  <si>
    <t>残筋</t>
  </si>
  <si>
    <t>降低【碎灯花】调息时间1秒</t>
  </si>
  <si>
    <t>昭赤</t>
  </si>
  <si>
    <t>招式【伏邪诛阳】伤害提升5%</t>
  </si>
  <si>
    <t>tricks/8010201</t>
  </si>
  <si>
    <t>镇晷</t>
  </si>
  <si>
    <t>招式【镇残碑】减少调息时间1秒</t>
  </si>
  <si>
    <t>tricks/8010202</t>
  </si>
  <si>
    <t>旱临</t>
  </si>
  <si>
    <t>招式【伏邪诛阳】减少调息时间1秒</t>
  </si>
  <si>
    <t>tricks/8010203</t>
  </si>
  <si>
    <t>烈轮</t>
  </si>
  <si>
    <t>招式【伏邪诛阳】真气消耗降低1点</t>
  </si>
  <si>
    <t>tricks/8010204</t>
  </si>
  <si>
    <t>至旭</t>
  </si>
  <si>
    <t>招式【镇残碑】施展后，下一次施展【伏邪诛阳】时必造成破防效果：防御力降低10%，持续5秒</t>
  </si>
  <si>
    <t>tricks/8010205</t>
  </si>
  <si>
    <t>矢志</t>
  </si>
  <si>
    <t>1010101_1,1010103</t>
  </si>
  <si>
    <t>招式【古锤-贯体式】，【古锤-锻终式】在释放过程中具有短暂霸体效果</t>
  </si>
  <si>
    <t>tricks/8010101</t>
  </si>
  <si>
    <r>
      <rPr>
        <sz val="10.5"/>
        <color theme="1"/>
        <rFont val="等线"/>
        <family val="3"/>
        <charset val="134"/>
      </rPr>
      <t>复烬</t>
    </r>
  </si>
  <si>
    <t>1010105</t>
  </si>
  <si>
    <t>招式【古锤-锻终式】减少调息时间1秒</t>
  </si>
  <si>
    <t>tricks/8010102</t>
  </si>
  <si>
    <r>
      <rPr>
        <sz val="10.5"/>
        <color theme="1"/>
        <rFont val="等线"/>
        <family val="3"/>
        <charset val="134"/>
      </rPr>
      <t>浑旋</t>
    </r>
  </si>
  <si>
    <t>招式【古锤-贯体式】减少调息时间1秒</t>
  </si>
  <si>
    <t>tricks/8010103</t>
  </si>
  <si>
    <t>化始</t>
  </si>
  <si>
    <t>招式【大道始分】调息时间减少1秒</t>
  </si>
  <si>
    <t>tricks/8010301</t>
  </si>
  <si>
    <t>转寰</t>
  </si>
  <si>
    <t>招式【开太极】调息时间减少1秒</t>
  </si>
  <si>
    <t>tricks/8010302</t>
  </si>
  <si>
    <t>朝闻</t>
  </si>
  <si>
    <t>招式【大道始分】真气消耗减1</t>
  </si>
  <si>
    <t>tricks/8010303</t>
  </si>
  <si>
    <t>无我</t>
  </si>
  <si>
    <t>招式【合太极】真气消耗减1</t>
  </si>
  <si>
    <t>tricks/8010304</t>
  </si>
  <si>
    <t>苍</t>
  </si>
  <si>
    <t>1100205</t>
  </si>
  <si>
    <t>招式【密·归寂】施展后获得【霸体】效果</t>
  </si>
  <si>
    <t>tricks/8010305</t>
  </si>
  <si>
    <t>斗转</t>
  </si>
  <si>
    <t>招式【合太极】释放后，招式【开太极】减少调息时间1秒</t>
  </si>
  <si>
    <t>tricks/8010306</t>
  </si>
  <si>
    <t>红月</t>
  </si>
  <si>
    <t>1150201</t>
  </si>
  <si>
    <t>吸血属性额外提升10%</t>
  </si>
  <si>
    <t>tricks/8010307</t>
  </si>
  <si>
    <t>寥落</t>
  </si>
  <si>
    <t>1010403</t>
  </si>
  <si>
    <t>招式【摘星寥】调息降低1秒</t>
  </si>
  <si>
    <t>束发</t>
  </si>
  <si>
    <t>1010401</t>
  </si>
  <si>
    <t>招式【引星穹】真气消耗降低1点</t>
  </si>
  <si>
    <r>
      <rPr>
        <sz val="10.5"/>
        <color theme="1"/>
        <rFont val="等线"/>
        <family val="3"/>
        <charset val="134"/>
      </rPr>
      <t>长虹</t>
    </r>
  </si>
  <si>
    <t>招式【分阴阳】减少调息时间1秒</t>
  </si>
  <si>
    <t>tricks/8020501</t>
  </si>
  <si>
    <r>
      <rPr>
        <sz val="10.5"/>
        <color theme="1"/>
        <rFont val="等线"/>
        <family val="3"/>
        <charset val="134"/>
      </rPr>
      <t>盈亏</t>
    </r>
  </si>
  <si>
    <t>招式【割昏晓】减少调息时间1秒</t>
  </si>
  <si>
    <t>tricks/8020502</t>
  </si>
  <si>
    <t>里剑术</t>
  </si>
  <si>
    <t>招式【拔刀术.里切】真气消耗降低1点</t>
  </si>
  <si>
    <t>tricks/8100101</t>
  </si>
  <si>
    <t>断空流</t>
  </si>
  <si>
    <t>招式【刀术.里返】施展时产生霸体</t>
  </si>
  <si>
    <t>tricks/8100102</t>
  </si>
  <si>
    <t>逆袈裟</t>
  </si>
  <si>
    <t>招式【拔刀术.居合】真气消耗降低1点</t>
  </si>
  <si>
    <t>tricks/8100103</t>
  </si>
  <si>
    <t>落樱花</t>
  </si>
  <si>
    <t>招式【拔刀术.居合】减少调息时间1秒</t>
  </si>
  <si>
    <t>tricks/8100104</t>
  </si>
  <si>
    <r>
      <rPr>
        <sz val="10.5"/>
        <color theme="1"/>
        <rFont val="等线"/>
        <family val="3"/>
        <charset val="134"/>
      </rPr>
      <t>刑天</t>
    </r>
  </si>
  <si>
    <t>招式【九州纵横】施展时，外功攻击提升10%</t>
  </si>
  <si>
    <t>tricks/8040201</t>
  </si>
  <si>
    <r>
      <rPr>
        <sz val="10.5"/>
        <color theme="1"/>
        <rFont val="等线"/>
        <family val="3"/>
        <charset val="134"/>
      </rPr>
      <t>风后</t>
    </r>
  </si>
  <si>
    <t>招式【十方共主】减少调息时间1秒</t>
  </si>
  <si>
    <t>tricks/8040202</t>
  </si>
  <si>
    <r>
      <rPr>
        <sz val="10.5"/>
        <color theme="1"/>
        <rFont val="等线"/>
        <family val="3"/>
        <charset val="134"/>
      </rPr>
      <t>分野</t>
    </r>
  </si>
  <si>
    <t>招式【八荒尽取】减少调息时间1秒</t>
  </si>
  <si>
    <t>tricks/8040203</t>
  </si>
  <si>
    <r>
      <rPr>
        <sz val="10.5"/>
        <color theme="1"/>
        <rFont val="等线"/>
        <family val="3"/>
        <charset val="134"/>
      </rPr>
      <t>鼎湖</t>
    </r>
  </si>
  <si>
    <t>招式【八荒尽取】施展时，外功攻击提升10%</t>
  </si>
  <si>
    <t>tricks/8040204</t>
  </si>
  <si>
    <r>
      <rPr>
        <sz val="10.5"/>
        <color theme="1"/>
        <rFont val="宋体"/>
        <family val="3"/>
        <charset val="134"/>
      </rPr>
      <t>搦战</t>
    </r>
  </si>
  <si>
    <t>1030105</t>
  </si>
  <si>
    <t>招式【夜斩石虎】调息时间减1秒</t>
  </si>
  <si>
    <t>tricks/8030101</t>
  </si>
  <si>
    <t>孤胆</t>
  </si>
  <si>
    <t>招式【夜斩石虎】施展时产生2秒霸体</t>
  </si>
  <si>
    <t>tricks/8030102</t>
  </si>
  <si>
    <r>
      <rPr>
        <sz val="10.5"/>
        <color theme="1"/>
        <rFont val="宋体"/>
        <family val="3"/>
        <charset val="134"/>
      </rPr>
      <t>不破</t>
    </r>
  </si>
  <si>
    <t>使用时霸体1</t>
  </si>
  <si>
    <t>重击释放完毕后，自身将处于霸体状态，持续1秒</t>
  </si>
  <si>
    <t>tricks/8030103</t>
  </si>
  <si>
    <r>
      <rPr>
        <sz val="10.5"/>
        <color theme="1"/>
        <rFont val="宋体"/>
        <family val="3"/>
        <charset val="134"/>
      </rPr>
      <t>众覆</t>
    </r>
  </si>
  <si>
    <t>1030103</t>
  </si>
  <si>
    <t>招式【覆压千钧】调息时间减1秒</t>
  </si>
  <si>
    <t>tricks/8030104</t>
  </si>
  <si>
    <r>
      <rPr>
        <sz val="10.5"/>
        <color theme="1"/>
        <rFont val="宋体"/>
        <family val="3"/>
        <charset val="134"/>
      </rPr>
      <t>杀势</t>
    </r>
  </si>
  <si>
    <t>1030101</t>
  </si>
  <si>
    <t>招式【锋卷破浪】调息时间减1秒</t>
  </si>
  <si>
    <t>tricks/8030105</t>
  </si>
  <si>
    <t>沙横</t>
  </si>
  <si>
    <t>当学习【七煞铁衣功】的【阴山月】内功注释后，施展【醉横沙场】招式后霸体效果延续2秒</t>
  </si>
  <si>
    <t>tricks/8030201</t>
  </si>
  <si>
    <t>陷阵</t>
  </si>
  <si>
    <t>1030203</t>
  </si>
  <si>
    <t>当自身气血降低至50%后，额外增加8%的伤害</t>
  </si>
  <si>
    <t>tricks/8030202</t>
  </si>
  <si>
    <t>冲阵</t>
  </si>
  <si>
    <t>1030205</t>
  </si>
  <si>
    <t>当自身受击时获得【坚守】效果，体力回复增加15%，该效果持续5秒</t>
  </si>
  <si>
    <t>tricks/8030203</t>
  </si>
  <si>
    <r>
      <rPr>
        <sz val="10.5"/>
        <color theme="1"/>
        <rFont val="等线"/>
        <family val="3"/>
        <charset val="134"/>
      </rPr>
      <t>独觉</t>
    </r>
  </si>
  <si>
    <t>招式【一苇横江】不消耗真气</t>
  </si>
  <si>
    <t>tricks/8040301</t>
  </si>
  <si>
    <r>
      <rPr>
        <sz val="10.5"/>
        <color theme="1"/>
        <rFont val="等线"/>
        <family val="3"/>
        <charset val="134"/>
      </rPr>
      <t>尘劫</t>
    </r>
  </si>
  <si>
    <t>招式【无我无相】施展时获得【霸体】效果</t>
  </si>
  <si>
    <t>tricks/8040302</t>
  </si>
  <si>
    <r>
      <rPr>
        <sz val="10.5"/>
        <color theme="1"/>
        <rFont val="等线"/>
        <family val="3"/>
        <charset val="134"/>
      </rPr>
      <t>三生</t>
    </r>
  </si>
  <si>
    <t>招式【拈花掷象】减少调息时间1秒</t>
  </si>
  <si>
    <t>tricks/8040303</t>
  </si>
  <si>
    <r>
      <rPr>
        <sz val="10.5"/>
        <color theme="1"/>
        <rFont val="等线"/>
        <family val="3"/>
        <charset val="134"/>
      </rPr>
      <t>破障</t>
    </r>
  </si>
  <si>
    <t>1040310</t>
  </si>
  <si>
    <t>招式【无我无相】减少调息时间1秒</t>
  </si>
  <si>
    <t>tricks/8040304</t>
  </si>
  <si>
    <r>
      <rPr>
        <sz val="10.5"/>
        <color theme="1"/>
        <rFont val="等线"/>
        <family val="3"/>
        <charset val="134"/>
      </rPr>
      <t>不垢</t>
    </r>
  </si>
  <si>
    <t>【不动】效果持续10秒</t>
  </si>
  <si>
    <t>tricks/8040305</t>
  </si>
  <si>
    <t>将谪</t>
  </si>
  <si>
    <t>招式【秦王入阵】对目标造成伤害后，获得1层【将星】效果，该效果持续3秒，该效果叠加至5层后，获得【无敌】，无敌效果持续2秒</t>
  </si>
  <si>
    <t>tricks/8040401</t>
  </si>
  <si>
    <t>陷曲</t>
  </si>
  <si>
    <t>当自身气血降低至50%后，气血恢复属性增加25%</t>
  </si>
  <si>
    <t>tricks/8040402</t>
  </si>
  <si>
    <t>独横</t>
  </si>
  <si>
    <t>当施展【虎贲阵】的【漠玉鞍】招式后,获得【独横】效果，效果持续期间每秒恢复30体力,该效果持续8秒</t>
  </si>
  <si>
    <t>tricks/8040403</t>
  </si>
  <si>
    <t>御</t>
  </si>
  <si>
    <t>1100103</t>
  </si>
  <si>
    <t>招式【刀术.里切】获得【霸体】效果</t>
  </si>
  <si>
    <t>tricks/8040306</t>
  </si>
  <si>
    <r>
      <rPr>
        <sz val="10.5"/>
        <color theme="1"/>
        <rFont val="等线"/>
        <family val="3"/>
        <charset val="134"/>
      </rPr>
      <t>腾龙</t>
    </r>
  </si>
  <si>
    <r>
      <rPr>
        <sz val="11"/>
        <color theme="1"/>
        <rFont val="宋体"/>
        <family val="3"/>
        <charset val="134"/>
        <scheme val="minor"/>
      </rPr>
      <t>109010</t>
    </r>
    <r>
      <rPr>
        <sz val="11"/>
        <color theme="1"/>
        <rFont val="宋体"/>
        <family val="3"/>
        <charset val="134"/>
        <scheme val="minor"/>
      </rPr>
      <t>3</t>
    </r>
  </si>
  <si>
    <t>招式【龙游天地】真气消耗降低1点</t>
  </si>
  <si>
    <t>tricks/8090101</t>
  </si>
  <si>
    <r>
      <rPr>
        <sz val="10.5"/>
        <color theme="1"/>
        <rFont val="等线"/>
        <family val="3"/>
        <charset val="134"/>
      </rPr>
      <t>降世</t>
    </r>
  </si>
  <si>
    <t>1090105</t>
  </si>
  <si>
    <t>招式【神龙摆尾】真气消耗降低1点</t>
  </si>
  <si>
    <t>tricks/8090102</t>
  </si>
  <si>
    <r>
      <rPr>
        <sz val="10.5"/>
        <color theme="1"/>
        <rFont val="等线"/>
        <family val="3"/>
        <charset val="134"/>
      </rPr>
      <t>鸿渐</t>
    </r>
  </si>
  <si>
    <t>招式【龙游天地】减少调息时间1秒</t>
  </si>
  <si>
    <t>tricks/8090103</t>
  </si>
  <si>
    <r>
      <rPr>
        <sz val="10.5"/>
        <color theme="1"/>
        <rFont val="等线"/>
        <family val="3"/>
        <charset val="134"/>
      </rPr>
      <t>时乘</t>
    </r>
  </si>
  <si>
    <t>招式【神龙摆尾】减少调息时间1秒</t>
  </si>
  <si>
    <t>tricks/8090104</t>
  </si>
  <si>
    <r>
      <rPr>
        <sz val="10.5"/>
        <color theme="1"/>
        <rFont val="等线"/>
        <family val="3"/>
        <charset val="134"/>
      </rPr>
      <t>不息</t>
    </r>
  </si>
  <si>
    <t>1090101</t>
  </si>
  <si>
    <t>招式【飞龙在天】减少调息时间1秒</t>
  </si>
  <si>
    <t>tricks/8090105</t>
  </si>
  <si>
    <t>返日</t>
  </si>
  <si>
    <t>招式【梭云回日】施展后降低【纵九霄】当前调息时间1秒</t>
  </si>
  <si>
    <t>tricks/8090201</t>
  </si>
  <si>
    <t>掠风</t>
  </si>
  <si>
    <t>招式【梭云回日】施展后对受到伤害的目标附加【风阻】效果，移动速度降低30%，效果持续5秒</t>
  </si>
  <si>
    <t>tricks/8090202</t>
  </si>
  <si>
    <t>势</t>
  </si>
  <si>
    <t>额外增加【斩·断石】招式剑气伤害</t>
  </si>
  <si>
    <t>tricks/8100201</t>
  </si>
  <si>
    <t>返</t>
  </si>
  <si>
    <t>招式【裟·破林】施展后减少【斩·断石】招式的当前调息时间1秒</t>
  </si>
  <si>
    <t>tricks/8100202</t>
  </si>
  <si>
    <t>断绳</t>
  </si>
  <si>
    <t>降低【初取·攻伐】调息时间1秒</t>
  </si>
  <si>
    <t>弑流··伐剑取</t>
  </si>
  <si>
    <t>8100302</t>
  </si>
  <si>
    <t>刀取</t>
  </si>
  <si>
    <t>进入战斗时，提升最终伤害5%</t>
  </si>
  <si>
    <t>守土</t>
  </si>
  <si>
    <t>自身防御提升3%，进入战斗后反伤属性提升10%</t>
  </si>
  <si>
    <t>8100402</t>
  </si>
  <si>
    <t>开疆</t>
  </si>
  <si>
    <t>提升3%最终伤害，50点移动速度</t>
  </si>
  <si>
    <t>激灼</t>
  </si>
  <si>
    <t>招式【扫岳荡丘】攻击附加【灼烧】目标的敌人时减少【草蛇金线】招式的当前调息时间1秒</t>
  </si>
  <si>
    <t>tricks/8110101</t>
  </si>
  <si>
    <t>扬尘</t>
  </si>
  <si>
    <t>招式【草蛇金线】攻击附加【灼烧】目标的敌人时减少获得【扬尘】效果，该效果持续8秒,效果持续期间施展【扫岳荡丘】所需消耗的真气降低1点</t>
  </si>
  <si>
    <t>tricks/8110102</t>
  </si>
  <si>
    <t>散星</t>
  </si>
  <si>
    <t>1110105</t>
  </si>
  <si>
    <t>招式【流星奔散】施展时获得霸体效果</t>
  </si>
  <si>
    <t>tricks/8110103</t>
  </si>
  <si>
    <t>8120101</t>
  </si>
  <si>
    <t>转瞬</t>
  </si>
  <si>
    <t>【招式矢雨晴】施展后，增加自身的移动速度100</t>
  </si>
  <si>
    <t>tricks/8120101</t>
  </si>
  <si>
    <t>须臾</t>
  </si>
  <si>
    <t>1120103</t>
  </si>
  <si>
    <t>招式【寒猎晓镝】施展时，拿箭刺击时获得霸体效果</t>
  </si>
  <si>
    <t>tricks/8120102</t>
  </si>
  <si>
    <t>游散</t>
  </si>
  <si>
    <t>1120105</t>
  </si>
  <si>
    <t>当自身被击飞时，获得1秒的无敌效果</t>
  </si>
  <si>
    <t>tricks/8120103</t>
  </si>
  <si>
    <t>晦朔</t>
  </si>
  <si>
    <t>1130101</t>
  </si>
  <si>
    <t>招式【澜沧凌栈】真气消耗降低1点</t>
  </si>
  <si>
    <t>tricks/8130101</t>
  </si>
  <si>
    <t>蛇影</t>
  </si>
  <si>
    <t>1130103</t>
  </si>
  <si>
    <t>招式【灵蛇刁蛊】减少调息时间1秒</t>
  </si>
  <si>
    <t>tricks/8130102</t>
  </si>
  <si>
    <t>星居</t>
  </si>
  <si>
    <t>1130105</t>
  </si>
  <si>
    <t>招式【天龙佑躯】施展后对造成伤害的目标附加【眩晕】效果</t>
  </si>
  <si>
    <t>tricks/8130103</t>
  </si>
  <si>
    <t>渺渺然</t>
  </si>
  <si>
    <t>1130203</t>
  </si>
  <si>
    <t>自身移动速度提升50点，每30秒获得1点真气</t>
  </si>
  <si>
    <t>归骨地</t>
  </si>
  <si>
    <t>1130205</t>
  </si>
  <si>
    <t>提升自身3%外功攻击</t>
  </si>
  <si>
    <t>8140101</t>
  </si>
  <si>
    <t>蓄机</t>
  </si>
  <si>
    <t>进入战斗后,默认额外增加1颗初始子弹数量</t>
  </si>
  <si>
    <t>tricks/8140101</t>
  </si>
  <si>
    <t>流构</t>
  </si>
  <si>
    <t>1140103</t>
  </si>
  <si>
    <t>招式【散珠·蓄】施展后，增加自身的移动速度100</t>
  </si>
  <si>
    <t>tricks/8140102</t>
  </si>
  <si>
    <t>扩匣</t>
  </si>
  <si>
    <t>1140105</t>
  </si>
  <si>
    <t>弹容量增加1发</t>
  </si>
  <si>
    <t>tricks/8140103</t>
  </si>
  <si>
    <t>灵犀</t>
  </si>
  <si>
    <t>招式【绕蛊缠身】施展时获得【霸体】效果</t>
  </si>
  <si>
    <t>tricks/8150101</t>
  </si>
  <si>
    <t>祭礼</t>
  </si>
  <si>
    <t>1150103</t>
  </si>
  <si>
    <t>招式【残空凌】减少调息时间1秒</t>
  </si>
  <si>
    <t>tricks/8150102</t>
  </si>
  <si>
    <t>百足</t>
  </si>
  <si>
    <t>1150105</t>
  </si>
  <si>
    <t>招式【青丝缠蛇法】减少调息时间1秒</t>
  </si>
  <si>
    <t>tricks/8150103</t>
  </si>
  <si>
    <t>清辉</t>
  </si>
  <si>
    <t>1150203</t>
  </si>
  <si>
    <t>额外增加轻击5%的伤害</t>
  </si>
  <si>
    <t>tricks/8150201</t>
  </si>
  <si>
    <t>寒玉</t>
  </si>
  <si>
    <t>招式【谪玉盘】施展后，获得2秒的霸体效果</t>
  </si>
  <si>
    <t>tricks/8150202</t>
  </si>
  <si>
    <t>Long Goose</t>
  </si>
  <si>
    <t>[Wuyan Tianxing] grants [Unstoppable] effect when cast</t>
  </si>
  <si>
    <t>Returning Phoenix</t>
  </si>
  <si>
    <t>Critical chance increased by 5%</t>
  </si>
  <si>
    <t>Broken Mandarin Duck</t>
  </si>
  <si>
    <t>[Guhong Zhaoying] grants [Returning Phoenix] effect: immune to all damage and control effects</t>
  </si>
  <si>
    <t>Sorrowful Cry</t>
  </si>
  <si>
    <t>[Zongqi Jinghong] grants 2 seconds of invincibility while airborne</t>
  </si>
  <si>
    <t>Following Wind</t>
  </si>
  <si>
    <t>[Fengxiao Yuhui] cooldown reduced by 1 second</t>
  </si>
  <si>
    <t>Falling Leaves</t>
  </si>
  <si>
    <t>[Qiufeng Luojin] cooldown reduced by 1 second</t>
  </si>
  <si>
    <t>Astral Break</t>
  </si>
  <si>
    <t>[Qiufeng Luojin] grants [Unstoppable] when cast</t>
  </si>
  <si>
    <t>Perching in Cracks</t>
  </si>
  <si>
    <t>[Shuofeng Lisong] grants invincibility when cast</t>
  </si>
  <si>
    <t>Boundless</t>
  </si>
  <si>
    <t>[Fencang Duanhai] cooldown reduced by 1 second</t>
  </si>
  <si>
    <t>Cliff Rock</t>
  </si>
  <si>
    <t>[Linjie Han] cooldown reduced by 1 second</t>
  </si>
  <si>
    <t>Red Heart</t>
  </si>
  <si>
    <t>[Linjie Han] Qi consumption reduced by 1</t>
  </si>
  <si>
    <t>Ten Thousand Chisels</t>
  </si>
  <si>
    <t>[Hailang Jingtao] Qi consumption reduced by 1</t>
  </si>
  <si>
    <t>Clearing Energy</t>
  </si>
  <si>
    <t>[Fen Yinyang] Qi consumption reduced by 1</t>
  </si>
  <si>
    <t>Myriad Transformations</t>
  </si>
  <si>
    <t>[Ge Hunxiao] Qi consumption reduced by 1</t>
  </si>
  <si>
    <t>Soaring Void</t>
  </si>
  <si>
    <t>[Dang Huanyu] cooldown reduced by 1 second</t>
  </si>
  <si>
    <t>Phantom Body</t>
  </si>
  <si>
    <t>[L眉e Qingchuan] grants [Unstoppable] after cast</t>
  </si>
  <si>
    <t>Gathering Heroes</t>
  </si>
  <si>
    <t>HP recovery increased by 10%</t>
  </si>
  <si>
    <t>Carriage Guest</t>
  </si>
  <si>
    <t>Movement speed increased by 5%</t>
  </si>
  <si>
    <t>Releasing Verses</t>
  </si>
  <si>
    <t>[Gui Qulai] damage increased by 10%</t>
  </si>
  <si>
    <t>Scattered Heights</t>
  </si>
  <si>
    <t>[Rouyun Raozhi] inflicts [Blind] effect on enemies, chance to miss attacks for 3 seconds</t>
  </si>
  <si>
    <t>Wind Bone</t>
  </si>
  <si>
    <t>[Qiongtu] resets [Fuchong Lou] cooldown when triggered (20s cooldown)</t>
  </si>
  <si>
    <t>Wild Banquet</t>
  </si>
  <si>
    <t>[Gui Qulai] damage increased by 5%, consumes 1 additional Qi</t>
  </si>
  <si>
    <t>Knowing Autumn</t>
  </si>
  <si>
    <t>[Nanmi] effect refreshes [Wen Qiufeng] duration</t>
  </si>
  <si>
    <t>Cycle Begins Anew</t>
  </si>
  <si>
    <t>Movement speed increased by 50</t>
  </si>
  <si>
    <t>Unceasing</t>
  </si>
  <si>
    <t>[Jinghe Yezhou] fan damage increased</t>
  </si>
  <si>
    <t>Infused Transformation</t>
  </si>
  <si>
    <t>[Huaqi Guanshen] grants [Unstoppable] when cast</t>
  </si>
  <si>
    <t>Cloud Piercer</t>
  </si>
  <si>
    <t>[Suoyun Huiri] grants [Unstoppable] after cast</t>
  </si>
  <si>
    <t>Mountain Destroyer</t>
  </si>
  <si>
    <t>[Jun Bei Gu] critical chance increased by 5%</t>
  </si>
  <si>
    <t>Hundred Refinements</t>
  </si>
  <si>
    <t>Blazing Glory</t>
  </si>
  <si>
    <t>[Jun Bei Gu] increases critical damage by 20% when cast</t>
  </si>
  <si>
    <t>Flying General</t>
  </si>
  <si>
    <t>[Heng Diezhang] grants damage/control immunity while leaping</t>
  </si>
  <si>
    <t>Obsessive Entanglement</t>
  </si>
  <si>
    <t>Attacks inflict [Obsessive Entanglement]: target loses 1% HP per second for 5s</t>
  </si>
  <si>
    <t>Rainy Embrace</t>
  </si>
  <si>
    <t>Attacks inflict [Rainy Embrace]: target loses 1 Qi every 5s for 10s</t>
  </si>
  <si>
    <t>Intimate Preparation</t>
  </si>
  <si>
    <t>Attacks inflict [Intimate Preparation]: target loses 1% stamina per second for 5s</t>
  </si>
  <si>
    <t>Plum Rain</t>
  </si>
  <si>
    <t>Stamina recovery +2 per second</t>
  </si>
  <si>
    <t>Overflowing Dikes</t>
  </si>
  <si>
    <t>Max stamina +10</t>
  </si>
  <si>
    <t>Blood Refining</t>
  </si>
  <si>
    <t>Enter combat: movement speed +5%</t>
  </si>
  <si>
    <t>Shattered Sinews</t>
  </si>
  <si>
    <t>[Sui Denghua] cooldown -1s</t>
  </si>
  <si>
    <t>Crimson Radiance</t>
  </si>
  <si>
    <t>[Fuxie Zhuyang] damage +5%</t>
  </si>
  <si>
    <t>Sun Dial Suppression</t>
  </si>
  <si>
    <t>[Zhen Canbei] cooldown -1s</t>
  </si>
  <si>
    <t>Drought Arrival</t>
  </si>
  <si>
    <t>[Fuxie Zhuyang] cooldown -1s</t>
  </si>
  <si>
    <t>Fierce Wheel</t>
  </si>
  <si>
    <t>[Fuxie Zhuyang] Qi cost -1</t>
  </si>
  <si>
    <t>Ultimate Dawn</t>
  </si>
  <si>
    <t>After [Zhen Canbei], next [Fuxie Zhuyang] breaks defense: -10% defense for 5s</t>
  </si>
  <si>
    <t>Unyielding Will</t>
  </si>
  <si>
    <t>[Ancient Hammer - Penetration], [Ancient Hammer - Final Forge] have brief [Unstoppable] during cast</t>
  </si>
  <si>
    <t>Reignited Embers</t>
  </si>
  <si>
    <t>[Ancient Hammer - Final Forge] cooldown -1s</t>
  </si>
  <si>
    <t>Chaotic Spiral</t>
  </si>
  <si>
    <t>[Ancient Hammer - Penetration] cooldown -1s</t>
  </si>
  <si>
    <t>Genesis Shift</t>
  </si>
  <si>
    <t>[Dadao Shifen] cooldown -1s</t>
  </si>
  <si>
    <t>World Turning</t>
  </si>
  <si>
    <t>[Kai Taiji] cooldown -1s</t>
  </si>
  <si>
    <t>Morning Enlightenment</t>
  </si>
  <si>
    <t>[Dadao Shifen] Qi cost -1</t>
  </si>
  <si>
    <t>Egoless</t>
  </si>
  <si>
    <t>[He Taiji] Qi cost -1</t>
  </si>
  <si>
    <t>Azure</t>
  </si>
  <si>
    <t>[Secret路Return to Silence] grants [Unstoppable] after cast</t>
  </si>
  <si>
    <t>Stars Turning</t>
  </si>
  <si>
    <t>After [He Taiji], [Kai Taiji] cooldown -1s</t>
  </si>
  <si>
    <t>Crimson Moon</t>
  </si>
  <si>
    <t>Lifesteal +10%</t>
  </si>
  <si>
    <t>Desolate</t>
  </si>
  <si>
    <t>[Zhai Xing Liao] cooldown -1s</t>
  </si>
  <si>
    <t>Bound Tresses</t>
  </si>
  <si>
    <t>[Yin Xing Qiong] Qi cost -1</t>
  </si>
  <si>
    <t>Long Rainbow</t>
  </si>
  <si>
    <t>[Fen Yinyang] cooldown -1s</t>
  </si>
  <si>
    <t>Wax and Wane</t>
  </si>
  <si>
    <t>[Ge Hunxiao] cooldown -1s</t>
  </si>
  <si>
    <t>Reverse Sword Technique</t>
  </si>
  <si>
    <t>[Iaido路Reverse Cut] Qi cost -1</t>
  </si>
  <si>
    <t>Void-Severing Style</t>
  </si>
  <si>
    <t>[Sword Technique路Return Cut] grants [Unstoppable] when cast</t>
  </si>
  <si>
    <t>Reverse Kasaya</t>
  </si>
  <si>
    <t>[Iaido路Draw Cut] Qi cost -1</t>
  </si>
  <si>
    <t>Falling Cherry Blossoms</t>
  </si>
  <si>
    <t>[Iaido路Draw Cut] cooldown -1s</t>
  </si>
  <si>
    <t>Xingtian</t>
  </si>
  <si>
    <t>[Nine Provinces Domination] increases external attack by 10% when cast</t>
  </si>
  <si>
    <t>Wind Deity</t>
  </si>
  <si>
    <t>[Lord of Ten Directions] cooldown -1s</t>
  </si>
  <si>
    <t>Dividing Territories</t>
  </si>
  <si>
    <t>[Eight Wastes Conquest] cooldown -1s</t>
  </si>
  <si>
    <t>Cauldron Lake</t>
  </si>
  <si>
    <t>[Eight Wastes Conquest] increases external attack by 10% when cast</t>
  </si>
  <si>
    <t>Challenging Battle</t>
  </si>
  <si>
    <t>[Night Slash Stone Tiger] cooldown -1s</t>
  </si>
  <si>
    <t>Lone Courage</t>
  </si>
  <si>
    <t>[Night Slash Stone Tiger] grants 2s [Unstoppable] when cast</t>
  </si>
  <si>
    <t>Unbreakable</t>
  </si>
  <si>
    <t>After heavy attack, grants 1s [Unstoppable]</t>
  </si>
  <si>
    <t>Overwhelming Numbers</t>
  </si>
  <si>
    <t>[Overwhelm Thousand Jun] cooldown -1s</t>
  </si>
  <si>
    <t>Killing Momentum</t>
  </si>
  <si>
    <t>[Sharp Wave Breaker] cooldown -1s</t>
  </si>
  <si>
    <t>Sand Traverse</t>
  </si>
  <si>
    <t>With [Seven Killers Iron Cloth]'s [Yinshan Moon] notes, [Drunken Battlefield]'s [Unstoppable] extends by 2s</t>
  </si>
  <si>
    <t>Breaking Formations</t>
  </si>
  <si>
    <t>At 50% HP, damage +8%</t>
  </si>
  <si>
    <t>Charging Arrays</t>
  </si>
  <si>
    <t>When hit, gain [Steadfast]: stamina recovery +15% for 5s</t>
  </si>
  <si>
    <t>Solitary Awakening</t>
  </si>
  <si>
    <t>[Single Reed Crosses River] consumes no Qi</t>
  </si>
  <si>
    <t>Dust Kalpa</t>
  </si>
  <si>
    <t>[Egoless Form] grants [Unstoppable] when cast</t>
  </si>
  <si>
    <t>Three Lifetimes</t>
  </si>
  <si>
    <t>[Flick Flower Toss Elephant] cooldown -1s</t>
  </si>
  <si>
    <t>Obstacle Breaker</t>
  </si>
  <si>
    <t>[Egoless Form] cooldown -1s</t>
  </si>
  <si>
    <t>Unblemished</t>
  </si>
  <si>
    <t>[Immovable] effect lasts 10s</t>
  </si>
  <si>
    <t>General's Fall</t>
  </si>
  <si>
    <t>[Qin King Enters Battle]: After damaging target, gain 1 [General Star] stack (max 5 stacks). At 5 stacks, gain 2s invincibility</t>
  </si>
  <si>
    <t>Twisting Trap</t>
  </si>
  <si>
    <t>At 50% HP, HP recovery +25%</t>
  </si>
  <si>
    <t>Lone Domination</t>
  </si>
  <si>
    <t>After [Moju Saddle] from [Tiger Guard Formation], gain [Lone Domination]: recover 30 stamina/s for 8s</t>
  </si>
  <si>
    <t>Guardian</t>
  </si>
  <si>
    <t>[Sword Technique路Reverse Cut] gains [Unstoppable] effect</t>
  </si>
  <si>
    <t>Soaring Dragon</t>
  </si>
  <si>
    <t>[Dragon Roams Heaven-Earth] Qi cost -1</t>
  </si>
  <si>
    <t>Descending Upon World</t>
  </si>
  <si>
    <t>[Divine Dragon Tail] Qi cost -1</t>
  </si>
  <si>
    <t>Hongjian</t>
  </si>
  <si>
    <t>[Dragon Roams Heaven-Earth] cooldown -1s</t>
  </si>
  <si>
    <t>Timely Ride</t>
  </si>
  <si>
    <t>[Divine Dragon Tail] cooldown -1s</t>
  </si>
  <si>
    <t>Unending</t>
  </si>
  <si>
    <t>[Flying Dragon Soars] cooldown -1s</t>
  </si>
  <si>
    <t>Returning Sun</t>
  </si>
  <si>
    <t>After [Suoyun Huiri], [Zong Jiuxiao] current cooldown -1s</t>
  </si>
  <si>
    <t>Wind Seizing</t>
  </si>
  <si>
    <t>[Suoyun Huiri] inflicts [Wind Resistance] on hit targets: movement speed -30% for 5s</t>
  </si>
  <si>
    <t>Potential</t>
  </si>
  <si>
    <t>[Slash路Stone Splitter] sword energy damage increased</t>
  </si>
  <si>
    <t>Return</t>
  </si>
  <si>
    <t>After [Robe路Forest Breaker], [Slash路Stone Splitter] current cooldown -1s</t>
  </si>
  <si>
    <t>Severing Ropes</t>
  </si>
  <si>
    <t>[Initial Strike路Conquest] cooldown -1s</t>
  </si>
  <si>
    <t>Sword Taking</t>
  </si>
  <si>
    <t>Enter combat: final damage +5%</t>
  </si>
  <si>
    <t>Defending Land</t>
  </si>
  <si>
    <t>Defense +3%, enter combat: reflect damage +10%</t>
  </si>
  <si>
    <t>Expanding Borders</t>
  </si>
  <si>
    <t>Final damage +3%, movement speed +50</t>
  </si>
  <si>
    <t>Intense Scorching</t>
  </si>
  <si>
    <t>[Sweep Mountains] reduces [Grass Snake Golden Thread] cooldown by 1s when hitting [Burning] targets</t>
  </si>
  <si>
    <t>Dust Raising</t>
  </si>
  <si>
    <t>[Grass Snake Golden Thread] grants [Dust Rising] when hitting [Burning] targets: for 8s, [Sweep Mountains] Qi cost -1</t>
  </si>
  <si>
    <t>Scattering Stars</t>
  </si>
  <si>
    <t>[Meteor Scatter] grants [Unstoppable] when cast</t>
  </si>
  <si>
    <t>Blink of an Eye</t>
  </si>
  <si>
    <t>After [Arrow Rain Clear], movement speed +100</t>
  </si>
  <si>
    <t>Momentary</t>
  </si>
  <si>
    <t>[Cold Hunt Dawn Arrow] grants [Unstoppable] during spear thrust</t>
  </si>
  <si>
    <t>Wandering Dispersion</t>
  </si>
  <si>
    <t>When launched, gain 1s invincibility</t>
  </si>
  <si>
    <t>New Moon to Full Moon</t>
  </si>
  <si>
    <t>[Lancang Lingzhan] Qi cost -1</t>
  </si>
  <si>
    <t>Serpent Shadow</t>
  </si>
  <si>
    <t>[Lingshe Diaogu] cooldown -1s</t>
  </si>
  <si>
    <t>Star Dwelling</t>
  </si>
  <si>
    <t>[Tianlong Youqu] stuns damaged targets</t>
  </si>
  <si>
    <t>Vast and Hazy</t>
  </si>
  <si>
    <t>Movement speed +50, gain 1 Qi every 30s</t>
  </si>
  <si>
    <t>Bone Returning Ground</t>
  </si>
  <si>
    <t>External attack +3%</t>
  </si>
  <si>
    <t>Stored Mechanism</t>
  </si>
  <si>
    <t>Enter combat: +1 starting bullet</t>
  </si>
  <si>
    <t>Flowing Structure</t>
  </si>
  <si>
    <t>After [Scatter Shot路Charge], movement speed +100</t>
  </si>
  <si>
    <t>Expanding Chamber</t>
  </si>
  <si>
    <t>Ammo capacity +1</t>
  </si>
  <si>
    <t>Mind's Link</t>
  </si>
  <si>
    <t>[Raogu Chanshen] grants [Unstoppable] when cast</t>
  </si>
  <si>
    <t>Sacrificial Rites</t>
  </si>
  <si>
    <t>[Can Kong Ling] cooldown -1s</t>
  </si>
  <si>
    <t>Hundred Legs</t>
  </si>
  <si>
    <t>[Qingsi Chanshe] cooldown -1s</t>
  </si>
  <si>
    <t>Clear Radiance</t>
  </si>
  <si>
    <t>Light attack damage +5%</t>
  </si>
  <si>
    <t>Cold Jade</t>
  </si>
  <si>
    <t>[Zhe Yupan] grants 2s [Unstoppable] after cast</t>
  </si>
  <si>
    <t>轻击id</t>
  </si>
  <si>
    <t>轻击类型（对应武学类型）</t>
  </si>
  <si>
    <t>招式（从小到大排列，分号;隔开,第一个默认学会)</t>
  </si>
  <si>
    <t>type</t>
  </si>
  <si>
    <t>轻击·单手轻刃</t>
  </si>
  <si>
    <t>9020001;9020002;9020003</t>
  </si>
  <si>
    <t>tricks/9020000</t>
  </si>
  <si>
    <t>轻击·重刃</t>
  </si>
  <si>
    <r>
      <rPr>
        <sz val="11"/>
        <color theme="1"/>
        <rFont val="宋体"/>
        <family val="3"/>
        <charset val="134"/>
        <scheme val="minor"/>
      </rPr>
      <t>9030001</t>
    </r>
    <r>
      <rPr>
        <sz val="11"/>
        <color theme="1"/>
        <rFont val="宋体"/>
        <family val="3"/>
        <charset val="134"/>
        <scheme val="minor"/>
      </rPr>
      <t>;9030002</t>
    </r>
  </si>
  <si>
    <t>江湖中流转的重刃武学，招式如封似闭，重若千钧。连续按键会使出连续轻击动作。</t>
  </si>
  <si>
    <t>tricks/9030000</t>
  </si>
  <si>
    <t>轻击·长兵</t>
  </si>
  <si>
    <t>9040001;9040002;9040003</t>
  </si>
  <si>
    <t>tricks/9040000</t>
  </si>
  <si>
    <t>轻击·扇法</t>
  </si>
  <si>
    <r>
      <rPr>
        <sz val="11"/>
        <color theme="1"/>
        <rFont val="宋体"/>
        <family val="3"/>
        <charset val="134"/>
        <scheme val="minor"/>
      </rPr>
      <t>90</t>
    </r>
    <r>
      <rPr>
        <sz val="11"/>
        <color theme="1"/>
        <rFont val="宋体"/>
        <family val="3"/>
        <charset val="134"/>
        <scheme val="minor"/>
      </rPr>
      <t>5</t>
    </r>
    <r>
      <rPr>
        <sz val="11"/>
        <color theme="1"/>
        <rFont val="宋体"/>
        <family val="3"/>
        <charset val="134"/>
        <scheme val="minor"/>
      </rPr>
      <t>0001;90</t>
    </r>
    <r>
      <rPr>
        <sz val="11"/>
        <color theme="1"/>
        <rFont val="宋体"/>
        <family val="3"/>
        <charset val="134"/>
        <scheme val="minor"/>
      </rPr>
      <t>5</t>
    </r>
    <r>
      <rPr>
        <sz val="11"/>
        <color theme="1"/>
        <rFont val="宋体"/>
        <family val="3"/>
        <charset val="134"/>
        <scheme val="minor"/>
      </rPr>
      <t>0002;90</t>
    </r>
    <r>
      <rPr>
        <sz val="11"/>
        <color theme="1"/>
        <rFont val="宋体"/>
        <family val="3"/>
        <charset val="134"/>
        <scheme val="minor"/>
      </rPr>
      <t>5</t>
    </r>
    <r>
      <rPr>
        <sz val="11"/>
        <color theme="1"/>
        <rFont val="宋体"/>
        <family val="3"/>
        <charset val="134"/>
        <scheme val="minor"/>
      </rPr>
      <t>0003;90</t>
    </r>
    <r>
      <rPr>
        <sz val="11"/>
        <color theme="1"/>
        <rFont val="宋体"/>
        <family val="3"/>
        <charset val="134"/>
        <scheme val="minor"/>
      </rPr>
      <t>5</t>
    </r>
    <r>
      <rPr>
        <sz val="11"/>
        <color theme="1"/>
        <rFont val="宋体"/>
        <family val="3"/>
        <charset val="134"/>
        <scheme val="minor"/>
      </rPr>
      <t>0004</t>
    </r>
  </si>
  <si>
    <t>tricks/9050000</t>
  </si>
  <si>
    <t>轻击·拳掌</t>
  </si>
  <si>
    <t>9010001;9010002;9010003;9010004</t>
  </si>
  <si>
    <t>tricks/9010000</t>
  </si>
  <si>
    <t>轻击·暗器</t>
  </si>
  <si>
    <t>9060001;9060002;9060003</t>
  </si>
  <si>
    <t>tricks/9060000</t>
  </si>
  <si>
    <t>轻击·腿脚</t>
  </si>
  <si>
    <t>9090001;9090002;9090003;9090004</t>
  </si>
  <si>
    <t>tricks/9090000</t>
  </si>
  <si>
    <t>轻击·双手轻刃</t>
  </si>
  <si>
    <t>9100001;9100002;9100003</t>
  </si>
  <si>
    <t>tricks/9100000</t>
  </si>
  <si>
    <t>轻击·绳镖</t>
  </si>
  <si>
    <r>
      <rPr>
        <sz val="11"/>
        <color theme="1"/>
        <rFont val="宋体"/>
        <family val="3"/>
        <charset val="134"/>
        <scheme val="minor"/>
      </rPr>
      <t>91</t>
    </r>
    <r>
      <rPr>
        <sz val="11"/>
        <color theme="1"/>
        <rFont val="宋体"/>
        <family val="3"/>
        <charset val="134"/>
        <scheme val="minor"/>
      </rPr>
      <t>1</t>
    </r>
    <r>
      <rPr>
        <sz val="11"/>
        <color theme="1"/>
        <rFont val="宋体"/>
        <family val="3"/>
        <charset val="134"/>
        <scheme val="minor"/>
      </rPr>
      <t>0001;91</t>
    </r>
    <r>
      <rPr>
        <sz val="11"/>
        <color theme="1"/>
        <rFont val="宋体"/>
        <family val="3"/>
        <charset val="134"/>
        <scheme val="minor"/>
      </rPr>
      <t>1</t>
    </r>
    <r>
      <rPr>
        <sz val="11"/>
        <color theme="1"/>
        <rFont val="宋体"/>
        <family val="3"/>
        <charset val="134"/>
        <scheme val="minor"/>
      </rPr>
      <t>0002;91</t>
    </r>
    <r>
      <rPr>
        <sz val="11"/>
        <color theme="1"/>
        <rFont val="宋体"/>
        <family val="3"/>
        <charset val="134"/>
        <scheme val="minor"/>
      </rPr>
      <t>1</t>
    </r>
    <r>
      <rPr>
        <sz val="11"/>
        <color theme="1"/>
        <rFont val="宋体"/>
        <family val="3"/>
        <charset val="134"/>
        <scheme val="minor"/>
      </rPr>
      <t>0003</t>
    </r>
  </si>
  <si>
    <t>轻击·弓箭</t>
  </si>
  <si>
    <t>9120001</t>
  </si>
  <si>
    <t>轻击·软鞭</t>
  </si>
  <si>
    <t>9130001;9130002;9130003</t>
  </si>
  <si>
    <t>轻击·火器</t>
  </si>
  <si>
    <t>9140001</t>
  </si>
  <si>
    <t>江湖中流传的火器操持之法，势如霹雳，动若惊雷，连续按键会使出连击轻击动作</t>
  </si>
  <si>
    <t>tricks/9140000</t>
  </si>
  <si>
    <t>轻击·短兵</t>
  </si>
  <si>
    <t>9150001;9150002;9150003;9150004</t>
  </si>
  <si>
    <t>Light Attack·Single Light Blade</t>
  </si>
  <si>
    <t>The single-handed light blade martial arts circulating in the martial world feature agile and graceful techniques, swift and formless. Continuous button presses will execute a series of light attacks.</t>
  </si>
  <si>
    <t>Light Attack·Heavy Blade</t>
  </si>
  <si>
    <t>The heavy blade martial arts circulating in the martial world are as solid as a fortress, weighty as a thousand pounds. Continuous button presses will execute a series of light attacks.</t>
  </si>
  <si>
    <t>Light Attack·Polearm</t>
  </si>
  <si>
    <t>The long weapon martial arts circulating in the martial world are grand and sweeping, awe-inspiring in their might, striking fear into those who witness them. Continuous button presses will execute a series of light attacks.</t>
  </si>
  <si>
    <t>Light Attack·Fan</t>
  </si>
  <si>
    <t>The fan technique martial arts circulating in the martial world are elegant and nimble, yet conceal deadly intent. Continuous button presses will execute a series of light attacks.</t>
  </si>
  <si>
    <t>Light Attack·Fist/Palm</t>
  </si>
  <si>
    <t>The fist technique martial arts circulating in the martial world are like galloping horses and cascading waterfalls, unstoppable in their momentum. Continuous button presses will execute a series of light attacks.</t>
  </si>
  <si>
    <t>Light Attack·Hidden Weapon</t>
  </si>
  <si>
    <t>The hidden weapon martial arts circulating in the martial world conceal lethal intent, the most sinister and treacherous. Continuous button presses will execute a series of light attacks.</t>
  </si>
  <si>
    <t>Light Attack·Leg/Foot</t>
  </si>
  <si>
    <t>The leg technique martial arts circulating in the martial world are fierce and unmatched. Continuous button presses will execute a series of light attacks.</t>
  </si>
  <si>
    <t>Light Attack·Dual Light Blades</t>
  </si>
  <si>
    <t>The dual-wielded light blade martial arts circulating in the martial world feature techniques vastly different from those of the Central Plains. Continuous button presses will execute a series of light attacks.</t>
  </si>
  <si>
    <t>Light Attack·Rope Dart</t>
  </si>
  <si>
    <t>The rope dart martial arts circulating in the martial world are often practiced by the esoteric sects, making them unpredictable and hard to defend against. Continuous button presses will execute a series of light attacks.</t>
  </si>
  <si>
    <t>Light Attack·Archery</t>
  </si>
  <si>
    <t>The bow and arrow techniques circulating in the martial world are mostly passed down from military formations. Continuous button presses will execute a series of light attacks.</t>
  </si>
  <si>
    <t>Light Attack·Flexible Whip</t>
  </si>
  <si>
    <t>The soft whip martial arts circulating in the martial world are primarily from the southern regions, blending hardness and softness, with techniques so bizarre they are hard to defend against.</t>
  </si>
  <si>
    <t>Light Attack·Firearm</t>
  </si>
  <si>
    <t>The firearm techniques circulating in the martial world strike like thunder, moving with the speed of lightning. Continuous button presses will execute a series of light attacks.</t>
  </si>
  <si>
    <t>Light Attack·Short Weapon</t>
  </si>
  <si>
    <t>The short weapon martial arts circulating in the martial world are swift and ever-changing. Continuous button presses will execute a series of light attacks.</t>
  </si>
  <si>
    <t>重击id</t>
  </si>
  <si>
    <t>重击类型（对应武学类型）</t>
  </si>
  <si>
    <t>招式（从小到大排列，分号;隔开)</t>
  </si>
  <si>
    <t>重击·拳掌</t>
  </si>
  <si>
    <r>
      <rPr>
        <sz val="11"/>
        <color theme="1"/>
        <rFont val="宋体"/>
        <family val="3"/>
        <charset val="134"/>
        <scheme val="minor"/>
      </rPr>
      <t>9010005</t>
    </r>
    <r>
      <rPr>
        <sz val="11"/>
        <color theme="1"/>
        <rFont val="宋体"/>
        <family val="3"/>
        <charset val="134"/>
        <scheme val="minor"/>
      </rPr>
      <t>;9010006;</t>
    </r>
  </si>
  <si>
    <t>重击·单手轻刃</t>
  </si>
  <si>
    <t>9020011;9020012</t>
  </si>
  <si>
    <t>重击·重刃</t>
  </si>
  <si>
    <r>
      <rPr>
        <sz val="11"/>
        <color theme="1"/>
        <rFont val="宋体"/>
        <family val="3"/>
        <charset val="134"/>
        <scheme val="minor"/>
      </rPr>
      <t>9030011</t>
    </r>
    <r>
      <rPr>
        <sz val="11"/>
        <color theme="1"/>
        <rFont val="宋体"/>
        <family val="3"/>
        <charset val="134"/>
        <scheme val="minor"/>
      </rPr>
      <t>;9030012</t>
    </r>
  </si>
  <si>
    <t>重击·长兵</t>
  </si>
  <si>
    <t>9040005;9040006</t>
  </si>
  <si>
    <t>tricks/9040007</t>
  </si>
  <si>
    <t>重击·扇法</t>
  </si>
  <si>
    <t>9050005;9050006</t>
  </si>
  <si>
    <t>重击·暗器</t>
  </si>
  <si>
    <r>
      <rPr>
        <sz val="11"/>
        <color theme="1"/>
        <rFont val="宋体"/>
        <family val="3"/>
        <charset val="134"/>
        <scheme val="minor"/>
      </rPr>
      <t>9</t>
    </r>
    <r>
      <rPr>
        <sz val="11"/>
        <color theme="1"/>
        <rFont val="宋体"/>
        <family val="3"/>
        <charset val="134"/>
        <scheme val="minor"/>
      </rPr>
      <t>060011;9060012</t>
    </r>
  </si>
  <si>
    <t>重击·腿脚</t>
  </si>
  <si>
    <t>9090011;9090012</t>
  </si>
  <si>
    <t>重击·双手轻刃</t>
  </si>
  <si>
    <t>9100011;9100012</t>
  </si>
  <si>
    <t>重击·绳镖</t>
  </si>
  <si>
    <t>9110011;9110012</t>
  </si>
  <si>
    <t>重击·弓箭</t>
  </si>
  <si>
    <t>9120011;9120012</t>
  </si>
  <si>
    <t>江湖中流转的弓箭之重击，多为军阵所传。</t>
  </si>
  <si>
    <t>重击·软鞭</t>
  </si>
  <si>
    <t>9130011;9130012</t>
  </si>
  <si>
    <t>重击·火器</t>
  </si>
  <si>
    <t>9140011;9140012</t>
  </si>
  <si>
    <t>重击·短兵</t>
  </si>
  <si>
    <t>9150011;9150012</t>
  </si>
  <si>
    <t>Heavy Strike · Fist &amp; Palm</t>
  </si>
  <si>
    <t>The heavy attack of fist techniques circulating in the martial world is like galloping horses and cascading waterfalls, unstoppable in its momentum.</t>
  </si>
  <si>
    <t>Heavy Strike · Single-Handed Light Blade</t>
  </si>
  <si>
    <t>The heavy attack of single-handed light blade techniques circulating in the martial world is agile and graceful, swift and formless.</t>
  </si>
  <si>
    <t>Heavy Strike · Heavy Blade</t>
  </si>
  <si>
    <t>The heavy attack of heavy blade techniques circulating in the martial world is as solid as a fortress, weighty as a thousand pounds.</t>
  </si>
  <si>
    <t>Heavy Strike · Long Weapon</t>
  </si>
  <si>
    <t>The heavy attack of long weapon techniques circulating in the martial world is grand and sweeping, awe-inspiring in its might, striking fear into those who witness it.</t>
  </si>
  <si>
    <t>Heavy Strike · Fan Technique</t>
  </si>
  <si>
    <t>The heavy attack of fan techniques circulating in the martial world is elegant and nimble, yet conceals deadly intent.</t>
  </si>
  <si>
    <t>Heavy Strike · Hidden Weapon</t>
  </si>
  <si>
    <t>The heavy attack of hidden weapon techniques circulating in the martial world conceals lethal intent, the most sinister and treacherous.</t>
  </si>
  <si>
    <t>Heavy Strike · Leg Technique</t>
  </si>
  <si>
    <t>The heavy attack of leg techniques circulating in the martial world is fierce and unmatched.</t>
  </si>
  <si>
    <t>Heavy Strike · Dual-Wielded Light Blade</t>
  </si>
  <si>
    <t>The heavy attack of dual-wielded light blade techniques circulating in the martial world is vastly different from the martial arts of the Central Plains.</t>
  </si>
  <si>
    <t>Heavy Strike · Rope Dart</t>
  </si>
  <si>
    <t>The heavy attack of rope dart techniques circulating in the martial world is often practiced by the esoteric sects, making it unpredictable and hard to defend against.</t>
  </si>
  <si>
    <t>Heavy Strike · Bow &amp; Arrow</t>
  </si>
  <si>
    <t>The heavy attack of bow and arrow techniques circulating in the martial world is mostly passed down from military formations.</t>
  </si>
  <si>
    <t>Heavy Strike · Soft Whip</t>
  </si>
  <si>
    <t>Heavy Strike · Firearm</t>
  </si>
  <si>
    <t>The firearm techniques circulating in the martial world involve reloading ammunition for firearms.</t>
  </si>
  <si>
    <t>Heavy Strike · Short Weapon</t>
  </si>
  <si>
    <t>The heavy attack of short weapon techniques circulating in the martial world is swift and ever-changing.</t>
  </si>
  <si>
    <t>飞行道具ID</t>
  </si>
  <si>
    <t>飞行道具名</t>
  </si>
  <si>
    <t>所属武学</t>
  </si>
  <si>
    <t>飞行道具伤害</t>
  </si>
  <si>
    <t>附带效果</t>
  </si>
  <si>
    <t>飞行道具射程</t>
  </si>
  <si>
    <t>伤害范围</t>
  </si>
  <si>
    <t>飞行道具匀速速度</t>
  </si>
  <si>
    <t>飞行道具加速度</t>
  </si>
  <si>
    <t>飞行道具存在规则</t>
  </si>
  <si>
    <t>飞行道具弹道</t>
  </si>
  <si>
    <t>Name</t>
  </si>
  <si>
    <t>WuXue</t>
  </si>
  <si>
    <t>Hurt</t>
  </si>
  <si>
    <t>AttackType</t>
  </si>
  <si>
    <t>(境界等级+1)*30+内息*1.2/境界等级</t>
  </si>
  <si>
    <t>僵直</t>
  </si>
  <si>
    <t>0.02/100像素</t>
  </si>
  <si>
    <t>折返伤害</t>
  </si>
  <si>
    <t>归去来,放词</t>
  </si>
  <si>
    <t>(境界等级+1)*30+内息*2.4/境界等级</t>
  </si>
  <si>
    <t>直线伤害</t>
  </si>
  <si>
    <t>散学id</t>
  </si>
  <si>
    <t>自动学习招式</t>
  </si>
  <si>
    <t>AutoSkill</t>
  </si>
  <si>
    <t>9000002;9010007;9020021;9030021;9040007;9050021;9060021;9090021;9100021;9110021;9120021;9130021;9140021;9150021;9000005;9010008;9020022;9030022;9040008;9050022;9060022;9090022;9100022;9110022;9120022;9130022;9140022;9150022</t>
  </si>
  <si>
    <t>江湖中的闪避架势，身轻如鸿，向后闪躲。在任何时候（包括受击状态，普通攻击中）都可施展闪避，和敌人拉开距离并躲避对方的攻击。</t>
  </si>
  <si>
    <t>江湖中的纵跃法，双足鼎力，向上纵跃。纵跃滞空时可以再次施展二段纵跃。</t>
  </si>
  <si>
    <t>江湖中的脱身之技，在任何时候（包括受击状态，浮空状态，普通攻击中）都可消耗气血施展，脱离当前的硬直状态。</t>
  </si>
  <si>
    <r>
      <rPr>
        <sz val="12"/>
        <color theme="1"/>
        <rFont val="Segoe UI"/>
        <family val="2"/>
      </rPr>
      <t>A defensive stance in the martial world that redirects force by expending stamina. Holding the block command allows you to withstand most frontal enemy attacks. If timed precisely during an enemy's wind-up animation, a perfect block can trigger a ​</t>
    </r>
    <r>
      <rPr>
        <sz val="12"/>
        <color theme="1"/>
        <rFont val="Segoe UI"/>
        <family val="2"/>
      </rPr>
      <t>​Parry​</t>
    </r>
    <r>
      <rPr>
        <sz val="12"/>
        <color theme="1"/>
        <rFont val="Segoe UI"/>
        <family val="2"/>
      </rPr>
      <t>​, leaving the enemy vulnerable.</t>
    </r>
  </si>
  <si>
    <t>A nimble evasion technique, light as a feather, allowing you to swiftly retreat backward. Can be performed at any time (even while being hit or mid-combo) to create distance and avoid enemy strikes.</t>
  </si>
  <si>
    <r>
      <rPr>
        <sz val="12"/>
        <color theme="1"/>
        <rFont val="Segoe UI"/>
        <family val="2"/>
      </rPr>
      <t>A powerful upward jump, rooted in solid footing. While airborne, you can perform a ​</t>
    </r>
    <r>
      <rPr>
        <sz val="12"/>
        <color theme="1"/>
        <rFont val="Segoe UI"/>
        <family val="2"/>
      </rPr>
      <t>​Double Jump​</t>
    </r>
    <r>
      <rPr>
        <sz val="12"/>
        <color theme="1"/>
        <rFont val="Segoe UI"/>
        <family val="2"/>
      </rPr>
      <t>​ for extended evasion or positioning.</t>
    </r>
  </si>
  <si>
    <t>Explosive Aura</t>
  </si>
  <si>
    <t>A desperate escape technique that consumes health to instantly recover from any immobilized state (including hitstun, knock-up, or mid-combo), allowing you to regain control.</t>
  </si>
  <si>
    <t>新指法</t>
  </si>
  <si>
    <t>新单手轻刃</t>
  </si>
  <si>
    <t>新暗器</t>
  </si>
  <si>
    <t>新双手轻刃1</t>
  </si>
  <si>
    <t>新双手轻刃2</t>
  </si>
  <si>
    <t>被动招式：当前即将濒死时，获得【血骨】效果,效果持续期间不会死亡，该效果持续6秒，持续期间获得【霸体】效果，效果结束后3分钟后才能在次触发该效果。（仅主角有效）</t>
    <phoneticPr fontId="45" type="noConversion"/>
  </si>
  <si>
    <t>被动招式：施展【血骨】效果结束后,立即恢复自身30%的最大气血值。（仅主角有效）</t>
    <phoneticPr fontId="45" type="noConversion"/>
  </si>
  <si>
    <t>被动招式：施展【血骨】效果结束后,立即恢复自身20%的最大气血值。（仅主角有效）</t>
    <phoneticPr fontId="45" type="noConversion"/>
  </si>
  <si>
    <t>被动招式：【血骨】效果结束后,立即恢复自身20%的最大气血值。</t>
    <phoneticPr fontId="45" type="noConversion"/>
  </si>
  <si>
    <t>被动招式：施展【醉君侯刀铭】武学和【镇国抵岳枪】武学时获得【旗魂】效果,额外增加3%外功攻击,该效果持续3秒。</t>
    <phoneticPr fontId="45" type="noConversion"/>
  </si>
  <si>
    <t>被动招式：根据自身属性提升气血恢复5%。</t>
    <phoneticPr fontId="45" type="noConversion"/>
  </si>
  <si>
    <t>被动招式：受到伤害时，有50%概率增加15%反伤属性,本场战斗永久生效。（每次战斗仅生效1次）</t>
    <phoneticPr fontId="45" type="noConversion"/>
  </si>
  <si>
    <t>被动招式：【痴缠两怨】获取的吸血效果增强，额外提升气血回复属性。</t>
    <phoneticPr fontId="45" type="noConversion"/>
  </si>
  <si>
    <t>主动招式：释放后获得3秒【霸体】效果。</t>
    <phoneticPr fontId="45" type="noConversion"/>
  </si>
  <si>
    <t>被动招式：施展【支无祁身】时，反伤属性增加，效果持续8秒。（影响属性：筋骨）</t>
    <phoneticPr fontId="45" type="noConversion"/>
  </si>
  <si>
    <t>被动招式：进入战斗后,武力属性增加2点。</t>
    <phoneticPr fontId="45" type="noConversion"/>
  </si>
  <si>
    <t>被动招式：根据自身属性提升气血回复5%。</t>
    <phoneticPr fontId="45" type="noConversion"/>
  </si>
  <si>
    <t>被动招式：施展【支无祁身】时，防御力、反伤属性增加，效果持续8秒。（影响属性：筋骨、内息）</t>
    <phoneticPr fontId="45" type="noConversion"/>
  </si>
  <si>
    <t>被动招式：自身暴击提升5%。</t>
    <phoneticPr fontId="45" type="noConversion"/>
  </si>
  <si>
    <t>被动招式：进入战斗后,内息属性增加2点。</t>
    <phoneticPr fontId="45" type="noConversion"/>
  </si>
  <si>
    <t>被动招式：【妙手生春】调息时间减5秒。</t>
    <phoneticPr fontId="45" type="noConversion"/>
  </si>
  <si>
    <t>被动招式：治疗效果额外增加15%。</t>
    <phoneticPr fontId="45" type="noConversion"/>
  </si>
  <si>
    <t>被动招式：【虚实相生】不再降低内劲恢复速度。</t>
    <phoneticPr fontId="45" type="noConversion"/>
  </si>
  <si>
    <t>被动招式：真气上限+1。</t>
    <phoneticPr fontId="45" type="noConversion"/>
  </si>
  <si>
    <t>被动招式：【虚实相生】招式施展后额外获得2点真气，内劲恢复额外增加10%，招式调息时间降低5秒。</t>
    <phoneticPr fontId="45" type="noConversion"/>
  </si>
  <si>
    <t>被动招式：进入战斗后,筋骨属性增加2点。</t>
    <phoneticPr fontId="45" type="noConversion"/>
  </si>
  <si>
    <t>被动招式：体力上限增加15。</t>
    <phoneticPr fontId="45" type="noConversion"/>
  </si>
  <si>
    <t>被动招式：【无漏金钟】额外增加1层【金钟罩】效果，技能调息时间降低5秒。</t>
    <phoneticPr fontId="45" type="noConversion"/>
  </si>
  <si>
    <t>被动招式：【轰雷贯耳】调息时间减5秒。</t>
    <phoneticPr fontId="45" type="noConversion"/>
  </si>
  <si>
    <t>被动招式：【轰雷贯耳】招式使用后额外恢复50点内劲。</t>
    <phoneticPr fontId="45" type="noConversion"/>
  </si>
  <si>
    <t>被动招式：施展【紫气东来】后5秒内必定触发暴击效果。</t>
    <phoneticPr fontId="45" type="noConversion"/>
  </si>
  <si>
    <t>被动招式：攻击带有【灼霞】效果的目标时增加10%破甲伤害,该效果持续10秒。</t>
    <phoneticPr fontId="45" type="noConversion"/>
  </si>
  <si>
    <t>被动招式：额外增加1点真气上限。</t>
    <phoneticPr fontId="45" type="noConversion"/>
  </si>
  <si>
    <t>被动招式：【充盈】存在时，【气荡瀚斗】效果额外提升10秒。</t>
    <phoneticPr fontId="45" type="noConversion"/>
  </si>
  <si>
    <t>被动招式：【扶柳飘絮】调息时间减10秒。</t>
    <phoneticPr fontId="45" type="noConversion"/>
  </si>
  <si>
    <t>被动招式：【扶柳飘絮】招式额外提升5%暴击几率，所要消耗的气血额外降低5%。</t>
    <phoneticPr fontId="45" type="noConversion"/>
  </si>
  <si>
    <t>被动招式：【北海倒悬】调息时间减5秒。</t>
    <phoneticPr fontId="45" type="noConversion"/>
  </si>
  <si>
    <t>被动招式：【北海倒悬】招式施展时受到的伤害额外降低20%。</t>
    <phoneticPr fontId="45" type="noConversion"/>
  </si>
  <si>
    <t>被动招式：【混元一气诀】调息时间减5秒。</t>
    <phoneticPr fontId="45" type="noConversion"/>
  </si>
  <si>
    <t>被动招式：【混元一气诀】招式额外吸收伤害。（影响属性：内息）</t>
    <phoneticPr fontId="45" type="noConversion"/>
  </si>
  <si>
    <t>被动招式：【神农百草诀】调息时间减5秒。</t>
    <phoneticPr fontId="45" type="noConversion"/>
  </si>
  <si>
    <t>被动招式：治疗效果额外增加10%。</t>
    <phoneticPr fontId="45" type="noConversion"/>
  </si>
  <si>
    <t>被动招式：每个在场且存活的同伴提升暴击概率5%。</t>
    <phoneticPr fontId="45" type="noConversion"/>
  </si>
  <si>
    <t>被动招式：【业因】效果额外提升全队参战人员10%气血恢复属性。</t>
    <phoneticPr fontId="45" type="noConversion"/>
  </si>
  <si>
    <t>被动招式：自身获得【霸体】效果时获得10%伤害减免。</t>
    <phoneticPr fontId="45" type="noConversion"/>
  </si>
  <si>
    <t>被动招式：每个拥有1个异常效果，额外提升1%内功攻击。</t>
    <phoneticPr fontId="45" type="noConversion"/>
  </si>
  <si>
    <t>被动招式：额外提升体力恢复2点。</t>
    <phoneticPr fontId="45" type="noConversion"/>
  </si>
  <si>
    <t>被动招式：血量每降低1%，额外提升外功防御和内功防御0.2%。</t>
    <phoneticPr fontId="45" type="noConversion"/>
  </si>
  <si>
    <t>被动招式：身上每有1个异常效果，额外提升2%额外伤害。</t>
    <phoneticPr fontId="45" type="noConversion"/>
  </si>
  <si>
    <t>被动招式：【朔独还】调息时间减5秒。</t>
    <phoneticPr fontId="45" type="noConversion"/>
  </si>
  <si>
    <t>被动招式：【朔独还】效果额外提升3%额外伤害，降低5%外功防御和内功防御。</t>
    <phoneticPr fontId="45" type="noConversion"/>
  </si>
  <si>
    <t>被动招式：进入战斗后,内息属性增加3点。</t>
    <phoneticPr fontId="45" type="noConversion"/>
  </si>
  <si>
    <t>被动招式：提升招式【身双影残】对敌人造成的额外伤害。</t>
    <phoneticPr fontId="45" type="noConversion"/>
  </si>
  <si>
    <t>被动招式：提升招式【绕蛊缠身】对敌人造成的额外伤害。</t>
    <phoneticPr fontId="45" type="noConversion"/>
  </si>
  <si>
    <t>被动招式：内功【玄黎蛊瘴】中的【赤蛛织心】招式触发气血回复的血限条件额外增加5%。</t>
    <phoneticPr fontId="45" type="noConversion"/>
  </si>
  <si>
    <t>被动招式：进入战斗后,武力属性增加3点。</t>
    <phoneticPr fontId="45" type="noConversion"/>
  </si>
  <si>
    <t>被动招式：弹容量增加1发。</t>
    <phoneticPr fontId="45" type="noConversion"/>
  </si>
  <si>
    <t>被动招式：进入战斗后,默认额外增加1颗初始子弹数量。</t>
    <phoneticPr fontId="45" type="noConversion"/>
  </si>
  <si>
    <t>被动招式：提升招式【澜沧凌栈】对敌人造成的额外伤害。</t>
    <phoneticPr fontId="45" type="noConversion"/>
  </si>
  <si>
    <t>被动招式：提升招式【矢雨晴】对敌人造成的额外伤害。</t>
    <phoneticPr fontId="45" type="noConversion"/>
  </si>
  <si>
    <t>被动招式：【身独】的减速效果变更为定身效果。</t>
    <phoneticPr fontId="45" type="noConversion"/>
  </si>
  <si>
    <t>被动招式：提升招式【扫岳荡丘】对敌人造成的额外伤害。</t>
    <phoneticPr fontId="45" type="noConversion"/>
  </si>
  <si>
    <t>被动招式：提升招式【斩·断石】对敌人造成的额外伤害。</t>
    <phoneticPr fontId="45" type="noConversion"/>
  </si>
  <si>
    <t>被动招式：提升招式【居·合】对敌人造成的额外伤害。</t>
    <phoneticPr fontId="45" type="noConversion"/>
  </si>
  <si>
    <t>被动招式：攻击附带【孤雁】效果的敌人额外增加10%暴击伤害。</t>
    <phoneticPr fontId="45" type="noConversion"/>
  </si>
  <si>
    <t>被动招式：施展【飞龙在天】招式时，获得【霸体】效果。</t>
    <phoneticPr fontId="45" type="noConversion"/>
  </si>
  <si>
    <t>被动招式：攻击附有【龙吟】效果的敌人时额外增加10%暴击伤害。</t>
    <phoneticPr fontId="45" type="noConversion"/>
  </si>
  <si>
    <t>被动招式：施展【化气贯神】对敌人造成的额外伤害。</t>
    <phoneticPr fontId="45" type="noConversion"/>
  </si>
  <si>
    <t>被动招式：提升招式【问秋风】对敌人造成的额外伤害。</t>
    <phoneticPr fontId="45" type="noConversion"/>
  </si>
  <si>
    <t>被动招式：进入战斗后,身法属性增加3点。</t>
    <phoneticPr fontId="45" type="noConversion"/>
  </si>
  <si>
    <t>被动招式：提升招式【秦王入阵】对敌人造成的额外伤害。</t>
    <phoneticPr fontId="45" type="noConversion"/>
  </si>
  <si>
    <t>被动招式：当获得【城谋】效果时，自身气血回复属性额外增加30%，伤害额外增加5%，该效果持续5秒。</t>
    <phoneticPr fontId="45" type="noConversion"/>
  </si>
  <si>
    <t>被动招式：进入战斗后,筋骨属性增加3点。</t>
    <phoneticPr fontId="45" type="noConversion"/>
  </si>
  <si>
    <t>被动招式：提升招式【一苇横江】对敌人造成的额外伤害。</t>
    <phoneticPr fontId="45" type="noConversion"/>
  </si>
  <si>
    <t>被动招式：【九州纵横】调息时间减少1秒。</t>
    <phoneticPr fontId="45" type="noConversion"/>
  </si>
  <si>
    <t>被动招式：对附带【镇厌】效果的敌人造成伤害时,附加【减速】效果，移动速度降低30%。</t>
    <phoneticPr fontId="45" type="noConversion"/>
  </si>
  <si>
    <t>被动招式：提升招式【横叠嶂】对敌人造成的额外伤害。</t>
    <phoneticPr fontId="45" type="noConversion"/>
  </si>
  <si>
    <t>被动招式：提升招式【长驱摧城】对敌人造成的额外伤害。</t>
    <phoneticPr fontId="45" type="noConversion"/>
  </si>
  <si>
    <t>被动招式：提升招式【锋卷破浪】对敌人造成的额外伤害。</t>
    <phoneticPr fontId="45" type="noConversion"/>
  </si>
  <si>
    <t>被动招式：施展【沧溟游】招式时，增加5%暴击几率。</t>
    <phoneticPr fontId="45" type="noConversion"/>
  </si>
  <si>
    <t>被动招式：当攻击的目标同时存在【妄念】和【失明】效果时，触发【残絮】效果，暴击伤害增加20%，该效果持续10秒。</t>
    <phoneticPr fontId="45" type="noConversion"/>
  </si>
  <si>
    <t>被动招式：提升【分阴阳】招式伤害5%。</t>
    <phoneticPr fontId="45" type="noConversion"/>
  </si>
  <si>
    <t>被动招式：【焚沧断海】击杀敌人获得【锐惊】效果，增加2%暴击伤害，最多可叠加5层,该效果持续15秒。</t>
    <phoneticPr fontId="45" type="noConversion"/>
  </si>
  <si>
    <t>被动招式：施展【秋风落尽】后，获得【萧瑟】效果，具有此效果时，提升1%外功攻击与内功攻击，最多叠加五层，该效果持续7秒。</t>
    <phoneticPr fontId="45" type="noConversion"/>
  </si>
  <si>
    <t>被动招式：【物我两忘】中的【合道】效果提升至10%内劲恢复，持续时间变更为10秒。</t>
    <phoneticPr fontId="45" type="noConversion"/>
  </si>
  <si>
    <t>被动招式：施展【伏邪诛阳】时若触发【射日引】的霸体效果，伤害提升5%。</t>
    <phoneticPr fontId="45" type="noConversion"/>
  </si>
  <si>
    <t>被动招式：施展【古锤-叠冲】时，伤害提升5%。</t>
    <phoneticPr fontId="45" type="noConversion"/>
  </si>
  <si>
    <t>Passive Skill: When near death, gain [Blood Bone] effect preventing death for 6s (grants [Unstoppable]), 3-minute cooldown.(Protagonist Exclusive)</t>
    <phoneticPr fontId="45" type="noConversion"/>
  </si>
  <si>
    <t>Passive Skill: After [Blood Bone] ends, instantly restore 30% max HP.(Protagonist Exclusive)</t>
    <phoneticPr fontId="45" type="noConversion"/>
  </si>
  <si>
    <t>Passive Skill: After [Blood Bone] ends, instantly restore 20% max HP.(Protagonist Exclusive)</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</si>
</sst>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宋体"/>
      <charset val="134"/>
      <scheme val="minor"/>
    </font>
    <font>
      <sz val="11"/>
      <color rgb="FFFFFFFF"/>
      <name val="宋体"/>
      <family val="3"/>
      <charset val="134"/>
    </font>
    <font>
      <b/>
      <sz val="11"/>
      <color theme="1"/>
      <name val="宋体"/>
      <family val="3"/>
      <charset val="134"/>
      <scheme val="minor"/>
    </font>
    <font>
      <sz val="11"/>
      <name val="宋体"/>
      <family val="3"/>
      <charset val="134"/>
      <scheme val="minor"/>
    </font>
    <font>
      <sz val="10.5"/>
      <name val="等线"/>
      <family val="3"/>
      <charset val="134"/>
    </font>
    <font>
      <sz val="10.5"/>
      <color theme="1"/>
      <name val="等线"/>
      <family val="3"/>
      <charset val="134"/>
    </font>
    <font>
      <sz val="11"/>
      <color indexed="8"/>
      <name val="宋体"/>
      <family val="3"/>
      <charset val="134"/>
    </font>
    <font>
      <sz val="11"/>
      <name val="宋体"/>
      <family val="3"/>
      <charset val="134"/>
    </font>
    <font>
      <sz val="12"/>
      <color theme="1"/>
      <name val="Segoe UI"/>
      <family val="2"/>
    </font>
    <font>
      <sz val="12"/>
      <color theme="1"/>
      <name val="var(--yb-md-font-body-large)"/>
      <family val="1"/>
    </font>
    <font>
      <sz val="11"/>
      <color rgb="FFFF0000"/>
      <name val="宋体"/>
      <family val="3"/>
      <charset val="134"/>
      <scheme val="minor"/>
    </font>
    <font>
      <sz val="10.5"/>
      <color theme="1"/>
      <name val="宋体"/>
      <family val="3"/>
      <charset val="134"/>
      <scheme val="minor"/>
    </font>
    <font>
      <sz val="10.5"/>
      <color rgb="FFFF0000"/>
      <name val="等线"/>
      <family val="3"/>
      <charset val="134"/>
    </font>
    <font>
      <sz val="10.5"/>
      <color theme="1"/>
      <name val="宋体"/>
      <family val="3"/>
      <charset val="134"/>
    </font>
    <font>
      <sz val="11"/>
      <color rgb="FFFF0000"/>
      <name val="等线"/>
      <family val="3"/>
      <charset val="134"/>
    </font>
    <font>
      <sz val="10.5"/>
      <color rgb="FFFF0000"/>
      <name val="宋体"/>
      <family val="3"/>
      <charset val="134"/>
      <scheme val="minor"/>
    </font>
    <font>
      <sz val="16"/>
      <color theme="1"/>
      <name val="宋体"/>
      <family val="3"/>
      <charset val="134"/>
      <scheme val="minor"/>
    </font>
    <font>
      <sz val="16"/>
      <color rgb="FFFFFFFF"/>
      <name val="宋体"/>
      <family val="3"/>
      <charset val="134"/>
    </font>
    <font>
      <b/>
      <sz val="16"/>
      <color theme="1"/>
      <name val="宋体"/>
      <family val="3"/>
      <charset val="134"/>
      <scheme val="minor"/>
    </font>
    <font>
      <i/>
      <sz val="12"/>
      <color theme="1"/>
      <name val="Segoe UI"/>
      <family val="2"/>
    </font>
    <font>
      <sz val="11"/>
      <color theme="1"/>
      <name val="等线"/>
      <family val="3"/>
      <charset val="134"/>
    </font>
    <font>
      <sz val="11"/>
      <color theme="1"/>
      <name val="宋体"/>
      <family val="3"/>
      <charset val="134"/>
    </font>
    <font>
      <b/>
      <sz val="11"/>
      <color rgb="FFFF0000"/>
      <name val="宋体"/>
      <family val="3"/>
      <charset val="134"/>
      <scheme val="minor"/>
    </font>
    <font>
      <b/>
      <sz val="11"/>
      <name val="宋体"/>
      <family val="3"/>
      <charset val="134"/>
      <scheme val="minor"/>
    </font>
    <font>
      <sz val="11"/>
      <color rgb="FF000000"/>
      <name val="宋体"/>
      <family val="3"/>
      <charset val="134"/>
    </font>
    <font>
      <b/>
      <sz val="11"/>
      <name val="宋体"/>
      <family val="3"/>
      <charset val="134"/>
    </font>
    <font>
      <b/>
      <sz val="11"/>
      <color rgb="FF000000"/>
      <name val="宋体"/>
      <family val="3"/>
      <charset val="134"/>
    </font>
    <font>
      <sz val="11"/>
      <color indexed="9"/>
      <name val="宋体"/>
      <family val="3"/>
      <charset val="134"/>
    </font>
    <font>
      <sz val="12"/>
      <color theme="1"/>
      <name val="宋体"/>
      <family val="3"/>
      <charset val="134"/>
      <scheme val="minor"/>
    </font>
    <font>
      <sz val="12"/>
      <color theme="1"/>
      <name val="等线"/>
      <family val="3"/>
      <charset val="134"/>
    </font>
    <font>
      <sz val="11"/>
      <color rgb="FFFFFF00"/>
      <name val="宋体"/>
      <family val="3"/>
      <charset val="134"/>
    </font>
    <font>
      <sz val="10.5"/>
      <color rgb="FFFFFF00"/>
      <name val="等线"/>
      <family val="3"/>
      <charset val="134"/>
    </font>
    <font>
      <sz val="10.5"/>
      <color rgb="FF000000"/>
      <name val="等线"/>
      <family val="3"/>
      <charset val="134"/>
    </font>
    <font>
      <sz val="10.5"/>
      <color indexed="8"/>
      <name val="等线"/>
      <family val="3"/>
      <charset val="134"/>
    </font>
    <font>
      <sz val="11"/>
      <color indexed="10"/>
      <name val="宋体"/>
      <family val="3"/>
      <charset val="134"/>
    </font>
    <font>
      <sz val="9"/>
      <color rgb="FF000000"/>
      <name val="Arial"/>
      <family val="2"/>
    </font>
    <font>
      <sz val="10"/>
      <name val="宋体"/>
      <family val="3"/>
      <charset val="134"/>
      <scheme val="minor"/>
    </font>
    <font>
      <sz val="10"/>
      <color theme="1"/>
      <name val="宋体"/>
      <family val="3"/>
      <charset val="134"/>
      <scheme val="minor"/>
    </font>
    <font>
      <sz val="11"/>
      <color rgb="FFFF0000"/>
      <name val="宋体"/>
      <family val="3"/>
      <charset val="134"/>
    </font>
    <font>
      <sz val="11"/>
      <color theme="1"/>
      <name val="宋体"/>
      <family val="3"/>
      <charset val="134"/>
      <scheme val="minor"/>
    </font>
    <font>
      <sz val="10.5"/>
      <color theme="1"/>
      <name val="Calibri"/>
      <family val="2"/>
    </font>
    <font>
      <sz val="11"/>
      <color rgb="FF00B0F0"/>
      <name val="宋体"/>
      <family val="3"/>
      <charset val="134"/>
    </font>
    <font>
      <b/>
      <sz val="9"/>
      <name val="宋体"/>
      <family val="3"/>
      <charset val="134"/>
    </font>
    <font>
      <sz val="9"/>
      <name val="宋体"/>
      <family val="3"/>
      <charset val="134"/>
    </font>
    <font>
      <b/>
      <sz val="9"/>
      <name val="宋体"/>
      <family val="3"/>
      <charset val="134"/>
      <scheme val="minor"/>
    </font>
    <font>
      <sz val="9"/>
      <name val="宋体"/>
      <family val="3"/>
      <charset val="134"/>
      <scheme val="minor"/>
    </font>
    <font>
      <sz val="11"/>
      <color theme="1"/>
      <name val="宋体"/>
      <family val="3"/>
      <charset val="134"/>
      <scheme val="minor"/>
    </font>
  </fonts>
  <fills count="78">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8" tint="0.3998229926450392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82909634693444"/>
        <bgColor indexed="64"/>
      </patternFill>
    </fill>
    <fill>
      <patternFill patternType="solid">
        <fgColor theme="3" tint="0.39985351115451523"/>
        <bgColor indexed="64"/>
      </patternFill>
    </fill>
    <fill>
      <patternFill patternType="solid">
        <fgColor theme="8" tint="0.79982909634693444"/>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5" tint="0.79982909634693444"/>
        <bgColor indexed="64"/>
      </patternFill>
    </fill>
    <fill>
      <patternFill patternType="solid">
        <fgColor theme="5" tint="0.79985961485641044"/>
        <bgColor indexed="64"/>
      </patternFill>
    </fill>
    <fill>
      <patternFill patternType="solid">
        <fgColor theme="4" tint="0.59999389629810485"/>
        <bgColor indexed="64"/>
      </patternFill>
    </fill>
    <fill>
      <patternFill patternType="solid">
        <fgColor theme="1" tint="0.249977111117893"/>
        <bgColor indexed="64"/>
      </patternFill>
    </fill>
    <fill>
      <patternFill patternType="solid">
        <fgColor theme="5" tint="0.39982299264503923"/>
        <bgColor indexed="64"/>
      </patternFill>
    </fill>
    <fill>
      <patternFill patternType="solid">
        <fgColor theme="6" tint="0.59999389629810485"/>
        <bgColor indexed="64"/>
      </patternFill>
    </fill>
    <fill>
      <patternFill patternType="solid">
        <fgColor theme="7" tint="0.39985351115451523"/>
        <bgColor indexed="64"/>
      </patternFill>
    </fill>
    <fill>
      <patternFill patternType="solid">
        <fgColor theme="9" tint="0.39982299264503923"/>
        <bgColor indexed="64"/>
      </patternFill>
    </fill>
    <fill>
      <patternFill patternType="solid">
        <fgColor theme="6" tint="0.39982299264503923"/>
        <bgColor indexed="64"/>
      </patternFill>
    </fill>
    <fill>
      <patternFill patternType="solid">
        <fgColor theme="7" tint="0.39982299264503923"/>
        <bgColor indexed="64"/>
      </patternFill>
    </fill>
    <fill>
      <patternFill patternType="solid">
        <fgColor theme="5"/>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6" tint="0.39973143711661124"/>
        <bgColor indexed="64"/>
      </patternFill>
    </fill>
    <fill>
      <patternFill patternType="solid">
        <fgColor theme="3" tint="0.39951780755027927"/>
        <bgColor indexed="64"/>
      </patternFill>
    </fill>
    <fill>
      <patternFill patternType="solid">
        <fgColor theme="3" tint="0.39954832605975527"/>
        <bgColor indexed="64"/>
      </patternFill>
    </fill>
    <fill>
      <patternFill patternType="solid">
        <fgColor theme="9" tint="0.39991454817346722"/>
        <bgColor indexed="64"/>
      </patternFill>
    </fill>
    <fill>
      <patternFill patternType="solid">
        <fgColor rgb="FFFFFF00"/>
        <bgColor indexed="64"/>
      </patternFill>
    </fill>
    <fill>
      <patternFill patternType="solid">
        <fgColor theme="8" tint="0.79995117038483843"/>
        <bgColor indexed="64"/>
      </patternFill>
    </fill>
    <fill>
      <patternFill patternType="solid">
        <fgColor theme="6"/>
        <bgColor indexed="64"/>
      </patternFill>
    </fill>
    <fill>
      <patternFill patternType="solid">
        <fgColor theme="9" tint="0.39960936307870726"/>
        <bgColor indexed="64"/>
      </patternFill>
    </fill>
    <fill>
      <patternFill patternType="solid">
        <fgColor theme="0" tint="-0.249977111117893"/>
        <bgColor indexed="64"/>
      </patternFill>
    </fill>
    <fill>
      <patternFill patternType="solid">
        <fgColor theme="3" tint="0.39982299264503923"/>
        <bgColor indexed="64"/>
      </patternFill>
    </fill>
    <fill>
      <patternFill patternType="solid">
        <fgColor rgb="FFFFFFFF"/>
        <bgColor indexed="64"/>
      </patternFill>
    </fill>
    <fill>
      <patternFill patternType="solid">
        <fgColor rgb="FF0070C0"/>
        <bgColor rgb="FF000000"/>
      </patternFill>
    </fill>
    <fill>
      <patternFill patternType="solid">
        <fgColor rgb="FF92CDDC"/>
        <bgColor rgb="FF000000"/>
      </patternFill>
    </fill>
    <fill>
      <patternFill patternType="solid">
        <fgColor rgb="FFB7DEE8"/>
        <bgColor rgb="FF000000"/>
      </patternFill>
    </fill>
    <fill>
      <patternFill patternType="solid">
        <fgColor rgb="FFE6B8B7"/>
        <bgColor rgb="FF000000"/>
      </patternFill>
    </fill>
    <fill>
      <patternFill patternType="solid">
        <fgColor rgb="FFFDE9D9"/>
        <bgColor rgb="FF000000"/>
      </patternFill>
    </fill>
    <fill>
      <patternFill patternType="solid">
        <fgColor rgb="FF92CDDC"/>
        <bgColor indexed="64"/>
      </patternFill>
    </fill>
    <fill>
      <patternFill patternType="solid">
        <fgColor rgb="FFB7DEE8"/>
        <bgColor indexed="64"/>
      </patternFill>
    </fill>
    <fill>
      <patternFill patternType="solid">
        <fgColor rgb="FFE6B8B7"/>
        <bgColor indexed="64"/>
      </patternFill>
    </fill>
    <fill>
      <patternFill patternType="solid">
        <fgColor rgb="FFFDE9D9"/>
        <bgColor indexed="64"/>
      </patternFill>
    </fill>
    <fill>
      <patternFill patternType="solid">
        <fgColor rgb="FFDAEEF3"/>
        <bgColor rgb="FF000000"/>
      </patternFill>
    </fill>
    <fill>
      <patternFill patternType="solid">
        <fgColor rgb="FF8DB4E2"/>
        <bgColor rgb="FF000000"/>
      </patternFill>
    </fill>
    <fill>
      <patternFill patternType="solid">
        <fgColor rgb="FFFCD5B4"/>
        <bgColor rgb="FF000000"/>
      </patternFill>
    </fill>
    <fill>
      <patternFill patternType="solid">
        <fgColor rgb="FFDAEEF3"/>
        <bgColor indexed="64"/>
      </patternFill>
    </fill>
    <fill>
      <patternFill patternType="solid">
        <fgColor rgb="FF8DB4E2"/>
        <bgColor indexed="64"/>
      </patternFill>
    </fill>
    <fill>
      <patternFill patternType="solid">
        <fgColor rgb="FFFCD5B4"/>
        <bgColor indexed="64"/>
      </patternFill>
    </fill>
    <fill>
      <patternFill patternType="solid">
        <fgColor rgb="FFF2DCDB"/>
        <bgColor rgb="FF000000"/>
      </patternFill>
    </fill>
    <fill>
      <patternFill patternType="solid">
        <fgColor theme="4" tint="0.59999389629810485"/>
        <bgColor rgb="FF000000"/>
      </patternFill>
    </fill>
    <fill>
      <patternFill patternType="solid">
        <fgColor rgb="FF404040"/>
        <bgColor rgb="FF000000"/>
      </patternFill>
    </fill>
    <fill>
      <patternFill patternType="solid">
        <fgColor rgb="FFF2DCDB"/>
        <bgColor indexed="64"/>
      </patternFill>
    </fill>
    <fill>
      <patternFill patternType="solid">
        <fgColor rgb="FF404040"/>
        <bgColor indexed="64"/>
      </patternFill>
    </fill>
    <fill>
      <patternFill patternType="solid">
        <fgColor rgb="FFDA9694"/>
        <bgColor rgb="FF000000"/>
      </patternFill>
    </fill>
    <fill>
      <patternFill patternType="solid">
        <fgColor rgb="FFD8E4BC"/>
        <bgColor rgb="FF000000"/>
      </patternFill>
    </fill>
    <fill>
      <patternFill patternType="solid">
        <fgColor rgb="FFB1A0C7"/>
        <bgColor rgb="FF000000"/>
      </patternFill>
    </fill>
    <fill>
      <patternFill patternType="solid">
        <fgColor rgb="FFFABF8F"/>
        <bgColor rgb="FF000000"/>
      </patternFill>
    </fill>
    <fill>
      <patternFill patternType="solid">
        <fgColor rgb="FFDA9694"/>
        <bgColor indexed="64"/>
      </patternFill>
    </fill>
    <fill>
      <patternFill patternType="solid">
        <fgColor rgb="FFD8E4BC"/>
        <bgColor indexed="64"/>
      </patternFill>
    </fill>
    <fill>
      <patternFill patternType="solid">
        <fgColor rgb="FFB1A0C7"/>
        <bgColor indexed="64"/>
      </patternFill>
    </fill>
    <fill>
      <patternFill patternType="solid">
        <fgColor rgb="FFFABF8F"/>
        <bgColor indexed="64"/>
      </patternFill>
    </fill>
    <fill>
      <patternFill patternType="solid">
        <fgColor rgb="FFC4D79B"/>
        <bgColor rgb="FF000000"/>
      </patternFill>
    </fill>
    <fill>
      <patternFill patternType="solid">
        <fgColor rgb="FFB8CCE4"/>
        <bgColor rgb="FF000000"/>
      </patternFill>
    </fill>
    <fill>
      <patternFill patternType="solid">
        <fgColor rgb="FFC4D79B"/>
        <bgColor indexed="64"/>
      </patternFill>
    </fill>
    <fill>
      <patternFill patternType="solid">
        <fgColor rgb="FFB8CCE4"/>
        <bgColor indexed="64"/>
      </patternFill>
    </fill>
    <fill>
      <patternFill patternType="solid">
        <fgColor theme="7" tint="0.59999389629810485"/>
        <bgColor rgb="FF000000"/>
      </patternFill>
    </fill>
    <fill>
      <patternFill patternType="solid">
        <fgColor rgb="FFCCC0DA"/>
        <bgColor rgb="FF000000"/>
      </patternFill>
    </fill>
    <fill>
      <patternFill patternType="solid">
        <fgColor rgb="FFCCC0DA"/>
        <bgColor indexed="64"/>
      </patternFill>
    </fill>
    <fill>
      <patternFill patternType="solid">
        <fgColor theme="5" tint="0.59999389629810485"/>
        <bgColor rgb="FF000000"/>
      </patternFill>
    </fill>
    <fill>
      <patternFill patternType="solid">
        <fgColor theme="6" tint="0.79958494827112647"/>
        <bgColor indexed="64"/>
      </patternFill>
    </fill>
    <fill>
      <patternFill patternType="solid">
        <fgColor rgb="FF92D050"/>
        <bgColor indexed="64"/>
      </patternFill>
    </fill>
    <fill>
      <patternFill patternType="solid">
        <fgColor rgb="FFFFFFFF"/>
        <bgColor rgb="FF000000"/>
      </patternFill>
    </fill>
    <fill>
      <patternFill patternType="solid">
        <fgColor theme="6" tint="0.39963988158818325"/>
        <bgColor indexed="64"/>
      </patternFill>
    </fill>
    <fill>
      <patternFill patternType="solid">
        <fgColor rgb="FFBFBFBF"/>
        <bgColor indexed="64"/>
      </patternFill>
    </fill>
    <fill>
      <patternFill patternType="solid">
        <fgColor rgb="FFE26B0A"/>
        <bgColor rgb="FF000000"/>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bottom/>
      <diagonal/>
    </border>
    <border>
      <left style="thin">
        <color auto="1"/>
      </left>
      <right style="thin">
        <color auto="1"/>
      </right>
      <top style="thin">
        <color auto="1"/>
      </top>
      <bottom/>
      <diagonal/>
    </border>
  </borders>
  <cellStyleXfs count="2">
    <xf numFmtId="0" fontId="0" fillId="0" borderId="0"/>
    <xf numFmtId="0" fontId="46" fillId="0" borderId="0">
      <alignment vertical="center"/>
    </xf>
  </cellStyleXfs>
  <cellXfs count="653">
    <xf numFmtId="0" fontId="0" fillId="0" borderId="0" xfId="0"/>
    <xf numFmtId="0" fontId="0" fillId="2" borderId="1" xfId="0" applyFill="1" applyBorder="1" applyAlignment="1">
      <alignment horizontal="left"/>
    </xf>
    <xf numFmtId="49" fontId="1" fillId="3" borderId="1" xfId="0" applyNumberFormat="1" applyFont="1" applyFill="1" applyBorder="1" applyAlignment="1">
      <alignment horizontal="left" vertical="center" wrapText="1"/>
    </xf>
    <xf numFmtId="0" fontId="0" fillId="0" borderId="1" xfId="0" applyBorder="1" applyAlignment="1">
      <alignment horizontal="left"/>
    </xf>
    <xf numFmtId="0" fontId="2" fillId="0" borderId="1" xfId="0" applyFont="1" applyBorder="1" applyAlignment="1">
      <alignment horizontal="left" vertical="center"/>
    </xf>
    <xf numFmtId="0" fontId="0" fillId="4" borderId="1" xfId="0" applyFill="1" applyBorder="1" applyAlignment="1">
      <alignment horizontal="left"/>
    </xf>
    <xf numFmtId="0" fontId="0" fillId="5" borderId="1" xfId="0" applyFill="1" applyBorder="1" applyAlignment="1">
      <alignment horizontal="left"/>
    </xf>
    <xf numFmtId="0" fontId="0" fillId="6" borderId="1" xfId="0" applyFill="1" applyBorder="1" applyAlignment="1">
      <alignment horizontal="left"/>
    </xf>
    <xf numFmtId="0" fontId="0" fillId="7" borderId="1" xfId="0" applyFill="1" applyBorder="1" applyAlignment="1">
      <alignment horizontal="left"/>
    </xf>
    <xf numFmtId="0" fontId="0" fillId="2" borderId="1" xfId="0" applyFill="1" applyBorder="1"/>
    <xf numFmtId="0" fontId="0" fillId="2" borderId="1" xfId="0" applyFont="1" applyFill="1" applyBorder="1"/>
    <xf numFmtId="0" fontId="0" fillId="2" borderId="1" xfId="0" applyFill="1" applyBorder="1" applyAlignment="1">
      <alignment vertical="center"/>
    </xf>
    <xf numFmtId="0" fontId="3" fillId="0" borderId="1" xfId="0" applyFont="1" applyBorder="1" applyAlignment="1">
      <alignment vertical="center"/>
    </xf>
    <xf numFmtId="0" fontId="3" fillId="0" borderId="1" xfId="0" applyFont="1" applyBorder="1"/>
    <xf numFmtId="0" fontId="0" fillId="2" borderId="1" xfId="0" applyFont="1" applyFill="1" applyBorder="1" applyAlignment="1">
      <alignment vertical="center"/>
    </xf>
    <xf numFmtId="0" fontId="0" fillId="8" borderId="1" xfId="0" applyFill="1" applyBorder="1"/>
    <xf numFmtId="0" fontId="0" fillId="8" borderId="1" xfId="0" applyFill="1" applyBorder="1" applyAlignment="1">
      <alignment vertical="center"/>
    </xf>
    <xf numFmtId="0" fontId="0" fillId="0" borderId="1" xfId="0" applyFont="1" applyBorder="1" applyAlignment="1">
      <alignment vertical="center"/>
    </xf>
    <xf numFmtId="0" fontId="0" fillId="0" borderId="1" xfId="0" applyBorder="1"/>
    <xf numFmtId="0" fontId="0" fillId="8" borderId="1" xfId="0" applyFont="1" applyFill="1" applyBorder="1" applyAlignment="1">
      <alignment vertical="center"/>
    </xf>
    <xf numFmtId="0" fontId="0" fillId="8" borderId="1" xfId="0" applyFont="1" applyFill="1" applyBorder="1"/>
    <xf numFmtId="0" fontId="3" fillId="0" borderId="0" xfId="0" applyFont="1"/>
    <xf numFmtId="0" fontId="3" fillId="0" borderId="1" xfId="0" applyFont="1" applyBorder="1" applyAlignment="1">
      <alignment horizontal="left"/>
    </xf>
    <xf numFmtId="0" fontId="4" fillId="0" borderId="0" xfId="0" applyFont="1" applyAlignment="1">
      <alignment horizontal="justify"/>
    </xf>
    <xf numFmtId="0" fontId="5" fillId="0" borderId="0" xfId="0" applyFont="1"/>
    <xf numFmtId="0" fontId="0" fillId="0" borderId="1" xfId="0" applyFont="1" applyBorder="1"/>
    <xf numFmtId="0" fontId="0" fillId="9" borderId="1" xfId="0" applyFill="1" applyBorder="1" applyAlignment="1">
      <alignment horizontal="left"/>
    </xf>
    <xf numFmtId="0" fontId="0" fillId="10" borderId="1" xfId="0" applyFill="1" applyBorder="1" applyAlignment="1">
      <alignment horizontal="left"/>
    </xf>
    <xf numFmtId="0" fontId="0" fillId="11" borderId="1" xfId="0" applyFill="1" applyBorder="1" applyAlignment="1">
      <alignment horizontal="left"/>
    </xf>
    <xf numFmtId="0" fontId="0" fillId="12" borderId="1" xfId="0" applyFill="1" applyBorder="1" applyAlignment="1">
      <alignment horizontal="left"/>
    </xf>
    <xf numFmtId="0" fontId="0" fillId="13" borderId="1" xfId="0" applyFill="1" applyBorder="1" applyAlignment="1">
      <alignment horizontal="left"/>
    </xf>
    <xf numFmtId="0" fontId="0" fillId="14" borderId="1" xfId="0" applyFill="1" applyBorder="1" applyAlignment="1">
      <alignment horizontal="left"/>
    </xf>
    <xf numFmtId="0" fontId="0" fillId="15" borderId="1" xfId="0" applyFill="1" applyBorder="1" applyAlignment="1">
      <alignment horizontal="left"/>
    </xf>
    <xf numFmtId="0" fontId="0" fillId="16" borderId="1" xfId="0" applyFill="1" applyBorder="1" applyAlignment="1">
      <alignment horizontal="left"/>
    </xf>
    <xf numFmtId="0" fontId="0" fillId="17" borderId="1" xfId="0" applyFill="1" applyBorder="1" applyAlignment="1">
      <alignment horizontal="left"/>
    </xf>
    <xf numFmtId="0" fontId="0" fillId="18" borderId="1" xfId="0" applyFill="1" applyBorder="1" applyAlignment="1">
      <alignment horizontal="left"/>
    </xf>
    <xf numFmtId="0" fontId="0" fillId="19" borderId="1" xfId="0" applyFill="1" applyBorder="1" applyAlignment="1">
      <alignment horizontal="left"/>
    </xf>
    <xf numFmtId="0" fontId="0" fillId="20" borderId="1" xfId="0" applyFill="1" applyBorder="1" applyAlignment="1">
      <alignment horizontal="left"/>
    </xf>
    <xf numFmtId="0" fontId="0" fillId="21" borderId="1" xfId="0" applyFill="1" applyBorder="1" applyAlignment="1">
      <alignment horizontal="left"/>
    </xf>
    <xf numFmtId="0" fontId="0" fillId="22" borderId="1" xfId="0" applyFill="1" applyBorder="1" applyAlignment="1">
      <alignment horizontal="left"/>
    </xf>
    <xf numFmtId="0" fontId="3" fillId="5" borderId="1" xfId="0" applyFont="1" applyFill="1" applyBorder="1" applyAlignment="1">
      <alignment horizontal="left"/>
    </xf>
    <xf numFmtId="0" fontId="0" fillId="23" borderId="1" xfId="0" applyFill="1" applyBorder="1" applyAlignment="1">
      <alignment horizontal="left"/>
    </xf>
    <xf numFmtId="0" fontId="6" fillId="5" borderId="1" xfId="0" applyFont="1" applyFill="1" applyBorder="1" applyAlignment="1">
      <alignment horizontal="left"/>
    </xf>
    <xf numFmtId="0" fontId="6" fillId="19" borderId="1" xfId="0" applyFont="1" applyFill="1" applyBorder="1" applyAlignment="1">
      <alignment horizontal="left"/>
    </xf>
    <xf numFmtId="0" fontId="6" fillId="23" borderId="1" xfId="0" applyFont="1" applyFill="1" applyBorder="1" applyAlignment="1">
      <alignment horizontal="left"/>
    </xf>
    <xf numFmtId="0" fontId="6" fillId="14" borderId="1" xfId="0" applyFont="1" applyFill="1" applyBorder="1" applyAlignment="1">
      <alignment horizontal="left"/>
    </xf>
    <xf numFmtId="0" fontId="6" fillId="6" borderId="1" xfId="0" applyFont="1" applyFill="1" applyBorder="1" applyAlignment="1">
      <alignment horizontal="left"/>
    </xf>
    <xf numFmtId="0" fontId="6" fillId="11" borderId="1" xfId="0" applyFont="1" applyFill="1" applyBorder="1" applyAlignment="1">
      <alignment horizontal="left"/>
    </xf>
    <xf numFmtId="0" fontId="7" fillId="11" borderId="1" xfId="0" applyFont="1" applyFill="1" applyBorder="1" applyAlignment="1">
      <alignment horizontal="left"/>
    </xf>
    <xf numFmtId="0" fontId="6" fillId="20" borderId="1" xfId="0" applyFont="1" applyFill="1" applyBorder="1" applyAlignment="1">
      <alignment horizontal="left"/>
    </xf>
    <xf numFmtId="0" fontId="0" fillId="24" borderId="1" xfId="0" applyFill="1" applyBorder="1" applyAlignment="1">
      <alignment horizontal="left"/>
    </xf>
    <xf numFmtId="0" fontId="0" fillId="25" borderId="1" xfId="0" applyFill="1" applyBorder="1" applyAlignment="1">
      <alignment horizontal="left"/>
    </xf>
    <xf numFmtId="0" fontId="0" fillId="23" borderId="0" xfId="0" applyFill="1"/>
    <xf numFmtId="49" fontId="1" fillId="26" borderId="2" xfId="0" applyNumberFormat="1" applyFont="1" applyFill="1" applyBorder="1" applyAlignment="1">
      <alignment horizontal="center" vertical="center" wrapTex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8" fillId="0" borderId="0" xfId="0" applyFont="1"/>
    <xf numFmtId="0" fontId="3" fillId="23" borderId="1" xfId="0" applyFont="1" applyFill="1" applyBorder="1"/>
    <xf numFmtId="0" fontId="9" fillId="0" borderId="0" xfId="0" applyFont="1"/>
    <xf numFmtId="0" fontId="0" fillId="23" borderId="1" xfId="0" applyFill="1" applyBorder="1"/>
    <xf numFmtId="0" fontId="2" fillId="0" borderId="1" xfId="0" applyFont="1" applyBorder="1"/>
    <xf numFmtId="49" fontId="1" fillId="27" borderId="2" xfId="0" applyNumberFormat="1"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left"/>
    </xf>
    <xf numFmtId="49" fontId="1" fillId="26" borderId="2" xfId="0" applyNumberFormat="1" applyFont="1" applyFill="1" applyBorder="1" applyAlignment="1">
      <alignment horizontal="left" vertical="center" wrapText="1"/>
    </xf>
    <xf numFmtId="0" fontId="2" fillId="0" borderId="1" xfId="0" applyFont="1" applyBorder="1" applyAlignment="1">
      <alignment horizontal="left" vertical="center" wrapText="1"/>
    </xf>
    <xf numFmtId="49" fontId="0" fillId="0" borderId="1" xfId="0" applyNumberFormat="1" applyBorder="1" applyAlignment="1">
      <alignment horizontal="justify"/>
    </xf>
    <xf numFmtId="0" fontId="8" fillId="0" borderId="0" xfId="0" applyFont="1" applyAlignment="1">
      <alignment wrapText="1"/>
    </xf>
    <xf numFmtId="49" fontId="0" fillId="23" borderId="1" xfId="0" applyNumberFormat="1" applyFill="1" applyBorder="1" applyAlignment="1">
      <alignment horizontal="justify"/>
    </xf>
    <xf numFmtId="0" fontId="0" fillId="23" borderId="1" xfId="0" applyFill="1" applyBorder="1" applyAlignment="1">
      <alignment horizontal="left" vertical="center"/>
    </xf>
    <xf numFmtId="0" fontId="0" fillId="23" borderId="1" xfId="0" applyFill="1" applyBorder="1" applyAlignment="1">
      <alignment vertical="center" wrapText="1"/>
    </xf>
    <xf numFmtId="0" fontId="2" fillId="0" borderId="0" xfId="0" applyFont="1"/>
    <xf numFmtId="0" fontId="0" fillId="2" borderId="0" xfId="0" applyFill="1"/>
    <xf numFmtId="0" fontId="0" fillId="28" borderId="0" xfId="0" applyFill="1"/>
    <xf numFmtId="0" fontId="10" fillId="2" borderId="0" xfId="0" applyFont="1" applyFill="1"/>
    <xf numFmtId="0" fontId="0" fillId="29" borderId="0" xfId="0" applyFill="1"/>
    <xf numFmtId="0" fontId="3" fillId="2" borderId="0" xfId="0" applyFont="1" applyFill="1"/>
    <xf numFmtId="0" fontId="0" fillId="30" borderId="0" xfId="0" applyFill="1"/>
    <xf numFmtId="0" fontId="0" fillId="17" borderId="0" xfId="0" applyFill="1"/>
    <xf numFmtId="0" fontId="10" fillId="0" borderId="0" xfId="0" applyFont="1"/>
    <xf numFmtId="0" fontId="0" fillId="31" borderId="0" xfId="0" applyFill="1"/>
    <xf numFmtId="49" fontId="0" fillId="0" borderId="0" xfId="0" applyNumberFormat="1"/>
    <xf numFmtId="49" fontId="1" fillId="27" borderId="1" xfId="0" applyNumberFormat="1" applyFont="1" applyFill="1" applyBorder="1" applyAlignment="1">
      <alignment horizontal="left" vertical="center"/>
    </xf>
    <xf numFmtId="0" fontId="2" fillId="0" borderId="1" xfId="0" applyFont="1" applyBorder="1" applyAlignment="1">
      <alignment horizontal="left"/>
    </xf>
    <xf numFmtId="49" fontId="2" fillId="0" borderId="1" xfId="0" applyNumberFormat="1" applyFont="1" applyBorder="1" applyAlignment="1">
      <alignment horizontal="left"/>
    </xf>
    <xf numFmtId="0" fontId="0" fillId="32" borderId="1" xfId="0" applyFill="1" applyBorder="1" applyAlignment="1">
      <alignment horizontal="left"/>
    </xf>
    <xf numFmtId="0" fontId="11" fillId="0" borderId="1" xfId="0" applyFont="1" applyBorder="1" applyAlignment="1">
      <alignment horizontal="left"/>
    </xf>
    <xf numFmtId="49" fontId="0" fillId="0" borderId="1" xfId="0" applyNumberFormat="1" applyBorder="1" applyAlignment="1">
      <alignment horizontal="left"/>
    </xf>
    <xf numFmtId="49" fontId="0" fillId="0" borderId="1" xfId="0" applyNumberFormat="1" applyBorder="1" applyAlignment="1">
      <alignment horizontal="left" vertical="center"/>
    </xf>
    <xf numFmtId="0" fontId="11" fillId="2" borderId="1" xfId="0" applyFont="1" applyFill="1" applyBorder="1" applyAlignment="1">
      <alignment horizontal="left"/>
    </xf>
    <xf numFmtId="49" fontId="0" fillId="2" borderId="1" xfId="0" applyNumberFormat="1" applyFill="1" applyBorder="1" applyAlignment="1">
      <alignment horizontal="left"/>
    </xf>
    <xf numFmtId="49" fontId="0" fillId="2" borderId="1" xfId="0" applyNumberFormat="1" applyFill="1" applyBorder="1" applyAlignment="1">
      <alignment horizontal="left" vertical="center"/>
    </xf>
    <xf numFmtId="0" fontId="5" fillId="2" borderId="1" xfId="0" applyFont="1" applyFill="1" applyBorder="1" applyAlignment="1">
      <alignment horizontal="left" vertical="center"/>
    </xf>
    <xf numFmtId="0" fontId="0" fillId="28" borderId="1" xfId="0" applyFill="1" applyBorder="1" applyAlignment="1">
      <alignment horizontal="left"/>
    </xf>
    <xf numFmtId="0" fontId="5" fillId="28" borderId="1" xfId="0" applyFont="1" applyFill="1" applyBorder="1" applyAlignment="1">
      <alignment horizontal="left" vertical="center"/>
    </xf>
    <xf numFmtId="49" fontId="0" fillId="28" borderId="1" xfId="0" applyNumberFormat="1" applyFill="1" applyBorder="1" applyAlignment="1">
      <alignment horizontal="left"/>
    </xf>
    <xf numFmtId="0" fontId="10" fillId="2" borderId="1" xfId="0" applyFont="1" applyFill="1" applyBorder="1" applyAlignment="1">
      <alignment horizontal="left"/>
    </xf>
    <xf numFmtId="0" fontId="10" fillId="0" borderId="1" xfId="0" applyFont="1" applyBorder="1" applyAlignment="1">
      <alignment horizontal="left"/>
    </xf>
    <xf numFmtId="49" fontId="10" fillId="2" borderId="1" xfId="0" applyNumberFormat="1" applyFont="1" applyFill="1" applyBorder="1" applyAlignment="1">
      <alignment horizontal="left"/>
    </xf>
    <xf numFmtId="49" fontId="10" fillId="2" borderId="1" xfId="0" applyNumberFormat="1" applyFont="1" applyFill="1" applyBorder="1" applyAlignment="1">
      <alignment horizontal="left" vertical="center"/>
    </xf>
    <xf numFmtId="0" fontId="0" fillId="28" borderId="1" xfId="0" applyFont="1" applyFill="1" applyBorder="1" applyAlignment="1">
      <alignment horizontal="left"/>
    </xf>
    <xf numFmtId="49" fontId="0" fillId="28" borderId="1" xfId="0" applyNumberFormat="1" applyFill="1" applyBorder="1" applyAlignment="1">
      <alignment horizontal="left" vertical="center"/>
    </xf>
    <xf numFmtId="0" fontId="0" fillId="29" borderId="1" xfId="0" applyFill="1" applyBorder="1" applyAlignment="1">
      <alignment horizontal="left"/>
    </xf>
    <xf numFmtId="49" fontId="0" fillId="29" borderId="1" xfId="0" applyNumberFormat="1" applyFill="1" applyBorder="1" applyAlignment="1">
      <alignment horizontal="left"/>
    </xf>
    <xf numFmtId="49" fontId="0" fillId="29" borderId="1" xfId="0" applyNumberFormat="1" applyFill="1" applyBorder="1" applyAlignment="1">
      <alignment horizontal="left" vertical="center"/>
    </xf>
    <xf numFmtId="0" fontId="5" fillId="2" borderId="1" xfId="0" applyFont="1" applyFill="1" applyBorder="1" applyAlignment="1">
      <alignment horizontal="left"/>
    </xf>
    <xf numFmtId="0" fontId="0" fillId="2" borderId="1" xfId="0" applyFont="1" applyFill="1" applyBorder="1" applyAlignment="1">
      <alignment horizontal="left"/>
    </xf>
    <xf numFmtId="49" fontId="0" fillId="2" borderId="1" xfId="0" applyNumberFormat="1" applyFont="1" applyFill="1" applyBorder="1" applyAlignment="1">
      <alignment horizontal="left"/>
    </xf>
    <xf numFmtId="0" fontId="12" fillId="2" borderId="1" xfId="0" applyFont="1" applyFill="1" applyBorder="1" applyAlignment="1">
      <alignment horizontal="left" vertical="center"/>
    </xf>
    <xf numFmtId="0" fontId="3" fillId="2" borderId="1" xfId="0" applyFont="1" applyFill="1" applyBorder="1" applyAlignment="1">
      <alignment horizontal="left"/>
    </xf>
    <xf numFmtId="0" fontId="4" fillId="2" borderId="1" xfId="0" applyFont="1" applyFill="1" applyBorder="1" applyAlignment="1">
      <alignment horizontal="left" vertical="center"/>
    </xf>
    <xf numFmtId="49" fontId="3" fillId="2" borderId="1" xfId="0" applyNumberFormat="1" applyFont="1" applyFill="1" applyBorder="1" applyAlignment="1">
      <alignment horizontal="left"/>
    </xf>
    <xf numFmtId="49" fontId="1" fillId="27" borderId="3" xfId="0" applyNumberFormat="1" applyFont="1" applyFill="1" applyBorder="1" applyAlignment="1">
      <alignment horizontal="center" vertical="center"/>
    </xf>
    <xf numFmtId="0" fontId="10" fillId="0" borderId="1" xfId="0" applyFont="1" applyBorder="1" applyAlignment="1">
      <alignment vertical="center"/>
    </xf>
    <xf numFmtId="0" fontId="13" fillId="2" borderId="1" xfId="0" applyFont="1" applyFill="1" applyBorder="1" applyAlignment="1">
      <alignment horizontal="left" vertical="center"/>
    </xf>
    <xf numFmtId="0" fontId="13" fillId="0" borderId="1" xfId="0" applyFont="1" applyBorder="1" applyAlignment="1">
      <alignment horizontal="left" vertical="center"/>
    </xf>
    <xf numFmtId="0" fontId="0" fillId="30" borderId="1" xfId="0" applyFill="1" applyBorder="1" applyAlignment="1">
      <alignment horizontal="left"/>
    </xf>
    <xf numFmtId="0" fontId="13" fillId="30" borderId="1" xfId="0" applyFont="1" applyFill="1" applyBorder="1" applyAlignment="1">
      <alignment horizontal="left" vertical="center"/>
    </xf>
    <xf numFmtId="49" fontId="0" fillId="30" borderId="1" xfId="0" applyNumberFormat="1" applyFill="1" applyBorder="1" applyAlignment="1">
      <alignment horizontal="left"/>
    </xf>
    <xf numFmtId="0" fontId="3" fillId="30" borderId="1" xfId="0" applyFont="1" applyFill="1" applyBorder="1" applyAlignment="1">
      <alignment horizontal="left"/>
    </xf>
    <xf numFmtId="49" fontId="0" fillId="30" borderId="1" xfId="0" applyNumberFormat="1" applyFont="1" applyFill="1" applyBorder="1" applyAlignment="1">
      <alignment horizontal="left"/>
    </xf>
    <xf numFmtId="0" fontId="5" fillId="2" borderId="1" xfId="0" applyFont="1" applyFill="1" applyBorder="1" applyAlignment="1">
      <alignment horizontal="left" vertical="center" wrapText="1"/>
    </xf>
    <xf numFmtId="0" fontId="5" fillId="30" borderId="1" xfId="0" applyFont="1" applyFill="1" applyBorder="1" applyAlignment="1">
      <alignment horizontal="left" vertical="center" wrapText="1"/>
    </xf>
    <xf numFmtId="49" fontId="0" fillId="30" borderId="4" xfId="0" applyNumberFormat="1" applyFill="1" applyBorder="1" applyAlignment="1">
      <alignment horizontal="left"/>
    </xf>
    <xf numFmtId="0" fontId="5" fillId="28" borderId="1" xfId="0" applyFont="1" applyFill="1" applyBorder="1" applyAlignment="1">
      <alignment horizontal="left" vertical="center" wrapText="1"/>
    </xf>
    <xf numFmtId="0" fontId="3" fillId="28" borderId="1" xfId="0" applyFont="1" applyFill="1" applyBorder="1" applyAlignment="1">
      <alignment horizontal="left"/>
    </xf>
    <xf numFmtId="0" fontId="5" fillId="30" borderId="1" xfId="0" applyFont="1" applyFill="1" applyBorder="1" applyAlignment="1">
      <alignment horizontal="left" vertical="center"/>
    </xf>
    <xf numFmtId="0" fontId="0" fillId="17" borderId="4" xfId="0" applyFont="1" applyFill="1" applyBorder="1" applyAlignment="1">
      <alignment horizontal="left"/>
    </xf>
    <xf numFmtId="0" fontId="3" fillId="17" borderId="1" xfId="0" applyFont="1" applyFill="1" applyBorder="1" applyAlignment="1">
      <alignment horizontal="left"/>
    </xf>
    <xf numFmtId="49" fontId="0" fillId="17" borderId="1" xfId="0" applyNumberFormat="1" applyFill="1" applyBorder="1" applyAlignment="1">
      <alignment horizontal="left"/>
    </xf>
    <xf numFmtId="49" fontId="0" fillId="17" borderId="4" xfId="0" applyNumberFormat="1" applyFill="1" applyBorder="1" applyAlignment="1">
      <alignment horizontal="left"/>
    </xf>
    <xf numFmtId="0" fontId="10" fillId="0" borderId="4" xfId="0" applyFont="1" applyBorder="1" applyAlignment="1">
      <alignment horizontal="left"/>
    </xf>
    <xf numFmtId="49" fontId="10" fillId="0" borderId="1" xfId="0" applyNumberFormat="1" applyFont="1" applyBorder="1" applyAlignment="1">
      <alignment horizontal="left"/>
    </xf>
    <xf numFmtId="49" fontId="10" fillId="0" borderId="4" xfId="0" applyNumberFormat="1" applyFont="1" applyBorder="1" applyAlignment="1">
      <alignment horizontal="left"/>
    </xf>
    <xf numFmtId="0" fontId="0" fillId="23" borderId="4" xfId="0" applyFont="1" applyFill="1" applyBorder="1" applyAlignment="1">
      <alignment horizontal="left"/>
    </xf>
    <xf numFmtId="0" fontId="3" fillId="23" borderId="1" xfId="0" applyFont="1" applyFill="1" applyBorder="1" applyAlignment="1">
      <alignment horizontal="left"/>
    </xf>
    <xf numFmtId="49" fontId="0" fillId="23" borderId="0" xfId="0" applyNumberFormat="1" applyFill="1"/>
    <xf numFmtId="49" fontId="0" fillId="23" borderId="1" xfId="0" applyNumberFormat="1" applyFill="1" applyBorder="1" applyAlignment="1">
      <alignment horizontal="left"/>
    </xf>
    <xf numFmtId="49" fontId="0" fillId="23" borderId="4" xfId="0" applyNumberFormat="1" applyFill="1" applyBorder="1" applyAlignment="1">
      <alignment horizontal="left"/>
    </xf>
    <xf numFmtId="49" fontId="0" fillId="23" borderId="0" xfId="0" applyNumberFormat="1" applyFont="1" applyFill="1"/>
    <xf numFmtId="49" fontId="0" fillId="31" borderId="4" xfId="0" applyNumberFormat="1" applyFont="1" applyFill="1" applyBorder="1" applyAlignment="1">
      <alignment horizontal="left"/>
    </xf>
    <xf numFmtId="0" fontId="3" fillId="31" borderId="1" xfId="0" applyFont="1" applyFill="1" applyBorder="1" applyAlignment="1">
      <alignment horizontal="left"/>
    </xf>
    <xf numFmtId="49" fontId="0" fillId="31" borderId="0" xfId="0" applyNumberFormat="1" applyFill="1"/>
    <xf numFmtId="49" fontId="0" fillId="31" borderId="1" xfId="0" applyNumberFormat="1" applyFill="1" applyBorder="1" applyAlignment="1">
      <alignment horizontal="left"/>
    </xf>
    <xf numFmtId="0" fontId="0" fillId="31" borderId="1" xfId="0" applyFill="1" applyBorder="1" applyAlignment="1">
      <alignment horizontal="left"/>
    </xf>
    <xf numFmtId="49" fontId="0" fillId="31" borderId="4" xfId="0" applyNumberFormat="1" applyFill="1" applyBorder="1" applyAlignment="1">
      <alignment horizontal="left"/>
    </xf>
    <xf numFmtId="49" fontId="0" fillId="31" borderId="0" xfId="0" applyNumberFormat="1" applyFont="1" applyFill="1"/>
    <xf numFmtId="0" fontId="0" fillId="31" borderId="1" xfId="0" applyFont="1" applyFill="1" applyBorder="1" applyAlignment="1">
      <alignment horizontal="left"/>
    </xf>
    <xf numFmtId="0" fontId="0" fillId="2" borderId="4" xfId="0" applyFill="1" applyBorder="1" applyAlignment="1">
      <alignment horizontal="left"/>
    </xf>
    <xf numFmtId="49" fontId="0" fillId="0" borderId="0" xfId="0" applyNumberFormat="1" applyFont="1"/>
    <xf numFmtId="0" fontId="5" fillId="29" borderId="1" xfId="0" applyFont="1" applyFill="1" applyBorder="1" applyAlignment="1">
      <alignment horizontal="left" vertical="center"/>
    </xf>
    <xf numFmtId="49" fontId="0" fillId="29" borderId="1" xfId="0" applyNumberFormat="1" applyFont="1" applyFill="1" applyBorder="1" applyAlignment="1">
      <alignment horizontal="left"/>
    </xf>
    <xf numFmtId="0" fontId="14" fillId="0" borderId="0" xfId="0" applyFont="1"/>
    <xf numFmtId="0" fontId="0" fillId="28" borderId="4" xfId="0" applyFill="1" applyBorder="1" applyAlignment="1">
      <alignment vertical="center"/>
    </xf>
    <xf numFmtId="0" fontId="15" fillId="2" borderId="1" xfId="0" applyFont="1" applyFill="1" applyBorder="1" applyAlignment="1">
      <alignment horizontal="left"/>
    </xf>
    <xf numFmtId="0" fontId="13" fillId="28" borderId="1" xfId="0" applyFont="1" applyFill="1" applyBorder="1" applyAlignment="1">
      <alignment horizontal="left" vertical="center"/>
    </xf>
    <xf numFmtId="0" fontId="13" fillId="29" borderId="1" xfId="0" applyFont="1" applyFill="1" applyBorder="1" applyAlignment="1">
      <alignment horizontal="left" vertical="center"/>
    </xf>
    <xf numFmtId="0" fontId="11" fillId="28" borderId="1" xfId="0" applyFont="1" applyFill="1" applyBorder="1" applyAlignment="1">
      <alignment horizontal="left"/>
    </xf>
    <xf numFmtId="0" fontId="5" fillId="0" borderId="1" xfId="0" applyFont="1" applyBorder="1" applyAlignment="1">
      <alignment horizontal="left" vertical="center" wrapText="1"/>
    </xf>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0" fontId="0" fillId="2" borderId="1" xfId="0" applyFont="1" applyFill="1" applyBorder="1" applyAlignment="1">
      <alignment horizontal="left" vertical="center" wrapText="1"/>
    </xf>
    <xf numFmtId="0" fontId="0" fillId="30" borderId="1" xfId="0" applyFill="1" applyBorder="1" applyAlignment="1">
      <alignment horizontal="left" vertical="center" wrapText="1"/>
    </xf>
    <xf numFmtId="0" fontId="0" fillId="30" borderId="1" xfId="0" applyFont="1" applyFill="1" applyBorder="1" applyAlignment="1">
      <alignment horizontal="left" vertical="center" wrapText="1"/>
    </xf>
    <xf numFmtId="0" fontId="13" fillId="28" borderId="1" xfId="0" applyFont="1" applyFill="1" applyBorder="1" applyAlignment="1">
      <alignment horizontal="left" vertical="center" wrapText="1"/>
    </xf>
    <xf numFmtId="0" fontId="4" fillId="30" borderId="1" xfId="0" applyFont="1" applyFill="1" applyBorder="1" applyAlignment="1">
      <alignment horizontal="left" vertical="center"/>
    </xf>
    <xf numFmtId="0" fontId="4" fillId="17" borderId="1" xfId="0" applyFont="1" applyFill="1" applyBorder="1" applyAlignment="1">
      <alignment horizontal="left" vertical="center"/>
    </xf>
    <xf numFmtId="0" fontId="5" fillId="17" borderId="4" xfId="0" applyFont="1" applyFill="1" applyBorder="1" applyAlignment="1">
      <alignment horizontal="left" vertical="center"/>
    </xf>
    <xf numFmtId="0" fontId="12" fillId="0" borderId="4" xfId="0" applyFont="1" applyBorder="1" applyAlignment="1">
      <alignment horizontal="left" vertical="center"/>
    </xf>
    <xf numFmtId="0" fontId="4" fillId="23" borderId="1" xfId="0" applyFont="1" applyFill="1" applyBorder="1" applyAlignment="1">
      <alignment horizontal="left" vertical="center"/>
    </xf>
    <xf numFmtId="0" fontId="5" fillId="23" borderId="4" xfId="0" applyFont="1" applyFill="1" applyBorder="1" applyAlignment="1">
      <alignment horizontal="left" vertical="center"/>
    </xf>
    <xf numFmtId="0" fontId="5" fillId="23" borderId="1" xfId="0" applyFont="1" applyFill="1" applyBorder="1" applyAlignment="1">
      <alignment horizontal="left" vertical="center"/>
    </xf>
    <xf numFmtId="0" fontId="4" fillId="31" borderId="1" xfId="0" applyFont="1" applyFill="1" applyBorder="1" applyAlignment="1">
      <alignment horizontal="left" vertical="center"/>
    </xf>
    <xf numFmtId="0" fontId="5" fillId="31" borderId="4" xfId="0" applyFont="1" applyFill="1" applyBorder="1" applyAlignment="1">
      <alignment horizontal="left" vertical="center"/>
    </xf>
    <xf numFmtId="0" fontId="5" fillId="31" borderId="1" xfId="0" applyFont="1" applyFill="1" applyBorder="1" applyAlignment="1">
      <alignment horizontal="left" vertical="center"/>
    </xf>
    <xf numFmtId="0" fontId="5" fillId="2" borderId="4" xfId="0" applyFont="1" applyFill="1" applyBorder="1" applyAlignment="1">
      <alignment horizontal="left" vertical="center"/>
    </xf>
    <xf numFmtId="0" fontId="46" fillId="29" borderId="1" xfId="1" applyFill="1" applyBorder="1">
      <alignment vertical="center"/>
    </xf>
    <xf numFmtId="0" fontId="0" fillId="29" borderId="1" xfId="0" applyFont="1" applyFill="1" applyBorder="1" applyAlignment="1">
      <alignment horizontal="left"/>
    </xf>
    <xf numFmtId="0" fontId="0" fillId="8" borderId="0" xfId="0" applyFill="1"/>
    <xf numFmtId="0" fontId="16" fillId="0" borderId="0" xfId="0" applyFont="1"/>
    <xf numFmtId="49" fontId="1" fillId="27" borderId="1" xfId="0" applyNumberFormat="1" applyFont="1" applyFill="1" applyBorder="1" applyAlignment="1">
      <alignment horizontal="center" vertical="center" wrapText="1"/>
    </xf>
    <xf numFmtId="49" fontId="17" fillId="27" borderId="1" xfId="0" applyNumberFormat="1" applyFont="1" applyFill="1" applyBorder="1" applyAlignment="1">
      <alignment horizontal="center" vertical="center" wrapText="1"/>
    </xf>
    <xf numFmtId="49" fontId="17" fillId="27" borderId="1" xfId="0" applyNumberFormat="1" applyFont="1" applyFill="1" applyBorder="1" applyAlignment="1">
      <alignment horizontal="center" vertical="center"/>
    </xf>
    <xf numFmtId="0" fontId="17" fillId="27" borderId="1" xfId="0" applyFont="1" applyFill="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0" fillId="8" borderId="1" xfId="0" applyFill="1" applyBorder="1" applyAlignment="1">
      <alignment horizontal="left"/>
    </xf>
    <xf numFmtId="0" fontId="3" fillId="2" borderId="1" xfId="0" applyFont="1" applyFill="1" applyBorder="1"/>
    <xf numFmtId="0" fontId="3" fillId="8" borderId="1" xfId="0" applyFont="1" applyFill="1" applyBorder="1"/>
    <xf numFmtId="0" fontId="8" fillId="0" borderId="0" xfId="0" applyFont="1" applyAlignment="1">
      <alignment horizontal="left" wrapText="1"/>
    </xf>
    <xf numFmtId="0" fontId="2" fillId="2" borderId="1" xfId="0" applyFont="1" applyFill="1" applyBorder="1" applyAlignment="1">
      <alignment horizontal="left" vertical="center"/>
    </xf>
    <xf numFmtId="0" fontId="0" fillId="2" borderId="0" xfId="0" applyFill="1" applyAlignment="1">
      <alignment horizontal="left"/>
    </xf>
    <xf numFmtId="0" fontId="3" fillId="0" borderId="0" xfId="0" applyFont="1" applyAlignment="1">
      <alignment horizontal="left"/>
    </xf>
    <xf numFmtId="0" fontId="0" fillId="0" borderId="5" xfId="0" applyBorder="1"/>
    <xf numFmtId="0" fontId="0" fillId="8" borderId="0" xfId="0" applyFill="1" applyAlignment="1">
      <alignment horizontal="left" vertical="center"/>
    </xf>
    <xf numFmtId="0" fontId="0" fillId="8" borderId="0" xfId="0" applyFill="1" applyAlignment="1">
      <alignment horizontal="left"/>
    </xf>
    <xf numFmtId="0" fontId="0" fillId="33" borderId="0" xfId="0" applyFill="1" applyAlignment="1">
      <alignment vertical="center"/>
    </xf>
    <xf numFmtId="0" fontId="19" fillId="0" borderId="0" xfId="0" applyFont="1" applyAlignment="1">
      <alignment horizontal="left"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20" fillId="0" borderId="0" xfId="0" applyFont="1"/>
    <xf numFmtId="0" fontId="0" fillId="2" borderId="1" xfId="0" applyFill="1" applyBorder="1" applyAlignment="1">
      <alignment horizontal="center" vertical="center"/>
    </xf>
    <xf numFmtId="0" fontId="0" fillId="2" borderId="1" xfId="0" applyFont="1" applyFill="1" applyBorder="1" applyAlignment="1">
      <alignment horizontal="center" vertical="center"/>
    </xf>
    <xf numFmtId="0" fontId="0" fillId="34" borderId="1" xfId="0" applyFill="1" applyBorder="1" applyAlignment="1">
      <alignment horizontal="center" vertical="center"/>
    </xf>
    <xf numFmtId="0" fontId="0" fillId="0" borderId="1" xfId="0" applyFont="1" applyBorder="1" applyAlignment="1">
      <alignment horizontal="center" vertical="center"/>
    </xf>
    <xf numFmtId="0" fontId="0" fillId="34" borderId="1" xfId="0" applyFont="1" applyFill="1" applyBorder="1" applyAlignment="1">
      <alignment horizontal="center" vertical="center"/>
    </xf>
    <xf numFmtId="0" fontId="3" fillId="0" borderId="0" xfId="0" applyFont="1" applyAlignment="1">
      <alignment vertical="center"/>
    </xf>
    <xf numFmtId="0" fontId="0" fillId="0" borderId="0" xfId="0" applyAlignment="1">
      <alignment vertical="center"/>
    </xf>
    <xf numFmtId="49" fontId="1" fillId="0" borderId="0" xfId="0" applyNumberFormat="1" applyFont="1" applyAlignment="1">
      <alignment horizontal="left" vertical="center" wrapText="1"/>
    </xf>
    <xf numFmtId="0" fontId="0" fillId="14" borderId="0" xfId="0" applyFill="1" applyAlignment="1">
      <alignment horizontal="left"/>
    </xf>
    <xf numFmtId="0" fontId="0" fillId="23" borderId="0" xfId="0" applyFill="1" applyAlignment="1">
      <alignment horizontal="left"/>
    </xf>
    <xf numFmtId="0" fontId="0" fillId="22" borderId="0" xfId="0" applyFill="1" applyAlignment="1">
      <alignment horizontal="left"/>
    </xf>
    <xf numFmtId="0" fontId="6" fillId="0" borderId="0" xfId="0" applyFont="1" applyAlignment="1">
      <alignment horizontal="left"/>
    </xf>
    <xf numFmtId="0" fontId="6" fillId="6" borderId="0" xfId="0" applyFont="1" applyFill="1" applyAlignment="1">
      <alignment horizontal="left"/>
    </xf>
    <xf numFmtId="0" fontId="6" fillId="23" borderId="0" xfId="0" applyFont="1" applyFill="1" applyAlignment="1">
      <alignment horizontal="left"/>
    </xf>
    <xf numFmtId="0" fontId="7" fillId="0" borderId="0" xfId="0" applyFont="1" applyAlignment="1">
      <alignment horizontal="left"/>
    </xf>
    <xf numFmtId="0" fontId="0" fillId="2" borderId="1" xfId="0" applyFill="1" applyBorder="1" applyAlignment="1">
      <alignment horizontal="left" vertical="center" wrapText="1" readingOrder="1"/>
    </xf>
    <xf numFmtId="0" fontId="21" fillId="2" borderId="1" xfId="0" applyFont="1" applyFill="1" applyBorder="1" applyAlignment="1">
      <alignment horizontal="left"/>
    </xf>
    <xf numFmtId="0" fontId="6" fillId="35" borderId="6" xfId="0" applyFont="1" applyFill="1" applyBorder="1" applyAlignment="1">
      <alignment horizontal="left"/>
    </xf>
    <xf numFmtId="0" fontId="2" fillId="0" borderId="1" xfId="0" applyFont="1" applyFill="1" applyBorder="1" applyAlignment="1">
      <alignment horizontal="left" vertical="center"/>
    </xf>
    <xf numFmtId="0" fontId="8" fillId="0" borderId="0" xfId="0" applyFont="1" applyFill="1" applyAlignment="1"/>
    <xf numFmtId="0" fontId="0" fillId="5" borderId="1" xfId="0" applyFont="1" applyFill="1" applyBorder="1" applyAlignment="1">
      <alignment horizontal="left"/>
    </xf>
    <xf numFmtId="49" fontId="1" fillId="3" borderId="1" xfId="0" applyNumberFormat="1" applyFont="1" applyFill="1" applyBorder="1" applyAlignment="1">
      <alignment horizontal="left" vertical="center" wrapText="1" readingOrder="1"/>
    </xf>
    <xf numFmtId="0" fontId="2" fillId="0" borderId="1" xfId="0" applyFont="1" applyBorder="1" applyAlignment="1">
      <alignment horizontal="left" vertical="center" wrapText="1" readingOrder="1"/>
    </xf>
    <xf numFmtId="0" fontId="22" fillId="0" borderId="1" xfId="0" applyFont="1" applyBorder="1" applyAlignment="1">
      <alignment horizontal="left" vertical="center"/>
    </xf>
    <xf numFmtId="0" fontId="23" fillId="0" borderId="1" xfId="0" applyFont="1" applyBorder="1" applyAlignment="1">
      <alignment horizontal="left" vertical="center"/>
    </xf>
    <xf numFmtId="49" fontId="24" fillId="4" borderId="1" xfId="0" applyNumberFormat="1" applyFont="1" applyFill="1" applyBorder="1" applyAlignment="1">
      <alignment horizontal="left" vertical="center"/>
    </xf>
    <xf numFmtId="0" fontId="10" fillId="4" borderId="1" xfId="0" applyFont="1" applyFill="1" applyBorder="1" applyAlignment="1">
      <alignment horizontal="left"/>
    </xf>
    <xf numFmtId="0" fontId="3" fillId="4" borderId="1" xfId="0" applyFont="1" applyFill="1" applyBorder="1" applyAlignment="1">
      <alignment horizontal="left"/>
    </xf>
    <xf numFmtId="49" fontId="24" fillId="4" borderId="1" xfId="0" applyNumberFormat="1" applyFont="1" applyFill="1" applyBorder="1" applyAlignment="1">
      <alignment horizontal="left" vertical="center" wrapText="1"/>
    </xf>
    <xf numFmtId="0" fontId="5" fillId="5" borderId="1" xfId="0" applyFont="1" applyFill="1" applyBorder="1" applyAlignment="1">
      <alignment horizontal="left" vertical="center"/>
    </xf>
    <xf numFmtId="0" fontId="10" fillId="5" borderId="1" xfId="0" applyFont="1" applyFill="1" applyBorder="1" applyAlignment="1">
      <alignment horizontal="left"/>
    </xf>
    <xf numFmtId="0" fontId="5" fillId="0" borderId="1" xfId="0" applyFont="1" applyBorder="1" applyAlignment="1">
      <alignment horizontal="left" vertical="center"/>
    </xf>
    <xf numFmtId="0" fontId="0" fillId="6" borderId="1" xfId="0" applyFill="1" applyBorder="1" applyAlignment="1">
      <alignment horizontal="left" vertical="center" readingOrder="1"/>
    </xf>
    <xf numFmtId="0" fontId="10" fillId="6" borderId="1" xfId="0" applyFont="1" applyFill="1" applyBorder="1" applyAlignment="1">
      <alignment horizontal="left"/>
    </xf>
    <xf numFmtId="0" fontId="3" fillId="6" borderId="1" xfId="0" applyFont="1" applyFill="1" applyBorder="1" applyAlignment="1">
      <alignment horizontal="left"/>
    </xf>
    <xf numFmtId="49" fontId="24" fillId="7" borderId="1" xfId="0" applyNumberFormat="1" applyFont="1" applyFill="1" applyBorder="1" applyAlignment="1">
      <alignment horizontal="left" vertical="center"/>
    </xf>
    <xf numFmtId="0" fontId="10" fillId="7" borderId="1" xfId="0" applyFont="1" applyFill="1" applyBorder="1" applyAlignment="1">
      <alignment horizontal="left"/>
    </xf>
    <xf numFmtId="0" fontId="3" fillId="7" borderId="1" xfId="0" applyFont="1" applyFill="1" applyBorder="1" applyAlignment="1">
      <alignment horizontal="left"/>
    </xf>
    <xf numFmtId="0" fontId="0" fillId="7" borderId="1" xfId="0" applyFill="1" applyBorder="1" applyAlignment="1">
      <alignment horizontal="left" vertical="center" readingOrder="1"/>
    </xf>
    <xf numFmtId="0" fontId="12" fillId="7" borderId="1" xfId="0" applyFont="1" applyFill="1" applyBorder="1" applyAlignment="1">
      <alignment horizontal="left" vertical="center"/>
    </xf>
    <xf numFmtId="0" fontId="12" fillId="7" borderId="0" xfId="0" applyFont="1" applyFill="1" applyAlignment="1">
      <alignment horizontal="left" vertical="center"/>
    </xf>
    <xf numFmtId="0" fontId="5" fillId="0" borderId="0" xfId="0" applyFont="1" applyAlignment="1">
      <alignment horizontal="left" vertical="center"/>
    </xf>
    <xf numFmtId="49" fontId="24" fillId="7" borderId="0" xfId="0" applyNumberFormat="1" applyFont="1" applyFill="1" applyAlignment="1">
      <alignment horizontal="left" vertical="center"/>
    </xf>
    <xf numFmtId="49" fontId="24" fillId="4" borderId="1" xfId="0" applyNumberFormat="1" applyFont="1" applyFill="1" applyBorder="1" applyAlignment="1">
      <alignment horizontal="left" vertical="center" readingOrder="1"/>
    </xf>
    <xf numFmtId="49" fontId="24" fillId="4" borderId="0" xfId="0" applyNumberFormat="1" applyFont="1" applyFill="1" applyAlignment="1">
      <alignment horizontal="left" vertical="center" readingOrder="1"/>
    </xf>
    <xf numFmtId="49" fontId="24" fillId="6" borderId="1" xfId="0" applyNumberFormat="1" applyFont="1" applyFill="1" applyBorder="1" applyAlignment="1">
      <alignment horizontal="left" vertical="center" readingOrder="1"/>
    </xf>
    <xf numFmtId="49" fontId="1" fillId="36" borderId="1" xfId="0" applyNumberFormat="1" applyFont="1" applyFill="1" applyBorder="1" applyAlignment="1">
      <alignment horizontal="left" vertical="center" wrapText="1"/>
    </xf>
    <xf numFmtId="49" fontId="1" fillId="36" borderId="5" xfId="0" applyNumberFormat="1" applyFont="1" applyFill="1" applyBorder="1" applyAlignment="1">
      <alignment horizontal="left" vertical="center" wrapText="1"/>
    </xf>
    <xf numFmtId="0" fontId="25" fillId="0" borderId="7" xfId="0" applyFont="1" applyBorder="1" applyAlignment="1">
      <alignment horizontal="left" vertical="center"/>
    </xf>
    <xf numFmtId="0" fontId="25" fillId="0" borderId="8" xfId="0" applyFont="1" applyBorder="1" applyAlignment="1">
      <alignment horizontal="left" vertical="center"/>
    </xf>
    <xf numFmtId="0" fontId="26" fillId="0" borderId="7" xfId="0" applyFont="1" applyBorder="1" applyAlignment="1">
      <alignment horizontal="left" vertical="center"/>
    </xf>
    <xf numFmtId="0" fontId="7" fillId="37" borderId="7" xfId="0" applyFont="1" applyFill="1" applyBorder="1" applyAlignment="1">
      <alignment horizontal="left"/>
    </xf>
    <xf numFmtId="0" fontId="7" fillId="37" borderId="8" xfId="0" applyFont="1" applyFill="1" applyBorder="1" applyAlignment="1">
      <alignment horizontal="left"/>
    </xf>
    <xf numFmtId="0" fontId="7" fillId="38" borderId="7" xfId="0" applyFont="1" applyFill="1" applyBorder="1" applyAlignment="1">
      <alignment horizontal="left"/>
    </xf>
    <xf numFmtId="0" fontId="7" fillId="38" borderId="8" xfId="0" applyFont="1" applyFill="1" applyBorder="1" applyAlignment="1">
      <alignment horizontal="left"/>
    </xf>
    <xf numFmtId="0" fontId="7" fillId="0" borderId="7" xfId="0" applyFont="1" applyBorder="1" applyAlignment="1">
      <alignment horizontal="left"/>
    </xf>
    <xf numFmtId="0" fontId="7" fillId="0" borderId="8" xfId="0" applyFont="1" applyBorder="1" applyAlignment="1">
      <alignment horizontal="left"/>
    </xf>
    <xf numFmtId="0" fontId="7" fillId="39" borderId="7" xfId="0" applyFont="1" applyFill="1" applyBorder="1" applyAlignment="1">
      <alignment horizontal="left"/>
    </xf>
    <xf numFmtId="0" fontId="7" fillId="39" borderId="8" xfId="0" applyFont="1" applyFill="1" applyBorder="1" applyAlignment="1">
      <alignment horizontal="left"/>
    </xf>
    <xf numFmtId="0" fontId="7" fillId="40" borderId="7" xfId="0" applyFont="1" applyFill="1" applyBorder="1" applyAlignment="1">
      <alignment horizontal="left"/>
    </xf>
    <xf numFmtId="0" fontId="7" fillId="40" borderId="8" xfId="0" applyFont="1" applyFill="1" applyBorder="1" applyAlignment="1">
      <alignment horizontal="left"/>
    </xf>
    <xf numFmtId="0" fontId="24" fillId="40" borderId="7" xfId="0" applyFont="1" applyFill="1" applyBorder="1" applyAlignment="1">
      <alignment horizontal="left"/>
    </xf>
    <xf numFmtId="0" fontId="24" fillId="40" borderId="8" xfId="0" applyFont="1" applyFill="1" applyBorder="1" applyAlignment="1">
      <alignment horizontal="left"/>
    </xf>
    <xf numFmtId="0" fontId="23" fillId="2" borderId="1" xfId="0" applyFont="1" applyFill="1" applyBorder="1" applyAlignment="1">
      <alignment horizontal="left" vertical="center"/>
    </xf>
    <xf numFmtId="49" fontId="2" fillId="2" borderId="1" xfId="0" applyNumberFormat="1" applyFont="1" applyFill="1" applyBorder="1" applyAlignment="1">
      <alignment horizontal="left" vertical="center"/>
    </xf>
    <xf numFmtId="49" fontId="0" fillId="4" borderId="1" xfId="0" applyNumberFormat="1" applyFill="1" applyBorder="1" applyAlignment="1">
      <alignment horizontal="left"/>
    </xf>
    <xf numFmtId="49" fontId="0" fillId="4" borderId="1" xfId="0" applyNumberFormat="1" applyFill="1" applyBorder="1" applyAlignment="1">
      <alignment horizontal="left" vertical="center"/>
    </xf>
    <xf numFmtId="49" fontId="0" fillId="5" borderId="1" xfId="0" applyNumberFormat="1" applyFill="1" applyBorder="1" applyAlignment="1">
      <alignment horizontal="left"/>
    </xf>
    <xf numFmtId="49" fontId="0" fillId="6" borderId="1" xfId="0" applyNumberFormat="1" applyFill="1" applyBorder="1" applyAlignment="1">
      <alignment horizontal="left"/>
    </xf>
    <xf numFmtId="49" fontId="0" fillId="7" borderId="1" xfId="0" applyNumberFormat="1" applyFill="1" applyBorder="1" applyAlignment="1">
      <alignment horizontal="left"/>
    </xf>
    <xf numFmtId="49" fontId="0" fillId="7" borderId="1" xfId="0" applyNumberFormat="1" applyFill="1" applyBorder="1" applyAlignment="1">
      <alignment horizontal="left" vertical="center"/>
    </xf>
    <xf numFmtId="49" fontId="0" fillId="7" borderId="1" xfId="0" applyNumberFormat="1" applyFont="1" applyFill="1" applyBorder="1" applyAlignment="1">
      <alignment horizontal="left" vertical="center"/>
    </xf>
    <xf numFmtId="49" fontId="0" fillId="6" borderId="1" xfId="0" applyNumberFormat="1" applyFill="1" applyBorder="1" applyAlignment="1">
      <alignment horizontal="left" vertical="center"/>
    </xf>
    <xf numFmtId="49" fontId="27" fillId="3" borderId="6" xfId="0" applyNumberFormat="1" applyFont="1" applyFill="1" applyBorder="1" applyAlignment="1">
      <alignment horizontal="left" vertical="center" wrapText="1"/>
    </xf>
    <xf numFmtId="0" fontId="6" fillId="41" borderId="6" xfId="0" applyFont="1" applyFill="1" applyBorder="1" applyAlignment="1">
      <alignment horizontal="left"/>
    </xf>
    <xf numFmtId="0" fontId="6" fillId="42" borderId="6" xfId="0" applyFont="1" applyFill="1" applyBorder="1" applyAlignment="1">
      <alignment horizontal="left"/>
    </xf>
    <xf numFmtId="0" fontId="6" fillId="0" borderId="6" xfId="0" applyFont="1" applyBorder="1" applyAlignment="1">
      <alignment horizontal="left"/>
    </xf>
    <xf numFmtId="0" fontId="0" fillId="0" borderId="1" xfId="0" applyFont="1" applyBorder="1" applyAlignment="1">
      <alignment horizontal="left"/>
    </xf>
    <xf numFmtId="0" fontId="6" fillId="43" borderId="6" xfId="0" applyFont="1" applyFill="1" applyBorder="1" applyAlignment="1">
      <alignment horizontal="left"/>
    </xf>
    <xf numFmtId="0" fontId="6" fillId="44" borderId="6" xfId="0" applyFont="1" applyFill="1" applyBorder="1" applyAlignment="1">
      <alignment horizontal="left"/>
    </xf>
    <xf numFmtId="0" fontId="0" fillId="6" borderId="0" xfId="0" applyFill="1" applyAlignment="1">
      <alignment horizontal="left" vertical="center" readingOrder="1"/>
    </xf>
    <xf numFmtId="49" fontId="7" fillId="6" borderId="1" xfId="0" applyNumberFormat="1" applyFont="1" applyFill="1" applyBorder="1" applyAlignment="1">
      <alignment horizontal="left" vertical="center" readingOrder="1"/>
    </xf>
    <xf numFmtId="49" fontId="24" fillId="9" borderId="1" xfId="0" applyNumberFormat="1" applyFont="1" applyFill="1" applyBorder="1" applyAlignment="1">
      <alignment horizontal="left" vertical="center" readingOrder="1"/>
    </xf>
    <xf numFmtId="0" fontId="10" fillId="9" borderId="1" xfId="0" applyFont="1" applyFill="1" applyBorder="1" applyAlignment="1">
      <alignment horizontal="left"/>
    </xf>
    <xf numFmtId="0" fontId="3" fillId="9" borderId="1" xfId="0" applyFont="1" applyFill="1" applyBorder="1" applyAlignment="1">
      <alignment horizontal="left"/>
    </xf>
    <xf numFmtId="0" fontId="20" fillId="9" borderId="1" xfId="0" applyFont="1" applyFill="1" applyBorder="1" applyAlignment="1">
      <alignment horizontal="left"/>
    </xf>
    <xf numFmtId="0" fontId="0" fillId="9" borderId="1" xfId="0" applyFill="1" applyBorder="1" applyAlignment="1">
      <alignment horizontal="left" vertical="center" readingOrder="1"/>
    </xf>
    <xf numFmtId="49" fontId="7" fillId="9" borderId="1" xfId="0" applyNumberFormat="1" applyFont="1" applyFill="1" applyBorder="1" applyAlignment="1">
      <alignment horizontal="left" vertical="center" readingOrder="1"/>
    </xf>
    <xf numFmtId="0" fontId="28" fillId="9" borderId="1" xfId="0" applyFont="1" applyFill="1" applyBorder="1" applyAlignment="1">
      <alignment horizontal="left"/>
    </xf>
    <xf numFmtId="0" fontId="29" fillId="6" borderId="1" xfId="0" applyFont="1" applyFill="1" applyBorder="1" applyAlignment="1">
      <alignment horizontal="left"/>
    </xf>
    <xf numFmtId="0" fontId="28" fillId="6" borderId="1" xfId="0" applyFont="1" applyFill="1" applyBorder="1" applyAlignment="1">
      <alignment horizontal="left"/>
    </xf>
    <xf numFmtId="0" fontId="0" fillId="10" borderId="1" xfId="0" applyFill="1" applyBorder="1" applyAlignment="1">
      <alignment horizontal="left" vertical="center"/>
    </xf>
    <xf numFmtId="0" fontId="10" fillId="10" borderId="1" xfId="0" applyFont="1" applyFill="1" applyBorder="1" applyAlignment="1">
      <alignment horizontal="left"/>
    </xf>
    <xf numFmtId="0" fontId="3" fillId="10" borderId="1" xfId="0" applyFont="1" applyFill="1" applyBorder="1" applyAlignment="1">
      <alignment horizontal="left"/>
    </xf>
    <xf numFmtId="0" fontId="5" fillId="10" borderId="1" xfId="0" applyFont="1" applyFill="1" applyBorder="1" applyAlignment="1">
      <alignment horizontal="left" vertical="center"/>
    </xf>
    <xf numFmtId="0" fontId="0" fillId="11" borderId="1" xfId="0" applyFill="1" applyBorder="1" applyAlignment="1">
      <alignment horizontal="left" vertical="center"/>
    </xf>
    <xf numFmtId="0" fontId="10" fillId="11" borderId="1" xfId="0" applyFont="1" applyFill="1" applyBorder="1" applyAlignment="1">
      <alignment horizontal="left"/>
    </xf>
    <xf numFmtId="0" fontId="3" fillId="11" borderId="1" xfId="0" applyFont="1" applyFill="1" applyBorder="1" applyAlignment="1">
      <alignment horizontal="left"/>
    </xf>
    <xf numFmtId="0" fontId="5" fillId="11" borderId="1" xfId="0" applyFont="1" applyFill="1" applyBorder="1" applyAlignment="1">
      <alignment horizontal="left" vertical="center"/>
    </xf>
    <xf numFmtId="9" fontId="7" fillId="39" borderId="7" xfId="0" applyNumberFormat="1" applyFont="1" applyFill="1" applyBorder="1" applyAlignment="1">
      <alignment horizontal="left"/>
    </xf>
    <xf numFmtId="9" fontId="7" fillId="39" borderId="8" xfId="0" applyNumberFormat="1" applyFont="1" applyFill="1" applyBorder="1" applyAlignment="1">
      <alignment horizontal="left"/>
    </xf>
    <xf numFmtId="0" fontId="30" fillId="39" borderId="7" xfId="0" applyFont="1" applyFill="1" applyBorder="1" applyAlignment="1">
      <alignment horizontal="left"/>
    </xf>
    <xf numFmtId="0" fontId="7" fillId="45" borderId="7" xfId="0" applyFont="1" applyFill="1" applyBorder="1" applyAlignment="1">
      <alignment horizontal="left"/>
    </xf>
    <xf numFmtId="0" fontId="7" fillId="45" borderId="8" xfId="0" applyFont="1" applyFill="1" applyBorder="1" applyAlignment="1">
      <alignment horizontal="left"/>
    </xf>
    <xf numFmtId="0" fontId="31" fillId="45" borderId="7" xfId="0" applyFont="1" applyFill="1" applyBorder="1" applyAlignment="1">
      <alignment horizontal="left"/>
    </xf>
    <xf numFmtId="0" fontId="32" fillId="45" borderId="8" xfId="0" applyFont="1" applyFill="1" applyBorder="1" applyAlignment="1">
      <alignment horizontal="left"/>
    </xf>
    <xf numFmtId="0" fontId="32" fillId="45" borderId="7" xfId="0" applyFont="1" applyFill="1" applyBorder="1" applyAlignment="1">
      <alignment horizontal="left"/>
    </xf>
    <xf numFmtId="9" fontId="7" fillId="45" borderId="7" xfId="0" applyNumberFormat="1" applyFont="1" applyFill="1" applyBorder="1" applyAlignment="1">
      <alignment horizontal="left"/>
    </xf>
    <xf numFmtId="9" fontId="7" fillId="45" borderId="8" xfId="0" applyNumberFormat="1" applyFont="1" applyFill="1" applyBorder="1" applyAlignment="1">
      <alignment horizontal="left"/>
    </xf>
    <xf numFmtId="0" fontId="7" fillId="39" borderId="7" xfId="0" applyFont="1" applyFill="1" applyBorder="1"/>
    <xf numFmtId="0" fontId="7" fillId="39" borderId="8" xfId="0" applyFont="1" applyFill="1" applyBorder="1"/>
    <xf numFmtId="0" fontId="7" fillId="46" borderId="7" xfId="0" applyFont="1" applyFill="1" applyBorder="1" applyAlignment="1">
      <alignment horizontal="left"/>
    </xf>
    <xf numFmtId="0" fontId="7" fillId="46" borderId="8" xfId="0" applyFont="1" applyFill="1" applyBorder="1" applyAlignment="1">
      <alignment horizontal="left"/>
    </xf>
    <xf numFmtId="58" fontId="7" fillId="46" borderId="8" xfId="0" applyNumberFormat="1" applyFont="1" applyFill="1" applyBorder="1" applyAlignment="1">
      <alignment horizontal="left"/>
    </xf>
    <xf numFmtId="0" fontId="7" fillId="47" borderId="7" xfId="0" applyFont="1" applyFill="1" applyBorder="1" applyAlignment="1">
      <alignment horizontal="left"/>
    </xf>
    <xf numFmtId="0" fontId="7" fillId="47" borderId="8" xfId="0" applyFont="1" applyFill="1" applyBorder="1" applyAlignment="1">
      <alignment horizontal="left"/>
    </xf>
    <xf numFmtId="9" fontId="3" fillId="6" borderId="1" xfId="0" applyNumberFormat="1" applyFont="1" applyFill="1" applyBorder="1" applyAlignment="1">
      <alignment horizontal="left"/>
    </xf>
    <xf numFmtId="0" fontId="5" fillId="9" borderId="1" xfId="0" applyFont="1" applyFill="1" applyBorder="1" applyAlignment="1">
      <alignment horizontal="left"/>
    </xf>
    <xf numFmtId="9" fontId="3" fillId="9" borderId="1" xfId="0" applyNumberFormat="1" applyFont="1" applyFill="1" applyBorder="1" applyAlignment="1">
      <alignment horizontal="left"/>
    </xf>
    <xf numFmtId="0" fontId="5" fillId="6" borderId="1" xfId="0" applyFont="1" applyFill="1" applyBorder="1" applyAlignment="1">
      <alignment horizontal="left"/>
    </xf>
    <xf numFmtId="49" fontId="0" fillId="9" borderId="1" xfId="0" applyNumberFormat="1" applyFill="1" applyBorder="1" applyAlignment="1">
      <alignment horizontal="left"/>
    </xf>
    <xf numFmtId="49" fontId="0" fillId="9" borderId="1" xfId="0" applyNumberFormat="1" applyFill="1" applyBorder="1" applyAlignment="1">
      <alignment horizontal="left" vertical="center"/>
    </xf>
    <xf numFmtId="49" fontId="0" fillId="10" borderId="1" xfId="0" applyNumberFormat="1" applyFill="1" applyBorder="1" applyAlignment="1">
      <alignment horizontal="left"/>
    </xf>
    <xf numFmtId="49" fontId="0" fillId="11" borderId="1" xfId="0" applyNumberFormat="1" applyFill="1" applyBorder="1" applyAlignment="1">
      <alignment horizontal="left"/>
    </xf>
    <xf numFmtId="0" fontId="0" fillId="11" borderId="1" xfId="0" applyFont="1" applyFill="1" applyBorder="1" applyAlignment="1">
      <alignment horizontal="left"/>
    </xf>
    <xf numFmtId="0" fontId="6" fillId="48" borderId="6" xfId="0" applyFont="1" applyFill="1" applyBorder="1" applyAlignment="1">
      <alignment horizontal="left"/>
    </xf>
    <xf numFmtId="0" fontId="6" fillId="49" borderId="6" xfId="0" applyFont="1" applyFill="1" applyBorder="1" applyAlignment="1">
      <alignment horizontal="left"/>
    </xf>
    <xf numFmtId="0" fontId="6" fillId="50" borderId="6" xfId="0" applyFont="1" applyFill="1" applyBorder="1" applyAlignment="1">
      <alignment horizontal="left"/>
    </xf>
    <xf numFmtId="0" fontId="13" fillId="4" borderId="1" xfId="0" applyFont="1" applyFill="1" applyBorder="1" applyAlignment="1">
      <alignment horizontal="left" vertical="center"/>
    </xf>
    <xf numFmtId="0" fontId="13" fillId="12" borderId="1" xfId="0" applyFont="1" applyFill="1" applyBorder="1" applyAlignment="1">
      <alignment horizontal="left" vertical="center"/>
    </xf>
    <xf numFmtId="0" fontId="10" fillId="12" borderId="1" xfId="0" applyFont="1" applyFill="1" applyBorder="1" applyAlignment="1">
      <alignment horizontal="left"/>
    </xf>
    <xf numFmtId="0" fontId="3" fillId="12" borderId="1" xfId="0" applyFont="1" applyFill="1" applyBorder="1" applyAlignment="1">
      <alignment horizontal="left"/>
    </xf>
    <xf numFmtId="0" fontId="13" fillId="13" borderId="1" xfId="0" applyFont="1" applyFill="1" applyBorder="1" applyAlignment="1">
      <alignment horizontal="left" vertical="center"/>
    </xf>
    <xf numFmtId="0" fontId="10" fillId="13" borderId="1" xfId="0" applyFont="1" applyFill="1" applyBorder="1" applyAlignment="1">
      <alignment horizontal="left"/>
    </xf>
    <xf numFmtId="0" fontId="3" fillId="13" borderId="1" xfId="0" applyFont="1" applyFill="1" applyBorder="1" applyAlignment="1">
      <alignment horizontal="left"/>
    </xf>
    <xf numFmtId="0" fontId="0" fillId="13" borderId="1" xfId="0" applyFill="1" applyBorder="1" applyAlignment="1">
      <alignment horizontal="left" vertical="center"/>
    </xf>
    <xf numFmtId="0" fontId="0" fillId="12" borderId="1" xfId="0" applyFill="1" applyBorder="1" applyAlignment="1">
      <alignment horizontal="left" vertical="center"/>
    </xf>
    <xf numFmtId="0" fontId="13" fillId="14" borderId="1" xfId="0" applyFont="1" applyFill="1" applyBorder="1" applyAlignment="1">
      <alignment horizontal="left" vertical="center"/>
    </xf>
    <xf numFmtId="0" fontId="10" fillId="14" borderId="1" xfId="0" applyFont="1" applyFill="1" applyBorder="1" applyAlignment="1">
      <alignment horizontal="left"/>
    </xf>
    <xf numFmtId="0" fontId="3" fillId="14" borderId="1" xfId="0" applyFont="1" applyFill="1" applyBorder="1" applyAlignment="1">
      <alignment horizontal="left"/>
    </xf>
    <xf numFmtId="0" fontId="0" fillId="14" borderId="1" xfId="0" applyFill="1" applyBorder="1" applyAlignment="1">
      <alignment horizontal="left" vertical="center"/>
    </xf>
    <xf numFmtId="0" fontId="0" fillId="4" borderId="1" xfId="0" applyFill="1" applyBorder="1" applyAlignment="1">
      <alignment horizontal="left" vertical="center" readingOrder="1"/>
    </xf>
    <xf numFmtId="0" fontId="0" fillId="15" borderId="1" xfId="0" applyFill="1" applyBorder="1" applyAlignment="1">
      <alignment horizontal="left" vertical="center" readingOrder="1"/>
    </xf>
    <xf numFmtId="0" fontId="10" fillId="15" borderId="1" xfId="0" applyFont="1" applyFill="1" applyBorder="1" applyAlignment="1">
      <alignment horizontal="left"/>
    </xf>
    <xf numFmtId="0" fontId="3" fillId="15" borderId="1" xfId="0" applyFont="1" applyFill="1" applyBorder="1" applyAlignment="1">
      <alignment horizontal="left"/>
    </xf>
    <xf numFmtId="0" fontId="5" fillId="6" borderId="1" xfId="0" applyFont="1" applyFill="1" applyBorder="1" applyAlignment="1">
      <alignment horizontal="left" vertical="center"/>
    </xf>
    <xf numFmtId="0" fontId="7" fillId="51" borderId="7" xfId="0" applyFont="1" applyFill="1" applyBorder="1" applyAlignment="1">
      <alignment horizontal="left"/>
    </xf>
    <xf numFmtId="0" fontId="7" fillId="51" borderId="8" xfId="0" applyFont="1" applyFill="1" applyBorder="1" applyAlignment="1">
      <alignment horizontal="left"/>
    </xf>
    <xf numFmtId="0" fontId="7" fillId="52" borderId="7" xfId="0" applyFont="1" applyFill="1" applyBorder="1" applyAlignment="1">
      <alignment horizontal="left"/>
    </xf>
    <xf numFmtId="0" fontId="7" fillId="52" borderId="8" xfId="0" applyFont="1" applyFill="1" applyBorder="1" applyAlignment="1">
      <alignment horizontal="left"/>
    </xf>
    <xf numFmtId="0" fontId="7" fillId="53" borderId="7" xfId="0" applyFont="1" applyFill="1" applyBorder="1" applyAlignment="1">
      <alignment horizontal="left"/>
    </xf>
    <xf numFmtId="0" fontId="7" fillId="53" borderId="8" xfId="0" applyFont="1" applyFill="1" applyBorder="1" applyAlignment="1">
      <alignment horizontal="left"/>
    </xf>
    <xf numFmtId="49" fontId="0" fillId="12" borderId="1" xfId="0" applyNumberFormat="1" applyFill="1" applyBorder="1" applyAlignment="1">
      <alignment horizontal="left"/>
    </xf>
    <xf numFmtId="49" fontId="0" fillId="13" borderId="1" xfId="0" applyNumberFormat="1" applyFill="1" applyBorder="1" applyAlignment="1">
      <alignment horizontal="left"/>
    </xf>
    <xf numFmtId="49" fontId="0" fillId="14" borderId="1" xfId="0" applyNumberFormat="1" applyFill="1" applyBorder="1" applyAlignment="1">
      <alignment horizontal="left"/>
    </xf>
    <xf numFmtId="49" fontId="0" fillId="15" borderId="1" xfId="0" applyNumberFormat="1" applyFill="1" applyBorder="1" applyAlignment="1">
      <alignment horizontal="left"/>
    </xf>
    <xf numFmtId="49" fontId="0" fillId="15" borderId="1" xfId="0" applyNumberFormat="1" applyFill="1" applyBorder="1" applyAlignment="1">
      <alignment horizontal="left" vertical="center"/>
    </xf>
    <xf numFmtId="0" fontId="6" fillId="54" borderId="6" xfId="0" applyFont="1" applyFill="1" applyBorder="1" applyAlignment="1">
      <alignment horizontal="left"/>
    </xf>
    <xf numFmtId="0" fontId="6" fillId="14" borderId="6" xfId="0" applyFont="1" applyFill="1" applyBorder="1" applyAlignment="1">
      <alignment horizontal="left"/>
    </xf>
    <xf numFmtId="0" fontId="6" fillId="55" borderId="6" xfId="0" applyFont="1" applyFill="1" applyBorder="1" applyAlignment="1">
      <alignment horizontal="left"/>
    </xf>
    <xf numFmtId="0" fontId="0" fillId="0" borderId="1" xfId="0" applyBorder="1" applyAlignment="1">
      <alignment horizontal="left" vertical="center" readingOrder="1"/>
    </xf>
    <xf numFmtId="49" fontId="24" fillId="16" borderId="1" xfId="0" applyNumberFormat="1" applyFont="1" applyFill="1" applyBorder="1" applyAlignment="1">
      <alignment horizontal="left" vertical="center" readingOrder="1"/>
    </xf>
    <xf numFmtId="0" fontId="10" fillId="16" borderId="1" xfId="0" applyFont="1" applyFill="1" applyBorder="1" applyAlignment="1">
      <alignment horizontal="left"/>
    </xf>
    <xf numFmtId="0" fontId="13" fillId="16" borderId="1" xfId="0" applyFont="1" applyFill="1" applyBorder="1" applyAlignment="1">
      <alignment horizontal="left" vertical="center"/>
    </xf>
    <xf numFmtId="0" fontId="3" fillId="16" borderId="1" xfId="0" applyFont="1" applyFill="1" applyBorder="1" applyAlignment="1">
      <alignment horizontal="left"/>
    </xf>
    <xf numFmtId="49" fontId="24" fillId="17" borderId="1" xfId="0" applyNumberFormat="1" applyFont="1" applyFill="1" applyBorder="1" applyAlignment="1">
      <alignment horizontal="left" vertical="center" readingOrder="1"/>
    </xf>
    <xf numFmtId="0" fontId="10" fillId="17" borderId="1" xfId="0" applyFont="1" applyFill="1" applyBorder="1" applyAlignment="1">
      <alignment horizontal="left"/>
    </xf>
    <xf numFmtId="0" fontId="0" fillId="17" borderId="1" xfId="0" applyFill="1" applyBorder="1" applyAlignment="1">
      <alignment horizontal="left" vertical="center" readingOrder="1"/>
    </xf>
    <xf numFmtId="49" fontId="24" fillId="18" borderId="1" xfId="0" applyNumberFormat="1" applyFont="1" applyFill="1" applyBorder="1" applyAlignment="1">
      <alignment horizontal="left" vertical="center" readingOrder="1"/>
    </xf>
    <xf numFmtId="0" fontId="10" fillId="18" borderId="1" xfId="0" applyFont="1" applyFill="1" applyBorder="1" applyAlignment="1">
      <alignment horizontal="left"/>
    </xf>
    <xf numFmtId="0" fontId="3" fillId="18" borderId="1" xfId="0" applyFont="1" applyFill="1" applyBorder="1" applyAlignment="1">
      <alignment horizontal="left"/>
    </xf>
    <xf numFmtId="0" fontId="0" fillId="18" borderId="1" xfId="0" applyFill="1" applyBorder="1" applyAlignment="1">
      <alignment horizontal="left" vertical="center" readingOrder="1"/>
    </xf>
    <xf numFmtId="0" fontId="0" fillId="19" borderId="1" xfId="0" applyFill="1" applyBorder="1" applyAlignment="1">
      <alignment horizontal="left" vertical="center" readingOrder="1"/>
    </xf>
    <xf numFmtId="0" fontId="10" fillId="19" borderId="1" xfId="0" applyFont="1" applyFill="1" applyBorder="1" applyAlignment="1">
      <alignment horizontal="left"/>
    </xf>
    <xf numFmtId="0" fontId="3" fillId="19" borderId="1" xfId="0" applyFont="1" applyFill="1" applyBorder="1" applyAlignment="1">
      <alignment horizontal="left"/>
    </xf>
    <xf numFmtId="0" fontId="7" fillId="56" borderId="7" xfId="0" applyFont="1" applyFill="1" applyBorder="1" applyAlignment="1">
      <alignment horizontal="left"/>
    </xf>
    <xf numFmtId="0" fontId="7" fillId="56" borderId="8" xfId="0" applyFont="1" applyFill="1" applyBorder="1" applyAlignment="1">
      <alignment horizontal="left"/>
    </xf>
    <xf numFmtId="0" fontId="7" fillId="57" borderId="7" xfId="0" applyFont="1" applyFill="1" applyBorder="1" applyAlignment="1">
      <alignment horizontal="left"/>
    </xf>
    <xf numFmtId="0" fontId="7" fillId="57" borderId="8" xfId="0" applyFont="1" applyFill="1" applyBorder="1" applyAlignment="1">
      <alignment horizontal="left"/>
    </xf>
    <xf numFmtId="0" fontId="24" fillId="57" borderId="7" xfId="0" applyFont="1" applyFill="1" applyBorder="1" applyAlignment="1">
      <alignment horizontal="left"/>
    </xf>
    <xf numFmtId="0" fontId="24" fillId="57" borderId="8" xfId="0" applyFont="1" applyFill="1" applyBorder="1" applyAlignment="1">
      <alignment horizontal="left"/>
    </xf>
    <xf numFmtId="0" fontId="7" fillId="58" borderId="7" xfId="0" applyFont="1" applyFill="1" applyBorder="1" applyAlignment="1">
      <alignment horizontal="left"/>
    </xf>
    <xf numFmtId="0" fontId="7" fillId="58" borderId="8" xfId="0" applyFont="1" applyFill="1" applyBorder="1" applyAlignment="1">
      <alignment horizontal="left"/>
    </xf>
    <xf numFmtId="0" fontId="24" fillId="58" borderId="7" xfId="0" applyFont="1" applyFill="1" applyBorder="1" applyAlignment="1">
      <alignment horizontal="left"/>
    </xf>
    <xf numFmtId="0" fontId="24" fillId="58" borderId="8" xfId="0" applyFont="1" applyFill="1" applyBorder="1" applyAlignment="1">
      <alignment horizontal="left"/>
    </xf>
    <xf numFmtId="0" fontId="7" fillId="59" borderId="7" xfId="0" applyFont="1" applyFill="1" applyBorder="1" applyAlignment="1">
      <alignment horizontal="left"/>
    </xf>
    <xf numFmtId="0" fontId="7" fillId="59" borderId="8" xfId="0" applyFont="1" applyFill="1" applyBorder="1" applyAlignment="1">
      <alignment horizontal="left"/>
    </xf>
    <xf numFmtId="49" fontId="0" fillId="6" borderId="0" xfId="0" applyNumberFormat="1" applyFill="1" applyAlignment="1">
      <alignment horizontal="left"/>
    </xf>
    <xf numFmtId="0" fontId="0" fillId="6" borderId="9" xfId="0" applyFill="1" applyBorder="1" applyAlignment="1">
      <alignment horizontal="left"/>
    </xf>
    <xf numFmtId="0" fontId="0" fillId="5" borderId="1" xfId="0" applyFill="1" applyBorder="1" applyAlignment="1">
      <alignment horizontal="left" vertical="center"/>
    </xf>
    <xf numFmtId="49" fontId="0" fillId="6" borderId="1" xfId="0" applyNumberFormat="1" applyFont="1" applyFill="1" applyBorder="1" applyAlignment="1">
      <alignment horizontal="left" vertical="center"/>
    </xf>
    <xf numFmtId="49" fontId="0" fillId="16" borderId="1" xfId="0" applyNumberFormat="1" applyFill="1" applyBorder="1" applyAlignment="1">
      <alignment horizontal="left"/>
    </xf>
    <xf numFmtId="49" fontId="0" fillId="16" borderId="1" xfId="0" applyNumberFormat="1" applyFill="1" applyBorder="1" applyAlignment="1">
      <alignment horizontal="left" vertical="center"/>
    </xf>
    <xf numFmtId="49" fontId="0" fillId="17" borderId="1" xfId="0" applyNumberFormat="1" applyFill="1" applyBorder="1" applyAlignment="1">
      <alignment horizontal="left" vertical="center"/>
    </xf>
    <xf numFmtId="49" fontId="0" fillId="18" borderId="1" xfId="0" applyNumberFormat="1" applyFill="1" applyBorder="1" applyAlignment="1">
      <alignment horizontal="left"/>
    </xf>
    <xf numFmtId="49" fontId="0" fillId="18" borderId="1" xfId="0" applyNumberFormat="1" applyFill="1" applyBorder="1" applyAlignment="1">
      <alignment horizontal="left" vertical="center"/>
    </xf>
    <xf numFmtId="49" fontId="0" fillId="19" borderId="1" xfId="0" applyNumberFormat="1" applyFill="1" applyBorder="1" applyAlignment="1">
      <alignment horizontal="left"/>
    </xf>
    <xf numFmtId="49" fontId="0" fillId="4" borderId="1" xfId="0" applyNumberFormat="1" applyFill="1" applyBorder="1" applyAlignment="1">
      <alignment horizontal="left" vertical="center" wrapText="1"/>
    </xf>
    <xf numFmtId="0" fontId="0" fillId="2" borderId="1" xfId="0" applyFill="1" applyBorder="1" applyAlignment="1">
      <alignment horizontal="left" vertical="center" readingOrder="1"/>
    </xf>
    <xf numFmtId="0" fontId="6" fillId="60" borderId="6" xfId="0" applyFont="1" applyFill="1" applyBorder="1" applyAlignment="1">
      <alignment horizontal="left"/>
    </xf>
    <xf numFmtId="0" fontId="6" fillId="61" borderId="6" xfId="0" applyFont="1" applyFill="1" applyBorder="1" applyAlignment="1">
      <alignment horizontal="left"/>
    </xf>
    <xf numFmtId="0" fontId="6" fillId="62" borderId="6" xfId="0" applyFont="1" applyFill="1" applyBorder="1" applyAlignment="1">
      <alignment horizontal="left"/>
    </xf>
    <xf numFmtId="0" fontId="6" fillId="63" borderId="6" xfId="0" applyFont="1" applyFill="1" applyBorder="1" applyAlignment="1">
      <alignment horizontal="left"/>
    </xf>
    <xf numFmtId="0" fontId="0" fillId="20" borderId="1" xfId="0" applyFill="1" applyBorder="1" applyAlignment="1">
      <alignment horizontal="left" vertical="center" readingOrder="1"/>
    </xf>
    <xf numFmtId="0" fontId="10" fillId="20" borderId="1" xfId="0" applyFont="1" applyFill="1" applyBorder="1" applyAlignment="1">
      <alignment horizontal="left"/>
    </xf>
    <xf numFmtId="0" fontId="3" fillId="20" borderId="1" xfId="0" applyFont="1" applyFill="1" applyBorder="1" applyAlignment="1">
      <alignment horizontal="left"/>
    </xf>
    <xf numFmtId="11" fontId="5" fillId="6" borderId="1" xfId="0" applyNumberFormat="1" applyFont="1" applyFill="1" applyBorder="1" applyAlignment="1">
      <alignment horizontal="left" vertical="center"/>
    </xf>
    <xf numFmtId="0" fontId="5" fillId="17" borderId="1" xfId="0" applyFont="1" applyFill="1" applyBorder="1" applyAlignment="1">
      <alignment horizontal="left" vertical="center"/>
    </xf>
    <xf numFmtId="11" fontId="5" fillId="17" borderId="1" xfId="0" applyNumberFormat="1" applyFont="1" applyFill="1" applyBorder="1" applyAlignment="1">
      <alignment horizontal="left" vertical="center"/>
    </xf>
    <xf numFmtId="0" fontId="5" fillId="14" borderId="1" xfId="0" applyFont="1" applyFill="1" applyBorder="1" applyAlignment="1">
      <alignment horizontal="left" vertical="center"/>
    </xf>
    <xf numFmtId="0" fontId="7" fillId="64" borderId="7" xfId="0" applyFont="1" applyFill="1" applyBorder="1" applyAlignment="1">
      <alignment horizontal="left"/>
    </xf>
    <xf numFmtId="0" fontId="7" fillId="64" borderId="8" xfId="0" applyFont="1" applyFill="1" applyBorder="1" applyAlignment="1">
      <alignment horizontal="left"/>
    </xf>
    <xf numFmtId="0" fontId="7" fillId="65" borderId="7" xfId="0" applyFont="1" applyFill="1" applyBorder="1" applyAlignment="1">
      <alignment horizontal="left"/>
    </xf>
    <xf numFmtId="0" fontId="7" fillId="65" borderId="8" xfId="0" applyFont="1" applyFill="1" applyBorder="1" applyAlignment="1">
      <alignment horizontal="left"/>
    </xf>
    <xf numFmtId="0" fontId="0" fillId="20" borderId="1" xfId="0" applyFill="1" applyBorder="1" applyAlignment="1">
      <alignment horizontal="left" wrapText="1"/>
    </xf>
    <xf numFmtId="49" fontId="0" fillId="20" borderId="1" xfId="0" applyNumberFormat="1" applyFill="1" applyBorder="1" applyAlignment="1">
      <alignment horizontal="left"/>
    </xf>
    <xf numFmtId="49" fontId="0" fillId="20" borderId="1" xfId="0" applyNumberFormat="1" applyFill="1" applyBorder="1" applyAlignment="1">
      <alignment horizontal="left" vertical="center" wrapText="1"/>
    </xf>
    <xf numFmtId="49" fontId="0" fillId="20" borderId="1" xfId="0" applyNumberFormat="1" applyFont="1" applyFill="1" applyBorder="1" applyAlignment="1">
      <alignment horizontal="left" vertical="center" wrapText="1"/>
    </xf>
    <xf numFmtId="0" fontId="6" fillId="66" borderId="6" xfId="0" applyFont="1" applyFill="1" applyBorder="1" applyAlignment="1">
      <alignment horizontal="left"/>
    </xf>
    <xf numFmtId="0" fontId="6" fillId="67" borderId="6" xfId="0" applyFont="1" applyFill="1" applyBorder="1" applyAlignment="1">
      <alignment horizontal="left"/>
    </xf>
    <xf numFmtId="49" fontId="24" fillId="21" borderId="1" xfId="0" applyNumberFormat="1" applyFont="1" applyFill="1" applyBorder="1" applyAlignment="1">
      <alignment horizontal="left" vertical="center"/>
    </xf>
    <xf numFmtId="0" fontId="10" fillId="21" borderId="1" xfId="0" applyFont="1" applyFill="1" applyBorder="1" applyAlignment="1">
      <alignment horizontal="left"/>
    </xf>
    <xf numFmtId="0" fontId="3" fillId="21" borderId="1" xfId="0" applyFont="1" applyFill="1" applyBorder="1" applyAlignment="1">
      <alignment horizontal="left"/>
    </xf>
    <xf numFmtId="0" fontId="5" fillId="21" borderId="1" xfId="0" applyFont="1" applyFill="1" applyBorder="1" applyAlignment="1">
      <alignment horizontal="left" vertical="center"/>
    </xf>
    <xf numFmtId="0" fontId="5" fillId="16" borderId="1" xfId="0" applyFont="1" applyFill="1" applyBorder="1" applyAlignment="1">
      <alignment horizontal="left" vertical="center"/>
    </xf>
    <xf numFmtId="49" fontId="24" fillId="16" borderId="1" xfId="0" applyNumberFormat="1" applyFont="1" applyFill="1" applyBorder="1" applyAlignment="1">
      <alignment horizontal="left" vertical="center"/>
    </xf>
    <xf numFmtId="49" fontId="24" fillId="20" borderId="1" xfId="0" applyNumberFormat="1" applyFont="1" applyFill="1" applyBorder="1" applyAlignment="1">
      <alignment horizontal="left" vertical="center"/>
    </xf>
    <xf numFmtId="0" fontId="5" fillId="20" borderId="1" xfId="0" applyFont="1" applyFill="1" applyBorder="1" applyAlignment="1">
      <alignment horizontal="left" vertical="center"/>
    </xf>
    <xf numFmtId="0" fontId="24" fillId="65" borderId="8" xfId="0" applyFont="1" applyFill="1" applyBorder="1" applyAlignment="1">
      <alignment horizontal="left"/>
    </xf>
    <xf numFmtId="0" fontId="24" fillId="56" borderId="8" xfId="0" applyFont="1" applyFill="1" applyBorder="1" applyAlignment="1">
      <alignment horizontal="left"/>
    </xf>
    <xf numFmtId="0" fontId="0" fillId="17" borderId="1" xfId="0" applyFont="1" applyFill="1" applyBorder="1" applyAlignment="1">
      <alignment horizontal="left"/>
    </xf>
    <xf numFmtId="49" fontId="0" fillId="21" borderId="1" xfId="0" applyNumberFormat="1" applyFill="1" applyBorder="1" applyAlignment="1">
      <alignment horizontal="left"/>
    </xf>
    <xf numFmtId="49" fontId="24" fillId="23" borderId="1" xfId="0" applyNumberFormat="1" applyFont="1" applyFill="1" applyBorder="1" applyAlignment="1">
      <alignment horizontal="left" vertical="center"/>
    </xf>
    <xf numFmtId="0" fontId="10" fillId="23" borderId="1" xfId="0" applyFont="1" applyFill="1" applyBorder="1" applyAlignment="1">
      <alignment horizontal="left"/>
    </xf>
    <xf numFmtId="0" fontId="0" fillId="4" borderId="1" xfId="0" applyFill="1" applyBorder="1" applyAlignment="1">
      <alignment horizontal="left" vertical="center"/>
    </xf>
    <xf numFmtId="0" fontId="5" fillId="4" borderId="1" xfId="0" applyFont="1" applyFill="1" applyBorder="1" applyAlignment="1">
      <alignment horizontal="left" vertical="center"/>
    </xf>
    <xf numFmtId="0" fontId="7" fillId="68" borderId="7" xfId="0" applyFont="1" applyFill="1" applyBorder="1" applyAlignment="1">
      <alignment horizontal="left"/>
    </xf>
    <xf numFmtId="0" fontId="32" fillId="68" borderId="7" xfId="0" applyFont="1" applyFill="1" applyBorder="1" applyAlignment="1">
      <alignment horizontal="left"/>
    </xf>
    <xf numFmtId="0" fontId="7" fillId="68" borderId="8" xfId="0" applyFont="1" applyFill="1" applyBorder="1" applyAlignment="1">
      <alignment horizontal="left"/>
    </xf>
    <xf numFmtId="0" fontId="7" fillId="23" borderId="7" xfId="0" applyFont="1" applyFill="1" applyBorder="1" applyAlignment="1">
      <alignment horizontal="left"/>
    </xf>
    <xf numFmtId="0" fontId="7" fillId="23" borderId="8" xfId="0" applyFont="1" applyFill="1" applyBorder="1" applyAlignment="1">
      <alignment horizontal="left"/>
    </xf>
    <xf numFmtId="20" fontId="3" fillId="4" borderId="1" xfId="0" applyNumberFormat="1" applyFont="1" applyFill="1" applyBorder="1" applyAlignment="1">
      <alignment horizontal="left"/>
    </xf>
    <xf numFmtId="0" fontId="24" fillId="37" borderId="8" xfId="0" applyFont="1" applyFill="1" applyBorder="1" applyAlignment="1">
      <alignment horizontal="left"/>
    </xf>
    <xf numFmtId="0" fontId="0" fillId="23" borderId="1" xfId="0" applyFont="1" applyFill="1" applyBorder="1" applyAlignment="1">
      <alignment horizontal="left"/>
    </xf>
    <xf numFmtId="0" fontId="6" fillId="23" borderId="6" xfId="0" applyFont="1" applyFill="1" applyBorder="1" applyAlignment="1">
      <alignment horizontal="left"/>
    </xf>
    <xf numFmtId="0" fontId="5" fillId="22" borderId="1" xfId="0" applyFont="1" applyFill="1" applyBorder="1" applyAlignment="1">
      <alignment horizontal="left" vertical="center"/>
    </xf>
    <xf numFmtId="0" fontId="10" fillId="22" borderId="1" xfId="0" applyFont="1" applyFill="1" applyBorder="1" applyAlignment="1">
      <alignment horizontal="left"/>
    </xf>
    <xf numFmtId="0" fontId="3" fillId="22" borderId="1" xfId="0" applyFont="1" applyFill="1" applyBorder="1" applyAlignment="1">
      <alignment horizontal="left"/>
    </xf>
    <xf numFmtId="0" fontId="33" fillId="19" borderId="1" xfId="0" applyFont="1" applyFill="1" applyBorder="1" applyAlignment="1">
      <alignment horizontal="left" vertical="center" wrapText="1"/>
    </xf>
    <xf numFmtId="0" fontId="5" fillId="19" borderId="1" xfId="0" applyFont="1" applyFill="1" applyBorder="1" applyAlignment="1">
      <alignment horizontal="left" vertical="center"/>
    </xf>
    <xf numFmtId="0" fontId="33" fillId="19" borderId="1" xfId="0" applyFont="1" applyFill="1" applyBorder="1" applyAlignment="1">
      <alignment horizontal="left"/>
    </xf>
    <xf numFmtId="0" fontId="5" fillId="19" borderId="1" xfId="0" applyFont="1" applyFill="1" applyBorder="1" applyAlignment="1">
      <alignment horizontal="left"/>
    </xf>
    <xf numFmtId="0" fontId="5" fillId="20" borderId="1" xfId="0" applyFont="1" applyFill="1" applyBorder="1" applyAlignment="1">
      <alignment horizontal="left"/>
    </xf>
    <xf numFmtId="0" fontId="5" fillId="5" borderId="1" xfId="0" applyFont="1" applyFill="1" applyBorder="1" applyAlignment="1">
      <alignment horizontal="left"/>
    </xf>
    <xf numFmtId="0" fontId="0" fillId="5" borderId="1" xfId="0" applyFill="1" applyBorder="1" applyAlignment="1">
      <alignment horizontal="left" vertical="center" readingOrder="1"/>
    </xf>
    <xf numFmtId="0" fontId="4" fillId="5" borderId="1" xfId="0" applyFont="1" applyFill="1" applyBorder="1" applyAlignment="1">
      <alignment horizontal="left" vertical="center"/>
    </xf>
    <xf numFmtId="0" fontId="7" fillId="22" borderId="7" xfId="0" applyFont="1" applyFill="1" applyBorder="1" applyAlignment="1">
      <alignment horizontal="left"/>
    </xf>
    <xf numFmtId="0" fontId="7" fillId="22" borderId="8" xfId="0" applyFont="1" applyFill="1" applyBorder="1" applyAlignment="1">
      <alignment horizontal="left"/>
    </xf>
    <xf numFmtId="0" fontId="7" fillId="19" borderId="1" xfId="0" applyFont="1" applyFill="1" applyBorder="1" applyAlignment="1">
      <alignment horizontal="left"/>
    </xf>
    <xf numFmtId="20" fontId="3" fillId="19" borderId="1" xfId="0" applyNumberFormat="1" applyFont="1" applyFill="1" applyBorder="1" applyAlignment="1">
      <alignment horizontal="left"/>
    </xf>
    <xf numFmtId="0" fontId="32" fillId="59" borderId="7" xfId="0" applyFont="1" applyFill="1" applyBorder="1" applyAlignment="1">
      <alignment horizontal="left"/>
    </xf>
    <xf numFmtId="0" fontId="24" fillId="59" borderId="8" xfId="0" applyFont="1" applyFill="1" applyBorder="1" applyAlignment="1">
      <alignment horizontal="left"/>
    </xf>
    <xf numFmtId="0" fontId="7" fillId="69" borderId="7" xfId="0" applyFont="1" applyFill="1" applyBorder="1" applyAlignment="1">
      <alignment horizontal="left"/>
    </xf>
    <xf numFmtId="0" fontId="7" fillId="69" borderId="8" xfId="0" applyFont="1" applyFill="1" applyBorder="1" applyAlignment="1">
      <alignment horizontal="left"/>
    </xf>
    <xf numFmtId="49" fontId="3" fillId="5" borderId="1" xfId="0" applyNumberFormat="1" applyFont="1" applyFill="1" applyBorder="1" applyAlignment="1">
      <alignment horizontal="left"/>
    </xf>
    <xf numFmtId="0" fontId="6" fillId="22" borderId="6" xfId="0" applyFont="1" applyFill="1" applyBorder="1" applyAlignment="1">
      <alignment horizontal="left"/>
    </xf>
    <xf numFmtId="0" fontId="7" fillId="42" borderId="6" xfId="0" applyFont="1" applyFill="1" applyBorder="1" applyAlignment="1">
      <alignment horizontal="left"/>
    </xf>
    <xf numFmtId="0" fontId="6" fillId="70" borderId="6" xfId="0" applyFont="1" applyFill="1" applyBorder="1" applyAlignment="1">
      <alignment horizontal="left"/>
    </xf>
    <xf numFmtId="0" fontId="0" fillId="11" borderId="1" xfId="0" applyFill="1" applyBorder="1" applyAlignment="1">
      <alignment horizontal="left" vertical="center" readingOrder="1"/>
    </xf>
    <xf numFmtId="0" fontId="0" fillId="6" borderId="1" xfId="0" applyFill="1" applyBorder="1" applyAlignment="1">
      <alignment horizontal="left" vertical="center"/>
    </xf>
    <xf numFmtId="0" fontId="6" fillId="5" borderId="1" xfId="0" applyFont="1" applyFill="1" applyBorder="1" applyAlignment="1">
      <alignment horizontal="left" vertical="center"/>
    </xf>
    <xf numFmtId="0" fontId="33" fillId="5" borderId="1" xfId="0" applyFont="1" applyFill="1" applyBorder="1" applyAlignment="1">
      <alignment horizontal="left" vertical="center"/>
    </xf>
    <xf numFmtId="0" fontId="34" fillId="5" borderId="1" xfId="0" applyFont="1" applyFill="1" applyBorder="1" applyAlignment="1">
      <alignment horizontal="left"/>
    </xf>
    <xf numFmtId="0" fontId="7" fillId="5" borderId="1" xfId="0" applyFont="1" applyFill="1" applyBorder="1" applyAlignment="1">
      <alignment horizontal="left"/>
    </xf>
    <xf numFmtId="0" fontId="6" fillId="19" borderId="1" xfId="0" applyFont="1" applyFill="1" applyBorder="1" applyAlignment="1">
      <alignment horizontal="left" vertical="center"/>
    </xf>
    <xf numFmtId="0" fontId="33" fillId="19" borderId="1" xfId="0" applyFont="1" applyFill="1" applyBorder="1" applyAlignment="1">
      <alignment horizontal="left" vertical="center"/>
    </xf>
    <xf numFmtId="0" fontId="34" fillId="19" borderId="1" xfId="0" applyFont="1" applyFill="1" applyBorder="1" applyAlignment="1">
      <alignment horizontal="left"/>
    </xf>
    <xf numFmtId="0" fontId="6" fillId="23" borderId="1" xfId="0" applyFont="1" applyFill="1" applyBorder="1" applyAlignment="1">
      <alignment horizontal="left" vertical="center"/>
    </xf>
    <xf numFmtId="0" fontId="33" fillId="23" borderId="1" xfId="0" applyFont="1" applyFill="1" applyBorder="1" applyAlignment="1">
      <alignment horizontal="left" vertical="center"/>
    </xf>
    <xf numFmtId="0" fontId="34" fillId="23" borderId="1" xfId="0" applyFont="1" applyFill="1" applyBorder="1" applyAlignment="1">
      <alignment horizontal="left"/>
    </xf>
    <xf numFmtId="0" fontId="7" fillId="23" borderId="1" xfId="0" applyFont="1" applyFill="1" applyBorder="1" applyAlignment="1">
      <alignment horizontal="left"/>
    </xf>
    <xf numFmtId="0" fontId="33" fillId="23" borderId="1" xfId="0" applyFont="1" applyFill="1" applyBorder="1" applyAlignment="1">
      <alignment horizontal="left" vertical="center" wrapText="1"/>
    </xf>
    <xf numFmtId="0" fontId="6" fillId="14" borderId="1" xfId="0" applyFont="1" applyFill="1" applyBorder="1" applyAlignment="1">
      <alignment horizontal="left" vertical="center"/>
    </xf>
    <xf numFmtId="0" fontId="33" fillId="14" borderId="1" xfId="0" applyFont="1" applyFill="1" applyBorder="1" applyAlignment="1">
      <alignment horizontal="left" vertical="center"/>
    </xf>
    <xf numFmtId="0" fontId="34" fillId="14" borderId="1" xfId="0" applyFont="1" applyFill="1" applyBorder="1" applyAlignment="1">
      <alignment horizontal="left"/>
    </xf>
    <xf numFmtId="0" fontId="7" fillId="14" borderId="1" xfId="0" applyFont="1" applyFill="1" applyBorder="1" applyAlignment="1">
      <alignment horizontal="left"/>
    </xf>
    <xf numFmtId="49" fontId="6" fillId="5" borderId="1" xfId="0" applyNumberFormat="1" applyFont="1" applyFill="1" applyBorder="1" applyAlignment="1">
      <alignment horizontal="left"/>
    </xf>
    <xf numFmtId="49" fontId="6" fillId="19" borderId="1" xfId="0" applyNumberFormat="1" applyFont="1" applyFill="1" applyBorder="1" applyAlignment="1">
      <alignment horizontal="left"/>
    </xf>
    <xf numFmtId="49" fontId="6" fillId="23" borderId="1" xfId="0" applyNumberFormat="1" applyFont="1" applyFill="1" applyBorder="1" applyAlignment="1">
      <alignment horizontal="left"/>
    </xf>
    <xf numFmtId="49" fontId="6" fillId="14" borderId="1" xfId="0" applyNumberFormat="1" applyFont="1" applyFill="1" applyBorder="1" applyAlignment="1">
      <alignment horizontal="left"/>
    </xf>
    <xf numFmtId="0" fontId="6" fillId="0" borderId="1" xfId="0" applyFont="1" applyBorder="1" applyAlignment="1">
      <alignment horizontal="left"/>
    </xf>
    <xf numFmtId="0" fontId="6" fillId="6" borderId="1" xfId="0" applyFont="1" applyFill="1" applyBorder="1" applyAlignment="1">
      <alignment horizontal="left" vertical="center"/>
    </xf>
    <xf numFmtId="0" fontId="33" fillId="6" borderId="1" xfId="0" applyFont="1" applyFill="1" applyBorder="1" applyAlignment="1">
      <alignment horizontal="left" vertical="center"/>
    </xf>
    <xf numFmtId="0" fontId="34" fillId="6" borderId="1" xfId="0" applyFont="1" applyFill="1" applyBorder="1" applyAlignment="1">
      <alignment horizontal="left"/>
    </xf>
    <xf numFmtId="0" fontId="7" fillId="6" borderId="1" xfId="0" applyFont="1" applyFill="1" applyBorder="1" applyAlignment="1">
      <alignment horizontal="left"/>
    </xf>
    <xf numFmtId="0" fontId="6" fillId="11" borderId="1" xfId="0" applyFont="1" applyFill="1" applyBorder="1" applyAlignment="1">
      <alignment horizontal="left" vertical="center"/>
    </xf>
    <xf numFmtId="0" fontId="33" fillId="11" borderId="1" xfId="0" applyFont="1" applyFill="1" applyBorder="1" applyAlignment="1">
      <alignment horizontal="left" vertical="center"/>
    </xf>
    <xf numFmtId="0" fontId="34" fillId="11" borderId="1" xfId="0" applyFont="1" applyFill="1" applyBorder="1" applyAlignment="1">
      <alignment horizontal="left"/>
    </xf>
    <xf numFmtId="0" fontId="7" fillId="11" borderId="1" xfId="0" applyFont="1" applyFill="1" applyBorder="1" applyAlignment="1">
      <alignment horizontal="left" vertical="center"/>
    </xf>
    <xf numFmtId="0" fontId="4" fillId="11" borderId="1" xfId="0" applyFont="1" applyFill="1" applyBorder="1" applyAlignment="1">
      <alignment horizontal="left" vertical="center"/>
    </xf>
    <xf numFmtId="0" fontId="6" fillId="20" borderId="1" xfId="0" applyFont="1" applyFill="1" applyBorder="1" applyAlignment="1">
      <alignment horizontal="left" vertical="center"/>
    </xf>
    <xf numFmtId="0" fontId="33" fillId="20" borderId="1" xfId="0" applyFont="1" applyFill="1" applyBorder="1" applyAlignment="1">
      <alignment horizontal="left" vertical="center"/>
    </xf>
    <xf numFmtId="0" fontId="34" fillId="20" borderId="1" xfId="0" applyFont="1" applyFill="1" applyBorder="1" applyAlignment="1">
      <alignment horizontal="left"/>
    </xf>
    <xf numFmtId="0" fontId="7" fillId="20" borderId="1" xfId="0" applyFont="1" applyFill="1" applyBorder="1" applyAlignment="1">
      <alignment horizontal="left"/>
    </xf>
    <xf numFmtId="0" fontId="0" fillId="20" borderId="1" xfId="0" applyFill="1" applyBorder="1" applyAlignment="1">
      <alignment horizontal="left" vertical="center"/>
    </xf>
    <xf numFmtId="0" fontId="7" fillId="71" borderId="7" xfId="0" applyFont="1" applyFill="1" applyBorder="1" applyAlignment="1">
      <alignment horizontal="left"/>
    </xf>
    <xf numFmtId="0" fontId="7" fillId="71" borderId="8" xfId="0" applyFont="1" applyFill="1" applyBorder="1" applyAlignment="1">
      <alignment horizontal="left"/>
    </xf>
    <xf numFmtId="0" fontId="32" fillId="64" borderId="7" xfId="0" applyFont="1" applyFill="1" applyBorder="1" applyAlignment="1">
      <alignment horizontal="left" vertical="center"/>
    </xf>
    <xf numFmtId="0" fontId="32" fillId="64" borderId="8" xfId="0" applyFont="1" applyFill="1" applyBorder="1" applyAlignment="1">
      <alignment horizontal="left" vertical="center"/>
    </xf>
    <xf numFmtId="0" fontId="32" fillId="64" borderId="7" xfId="0" applyFont="1" applyFill="1" applyBorder="1" applyAlignment="1">
      <alignment horizontal="left"/>
    </xf>
    <xf numFmtId="0" fontId="32" fillId="64" borderId="8" xfId="0" applyFont="1" applyFill="1" applyBorder="1" applyAlignment="1">
      <alignment horizontal="left"/>
    </xf>
    <xf numFmtId="49" fontId="6" fillId="6" borderId="1" xfId="0" applyNumberFormat="1" applyFont="1" applyFill="1" applyBorder="1" applyAlignment="1">
      <alignment horizontal="left"/>
    </xf>
    <xf numFmtId="49" fontId="6" fillId="11" borderId="1" xfId="0" applyNumberFormat="1" applyFont="1" applyFill="1" applyBorder="1" applyAlignment="1">
      <alignment horizontal="left"/>
    </xf>
    <xf numFmtId="49" fontId="7" fillId="11" borderId="1" xfId="0" applyNumberFormat="1" applyFont="1" applyFill="1" applyBorder="1" applyAlignment="1">
      <alignment horizontal="left"/>
    </xf>
    <xf numFmtId="49" fontId="6" fillId="20" borderId="1" xfId="0" applyNumberFormat="1" applyFont="1" applyFill="1" applyBorder="1" applyAlignment="1">
      <alignment horizontal="left"/>
    </xf>
    <xf numFmtId="0" fontId="35" fillId="20" borderId="1" xfId="0" applyFont="1" applyFill="1" applyBorder="1" applyAlignment="1">
      <alignment horizontal="left"/>
    </xf>
    <xf numFmtId="0" fontId="6" fillId="6" borderId="6" xfId="0" applyFont="1" applyFill="1" applyBorder="1" applyAlignment="1">
      <alignment horizontal="left"/>
    </xf>
    <xf numFmtId="0" fontId="7" fillId="50" borderId="6" xfId="0" applyFont="1" applyFill="1" applyBorder="1" applyAlignment="1">
      <alignment horizontal="left"/>
    </xf>
    <xf numFmtId="0" fontId="0" fillId="21" borderId="1" xfId="0" applyFill="1" applyBorder="1" applyAlignment="1">
      <alignment horizontal="left" vertical="center" readingOrder="1"/>
    </xf>
    <xf numFmtId="0" fontId="0" fillId="21" borderId="1" xfId="0" applyFill="1" applyBorder="1" applyAlignment="1">
      <alignment horizontal="left" vertical="center"/>
    </xf>
    <xf numFmtId="0" fontId="0" fillId="19" borderId="1" xfId="0" applyFill="1" applyBorder="1" applyAlignment="1">
      <alignment horizontal="left" vertical="center"/>
    </xf>
    <xf numFmtId="0" fontId="32" fillId="47" borderId="7" xfId="0" applyFont="1" applyFill="1" applyBorder="1" applyAlignment="1">
      <alignment horizontal="left"/>
    </xf>
    <xf numFmtId="0" fontId="32" fillId="47" borderId="8" xfId="0" applyFont="1" applyFill="1" applyBorder="1" applyAlignment="1">
      <alignment horizontal="left"/>
    </xf>
    <xf numFmtId="0" fontId="5" fillId="11" borderId="1" xfId="0" applyFont="1" applyFill="1" applyBorder="1" applyAlignment="1">
      <alignment horizontal="left"/>
    </xf>
    <xf numFmtId="0" fontId="0" fillId="20" borderId="0" xfId="0" applyFill="1" applyAlignment="1">
      <alignment horizontal="left"/>
    </xf>
    <xf numFmtId="0" fontId="13" fillId="19" borderId="1" xfId="0" applyFont="1" applyFill="1" applyBorder="1" applyAlignment="1">
      <alignment horizontal="left" vertical="center"/>
    </xf>
    <xf numFmtId="49" fontId="24" fillId="19" borderId="1" xfId="0" applyNumberFormat="1" applyFont="1" applyFill="1" applyBorder="1" applyAlignment="1">
      <alignment horizontal="left" vertical="center" readingOrder="1"/>
    </xf>
    <xf numFmtId="49" fontId="24" fillId="5" borderId="1" xfId="0" applyNumberFormat="1" applyFont="1" applyFill="1" applyBorder="1" applyAlignment="1">
      <alignment horizontal="left" vertical="center" readingOrder="1"/>
    </xf>
    <xf numFmtId="0" fontId="0" fillId="16" borderId="1" xfId="0" applyFill="1" applyBorder="1" applyAlignment="1">
      <alignment horizontal="left" vertical="center" readingOrder="1"/>
    </xf>
    <xf numFmtId="49" fontId="0" fillId="5" borderId="1" xfId="0" applyNumberFormat="1" applyFill="1" applyBorder="1" applyAlignment="1">
      <alignment horizontal="left" vertical="center"/>
    </xf>
    <xf numFmtId="49" fontId="0" fillId="19" borderId="1" xfId="0" applyNumberFormat="1" applyFill="1" applyBorder="1" applyAlignment="1">
      <alignment horizontal="left" vertical="center"/>
    </xf>
    <xf numFmtId="0" fontId="0" fillId="23" borderId="1" xfId="0" applyFill="1" applyBorder="1" applyAlignment="1">
      <alignment horizontal="left" vertical="center" readingOrder="1"/>
    </xf>
    <xf numFmtId="49" fontId="24" fillId="0" borderId="1" xfId="0" applyNumberFormat="1" applyFont="1" applyBorder="1" applyAlignment="1">
      <alignment horizontal="left" vertical="center" readingOrder="1"/>
    </xf>
    <xf numFmtId="49" fontId="0" fillId="23" borderId="1" xfId="0" applyNumberFormat="1" applyFill="1" applyBorder="1" applyAlignment="1">
      <alignment horizontal="left" vertical="center"/>
    </xf>
    <xf numFmtId="0" fontId="0" fillId="72" borderId="1" xfId="0" applyFill="1" applyBorder="1" applyAlignment="1">
      <alignment horizontal="left"/>
    </xf>
    <xf numFmtId="0" fontId="0" fillId="73" borderId="1" xfId="0" applyFill="1" applyBorder="1" applyAlignment="1">
      <alignment horizontal="left"/>
    </xf>
    <xf numFmtId="0" fontId="0" fillId="0" borderId="1" xfId="0" applyBorder="1" applyAlignment="1">
      <alignment horizontal="left" vertical="center" wrapText="1" readingOrder="1"/>
    </xf>
    <xf numFmtId="0" fontId="10" fillId="24" borderId="1" xfId="0" applyFont="1" applyFill="1" applyBorder="1" applyAlignment="1">
      <alignment horizontal="left"/>
    </xf>
    <xf numFmtId="0" fontId="3" fillId="24" borderId="1" xfId="0" applyFont="1" applyFill="1" applyBorder="1" applyAlignment="1">
      <alignment horizontal="left"/>
    </xf>
    <xf numFmtId="0" fontId="0" fillId="25" borderId="1" xfId="0" applyFill="1" applyBorder="1" applyAlignment="1">
      <alignment horizontal="left" vertical="center" wrapText="1" readingOrder="1"/>
    </xf>
    <xf numFmtId="0" fontId="10" fillId="25" borderId="1" xfId="0" applyFont="1" applyFill="1" applyBorder="1" applyAlignment="1">
      <alignment horizontal="left"/>
    </xf>
    <xf numFmtId="0" fontId="3" fillId="25" borderId="1" xfId="0" applyFont="1" applyFill="1" applyBorder="1" applyAlignment="1">
      <alignment horizontal="left"/>
    </xf>
    <xf numFmtId="0" fontId="7" fillId="74" borderId="7" xfId="0" applyFont="1" applyFill="1" applyBorder="1" applyAlignment="1">
      <alignment horizontal="left"/>
    </xf>
    <xf numFmtId="0" fontId="7" fillId="74" borderId="8" xfId="0" applyFont="1" applyFill="1" applyBorder="1" applyAlignment="1">
      <alignment horizontal="left"/>
    </xf>
    <xf numFmtId="0" fontId="3" fillId="33" borderId="1" xfId="0" applyFont="1" applyFill="1" applyBorder="1" applyAlignment="1">
      <alignment horizontal="left"/>
    </xf>
    <xf numFmtId="0" fontId="0" fillId="33" borderId="1" xfId="0" applyFill="1" applyBorder="1" applyAlignment="1">
      <alignment horizontal="left"/>
    </xf>
    <xf numFmtId="0" fontId="0" fillId="33" borderId="1" xfId="0" applyFill="1" applyBorder="1" applyAlignment="1">
      <alignment horizontal="left" wrapText="1"/>
    </xf>
    <xf numFmtId="0" fontId="0" fillId="75" borderId="1" xfId="0" applyFill="1" applyBorder="1" applyAlignment="1">
      <alignment horizontal="left"/>
    </xf>
    <xf numFmtId="0" fontId="0" fillId="25" borderId="1" xfId="0" applyFill="1" applyBorder="1" applyAlignment="1">
      <alignment horizontal="left" wrapText="1"/>
    </xf>
    <xf numFmtId="49" fontId="0" fillId="33" borderId="1" xfId="0" applyNumberFormat="1" applyFill="1" applyBorder="1" applyAlignment="1">
      <alignment horizontal="left" vertical="center" wrapText="1"/>
    </xf>
    <xf numFmtId="49" fontId="0" fillId="33" borderId="1" xfId="0" applyNumberFormat="1" applyFill="1" applyBorder="1" applyAlignment="1">
      <alignment horizontal="left"/>
    </xf>
    <xf numFmtId="49" fontId="0" fillId="25" borderId="1" xfId="0" applyNumberFormat="1" applyFill="1" applyBorder="1" applyAlignment="1">
      <alignment horizontal="left" vertical="center" wrapText="1"/>
    </xf>
    <xf numFmtId="49" fontId="0" fillId="25" borderId="1" xfId="0" applyNumberFormat="1" applyFill="1" applyBorder="1" applyAlignment="1">
      <alignment horizontal="left"/>
    </xf>
    <xf numFmtId="49" fontId="0" fillId="33" borderId="1" xfId="0" applyNumberFormat="1" applyFill="1" applyBorder="1" applyAlignment="1">
      <alignment horizontal="left" vertical="center"/>
    </xf>
    <xf numFmtId="0" fontId="6" fillId="76" borderId="6" xfId="0" applyFont="1" applyFill="1" applyBorder="1" applyAlignment="1">
      <alignment horizontal="left"/>
    </xf>
    <xf numFmtId="0" fontId="0" fillId="7" borderId="0" xfId="0" applyFill="1" applyAlignment="1">
      <alignment horizontal="left"/>
    </xf>
    <xf numFmtId="0" fontId="0" fillId="7" borderId="1" xfId="0" applyFont="1" applyFill="1" applyBorder="1" applyAlignment="1">
      <alignment horizontal="left"/>
    </xf>
    <xf numFmtId="0" fontId="0" fillId="6" borderId="1" xfId="0" applyFont="1" applyFill="1" applyBorder="1" applyAlignment="1">
      <alignment horizontal="left"/>
    </xf>
    <xf numFmtId="0" fontId="1" fillId="3" borderId="1" xfId="0" applyFont="1" applyFill="1" applyBorder="1" applyAlignment="1">
      <alignment horizontal="left" vertical="center" wrapText="1"/>
    </xf>
    <xf numFmtId="0" fontId="2" fillId="0" borderId="7" xfId="0" applyFont="1" applyBorder="1" applyAlignment="1">
      <alignment horizontal="left" vertical="center"/>
    </xf>
    <xf numFmtId="49" fontId="7" fillId="37" borderId="7" xfId="0" applyNumberFormat="1" applyFont="1" applyFill="1" applyBorder="1" applyAlignment="1">
      <alignment horizontal="left" vertical="center"/>
    </xf>
    <xf numFmtId="0" fontId="7" fillId="38" borderId="7" xfId="0" applyFont="1" applyFill="1" applyBorder="1" applyAlignment="1">
      <alignment horizontal="left" vertical="center"/>
    </xf>
    <xf numFmtId="0" fontId="7" fillId="0" borderId="7" xfId="0" applyFont="1" applyBorder="1" applyAlignment="1">
      <alignment horizontal="left" vertical="center"/>
    </xf>
    <xf numFmtId="0" fontId="7" fillId="39" borderId="7" xfId="0" applyFont="1" applyFill="1" applyBorder="1" applyAlignment="1">
      <alignment horizontal="left" vertical="center"/>
    </xf>
    <xf numFmtId="0" fontId="36" fillId="0" borderId="7" xfId="0" applyFont="1" applyBorder="1" applyAlignment="1">
      <alignment vertical="center"/>
    </xf>
    <xf numFmtId="0" fontId="37" fillId="0" borderId="7" xfId="0" applyFont="1" applyBorder="1" applyAlignment="1">
      <alignment vertical="center"/>
    </xf>
    <xf numFmtId="49" fontId="7" fillId="40" borderId="7" xfId="0" applyNumberFormat="1" applyFont="1" applyFill="1" applyBorder="1" applyAlignment="1">
      <alignment horizontal="left" vertical="center"/>
    </xf>
    <xf numFmtId="0" fontId="7" fillId="40" borderId="7" xfId="0" applyFont="1" applyFill="1" applyBorder="1" applyAlignment="1">
      <alignment horizontal="left" vertical="center"/>
    </xf>
    <xf numFmtId="49" fontId="7" fillId="40" borderId="1" xfId="0" applyNumberFormat="1" applyFont="1" applyFill="1" applyBorder="1" applyAlignment="1">
      <alignment horizontal="left" vertical="center"/>
    </xf>
    <xf numFmtId="0" fontId="7" fillId="40" borderId="1" xfId="0" applyFont="1" applyFill="1" applyBorder="1" applyAlignment="1">
      <alignment horizontal="left" vertical="center"/>
    </xf>
    <xf numFmtId="0" fontId="7" fillId="40" borderId="0" xfId="0" applyFont="1" applyFill="1" applyAlignment="1">
      <alignment horizontal="left" vertical="center"/>
    </xf>
    <xf numFmtId="0" fontId="7" fillId="0" borderId="1" xfId="0" applyFont="1" applyBorder="1" applyAlignment="1">
      <alignment horizontal="left" vertical="center"/>
    </xf>
    <xf numFmtId="0" fontId="7" fillId="0" borderId="0" xfId="0" applyFont="1" applyAlignment="1">
      <alignment horizontal="left" vertical="center"/>
    </xf>
    <xf numFmtId="49" fontId="7" fillId="40" borderId="0" xfId="0" applyNumberFormat="1" applyFont="1" applyFill="1" applyAlignment="1">
      <alignment horizontal="left" vertical="center"/>
    </xf>
    <xf numFmtId="49" fontId="7" fillId="37" borderId="0" xfId="0" applyNumberFormat="1" applyFont="1" applyFill="1" applyAlignment="1">
      <alignment horizontal="left" vertical="center"/>
    </xf>
    <xf numFmtId="49" fontId="7" fillId="39" borderId="7" xfId="0" applyNumberFormat="1" applyFont="1" applyFill="1" applyBorder="1" applyAlignment="1">
      <alignment horizontal="left" vertical="center"/>
    </xf>
    <xf numFmtId="0" fontId="0" fillId="10" borderId="1" xfId="0" applyFont="1" applyFill="1" applyBorder="1" applyAlignment="1">
      <alignment horizontal="left" vertical="center"/>
    </xf>
    <xf numFmtId="49" fontId="7" fillId="39" borderId="1" xfId="0" applyNumberFormat="1" applyFont="1" applyFill="1" applyBorder="1" applyAlignment="1">
      <alignment horizontal="left" vertical="center"/>
    </xf>
    <xf numFmtId="0" fontId="7" fillId="39" borderId="0" xfId="0" applyFont="1" applyFill="1" applyAlignment="1">
      <alignment horizontal="left" vertical="center"/>
    </xf>
    <xf numFmtId="0" fontId="7" fillId="39" borderId="1" xfId="0" applyFont="1" applyFill="1" applyBorder="1" applyAlignment="1">
      <alignment horizontal="left" vertical="center"/>
    </xf>
    <xf numFmtId="0" fontId="38" fillId="0" borderId="7" xfId="0" applyFont="1" applyBorder="1" applyAlignment="1">
      <alignment horizontal="left" vertical="center"/>
    </xf>
    <xf numFmtId="49" fontId="7" fillId="45" borderId="7" xfId="0" applyNumberFormat="1" applyFont="1" applyFill="1" applyBorder="1" applyAlignment="1">
      <alignment horizontal="left" vertical="center"/>
    </xf>
    <xf numFmtId="0" fontId="7" fillId="45" borderId="7" xfId="0" applyFont="1" applyFill="1" applyBorder="1" applyAlignment="1">
      <alignment horizontal="left" vertical="center"/>
    </xf>
    <xf numFmtId="0" fontId="7" fillId="46" borderId="7" xfId="0" applyFont="1" applyFill="1" applyBorder="1" applyAlignment="1">
      <alignment horizontal="left" vertical="center"/>
    </xf>
    <xf numFmtId="0" fontId="7" fillId="47" borderId="7" xfId="0" applyFont="1" applyFill="1" applyBorder="1" applyAlignment="1">
      <alignment horizontal="left" vertical="center"/>
    </xf>
    <xf numFmtId="0" fontId="0" fillId="11" borderId="1" xfId="0" applyFont="1" applyFill="1" applyBorder="1" applyAlignment="1">
      <alignment horizontal="left" vertical="center"/>
    </xf>
    <xf numFmtId="0" fontId="0" fillId="4" borderId="1" xfId="0" applyFont="1" applyFill="1" applyBorder="1" applyAlignment="1">
      <alignment horizontal="left"/>
    </xf>
    <xf numFmtId="0" fontId="7" fillId="37" borderId="7" xfId="0" applyFont="1" applyFill="1" applyBorder="1" applyAlignment="1">
      <alignment horizontal="left" vertical="center"/>
    </xf>
    <xf numFmtId="0" fontId="7" fillId="51" borderId="7" xfId="0" applyFont="1" applyFill="1" applyBorder="1" applyAlignment="1">
      <alignment horizontal="left" vertical="center"/>
    </xf>
    <xf numFmtId="0" fontId="7" fillId="52" borderId="7" xfId="0" applyFont="1" applyFill="1" applyBorder="1" applyAlignment="1">
      <alignment horizontal="left" vertical="center"/>
    </xf>
    <xf numFmtId="0" fontId="7" fillId="53" borderId="7" xfId="0" applyFont="1" applyFill="1" applyBorder="1" applyAlignment="1">
      <alignment horizontal="left" vertical="center"/>
    </xf>
    <xf numFmtId="0" fontId="0" fillId="18" borderId="1" xfId="0" applyFont="1" applyFill="1" applyBorder="1" applyAlignment="1">
      <alignment horizontal="left"/>
    </xf>
    <xf numFmtId="49" fontId="7" fillId="56" borderId="7" xfId="0" applyNumberFormat="1" applyFont="1" applyFill="1" applyBorder="1" applyAlignment="1">
      <alignment horizontal="left" vertical="center"/>
    </xf>
    <xf numFmtId="49" fontId="7" fillId="57" borderId="7" xfId="0" applyNumberFormat="1" applyFont="1" applyFill="1" applyBorder="1" applyAlignment="1">
      <alignment horizontal="left" vertical="center"/>
    </xf>
    <xf numFmtId="0" fontId="7" fillId="57" borderId="7" xfId="0" applyFont="1" applyFill="1" applyBorder="1" applyAlignment="1">
      <alignment horizontal="left" vertical="center"/>
    </xf>
    <xf numFmtId="49" fontId="7" fillId="58" borderId="7" xfId="0" applyNumberFormat="1" applyFont="1" applyFill="1" applyBorder="1" applyAlignment="1">
      <alignment horizontal="left" vertical="center"/>
    </xf>
    <xf numFmtId="0" fontId="7" fillId="58" borderId="7" xfId="0" applyFont="1" applyFill="1" applyBorder="1" applyAlignment="1">
      <alignment horizontal="left" vertical="center"/>
    </xf>
    <xf numFmtId="0" fontId="0" fillId="20" borderId="1" xfId="0" applyFont="1" applyFill="1" applyBorder="1" applyAlignment="1">
      <alignment horizontal="left"/>
    </xf>
    <xf numFmtId="0" fontId="7" fillId="64" borderId="7" xfId="0" applyFont="1" applyFill="1" applyBorder="1" applyAlignment="1">
      <alignment horizontal="left" vertical="center"/>
    </xf>
    <xf numFmtId="0" fontId="7" fillId="65" borderId="7" xfId="0" applyFont="1" applyFill="1" applyBorder="1" applyAlignment="1">
      <alignment horizontal="left" vertical="center"/>
    </xf>
    <xf numFmtId="0" fontId="0" fillId="17" borderId="0" xfId="0" applyFont="1" applyFill="1" applyAlignment="1">
      <alignment horizontal="left"/>
    </xf>
    <xf numFmtId="0" fontId="5" fillId="17" borderId="10" xfId="0" applyFont="1" applyFill="1" applyBorder="1" applyAlignment="1">
      <alignment horizontal="left" vertical="center"/>
    </xf>
    <xf numFmtId="0" fontId="7" fillId="56" borderId="7" xfId="0" applyFont="1" applyFill="1" applyBorder="1" applyAlignment="1">
      <alignment horizontal="left" vertical="center"/>
    </xf>
    <xf numFmtId="49" fontId="7" fillId="64" borderId="7" xfId="0" applyNumberFormat="1" applyFont="1" applyFill="1" applyBorder="1" applyAlignment="1">
      <alignment horizontal="left" vertical="center"/>
    </xf>
    <xf numFmtId="0" fontId="32" fillId="64" borderId="1" xfId="0" applyFont="1" applyFill="1" applyBorder="1" applyAlignment="1">
      <alignment horizontal="left" vertical="center"/>
    </xf>
    <xf numFmtId="0" fontId="5" fillId="0" borderId="10" xfId="0" applyFont="1" applyBorder="1" applyAlignment="1">
      <alignment horizontal="left" vertical="center"/>
    </xf>
    <xf numFmtId="0" fontId="5" fillId="23" borderId="10" xfId="0" applyFont="1" applyFill="1" applyBorder="1" applyAlignment="1">
      <alignment horizontal="left" vertical="center"/>
    </xf>
    <xf numFmtId="49" fontId="7" fillId="68" borderId="7" xfId="0" applyNumberFormat="1" applyFont="1" applyFill="1" applyBorder="1" applyAlignment="1">
      <alignment horizontal="left" vertical="center"/>
    </xf>
    <xf numFmtId="49" fontId="38" fillId="68" borderId="7" xfId="0" applyNumberFormat="1" applyFont="1" applyFill="1" applyBorder="1" applyAlignment="1">
      <alignment horizontal="left" vertical="center"/>
    </xf>
    <xf numFmtId="0" fontId="7" fillId="23" borderId="7" xfId="0" applyFont="1" applyFill="1" applyBorder="1" applyAlignment="1">
      <alignment horizontal="left" vertical="center"/>
    </xf>
    <xf numFmtId="49" fontId="24" fillId="37" borderId="7" xfId="0" applyNumberFormat="1" applyFont="1" applyFill="1" applyBorder="1" applyAlignment="1">
      <alignment horizontal="left" vertical="center"/>
    </xf>
    <xf numFmtId="49" fontId="7" fillId="38" borderId="7" xfId="0" applyNumberFormat="1" applyFont="1" applyFill="1" applyBorder="1" applyAlignment="1">
      <alignment horizontal="left" vertical="center"/>
    </xf>
    <xf numFmtId="0" fontId="3" fillId="5" borderId="1" xfId="0" applyFont="1" applyFill="1" applyBorder="1" applyAlignment="1">
      <alignment horizontal="left" vertical="center"/>
    </xf>
    <xf numFmtId="0" fontId="7" fillId="22" borderId="7" xfId="0" applyFont="1" applyFill="1" applyBorder="1" applyAlignment="1">
      <alignment horizontal="left" vertical="center"/>
    </xf>
    <xf numFmtId="0" fontId="7" fillId="59" borderId="7" xfId="0" applyFont="1" applyFill="1" applyBorder="1" applyAlignment="1">
      <alignment horizontal="left" vertical="center"/>
    </xf>
    <xf numFmtId="0" fontId="0" fillId="17" borderId="1" xfId="0" applyFill="1" applyBorder="1" applyAlignment="1">
      <alignment horizontal="left" vertical="center"/>
    </xf>
    <xf numFmtId="0" fontId="7" fillId="59" borderId="1" xfId="0" applyFont="1" applyFill="1" applyBorder="1" applyAlignment="1">
      <alignment horizontal="left" vertical="center"/>
    </xf>
    <xf numFmtId="0" fontId="5" fillId="0" borderId="1" xfId="0" applyFont="1" applyBorder="1" applyAlignment="1">
      <alignment horizontal="left"/>
    </xf>
    <xf numFmtId="0" fontId="7" fillId="71" borderId="7" xfId="0" applyFont="1" applyFill="1" applyBorder="1" applyAlignment="1">
      <alignment horizontal="left" vertical="center"/>
    </xf>
    <xf numFmtId="0" fontId="7" fillId="68" borderId="7" xfId="0" applyFont="1" applyFill="1" applyBorder="1" applyAlignment="1">
      <alignment horizontal="left" vertical="center"/>
    </xf>
    <xf numFmtId="0" fontId="3" fillId="22" borderId="7" xfId="0" applyFont="1" applyFill="1" applyBorder="1" applyAlignment="1">
      <alignment horizontal="left" vertical="center"/>
    </xf>
    <xf numFmtId="0" fontId="24" fillId="47" borderId="7" xfId="0" applyFont="1" applyFill="1" applyBorder="1" applyAlignment="1">
      <alignment horizontal="left" vertical="center"/>
    </xf>
    <xf numFmtId="0" fontId="0" fillId="16" borderId="1" xfId="0" applyFont="1" applyFill="1" applyBorder="1" applyAlignment="1">
      <alignment horizontal="left"/>
    </xf>
    <xf numFmtId="0" fontId="7" fillId="59" borderId="7" xfId="0" applyFont="1" applyFill="1" applyBorder="1" applyAlignment="1">
      <alignment horizontal="left" vertical="center" wrapText="1"/>
    </xf>
    <xf numFmtId="0" fontId="7" fillId="56" borderId="7" xfId="0" applyFont="1" applyFill="1" applyBorder="1" applyAlignment="1">
      <alignment horizontal="left" vertical="center" readingOrder="1"/>
    </xf>
    <xf numFmtId="49" fontId="7" fillId="56" borderId="7" xfId="0" applyNumberFormat="1" applyFont="1" applyFill="1" applyBorder="1" applyAlignment="1">
      <alignment horizontal="left" vertical="center" readingOrder="1"/>
    </xf>
    <xf numFmtId="0" fontId="7" fillId="57" borderId="7" xfId="0" applyFont="1" applyFill="1" applyBorder="1" applyAlignment="1">
      <alignment horizontal="left" vertical="center" readingOrder="1"/>
    </xf>
    <xf numFmtId="0" fontId="7" fillId="37" borderId="7" xfId="0" applyFont="1" applyFill="1" applyBorder="1" applyAlignment="1">
      <alignment horizontal="left" vertical="center" readingOrder="1"/>
    </xf>
    <xf numFmtId="49" fontId="7" fillId="37" borderId="7" xfId="0" applyNumberFormat="1" applyFont="1" applyFill="1" applyBorder="1" applyAlignment="1">
      <alignment horizontal="left" vertical="center" readingOrder="1"/>
    </xf>
    <xf numFmtId="0" fontId="0" fillId="0" borderId="4" xfId="0" applyBorder="1" applyAlignment="1">
      <alignment horizontal="left"/>
    </xf>
    <xf numFmtId="0" fontId="7" fillId="68" borderId="7" xfId="0" applyFont="1" applyFill="1" applyBorder="1" applyAlignment="1">
      <alignment horizontal="left" vertical="center" readingOrder="1"/>
    </xf>
    <xf numFmtId="0" fontId="7" fillId="68" borderId="1" xfId="0" applyFont="1" applyFill="1" applyBorder="1" applyAlignment="1">
      <alignment horizontal="left" vertical="center" readingOrder="1"/>
    </xf>
    <xf numFmtId="0" fontId="24" fillId="0" borderId="7" xfId="0" applyFont="1" applyBorder="1" applyAlignment="1">
      <alignment horizontal="left"/>
    </xf>
    <xf numFmtId="0" fontId="24" fillId="0" borderId="7" xfId="0" applyFont="1" applyBorder="1" applyAlignment="1">
      <alignment horizontal="left" vertical="center"/>
    </xf>
    <xf numFmtId="0" fontId="0" fillId="0" borderId="7" xfId="0" applyBorder="1" applyAlignment="1">
      <alignment horizontal="left" vertical="center" wrapText="1"/>
    </xf>
    <xf numFmtId="0" fontId="24" fillId="0" borderId="7" xfId="0" applyFont="1" applyBorder="1" applyAlignment="1">
      <alignment horizontal="left" vertical="center" wrapText="1"/>
    </xf>
    <xf numFmtId="0" fontId="3" fillId="0" borderId="7" xfId="0" applyFont="1" applyBorder="1" applyAlignment="1">
      <alignment horizontal="left"/>
    </xf>
    <xf numFmtId="0" fontId="0" fillId="24" borderId="7" xfId="0" applyFill="1" applyBorder="1" applyAlignment="1">
      <alignment horizontal="left" vertical="center" wrapText="1"/>
    </xf>
    <xf numFmtId="0" fontId="0" fillId="0" borderId="7" xfId="0" applyBorder="1" applyAlignment="1">
      <alignment horizontal="left"/>
    </xf>
    <xf numFmtId="0" fontId="24" fillId="77" borderId="7" xfId="0" applyFont="1" applyFill="1" applyBorder="1" applyAlignment="1">
      <alignment horizontal="left" vertical="center" wrapText="1"/>
    </xf>
    <xf numFmtId="0" fontId="3" fillId="24" borderId="7" xfId="0" applyFont="1" applyFill="1" applyBorder="1" applyAlignment="1">
      <alignment horizontal="left"/>
    </xf>
    <xf numFmtId="0" fontId="7" fillId="77" borderId="7" xfId="0" applyFont="1" applyFill="1" applyBorder="1" applyAlignment="1">
      <alignment horizontal="left"/>
    </xf>
    <xf numFmtId="0" fontId="0" fillId="25" borderId="7" xfId="0" applyFill="1" applyBorder="1" applyAlignment="1">
      <alignment horizontal="left" vertical="center" wrapText="1"/>
    </xf>
    <xf numFmtId="0" fontId="24" fillId="64" borderId="7" xfId="0" applyFont="1" applyFill="1" applyBorder="1" applyAlignment="1">
      <alignment horizontal="left" vertical="center" wrapText="1"/>
    </xf>
    <xf numFmtId="0" fontId="3" fillId="25" borderId="7" xfId="0" applyFont="1" applyFill="1" applyBorder="1" applyAlignment="1">
      <alignment horizontal="left"/>
    </xf>
    <xf numFmtId="0" fontId="0" fillId="0" borderId="7" xfId="0" applyBorder="1" applyAlignment="1">
      <alignment horizontal="left" vertical="center"/>
    </xf>
    <xf numFmtId="0" fontId="0" fillId="2" borderId="7" xfId="0" applyFill="1" applyBorder="1" applyAlignment="1">
      <alignment horizontal="left"/>
    </xf>
    <xf numFmtId="0" fontId="24" fillId="74" borderId="7" xfId="0" applyFont="1" applyFill="1" applyBorder="1" applyAlignment="1">
      <alignment horizontal="left"/>
    </xf>
  </cellXfs>
  <cellStyles count="2">
    <cellStyle name="常规" xfId="0" builtinId="0"/>
    <cellStyle name="常规 2" xfId="1" xr:uid="{00000000-0005-0000-0000-000031000000}"/>
  </cellStyles>
  <dxfs count="50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www.wps.cn/officeDocument/2023/relationships/customStorage" Target="customStorage/customStor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13"/>
  <sheetViews>
    <sheetView zoomScale="85" zoomScaleNormal="85" workbookViewId="0">
      <pane xSplit="3" ySplit="3" topLeftCell="W660" activePane="bottomRight" state="frozenSplit"/>
      <selection pane="topRight"/>
      <selection pane="bottomLeft"/>
      <selection pane="bottomRight" activeCell="A667" sqref="A667"/>
    </sheetView>
  </sheetViews>
  <sheetFormatPr defaultColWidth="9" defaultRowHeight="14.4"/>
  <cols>
    <col min="1" max="1" width="14.109375" style="1" customWidth="1"/>
    <col min="2" max="2" width="16.109375" style="1" customWidth="1"/>
    <col min="3" max="3" width="40.109375" style="1" customWidth="1"/>
    <col min="4" max="4" width="22.33203125" style="1" customWidth="1"/>
    <col min="5" max="5" width="17.88671875" style="1" customWidth="1"/>
    <col min="6" max="6" width="15" style="1" customWidth="1"/>
    <col min="7" max="7" width="15.44140625" style="1" customWidth="1"/>
    <col min="8" max="10" width="12.88671875" style="1" customWidth="1"/>
    <col min="11" max="11" width="10.44140625" style="1" customWidth="1"/>
    <col min="12" max="12" width="50.109375" style="220" customWidth="1"/>
    <col min="13" max="14" width="9.5546875" style="98" customWidth="1"/>
    <col min="15" max="15" width="10.77734375" style="1" customWidth="1"/>
    <col min="16" max="16" width="15" style="111" customWidth="1"/>
    <col min="17" max="17" width="42" style="111" customWidth="1"/>
    <col min="18" max="18" width="33.6640625" style="111" customWidth="1"/>
    <col min="19" max="19" width="14.109375" style="1" customWidth="1"/>
    <col min="20" max="20" width="26.44140625" style="111" customWidth="1"/>
    <col min="21" max="21" width="24" style="111" customWidth="1"/>
    <col min="22" max="22" width="27.88671875" style="111" customWidth="1"/>
    <col min="23" max="23" width="51.5546875" style="1" customWidth="1"/>
    <col min="24" max="24" width="73.109375" style="221" customWidth="1"/>
    <col min="25" max="26" width="20.6640625" style="111" customWidth="1"/>
    <col min="27" max="27" width="13.88671875" style="111" customWidth="1"/>
    <col min="28" max="28" width="12.88671875" style="111" customWidth="1"/>
    <col min="29" max="29" width="30.33203125" style="1" customWidth="1"/>
    <col min="30" max="31" width="12.77734375" style="1" customWidth="1"/>
    <col min="32" max="33" width="9.5546875" style="1" customWidth="1"/>
    <col min="34" max="34" width="12.77734375" style="1" customWidth="1"/>
    <col min="35" max="35" width="10.44140625" style="1" customWidth="1"/>
    <col min="36" max="36" width="13.88671875" style="1" customWidth="1"/>
    <col min="37" max="39" width="10.88671875" style="92" customWidth="1"/>
    <col min="40" max="40" width="22.6640625" style="1" customWidth="1"/>
    <col min="41" max="42" width="16.21875" style="1" customWidth="1"/>
    <col min="43" max="43" width="17.77734375" style="1" customWidth="1"/>
    <col min="44" max="44" width="9" style="222"/>
    <col min="45" max="16384" width="9" style="65"/>
  </cols>
  <sheetData>
    <row r="1" spans="1:44" s="212" customFormat="1" ht="43.2">
      <c r="A1" s="2" t="s">
        <v>0</v>
      </c>
      <c r="B1" s="2" t="s">
        <v>1</v>
      </c>
      <c r="C1" s="2" t="s">
        <v>2</v>
      </c>
      <c r="D1" s="2" t="s">
        <v>3</v>
      </c>
      <c r="E1" s="2" t="s">
        <v>4</v>
      </c>
      <c r="F1" s="2" t="s">
        <v>5</v>
      </c>
      <c r="G1" s="2" t="s">
        <v>6</v>
      </c>
      <c r="H1" s="2" t="s">
        <v>7</v>
      </c>
      <c r="I1" s="2" t="s">
        <v>8</v>
      </c>
      <c r="J1" s="2" t="s">
        <v>9</v>
      </c>
      <c r="K1" s="2" t="s">
        <v>10</v>
      </c>
      <c r="L1" s="226" t="s">
        <v>11</v>
      </c>
      <c r="M1" s="2" t="s">
        <v>12</v>
      </c>
      <c r="N1" s="2" t="s">
        <v>13</v>
      </c>
      <c r="O1" s="2" t="s">
        <v>14</v>
      </c>
      <c r="P1" s="2" t="s">
        <v>15</v>
      </c>
      <c r="Q1" s="2" t="s">
        <v>16</v>
      </c>
      <c r="R1" s="2" t="s">
        <v>17</v>
      </c>
      <c r="S1" s="4"/>
      <c r="T1" s="251" t="s">
        <v>18</v>
      </c>
      <c r="U1" s="252" t="s">
        <v>19</v>
      </c>
      <c r="V1" s="22"/>
      <c r="W1" s="563" t="s">
        <v>20</v>
      </c>
      <c r="X1" s="251"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78" t="s">
        <v>41</v>
      </c>
    </row>
    <row r="2" spans="1:44">
      <c r="A2" s="4" t="s">
        <v>42</v>
      </c>
      <c r="B2" s="4" t="s">
        <v>43</v>
      </c>
      <c r="C2" s="223" t="s">
        <v>44</v>
      </c>
      <c r="D2" s="4" t="s">
        <v>45</v>
      </c>
      <c r="E2" s="4" t="s">
        <v>46</v>
      </c>
      <c r="F2" s="4" t="s">
        <v>47</v>
      </c>
      <c r="G2" s="4" t="s">
        <v>48</v>
      </c>
      <c r="H2" s="4" t="s">
        <v>49</v>
      </c>
      <c r="I2" s="4" t="s">
        <v>50</v>
      </c>
      <c r="J2" s="4" t="s">
        <v>51</v>
      </c>
      <c r="K2" s="4" t="s">
        <v>52</v>
      </c>
      <c r="L2" s="227"/>
      <c r="M2" s="228"/>
      <c r="N2" s="229" t="s">
        <v>53</v>
      </c>
      <c r="O2" s="4" t="s">
        <v>54</v>
      </c>
      <c r="P2" s="229" t="s">
        <v>55</v>
      </c>
      <c r="Q2" s="229" t="s">
        <v>56</v>
      </c>
      <c r="R2" s="229" t="s">
        <v>57</v>
      </c>
      <c r="S2" s="4"/>
      <c r="T2" s="253" t="s">
        <v>58</v>
      </c>
      <c r="U2" s="254" t="s">
        <v>59</v>
      </c>
      <c r="V2" s="22"/>
      <c r="W2" s="564" t="s">
        <v>60</v>
      </c>
      <c r="X2" s="255" t="s">
        <v>61</v>
      </c>
      <c r="Y2" s="268" t="s">
        <v>62</v>
      </c>
      <c r="Z2" s="268" t="s">
        <v>63</v>
      </c>
      <c r="AA2" s="268"/>
      <c r="AB2" s="268" t="s">
        <v>64</v>
      </c>
      <c r="AC2" s="193" t="s">
        <v>65</v>
      </c>
      <c r="AD2" s="193" t="s">
        <v>66</v>
      </c>
      <c r="AE2" s="193" t="s">
        <v>67</v>
      </c>
      <c r="AF2" s="193" t="s">
        <v>68</v>
      </c>
      <c r="AG2" s="193" t="s">
        <v>69</v>
      </c>
      <c r="AH2" s="193" t="s">
        <v>70</v>
      </c>
      <c r="AI2" s="193" t="s">
        <v>71</v>
      </c>
      <c r="AJ2" s="193" t="s">
        <v>72</v>
      </c>
      <c r="AK2" s="269" t="s">
        <v>73</v>
      </c>
      <c r="AL2" s="269"/>
      <c r="AM2" s="269"/>
      <c r="AN2" s="193" t="s">
        <v>74</v>
      </c>
      <c r="AO2" s="193" t="s">
        <v>75</v>
      </c>
      <c r="AP2" s="193" t="s">
        <v>76</v>
      </c>
      <c r="AQ2" s="193" t="s">
        <v>77</v>
      </c>
      <c r="AR2" s="222" t="s">
        <v>78</v>
      </c>
    </row>
    <row r="3" spans="1:44">
      <c r="A3" s="5">
        <v>1010001</v>
      </c>
      <c r="B3" s="5" t="s">
        <v>79</v>
      </c>
      <c r="C3" s="5" t="s">
        <v>80</v>
      </c>
      <c r="D3" s="5" t="s">
        <v>81</v>
      </c>
      <c r="E3" s="5" t="s">
        <v>79</v>
      </c>
      <c r="F3" s="5">
        <v>1</v>
      </c>
      <c r="G3" s="5">
        <v>1</v>
      </c>
      <c r="H3" s="5" t="s">
        <v>82</v>
      </c>
      <c r="I3" s="5" t="s">
        <v>83</v>
      </c>
      <c r="J3" s="5"/>
      <c r="K3" s="5">
        <v>4</v>
      </c>
      <c r="L3" s="230" t="s">
        <v>84</v>
      </c>
      <c r="M3" s="231"/>
      <c r="N3" s="231"/>
      <c r="O3" s="5"/>
      <c r="P3" s="232">
        <v>1</v>
      </c>
      <c r="Q3" s="232">
        <v>0</v>
      </c>
      <c r="R3" s="232" t="s">
        <v>85</v>
      </c>
      <c r="S3" s="5">
        <v>1010001</v>
      </c>
      <c r="T3" s="256" t="s">
        <v>86</v>
      </c>
      <c r="U3" s="257" t="s">
        <v>87</v>
      </c>
      <c r="V3" s="232" t="s">
        <v>88</v>
      </c>
      <c r="W3" s="565" t="s">
        <v>89</v>
      </c>
      <c r="X3" s="565" t="s">
        <v>89</v>
      </c>
      <c r="Y3" s="232"/>
      <c r="Z3" s="232"/>
      <c r="AA3" s="232">
        <v>1</v>
      </c>
      <c r="AB3" s="232" t="s">
        <v>90</v>
      </c>
      <c r="AC3" s="5"/>
      <c r="AD3" s="5"/>
      <c r="AE3" s="5">
        <v>2</v>
      </c>
      <c r="AF3" s="5">
        <v>0</v>
      </c>
      <c r="AG3" s="5">
        <v>4</v>
      </c>
      <c r="AH3" s="5"/>
      <c r="AI3" s="5">
        <v>58</v>
      </c>
      <c r="AJ3" s="5">
        <v>39</v>
      </c>
      <c r="AK3" s="270"/>
      <c r="AL3" s="270"/>
      <c r="AM3" s="270"/>
      <c r="AN3" s="271" t="s">
        <v>91</v>
      </c>
      <c r="AO3" s="271"/>
      <c r="AP3" s="271"/>
      <c r="AQ3" s="5" t="s">
        <v>92</v>
      </c>
      <c r="AR3" s="279">
        <v>226</v>
      </c>
    </row>
    <row r="4" spans="1:44" ht="15" customHeight="1">
      <c r="A4" s="5">
        <v>1010002</v>
      </c>
      <c r="B4" s="5" t="s">
        <v>79</v>
      </c>
      <c r="C4" s="234" t="s">
        <v>93</v>
      </c>
      <c r="D4" s="5" t="s">
        <v>81</v>
      </c>
      <c r="E4" s="5" t="s">
        <v>79</v>
      </c>
      <c r="F4" s="5">
        <v>1</v>
      </c>
      <c r="G4" s="5">
        <v>1</v>
      </c>
      <c r="H4" s="5" t="s">
        <v>82</v>
      </c>
      <c r="I4" s="5" t="s">
        <v>83</v>
      </c>
      <c r="J4" s="5"/>
      <c r="K4" s="5">
        <v>5</v>
      </c>
      <c r="L4" s="233" t="s">
        <v>94</v>
      </c>
      <c r="M4" s="231"/>
      <c r="N4" s="231"/>
      <c r="O4" s="5"/>
      <c r="P4" s="232">
        <v>5</v>
      </c>
      <c r="Q4" s="232">
        <v>0</v>
      </c>
      <c r="R4" s="232" t="s">
        <v>85</v>
      </c>
      <c r="S4" s="5">
        <v>1010002</v>
      </c>
      <c r="T4" s="256" t="s">
        <v>86</v>
      </c>
      <c r="U4" s="257" t="s">
        <v>87</v>
      </c>
      <c r="V4" s="232" t="s">
        <v>88</v>
      </c>
      <c r="W4" s="565" t="s">
        <v>95</v>
      </c>
      <c r="X4" s="565" t="s">
        <v>95</v>
      </c>
      <c r="Y4" s="232"/>
      <c r="Z4" s="232"/>
      <c r="AA4" s="232">
        <v>1</v>
      </c>
      <c r="AB4" s="232" t="s">
        <v>90</v>
      </c>
      <c r="AC4" s="5"/>
      <c r="AD4" s="5"/>
      <c r="AE4" s="5">
        <v>2</v>
      </c>
      <c r="AF4" s="5">
        <v>0</v>
      </c>
      <c r="AG4" s="5">
        <v>4</v>
      </c>
      <c r="AH4" s="5"/>
      <c r="AI4" s="5">
        <v>45</v>
      </c>
      <c r="AJ4" s="5">
        <v>32</v>
      </c>
      <c r="AK4" s="270"/>
      <c r="AL4" s="270"/>
      <c r="AM4" s="270"/>
      <c r="AN4" s="271" t="s">
        <v>96</v>
      </c>
      <c r="AO4" s="271"/>
      <c r="AP4" s="271"/>
      <c r="AQ4" s="5" t="s">
        <v>97</v>
      </c>
      <c r="AR4" s="279">
        <v>227</v>
      </c>
    </row>
    <row r="5" spans="1:44">
      <c r="A5" s="6" t="s">
        <v>98</v>
      </c>
      <c r="B5" s="6" t="s">
        <v>99</v>
      </c>
      <c r="C5" s="234" t="s">
        <v>100</v>
      </c>
      <c r="D5" s="6" t="s">
        <v>81</v>
      </c>
      <c r="E5" s="6" t="s">
        <v>79</v>
      </c>
      <c r="F5" s="6">
        <v>1</v>
      </c>
      <c r="G5" s="6">
        <v>1</v>
      </c>
      <c r="H5" s="6" t="s">
        <v>82</v>
      </c>
      <c r="I5" s="6" t="s">
        <v>101</v>
      </c>
      <c r="J5" s="6"/>
      <c r="K5" s="6">
        <v>1</v>
      </c>
      <c r="L5" s="234" t="s">
        <v>102</v>
      </c>
      <c r="M5" s="235"/>
      <c r="N5" s="235"/>
      <c r="O5" s="234"/>
      <c r="P5" s="40"/>
      <c r="Q5" s="40">
        <v>0</v>
      </c>
      <c r="R5" s="40" t="s">
        <v>85</v>
      </c>
      <c r="S5" s="6">
        <v>1010101</v>
      </c>
      <c r="T5" s="258" t="s">
        <v>103</v>
      </c>
      <c r="U5" s="259" t="s">
        <v>104</v>
      </c>
      <c r="V5" s="40" t="s">
        <v>105</v>
      </c>
      <c r="W5" s="566" t="s">
        <v>106</v>
      </c>
      <c r="X5" s="566" t="s">
        <v>106</v>
      </c>
      <c r="Y5" s="40"/>
      <c r="Z5" s="40"/>
      <c r="AA5" s="40"/>
      <c r="AB5" s="40" t="s">
        <v>90</v>
      </c>
      <c r="AC5" s="6"/>
      <c r="AD5" s="6"/>
      <c r="AE5" s="6">
        <v>1</v>
      </c>
      <c r="AF5" s="6">
        <v>2</v>
      </c>
      <c r="AG5" s="6">
        <v>6</v>
      </c>
      <c r="AH5" s="6"/>
      <c r="AI5" s="6">
        <v>39</v>
      </c>
      <c r="AJ5" s="6">
        <v>26</v>
      </c>
      <c r="AK5" s="272" t="s">
        <v>107</v>
      </c>
      <c r="AL5" s="272"/>
      <c r="AM5" s="272"/>
      <c r="AN5" s="6" t="s">
        <v>108</v>
      </c>
      <c r="AO5" s="6"/>
      <c r="AP5" s="6"/>
      <c r="AQ5" s="6" t="s">
        <v>109</v>
      </c>
      <c r="AR5" s="280">
        <v>229</v>
      </c>
    </row>
    <row r="6" spans="1:44">
      <c r="A6" s="6" t="s">
        <v>110</v>
      </c>
      <c r="B6" s="6" t="s">
        <v>99</v>
      </c>
      <c r="C6" s="234" t="s">
        <v>100</v>
      </c>
      <c r="D6" s="6" t="s">
        <v>81</v>
      </c>
      <c r="E6" s="6" t="s">
        <v>79</v>
      </c>
      <c r="F6" s="6">
        <v>1</v>
      </c>
      <c r="G6" s="6">
        <v>1</v>
      </c>
      <c r="H6" s="6" t="s">
        <v>82</v>
      </c>
      <c r="I6" s="6" t="s">
        <v>101</v>
      </c>
      <c r="J6" s="6"/>
      <c r="K6" s="6">
        <v>1</v>
      </c>
      <c r="L6" s="234" t="s">
        <v>111</v>
      </c>
      <c r="M6" s="235"/>
      <c r="N6" s="235"/>
      <c r="O6" s="234"/>
      <c r="P6" s="40"/>
      <c r="Q6" s="40">
        <v>0</v>
      </c>
      <c r="R6" s="40" t="s">
        <v>85</v>
      </c>
      <c r="S6" s="6">
        <v>1010104</v>
      </c>
      <c r="T6" s="258" t="s">
        <v>112</v>
      </c>
      <c r="U6" s="259" t="s">
        <v>104</v>
      </c>
      <c r="V6" s="40" t="s">
        <v>105</v>
      </c>
      <c r="W6" s="566" t="s">
        <v>113</v>
      </c>
      <c r="X6" s="566" t="s">
        <v>113</v>
      </c>
      <c r="Y6" s="40"/>
      <c r="Z6" s="40"/>
      <c r="AA6" s="40">
        <v>2</v>
      </c>
      <c r="AB6" s="40" t="s">
        <v>114</v>
      </c>
      <c r="AC6" s="6"/>
      <c r="AD6" s="6"/>
      <c r="AE6" s="6">
        <v>0</v>
      </c>
      <c r="AF6" s="6">
        <v>0</v>
      </c>
      <c r="AG6" s="6">
        <v>0</v>
      </c>
      <c r="AH6" s="6"/>
      <c r="AI6" s="6">
        <v>0</v>
      </c>
      <c r="AJ6" s="6">
        <v>0</v>
      </c>
      <c r="AK6" s="6">
        <v>0</v>
      </c>
      <c r="AL6" s="6"/>
      <c r="AM6" s="6"/>
      <c r="AN6" s="6" t="s">
        <v>115</v>
      </c>
      <c r="AO6" s="6"/>
      <c r="AP6" s="6"/>
      <c r="AQ6" s="6" t="s">
        <v>116</v>
      </c>
      <c r="AR6" s="280"/>
    </row>
    <row r="7" spans="1:44">
      <c r="A7" s="6" t="s">
        <v>117</v>
      </c>
      <c r="B7" s="6" t="s">
        <v>99</v>
      </c>
      <c r="C7" s="234" t="s">
        <v>100</v>
      </c>
      <c r="D7" s="6" t="s">
        <v>81</v>
      </c>
      <c r="E7" s="6" t="s">
        <v>79</v>
      </c>
      <c r="F7" s="6">
        <v>1</v>
      </c>
      <c r="G7" s="6">
        <v>1</v>
      </c>
      <c r="H7" s="6" t="s">
        <v>82</v>
      </c>
      <c r="I7" s="6" t="s">
        <v>101</v>
      </c>
      <c r="J7" s="6"/>
      <c r="K7" s="6">
        <v>1</v>
      </c>
      <c r="L7" s="234" t="s">
        <v>118</v>
      </c>
      <c r="M7" s="235"/>
      <c r="N7" s="235"/>
      <c r="O7" s="234"/>
      <c r="P7" s="40"/>
      <c r="Q7" s="40">
        <v>0</v>
      </c>
      <c r="R7" s="40" t="s">
        <v>85</v>
      </c>
      <c r="S7" s="6">
        <v>1010105</v>
      </c>
      <c r="T7" s="258" t="s">
        <v>119</v>
      </c>
      <c r="U7" s="259" t="s">
        <v>104</v>
      </c>
      <c r="V7" s="40" t="s">
        <v>105</v>
      </c>
      <c r="W7" s="566" t="s">
        <v>113</v>
      </c>
      <c r="X7" s="566" t="s">
        <v>113</v>
      </c>
      <c r="Y7" s="40"/>
      <c r="Z7" s="40"/>
      <c r="AA7" s="40">
        <v>3</v>
      </c>
      <c r="AB7" s="40" t="s">
        <v>114</v>
      </c>
      <c r="AC7" s="6"/>
      <c r="AD7" s="6"/>
      <c r="AE7" s="6">
        <v>0</v>
      </c>
      <c r="AF7" s="6">
        <v>0</v>
      </c>
      <c r="AG7" s="6">
        <v>0</v>
      </c>
      <c r="AH7" s="6"/>
      <c r="AI7" s="6">
        <v>0</v>
      </c>
      <c r="AJ7" s="6">
        <v>0</v>
      </c>
      <c r="AK7" s="6">
        <v>0</v>
      </c>
      <c r="AL7" s="6"/>
      <c r="AM7" s="6"/>
      <c r="AN7" s="6" t="s">
        <v>120</v>
      </c>
      <c r="AO7" s="6"/>
      <c r="AP7" s="6"/>
      <c r="AQ7" s="6" t="s">
        <v>121</v>
      </c>
      <c r="AR7" s="280"/>
    </row>
    <row r="8" spans="1:44">
      <c r="A8" s="225" t="s">
        <v>122</v>
      </c>
      <c r="B8" s="6" t="s">
        <v>99</v>
      </c>
      <c r="C8" s="234" t="s">
        <v>123</v>
      </c>
      <c r="D8" s="6" t="s">
        <v>81</v>
      </c>
      <c r="E8" s="6" t="s">
        <v>79</v>
      </c>
      <c r="F8" s="6">
        <v>1</v>
      </c>
      <c r="G8" s="6">
        <v>1</v>
      </c>
      <c r="H8" s="6" t="s">
        <v>82</v>
      </c>
      <c r="I8" s="6" t="s">
        <v>101</v>
      </c>
      <c r="J8" s="6"/>
      <c r="K8" s="6">
        <v>2</v>
      </c>
      <c r="L8" s="234" t="s">
        <v>124</v>
      </c>
      <c r="M8" s="235"/>
      <c r="N8" s="235"/>
      <c r="O8" s="234"/>
      <c r="P8" s="40"/>
      <c r="Q8" s="40">
        <v>0</v>
      </c>
      <c r="R8" s="40" t="s">
        <v>85</v>
      </c>
      <c r="S8" s="6">
        <v>1010102</v>
      </c>
      <c r="T8" s="258" t="s">
        <v>125</v>
      </c>
      <c r="U8" s="259" t="s">
        <v>126</v>
      </c>
      <c r="V8" s="40" t="s">
        <v>105</v>
      </c>
      <c r="W8" s="566" t="s">
        <v>127</v>
      </c>
      <c r="X8" s="566" t="s">
        <v>127</v>
      </c>
      <c r="Y8" s="40"/>
      <c r="Z8" s="40"/>
      <c r="AA8" s="40"/>
      <c r="AB8" s="40" t="s">
        <v>90</v>
      </c>
      <c r="AC8" s="6"/>
      <c r="AD8" s="6"/>
      <c r="AE8" s="6">
        <v>1</v>
      </c>
      <c r="AF8" s="6">
        <v>1</v>
      </c>
      <c r="AG8" s="6">
        <v>5</v>
      </c>
      <c r="AH8" s="6"/>
      <c r="AI8" s="6">
        <v>39</v>
      </c>
      <c r="AJ8" s="6">
        <v>26</v>
      </c>
      <c r="AK8" s="272" t="s">
        <v>128</v>
      </c>
      <c r="AL8" s="272"/>
      <c r="AM8" s="272"/>
      <c r="AN8" s="6" t="s">
        <v>129</v>
      </c>
      <c r="AO8" s="6"/>
      <c r="AP8" s="6"/>
      <c r="AQ8" s="6" t="s">
        <v>130</v>
      </c>
      <c r="AR8" s="280">
        <v>230</v>
      </c>
    </row>
    <row r="9" spans="1:44">
      <c r="A9" s="6" t="s">
        <v>131</v>
      </c>
      <c r="B9" s="6" t="s">
        <v>99</v>
      </c>
      <c r="C9" s="234" t="s">
        <v>123</v>
      </c>
      <c r="D9" s="6" t="s">
        <v>81</v>
      </c>
      <c r="E9" s="6" t="s">
        <v>79</v>
      </c>
      <c r="F9" s="6">
        <v>1</v>
      </c>
      <c r="G9" s="6">
        <v>1</v>
      </c>
      <c r="H9" s="6" t="s">
        <v>82</v>
      </c>
      <c r="I9" s="6" t="s">
        <v>101</v>
      </c>
      <c r="J9" s="6"/>
      <c r="K9" s="6">
        <v>2</v>
      </c>
      <c r="L9" s="234" t="s">
        <v>132</v>
      </c>
      <c r="M9" s="235"/>
      <c r="N9" s="235"/>
      <c r="O9" s="234"/>
      <c r="P9" s="40"/>
      <c r="Q9" s="40">
        <v>0</v>
      </c>
      <c r="R9" s="40" t="s">
        <v>85</v>
      </c>
      <c r="S9" s="6">
        <v>1010106</v>
      </c>
      <c r="T9" s="258" t="s">
        <v>112</v>
      </c>
      <c r="U9" s="259" t="s">
        <v>126</v>
      </c>
      <c r="V9" s="40" t="s">
        <v>105</v>
      </c>
      <c r="W9" s="566" t="s">
        <v>127</v>
      </c>
      <c r="X9" s="566" t="s">
        <v>127</v>
      </c>
      <c r="Y9" s="40"/>
      <c r="Z9" s="40"/>
      <c r="AA9" s="40">
        <v>2</v>
      </c>
      <c r="AB9" s="40" t="s">
        <v>114</v>
      </c>
      <c r="AC9" s="6"/>
      <c r="AD9" s="6"/>
      <c r="AE9" s="6">
        <v>0</v>
      </c>
      <c r="AF9" s="6">
        <v>0</v>
      </c>
      <c r="AG9" s="6">
        <v>0</v>
      </c>
      <c r="AH9" s="6"/>
      <c r="AI9" s="6">
        <v>0</v>
      </c>
      <c r="AJ9" s="6">
        <v>0</v>
      </c>
      <c r="AK9" s="6">
        <v>0</v>
      </c>
      <c r="AL9" s="6"/>
      <c r="AM9" s="6"/>
      <c r="AN9" s="6" t="s">
        <v>133</v>
      </c>
      <c r="AO9" s="6"/>
      <c r="AP9" s="6"/>
      <c r="AQ9" s="6" t="s">
        <v>134</v>
      </c>
      <c r="AR9" s="280"/>
    </row>
    <row r="10" spans="1:44" ht="15" customHeight="1">
      <c r="A10" s="6">
        <v>1010102</v>
      </c>
      <c r="B10" s="6" t="s">
        <v>99</v>
      </c>
      <c r="C10" s="234" t="s">
        <v>135</v>
      </c>
      <c r="D10" s="6" t="s">
        <v>81</v>
      </c>
      <c r="E10" s="6" t="s">
        <v>79</v>
      </c>
      <c r="F10" s="6">
        <v>1</v>
      </c>
      <c r="G10" s="6">
        <v>1</v>
      </c>
      <c r="H10" s="6" t="s">
        <v>136</v>
      </c>
      <c r="I10" s="6" t="s">
        <v>137</v>
      </c>
      <c r="J10" s="6"/>
      <c r="K10" s="6">
        <v>1</v>
      </c>
      <c r="L10" s="234" t="s">
        <v>111</v>
      </c>
      <c r="M10" s="235"/>
      <c r="N10" s="235"/>
      <c r="O10" s="234"/>
      <c r="P10" s="40"/>
      <c r="Q10" s="40">
        <v>0</v>
      </c>
      <c r="R10" s="40" t="s">
        <v>85</v>
      </c>
      <c r="S10" s="6">
        <v>1010104</v>
      </c>
      <c r="T10" s="258"/>
      <c r="U10" s="259"/>
      <c r="V10" s="40" t="s">
        <v>105</v>
      </c>
      <c r="W10" s="566" t="s">
        <v>138</v>
      </c>
      <c r="X10" s="566" t="s">
        <v>138</v>
      </c>
      <c r="Y10" s="40"/>
      <c r="Z10" s="40"/>
      <c r="AA10" s="40">
        <v>2</v>
      </c>
      <c r="AB10" s="40" t="s">
        <v>114</v>
      </c>
      <c r="AC10" s="6"/>
      <c r="AD10" s="6"/>
      <c r="AE10" s="6">
        <v>0</v>
      </c>
      <c r="AF10" s="6">
        <v>0</v>
      </c>
      <c r="AG10" s="6">
        <v>0</v>
      </c>
      <c r="AH10" s="6"/>
      <c r="AI10" s="6">
        <v>0</v>
      </c>
      <c r="AJ10" s="6">
        <v>0</v>
      </c>
      <c r="AK10" s="6">
        <v>0</v>
      </c>
      <c r="AL10" s="6"/>
      <c r="AM10" s="6"/>
      <c r="AN10" s="6"/>
      <c r="AO10" s="6"/>
      <c r="AP10" s="6"/>
      <c r="AQ10" s="6" t="s">
        <v>116</v>
      </c>
      <c r="AR10" s="280"/>
    </row>
    <row r="11" spans="1:44" ht="15" customHeight="1">
      <c r="A11" s="6">
        <v>1010104</v>
      </c>
      <c r="B11" s="6" t="s">
        <v>99</v>
      </c>
      <c r="C11" s="234" t="s">
        <v>139</v>
      </c>
      <c r="D11" s="6" t="s">
        <v>81</v>
      </c>
      <c r="E11" s="6" t="s">
        <v>79</v>
      </c>
      <c r="F11" s="6">
        <v>2</v>
      </c>
      <c r="G11" s="6">
        <v>1</v>
      </c>
      <c r="H11" s="6" t="s">
        <v>136</v>
      </c>
      <c r="I11" s="6" t="s">
        <v>137</v>
      </c>
      <c r="J11" s="6"/>
      <c r="K11" s="6"/>
      <c r="L11" s="234" t="s">
        <v>118</v>
      </c>
      <c r="M11" s="235"/>
      <c r="N11" s="235"/>
      <c r="O11" s="234"/>
      <c r="P11" s="40"/>
      <c r="Q11" s="40">
        <v>0</v>
      </c>
      <c r="R11" s="40" t="s">
        <v>85</v>
      </c>
      <c r="S11" s="6">
        <v>1010105</v>
      </c>
      <c r="T11" s="258"/>
      <c r="U11" s="259"/>
      <c r="V11" s="40" t="s">
        <v>105</v>
      </c>
      <c r="W11" s="566" t="s">
        <v>140</v>
      </c>
      <c r="X11" s="566" t="s">
        <v>140</v>
      </c>
      <c r="Y11" s="40"/>
      <c r="Z11" s="40"/>
      <c r="AA11" s="40">
        <v>3</v>
      </c>
      <c r="AB11" s="40" t="s">
        <v>114</v>
      </c>
      <c r="AC11" s="6"/>
      <c r="AD11" s="6"/>
      <c r="AE11" s="6">
        <v>0</v>
      </c>
      <c r="AF11" s="6">
        <v>0</v>
      </c>
      <c r="AG11" s="6">
        <v>0</v>
      </c>
      <c r="AH11" s="6"/>
      <c r="AI11" s="6">
        <v>0</v>
      </c>
      <c r="AJ11" s="6">
        <v>0</v>
      </c>
      <c r="AK11" s="6">
        <v>0</v>
      </c>
      <c r="AL11" s="6"/>
      <c r="AM11" s="6"/>
      <c r="AN11" s="6"/>
      <c r="AO11" s="6"/>
      <c r="AP11" s="6"/>
      <c r="AQ11" s="6" t="s">
        <v>121</v>
      </c>
      <c r="AR11" s="280"/>
    </row>
    <row r="12" spans="1:44" ht="15" customHeight="1">
      <c r="A12" s="6">
        <v>1010105</v>
      </c>
      <c r="B12" s="6" t="s">
        <v>99</v>
      </c>
      <c r="C12" s="234" t="s">
        <v>141</v>
      </c>
      <c r="D12" s="6" t="s">
        <v>81</v>
      </c>
      <c r="E12" s="6" t="s">
        <v>79</v>
      </c>
      <c r="F12" s="6">
        <v>1</v>
      </c>
      <c r="G12" s="6">
        <v>1</v>
      </c>
      <c r="H12" s="6" t="s">
        <v>82</v>
      </c>
      <c r="I12" s="6" t="s">
        <v>101</v>
      </c>
      <c r="J12" s="6"/>
      <c r="K12" s="6">
        <v>3</v>
      </c>
      <c r="L12" s="234" t="s">
        <v>142</v>
      </c>
      <c r="M12" s="235"/>
      <c r="N12" s="235"/>
      <c r="O12" s="234"/>
      <c r="P12" s="40"/>
      <c r="Q12" s="40">
        <v>0</v>
      </c>
      <c r="R12" s="40" t="s">
        <v>85</v>
      </c>
      <c r="S12" s="6">
        <v>1010103</v>
      </c>
      <c r="T12" s="258" t="s">
        <v>143</v>
      </c>
      <c r="U12" s="259" t="s">
        <v>144</v>
      </c>
      <c r="V12" s="40" t="s">
        <v>105</v>
      </c>
      <c r="W12" s="566" t="s">
        <v>145</v>
      </c>
      <c r="X12" s="566" t="s">
        <v>145</v>
      </c>
      <c r="Y12" s="40"/>
      <c r="Z12" s="40"/>
      <c r="AA12" s="40"/>
      <c r="AB12" s="40" t="s">
        <v>90</v>
      </c>
      <c r="AC12" s="6"/>
      <c r="AD12" s="6"/>
      <c r="AE12" s="6">
        <v>1</v>
      </c>
      <c r="AF12" s="6">
        <v>1</v>
      </c>
      <c r="AG12" s="6">
        <v>5</v>
      </c>
      <c r="AH12" s="6"/>
      <c r="AI12" s="6">
        <v>39</v>
      </c>
      <c r="AJ12" s="6">
        <v>26</v>
      </c>
      <c r="AK12" s="272" t="s">
        <v>146</v>
      </c>
      <c r="AL12" s="272"/>
      <c r="AM12" s="272"/>
      <c r="AN12" s="6" t="s">
        <v>147</v>
      </c>
      <c r="AO12" s="6"/>
      <c r="AP12" s="6"/>
      <c r="AQ12" s="6" t="s">
        <v>148</v>
      </c>
      <c r="AR12" s="280">
        <v>231</v>
      </c>
    </row>
    <row r="13" spans="1:44" ht="15" customHeight="1">
      <c r="A13" s="6">
        <v>1010106</v>
      </c>
      <c r="B13" s="6" t="s">
        <v>99</v>
      </c>
      <c r="C13" s="234" t="s">
        <v>149</v>
      </c>
      <c r="D13" s="6" t="s">
        <v>81</v>
      </c>
      <c r="E13" s="6" t="s">
        <v>79</v>
      </c>
      <c r="F13" s="6">
        <v>3</v>
      </c>
      <c r="G13" s="6">
        <v>1</v>
      </c>
      <c r="H13" s="6" t="s">
        <v>136</v>
      </c>
      <c r="I13" s="6" t="s">
        <v>137</v>
      </c>
      <c r="J13" s="6"/>
      <c r="K13" s="6"/>
      <c r="L13" s="234" t="s">
        <v>132</v>
      </c>
      <c r="M13" s="235"/>
      <c r="N13" s="235"/>
      <c r="O13" s="234"/>
      <c r="P13" s="40"/>
      <c r="Q13" s="40">
        <v>0</v>
      </c>
      <c r="R13" s="40" t="s">
        <v>85</v>
      </c>
      <c r="S13" s="6">
        <v>1010106</v>
      </c>
      <c r="T13" s="258"/>
      <c r="U13" s="259"/>
      <c r="V13" s="40" t="s">
        <v>105</v>
      </c>
      <c r="W13" s="566" t="s">
        <v>150</v>
      </c>
      <c r="X13" s="566" t="s">
        <v>150</v>
      </c>
      <c r="Y13" s="40"/>
      <c r="Z13" s="40"/>
      <c r="AA13" s="40">
        <v>2</v>
      </c>
      <c r="AB13" s="40" t="s">
        <v>114</v>
      </c>
      <c r="AC13" s="6"/>
      <c r="AD13" s="6"/>
      <c r="AE13" s="6">
        <v>0</v>
      </c>
      <c r="AF13" s="6">
        <v>0</v>
      </c>
      <c r="AG13" s="6">
        <v>0</v>
      </c>
      <c r="AH13" s="6"/>
      <c r="AI13" s="6">
        <v>0</v>
      </c>
      <c r="AJ13" s="6">
        <v>0</v>
      </c>
      <c r="AK13" s="6">
        <v>0</v>
      </c>
      <c r="AL13" s="6"/>
      <c r="AM13" s="6"/>
      <c r="AN13" s="6"/>
      <c r="AO13" s="6"/>
      <c r="AP13" s="6"/>
      <c r="AQ13" s="6" t="s">
        <v>134</v>
      </c>
      <c r="AR13" s="280"/>
    </row>
    <row r="14" spans="1:44" ht="15" customHeight="1">
      <c r="A14" s="6">
        <v>1010107</v>
      </c>
      <c r="B14" s="6" t="s">
        <v>99</v>
      </c>
      <c r="C14" s="234" t="s">
        <v>151</v>
      </c>
      <c r="D14" s="6" t="s">
        <v>81</v>
      </c>
      <c r="E14" s="6" t="s">
        <v>79</v>
      </c>
      <c r="F14" s="6">
        <v>4</v>
      </c>
      <c r="G14" s="6">
        <v>1</v>
      </c>
      <c r="H14" s="6" t="s">
        <v>136</v>
      </c>
      <c r="I14" s="6" t="s">
        <v>137</v>
      </c>
      <c r="J14" s="6"/>
      <c r="K14" s="6"/>
      <c r="L14" s="234" t="s">
        <v>152</v>
      </c>
      <c r="M14" s="235"/>
      <c r="N14" s="235"/>
      <c r="O14" s="234"/>
      <c r="P14" s="40"/>
      <c r="Q14" s="40">
        <v>0</v>
      </c>
      <c r="R14" s="40" t="s">
        <v>153</v>
      </c>
      <c r="S14" s="6">
        <v>1010107</v>
      </c>
      <c r="T14" s="258"/>
      <c r="U14" s="259"/>
      <c r="V14" s="40" t="s">
        <v>105</v>
      </c>
      <c r="W14" s="566" t="s">
        <v>154</v>
      </c>
      <c r="X14" s="566" t="s">
        <v>154</v>
      </c>
      <c r="Y14" s="40"/>
      <c r="Z14" s="40"/>
      <c r="AA14" s="40"/>
      <c r="AB14" s="40" t="s">
        <v>114</v>
      </c>
      <c r="AC14" s="6"/>
      <c r="AD14" s="6"/>
      <c r="AE14" s="6">
        <v>0</v>
      </c>
      <c r="AF14" s="6">
        <v>0</v>
      </c>
      <c r="AG14" s="6">
        <v>0</v>
      </c>
      <c r="AH14" s="6"/>
      <c r="AI14" s="6">
        <v>0</v>
      </c>
      <c r="AJ14" s="6">
        <v>0</v>
      </c>
      <c r="AK14" s="6">
        <v>0</v>
      </c>
      <c r="AL14" s="6"/>
      <c r="AM14" s="6"/>
      <c r="AN14" s="6"/>
      <c r="AO14" s="6"/>
      <c r="AP14" s="6"/>
      <c r="AQ14" s="6" t="s">
        <v>155</v>
      </c>
      <c r="AR14" s="280"/>
    </row>
    <row r="15" spans="1:44" ht="15" customHeight="1">
      <c r="A15" s="6">
        <v>1010108</v>
      </c>
      <c r="B15" s="6" t="s">
        <v>99</v>
      </c>
      <c r="C15" s="234" t="s">
        <v>156</v>
      </c>
      <c r="D15" s="6" t="s">
        <v>81</v>
      </c>
      <c r="E15" s="6" t="s">
        <v>79</v>
      </c>
      <c r="F15" s="6">
        <v>5</v>
      </c>
      <c r="G15" s="6">
        <v>1</v>
      </c>
      <c r="H15" s="6" t="s">
        <v>136</v>
      </c>
      <c r="I15" s="6" t="s">
        <v>137</v>
      </c>
      <c r="J15" s="6"/>
      <c r="K15" s="6"/>
      <c r="L15" s="234" t="s">
        <v>157</v>
      </c>
      <c r="M15" s="235"/>
      <c r="N15" s="235"/>
      <c r="O15" s="234"/>
      <c r="P15" s="40"/>
      <c r="Q15" s="40">
        <v>0</v>
      </c>
      <c r="R15" s="40" t="s">
        <v>153</v>
      </c>
      <c r="S15" s="6">
        <v>1010108</v>
      </c>
      <c r="T15" s="258"/>
      <c r="U15" s="259"/>
      <c r="V15" s="40" t="s">
        <v>105</v>
      </c>
      <c r="W15" s="566" t="s">
        <v>158</v>
      </c>
      <c r="X15" s="566" t="s">
        <v>158</v>
      </c>
      <c r="Y15" s="40"/>
      <c r="Z15" s="40"/>
      <c r="AA15" s="40"/>
      <c r="AB15" s="40" t="s">
        <v>114</v>
      </c>
      <c r="AC15" s="6"/>
      <c r="AD15" s="6"/>
      <c r="AE15" s="6">
        <v>0</v>
      </c>
      <c r="AF15" s="6">
        <v>0</v>
      </c>
      <c r="AG15" s="6">
        <v>0</v>
      </c>
      <c r="AH15" s="6"/>
      <c r="AI15" s="6">
        <v>0</v>
      </c>
      <c r="AJ15" s="6">
        <v>0</v>
      </c>
      <c r="AK15" s="6">
        <v>0</v>
      </c>
      <c r="AL15" s="6"/>
      <c r="AM15" s="6"/>
      <c r="AN15" s="6"/>
      <c r="AO15" s="6"/>
      <c r="AP15" s="6"/>
      <c r="AQ15" s="6" t="s">
        <v>159</v>
      </c>
      <c r="AR15" s="280"/>
    </row>
    <row r="16" spans="1:44" ht="15" customHeight="1">
      <c r="A16" s="6">
        <v>1010109</v>
      </c>
      <c r="B16" s="6" t="s">
        <v>99</v>
      </c>
      <c r="C16" s="234" t="s">
        <v>160</v>
      </c>
      <c r="D16" s="6" t="s">
        <v>81</v>
      </c>
      <c r="E16" s="6" t="s">
        <v>79</v>
      </c>
      <c r="F16" s="6">
        <v>6</v>
      </c>
      <c r="G16" s="6">
        <v>1</v>
      </c>
      <c r="H16" s="6" t="s">
        <v>136</v>
      </c>
      <c r="I16" s="6" t="s">
        <v>137</v>
      </c>
      <c r="J16" s="6"/>
      <c r="K16" s="6"/>
      <c r="L16" s="234" t="s">
        <v>161</v>
      </c>
      <c r="M16" s="235"/>
      <c r="N16" s="235"/>
      <c r="O16" s="234"/>
      <c r="P16" s="40"/>
      <c r="Q16" s="40">
        <v>0</v>
      </c>
      <c r="R16" s="40" t="s">
        <v>153</v>
      </c>
      <c r="S16" s="6">
        <v>1010109</v>
      </c>
      <c r="T16" s="258"/>
      <c r="U16" s="259"/>
      <c r="V16" s="40" t="s">
        <v>105</v>
      </c>
      <c r="W16" s="566" t="s">
        <v>162</v>
      </c>
      <c r="X16" s="566" t="s">
        <v>162</v>
      </c>
      <c r="Y16" s="40"/>
      <c r="Z16" s="40"/>
      <c r="AA16" s="40"/>
      <c r="AB16" s="40" t="s">
        <v>114</v>
      </c>
      <c r="AC16" s="6"/>
      <c r="AD16" s="6"/>
      <c r="AE16" s="6">
        <v>0</v>
      </c>
      <c r="AF16" s="6">
        <v>0</v>
      </c>
      <c r="AG16" s="6">
        <v>0</v>
      </c>
      <c r="AH16" s="6"/>
      <c r="AI16" s="6">
        <v>0</v>
      </c>
      <c r="AJ16" s="6">
        <v>0</v>
      </c>
      <c r="AK16" s="6">
        <v>0</v>
      </c>
      <c r="AL16" s="6"/>
      <c r="AM16" s="6"/>
      <c r="AN16" s="6"/>
      <c r="AO16" s="6"/>
      <c r="AP16" s="6"/>
      <c r="AQ16" s="6" t="s">
        <v>163</v>
      </c>
      <c r="AR16" s="280"/>
    </row>
    <row r="17" spans="1:44" ht="15" customHeight="1">
      <c r="A17" s="6">
        <v>1010110</v>
      </c>
      <c r="B17" s="6" t="s">
        <v>99</v>
      </c>
      <c r="C17" s="234" t="s">
        <v>164</v>
      </c>
      <c r="D17" s="6" t="s">
        <v>81</v>
      </c>
      <c r="E17" s="6" t="s">
        <v>79</v>
      </c>
      <c r="F17" s="6">
        <v>7</v>
      </c>
      <c r="G17" s="6">
        <v>1</v>
      </c>
      <c r="H17" s="6" t="s">
        <v>136</v>
      </c>
      <c r="I17" s="6" t="s">
        <v>137</v>
      </c>
      <c r="J17" s="6"/>
      <c r="K17" s="6"/>
      <c r="L17" s="234" t="s">
        <v>165</v>
      </c>
      <c r="M17" s="235"/>
      <c r="N17" s="235"/>
      <c r="O17" s="234"/>
      <c r="P17" s="40"/>
      <c r="Q17" s="40">
        <v>0</v>
      </c>
      <c r="R17" s="40" t="s">
        <v>153</v>
      </c>
      <c r="S17" s="6">
        <v>1010110</v>
      </c>
      <c r="T17" s="258"/>
      <c r="U17" s="259"/>
      <c r="V17" s="40" t="s">
        <v>105</v>
      </c>
      <c r="W17" s="566" t="s">
        <v>166</v>
      </c>
      <c r="X17" s="566" t="s">
        <v>166</v>
      </c>
      <c r="Y17" s="40"/>
      <c r="Z17" s="40"/>
      <c r="AA17" s="40"/>
      <c r="AB17" s="40" t="s">
        <v>114</v>
      </c>
      <c r="AC17" s="6"/>
      <c r="AD17" s="6"/>
      <c r="AE17" s="6">
        <v>0</v>
      </c>
      <c r="AF17" s="6">
        <v>0</v>
      </c>
      <c r="AG17" s="6">
        <v>0</v>
      </c>
      <c r="AH17" s="6"/>
      <c r="AI17" s="6">
        <v>0</v>
      </c>
      <c r="AJ17" s="6">
        <v>0</v>
      </c>
      <c r="AK17" s="6">
        <v>0</v>
      </c>
      <c r="AL17" s="6"/>
      <c r="AM17" s="6"/>
      <c r="AN17" s="6"/>
      <c r="AO17" s="6"/>
      <c r="AP17" s="6"/>
      <c r="AQ17" s="225" t="s">
        <v>167</v>
      </c>
      <c r="AR17" s="280"/>
    </row>
    <row r="18" spans="1:44" ht="15" customHeight="1">
      <c r="A18" s="3">
        <v>1010111</v>
      </c>
      <c r="B18" s="3" t="s">
        <v>99</v>
      </c>
      <c r="C18" s="236" t="s">
        <v>168</v>
      </c>
      <c r="D18" s="3" t="s">
        <v>81</v>
      </c>
      <c r="E18" s="3" t="s">
        <v>79</v>
      </c>
      <c r="F18" s="3">
        <v>8</v>
      </c>
      <c r="G18" s="3">
        <v>1</v>
      </c>
      <c r="H18" s="3" t="s">
        <v>136</v>
      </c>
      <c r="I18" s="3" t="s">
        <v>137</v>
      </c>
      <c r="J18" s="3"/>
      <c r="K18" s="3"/>
      <c r="L18" s="236"/>
      <c r="M18" s="99"/>
      <c r="N18" s="99"/>
      <c r="O18" s="236"/>
      <c r="P18" s="22"/>
      <c r="Q18" s="22">
        <v>0</v>
      </c>
      <c r="R18" s="22" t="s">
        <v>153</v>
      </c>
      <c r="S18" s="3"/>
      <c r="T18" s="260"/>
      <c r="U18" s="261"/>
      <c r="V18" s="22"/>
      <c r="W18" s="567" t="s">
        <v>169</v>
      </c>
      <c r="X18" s="567" t="s">
        <v>169</v>
      </c>
      <c r="Y18" s="22"/>
      <c r="Z18" s="22"/>
      <c r="AA18" s="22"/>
      <c r="AB18" s="22" t="s">
        <v>114</v>
      </c>
      <c r="AC18" s="3"/>
      <c r="AD18" s="3"/>
      <c r="AE18" s="3">
        <v>0</v>
      </c>
      <c r="AF18" s="3">
        <v>0</v>
      </c>
      <c r="AG18" s="3">
        <v>0</v>
      </c>
      <c r="AH18" s="3"/>
      <c r="AI18" s="3">
        <v>0</v>
      </c>
      <c r="AJ18" s="3">
        <v>0</v>
      </c>
      <c r="AK18" s="3">
        <v>0</v>
      </c>
      <c r="AL18" s="3"/>
      <c r="AM18" s="3"/>
      <c r="AN18" s="3"/>
      <c r="AO18" s="3"/>
      <c r="AP18" s="3"/>
      <c r="AQ18" s="3" t="s">
        <v>148</v>
      </c>
      <c r="AR18" s="281"/>
    </row>
    <row r="19" spans="1:44" ht="15" customHeight="1">
      <c r="A19" s="3">
        <v>1010112</v>
      </c>
      <c r="B19" s="3" t="s">
        <v>99</v>
      </c>
      <c r="C19" s="236" t="s">
        <v>170</v>
      </c>
      <c r="D19" s="3" t="s">
        <v>81</v>
      </c>
      <c r="E19" s="3" t="s">
        <v>79</v>
      </c>
      <c r="F19" s="3">
        <v>9</v>
      </c>
      <c r="G19" s="3">
        <v>1</v>
      </c>
      <c r="H19" s="3" t="s">
        <v>136</v>
      </c>
      <c r="I19" s="3" t="s">
        <v>137</v>
      </c>
      <c r="J19" s="3"/>
      <c r="K19" s="3"/>
      <c r="L19" s="236"/>
      <c r="M19" s="99"/>
      <c r="N19" s="99"/>
      <c r="O19" s="236"/>
      <c r="P19" s="22"/>
      <c r="Q19" s="22"/>
      <c r="R19" s="22" t="s">
        <v>153</v>
      </c>
      <c r="S19" s="3"/>
      <c r="T19" s="260"/>
      <c r="U19" s="261"/>
      <c r="V19" s="22"/>
      <c r="W19" s="567" t="s">
        <v>171</v>
      </c>
      <c r="X19" s="567" t="s">
        <v>6767</v>
      </c>
      <c r="Y19" s="22"/>
      <c r="Z19" s="22"/>
      <c r="AA19" s="22"/>
      <c r="AB19" s="22" t="s">
        <v>114</v>
      </c>
      <c r="AC19" s="3"/>
      <c r="AD19" s="3"/>
      <c r="AE19" s="3">
        <v>0</v>
      </c>
      <c r="AF19" s="3">
        <v>0</v>
      </c>
      <c r="AG19" s="3">
        <v>0</v>
      </c>
      <c r="AH19" s="3"/>
      <c r="AI19" s="3">
        <v>0</v>
      </c>
      <c r="AJ19" s="3">
        <v>0</v>
      </c>
      <c r="AK19" s="3">
        <v>0</v>
      </c>
      <c r="AL19" s="3"/>
      <c r="AM19" s="3"/>
      <c r="AN19" s="3"/>
      <c r="AO19" s="3"/>
      <c r="AP19" s="3"/>
      <c r="AQ19" s="282" t="s">
        <v>172</v>
      </c>
      <c r="AR19" s="281"/>
    </row>
    <row r="20" spans="1:44" ht="15" customHeight="1">
      <c r="A20" s="3">
        <v>1010113</v>
      </c>
      <c r="B20" s="3" t="s">
        <v>99</v>
      </c>
      <c r="C20" s="236" t="s">
        <v>173</v>
      </c>
      <c r="D20" s="3" t="s">
        <v>81</v>
      </c>
      <c r="E20" s="3" t="s">
        <v>79</v>
      </c>
      <c r="F20" s="3">
        <v>10</v>
      </c>
      <c r="G20" s="3">
        <v>1</v>
      </c>
      <c r="H20" s="3" t="s">
        <v>136</v>
      </c>
      <c r="I20" s="3" t="s">
        <v>137</v>
      </c>
      <c r="J20" s="3"/>
      <c r="K20" s="3"/>
      <c r="L20" s="236"/>
      <c r="M20" s="99"/>
      <c r="N20" s="99"/>
      <c r="O20" s="236"/>
      <c r="P20" s="22"/>
      <c r="Q20" s="22"/>
      <c r="R20" s="22" t="s">
        <v>153</v>
      </c>
      <c r="S20" s="3"/>
      <c r="T20" s="260"/>
      <c r="U20" s="261"/>
      <c r="V20" s="22"/>
      <c r="W20" s="567" t="s">
        <v>174</v>
      </c>
      <c r="X20" s="567" t="s">
        <v>174</v>
      </c>
      <c r="Y20" s="22"/>
      <c r="Z20" s="22"/>
      <c r="AA20" s="22"/>
      <c r="AB20" s="22" t="s">
        <v>114</v>
      </c>
      <c r="AC20" s="3"/>
      <c r="AD20" s="3"/>
      <c r="AE20" s="3">
        <v>0</v>
      </c>
      <c r="AF20" s="3">
        <v>0</v>
      </c>
      <c r="AG20" s="3">
        <v>0</v>
      </c>
      <c r="AH20" s="3"/>
      <c r="AI20" s="3">
        <v>0</v>
      </c>
      <c r="AJ20" s="3">
        <v>0</v>
      </c>
      <c r="AK20" s="3">
        <v>0</v>
      </c>
      <c r="AL20" s="3"/>
      <c r="AM20" s="3"/>
      <c r="AN20" s="3"/>
      <c r="AO20" s="3"/>
      <c r="AP20" s="3"/>
      <c r="AQ20" s="282" t="s">
        <v>175</v>
      </c>
      <c r="AR20" s="281"/>
    </row>
    <row r="21" spans="1:44" ht="15" customHeight="1">
      <c r="A21" s="7">
        <v>1010201</v>
      </c>
      <c r="B21" s="7" t="s">
        <v>176</v>
      </c>
      <c r="C21" s="7" t="s">
        <v>177</v>
      </c>
      <c r="D21" s="7" t="s">
        <v>81</v>
      </c>
      <c r="E21" s="7" t="s">
        <v>79</v>
      </c>
      <c r="F21" s="7">
        <v>1</v>
      </c>
      <c r="G21" s="7">
        <v>1</v>
      </c>
      <c r="H21" s="7" t="s">
        <v>82</v>
      </c>
      <c r="I21" s="7" t="s">
        <v>101</v>
      </c>
      <c r="J21" s="7"/>
      <c r="K21" s="7">
        <v>1</v>
      </c>
      <c r="L21" s="237" t="s">
        <v>178</v>
      </c>
      <c r="M21" s="238"/>
      <c r="N21" s="238"/>
      <c r="O21" s="7"/>
      <c r="P21" s="239"/>
      <c r="Q21" s="239">
        <v>0</v>
      </c>
      <c r="R21" s="239" t="s">
        <v>85</v>
      </c>
      <c r="S21" s="7">
        <v>1010201</v>
      </c>
      <c r="T21" s="262" t="s">
        <v>179</v>
      </c>
      <c r="U21" s="263" t="s">
        <v>180</v>
      </c>
      <c r="V21" s="239" t="s">
        <v>88</v>
      </c>
      <c r="W21" s="568" t="s">
        <v>181</v>
      </c>
      <c r="X21" s="568" t="s">
        <v>181</v>
      </c>
      <c r="Y21" s="239"/>
      <c r="Z21" s="239"/>
      <c r="AA21" s="239"/>
      <c r="AB21" s="239" t="s">
        <v>90</v>
      </c>
      <c r="AC21" s="7"/>
      <c r="AD21" s="7"/>
      <c r="AE21" s="7">
        <v>1</v>
      </c>
      <c r="AF21" s="7">
        <v>2</v>
      </c>
      <c r="AG21" s="7">
        <v>6</v>
      </c>
      <c r="AH21" s="7"/>
      <c r="AI21" s="7">
        <v>39</v>
      </c>
      <c r="AJ21" s="7">
        <v>26</v>
      </c>
      <c r="AK21" s="273"/>
      <c r="AL21" s="273"/>
      <c r="AM21" s="273"/>
      <c r="AN21" s="7" t="s">
        <v>182</v>
      </c>
      <c r="AO21" s="7"/>
      <c r="AP21" s="7"/>
      <c r="AQ21" s="7" t="s">
        <v>183</v>
      </c>
      <c r="AR21" s="283">
        <v>235</v>
      </c>
    </row>
    <row r="22" spans="1:44" ht="15" customHeight="1">
      <c r="A22" s="7">
        <v>1010202</v>
      </c>
      <c r="B22" s="7" t="s">
        <v>176</v>
      </c>
      <c r="C22" s="7" t="s">
        <v>184</v>
      </c>
      <c r="D22" s="7" t="s">
        <v>81</v>
      </c>
      <c r="E22" s="7" t="s">
        <v>79</v>
      </c>
      <c r="F22" s="7">
        <v>1</v>
      </c>
      <c r="G22" s="7">
        <v>1</v>
      </c>
      <c r="H22" s="7" t="s">
        <v>136</v>
      </c>
      <c r="I22" s="7" t="s">
        <v>137</v>
      </c>
      <c r="J22" s="7"/>
      <c r="K22" s="7"/>
      <c r="L22" s="237" t="s">
        <v>185</v>
      </c>
      <c r="M22" s="238"/>
      <c r="N22" s="238"/>
      <c r="O22" s="7"/>
      <c r="P22" s="239"/>
      <c r="Q22" s="239">
        <v>0</v>
      </c>
      <c r="R22" s="239" t="s">
        <v>153</v>
      </c>
      <c r="S22" s="7">
        <v>1010202</v>
      </c>
      <c r="T22" s="262"/>
      <c r="U22" s="263"/>
      <c r="V22" s="239" t="s">
        <v>88</v>
      </c>
      <c r="W22" s="568" t="s">
        <v>186</v>
      </c>
      <c r="X22" s="568" t="s">
        <v>186</v>
      </c>
      <c r="Y22" s="239"/>
      <c r="Z22" s="239"/>
      <c r="AA22" s="239"/>
      <c r="AB22" s="239" t="s">
        <v>114</v>
      </c>
      <c r="AC22" s="7"/>
      <c r="AD22" s="7"/>
      <c r="AE22" s="7">
        <v>0</v>
      </c>
      <c r="AF22" s="7"/>
      <c r="AG22" s="7"/>
      <c r="AH22" s="7"/>
      <c r="AI22" s="7"/>
      <c r="AJ22" s="7"/>
      <c r="AK22" s="273"/>
      <c r="AL22" s="273"/>
      <c r="AM22" s="273"/>
      <c r="AN22" s="7"/>
      <c r="AO22" s="7"/>
      <c r="AP22" s="7"/>
      <c r="AQ22" s="7" t="s">
        <v>187</v>
      </c>
      <c r="AR22" s="283"/>
    </row>
    <row r="23" spans="1:44" ht="15" customHeight="1">
      <c r="A23" s="7">
        <v>1010203</v>
      </c>
      <c r="B23" s="7" t="s">
        <v>176</v>
      </c>
      <c r="C23" s="7" t="s">
        <v>188</v>
      </c>
      <c r="D23" s="7" t="s">
        <v>81</v>
      </c>
      <c r="E23" s="7" t="s">
        <v>79</v>
      </c>
      <c r="F23" s="7">
        <v>1</v>
      </c>
      <c r="G23" s="7">
        <v>1</v>
      </c>
      <c r="H23" s="7" t="s">
        <v>82</v>
      </c>
      <c r="I23" s="7" t="s">
        <v>101</v>
      </c>
      <c r="J23" s="7"/>
      <c r="K23" s="7">
        <v>2</v>
      </c>
      <c r="L23" s="237" t="s">
        <v>189</v>
      </c>
      <c r="M23" s="238"/>
      <c r="N23" s="238"/>
      <c r="O23" s="7"/>
      <c r="P23" s="239"/>
      <c r="Q23" s="239">
        <v>0</v>
      </c>
      <c r="R23" s="239" t="s">
        <v>85</v>
      </c>
      <c r="S23" s="7">
        <v>1010203</v>
      </c>
      <c r="T23" s="262" t="s">
        <v>190</v>
      </c>
      <c r="U23" s="263" t="s">
        <v>191</v>
      </c>
      <c r="V23" s="239" t="s">
        <v>88</v>
      </c>
      <c r="W23" s="568" t="s">
        <v>192</v>
      </c>
      <c r="X23" s="568" t="s">
        <v>192</v>
      </c>
      <c r="Y23" s="239"/>
      <c r="Z23" s="239"/>
      <c r="AA23" s="239"/>
      <c r="AB23" s="239" t="s">
        <v>90</v>
      </c>
      <c r="AC23" s="7"/>
      <c r="AD23" s="7"/>
      <c r="AE23" s="7">
        <v>1</v>
      </c>
      <c r="AF23" s="7">
        <v>1</v>
      </c>
      <c r="AG23" s="7">
        <v>5</v>
      </c>
      <c r="AH23" s="7"/>
      <c r="AI23" s="7">
        <v>39</v>
      </c>
      <c r="AJ23" s="7">
        <v>26</v>
      </c>
      <c r="AK23" s="273"/>
      <c r="AL23" s="273"/>
      <c r="AM23" s="273"/>
      <c r="AN23" s="7" t="s">
        <v>193</v>
      </c>
      <c r="AO23" s="7"/>
      <c r="AP23" s="7"/>
      <c r="AQ23" s="7" t="s">
        <v>194</v>
      </c>
      <c r="AR23" s="283">
        <v>236</v>
      </c>
    </row>
    <row r="24" spans="1:44" ht="15" customHeight="1">
      <c r="A24" s="7">
        <v>1010204</v>
      </c>
      <c r="B24" s="7" t="s">
        <v>176</v>
      </c>
      <c r="C24" s="7" t="s">
        <v>195</v>
      </c>
      <c r="D24" s="7" t="s">
        <v>81</v>
      </c>
      <c r="E24" s="7" t="s">
        <v>79</v>
      </c>
      <c r="F24" s="7">
        <v>2</v>
      </c>
      <c r="G24" s="7">
        <v>1</v>
      </c>
      <c r="H24" s="7" t="s">
        <v>136</v>
      </c>
      <c r="I24" s="7" t="s">
        <v>137</v>
      </c>
      <c r="J24" s="7"/>
      <c r="K24" s="7"/>
      <c r="L24" s="237" t="s">
        <v>196</v>
      </c>
      <c r="M24" s="238"/>
      <c r="N24" s="238"/>
      <c r="O24" s="7"/>
      <c r="P24" s="239"/>
      <c r="Q24" s="239">
        <v>0</v>
      </c>
      <c r="R24" s="239" t="s">
        <v>153</v>
      </c>
      <c r="S24" s="7">
        <v>1010204</v>
      </c>
      <c r="T24" s="262"/>
      <c r="U24" s="263"/>
      <c r="V24" s="239" t="s">
        <v>88</v>
      </c>
      <c r="W24" s="568" t="s">
        <v>197</v>
      </c>
      <c r="X24" s="568" t="s">
        <v>197</v>
      </c>
      <c r="Y24" s="239"/>
      <c r="Z24" s="239"/>
      <c r="AA24" s="239"/>
      <c r="AB24" s="239" t="s">
        <v>114</v>
      </c>
      <c r="AC24" s="7"/>
      <c r="AD24" s="7"/>
      <c r="AE24" s="7">
        <v>0</v>
      </c>
      <c r="AF24" s="7"/>
      <c r="AG24" s="7"/>
      <c r="AH24" s="7"/>
      <c r="AI24" s="7"/>
      <c r="AJ24" s="7"/>
      <c r="AK24" s="273"/>
      <c r="AL24" s="273"/>
      <c r="AM24" s="273"/>
      <c r="AN24" s="7"/>
      <c r="AO24" s="7"/>
      <c r="AP24" s="7"/>
      <c r="AQ24" s="7" t="s">
        <v>198</v>
      </c>
      <c r="AR24" s="283"/>
    </row>
    <row r="25" spans="1:44" ht="15" customHeight="1">
      <c r="A25" s="7">
        <v>1010205</v>
      </c>
      <c r="B25" s="7" t="s">
        <v>176</v>
      </c>
      <c r="C25" s="7" t="s">
        <v>199</v>
      </c>
      <c r="D25" s="7" t="s">
        <v>81</v>
      </c>
      <c r="E25" s="7" t="s">
        <v>79</v>
      </c>
      <c r="F25" s="7">
        <v>1</v>
      </c>
      <c r="G25" s="7">
        <v>1</v>
      </c>
      <c r="H25" s="7" t="s">
        <v>82</v>
      </c>
      <c r="I25" s="7" t="s">
        <v>101</v>
      </c>
      <c r="J25" s="7"/>
      <c r="K25" s="7">
        <v>3</v>
      </c>
      <c r="L25" s="237" t="s">
        <v>200</v>
      </c>
      <c r="M25" s="238"/>
      <c r="N25" s="238"/>
      <c r="O25" s="7"/>
      <c r="P25" s="239"/>
      <c r="Q25" s="239">
        <v>0</v>
      </c>
      <c r="R25" s="239" t="s">
        <v>85</v>
      </c>
      <c r="S25" s="7">
        <v>1010205</v>
      </c>
      <c r="T25" s="262" t="s">
        <v>201</v>
      </c>
      <c r="U25" s="263" t="s">
        <v>202</v>
      </c>
      <c r="V25" s="239" t="s">
        <v>88</v>
      </c>
      <c r="W25" s="568" t="s">
        <v>203</v>
      </c>
      <c r="X25" s="568" t="s">
        <v>203</v>
      </c>
      <c r="Y25" s="239"/>
      <c r="Z25" s="239"/>
      <c r="AA25" s="239"/>
      <c r="AB25" s="239" t="s">
        <v>90</v>
      </c>
      <c r="AC25" s="7"/>
      <c r="AD25" s="7"/>
      <c r="AE25" s="7">
        <v>1</v>
      </c>
      <c r="AF25" s="7">
        <v>1</v>
      </c>
      <c r="AG25" s="7">
        <v>5</v>
      </c>
      <c r="AH25" s="7"/>
      <c r="AI25" s="7">
        <v>39</v>
      </c>
      <c r="AJ25" s="7">
        <v>26</v>
      </c>
      <c r="AK25" s="273"/>
      <c r="AL25" s="273"/>
      <c r="AM25" s="273"/>
      <c r="AN25" s="7" t="s">
        <v>204</v>
      </c>
      <c r="AO25" s="7"/>
      <c r="AP25" s="7"/>
      <c r="AQ25" s="7" t="s">
        <v>205</v>
      </c>
      <c r="AR25" s="283">
        <v>237</v>
      </c>
    </row>
    <row r="26" spans="1:44" ht="15" customHeight="1">
      <c r="A26" s="7">
        <v>1010206</v>
      </c>
      <c r="B26" s="7" t="s">
        <v>176</v>
      </c>
      <c r="C26" s="7" t="s">
        <v>206</v>
      </c>
      <c r="D26" s="7" t="s">
        <v>81</v>
      </c>
      <c r="E26" s="7" t="s">
        <v>79</v>
      </c>
      <c r="F26" s="7">
        <v>3</v>
      </c>
      <c r="G26" s="7">
        <v>1</v>
      </c>
      <c r="H26" s="7" t="s">
        <v>136</v>
      </c>
      <c r="I26" s="7" t="s">
        <v>137</v>
      </c>
      <c r="J26" s="7"/>
      <c r="K26" s="7"/>
      <c r="L26" s="237" t="s">
        <v>207</v>
      </c>
      <c r="M26" s="238"/>
      <c r="N26" s="238"/>
      <c r="O26" s="7"/>
      <c r="P26" s="239"/>
      <c r="Q26" s="239">
        <v>0</v>
      </c>
      <c r="R26" s="239" t="s">
        <v>153</v>
      </c>
      <c r="S26" s="7">
        <v>1010206</v>
      </c>
      <c r="T26" s="262"/>
      <c r="U26" s="263"/>
      <c r="V26" s="239" t="s">
        <v>88</v>
      </c>
      <c r="W26" s="568" t="s">
        <v>208</v>
      </c>
      <c r="X26" s="568" t="s">
        <v>208</v>
      </c>
      <c r="Y26" s="239"/>
      <c r="Z26" s="239"/>
      <c r="AA26" s="239"/>
      <c r="AB26" s="239" t="s">
        <v>114</v>
      </c>
      <c r="AC26" s="7"/>
      <c r="AD26" s="7"/>
      <c r="AE26" s="7">
        <v>0</v>
      </c>
      <c r="AF26" s="7"/>
      <c r="AG26" s="7"/>
      <c r="AH26" s="7"/>
      <c r="AI26" s="7"/>
      <c r="AJ26" s="7"/>
      <c r="AK26" s="273"/>
      <c r="AL26" s="273"/>
      <c r="AM26" s="273"/>
      <c r="AN26" s="7"/>
      <c r="AO26" s="7"/>
      <c r="AP26" s="7"/>
      <c r="AQ26" s="7" t="s">
        <v>209</v>
      </c>
      <c r="AR26" s="283"/>
    </row>
    <row r="27" spans="1:44" ht="15" customHeight="1">
      <c r="A27" s="7">
        <v>1010207</v>
      </c>
      <c r="B27" s="7" t="s">
        <v>176</v>
      </c>
      <c r="C27" s="7" t="s">
        <v>210</v>
      </c>
      <c r="D27" s="7" t="s">
        <v>81</v>
      </c>
      <c r="E27" s="7" t="s">
        <v>79</v>
      </c>
      <c r="F27" s="7">
        <v>4</v>
      </c>
      <c r="G27" s="7">
        <v>1</v>
      </c>
      <c r="H27" s="7" t="s">
        <v>136</v>
      </c>
      <c r="I27" s="7" t="s">
        <v>137</v>
      </c>
      <c r="J27" s="7"/>
      <c r="K27" s="7"/>
      <c r="L27" s="237" t="s">
        <v>211</v>
      </c>
      <c r="M27" s="238"/>
      <c r="N27" s="238"/>
      <c r="O27" s="7"/>
      <c r="P27" s="239"/>
      <c r="Q27" s="239">
        <v>0</v>
      </c>
      <c r="R27" s="239" t="s">
        <v>153</v>
      </c>
      <c r="S27" s="7">
        <v>1010207</v>
      </c>
      <c r="T27" s="262"/>
      <c r="U27" s="263"/>
      <c r="V27" s="239" t="s">
        <v>88</v>
      </c>
      <c r="W27" s="568" t="s">
        <v>212</v>
      </c>
      <c r="X27" s="568" t="s">
        <v>212</v>
      </c>
      <c r="Y27" s="239"/>
      <c r="Z27" s="239"/>
      <c r="AA27" s="239"/>
      <c r="AB27" s="239" t="s">
        <v>114</v>
      </c>
      <c r="AC27" s="7"/>
      <c r="AD27" s="7"/>
      <c r="AE27" s="7">
        <v>0</v>
      </c>
      <c r="AF27" s="7"/>
      <c r="AG27" s="7"/>
      <c r="AH27" s="7"/>
      <c r="AI27" s="7"/>
      <c r="AJ27" s="7"/>
      <c r="AK27" s="273"/>
      <c r="AL27" s="273"/>
      <c r="AM27" s="273"/>
      <c r="AN27" s="7"/>
      <c r="AO27" s="7"/>
      <c r="AP27" s="7"/>
      <c r="AQ27" s="7" t="s">
        <v>213</v>
      </c>
      <c r="AR27" s="283"/>
    </row>
    <row r="28" spans="1:44" ht="15" customHeight="1">
      <c r="A28" s="7">
        <v>1010208</v>
      </c>
      <c r="B28" s="7" t="s">
        <v>176</v>
      </c>
      <c r="C28" s="7" t="s">
        <v>214</v>
      </c>
      <c r="D28" s="7" t="s">
        <v>81</v>
      </c>
      <c r="E28" s="7" t="s">
        <v>79</v>
      </c>
      <c r="F28" s="7">
        <v>5</v>
      </c>
      <c r="G28" s="7">
        <v>1</v>
      </c>
      <c r="H28" s="7" t="s">
        <v>136</v>
      </c>
      <c r="I28" s="7" t="s">
        <v>137</v>
      </c>
      <c r="J28" s="7"/>
      <c r="K28" s="7"/>
      <c r="L28" s="237" t="s">
        <v>215</v>
      </c>
      <c r="M28" s="238"/>
      <c r="N28" s="238"/>
      <c r="O28" s="7"/>
      <c r="P28" s="239"/>
      <c r="Q28" s="239">
        <v>0</v>
      </c>
      <c r="R28" s="239" t="s">
        <v>153</v>
      </c>
      <c r="S28" s="7">
        <v>1010208</v>
      </c>
      <c r="T28" s="262"/>
      <c r="U28" s="263"/>
      <c r="V28" s="239" t="s">
        <v>88</v>
      </c>
      <c r="W28" s="568" t="s">
        <v>216</v>
      </c>
      <c r="X28" s="568" t="s">
        <v>216</v>
      </c>
      <c r="Y28" s="239"/>
      <c r="Z28" s="239"/>
      <c r="AA28" s="239"/>
      <c r="AB28" s="239" t="s">
        <v>114</v>
      </c>
      <c r="AC28" s="7"/>
      <c r="AD28" s="7"/>
      <c r="AE28" s="7">
        <v>0</v>
      </c>
      <c r="AF28" s="7"/>
      <c r="AG28" s="7"/>
      <c r="AH28" s="7"/>
      <c r="AI28" s="7"/>
      <c r="AJ28" s="7"/>
      <c r="AK28" s="273"/>
      <c r="AL28" s="273"/>
      <c r="AM28" s="273"/>
      <c r="AN28" s="7"/>
      <c r="AO28" s="7"/>
      <c r="AP28" s="7"/>
      <c r="AQ28" s="7" t="s">
        <v>217</v>
      </c>
      <c r="AR28" s="283"/>
    </row>
    <row r="29" spans="1:44" ht="15" customHeight="1">
      <c r="A29" s="7">
        <v>1010209</v>
      </c>
      <c r="B29" s="7" t="s">
        <v>176</v>
      </c>
      <c r="C29" s="7" t="s">
        <v>218</v>
      </c>
      <c r="D29" s="7" t="s">
        <v>81</v>
      </c>
      <c r="E29" s="7" t="s">
        <v>79</v>
      </c>
      <c r="F29" s="7">
        <v>6</v>
      </c>
      <c r="G29" s="7">
        <v>1</v>
      </c>
      <c r="H29" s="7" t="s">
        <v>136</v>
      </c>
      <c r="I29" s="7" t="s">
        <v>137</v>
      </c>
      <c r="J29" s="7"/>
      <c r="K29" s="7"/>
      <c r="L29" s="237" t="s">
        <v>219</v>
      </c>
      <c r="M29" s="238"/>
      <c r="N29" s="238"/>
      <c r="O29" s="7"/>
      <c r="P29" s="239"/>
      <c r="Q29" s="239">
        <v>0</v>
      </c>
      <c r="R29" s="239" t="s">
        <v>153</v>
      </c>
      <c r="S29" s="7">
        <v>1010209</v>
      </c>
      <c r="T29" s="262"/>
      <c r="U29" s="263"/>
      <c r="V29" s="239" t="s">
        <v>88</v>
      </c>
      <c r="W29" s="568" t="s">
        <v>220</v>
      </c>
      <c r="X29" s="568" t="s">
        <v>220</v>
      </c>
      <c r="Y29" s="239"/>
      <c r="Z29" s="239"/>
      <c r="AA29" s="239"/>
      <c r="AB29" s="239" t="s">
        <v>114</v>
      </c>
      <c r="AC29" s="7"/>
      <c r="AD29" s="7"/>
      <c r="AE29" s="7">
        <v>0</v>
      </c>
      <c r="AF29" s="7"/>
      <c r="AG29" s="7"/>
      <c r="AH29" s="7"/>
      <c r="AI29" s="7"/>
      <c r="AJ29" s="7"/>
      <c r="AK29" s="273"/>
      <c r="AL29" s="273"/>
      <c r="AM29" s="273"/>
      <c r="AN29" s="7"/>
      <c r="AO29" s="7"/>
      <c r="AP29" s="7"/>
      <c r="AQ29" s="7" t="s">
        <v>221</v>
      </c>
      <c r="AR29" s="283"/>
    </row>
    <row r="30" spans="1:44" ht="15" customHeight="1">
      <c r="A30" s="7">
        <v>1010210</v>
      </c>
      <c r="B30" s="7" t="s">
        <v>176</v>
      </c>
      <c r="C30" s="7" t="s">
        <v>222</v>
      </c>
      <c r="D30" s="7" t="s">
        <v>81</v>
      </c>
      <c r="E30" s="7" t="s">
        <v>79</v>
      </c>
      <c r="F30" s="7">
        <v>7</v>
      </c>
      <c r="G30" s="7">
        <v>1</v>
      </c>
      <c r="H30" s="7" t="s">
        <v>136</v>
      </c>
      <c r="I30" s="7" t="s">
        <v>137</v>
      </c>
      <c r="J30" s="7"/>
      <c r="K30" s="7"/>
      <c r="L30" s="237" t="s">
        <v>223</v>
      </c>
      <c r="M30" s="238"/>
      <c r="N30" s="238"/>
      <c r="O30" s="7"/>
      <c r="P30" s="239"/>
      <c r="Q30" s="239">
        <v>0</v>
      </c>
      <c r="R30" s="239" t="s">
        <v>153</v>
      </c>
      <c r="S30" s="7">
        <v>1010210</v>
      </c>
      <c r="T30" s="262"/>
      <c r="U30" s="263"/>
      <c r="V30" s="239" t="s">
        <v>88</v>
      </c>
      <c r="W30" s="568" t="s">
        <v>224</v>
      </c>
      <c r="X30" s="568" t="s">
        <v>224</v>
      </c>
      <c r="Y30" s="239"/>
      <c r="Z30" s="239"/>
      <c r="AA30" s="239"/>
      <c r="AB30" s="239" t="s">
        <v>90</v>
      </c>
      <c r="AC30" s="7"/>
      <c r="AD30" s="7"/>
      <c r="AE30" s="7">
        <v>0</v>
      </c>
      <c r="AF30" s="7"/>
      <c r="AG30" s="7"/>
      <c r="AH30" s="7"/>
      <c r="AI30" s="7"/>
      <c r="AJ30" s="7"/>
      <c r="AK30" s="273"/>
      <c r="AL30" s="273"/>
      <c r="AM30" s="273"/>
      <c r="AN30" s="7"/>
      <c r="AO30" s="7"/>
      <c r="AP30" s="7"/>
      <c r="AQ30" s="7" t="s">
        <v>225</v>
      </c>
      <c r="AR30" s="283"/>
    </row>
    <row r="31" spans="1:44" ht="15" customHeight="1">
      <c r="A31" s="3">
        <v>1010211</v>
      </c>
      <c r="B31" s="3" t="s">
        <v>176</v>
      </c>
      <c r="C31" s="236" t="s">
        <v>226</v>
      </c>
      <c r="D31" s="3" t="s">
        <v>81</v>
      </c>
      <c r="E31" s="3" t="s">
        <v>79</v>
      </c>
      <c r="F31" s="3">
        <v>8</v>
      </c>
      <c r="G31" s="3">
        <v>1</v>
      </c>
      <c r="H31" s="3" t="s">
        <v>136</v>
      </c>
      <c r="I31" s="3" t="s">
        <v>137</v>
      </c>
      <c r="J31" s="3"/>
      <c r="K31" s="3"/>
      <c r="L31" s="236"/>
      <c r="M31" s="99"/>
      <c r="N31" s="99"/>
      <c r="O31" s="236"/>
      <c r="P31" s="22"/>
      <c r="Q31" s="22">
        <v>0</v>
      </c>
      <c r="R31" s="22" t="s">
        <v>153</v>
      </c>
      <c r="S31" s="3"/>
      <c r="T31" s="260"/>
      <c r="U31" s="261"/>
      <c r="V31" s="22"/>
      <c r="W31" s="567" t="s">
        <v>169</v>
      </c>
      <c r="X31" s="567" t="s">
        <v>6736</v>
      </c>
      <c r="Y31" s="22"/>
      <c r="Z31" s="22"/>
      <c r="AA31" s="22"/>
      <c r="AB31" s="22" t="s">
        <v>114</v>
      </c>
      <c r="AC31" s="3"/>
      <c r="AD31" s="3"/>
      <c r="AE31" s="3">
        <v>0</v>
      </c>
      <c r="AF31" s="3">
        <v>0</v>
      </c>
      <c r="AG31" s="3">
        <v>0</v>
      </c>
      <c r="AH31" s="3"/>
      <c r="AI31" s="3">
        <v>0</v>
      </c>
      <c r="AJ31" s="3">
        <v>0</v>
      </c>
      <c r="AK31" s="3">
        <v>0</v>
      </c>
      <c r="AL31" s="3"/>
      <c r="AM31" s="3"/>
      <c r="AN31" s="3"/>
      <c r="AO31" s="3"/>
      <c r="AP31" s="3"/>
      <c r="AQ31" s="3" t="s">
        <v>205</v>
      </c>
      <c r="AR31" s="281"/>
    </row>
    <row r="32" spans="1:44" ht="15" customHeight="1">
      <c r="A32" s="3">
        <v>1010212</v>
      </c>
      <c r="B32" s="3" t="s">
        <v>176</v>
      </c>
      <c r="C32" s="17" t="s">
        <v>227</v>
      </c>
      <c r="D32" s="3" t="s">
        <v>81</v>
      </c>
      <c r="E32" s="3" t="s">
        <v>79</v>
      </c>
      <c r="F32" s="3">
        <v>9</v>
      </c>
      <c r="G32" s="3">
        <v>1</v>
      </c>
      <c r="H32" s="3" t="s">
        <v>136</v>
      </c>
      <c r="I32" s="3" t="s">
        <v>137</v>
      </c>
      <c r="J32" s="3"/>
      <c r="K32" s="3"/>
      <c r="L32" s="236"/>
      <c r="M32" s="99"/>
      <c r="N32" s="99"/>
      <c r="O32" s="236"/>
      <c r="P32" s="22"/>
      <c r="Q32" s="22">
        <v>0</v>
      </c>
      <c r="R32" s="22" t="s">
        <v>153</v>
      </c>
      <c r="S32" s="3"/>
      <c r="T32" s="260"/>
      <c r="U32" s="261"/>
      <c r="V32" s="22"/>
      <c r="W32" s="569" t="s">
        <v>228</v>
      </c>
      <c r="X32" s="569" t="s">
        <v>6766</v>
      </c>
      <c r="Y32" s="22"/>
      <c r="Z32" s="22"/>
      <c r="AA32" s="22"/>
      <c r="AB32" s="22" t="s">
        <v>114</v>
      </c>
      <c r="AC32" s="3"/>
      <c r="AD32" s="3"/>
      <c r="AE32" s="3">
        <v>0</v>
      </c>
      <c r="AF32" s="3">
        <v>0</v>
      </c>
      <c r="AG32" s="3">
        <v>0</v>
      </c>
      <c r="AH32" s="3"/>
      <c r="AI32" s="3">
        <v>0</v>
      </c>
      <c r="AJ32" s="3">
        <v>0</v>
      </c>
      <c r="AK32" s="3">
        <v>0</v>
      </c>
      <c r="AL32" s="3"/>
      <c r="AM32" s="3"/>
      <c r="AN32" s="3"/>
      <c r="AO32" s="3"/>
      <c r="AP32" s="3"/>
      <c r="AQ32" s="282" t="s">
        <v>229</v>
      </c>
      <c r="AR32" s="281"/>
    </row>
    <row r="33" spans="1:44" ht="15" customHeight="1">
      <c r="A33" s="3">
        <v>1010213</v>
      </c>
      <c r="B33" s="3" t="s">
        <v>176</v>
      </c>
      <c r="C33" s="17" t="s">
        <v>230</v>
      </c>
      <c r="D33" s="3" t="s">
        <v>81</v>
      </c>
      <c r="E33" s="3" t="s">
        <v>79</v>
      </c>
      <c r="F33" s="3">
        <v>10</v>
      </c>
      <c r="G33" s="3">
        <v>1</v>
      </c>
      <c r="H33" s="3" t="s">
        <v>136</v>
      </c>
      <c r="I33" s="3" t="s">
        <v>137</v>
      </c>
      <c r="J33" s="3"/>
      <c r="K33" s="3"/>
      <c r="L33" s="236"/>
      <c r="M33" s="99"/>
      <c r="N33" s="99"/>
      <c r="O33" s="236"/>
      <c r="P33" s="22"/>
      <c r="Q33" s="22">
        <v>0</v>
      </c>
      <c r="R33" s="22" t="s">
        <v>153</v>
      </c>
      <c r="S33" s="3"/>
      <c r="T33" s="260"/>
      <c r="U33" s="261"/>
      <c r="V33" s="22"/>
      <c r="W33" s="570" t="s">
        <v>231</v>
      </c>
      <c r="X33" s="570" t="s">
        <v>232</v>
      </c>
      <c r="Y33" s="22"/>
      <c r="Z33" s="22"/>
      <c r="AA33" s="22"/>
      <c r="AB33" s="22" t="s">
        <v>114</v>
      </c>
      <c r="AC33" s="3"/>
      <c r="AD33" s="3"/>
      <c r="AE33" s="3">
        <v>0</v>
      </c>
      <c r="AF33" s="3">
        <v>0</v>
      </c>
      <c r="AG33" s="3">
        <v>0</v>
      </c>
      <c r="AH33" s="3"/>
      <c r="AI33" s="3">
        <v>0</v>
      </c>
      <c r="AJ33" s="3">
        <v>0</v>
      </c>
      <c r="AK33" s="3">
        <v>0</v>
      </c>
      <c r="AL33" s="3"/>
      <c r="AM33" s="3"/>
      <c r="AN33" s="3"/>
      <c r="AO33" s="3"/>
      <c r="AP33" s="3"/>
      <c r="AQ33" s="282" t="s">
        <v>233</v>
      </c>
      <c r="AR33" s="281"/>
    </row>
    <row r="34" spans="1:44" ht="15" customHeight="1">
      <c r="A34" s="8">
        <v>1010301</v>
      </c>
      <c r="B34" s="8" t="s">
        <v>234</v>
      </c>
      <c r="C34" s="8" t="s">
        <v>235</v>
      </c>
      <c r="D34" s="8" t="s">
        <v>81</v>
      </c>
      <c r="E34" s="8" t="s">
        <v>79</v>
      </c>
      <c r="F34" s="8">
        <v>1</v>
      </c>
      <c r="G34" s="8">
        <v>1</v>
      </c>
      <c r="H34" s="8" t="s">
        <v>82</v>
      </c>
      <c r="I34" s="8" t="s">
        <v>101</v>
      </c>
      <c r="J34" s="8"/>
      <c r="K34" s="8">
        <v>1</v>
      </c>
      <c r="L34" s="240" t="s">
        <v>236</v>
      </c>
      <c r="M34" s="241"/>
      <c r="N34" s="241"/>
      <c r="O34" s="8"/>
      <c r="P34" s="242">
        <v>2</v>
      </c>
      <c r="Q34" s="242">
        <v>0</v>
      </c>
      <c r="R34" s="242" t="s">
        <v>85</v>
      </c>
      <c r="S34" s="8">
        <v>1010301</v>
      </c>
      <c r="T34" s="264">
        <v>0</v>
      </c>
      <c r="U34" s="265" t="s">
        <v>237</v>
      </c>
      <c r="V34" s="242" t="s">
        <v>238</v>
      </c>
      <c r="W34" s="571" t="s">
        <v>239</v>
      </c>
      <c r="X34" s="571" t="s">
        <v>239</v>
      </c>
      <c r="Y34" s="242"/>
      <c r="Z34" s="242"/>
      <c r="AA34" s="242">
        <v>1</v>
      </c>
      <c r="AB34" s="242" t="s">
        <v>90</v>
      </c>
      <c r="AC34" s="8"/>
      <c r="AD34" s="8"/>
      <c r="AE34" s="8">
        <v>1</v>
      </c>
      <c r="AF34" s="8">
        <v>2</v>
      </c>
      <c r="AG34" s="8">
        <v>7</v>
      </c>
      <c r="AH34" s="8"/>
      <c r="AI34" s="8">
        <v>39</v>
      </c>
      <c r="AJ34" s="8">
        <v>26</v>
      </c>
      <c r="AK34" s="274"/>
      <c r="AL34" s="274"/>
      <c r="AM34" s="274"/>
      <c r="AN34" s="275" t="s">
        <v>240</v>
      </c>
      <c r="AO34" s="276" t="s">
        <v>241</v>
      </c>
      <c r="AP34" s="275"/>
      <c r="AQ34" s="8" t="s">
        <v>242</v>
      </c>
      <c r="AR34" s="284">
        <v>224</v>
      </c>
    </row>
    <row r="35" spans="1:44" ht="15" customHeight="1">
      <c r="A35" s="8">
        <v>1010302</v>
      </c>
      <c r="B35" s="8" t="s">
        <v>234</v>
      </c>
      <c r="C35" s="8" t="s">
        <v>243</v>
      </c>
      <c r="D35" s="8" t="s">
        <v>81</v>
      </c>
      <c r="E35" s="8" t="s">
        <v>79</v>
      </c>
      <c r="F35" s="8">
        <v>1</v>
      </c>
      <c r="G35" s="8">
        <v>1</v>
      </c>
      <c r="H35" s="8" t="s">
        <v>136</v>
      </c>
      <c r="I35" s="8" t="s">
        <v>137</v>
      </c>
      <c r="J35" s="8"/>
      <c r="K35" s="8"/>
      <c r="L35" s="243" t="s">
        <v>244</v>
      </c>
      <c r="M35" s="241"/>
      <c r="N35" s="241"/>
      <c r="O35" s="8"/>
      <c r="P35" s="242">
        <v>3</v>
      </c>
      <c r="Q35" s="242">
        <v>0</v>
      </c>
      <c r="R35" s="242" t="s">
        <v>153</v>
      </c>
      <c r="S35" s="8">
        <v>1010302</v>
      </c>
      <c r="T35" s="264">
        <v>0</v>
      </c>
      <c r="U35" s="265"/>
      <c r="V35" s="242" t="s">
        <v>238</v>
      </c>
      <c r="W35" s="572" t="s">
        <v>245</v>
      </c>
      <c r="X35" s="572" t="s">
        <v>245</v>
      </c>
      <c r="Y35" s="242"/>
      <c r="Z35" s="242"/>
      <c r="AA35" s="242">
        <v>1</v>
      </c>
      <c r="AB35" s="242"/>
      <c r="AC35" s="8"/>
      <c r="AD35" s="8"/>
      <c r="AE35" s="8">
        <v>0</v>
      </c>
      <c r="AF35" s="8">
        <v>0</v>
      </c>
      <c r="AG35" s="8">
        <v>0</v>
      </c>
      <c r="AH35" s="8"/>
      <c r="AI35" s="8">
        <v>0</v>
      </c>
      <c r="AJ35" s="8">
        <v>0</v>
      </c>
      <c r="AK35" s="274"/>
      <c r="AL35" s="274"/>
      <c r="AM35" s="274"/>
      <c r="AN35" s="8"/>
      <c r="AO35" s="275"/>
      <c r="AP35" s="275"/>
      <c r="AQ35" s="8" t="s">
        <v>246</v>
      </c>
      <c r="AR35" s="284"/>
    </row>
    <row r="36" spans="1:44" ht="15" customHeight="1">
      <c r="A36" s="8">
        <v>1010303</v>
      </c>
      <c r="B36" s="8" t="s">
        <v>234</v>
      </c>
      <c r="C36" s="8" t="s">
        <v>247</v>
      </c>
      <c r="D36" s="8" t="s">
        <v>81</v>
      </c>
      <c r="E36" s="8" t="s">
        <v>79</v>
      </c>
      <c r="F36" s="8">
        <v>1</v>
      </c>
      <c r="G36" s="8">
        <v>1</v>
      </c>
      <c r="H36" s="8" t="s">
        <v>82</v>
      </c>
      <c r="I36" s="8" t="s">
        <v>101</v>
      </c>
      <c r="J36" s="8"/>
      <c r="K36" s="8">
        <v>2</v>
      </c>
      <c r="L36" s="240" t="s">
        <v>248</v>
      </c>
      <c r="M36" s="241"/>
      <c r="N36" s="241"/>
      <c r="O36" s="8"/>
      <c r="P36" s="242">
        <v>1</v>
      </c>
      <c r="Q36" s="242">
        <v>0</v>
      </c>
      <c r="R36" s="242" t="s">
        <v>153</v>
      </c>
      <c r="S36" s="8">
        <v>1010303</v>
      </c>
      <c r="T36" s="264">
        <v>0</v>
      </c>
      <c r="U36" s="265"/>
      <c r="V36" s="242" t="s">
        <v>238</v>
      </c>
      <c r="W36" s="571" t="s">
        <v>249</v>
      </c>
      <c r="X36" s="571" t="s">
        <v>249</v>
      </c>
      <c r="Y36" s="242"/>
      <c r="Z36" s="242"/>
      <c r="AA36" s="242">
        <v>1</v>
      </c>
      <c r="AB36" s="242" t="s">
        <v>90</v>
      </c>
      <c r="AC36" s="8"/>
      <c r="AD36" s="8"/>
      <c r="AE36" s="8">
        <v>1</v>
      </c>
      <c r="AF36" s="8">
        <v>1</v>
      </c>
      <c r="AG36" s="8">
        <v>4</v>
      </c>
      <c r="AH36" s="8"/>
      <c r="AI36" s="8">
        <v>39</v>
      </c>
      <c r="AJ36" s="8">
        <v>26</v>
      </c>
      <c r="AK36" s="274"/>
      <c r="AL36" s="274"/>
      <c r="AM36" s="274"/>
      <c r="AN36" s="275" t="s">
        <v>250</v>
      </c>
      <c r="AO36" s="275" t="s">
        <v>251</v>
      </c>
      <c r="AP36" s="275"/>
      <c r="AQ36" s="8" t="s">
        <v>252</v>
      </c>
      <c r="AR36" s="284"/>
    </row>
    <row r="37" spans="1:44" ht="15" customHeight="1">
      <c r="A37" s="8">
        <v>1010304</v>
      </c>
      <c r="B37" s="8" t="s">
        <v>234</v>
      </c>
      <c r="C37" s="8" t="s">
        <v>253</v>
      </c>
      <c r="D37" s="8" t="s">
        <v>81</v>
      </c>
      <c r="E37" s="8" t="s">
        <v>79</v>
      </c>
      <c r="F37" s="8">
        <v>2</v>
      </c>
      <c r="G37" s="8">
        <v>1</v>
      </c>
      <c r="H37" s="8" t="s">
        <v>136</v>
      </c>
      <c r="I37" s="8" t="s">
        <v>137</v>
      </c>
      <c r="J37" s="8"/>
      <c r="K37" s="8"/>
      <c r="L37" s="244" t="s">
        <v>254</v>
      </c>
      <c r="M37" s="8"/>
      <c r="N37" s="8"/>
      <c r="O37" s="8"/>
      <c r="P37" s="8"/>
      <c r="Q37" s="242">
        <v>0</v>
      </c>
      <c r="R37" s="242" t="s">
        <v>153</v>
      </c>
      <c r="S37" s="8">
        <v>1010304</v>
      </c>
      <c r="T37" s="266"/>
      <c r="U37" s="267"/>
      <c r="V37" s="242" t="s">
        <v>238</v>
      </c>
      <c r="W37" s="572" t="s">
        <v>255</v>
      </c>
      <c r="X37" s="572" t="s">
        <v>255</v>
      </c>
      <c r="Y37" s="8"/>
      <c r="Z37" s="8"/>
      <c r="AA37" s="242">
        <v>2</v>
      </c>
      <c r="AB37" s="242" t="s">
        <v>114</v>
      </c>
      <c r="AC37" s="8"/>
      <c r="AD37" s="8"/>
      <c r="AE37" s="8">
        <v>0</v>
      </c>
      <c r="AF37" s="8">
        <v>0</v>
      </c>
      <c r="AG37" s="8">
        <v>0</v>
      </c>
      <c r="AH37" s="8"/>
      <c r="AI37" s="8">
        <v>0</v>
      </c>
      <c r="AJ37" s="8">
        <v>0</v>
      </c>
      <c r="AK37" s="274"/>
      <c r="AL37" s="274"/>
      <c r="AM37" s="274"/>
      <c r="AN37" s="275"/>
      <c r="AO37" s="275"/>
      <c r="AP37" s="275"/>
      <c r="AQ37" s="8" t="s">
        <v>256</v>
      </c>
      <c r="AR37" s="284"/>
    </row>
    <row r="38" spans="1:44" ht="15" customHeight="1">
      <c r="A38" s="8">
        <v>1010305</v>
      </c>
      <c r="B38" s="8" t="s">
        <v>234</v>
      </c>
      <c r="C38" s="560" t="s">
        <v>257</v>
      </c>
      <c r="D38" s="8" t="s">
        <v>81</v>
      </c>
      <c r="E38" s="8" t="s">
        <v>79</v>
      </c>
      <c r="F38" s="8">
        <v>1</v>
      </c>
      <c r="G38" s="8">
        <v>1</v>
      </c>
      <c r="H38" s="8" t="s">
        <v>82</v>
      </c>
      <c r="I38" s="8" t="s">
        <v>101</v>
      </c>
      <c r="J38" s="8"/>
      <c r="K38" s="8">
        <v>3</v>
      </c>
      <c r="L38" s="240" t="s">
        <v>258</v>
      </c>
      <c r="M38" s="241"/>
      <c r="N38" s="241"/>
      <c r="O38" s="8"/>
      <c r="P38" s="242">
        <v>2</v>
      </c>
      <c r="Q38" s="242">
        <v>0</v>
      </c>
      <c r="R38" s="242" t="s">
        <v>85</v>
      </c>
      <c r="S38" s="8">
        <v>1010305</v>
      </c>
      <c r="T38" s="264"/>
      <c r="U38" s="265" t="s">
        <v>259</v>
      </c>
      <c r="V38" s="242" t="s">
        <v>238</v>
      </c>
      <c r="W38" s="573" t="s">
        <v>260</v>
      </c>
      <c r="X38" s="573" t="s">
        <v>260</v>
      </c>
      <c r="Y38" s="242"/>
      <c r="Z38" s="242"/>
      <c r="AA38" s="242">
        <v>2</v>
      </c>
      <c r="AB38" s="242" t="s">
        <v>90</v>
      </c>
      <c r="AC38" s="8"/>
      <c r="AD38" s="8"/>
      <c r="AE38" s="8">
        <v>1</v>
      </c>
      <c r="AF38" s="8">
        <v>1</v>
      </c>
      <c r="AG38" s="8">
        <v>5</v>
      </c>
      <c r="AH38" s="8"/>
      <c r="AI38" s="8">
        <v>39</v>
      </c>
      <c r="AJ38" s="8">
        <v>26</v>
      </c>
      <c r="AK38" s="274"/>
      <c r="AL38" s="274"/>
      <c r="AM38" s="274"/>
      <c r="AN38" s="275" t="s">
        <v>261</v>
      </c>
      <c r="AO38" s="275" t="s">
        <v>262</v>
      </c>
      <c r="AP38" s="275"/>
      <c r="AQ38" s="8" t="s">
        <v>263</v>
      </c>
      <c r="AR38" s="284">
        <v>225</v>
      </c>
    </row>
    <row r="39" spans="1:44" ht="15" customHeight="1">
      <c r="A39" s="8">
        <v>1010306</v>
      </c>
      <c r="B39" s="8" t="s">
        <v>234</v>
      </c>
      <c r="C39" s="560" t="s">
        <v>264</v>
      </c>
      <c r="D39" s="8" t="s">
        <v>81</v>
      </c>
      <c r="E39" s="8" t="s">
        <v>79</v>
      </c>
      <c r="F39" s="8">
        <v>3</v>
      </c>
      <c r="G39" s="8">
        <v>1</v>
      </c>
      <c r="H39" s="8" t="s">
        <v>136</v>
      </c>
      <c r="I39" s="8" t="s">
        <v>137</v>
      </c>
      <c r="J39" s="8"/>
      <c r="K39" s="8"/>
      <c r="L39" s="243" t="s">
        <v>265</v>
      </c>
      <c r="M39" s="241"/>
      <c r="N39" s="241"/>
      <c r="O39" s="8"/>
      <c r="P39" s="242"/>
      <c r="Q39" s="242">
        <v>0</v>
      </c>
      <c r="R39" s="242" t="s">
        <v>153</v>
      </c>
      <c r="S39" s="8">
        <v>1010306</v>
      </c>
      <c r="T39" s="264"/>
      <c r="U39" s="265"/>
      <c r="V39" s="242" t="s">
        <v>238</v>
      </c>
      <c r="W39" s="574" t="s">
        <v>266</v>
      </c>
      <c r="X39" s="574" t="s">
        <v>266</v>
      </c>
      <c r="Y39" s="242"/>
      <c r="Z39" s="242"/>
      <c r="AA39" s="242"/>
      <c r="AB39" s="242" t="s">
        <v>114</v>
      </c>
      <c r="AC39" s="8"/>
      <c r="AD39" s="8"/>
      <c r="AE39" s="8">
        <v>0</v>
      </c>
      <c r="AF39" s="8">
        <v>0</v>
      </c>
      <c r="AG39" s="8">
        <v>10</v>
      </c>
      <c r="AH39" s="8"/>
      <c r="AI39" s="8">
        <v>0</v>
      </c>
      <c r="AJ39" s="8">
        <v>0</v>
      </c>
      <c r="AK39" s="274"/>
      <c r="AL39" s="274"/>
      <c r="AM39" s="274"/>
      <c r="AN39" s="8"/>
      <c r="AO39" s="8"/>
      <c r="AP39" s="8"/>
      <c r="AQ39" s="8" t="s">
        <v>267</v>
      </c>
      <c r="AR39" s="284"/>
    </row>
    <row r="40" spans="1:44" ht="15" customHeight="1">
      <c r="A40" s="8">
        <v>1010307</v>
      </c>
      <c r="B40" s="8" t="s">
        <v>234</v>
      </c>
      <c r="C40" s="8" t="s">
        <v>268</v>
      </c>
      <c r="D40" s="8" t="s">
        <v>81</v>
      </c>
      <c r="E40" s="8" t="s">
        <v>79</v>
      </c>
      <c r="F40" s="8">
        <v>4</v>
      </c>
      <c r="G40" s="8">
        <v>1</v>
      </c>
      <c r="H40" s="8" t="s">
        <v>136</v>
      </c>
      <c r="I40" s="8" t="s">
        <v>137</v>
      </c>
      <c r="J40" s="8"/>
      <c r="K40" s="8"/>
      <c r="L40" s="244" t="s">
        <v>269</v>
      </c>
      <c r="M40" s="241"/>
      <c r="N40" s="241"/>
      <c r="O40" s="8"/>
      <c r="P40" s="242"/>
      <c r="Q40" s="242">
        <v>0</v>
      </c>
      <c r="R40" s="242" t="s">
        <v>153</v>
      </c>
      <c r="S40" s="8">
        <v>1010307</v>
      </c>
      <c r="T40" s="264"/>
      <c r="U40" s="265"/>
      <c r="V40" s="242" t="s">
        <v>238</v>
      </c>
      <c r="W40" s="572" t="s">
        <v>270</v>
      </c>
      <c r="X40" s="572" t="s">
        <v>270</v>
      </c>
      <c r="Y40" s="242"/>
      <c r="Z40" s="242"/>
      <c r="AA40" s="242"/>
      <c r="AB40" s="242" t="s">
        <v>90</v>
      </c>
      <c r="AC40" s="8"/>
      <c r="AD40" s="8"/>
      <c r="AE40" s="8">
        <v>0</v>
      </c>
      <c r="AF40" s="8">
        <v>0</v>
      </c>
      <c r="AG40" s="8">
        <v>0</v>
      </c>
      <c r="AH40" s="8"/>
      <c r="AI40" s="8">
        <v>0</v>
      </c>
      <c r="AJ40" s="8">
        <v>0</v>
      </c>
      <c r="AK40" s="274"/>
      <c r="AL40" s="274"/>
      <c r="AM40" s="274"/>
      <c r="AN40" s="8"/>
      <c r="AO40" s="8"/>
      <c r="AP40" s="8"/>
      <c r="AQ40" s="8" t="s">
        <v>271</v>
      </c>
      <c r="AR40" s="284"/>
    </row>
    <row r="41" spans="1:44" ht="15" customHeight="1">
      <c r="A41" s="8">
        <v>1010308</v>
      </c>
      <c r="B41" s="8" t="s">
        <v>234</v>
      </c>
      <c r="C41" s="8" t="s">
        <v>272</v>
      </c>
      <c r="D41" s="8" t="s">
        <v>81</v>
      </c>
      <c r="E41" s="8" t="s">
        <v>79</v>
      </c>
      <c r="F41" s="8">
        <v>5</v>
      </c>
      <c r="G41" s="8">
        <v>1</v>
      </c>
      <c r="H41" s="8" t="s">
        <v>136</v>
      </c>
      <c r="I41" s="8" t="s">
        <v>137</v>
      </c>
      <c r="J41" s="8"/>
      <c r="K41" s="8"/>
      <c r="L41" s="243" t="s">
        <v>273</v>
      </c>
      <c r="M41" s="241"/>
      <c r="N41" s="241"/>
      <c r="O41" s="8"/>
      <c r="P41" s="242"/>
      <c r="Q41" s="242">
        <v>0</v>
      </c>
      <c r="R41" s="242" t="s">
        <v>153</v>
      </c>
      <c r="S41" s="8">
        <v>1010308</v>
      </c>
      <c r="T41" s="264"/>
      <c r="U41" s="265"/>
      <c r="V41" s="242" t="s">
        <v>238</v>
      </c>
      <c r="W41" s="572" t="s">
        <v>274</v>
      </c>
      <c r="X41" s="572" t="s">
        <v>274</v>
      </c>
      <c r="Y41" s="242"/>
      <c r="Z41" s="242"/>
      <c r="AA41" s="242"/>
      <c r="AB41" s="242" t="s">
        <v>114</v>
      </c>
      <c r="AC41" s="8"/>
      <c r="AD41" s="8"/>
      <c r="AE41" s="8">
        <v>0</v>
      </c>
      <c r="AF41" s="8">
        <v>0</v>
      </c>
      <c r="AG41" s="8">
        <v>0</v>
      </c>
      <c r="AH41" s="8"/>
      <c r="AI41" s="8">
        <v>0</v>
      </c>
      <c r="AJ41" s="8">
        <v>0</v>
      </c>
      <c r="AK41" s="274"/>
      <c r="AL41" s="274"/>
      <c r="AM41" s="274"/>
      <c r="AN41" s="8"/>
      <c r="AO41" s="8"/>
      <c r="AP41" s="8"/>
      <c r="AQ41" s="8" t="s">
        <v>275</v>
      </c>
      <c r="AR41" s="284"/>
    </row>
    <row r="42" spans="1:44" ht="15" customHeight="1">
      <c r="A42" s="8">
        <v>1010309</v>
      </c>
      <c r="B42" s="8" t="s">
        <v>234</v>
      </c>
      <c r="C42" s="561" t="s">
        <v>276</v>
      </c>
      <c r="D42" s="8" t="s">
        <v>81</v>
      </c>
      <c r="E42" s="8" t="s">
        <v>79</v>
      </c>
      <c r="F42" s="8">
        <v>6</v>
      </c>
      <c r="G42" s="8">
        <v>1</v>
      </c>
      <c r="H42" s="8" t="s">
        <v>136</v>
      </c>
      <c r="I42" s="8" t="s">
        <v>137</v>
      </c>
      <c r="J42" s="8"/>
      <c r="K42" s="8"/>
      <c r="L42" s="243" t="s">
        <v>277</v>
      </c>
      <c r="M42" s="241"/>
      <c r="N42" s="241"/>
      <c r="O42" s="8"/>
      <c r="P42" s="242"/>
      <c r="Q42" s="242">
        <v>0</v>
      </c>
      <c r="R42" s="242" t="s">
        <v>153</v>
      </c>
      <c r="S42" s="8">
        <v>1010309</v>
      </c>
      <c r="T42" s="264"/>
      <c r="U42" s="265"/>
      <c r="V42" s="242" t="s">
        <v>238</v>
      </c>
      <c r="W42" s="572" t="s">
        <v>278</v>
      </c>
      <c r="X42" s="572" t="s">
        <v>278</v>
      </c>
      <c r="Y42" s="242"/>
      <c r="Z42" s="242"/>
      <c r="AA42" s="242"/>
      <c r="AB42" s="242"/>
      <c r="AC42" s="8"/>
      <c r="AD42" s="8"/>
      <c r="AE42" s="8">
        <v>0</v>
      </c>
      <c r="AF42" s="8">
        <v>0</v>
      </c>
      <c r="AG42" s="8">
        <v>0</v>
      </c>
      <c r="AH42" s="8"/>
      <c r="AI42" s="8">
        <v>0</v>
      </c>
      <c r="AJ42" s="8">
        <v>0</v>
      </c>
      <c r="AK42" s="274"/>
      <c r="AL42" s="274"/>
      <c r="AM42" s="274"/>
      <c r="AN42" s="8"/>
      <c r="AO42" s="8"/>
      <c r="AP42" s="8"/>
      <c r="AQ42" s="8" t="s">
        <v>279</v>
      </c>
      <c r="AR42" s="284"/>
    </row>
    <row r="43" spans="1:44" ht="15" customHeight="1">
      <c r="A43" s="8">
        <v>1010310</v>
      </c>
      <c r="B43" s="8" t="s">
        <v>234</v>
      </c>
      <c r="C43" s="8" t="s">
        <v>280</v>
      </c>
      <c r="D43" s="8" t="s">
        <v>81</v>
      </c>
      <c r="E43" s="8" t="s">
        <v>79</v>
      </c>
      <c r="F43" s="8">
        <v>7</v>
      </c>
      <c r="G43" s="8">
        <v>1</v>
      </c>
      <c r="H43" s="8" t="s">
        <v>136</v>
      </c>
      <c r="I43" s="8" t="s">
        <v>137</v>
      </c>
      <c r="J43" s="8"/>
      <c r="K43" s="8"/>
      <c r="L43" s="245" t="s">
        <v>281</v>
      </c>
      <c r="M43" s="241"/>
      <c r="N43" s="241"/>
      <c r="O43" s="8"/>
      <c r="P43" s="242"/>
      <c r="Q43" s="242">
        <v>0</v>
      </c>
      <c r="R43" s="242" t="s">
        <v>153</v>
      </c>
      <c r="S43" s="8">
        <v>1010310</v>
      </c>
      <c r="T43" s="264"/>
      <c r="U43" s="265"/>
      <c r="V43" s="242" t="s">
        <v>238</v>
      </c>
      <c r="W43" s="575" t="s">
        <v>282</v>
      </c>
      <c r="X43" s="575" t="s">
        <v>282</v>
      </c>
      <c r="Y43" s="242"/>
      <c r="Z43" s="242"/>
      <c r="AA43" s="242"/>
      <c r="AB43" s="242" t="s">
        <v>90</v>
      </c>
      <c r="AC43" s="8"/>
      <c r="AD43" s="8"/>
      <c r="AE43" s="8">
        <v>0</v>
      </c>
      <c r="AF43" s="8">
        <v>0</v>
      </c>
      <c r="AG43" s="8">
        <v>0</v>
      </c>
      <c r="AH43" s="8"/>
      <c r="AI43" s="8">
        <v>0</v>
      </c>
      <c r="AJ43" s="8">
        <v>0</v>
      </c>
      <c r="AK43" s="274"/>
      <c r="AL43" s="274"/>
      <c r="AM43" s="274"/>
      <c r="AN43" s="8"/>
      <c r="AO43" s="8"/>
      <c r="AP43" s="8"/>
      <c r="AQ43" s="8" t="s">
        <v>283</v>
      </c>
      <c r="AR43" s="284"/>
    </row>
    <row r="44" spans="1:44" ht="15" customHeight="1">
      <c r="A44" s="3">
        <v>1010311</v>
      </c>
      <c r="B44" s="3" t="s">
        <v>234</v>
      </c>
      <c r="C44" s="236" t="s">
        <v>284</v>
      </c>
      <c r="D44" s="3" t="s">
        <v>81</v>
      </c>
      <c r="E44" s="3" t="s">
        <v>79</v>
      </c>
      <c r="F44" s="3">
        <v>8</v>
      </c>
      <c r="G44" s="3">
        <v>1</v>
      </c>
      <c r="H44" s="3" t="s">
        <v>136</v>
      </c>
      <c r="I44" s="3" t="s">
        <v>137</v>
      </c>
      <c r="J44" s="3"/>
      <c r="K44" s="3"/>
      <c r="L44" s="236"/>
      <c r="M44" s="99"/>
      <c r="N44" s="99"/>
      <c r="O44" s="236"/>
      <c r="P44" s="22"/>
      <c r="Q44" s="22">
        <v>0</v>
      </c>
      <c r="R44" s="22" t="s">
        <v>153</v>
      </c>
      <c r="S44" s="3"/>
      <c r="T44" s="260"/>
      <c r="U44" s="261"/>
      <c r="V44" s="22"/>
      <c r="W44" s="576" t="s">
        <v>285</v>
      </c>
      <c r="X44" s="576" t="s">
        <v>6732</v>
      </c>
      <c r="Y44" s="22"/>
      <c r="Z44" s="22"/>
      <c r="AA44" s="22"/>
      <c r="AB44" s="22" t="s">
        <v>114</v>
      </c>
      <c r="AC44" s="3"/>
      <c r="AD44" s="3"/>
      <c r="AE44" s="3">
        <v>0</v>
      </c>
      <c r="AF44" s="3">
        <v>0</v>
      </c>
      <c r="AG44" s="3">
        <v>0</v>
      </c>
      <c r="AH44" s="3"/>
      <c r="AI44" s="3">
        <v>0</v>
      </c>
      <c r="AJ44" s="3">
        <v>0</v>
      </c>
      <c r="AK44" s="3">
        <v>0</v>
      </c>
      <c r="AL44" s="3"/>
      <c r="AM44" s="3"/>
      <c r="AN44" s="3"/>
      <c r="AO44" s="3"/>
      <c r="AP44" s="3"/>
      <c r="AQ44" s="3" t="s">
        <v>263</v>
      </c>
      <c r="AR44" s="281"/>
    </row>
    <row r="45" spans="1:44" ht="14.4" customHeight="1">
      <c r="A45" s="3">
        <v>1010312</v>
      </c>
      <c r="B45" s="3" t="s">
        <v>234</v>
      </c>
      <c r="C45" s="236" t="s">
        <v>286</v>
      </c>
      <c r="D45" s="3" t="s">
        <v>81</v>
      </c>
      <c r="E45" s="3" t="s">
        <v>79</v>
      </c>
      <c r="F45" s="3">
        <v>9</v>
      </c>
      <c r="G45" s="3">
        <v>1</v>
      </c>
      <c r="H45" s="3" t="s">
        <v>136</v>
      </c>
      <c r="I45" s="3" t="s">
        <v>137</v>
      </c>
      <c r="J45" s="3"/>
      <c r="K45" s="3"/>
      <c r="L45" s="236"/>
      <c r="M45" s="99"/>
      <c r="N45" s="99"/>
      <c r="O45" s="236"/>
      <c r="P45" s="22"/>
      <c r="Q45" s="22">
        <v>0</v>
      </c>
      <c r="R45" s="22" t="s">
        <v>153</v>
      </c>
      <c r="S45" s="3"/>
      <c r="T45" s="260"/>
      <c r="U45" s="261"/>
      <c r="V45" s="22"/>
      <c r="W45" s="567" t="s">
        <v>287</v>
      </c>
      <c r="X45" s="567" t="s">
        <v>6765</v>
      </c>
      <c r="Y45" s="22"/>
      <c r="Z45" s="22"/>
      <c r="AA45" s="22"/>
      <c r="AB45" s="22" t="s">
        <v>114</v>
      </c>
      <c r="AC45" s="3"/>
      <c r="AD45" s="3"/>
      <c r="AE45" s="3">
        <v>0</v>
      </c>
      <c r="AF45" s="3">
        <v>0</v>
      </c>
      <c r="AG45" s="3">
        <v>0</v>
      </c>
      <c r="AH45" s="3"/>
      <c r="AI45" s="3">
        <v>0</v>
      </c>
      <c r="AJ45" s="3">
        <v>0</v>
      </c>
      <c r="AK45" s="3">
        <v>0</v>
      </c>
      <c r="AL45" s="3"/>
      <c r="AM45" s="3"/>
      <c r="AN45" s="3"/>
      <c r="AO45" s="3"/>
      <c r="AP45" s="3"/>
      <c r="AQ45" s="282" t="s">
        <v>288</v>
      </c>
      <c r="AR45" s="281"/>
    </row>
    <row r="46" spans="1:44" ht="15" customHeight="1">
      <c r="A46" s="3">
        <v>1010313</v>
      </c>
      <c r="B46" s="3" t="s">
        <v>234</v>
      </c>
      <c r="C46" s="236" t="s">
        <v>289</v>
      </c>
      <c r="D46" s="3" t="s">
        <v>81</v>
      </c>
      <c r="E46" s="3" t="s">
        <v>79</v>
      </c>
      <c r="F46" s="3">
        <v>10</v>
      </c>
      <c r="G46" s="3">
        <v>1</v>
      </c>
      <c r="H46" s="3" t="s">
        <v>136</v>
      </c>
      <c r="I46" s="3" t="s">
        <v>137</v>
      </c>
      <c r="J46" s="3"/>
      <c r="K46" s="3"/>
      <c r="L46" s="246"/>
      <c r="M46" s="99"/>
      <c r="N46" s="99"/>
      <c r="O46" s="236"/>
      <c r="P46" s="22"/>
      <c r="Q46" s="22">
        <v>0</v>
      </c>
      <c r="R46" s="22" t="s">
        <v>153</v>
      </c>
      <c r="S46" s="3"/>
      <c r="T46" s="260"/>
      <c r="U46" s="261"/>
      <c r="V46" s="22"/>
      <c r="W46" s="577" t="s">
        <v>290</v>
      </c>
      <c r="X46" s="577" t="s">
        <v>290</v>
      </c>
      <c r="Y46" s="22"/>
      <c r="Z46" s="22"/>
      <c r="AA46" s="22"/>
      <c r="AB46" s="22" t="s">
        <v>114</v>
      </c>
      <c r="AC46" s="3"/>
      <c r="AD46" s="3"/>
      <c r="AE46" s="3">
        <v>0</v>
      </c>
      <c r="AF46" s="3">
        <v>0</v>
      </c>
      <c r="AG46" s="3">
        <v>0</v>
      </c>
      <c r="AH46" s="3"/>
      <c r="AI46" s="3">
        <v>0</v>
      </c>
      <c r="AJ46" s="3">
        <v>0</v>
      </c>
      <c r="AK46" s="3">
        <v>0</v>
      </c>
      <c r="AL46" s="3"/>
      <c r="AM46" s="3"/>
      <c r="AN46" s="3"/>
      <c r="AO46" s="3"/>
      <c r="AP46" s="3"/>
      <c r="AQ46" s="282" t="s">
        <v>291</v>
      </c>
      <c r="AR46" s="281"/>
    </row>
    <row r="47" spans="1:44" ht="15" customHeight="1">
      <c r="A47" s="8">
        <v>1010401</v>
      </c>
      <c r="B47" s="561" t="s">
        <v>292</v>
      </c>
      <c r="C47" s="561" t="s">
        <v>293</v>
      </c>
      <c r="D47" s="8" t="s">
        <v>81</v>
      </c>
      <c r="E47" s="8" t="s">
        <v>79</v>
      </c>
      <c r="F47" s="8">
        <v>1</v>
      </c>
      <c r="G47" s="8">
        <v>1</v>
      </c>
      <c r="H47" s="8" t="s">
        <v>82</v>
      </c>
      <c r="I47" s="8" t="s">
        <v>101</v>
      </c>
      <c r="J47" s="8"/>
      <c r="K47" s="8">
        <v>1</v>
      </c>
      <c r="L47" s="240" t="s">
        <v>236</v>
      </c>
      <c r="M47" s="241"/>
      <c r="N47" s="241"/>
      <c r="O47" s="8"/>
      <c r="P47" s="242">
        <v>2</v>
      </c>
      <c r="Q47" s="242">
        <v>0</v>
      </c>
      <c r="R47" s="242" t="s">
        <v>85</v>
      </c>
      <c r="S47" s="8">
        <v>1010301</v>
      </c>
      <c r="T47" s="264">
        <v>0</v>
      </c>
      <c r="U47" s="265" t="s">
        <v>294</v>
      </c>
      <c r="V47" s="242" t="s">
        <v>238</v>
      </c>
      <c r="W47" s="573" t="s">
        <v>295</v>
      </c>
      <c r="X47" s="573" t="s">
        <v>295</v>
      </c>
      <c r="Y47" s="242"/>
      <c r="Z47" s="242"/>
      <c r="AA47" s="242">
        <v>1</v>
      </c>
      <c r="AB47" s="242" t="s">
        <v>90</v>
      </c>
      <c r="AC47" s="8"/>
      <c r="AD47" s="8"/>
      <c r="AE47" s="8">
        <v>1</v>
      </c>
      <c r="AF47" s="8">
        <v>2</v>
      </c>
      <c r="AG47" s="8">
        <v>7</v>
      </c>
      <c r="AH47" s="8"/>
      <c r="AI47" s="8">
        <v>39</v>
      </c>
      <c r="AJ47" s="8">
        <v>26</v>
      </c>
      <c r="AK47" s="274"/>
      <c r="AL47" s="274"/>
      <c r="AM47" s="274"/>
      <c r="AN47" s="275" t="s">
        <v>296</v>
      </c>
      <c r="AO47" s="275"/>
      <c r="AP47" s="275"/>
      <c r="AQ47" s="8" t="str">
        <f>"tricks/"&amp;A47</f>
        <v>tricks/1010401</v>
      </c>
      <c r="AR47" s="284">
        <v>366</v>
      </c>
    </row>
    <row r="48" spans="1:44" ht="15" customHeight="1">
      <c r="A48" s="8">
        <v>1010402</v>
      </c>
      <c r="B48" s="8" t="s">
        <v>292</v>
      </c>
      <c r="C48" s="561" t="s">
        <v>297</v>
      </c>
      <c r="D48" s="8" t="s">
        <v>81</v>
      </c>
      <c r="E48" s="8" t="s">
        <v>79</v>
      </c>
      <c r="F48" s="8">
        <v>1</v>
      </c>
      <c r="G48" s="8">
        <v>1</v>
      </c>
      <c r="H48" s="8" t="s">
        <v>136</v>
      </c>
      <c r="I48" s="8" t="s">
        <v>137</v>
      </c>
      <c r="J48" s="8"/>
      <c r="K48" s="8"/>
      <c r="L48" s="243" t="s">
        <v>244</v>
      </c>
      <c r="M48" s="241"/>
      <c r="N48" s="241"/>
      <c r="O48" s="8"/>
      <c r="P48" s="242">
        <v>3</v>
      </c>
      <c r="Q48" s="242">
        <v>0</v>
      </c>
      <c r="R48" s="242" t="s">
        <v>153</v>
      </c>
      <c r="S48" s="8">
        <v>1010302</v>
      </c>
      <c r="T48" s="264">
        <v>0</v>
      </c>
      <c r="U48" s="265"/>
      <c r="V48" s="242" t="s">
        <v>238</v>
      </c>
      <c r="W48" s="572" t="s">
        <v>298</v>
      </c>
      <c r="X48" s="572" t="s">
        <v>298</v>
      </c>
      <c r="Y48" s="242"/>
      <c r="Z48" s="242"/>
      <c r="AA48" s="242">
        <v>1</v>
      </c>
      <c r="AB48" s="242"/>
      <c r="AC48" s="8"/>
      <c r="AD48" s="8"/>
      <c r="AE48" s="8">
        <v>0</v>
      </c>
      <c r="AF48" s="8">
        <v>0</v>
      </c>
      <c r="AG48" s="8">
        <v>0</v>
      </c>
      <c r="AH48" s="8"/>
      <c r="AI48" s="8">
        <v>0</v>
      </c>
      <c r="AJ48" s="8">
        <v>0</v>
      </c>
      <c r="AK48" s="274"/>
      <c r="AL48" s="274"/>
      <c r="AM48" s="274"/>
      <c r="AN48" s="8"/>
      <c r="AO48" s="275"/>
      <c r="AP48" s="275"/>
      <c r="AQ48" s="8" t="str">
        <f t="shared" ref="AQ48:AQ59" si="0">"tricks/"&amp;A48</f>
        <v>tricks/1010402</v>
      </c>
      <c r="AR48" s="284"/>
    </row>
    <row r="49" spans="1:44" ht="15" customHeight="1">
      <c r="A49" s="8">
        <v>1010403</v>
      </c>
      <c r="B49" s="8" t="s">
        <v>292</v>
      </c>
      <c r="C49" s="561" t="s">
        <v>299</v>
      </c>
      <c r="D49" s="8" t="s">
        <v>81</v>
      </c>
      <c r="E49" s="8" t="s">
        <v>79</v>
      </c>
      <c r="F49" s="8">
        <v>1</v>
      </c>
      <c r="G49" s="8">
        <v>1</v>
      </c>
      <c r="H49" s="8" t="s">
        <v>82</v>
      </c>
      <c r="I49" s="8" t="s">
        <v>101</v>
      </c>
      <c r="J49" s="8"/>
      <c r="K49" s="8">
        <v>2</v>
      </c>
      <c r="L49" s="247" t="s">
        <v>248</v>
      </c>
      <c r="M49" s="241"/>
      <c r="N49" s="241"/>
      <c r="O49" s="8"/>
      <c r="P49" s="242">
        <v>1</v>
      </c>
      <c r="Q49" s="242">
        <v>0</v>
      </c>
      <c r="R49" s="242" t="s">
        <v>85</v>
      </c>
      <c r="S49" s="8">
        <v>1010303</v>
      </c>
      <c r="T49" s="264">
        <v>0</v>
      </c>
      <c r="U49" s="265" t="s">
        <v>300</v>
      </c>
      <c r="V49" s="242" t="s">
        <v>238</v>
      </c>
      <c r="W49" s="578" t="s">
        <v>301</v>
      </c>
      <c r="X49" s="578" t="s">
        <v>301</v>
      </c>
      <c r="Y49" s="242"/>
      <c r="Z49" s="242"/>
      <c r="AA49" s="242">
        <v>1</v>
      </c>
      <c r="AB49" s="242" t="s">
        <v>90</v>
      </c>
      <c r="AC49" s="8"/>
      <c r="AD49" s="8"/>
      <c r="AE49" s="8">
        <v>1</v>
      </c>
      <c r="AF49" s="8">
        <v>1</v>
      </c>
      <c r="AG49" s="8">
        <v>4</v>
      </c>
      <c r="AH49" s="8"/>
      <c r="AI49" s="8">
        <v>39</v>
      </c>
      <c r="AJ49" s="8">
        <v>26</v>
      </c>
      <c r="AK49" s="274"/>
      <c r="AL49" s="274"/>
      <c r="AM49" s="274"/>
      <c r="AN49" s="276" t="s">
        <v>302</v>
      </c>
      <c r="AO49" s="275"/>
      <c r="AP49" s="275"/>
      <c r="AQ49" s="8" t="str">
        <f t="shared" si="0"/>
        <v>tricks/1010403</v>
      </c>
      <c r="AR49" s="284">
        <v>367</v>
      </c>
    </row>
    <row r="50" spans="1:44" ht="15" customHeight="1">
      <c r="A50" s="8">
        <v>1010404</v>
      </c>
      <c r="B50" s="8" t="s">
        <v>292</v>
      </c>
      <c r="C50" s="561" t="s">
        <v>303</v>
      </c>
      <c r="D50" s="8" t="s">
        <v>81</v>
      </c>
      <c r="E50" s="8" t="s">
        <v>79</v>
      </c>
      <c r="F50" s="8">
        <v>2</v>
      </c>
      <c r="G50" s="8">
        <v>1</v>
      </c>
      <c r="H50" s="8" t="s">
        <v>136</v>
      </c>
      <c r="I50" s="8" t="s">
        <v>137</v>
      </c>
      <c r="J50" s="8"/>
      <c r="K50" s="8"/>
      <c r="L50" s="244" t="s">
        <v>254</v>
      </c>
      <c r="M50" s="8"/>
      <c r="N50" s="8"/>
      <c r="O50" s="8"/>
      <c r="P50" s="8"/>
      <c r="Q50" s="242">
        <v>0</v>
      </c>
      <c r="R50" s="242" t="s">
        <v>153</v>
      </c>
      <c r="S50" s="8">
        <v>1010304</v>
      </c>
      <c r="T50" s="266"/>
      <c r="U50" s="267"/>
      <c r="V50" s="242" t="s">
        <v>238</v>
      </c>
      <c r="W50" s="572" t="s">
        <v>304</v>
      </c>
      <c r="X50" s="572" t="s">
        <v>304</v>
      </c>
      <c r="Y50" s="8"/>
      <c r="Z50" s="8"/>
      <c r="AA50" s="242">
        <v>2</v>
      </c>
      <c r="AB50" s="242" t="s">
        <v>114</v>
      </c>
      <c r="AC50" s="8"/>
      <c r="AD50" s="8"/>
      <c r="AE50" s="8">
        <v>0</v>
      </c>
      <c r="AF50" s="8">
        <v>0</v>
      </c>
      <c r="AG50" s="8">
        <v>0</v>
      </c>
      <c r="AH50" s="8"/>
      <c r="AI50" s="8">
        <v>0</v>
      </c>
      <c r="AJ50" s="8">
        <v>0</v>
      </c>
      <c r="AK50" s="274"/>
      <c r="AL50" s="274"/>
      <c r="AM50" s="274"/>
      <c r="AN50" s="275"/>
      <c r="AO50" s="275"/>
      <c r="AP50" s="275"/>
      <c r="AQ50" s="8" t="str">
        <f t="shared" si="0"/>
        <v>tricks/1010404</v>
      </c>
      <c r="AR50" s="284"/>
    </row>
    <row r="51" spans="1:44" ht="15" customHeight="1">
      <c r="A51" s="8">
        <v>1010405</v>
      </c>
      <c r="B51" s="8" t="s">
        <v>292</v>
      </c>
      <c r="C51" s="561" t="s">
        <v>305</v>
      </c>
      <c r="D51" s="8" t="s">
        <v>81</v>
      </c>
      <c r="E51" s="8" t="s">
        <v>79</v>
      </c>
      <c r="F51" s="8">
        <v>1</v>
      </c>
      <c r="G51" s="8">
        <v>1</v>
      </c>
      <c r="H51" s="8" t="s">
        <v>82</v>
      </c>
      <c r="I51" s="8" t="s">
        <v>101</v>
      </c>
      <c r="J51" s="8"/>
      <c r="K51" s="8">
        <v>3</v>
      </c>
      <c r="L51" s="240" t="s">
        <v>258</v>
      </c>
      <c r="M51" s="241"/>
      <c r="N51" s="241"/>
      <c r="O51" s="8"/>
      <c r="P51" s="242">
        <v>2</v>
      </c>
      <c r="Q51" s="242">
        <v>0</v>
      </c>
      <c r="R51" s="242" t="s">
        <v>85</v>
      </c>
      <c r="S51" s="8">
        <v>1010305</v>
      </c>
      <c r="T51" s="264"/>
      <c r="U51" s="265" t="s">
        <v>306</v>
      </c>
      <c r="V51" s="242" t="s">
        <v>238</v>
      </c>
      <c r="W51" s="571" t="s">
        <v>307</v>
      </c>
      <c r="X51" s="571" t="s">
        <v>307</v>
      </c>
      <c r="Y51" s="242"/>
      <c r="Z51" s="242"/>
      <c r="AA51" s="242">
        <v>2</v>
      </c>
      <c r="AB51" s="242" t="s">
        <v>90</v>
      </c>
      <c r="AC51" s="8"/>
      <c r="AD51" s="8"/>
      <c r="AE51" s="8">
        <v>1</v>
      </c>
      <c r="AF51" s="8">
        <v>1</v>
      </c>
      <c r="AG51" s="8">
        <v>5</v>
      </c>
      <c r="AH51" s="8"/>
      <c r="AI51" s="8">
        <v>39</v>
      </c>
      <c r="AJ51" s="8">
        <v>26</v>
      </c>
      <c r="AK51" s="274"/>
      <c r="AL51" s="274"/>
      <c r="AM51" s="274"/>
      <c r="AN51" s="276" t="s">
        <v>308</v>
      </c>
      <c r="AO51" s="275"/>
      <c r="AP51" s="275"/>
      <c r="AQ51" s="8" t="str">
        <f t="shared" si="0"/>
        <v>tricks/1010405</v>
      </c>
      <c r="AR51" s="284">
        <v>368</v>
      </c>
    </row>
    <row r="52" spans="1:44" ht="15" customHeight="1">
      <c r="A52" s="8">
        <v>1010406</v>
      </c>
      <c r="B52" s="8" t="s">
        <v>292</v>
      </c>
      <c r="C52" s="561" t="s">
        <v>309</v>
      </c>
      <c r="D52" s="8" t="s">
        <v>81</v>
      </c>
      <c r="E52" s="8" t="s">
        <v>79</v>
      </c>
      <c r="F52" s="8">
        <v>3</v>
      </c>
      <c r="G52" s="8">
        <v>1</v>
      </c>
      <c r="H52" s="8" t="s">
        <v>136</v>
      </c>
      <c r="I52" s="8" t="s">
        <v>137</v>
      </c>
      <c r="J52" s="8"/>
      <c r="K52" s="8"/>
      <c r="L52" s="243" t="s">
        <v>265</v>
      </c>
      <c r="M52" s="241"/>
      <c r="N52" s="241"/>
      <c r="O52" s="8"/>
      <c r="P52" s="242"/>
      <c r="Q52" s="242">
        <v>0</v>
      </c>
      <c r="R52" s="242" t="s">
        <v>153</v>
      </c>
      <c r="S52" s="8">
        <v>1010306</v>
      </c>
      <c r="T52" s="264"/>
      <c r="U52" s="265"/>
      <c r="V52" s="242" t="s">
        <v>238</v>
      </c>
      <c r="W52" s="572" t="s">
        <v>310</v>
      </c>
      <c r="X52" s="572" t="s">
        <v>310</v>
      </c>
      <c r="Y52" s="242"/>
      <c r="Z52" s="242"/>
      <c r="AA52" s="242"/>
      <c r="AB52" s="242" t="s">
        <v>114</v>
      </c>
      <c r="AC52" s="8"/>
      <c r="AD52" s="8"/>
      <c r="AE52" s="8">
        <v>0</v>
      </c>
      <c r="AF52" s="8">
        <v>0</v>
      </c>
      <c r="AG52" s="8">
        <v>10</v>
      </c>
      <c r="AH52" s="8"/>
      <c r="AI52" s="8">
        <v>0</v>
      </c>
      <c r="AJ52" s="8">
        <v>0</v>
      </c>
      <c r="AK52" s="274"/>
      <c r="AL52" s="274"/>
      <c r="AM52" s="274"/>
      <c r="AN52" s="8"/>
      <c r="AO52" s="8"/>
      <c r="AP52" s="8"/>
      <c r="AQ52" s="8" t="str">
        <f t="shared" si="0"/>
        <v>tricks/1010406</v>
      </c>
      <c r="AR52" s="284"/>
    </row>
    <row r="53" spans="1:44" ht="15" customHeight="1">
      <c r="A53" s="8">
        <v>1010407</v>
      </c>
      <c r="B53" s="8" t="s">
        <v>292</v>
      </c>
      <c r="C53" s="561" t="s">
        <v>311</v>
      </c>
      <c r="D53" s="8" t="s">
        <v>81</v>
      </c>
      <c r="E53" s="8" t="s">
        <v>79</v>
      </c>
      <c r="F53" s="8">
        <v>4</v>
      </c>
      <c r="G53" s="8">
        <v>1</v>
      </c>
      <c r="H53" s="8" t="s">
        <v>136</v>
      </c>
      <c r="I53" s="8" t="s">
        <v>137</v>
      </c>
      <c r="J53" s="8"/>
      <c r="K53" s="8"/>
      <c r="L53" s="244" t="s">
        <v>269</v>
      </c>
      <c r="M53" s="241"/>
      <c r="N53" s="241"/>
      <c r="O53" s="8"/>
      <c r="P53" s="242"/>
      <c r="Q53" s="242">
        <v>0</v>
      </c>
      <c r="R53" s="242" t="s">
        <v>153</v>
      </c>
      <c r="S53" s="8">
        <v>1010307</v>
      </c>
      <c r="T53" s="264"/>
      <c r="U53" s="265"/>
      <c r="V53" s="242" t="s">
        <v>238</v>
      </c>
      <c r="W53" s="572" t="s">
        <v>312</v>
      </c>
      <c r="X53" s="572" t="s">
        <v>312</v>
      </c>
      <c r="Y53" s="242"/>
      <c r="Z53" s="242"/>
      <c r="AA53" s="242"/>
      <c r="AB53" s="242" t="s">
        <v>90</v>
      </c>
      <c r="AC53" s="8"/>
      <c r="AD53" s="8"/>
      <c r="AE53" s="8">
        <v>0</v>
      </c>
      <c r="AF53" s="8">
        <v>0</v>
      </c>
      <c r="AG53" s="8">
        <v>0</v>
      </c>
      <c r="AH53" s="8"/>
      <c r="AI53" s="8">
        <v>0</v>
      </c>
      <c r="AJ53" s="8">
        <v>0</v>
      </c>
      <c r="AK53" s="274"/>
      <c r="AL53" s="274"/>
      <c r="AM53" s="274"/>
      <c r="AN53" s="8"/>
      <c r="AO53" s="8"/>
      <c r="AP53" s="8"/>
      <c r="AQ53" s="8" t="str">
        <f t="shared" si="0"/>
        <v>tricks/1010407</v>
      </c>
      <c r="AR53" s="284"/>
    </row>
    <row r="54" spans="1:44" ht="15" customHeight="1">
      <c r="A54" s="8">
        <v>1010408</v>
      </c>
      <c r="B54" s="8" t="s">
        <v>292</v>
      </c>
      <c r="C54" s="561" t="s">
        <v>313</v>
      </c>
      <c r="D54" s="8" t="s">
        <v>81</v>
      </c>
      <c r="E54" s="8" t="s">
        <v>79</v>
      </c>
      <c r="F54" s="8">
        <v>5</v>
      </c>
      <c r="G54" s="8">
        <v>1</v>
      </c>
      <c r="H54" s="8" t="s">
        <v>136</v>
      </c>
      <c r="I54" s="8" t="s">
        <v>137</v>
      </c>
      <c r="J54" s="8"/>
      <c r="K54" s="8"/>
      <c r="L54" s="243" t="s">
        <v>273</v>
      </c>
      <c r="M54" s="241"/>
      <c r="N54" s="241"/>
      <c r="O54" s="8"/>
      <c r="P54" s="242"/>
      <c r="Q54" s="242">
        <v>0</v>
      </c>
      <c r="R54" s="242" t="s">
        <v>153</v>
      </c>
      <c r="S54" s="8">
        <v>1010308</v>
      </c>
      <c r="T54" s="264"/>
      <c r="U54" s="265"/>
      <c r="V54" s="242" t="s">
        <v>238</v>
      </c>
      <c r="W54" s="572" t="s">
        <v>314</v>
      </c>
      <c r="X54" s="572" t="s">
        <v>314</v>
      </c>
      <c r="Y54" s="242"/>
      <c r="Z54" s="242"/>
      <c r="AA54" s="242"/>
      <c r="AB54" s="242" t="s">
        <v>114</v>
      </c>
      <c r="AC54" s="8"/>
      <c r="AD54" s="8"/>
      <c r="AE54" s="8">
        <v>0</v>
      </c>
      <c r="AF54" s="8">
        <v>0</v>
      </c>
      <c r="AG54" s="8">
        <v>0</v>
      </c>
      <c r="AH54" s="8"/>
      <c r="AI54" s="8">
        <v>0</v>
      </c>
      <c r="AJ54" s="8">
        <v>0</v>
      </c>
      <c r="AK54" s="274"/>
      <c r="AL54" s="274"/>
      <c r="AM54" s="274"/>
      <c r="AN54" s="8"/>
      <c r="AO54" s="8"/>
      <c r="AP54" s="8"/>
      <c r="AQ54" s="8" t="str">
        <f t="shared" si="0"/>
        <v>tricks/1010408</v>
      </c>
      <c r="AR54" s="284"/>
    </row>
    <row r="55" spans="1:44" ht="15" customHeight="1">
      <c r="A55" s="8">
        <v>1010409</v>
      </c>
      <c r="B55" s="8" t="s">
        <v>292</v>
      </c>
      <c r="C55" s="561" t="s">
        <v>315</v>
      </c>
      <c r="D55" s="8" t="s">
        <v>81</v>
      </c>
      <c r="E55" s="8" t="s">
        <v>79</v>
      </c>
      <c r="F55" s="8">
        <v>6</v>
      </c>
      <c r="G55" s="8">
        <v>1</v>
      </c>
      <c r="H55" s="8" t="s">
        <v>136</v>
      </c>
      <c r="I55" s="8" t="s">
        <v>137</v>
      </c>
      <c r="J55" s="8"/>
      <c r="K55" s="8"/>
      <c r="L55" s="243" t="s">
        <v>277</v>
      </c>
      <c r="M55" s="241"/>
      <c r="N55" s="241"/>
      <c r="O55" s="8"/>
      <c r="P55" s="242"/>
      <c r="Q55" s="242">
        <v>0</v>
      </c>
      <c r="R55" s="242" t="s">
        <v>153</v>
      </c>
      <c r="S55" s="8">
        <v>1010309</v>
      </c>
      <c r="T55" s="264"/>
      <c r="U55" s="265"/>
      <c r="V55" s="242" t="s">
        <v>238</v>
      </c>
      <c r="W55" s="572" t="s">
        <v>316</v>
      </c>
      <c r="X55" s="572" t="s">
        <v>316</v>
      </c>
      <c r="Y55" s="242"/>
      <c r="Z55" s="242"/>
      <c r="AA55" s="242"/>
      <c r="AB55" s="242"/>
      <c r="AC55" s="8"/>
      <c r="AD55" s="8"/>
      <c r="AE55" s="8">
        <v>0</v>
      </c>
      <c r="AF55" s="8">
        <v>0</v>
      </c>
      <c r="AG55" s="8">
        <v>0</v>
      </c>
      <c r="AH55" s="8"/>
      <c r="AI55" s="8">
        <v>0</v>
      </c>
      <c r="AJ55" s="8">
        <v>0</v>
      </c>
      <c r="AK55" s="274"/>
      <c r="AL55" s="274"/>
      <c r="AM55" s="274"/>
      <c r="AN55" s="8"/>
      <c r="AO55" s="8"/>
      <c r="AP55" s="8"/>
      <c r="AQ55" s="8" t="str">
        <f t="shared" si="0"/>
        <v>tricks/1010409</v>
      </c>
      <c r="AR55" s="284"/>
    </row>
    <row r="56" spans="1:44" ht="15" customHeight="1">
      <c r="A56" s="8">
        <v>1010410</v>
      </c>
      <c r="B56" s="8" t="s">
        <v>292</v>
      </c>
      <c r="C56" s="561" t="s">
        <v>317</v>
      </c>
      <c r="D56" s="8" t="s">
        <v>81</v>
      </c>
      <c r="E56" s="8" t="s">
        <v>79</v>
      </c>
      <c r="F56" s="8">
        <v>7</v>
      </c>
      <c r="G56" s="8">
        <v>1</v>
      </c>
      <c r="H56" s="8" t="s">
        <v>136</v>
      </c>
      <c r="I56" s="8" t="s">
        <v>137</v>
      </c>
      <c r="J56" s="8"/>
      <c r="K56" s="8"/>
      <c r="L56" s="245" t="s">
        <v>281</v>
      </c>
      <c r="M56" s="241"/>
      <c r="N56" s="241"/>
      <c r="O56" s="8"/>
      <c r="P56" s="242"/>
      <c r="Q56" s="242">
        <v>0</v>
      </c>
      <c r="R56" s="242" t="s">
        <v>153</v>
      </c>
      <c r="S56" s="8">
        <v>1010310</v>
      </c>
      <c r="T56" s="264"/>
      <c r="U56" s="265"/>
      <c r="V56" s="242" t="s">
        <v>238</v>
      </c>
      <c r="W56" s="575" t="s">
        <v>318</v>
      </c>
      <c r="X56" s="575" t="s">
        <v>318</v>
      </c>
      <c r="Y56" s="242"/>
      <c r="Z56" s="242"/>
      <c r="AA56" s="242"/>
      <c r="AB56" s="242" t="s">
        <v>90</v>
      </c>
      <c r="AC56" s="8"/>
      <c r="AD56" s="8"/>
      <c r="AE56" s="8">
        <v>0</v>
      </c>
      <c r="AF56" s="8">
        <v>0</v>
      </c>
      <c r="AG56" s="8">
        <v>0</v>
      </c>
      <c r="AH56" s="8"/>
      <c r="AI56" s="8">
        <v>0</v>
      </c>
      <c r="AJ56" s="8">
        <v>0</v>
      </c>
      <c r="AK56" s="274"/>
      <c r="AL56" s="274"/>
      <c r="AM56" s="274"/>
      <c r="AN56" s="8"/>
      <c r="AO56" s="8"/>
      <c r="AP56" s="8"/>
      <c r="AQ56" s="8" t="str">
        <f t="shared" si="0"/>
        <v>tricks/1010410</v>
      </c>
      <c r="AR56" s="284"/>
    </row>
    <row r="57" spans="1:44" ht="15" customHeight="1">
      <c r="A57" s="3">
        <v>1010411</v>
      </c>
      <c r="B57" s="3" t="s">
        <v>292</v>
      </c>
      <c r="C57" s="236" t="s">
        <v>319</v>
      </c>
      <c r="D57" s="3" t="s">
        <v>81</v>
      </c>
      <c r="E57" s="3" t="s">
        <v>79</v>
      </c>
      <c r="F57" s="3">
        <v>8</v>
      </c>
      <c r="G57" s="3">
        <v>1</v>
      </c>
      <c r="H57" s="3" t="s">
        <v>136</v>
      </c>
      <c r="I57" s="3" t="s">
        <v>137</v>
      </c>
      <c r="J57" s="3"/>
      <c r="K57" s="3"/>
      <c r="L57" s="236"/>
      <c r="M57" s="99"/>
      <c r="N57" s="99"/>
      <c r="O57" s="236"/>
      <c r="P57" s="22"/>
      <c r="Q57" s="22">
        <v>0</v>
      </c>
      <c r="R57" s="22" t="s">
        <v>153</v>
      </c>
      <c r="S57" s="3"/>
      <c r="T57" s="260"/>
      <c r="U57" s="261"/>
      <c r="V57" s="22"/>
      <c r="W57" s="576" t="s">
        <v>320</v>
      </c>
      <c r="X57" s="576" t="s">
        <v>320</v>
      </c>
      <c r="Y57" s="22"/>
      <c r="Z57" s="22"/>
      <c r="AA57" s="22"/>
      <c r="AB57" s="22" t="s">
        <v>114</v>
      </c>
      <c r="AC57" s="3"/>
      <c r="AD57" s="3"/>
      <c r="AE57" s="3">
        <v>0</v>
      </c>
      <c r="AF57" s="3">
        <v>0</v>
      </c>
      <c r="AG57" s="3">
        <v>0</v>
      </c>
      <c r="AH57" s="3"/>
      <c r="AI57" s="3">
        <v>0</v>
      </c>
      <c r="AJ57" s="3">
        <v>0</v>
      </c>
      <c r="AK57" s="3">
        <v>0</v>
      </c>
      <c r="AL57" s="3"/>
      <c r="AM57" s="3"/>
      <c r="AN57" s="3"/>
      <c r="AO57" s="3"/>
      <c r="AP57" s="3"/>
      <c r="AQ57" s="8" t="str">
        <f t="shared" si="0"/>
        <v>tricks/1010411</v>
      </c>
      <c r="AR57" s="281"/>
    </row>
    <row r="58" spans="1:44" ht="15" customHeight="1">
      <c r="A58" s="3">
        <v>1010412</v>
      </c>
      <c r="B58" s="3" t="s">
        <v>292</v>
      </c>
      <c r="C58" s="236" t="s">
        <v>321</v>
      </c>
      <c r="D58" s="3" t="s">
        <v>81</v>
      </c>
      <c r="E58" s="3" t="s">
        <v>79</v>
      </c>
      <c r="F58" s="3">
        <v>9</v>
      </c>
      <c r="G58" s="3">
        <v>1</v>
      </c>
      <c r="H58" s="3" t="s">
        <v>136</v>
      </c>
      <c r="I58" s="3" t="s">
        <v>137</v>
      </c>
      <c r="J58" s="3"/>
      <c r="K58" s="3"/>
      <c r="L58" s="236"/>
      <c r="M58" s="99"/>
      <c r="N58" s="99"/>
      <c r="O58" s="236"/>
      <c r="P58" s="22"/>
      <c r="Q58" s="22">
        <v>0</v>
      </c>
      <c r="R58" s="22" t="s">
        <v>153</v>
      </c>
      <c r="S58" s="3"/>
      <c r="T58" s="260"/>
      <c r="U58" s="261"/>
      <c r="V58" s="22"/>
      <c r="W58" s="576" t="s">
        <v>322</v>
      </c>
      <c r="X58" s="576" t="s">
        <v>322</v>
      </c>
      <c r="Y58" s="22"/>
      <c r="Z58" s="22"/>
      <c r="AA58" s="22"/>
      <c r="AB58" s="22" t="s">
        <v>114</v>
      </c>
      <c r="AC58" s="3"/>
      <c r="AD58" s="3"/>
      <c r="AE58" s="3">
        <v>0</v>
      </c>
      <c r="AF58" s="3">
        <v>0</v>
      </c>
      <c r="AG58" s="3">
        <v>0</v>
      </c>
      <c r="AH58" s="3"/>
      <c r="AI58" s="3">
        <v>0</v>
      </c>
      <c r="AJ58" s="3">
        <v>0</v>
      </c>
      <c r="AK58" s="3">
        <v>0</v>
      </c>
      <c r="AL58" s="3"/>
      <c r="AM58" s="3"/>
      <c r="AN58" s="3"/>
      <c r="AO58" s="3"/>
      <c r="AP58" s="3"/>
      <c r="AQ58" s="8" t="str">
        <f t="shared" si="0"/>
        <v>tricks/1010412</v>
      </c>
      <c r="AR58" s="281"/>
    </row>
    <row r="59" spans="1:44" ht="15" customHeight="1">
      <c r="A59" s="3">
        <v>1010413</v>
      </c>
      <c r="B59" s="3" t="s">
        <v>292</v>
      </c>
      <c r="C59" s="236" t="s">
        <v>323</v>
      </c>
      <c r="D59" s="3" t="s">
        <v>81</v>
      </c>
      <c r="E59" s="3" t="s">
        <v>79</v>
      </c>
      <c r="F59" s="3">
        <v>10</v>
      </c>
      <c r="G59" s="3">
        <v>1</v>
      </c>
      <c r="H59" s="3" t="s">
        <v>136</v>
      </c>
      <c r="I59" s="3" t="s">
        <v>137</v>
      </c>
      <c r="J59" s="3"/>
      <c r="K59" s="3"/>
      <c r="L59" s="236"/>
      <c r="M59" s="99"/>
      <c r="N59" s="99"/>
      <c r="O59" s="236"/>
      <c r="P59" s="22"/>
      <c r="Q59" s="22">
        <v>0</v>
      </c>
      <c r="R59" s="22" t="s">
        <v>153</v>
      </c>
      <c r="S59" s="3"/>
      <c r="T59" s="260"/>
      <c r="U59" s="261"/>
      <c r="V59" s="22"/>
      <c r="W59" s="576" t="s">
        <v>324</v>
      </c>
      <c r="X59" s="576" t="s">
        <v>324</v>
      </c>
      <c r="Y59" s="22"/>
      <c r="Z59" s="22"/>
      <c r="AA59" s="22"/>
      <c r="AB59" s="22" t="s">
        <v>114</v>
      </c>
      <c r="AC59" s="3"/>
      <c r="AD59" s="3"/>
      <c r="AE59" s="3">
        <v>0</v>
      </c>
      <c r="AF59" s="3">
        <v>0</v>
      </c>
      <c r="AG59" s="3">
        <v>0</v>
      </c>
      <c r="AH59" s="3"/>
      <c r="AI59" s="3">
        <v>0</v>
      </c>
      <c r="AJ59" s="3">
        <v>0</v>
      </c>
      <c r="AK59" s="3">
        <v>0</v>
      </c>
      <c r="AL59" s="3"/>
      <c r="AM59" s="3"/>
      <c r="AN59" s="3"/>
      <c r="AO59" s="3"/>
      <c r="AP59" s="3"/>
      <c r="AQ59" s="8" t="str">
        <f t="shared" si="0"/>
        <v>tricks/1010413</v>
      </c>
      <c r="AR59" s="281"/>
    </row>
    <row r="60" spans="1:44" ht="14.4" customHeight="1">
      <c r="A60" s="5">
        <v>1020001</v>
      </c>
      <c r="B60" s="5" t="s">
        <v>325</v>
      </c>
      <c r="C60" s="5" t="s">
        <v>326</v>
      </c>
      <c r="D60" s="5" t="s">
        <v>81</v>
      </c>
      <c r="E60" s="5" t="s">
        <v>325</v>
      </c>
      <c r="F60" s="5">
        <v>1</v>
      </c>
      <c r="G60" s="5">
        <v>2</v>
      </c>
      <c r="H60" s="5" t="s">
        <v>82</v>
      </c>
      <c r="I60" s="5" t="s">
        <v>83</v>
      </c>
      <c r="J60" s="5"/>
      <c r="K60" s="5">
        <v>4</v>
      </c>
      <c r="L60" s="248" t="s">
        <v>327</v>
      </c>
      <c r="M60" s="231"/>
      <c r="N60" s="231"/>
      <c r="O60" s="5"/>
      <c r="P60" s="232">
        <v>2</v>
      </c>
      <c r="Q60" s="232">
        <v>0</v>
      </c>
      <c r="R60" s="232" t="s">
        <v>85</v>
      </c>
      <c r="S60" s="5">
        <v>1020001</v>
      </c>
      <c r="T60" s="256" t="s">
        <v>86</v>
      </c>
      <c r="U60" s="257" t="s">
        <v>87</v>
      </c>
      <c r="V60" s="232" t="s">
        <v>88</v>
      </c>
      <c r="W60" s="565" t="s">
        <v>328</v>
      </c>
      <c r="X60" s="565" t="s">
        <v>328</v>
      </c>
      <c r="Y60" s="232"/>
      <c r="Z60" s="232"/>
      <c r="AA60" s="232">
        <v>1</v>
      </c>
      <c r="AB60" s="232" t="s">
        <v>90</v>
      </c>
      <c r="AC60" s="5"/>
      <c r="AD60" s="5"/>
      <c r="AE60" s="5">
        <v>2</v>
      </c>
      <c r="AF60" s="5">
        <v>0</v>
      </c>
      <c r="AG60" s="5">
        <v>4</v>
      </c>
      <c r="AH60" s="5"/>
      <c r="AI60" s="5">
        <v>52</v>
      </c>
      <c r="AJ60" s="5">
        <v>39</v>
      </c>
      <c r="AK60" s="270"/>
      <c r="AL60" s="270"/>
      <c r="AM60" s="270"/>
      <c r="AN60" s="271" t="s">
        <v>329</v>
      </c>
      <c r="AO60" s="271"/>
      <c r="AP60" s="271"/>
      <c r="AQ60" s="5" t="s">
        <v>330</v>
      </c>
      <c r="AR60" s="279">
        <v>192</v>
      </c>
    </row>
    <row r="61" spans="1:44" ht="15" customHeight="1">
      <c r="A61" s="5">
        <v>1020002</v>
      </c>
      <c r="B61" s="5" t="s">
        <v>325</v>
      </c>
      <c r="C61" s="5" t="s">
        <v>331</v>
      </c>
      <c r="D61" s="5" t="s">
        <v>81</v>
      </c>
      <c r="E61" s="5" t="s">
        <v>325</v>
      </c>
      <c r="F61" s="5">
        <v>1</v>
      </c>
      <c r="G61" s="5">
        <v>2</v>
      </c>
      <c r="H61" s="5" t="s">
        <v>82</v>
      </c>
      <c r="I61" s="5" t="s">
        <v>83</v>
      </c>
      <c r="J61" s="5"/>
      <c r="K61" s="5">
        <v>5</v>
      </c>
      <c r="L61" s="249" t="s">
        <v>332</v>
      </c>
      <c r="M61" s="231"/>
      <c r="N61" s="231"/>
      <c r="O61" s="5"/>
      <c r="P61" s="232" t="s">
        <v>333</v>
      </c>
      <c r="Q61" s="232">
        <v>0</v>
      </c>
      <c r="R61" s="232" t="s">
        <v>85</v>
      </c>
      <c r="S61" s="5">
        <v>1020002</v>
      </c>
      <c r="T61" s="256" t="s">
        <v>86</v>
      </c>
      <c r="U61" s="257" t="s">
        <v>87</v>
      </c>
      <c r="V61" s="232" t="s">
        <v>88</v>
      </c>
      <c r="W61" s="579" t="s">
        <v>334</v>
      </c>
      <c r="X61" s="579" t="s">
        <v>334</v>
      </c>
      <c r="Y61" s="232"/>
      <c r="Z61" s="232"/>
      <c r="AA61" s="232">
        <v>1</v>
      </c>
      <c r="AB61" s="232"/>
      <c r="AC61" s="5"/>
      <c r="AD61" s="5"/>
      <c r="AE61" s="5">
        <v>2</v>
      </c>
      <c r="AF61" s="5">
        <v>0</v>
      </c>
      <c r="AG61" s="5">
        <v>4</v>
      </c>
      <c r="AH61" s="5"/>
      <c r="AI61" s="5">
        <v>65</v>
      </c>
      <c r="AJ61" s="5">
        <v>45</v>
      </c>
      <c r="AK61" s="270"/>
      <c r="AL61" s="270"/>
      <c r="AM61" s="270"/>
      <c r="AN61" s="271" t="s">
        <v>335</v>
      </c>
      <c r="AO61" s="271"/>
      <c r="AP61" s="271"/>
      <c r="AQ61" s="5" t="s">
        <v>336</v>
      </c>
      <c r="AR61" s="279">
        <v>193</v>
      </c>
    </row>
    <row r="62" spans="1:44">
      <c r="A62" s="7" t="s">
        <v>337</v>
      </c>
      <c r="B62" s="7" t="s">
        <v>338</v>
      </c>
      <c r="C62" s="7" t="s">
        <v>339</v>
      </c>
      <c r="D62" s="7" t="s">
        <v>81</v>
      </c>
      <c r="E62" s="7" t="s">
        <v>325</v>
      </c>
      <c r="F62" s="7">
        <v>1</v>
      </c>
      <c r="G62" s="7">
        <v>2</v>
      </c>
      <c r="H62" s="7" t="s">
        <v>82</v>
      </c>
      <c r="I62" s="7" t="s">
        <v>101</v>
      </c>
      <c r="J62" s="7"/>
      <c r="K62" s="7">
        <v>1</v>
      </c>
      <c r="L62" s="250" t="s">
        <v>340</v>
      </c>
      <c r="M62" s="238"/>
      <c r="N62" s="238"/>
      <c r="O62" s="7"/>
      <c r="P62" s="239">
        <v>9</v>
      </c>
      <c r="Q62" s="239">
        <v>0</v>
      </c>
      <c r="R62" s="239" t="s">
        <v>85</v>
      </c>
      <c r="S62" s="7" t="s">
        <v>337</v>
      </c>
      <c r="T62" s="262" t="s">
        <v>341</v>
      </c>
      <c r="U62" s="263">
        <v>0</v>
      </c>
      <c r="V62" s="239" t="s">
        <v>342</v>
      </c>
      <c r="W62" s="580" t="s">
        <v>343</v>
      </c>
      <c r="X62" s="580" t="s">
        <v>343</v>
      </c>
      <c r="Y62" s="239"/>
      <c r="Z62" s="239"/>
      <c r="AA62" s="239">
        <v>1</v>
      </c>
      <c r="AB62" s="239" t="s">
        <v>90</v>
      </c>
      <c r="AC62" s="7"/>
      <c r="AD62" s="7"/>
      <c r="AE62" s="7">
        <v>1</v>
      </c>
      <c r="AF62" s="7">
        <v>2</v>
      </c>
      <c r="AG62" s="7">
        <v>6</v>
      </c>
      <c r="AH62" s="7"/>
      <c r="AI62" s="7">
        <v>39</v>
      </c>
      <c r="AJ62" s="7">
        <v>26</v>
      </c>
      <c r="AK62" s="273"/>
      <c r="AL62" s="273"/>
      <c r="AM62" s="273"/>
      <c r="AN62" s="277" t="s">
        <v>344</v>
      </c>
      <c r="AO62" s="277" t="s">
        <v>345</v>
      </c>
      <c r="AP62" s="277"/>
      <c r="AQ62" s="7" t="s">
        <v>346</v>
      </c>
      <c r="AR62" s="283">
        <v>195</v>
      </c>
    </row>
    <row r="63" spans="1:44">
      <c r="A63" s="7" t="s">
        <v>347</v>
      </c>
      <c r="B63" s="562" t="s">
        <v>338</v>
      </c>
      <c r="C63" s="562" t="s">
        <v>339</v>
      </c>
      <c r="D63" s="7" t="s">
        <v>81</v>
      </c>
      <c r="E63" s="7" t="s">
        <v>325</v>
      </c>
      <c r="F63" s="7">
        <v>1</v>
      </c>
      <c r="G63" s="7">
        <v>2</v>
      </c>
      <c r="H63" s="7" t="s">
        <v>82</v>
      </c>
      <c r="I63" s="7" t="s">
        <v>101</v>
      </c>
      <c r="J63" s="7"/>
      <c r="K63" s="7">
        <v>1</v>
      </c>
      <c r="L63" s="250" t="s">
        <v>348</v>
      </c>
      <c r="M63" s="238"/>
      <c r="N63" s="238"/>
      <c r="O63" s="7"/>
      <c r="P63" s="239">
        <v>9</v>
      </c>
      <c r="Q63" s="239">
        <v>0</v>
      </c>
      <c r="R63" s="239" t="s">
        <v>85</v>
      </c>
      <c r="S63" s="7" t="s">
        <v>347</v>
      </c>
      <c r="T63" s="262" t="s">
        <v>341</v>
      </c>
      <c r="U63" s="263">
        <v>0</v>
      </c>
      <c r="V63" s="239" t="s">
        <v>342</v>
      </c>
      <c r="W63" s="580" t="s">
        <v>349</v>
      </c>
      <c r="X63" s="580" t="s">
        <v>349</v>
      </c>
      <c r="Y63" s="239"/>
      <c r="Z63" s="239"/>
      <c r="AA63" s="239">
        <v>1</v>
      </c>
      <c r="AB63" s="239" t="s">
        <v>90</v>
      </c>
      <c r="AC63" s="7"/>
      <c r="AD63" s="7"/>
      <c r="AE63" s="7">
        <v>1</v>
      </c>
      <c r="AF63" s="7">
        <v>0</v>
      </c>
      <c r="AG63" s="7">
        <v>0</v>
      </c>
      <c r="AH63" s="7"/>
      <c r="AI63" s="7">
        <v>39</v>
      </c>
      <c r="AJ63" s="7">
        <v>26</v>
      </c>
      <c r="AK63" s="273" t="s">
        <v>350</v>
      </c>
      <c r="AL63" s="273"/>
      <c r="AM63" s="273"/>
      <c r="AN63" s="277" t="s">
        <v>351</v>
      </c>
      <c r="AO63" s="277"/>
      <c r="AP63" s="277"/>
      <c r="AQ63" s="7" t="s">
        <v>346</v>
      </c>
      <c r="AR63" s="283"/>
    </row>
    <row r="64" spans="1:44">
      <c r="A64" s="7" t="s">
        <v>352</v>
      </c>
      <c r="B64" s="7" t="s">
        <v>338</v>
      </c>
      <c r="C64" s="7" t="s">
        <v>339</v>
      </c>
      <c r="D64" s="7" t="s">
        <v>81</v>
      </c>
      <c r="E64" s="7" t="s">
        <v>325</v>
      </c>
      <c r="F64" s="7">
        <v>1</v>
      </c>
      <c r="G64" s="7">
        <v>2</v>
      </c>
      <c r="H64" s="7" t="s">
        <v>82</v>
      </c>
      <c r="I64" s="7" t="s">
        <v>101</v>
      </c>
      <c r="J64" s="7"/>
      <c r="K64" s="7">
        <v>1</v>
      </c>
      <c r="L64" s="250" t="s">
        <v>353</v>
      </c>
      <c r="M64" s="238"/>
      <c r="N64" s="238"/>
      <c r="O64" s="7"/>
      <c r="P64" s="239">
        <v>9</v>
      </c>
      <c r="Q64" s="239">
        <v>0</v>
      </c>
      <c r="R64" s="239" t="s">
        <v>85</v>
      </c>
      <c r="S64" s="7" t="s">
        <v>352</v>
      </c>
      <c r="T64" s="262" t="s">
        <v>341</v>
      </c>
      <c r="U64" s="263">
        <v>0</v>
      </c>
      <c r="V64" s="239" t="s">
        <v>342</v>
      </c>
      <c r="W64" s="580" t="s">
        <v>354</v>
      </c>
      <c r="X64" s="580" t="s">
        <v>354</v>
      </c>
      <c r="Y64" s="239"/>
      <c r="Z64" s="239"/>
      <c r="AA64" s="239">
        <v>1</v>
      </c>
      <c r="AB64" s="239" t="s">
        <v>90</v>
      </c>
      <c r="AC64" s="7"/>
      <c r="AD64" s="7"/>
      <c r="AE64" s="7">
        <v>1</v>
      </c>
      <c r="AF64" s="7">
        <v>0</v>
      </c>
      <c r="AG64" s="7">
        <v>0</v>
      </c>
      <c r="AH64" s="7"/>
      <c r="AI64" s="7">
        <v>39</v>
      </c>
      <c r="AJ64" s="7">
        <v>26</v>
      </c>
      <c r="AK64" s="273"/>
      <c r="AL64" s="273"/>
      <c r="AM64" s="273"/>
      <c r="AN64" s="277" t="s">
        <v>345</v>
      </c>
      <c r="AO64" s="277"/>
      <c r="AP64" s="277"/>
      <c r="AQ64" s="7" t="s">
        <v>346</v>
      </c>
      <c r="AR64" s="283"/>
    </row>
    <row r="65" spans="1:44">
      <c r="A65" s="7" t="s">
        <v>355</v>
      </c>
      <c r="B65" s="7" t="s">
        <v>338</v>
      </c>
      <c r="C65" s="7" t="s">
        <v>339</v>
      </c>
      <c r="D65" s="7" t="s">
        <v>81</v>
      </c>
      <c r="E65" s="7" t="s">
        <v>325</v>
      </c>
      <c r="F65" s="7">
        <v>1</v>
      </c>
      <c r="G65" s="7">
        <v>2</v>
      </c>
      <c r="H65" s="7" t="s">
        <v>82</v>
      </c>
      <c r="I65" s="7" t="s">
        <v>101</v>
      </c>
      <c r="J65" s="7"/>
      <c r="K65" s="7">
        <v>1</v>
      </c>
      <c r="L65" s="250" t="s">
        <v>356</v>
      </c>
      <c r="M65" s="238"/>
      <c r="N65" s="238"/>
      <c r="O65" s="7"/>
      <c r="P65" s="239">
        <v>9</v>
      </c>
      <c r="Q65" s="239">
        <v>0</v>
      </c>
      <c r="R65" s="239" t="s">
        <v>85</v>
      </c>
      <c r="S65" s="7" t="s">
        <v>355</v>
      </c>
      <c r="T65" s="262" t="s">
        <v>341</v>
      </c>
      <c r="U65" s="263">
        <v>0</v>
      </c>
      <c r="V65" s="239" t="s">
        <v>342</v>
      </c>
      <c r="W65" s="580" t="s">
        <v>357</v>
      </c>
      <c r="X65" s="580" t="s">
        <v>357</v>
      </c>
      <c r="Y65" s="239"/>
      <c r="Z65" s="239"/>
      <c r="AA65" s="239">
        <v>1</v>
      </c>
      <c r="AB65" s="239" t="s">
        <v>90</v>
      </c>
      <c r="AC65" s="7"/>
      <c r="AD65" s="7"/>
      <c r="AE65" s="7">
        <v>1</v>
      </c>
      <c r="AF65" s="7">
        <v>0</v>
      </c>
      <c r="AG65" s="7">
        <v>0</v>
      </c>
      <c r="AH65" s="7"/>
      <c r="AI65" s="7">
        <v>39</v>
      </c>
      <c r="AJ65" s="7">
        <v>26</v>
      </c>
      <c r="AK65" s="273"/>
      <c r="AL65" s="273"/>
      <c r="AM65" s="273"/>
      <c r="AN65" s="277" t="s">
        <v>358</v>
      </c>
      <c r="AO65" s="277"/>
      <c r="AP65" s="277"/>
      <c r="AQ65" s="7" t="s">
        <v>346</v>
      </c>
      <c r="AR65" s="283"/>
    </row>
    <row r="66" spans="1:44" ht="15" customHeight="1">
      <c r="A66" s="7">
        <v>1020202</v>
      </c>
      <c r="B66" s="7" t="s">
        <v>338</v>
      </c>
      <c r="C66" s="7" t="s">
        <v>359</v>
      </c>
      <c r="D66" s="7" t="s">
        <v>81</v>
      </c>
      <c r="E66" s="7" t="s">
        <v>325</v>
      </c>
      <c r="F66" s="7">
        <v>1</v>
      </c>
      <c r="G66" s="7">
        <v>2</v>
      </c>
      <c r="H66" s="7" t="s">
        <v>136</v>
      </c>
      <c r="I66" s="7" t="s">
        <v>137</v>
      </c>
      <c r="J66" s="7"/>
      <c r="K66" s="7"/>
      <c r="L66" s="250" t="s">
        <v>360</v>
      </c>
      <c r="M66" s="238"/>
      <c r="N66" s="238"/>
      <c r="O66" s="7"/>
      <c r="P66" s="239"/>
      <c r="Q66" s="239">
        <v>0</v>
      </c>
      <c r="R66" s="239" t="s">
        <v>361</v>
      </c>
      <c r="S66" s="7">
        <v>1020202</v>
      </c>
      <c r="T66" s="262"/>
      <c r="U66" s="263"/>
      <c r="V66" s="239" t="s">
        <v>342</v>
      </c>
      <c r="W66" s="582" t="s">
        <v>362</v>
      </c>
      <c r="X66" s="582" t="s">
        <v>362</v>
      </c>
      <c r="Y66" s="239"/>
      <c r="Z66" s="239"/>
      <c r="AA66" s="239">
        <v>0</v>
      </c>
      <c r="AB66" s="239"/>
      <c r="AC66" s="7"/>
      <c r="AD66" s="7"/>
      <c r="AE66" s="7">
        <v>0</v>
      </c>
      <c r="AF66" s="7">
        <v>0</v>
      </c>
      <c r="AG66" s="7">
        <v>0</v>
      </c>
      <c r="AH66" s="7"/>
      <c r="AI66" s="7">
        <v>0</v>
      </c>
      <c r="AJ66" s="7">
        <v>0</v>
      </c>
      <c r="AK66" s="273"/>
      <c r="AL66" s="273"/>
      <c r="AM66" s="273"/>
      <c r="AN66" s="277"/>
      <c r="AO66" s="277"/>
      <c r="AP66" s="277"/>
      <c r="AQ66" s="7" t="s">
        <v>363</v>
      </c>
      <c r="AR66" s="283"/>
    </row>
    <row r="67" spans="1:44" ht="15" customHeight="1">
      <c r="A67" s="7">
        <v>1020203</v>
      </c>
      <c r="B67" s="7" t="s">
        <v>338</v>
      </c>
      <c r="C67" s="562" t="s">
        <v>364</v>
      </c>
      <c r="D67" s="7" t="s">
        <v>81</v>
      </c>
      <c r="E67" s="7" t="s">
        <v>325</v>
      </c>
      <c r="F67" s="7">
        <v>1</v>
      </c>
      <c r="G67" s="7">
        <v>2</v>
      </c>
      <c r="H67" s="7" t="s">
        <v>82</v>
      </c>
      <c r="I67" s="7" t="s">
        <v>101</v>
      </c>
      <c r="J67" s="7"/>
      <c r="K67" s="7">
        <v>2</v>
      </c>
      <c r="L67" s="250" t="s">
        <v>365</v>
      </c>
      <c r="M67" s="238"/>
      <c r="N67" s="238"/>
      <c r="O67" s="7"/>
      <c r="P67" s="239">
        <v>2</v>
      </c>
      <c r="Q67" s="239">
        <v>0</v>
      </c>
      <c r="R67" s="239" t="s">
        <v>85</v>
      </c>
      <c r="S67" s="7">
        <v>1020203</v>
      </c>
      <c r="T67" s="262" t="s">
        <v>366</v>
      </c>
      <c r="U67" s="263">
        <v>0</v>
      </c>
      <c r="V67" s="239" t="s">
        <v>342</v>
      </c>
      <c r="W67" s="580" t="s">
        <v>367</v>
      </c>
      <c r="X67" s="580" t="s">
        <v>367</v>
      </c>
      <c r="Y67" s="239"/>
      <c r="Z67" s="239"/>
      <c r="AA67" s="239">
        <v>1</v>
      </c>
      <c r="AB67" s="239" t="s">
        <v>90</v>
      </c>
      <c r="AC67" s="7"/>
      <c r="AD67" s="7"/>
      <c r="AE67" s="7">
        <v>1</v>
      </c>
      <c r="AF67" s="7">
        <v>1</v>
      </c>
      <c r="AG67" s="7">
        <v>5</v>
      </c>
      <c r="AH67" s="7"/>
      <c r="AI67" s="7">
        <v>39</v>
      </c>
      <c r="AJ67" s="7">
        <v>26</v>
      </c>
      <c r="AK67" s="273"/>
      <c r="AL67" s="273"/>
      <c r="AM67" s="273"/>
      <c r="AN67" s="277" t="s">
        <v>368</v>
      </c>
      <c r="AO67" s="277"/>
      <c r="AP67" s="277"/>
      <c r="AQ67" s="7" t="s">
        <v>369</v>
      </c>
      <c r="AR67" s="283">
        <v>196</v>
      </c>
    </row>
    <row r="68" spans="1:44" ht="15" customHeight="1">
      <c r="A68" s="7">
        <v>1020204</v>
      </c>
      <c r="B68" s="7" t="s">
        <v>338</v>
      </c>
      <c r="C68" s="7" t="s">
        <v>370</v>
      </c>
      <c r="D68" s="7" t="s">
        <v>81</v>
      </c>
      <c r="E68" s="7" t="s">
        <v>325</v>
      </c>
      <c r="F68" s="7">
        <v>2</v>
      </c>
      <c r="G68" s="7">
        <v>2</v>
      </c>
      <c r="H68" s="7" t="s">
        <v>136</v>
      </c>
      <c r="I68" s="7" t="s">
        <v>137</v>
      </c>
      <c r="J68" s="7"/>
      <c r="K68" s="7"/>
      <c r="L68" s="285" t="s">
        <v>371</v>
      </c>
      <c r="M68" s="238"/>
      <c r="N68" s="238"/>
      <c r="O68" s="7"/>
      <c r="P68" s="239"/>
      <c r="Q68" s="239">
        <v>0</v>
      </c>
      <c r="R68" s="239" t="s">
        <v>361</v>
      </c>
      <c r="S68" s="7">
        <v>1020204</v>
      </c>
      <c r="T68" s="262"/>
      <c r="U68" s="263"/>
      <c r="V68" s="239" t="s">
        <v>342</v>
      </c>
      <c r="W68" s="583" t="s">
        <v>372</v>
      </c>
      <c r="X68" s="583" t="s">
        <v>372</v>
      </c>
      <c r="Y68" s="239"/>
      <c r="Z68" s="239"/>
      <c r="AA68" s="239">
        <v>0</v>
      </c>
      <c r="AB68" s="239"/>
      <c r="AC68" s="7"/>
      <c r="AD68" s="7"/>
      <c r="AE68" s="7">
        <v>0</v>
      </c>
      <c r="AF68" s="7">
        <v>0</v>
      </c>
      <c r="AG68" s="7">
        <v>0</v>
      </c>
      <c r="AH68" s="7"/>
      <c r="AI68" s="7">
        <v>0</v>
      </c>
      <c r="AJ68" s="7">
        <v>0</v>
      </c>
      <c r="AK68" s="273"/>
      <c r="AL68" s="273"/>
      <c r="AM68" s="273"/>
      <c r="AN68" s="7"/>
      <c r="AO68" s="7"/>
      <c r="AP68" s="7"/>
      <c r="AQ68" s="7" t="s">
        <v>373</v>
      </c>
      <c r="AR68" s="283"/>
    </row>
    <row r="69" spans="1:44" ht="15" customHeight="1">
      <c r="A69" s="7">
        <v>1020205</v>
      </c>
      <c r="B69" s="7" t="s">
        <v>338</v>
      </c>
      <c r="C69" s="562" t="s">
        <v>374</v>
      </c>
      <c r="D69" s="7" t="s">
        <v>81</v>
      </c>
      <c r="E69" s="7" t="s">
        <v>325</v>
      </c>
      <c r="F69" s="7">
        <v>1</v>
      </c>
      <c r="G69" s="7">
        <v>2</v>
      </c>
      <c r="H69" s="7" t="s">
        <v>82</v>
      </c>
      <c r="I69" s="7" t="s">
        <v>101</v>
      </c>
      <c r="J69" s="7"/>
      <c r="K69" s="7">
        <v>3</v>
      </c>
      <c r="L69" s="286" t="s">
        <v>375</v>
      </c>
      <c r="M69" s="238"/>
      <c r="N69" s="238"/>
      <c r="O69" s="7"/>
      <c r="P69" s="239" t="s">
        <v>376</v>
      </c>
      <c r="Q69" s="239">
        <v>0</v>
      </c>
      <c r="R69" s="239" t="s">
        <v>85</v>
      </c>
      <c r="S69" s="7">
        <v>1020205</v>
      </c>
      <c r="T69" s="262" t="s">
        <v>377</v>
      </c>
      <c r="U69" s="263">
        <v>0</v>
      </c>
      <c r="V69" s="239" t="s">
        <v>342</v>
      </c>
      <c r="W69" s="580" t="s">
        <v>378</v>
      </c>
      <c r="X69" s="580" t="s">
        <v>378</v>
      </c>
      <c r="Y69" s="239"/>
      <c r="Z69" s="239"/>
      <c r="AA69" s="239">
        <v>1</v>
      </c>
      <c r="AB69" s="239" t="s">
        <v>90</v>
      </c>
      <c r="AC69" s="7"/>
      <c r="AD69" s="7"/>
      <c r="AE69" s="7">
        <v>1</v>
      </c>
      <c r="AF69" s="7">
        <v>1</v>
      </c>
      <c r="AG69" s="7">
        <v>5</v>
      </c>
      <c r="AH69" s="7"/>
      <c r="AI69" s="7">
        <v>39</v>
      </c>
      <c r="AJ69" s="7">
        <v>26</v>
      </c>
      <c r="AK69" s="273" t="s">
        <v>379</v>
      </c>
      <c r="AL69" s="273"/>
      <c r="AM69" s="273"/>
      <c r="AN69" s="277" t="s">
        <v>380</v>
      </c>
      <c r="AO69" s="277"/>
      <c r="AP69" s="277"/>
      <c r="AQ69" s="7" t="s">
        <v>381</v>
      </c>
      <c r="AR69" s="283">
        <v>197</v>
      </c>
    </row>
    <row r="70" spans="1:44" ht="15" customHeight="1">
      <c r="A70" s="7">
        <v>1020206</v>
      </c>
      <c r="B70" s="7" t="s">
        <v>338</v>
      </c>
      <c r="C70" s="7" t="s">
        <v>382</v>
      </c>
      <c r="D70" s="7" t="s">
        <v>81</v>
      </c>
      <c r="E70" s="7" t="s">
        <v>325</v>
      </c>
      <c r="F70" s="7">
        <v>3</v>
      </c>
      <c r="G70" s="7">
        <v>2</v>
      </c>
      <c r="H70" s="7" t="s">
        <v>136</v>
      </c>
      <c r="I70" s="7" t="s">
        <v>137</v>
      </c>
      <c r="J70" s="7"/>
      <c r="K70" s="7"/>
      <c r="L70" s="237" t="s">
        <v>383</v>
      </c>
      <c r="M70" s="238"/>
      <c r="N70" s="238"/>
      <c r="O70" s="7"/>
      <c r="P70" s="239"/>
      <c r="Q70" s="239">
        <v>0</v>
      </c>
      <c r="R70" s="239" t="s">
        <v>361</v>
      </c>
      <c r="S70" s="7">
        <v>1020206</v>
      </c>
      <c r="T70" s="262"/>
      <c r="U70" s="263"/>
      <c r="V70" s="239" t="s">
        <v>342</v>
      </c>
      <c r="W70" s="584" t="s">
        <v>362</v>
      </c>
      <c r="X70" s="584" t="s">
        <v>362</v>
      </c>
      <c r="Y70" s="239"/>
      <c r="Z70" s="239"/>
      <c r="AA70" s="239">
        <v>0</v>
      </c>
      <c r="AB70" s="239"/>
      <c r="AC70" s="7"/>
      <c r="AD70" s="7"/>
      <c r="AE70" s="7">
        <v>0</v>
      </c>
      <c r="AF70" s="7">
        <v>0</v>
      </c>
      <c r="AG70" s="7">
        <v>0</v>
      </c>
      <c r="AH70" s="7"/>
      <c r="AI70" s="7">
        <v>0</v>
      </c>
      <c r="AJ70" s="7">
        <v>0</v>
      </c>
      <c r="AK70" s="273"/>
      <c r="AL70" s="273"/>
      <c r="AM70" s="273"/>
      <c r="AN70" s="7"/>
      <c r="AO70" s="7"/>
      <c r="AP70" s="7"/>
      <c r="AQ70" s="7" t="s">
        <v>384</v>
      </c>
      <c r="AR70" s="283"/>
    </row>
    <row r="71" spans="1:44" ht="15" customHeight="1">
      <c r="A71" s="7">
        <v>1020207</v>
      </c>
      <c r="B71" s="7" t="s">
        <v>338</v>
      </c>
      <c r="C71" s="7" t="s">
        <v>385</v>
      </c>
      <c r="D71" s="7" t="s">
        <v>81</v>
      </c>
      <c r="E71" s="7" t="s">
        <v>325</v>
      </c>
      <c r="F71" s="7">
        <v>4</v>
      </c>
      <c r="G71" s="7">
        <v>2</v>
      </c>
      <c r="H71" s="7" t="s">
        <v>136</v>
      </c>
      <c r="I71" s="7" t="s">
        <v>137</v>
      </c>
      <c r="J71" s="7"/>
      <c r="K71" s="7"/>
      <c r="L71" s="250" t="s">
        <v>386</v>
      </c>
      <c r="M71" s="238"/>
      <c r="N71" s="238"/>
      <c r="O71" s="7"/>
      <c r="P71" s="239"/>
      <c r="Q71" s="239">
        <v>0</v>
      </c>
      <c r="R71" s="239" t="s">
        <v>153</v>
      </c>
      <c r="S71" s="7">
        <v>1020207</v>
      </c>
      <c r="T71" s="262"/>
      <c r="U71" s="263">
        <v>0</v>
      </c>
      <c r="V71" s="239" t="s">
        <v>342</v>
      </c>
      <c r="W71" s="580" t="s">
        <v>387</v>
      </c>
      <c r="X71" s="580" t="s">
        <v>387</v>
      </c>
      <c r="Y71" s="239"/>
      <c r="Z71" s="239"/>
      <c r="AA71" s="239">
        <v>0</v>
      </c>
      <c r="AB71" s="239"/>
      <c r="AC71" s="7"/>
      <c r="AD71" s="7"/>
      <c r="AE71" s="7">
        <v>0</v>
      </c>
      <c r="AF71" s="7">
        <v>0</v>
      </c>
      <c r="AG71" s="7">
        <v>0</v>
      </c>
      <c r="AH71" s="7"/>
      <c r="AI71" s="7">
        <v>0</v>
      </c>
      <c r="AJ71" s="7">
        <v>0</v>
      </c>
      <c r="AK71" s="273"/>
      <c r="AL71" s="273"/>
      <c r="AM71" s="273"/>
      <c r="AN71" s="277"/>
      <c r="AO71" s="277"/>
      <c r="AP71" s="277"/>
      <c r="AQ71" s="7" t="s">
        <v>388</v>
      </c>
      <c r="AR71" s="283"/>
    </row>
    <row r="72" spans="1:44" ht="15" customHeight="1">
      <c r="A72" s="7">
        <v>1020208</v>
      </c>
      <c r="B72" s="7" t="s">
        <v>338</v>
      </c>
      <c r="C72" s="7" t="s">
        <v>389</v>
      </c>
      <c r="D72" s="7" t="s">
        <v>81</v>
      </c>
      <c r="E72" s="7" t="s">
        <v>325</v>
      </c>
      <c r="F72" s="7">
        <v>5</v>
      </c>
      <c r="G72" s="7">
        <v>2</v>
      </c>
      <c r="H72" s="7" t="s">
        <v>136</v>
      </c>
      <c r="I72" s="7" t="s">
        <v>137</v>
      </c>
      <c r="J72" s="7"/>
      <c r="K72" s="7"/>
      <c r="L72" s="250" t="s">
        <v>390</v>
      </c>
      <c r="M72" s="238"/>
      <c r="N72" s="238"/>
      <c r="O72" s="7"/>
      <c r="P72" s="239"/>
      <c r="Q72" s="239">
        <v>0</v>
      </c>
      <c r="R72" s="239" t="s">
        <v>153</v>
      </c>
      <c r="S72" s="7">
        <v>1020208</v>
      </c>
      <c r="T72" s="262"/>
      <c r="U72" s="263"/>
      <c r="V72" s="239" t="s">
        <v>342</v>
      </c>
      <c r="W72" s="580" t="s">
        <v>391</v>
      </c>
      <c r="X72" s="580" t="s">
        <v>391</v>
      </c>
      <c r="Y72" s="239"/>
      <c r="Z72" s="239"/>
      <c r="AA72" s="239">
        <v>0</v>
      </c>
      <c r="AB72" s="239"/>
      <c r="AC72" s="7"/>
      <c r="AD72" s="7"/>
      <c r="AE72" s="7">
        <v>0</v>
      </c>
      <c r="AF72" s="7">
        <v>0</v>
      </c>
      <c r="AG72" s="7">
        <v>0</v>
      </c>
      <c r="AH72" s="7"/>
      <c r="AI72" s="7">
        <v>0</v>
      </c>
      <c r="AJ72" s="7">
        <v>0</v>
      </c>
      <c r="AK72" s="273"/>
      <c r="AL72" s="273"/>
      <c r="AM72" s="273"/>
      <c r="AN72" s="277"/>
      <c r="AO72" s="277"/>
      <c r="AP72" s="277"/>
      <c r="AQ72" s="7" t="s">
        <v>392</v>
      </c>
      <c r="AR72" s="283"/>
    </row>
    <row r="73" spans="1:44" ht="15" customHeight="1">
      <c r="A73" s="7">
        <v>1020209</v>
      </c>
      <c r="B73" s="7" t="s">
        <v>338</v>
      </c>
      <c r="C73" s="7" t="s">
        <v>393</v>
      </c>
      <c r="D73" s="7" t="s">
        <v>81</v>
      </c>
      <c r="E73" s="7" t="s">
        <v>325</v>
      </c>
      <c r="F73" s="7">
        <v>6</v>
      </c>
      <c r="G73" s="7">
        <v>2</v>
      </c>
      <c r="H73" s="7" t="s">
        <v>136</v>
      </c>
      <c r="I73" s="7" t="s">
        <v>137</v>
      </c>
      <c r="J73" s="7"/>
      <c r="K73" s="7"/>
      <c r="L73" s="250" t="s">
        <v>394</v>
      </c>
      <c r="M73" s="238"/>
      <c r="N73" s="238"/>
      <c r="O73" s="7"/>
      <c r="P73" s="239"/>
      <c r="Q73" s="239">
        <v>0</v>
      </c>
      <c r="R73" s="239" t="s">
        <v>153</v>
      </c>
      <c r="S73" s="7">
        <v>1020209</v>
      </c>
      <c r="T73" s="304"/>
      <c r="U73" s="305"/>
      <c r="V73" s="239" t="s">
        <v>342</v>
      </c>
      <c r="W73" s="580" t="s">
        <v>395</v>
      </c>
      <c r="X73" s="580" t="s">
        <v>395</v>
      </c>
      <c r="Y73" s="321"/>
      <c r="Z73" s="321"/>
      <c r="AA73" s="239">
        <v>0</v>
      </c>
      <c r="AB73" s="239"/>
      <c r="AC73" s="7"/>
      <c r="AD73" s="7"/>
      <c r="AE73" s="7">
        <v>0</v>
      </c>
      <c r="AF73" s="7">
        <v>0</v>
      </c>
      <c r="AG73" s="7">
        <v>0</v>
      </c>
      <c r="AH73" s="7"/>
      <c r="AI73" s="7">
        <v>0</v>
      </c>
      <c r="AJ73" s="7">
        <v>0</v>
      </c>
      <c r="AK73" s="273"/>
      <c r="AL73" s="273"/>
      <c r="AM73" s="273"/>
      <c r="AN73" s="277"/>
      <c r="AO73" s="277"/>
      <c r="AP73" s="277"/>
      <c r="AQ73" s="7" t="s">
        <v>396</v>
      </c>
      <c r="AR73" s="283"/>
    </row>
    <row r="74" spans="1:44" ht="15" customHeight="1">
      <c r="A74" s="7">
        <v>1020210</v>
      </c>
      <c r="B74" s="7" t="s">
        <v>338</v>
      </c>
      <c r="C74" s="7" t="s">
        <v>397</v>
      </c>
      <c r="D74" s="7" t="s">
        <v>81</v>
      </c>
      <c r="E74" s="7" t="s">
        <v>325</v>
      </c>
      <c r="F74" s="7">
        <v>7</v>
      </c>
      <c r="G74" s="7">
        <v>2</v>
      </c>
      <c r="H74" s="7" t="s">
        <v>136</v>
      </c>
      <c r="I74" s="7" t="s">
        <v>137</v>
      </c>
      <c r="J74" s="7"/>
      <c r="K74" s="7"/>
      <c r="L74" s="250" t="s">
        <v>398</v>
      </c>
      <c r="M74" s="238"/>
      <c r="N74" s="238"/>
      <c r="O74" s="7"/>
      <c r="P74" s="239"/>
      <c r="Q74" s="239">
        <v>0</v>
      </c>
      <c r="R74" s="239" t="s">
        <v>153</v>
      </c>
      <c r="S74" s="7">
        <v>1020210</v>
      </c>
      <c r="T74" s="306"/>
      <c r="U74" s="263"/>
      <c r="V74" s="239" t="s">
        <v>342</v>
      </c>
      <c r="W74" s="580" t="s">
        <v>399</v>
      </c>
      <c r="X74" s="580" t="s">
        <v>399</v>
      </c>
      <c r="Y74" s="239"/>
      <c r="Z74" s="239"/>
      <c r="AA74" s="239"/>
      <c r="AB74" s="239"/>
      <c r="AC74" s="7"/>
      <c r="AD74" s="7"/>
      <c r="AE74" s="7">
        <v>0</v>
      </c>
      <c r="AF74" s="7">
        <v>0</v>
      </c>
      <c r="AG74" s="7">
        <v>0</v>
      </c>
      <c r="AH74" s="7"/>
      <c r="AI74" s="7">
        <v>0</v>
      </c>
      <c r="AJ74" s="7">
        <v>0</v>
      </c>
      <c r="AK74" s="273"/>
      <c r="AL74" s="273"/>
      <c r="AM74" s="273"/>
      <c r="AN74" s="277"/>
      <c r="AO74" s="277"/>
      <c r="AP74" s="277"/>
      <c r="AQ74" s="7" t="s">
        <v>400</v>
      </c>
      <c r="AR74" s="283"/>
    </row>
    <row r="75" spans="1:44" ht="15" customHeight="1">
      <c r="A75" s="3">
        <v>1020211</v>
      </c>
      <c r="B75" s="3" t="s">
        <v>338</v>
      </c>
      <c r="C75" s="236" t="s">
        <v>401</v>
      </c>
      <c r="D75" s="3" t="s">
        <v>81</v>
      </c>
      <c r="E75" s="3" t="s">
        <v>325</v>
      </c>
      <c r="F75" s="3">
        <v>8</v>
      </c>
      <c r="G75" s="3">
        <v>2</v>
      </c>
      <c r="H75" s="3" t="s">
        <v>136</v>
      </c>
      <c r="I75" s="3" t="s">
        <v>137</v>
      </c>
      <c r="J75" s="3"/>
      <c r="K75" s="3"/>
      <c r="L75" s="236"/>
      <c r="M75" s="99"/>
      <c r="N75" s="99"/>
      <c r="O75" s="236"/>
      <c r="P75" s="22"/>
      <c r="Q75" s="22">
        <v>0</v>
      </c>
      <c r="R75" s="22" t="s">
        <v>153</v>
      </c>
      <c r="S75" s="3"/>
      <c r="T75" s="260"/>
      <c r="U75" s="261"/>
      <c r="V75" s="22"/>
      <c r="W75" s="567" t="s">
        <v>402</v>
      </c>
      <c r="X75" s="567" t="s">
        <v>403</v>
      </c>
      <c r="Y75" s="22"/>
      <c r="Z75" s="22"/>
      <c r="AA75" s="22"/>
      <c r="AB75" s="22" t="s">
        <v>114</v>
      </c>
      <c r="AC75" s="3"/>
      <c r="AD75" s="3"/>
      <c r="AE75" s="3">
        <v>0</v>
      </c>
      <c r="AF75" s="3">
        <v>0</v>
      </c>
      <c r="AG75" s="3">
        <v>0</v>
      </c>
      <c r="AH75" s="3"/>
      <c r="AI75" s="3">
        <v>0</v>
      </c>
      <c r="AJ75" s="3">
        <v>0</v>
      </c>
      <c r="AK75" s="3">
        <v>0</v>
      </c>
      <c r="AL75" s="3"/>
      <c r="AM75" s="3"/>
      <c r="AN75" s="3"/>
      <c r="AO75" s="3"/>
      <c r="AP75" s="3"/>
      <c r="AQ75" s="3" t="s">
        <v>381</v>
      </c>
      <c r="AR75" s="281"/>
    </row>
    <row r="76" spans="1:44" ht="15" customHeight="1">
      <c r="A76" s="3">
        <v>1020212</v>
      </c>
      <c r="B76" s="3" t="s">
        <v>338</v>
      </c>
      <c r="C76" s="236" t="s">
        <v>404</v>
      </c>
      <c r="D76" s="3" t="s">
        <v>81</v>
      </c>
      <c r="E76" s="3" t="s">
        <v>325</v>
      </c>
      <c r="F76" s="3">
        <v>9</v>
      </c>
      <c r="G76" s="3">
        <v>2</v>
      </c>
      <c r="H76" s="3" t="s">
        <v>136</v>
      </c>
      <c r="I76" s="3" t="s">
        <v>137</v>
      </c>
      <c r="J76" s="3"/>
      <c r="K76" s="3"/>
      <c r="L76" s="236"/>
      <c r="M76" s="99"/>
      <c r="N76" s="99"/>
      <c r="O76" s="236"/>
      <c r="P76" s="22"/>
      <c r="Q76" s="22">
        <v>0</v>
      </c>
      <c r="R76" s="22" t="s">
        <v>153</v>
      </c>
      <c r="S76" s="3"/>
      <c r="T76" s="260"/>
      <c r="U76" s="261"/>
      <c r="V76" s="22"/>
      <c r="W76" s="567" t="s">
        <v>405</v>
      </c>
      <c r="X76" s="567" t="s">
        <v>405</v>
      </c>
      <c r="Y76" s="22"/>
      <c r="Z76" s="22"/>
      <c r="AA76" s="22"/>
      <c r="AB76" s="22" t="s">
        <v>114</v>
      </c>
      <c r="AC76" s="3"/>
      <c r="AD76" s="3"/>
      <c r="AE76" s="3">
        <v>0</v>
      </c>
      <c r="AF76" s="3">
        <v>0</v>
      </c>
      <c r="AG76" s="3">
        <v>0</v>
      </c>
      <c r="AH76" s="3"/>
      <c r="AI76" s="3">
        <v>0</v>
      </c>
      <c r="AJ76" s="3">
        <v>0</v>
      </c>
      <c r="AK76" s="3">
        <v>0</v>
      </c>
      <c r="AL76" s="3"/>
      <c r="AM76" s="3"/>
      <c r="AN76" s="3"/>
      <c r="AO76" s="3"/>
      <c r="AP76" s="3"/>
      <c r="AQ76" s="282" t="str">
        <f>"tricks/"&amp;A76</f>
        <v>tricks/1020212</v>
      </c>
      <c r="AR76" s="281"/>
    </row>
    <row r="77" spans="1:44" ht="15" customHeight="1">
      <c r="A77" s="3">
        <v>1020213</v>
      </c>
      <c r="B77" s="3" t="s">
        <v>338</v>
      </c>
      <c r="C77" s="236" t="s">
        <v>406</v>
      </c>
      <c r="D77" s="3" t="s">
        <v>81</v>
      </c>
      <c r="E77" s="3" t="s">
        <v>325</v>
      </c>
      <c r="F77" s="3">
        <v>10</v>
      </c>
      <c r="G77" s="3">
        <v>2</v>
      </c>
      <c r="H77" s="3" t="s">
        <v>136</v>
      </c>
      <c r="I77" s="3" t="s">
        <v>137</v>
      </c>
      <c r="J77" s="3"/>
      <c r="K77" s="3"/>
      <c r="L77" s="236"/>
      <c r="M77" s="99"/>
      <c r="N77" s="99"/>
      <c r="O77" s="236"/>
      <c r="P77" s="22"/>
      <c r="Q77" s="22">
        <v>0</v>
      </c>
      <c r="R77" s="22" t="s">
        <v>153</v>
      </c>
      <c r="S77" s="3"/>
      <c r="T77" s="260"/>
      <c r="U77" s="261"/>
      <c r="V77" s="22"/>
      <c r="W77" s="585" t="s">
        <v>407</v>
      </c>
      <c r="X77" s="585" t="s">
        <v>407</v>
      </c>
      <c r="Y77" s="22"/>
      <c r="Z77" s="22"/>
      <c r="AA77" s="22"/>
      <c r="AB77" s="22" t="s">
        <v>114</v>
      </c>
      <c r="AC77" s="3"/>
      <c r="AD77" s="3"/>
      <c r="AE77" s="3">
        <v>0</v>
      </c>
      <c r="AF77" s="3">
        <v>0</v>
      </c>
      <c r="AG77" s="3">
        <v>0</v>
      </c>
      <c r="AH77" s="3"/>
      <c r="AI77" s="3">
        <v>0</v>
      </c>
      <c r="AJ77" s="3">
        <v>0</v>
      </c>
      <c r="AK77" s="3">
        <v>0</v>
      </c>
      <c r="AL77" s="3"/>
      <c r="AM77" s="3"/>
      <c r="AN77" s="3"/>
      <c r="AO77" s="3"/>
      <c r="AP77" s="3"/>
      <c r="AQ77" s="282" t="str">
        <f>"tricks/"&amp;A77</f>
        <v>tricks/1020213</v>
      </c>
      <c r="AR77" s="281"/>
    </row>
    <row r="78" spans="1:44" ht="15" customHeight="1">
      <c r="A78" s="26">
        <v>1020301</v>
      </c>
      <c r="B78" s="26" t="s">
        <v>408</v>
      </c>
      <c r="C78" s="26" t="s">
        <v>409</v>
      </c>
      <c r="D78" s="26" t="s">
        <v>81</v>
      </c>
      <c r="E78" s="26" t="s">
        <v>325</v>
      </c>
      <c r="F78" s="26">
        <v>1</v>
      </c>
      <c r="G78" s="26">
        <v>2</v>
      </c>
      <c r="H78" s="26" t="s">
        <v>82</v>
      </c>
      <c r="I78" s="26" t="s">
        <v>101</v>
      </c>
      <c r="J78" s="26"/>
      <c r="K78" s="26">
        <v>1</v>
      </c>
      <c r="L78" s="287" t="s">
        <v>410</v>
      </c>
      <c r="M78" s="288"/>
      <c r="N78" s="288"/>
      <c r="O78" s="26"/>
      <c r="P78" s="289">
        <v>9</v>
      </c>
      <c r="Q78" s="289">
        <v>0</v>
      </c>
      <c r="R78" s="289" t="s">
        <v>85</v>
      </c>
      <c r="S78" s="26">
        <v>1020301</v>
      </c>
      <c r="T78" s="307" t="s">
        <v>411</v>
      </c>
      <c r="U78" s="308" t="s">
        <v>412</v>
      </c>
      <c r="V78" s="289" t="s">
        <v>413</v>
      </c>
      <c r="W78" s="586" t="s">
        <v>414</v>
      </c>
      <c r="X78" s="586" t="s">
        <v>414</v>
      </c>
      <c r="Y78" s="289"/>
      <c r="Z78" s="289"/>
      <c r="AA78" s="289">
        <v>1</v>
      </c>
      <c r="AB78" s="289" t="s">
        <v>90</v>
      </c>
      <c r="AC78" s="26"/>
      <c r="AD78" s="26"/>
      <c r="AE78" s="26">
        <v>1</v>
      </c>
      <c r="AF78" s="26">
        <v>2</v>
      </c>
      <c r="AG78" s="26">
        <v>7</v>
      </c>
      <c r="AH78" s="26"/>
      <c r="AI78" s="26">
        <v>39</v>
      </c>
      <c r="AJ78" s="26">
        <v>26</v>
      </c>
      <c r="AK78" s="325" t="s">
        <v>415</v>
      </c>
      <c r="AL78" s="325"/>
      <c r="AM78" s="325"/>
      <c r="AN78" s="326" t="s">
        <v>416</v>
      </c>
      <c r="AO78" s="326"/>
      <c r="AP78" s="326"/>
      <c r="AQ78" s="26" t="s">
        <v>417</v>
      </c>
      <c r="AR78" s="330">
        <v>189</v>
      </c>
    </row>
    <row r="79" spans="1:44" ht="15" customHeight="1">
      <c r="A79" s="26">
        <v>1020302</v>
      </c>
      <c r="B79" s="26" t="s">
        <v>408</v>
      </c>
      <c r="C79" s="26" t="s">
        <v>418</v>
      </c>
      <c r="D79" s="26" t="s">
        <v>81</v>
      </c>
      <c r="E79" s="26" t="s">
        <v>325</v>
      </c>
      <c r="F79" s="26">
        <v>1</v>
      </c>
      <c r="G79" s="26">
        <v>2</v>
      </c>
      <c r="H79" s="26" t="s">
        <v>136</v>
      </c>
      <c r="I79" s="26" t="s">
        <v>137</v>
      </c>
      <c r="J79" s="26"/>
      <c r="K79" s="26"/>
      <c r="L79" s="287" t="s">
        <v>419</v>
      </c>
      <c r="M79" s="288"/>
      <c r="N79" s="288"/>
      <c r="O79" s="26"/>
      <c r="P79" s="289"/>
      <c r="Q79" s="289">
        <v>0</v>
      </c>
      <c r="R79" s="289" t="s">
        <v>153</v>
      </c>
      <c r="S79" s="26">
        <v>1020302</v>
      </c>
      <c r="T79" s="309"/>
      <c r="U79" s="310"/>
      <c r="V79" s="289" t="s">
        <v>413</v>
      </c>
      <c r="W79" s="586" t="s">
        <v>420</v>
      </c>
      <c r="X79" s="586" t="s">
        <v>420</v>
      </c>
      <c r="Y79" s="322"/>
      <c r="Z79" s="322"/>
      <c r="AA79" s="289">
        <v>0</v>
      </c>
      <c r="AB79" s="289"/>
      <c r="AC79" s="26"/>
      <c r="AD79" s="26"/>
      <c r="AE79" s="26">
        <v>0</v>
      </c>
      <c r="AF79" s="26">
        <v>0</v>
      </c>
      <c r="AG79" s="26">
        <v>0</v>
      </c>
      <c r="AH79" s="26"/>
      <c r="AI79" s="26">
        <v>0</v>
      </c>
      <c r="AJ79" s="26">
        <v>0</v>
      </c>
      <c r="AK79" s="325"/>
      <c r="AL79" s="325"/>
      <c r="AM79" s="325"/>
      <c r="AN79" s="326"/>
      <c r="AO79" s="326"/>
      <c r="AP79" s="326"/>
      <c r="AQ79" s="26" t="s">
        <v>421</v>
      </c>
      <c r="AR79" s="330"/>
    </row>
    <row r="80" spans="1:44" ht="15" customHeight="1">
      <c r="A80" s="26">
        <v>1020303</v>
      </c>
      <c r="B80" s="26" t="s">
        <v>408</v>
      </c>
      <c r="C80" s="290" t="s">
        <v>422</v>
      </c>
      <c r="D80" s="26" t="s">
        <v>81</v>
      </c>
      <c r="E80" s="26" t="s">
        <v>325</v>
      </c>
      <c r="F80" s="26">
        <v>1</v>
      </c>
      <c r="G80" s="26">
        <v>2</v>
      </c>
      <c r="H80" s="26" t="s">
        <v>82</v>
      </c>
      <c r="I80" s="26" t="s">
        <v>101</v>
      </c>
      <c r="J80" s="26"/>
      <c r="K80" s="26">
        <v>2</v>
      </c>
      <c r="L80" s="287" t="s">
        <v>423</v>
      </c>
      <c r="M80" s="288"/>
      <c r="N80" s="288"/>
      <c r="O80" s="290"/>
      <c r="P80" s="289">
        <v>2</v>
      </c>
      <c r="Q80" s="289">
        <v>0</v>
      </c>
      <c r="R80" s="289" t="s">
        <v>85</v>
      </c>
      <c r="S80" s="26">
        <v>1020303</v>
      </c>
      <c r="T80" s="307" t="s">
        <v>424</v>
      </c>
      <c r="U80" s="308" t="s">
        <v>412</v>
      </c>
      <c r="V80" s="289" t="s">
        <v>413</v>
      </c>
      <c r="W80" s="586" t="s">
        <v>425</v>
      </c>
      <c r="X80" s="586" t="s">
        <v>425</v>
      </c>
      <c r="Y80" s="289"/>
      <c r="Z80" s="289"/>
      <c r="AA80" s="289">
        <v>1</v>
      </c>
      <c r="AB80" s="289" t="s">
        <v>90</v>
      </c>
      <c r="AC80" s="26"/>
      <c r="AD80" s="26"/>
      <c r="AE80" s="26">
        <v>1</v>
      </c>
      <c r="AF80" s="26">
        <v>1</v>
      </c>
      <c r="AG80" s="26">
        <v>5</v>
      </c>
      <c r="AH80" s="26"/>
      <c r="AI80" s="26">
        <v>39</v>
      </c>
      <c r="AJ80" s="26">
        <v>26</v>
      </c>
      <c r="AK80" s="325" t="s">
        <v>426</v>
      </c>
      <c r="AL80" s="325"/>
      <c r="AM80" s="325"/>
      <c r="AN80" s="326" t="s">
        <v>427</v>
      </c>
      <c r="AO80" s="326"/>
      <c r="AP80" s="326"/>
      <c r="AQ80" s="26" t="s">
        <v>428</v>
      </c>
      <c r="AR80" s="330">
        <v>190</v>
      </c>
    </row>
    <row r="81" spans="1:44" ht="15" customHeight="1">
      <c r="A81" s="26">
        <v>1020304</v>
      </c>
      <c r="B81" s="26" t="s">
        <v>408</v>
      </c>
      <c r="C81" s="26" t="s">
        <v>429</v>
      </c>
      <c r="D81" s="26" t="s">
        <v>81</v>
      </c>
      <c r="E81" s="26" t="s">
        <v>325</v>
      </c>
      <c r="F81" s="26">
        <v>2</v>
      </c>
      <c r="G81" s="26">
        <v>2</v>
      </c>
      <c r="H81" s="26" t="s">
        <v>136</v>
      </c>
      <c r="I81" s="26" t="s">
        <v>137</v>
      </c>
      <c r="J81" s="26"/>
      <c r="K81" s="26"/>
      <c r="L81" s="291" t="s">
        <v>430</v>
      </c>
      <c r="M81" s="288"/>
      <c r="N81" s="288"/>
      <c r="O81" s="26"/>
      <c r="P81" s="289"/>
      <c r="Q81" s="289">
        <v>0</v>
      </c>
      <c r="R81" s="289" t="s">
        <v>153</v>
      </c>
      <c r="S81" s="26">
        <v>1020304</v>
      </c>
      <c r="T81" s="311"/>
      <c r="U81" s="310"/>
      <c r="V81" s="289" t="s">
        <v>413</v>
      </c>
      <c r="W81" s="587" t="s">
        <v>431</v>
      </c>
      <c r="X81" s="587" t="s">
        <v>431</v>
      </c>
      <c r="Y81" s="322"/>
      <c r="Z81" s="322"/>
      <c r="AA81" s="289">
        <v>0</v>
      </c>
      <c r="AB81" s="289"/>
      <c r="AC81" s="26"/>
      <c r="AD81" s="26"/>
      <c r="AE81" s="26">
        <v>0</v>
      </c>
      <c r="AF81" s="26">
        <v>0</v>
      </c>
      <c r="AG81" s="26">
        <v>0</v>
      </c>
      <c r="AH81" s="26"/>
      <c r="AI81" s="26">
        <v>0</v>
      </c>
      <c r="AJ81" s="26">
        <v>0</v>
      </c>
      <c r="AK81" s="325"/>
      <c r="AL81" s="325"/>
      <c r="AM81" s="325"/>
      <c r="AN81" s="26"/>
      <c r="AO81" s="26"/>
      <c r="AP81" s="26"/>
      <c r="AQ81" s="26" t="s">
        <v>432</v>
      </c>
      <c r="AR81" s="330"/>
    </row>
    <row r="82" spans="1:44" ht="15" customHeight="1">
      <c r="A82" s="26">
        <v>1020305</v>
      </c>
      <c r="B82" s="26" t="s">
        <v>408</v>
      </c>
      <c r="C82" s="290" t="s">
        <v>433</v>
      </c>
      <c r="D82" s="26" t="s">
        <v>81</v>
      </c>
      <c r="E82" s="26" t="s">
        <v>325</v>
      </c>
      <c r="F82" s="26">
        <v>1</v>
      </c>
      <c r="G82" s="26">
        <v>2</v>
      </c>
      <c r="H82" s="26" t="s">
        <v>82</v>
      </c>
      <c r="I82" s="26" t="s">
        <v>101</v>
      </c>
      <c r="J82" s="26"/>
      <c r="K82" s="26">
        <v>3</v>
      </c>
      <c r="L82" s="292" t="s">
        <v>434</v>
      </c>
      <c r="M82" s="288"/>
      <c r="N82" s="288"/>
      <c r="O82" s="290"/>
      <c r="P82" s="289" t="s">
        <v>376</v>
      </c>
      <c r="Q82" s="289">
        <v>0</v>
      </c>
      <c r="R82" s="289" t="s">
        <v>85</v>
      </c>
      <c r="S82" s="26">
        <v>1020305</v>
      </c>
      <c r="T82" s="307" t="s">
        <v>424</v>
      </c>
      <c r="U82" s="308" t="s">
        <v>435</v>
      </c>
      <c r="V82" s="289" t="s">
        <v>413</v>
      </c>
      <c r="W82" s="586" t="s">
        <v>436</v>
      </c>
      <c r="X82" s="586" t="s">
        <v>436</v>
      </c>
      <c r="Y82" s="289"/>
      <c r="Z82" s="289"/>
      <c r="AA82" s="289">
        <v>1</v>
      </c>
      <c r="AB82" s="289" t="s">
        <v>90</v>
      </c>
      <c r="AC82" s="26"/>
      <c r="AD82" s="26"/>
      <c r="AE82" s="26">
        <v>1</v>
      </c>
      <c r="AF82" s="26">
        <v>1</v>
      </c>
      <c r="AG82" s="26">
        <v>5</v>
      </c>
      <c r="AH82" s="26"/>
      <c r="AI82" s="26">
        <v>7</v>
      </c>
      <c r="AJ82" s="26">
        <v>6</v>
      </c>
      <c r="AK82" s="325" t="s">
        <v>437</v>
      </c>
      <c r="AL82" s="325"/>
      <c r="AM82" s="325"/>
      <c r="AN82" s="326" t="s">
        <v>438</v>
      </c>
      <c r="AO82" s="326"/>
      <c r="AP82" s="326"/>
      <c r="AQ82" s="26" t="s">
        <v>439</v>
      </c>
      <c r="AR82" s="330">
        <v>191</v>
      </c>
    </row>
    <row r="83" spans="1:44" ht="15" customHeight="1">
      <c r="A83" s="26">
        <v>1020306</v>
      </c>
      <c r="B83" s="26" t="s">
        <v>408</v>
      </c>
      <c r="C83" s="26" t="s">
        <v>440</v>
      </c>
      <c r="D83" s="26" t="s">
        <v>81</v>
      </c>
      <c r="E83" s="26" t="s">
        <v>325</v>
      </c>
      <c r="F83" s="26">
        <v>3</v>
      </c>
      <c r="G83" s="26">
        <v>2</v>
      </c>
      <c r="H83" s="26" t="s">
        <v>136</v>
      </c>
      <c r="I83" s="26" t="s">
        <v>137</v>
      </c>
      <c r="J83" s="26"/>
      <c r="K83" s="26"/>
      <c r="L83" s="291" t="s">
        <v>441</v>
      </c>
      <c r="M83" s="288"/>
      <c r="N83" s="288"/>
      <c r="O83" s="26"/>
      <c r="P83" s="289"/>
      <c r="Q83" s="289">
        <v>0</v>
      </c>
      <c r="R83" s="289" t="s">
        <v>153</v>
      </c>
      <c r="S83" s="26">
        <v>1020306</v>
      </c>
      <c r="T83" s="307"/>
      <c r="U83" s="308"/>
      <c r="V83" s="289" t="s">
        <v>413</v>
      </c>
      <c r="W83" s="587" t="s">
        <v>442</v>
      </c>
      <c r="X83" s="587" t="s">
        <v>442</v>
      </c>
      <c r="Y83" s="289"/>
      <c r="Z83" s="289"/>
      <c r="AA83" s="289">
        <v>0</v>
      </c>
      <c r="AB83" s="289"/>
      <c r="AC83" s="26"/>
      <c r="AD83" s="26"/>
      <c r="AE83" s="26">
        <v>0</v>
      </c>
      <c r="AF83" s="26">
        <v>0</v>
      </c>
      <c r="AG83" s="26">
        <v>0</v>
      </c>
      <c r="AH83" s="26"/>
      <c r="AI83" s="26">
        <v>0</v>
      </c>
      <c r="AJ83" s="26">
        <v>0</v>
      </c>
      <c r="AK83" s="325"/>
      <c r="AL83" s="325"/>
      <c r="AM83" s="325"/>
      <c r="AN83" s="26"/>
      <c r="AO83" s="26"/>
      <c r="AP83" s="26"/>
      <c r="AQ83" s="26" t="s">
        <v>443</v>
      </c>
      <c r="AR83" s="330"/>
    </row>
    <row r="84" spans="1:44" ht="15" customHeight="1">
      <c r="A84" s="26">
        <v>1020307</v>
      </c>
      <c r="B84" s="26" t="s">
        <v>408</v>
      </c>
      <c r="C84" s="290" t="s">
        <v>444</v>
      </c>
      <c r="D84" s="26" t="s">
        <v>81</v>
      </c>
      <c r="E84" s="26" t="s">
        <v>325</v>
      </c>
      <c r="F84" s="26">
        <v>4</v>
      </c>
      <c r="G84" s="26">
        <v>2</v>
      </c>
      <c r="H84" s="26" t="s">
        <v>136</v>
      </c>
      <c r="I84" s="26" t="s">
        <v>137</v>
      </c>
      <c r="J84" s="26"/>
      <c r="K84" s="26"/>
      <c r="L84" s="287" t="s">
        <v>445</v>
      </c>
      <c r="M84" s="288"/>
      <c r="N84" s="288"/>
      <c r="O84" s="290"/>
      <c r="P84" s="289"/>
      <c r="Q84" s="289">
        <v>0</v>
      </c>
      <c r="R84" s="289" t="s">
        <v>153</v>
      </c>
      <c r="S84" s="26">
        <v>1020307</v>
      </c>
      <c r="T84" s="307"/>
      <c r="U84" s="308"/>
      <c r="V84" s="289" t="s">
        <v>413</v>
      </c>
      <c r="W84" s="586" t="s">
        <v>446</v>
      </c>
      <c r="X84" s="586" t="s">
        <v>446</v>
      </c>
      <c r="Y84" s="289"/>
      <c r="Z84" s="289"/>
      <c r="AA84" s="289">
        <v>0</v>
      </c>
      <c r="AB84" s="289"/>
      <c r="AC84" s="26"/>
      <c r="AD84" s="26"/>
      <c r="AE84" s="26">
        <v>0</v>
      </c>
      <c r="AF84" s="26">
        <v>0</v>
      </c>
      <c r="AG84" s="26">
        <v>0</v>
      </c>
      <c r="AH84" s="26"/>
      <c r="AI84" s="26">
        <v>0</v>
      </c>
      <c r="AJ84" s="26">
        <v>0</v>
      </c>
      <c r="AK84" s="325"/>
      <c r="AL84" s="325"/>
      <c r="AM84" s="325"/>
      <c r="AN84" s="326"/>
      <c r="AO84" s="326"/>
      <c r="AP84" s="326"/>
      <c r="AQ84" s="26" t="s">
        <v>447</v>
      </c>
      <c r="AR84" s="330"/>
    </row>
    <row r="85" spans="1:44" ht="15" customHeight="1">
      <c r="A85" s="26">
        <v>1020308</v>
      </c>
      <c r="B85" s="26" t="s">
        <v>408</v>
      </c>
      <c r="C85" s="26" t="s">
        <v>448</v>
      </c>
      <c r="D85" s="26" t="s">
        <v>81</v>
      </c>
      <c r="E85" s="26" t="s">
        <v>325</v>
      </c>
      <c r="F85" s="26">
        <v>5</v>
      </c>
      <c r="G85" s="26">
        <v>2</v>
      </c>
      <c r="H85" s="26" t="s">
        <v>136</v>
      </c>
      <c r="I85" s="26" t="s">
        <v>137</v>
      </c>
      <c r="J85" s="26"/>
      <c r="K85" s="26"/>
      <c r="L85" s="287" t="s">
        <v>449</v>
      </c>
      <c r="M85" s="288"/>
      <c r="N85" s="288"/>
      <c r="O85" s="26"/>
      <c r="P85" s="289"/>
      <c r="Q85" s="289">
        <v>0</v>
      </c>
      <c r="R85" s="289" t="s">
        <v>153</v>
      </c>
      <c r="S85" s="26">
        <v>1020308</v>
      </c>
      <c r="T85" s="307"/>
      <c r="U85" s="308"/>
      <c r="V85" s="289" t="s">
        <v>413</v>
      </c>
      <c r="W85" s="586" t="s">
        <v>450</v>
      </c>
      <c r="X85" s="586" t="s">
        <v>450</v>
      </c>
      <c r="Y85" s="289"/>
      <c r="Z85" s="289"/>
      <c r="AA85" s="289">
        <v>0</v>
      </c>
      <c r="AB85" s="289"/>
      <c r="AC85" s="26"/>
      <c r="AD85" s="26"/>
      <c r="AE85" s="26">
        <v>0</v>
      </c>
      <c r="AF85" s="26">
        <v>0</v>
      </c>
      <c r="AG85" s="26">
        <v>0</v>
      </c>
      <c r="AH85" s="26"/>
      <c r="AI85" s="26">
        <v>0</v>
      </c>
      <c r="AJ85" s="26">
        <v>0</v>
      </c>
      <c r="AK85" s="325"/>
      <c r="AL85" s="325"/>
      <c r="AM85" s="325"/>
      <c r="AN85" s="326"/>
      <c r="AO85" s="326"/>
      <c r="AP85" s="326"/>
      <c r="AQ85" s="26" t="s">
        <v>451</v>
      </c>
      <c r="AR85" s="330"/>
    </row>
    <row r="86" spans="1:44" ht="15" customHeight="1">
      <c r="A86" s="26">
        <v>1020309</v>
      </c>
      <c r="B86" s="26" t="s">
        <v>408</v>
      </c>
      <c r="C86" s="290" t="s">
        <v>452</v>
      </c>
      <c r="D86" s="26" t="s">
        <v>81</v>
      </c>
      <c r="E86" s="26" t="s">
        <v>325</v>
      </c>
      <c r="F86" s="26">
        <v>6</v>
      </c>
      <c r="G86" s="26">
        <v>2</v>
      </c>
      <c r="H86" s="26" t="s">
        <v>136</v>
      </c>
      <c r="I86" s="26" t="s">
        <v>137</v>
      </c>
      <c r="J86" s="26"/>
      <c r="K86" s="26"/>
      <c r="L86" s="287" t="s">
        <v>453</v>
      </c>
      <c r="M86" s="288"/>
      <c r="N86" s="288"/>
      <c r="O86" s="290"/>
      <c r="P86" s="289"/>
      <c r="Q86" s="289">
        <v>0</v>
      </c>
      <c r="R86" s="289" t="s">
        <v>153</v>
      </c>
      <c r="S86" s="26">
        <v>1020309</v>
      </c>
      <c r="T86" s="312"/>
      <c r="U86" s="313"/>
      <c r="V86" s="289" t="s">
        <v>413</v>
      </c>
      <c r="W86" s="586" t="s">
        <v>454</v>
      </c>
      <c r="X86" s="586" t="s">
        <v>454</v>
      </c>
      <c r="Y86" s="323"/>
      <c r="Z86" s="323"/>
      <c r="AA86" s="289">
        <v>0</v>
      </c>
      <c r="AB86" s="289"/>
      <c r="AC86" s="26"/>
      <c r="AD86" s="26"/>
      <c r="AE86" s="26">
        <v>0</v>
      </c>
      <c r="AF86" s="26">
        <v>0</v>
      </c>
      <c r="AG86" s="26">
        <v>0</v>
      </c>
      <c r="AH86" s="26"/>
      <c r="AI86" s="26">
        <v>0</v>
      </c>
      <c r="AJ86" s="26">
        <v>0</v>
      </c>
      <c r="AK86" s="325"/>
      <c r="AL86" s="325"/>
      <c r="AM86" s="325"/>
      <c r="AN86" s="326"/>
      <c r="AO86" s="326"/>
      <c r="AP86" s="326"/>
      <c r="AQ86" s="26" t="s">
        <v>455</v>
      </c>
      <c r="AR86" s="330"/>
    </row>
    <row r="87" spans="1:44" ht="15" customHeight="1">
      <c r="A87" s="26">
        <v>1020310</v>
      </c>
      <c r="B87" s="26" t="s">
        <v>408</v>
      </c>
      <c r="C87" s="293" t="s">
        <v>456</v>
      </c>
      <c r="D87" s="26" t="s">
        <v>81</v>
      </c>
      <c r="E87" s="26" t="s">
        <v>325</v>
      </c>
      <c r="F87" s="26">
        <v>7</v>
      </c>
      <c r="G87" s="26">
        <v>2</v>
      </c>
      <c r="H87" s="26" t="s">
        <v>136</v>
      </c>
      <c r="I87" s="26" t="s">
        <v>137</v>
      </c>
      <c r="J87" s="26"/>
      <c r="K87" s="26"/>
      <c r="L87" s="287" t="s">
        <v>457</v>
      </c>
      <c r="M87" s="288"/>
      <c r="N87" s="288"/>
      <c r="O87" s="293"/>
      <c r="P87" s="289"/>
      <c r="Q87" s="289">
        <v>0</v>
      </c>
      <c r="R87" s="289" t="s">
        <v>153</v>
      </c>
      <c r="S87" s="26">
        <v>1020310</v>
      </c>
      <c r="T87" s="307"/>
      <c r="U87" s="308"/>
      <c r="V87" s="289" t="s">
        <v>413</v>
      </c>
      <c r="W87" s="586" t="s">
        <v>458</v>
      </c>
      <c r="X87" s="586" t="s">
        <v>458</v>
      </c>
      <c r="Y87" s="289"/>
      <c r="Z87" s="289"/>
      <c r="AA87" s="289"/>
      <c r="AB87" s="289"/>
      <c r="AC87" s="26"/>
      <c r="AD87" s="26"/>
      <c r="AE87" s="26">
        <v>0</v>
      </c>
      <c r="AF87" s="26">
        <v>0</v>
      </c>
      <c r="AG87" s="26">
        <v>0</v>
      </c>
      <c r="AH87" s="26"/>
      <c r="AI87" s="26">
        <v>0</v>
      </c>
      <c r="AJ87" s="26">
        <v>0</v>
      </c>
      <c r="AK87" s="325"/>
      <c r="AL87" s="325"/>
      <c r="AM87" s="325"/>
      <c r="AN87" s="326"/>
      <c r="AO87" s="326"/>
      <c r="AP87" s="326"/>
      <c r="AQ87" s="26" t="s">
        <v>459</v>
      </c>
      <c r="AR87" s="330"/>
    </row>
    <row r="88" spans="1:44" ht="15" customHeight="1">
      <c r="A88" s="3">
        <v>1020311</v>
      </c>
      <c r="B88" s="3" t="s">
        <v>408</v>
      </c>
      <c r="C88" s="236" t="s">
        <v>460</v>
      </c>
      <c r="D88" s="3" t="s">
        <v>81</v>
      </c>
      <c r="E88" s="3" t="s">
        <v>325</v>
      </c>
      <c r="F88" s="3">
        <v>8</v>
      </c>
      <c r="G88" s="3">
        <v>2</v>
      </c>
      <c r="H88" s="3" t="s">
        <v>136</v>
      </c>
      <c r="I88" s="3" t="s">
        <v>137</v>
      </c>
      <c r="J88" s="3"/>
      <c r="K88" s="3"/>
      <c r="L88" s="236"/>
      <c r="M88" s="99"/>
      <c r="N88" s="99"/>
      <c r="O88" s="236"/>
      <c r="P88" s="22"/>
      <c r="Q88" s="22">
        <v>0</v>
      </c>
      <c r="R88" s="22" t="s">
        <v>153</v>
      </c>
      <c r="S88" s="3"/>
      <c r="T88" s="260"/>
      <c r="U88" s="261"/>
      <c r="V88" s="22"/>
      <c r="W88" s="567" t="s">
        <v>402</v>
      </c>
      <c r="X88" s="567" t="s">
        <v>6750</v>
      </c>
      <c r="Y88" s="22"/>
      <c r="Z88" s="22"/>
      <c r="AA88" s="22"/>
      <c r="AB88" s="22" t="s">
        <v>114</v>
      </c>
      <c r="AC88" s="3"/>
      <c r="AD88" s="3"/>
      <c r="AE88" s="3">
        <v>0</v>
      </c>
      <c r="AF88" s="3">
        <v>0</v>
      </c>
      <c r="AG88" s="3">
        <v>0</v>
      </c>
      <c r="AH88" s="3"/>
      <c r="AI88" s="3">
        <v>0</v>
      </c>
      <c r="AJ88" s="3">
        <v>0</v>
      </c>
      <c r="AK88" s="3">
        <v>0</v>
      </c>
      <c r="AL88" s="3"/>
      <c r="AM88" s="3"/>
      <c r="AN88" s="3"/>
      <c r="AO88" s="3"/>
      <c r="AP88" s="3"/>
      <c r="AQ88" s="3" t="s">
        <v>439</v>
      </c>
      <c r="AR88" s="281"/>
    </row>
    <row r="89" spans="1:44" ht="15" customHeight="1">
      <c r="A89" s="3">
        <v>1020312</v>
      </c>
      <c r="B89" s="3" t="s">
        <v>408</v>
      </c>
      <c r="C89" s="236" t="s">
        <v>461</v>
      </c>
      <c r="D89" s="3" t="s">
        <v>81</v>
      </c>
      <c r="E89" s="3" t="s">
        <v>325</v>
      </c>
      <c r="F89" s="3">
        <v>9</v>
      </c>
      <c r="G89" s="3">
        <v>2</v>
      </c>
      <c r="H89" s="3" t="s">
        <v>136</v>
      </c>
      <c r="I89" s="3" t="s">
        <v>137</v>
      </c>
      <c r="J89" s="3"/>
      <c r="K89" s="3"/>
      <c r="L89" s="236"/>
      <c r="M89" s="99"/>
      <c r="N89" s="99"/>
      <c r="O89" s="236"/>
      <c r="P89" s="22"/>
      <c r="Q89" s="22">
        <v>0</v>
      </c>
      <c r="R89" s="22" t="s">
        <v>153</v>
      </c>
      <c r="S89" s="3"/>
      <c r="T89" s="260"/>
      <c r="U89" s="261"/>
      <c r="V89" s="22"/>
      <c r="W89" s="567" t="s">
        <v>462</v>
      </c>
      <c r="X89" s="567" t="s">
        <v>462</v>
      </c>
      <c r="Y89" s="22"/>
      <c r="Z89" s="22"/>
      <c r="AA89" s="22"/>
      <c r="AB89" s="22" t="s">
        <v>114</v>
      </c>
      <c r="AC89" s="3"/>
      <c r="AD89" s="3"/>
      <c r="AE89" s="3">
        <v>0</v>
      </c>
      <c r="AF89" s="3">
        <v>0</v>
      </c>
      <c r="AG89" s="3">
        <v>0</v>
      </c>
      <c r="AH89" s="3"/>
      <c r="AI89" s="3">
        <v>0</v>
      </c>
      <c r="AJ89" s="3">
        <v>0</v>
      </c>
      <c r="AK89" s="3">
        <v>0</v>
      </c>
      <c r="AL89" s="3"/>
      <c r="AM89" s="3"/>
      <c r="AN89" s="3"/>
      <c r="AO89" s="3"/>
      <c r="AP89" s="3"/>
      <c r="AQ89" s="282" t="str">
        <f>"tricks/"&amp;A89</f>
        <v>tricks/1020312</v>
      </c>
    </row>
    <row r="90" spans="1:44" ht="15" customHeight="1">
      <c r="A90" s="3">
        <v>1020313</v>
      </c>
      <c r="B90" s="3" t="s">
        <v>408</v>
      </c>
      <c r="C90" s="236" t="s">
        <v>463</v>
      </c>
      <c r="D90" s="3" t="s">
        <v>81</v>
      </c>
      <c r="E90" s="3" t="s">
        <v>325</v>
      </c>
      <c r="F90" s="3">
        <v>10</v>
      </c>
      <c r="G90" s="3">
        <v>2</v>
      </c>
      <c r="H90" s="3" t="s">
        <v>136</v>
      </c>
      <c r="I90" s="3" t="s">
        <v>137</v>
      </c>
      <c r="J90" s="3"/>
      <c r="K90" s="3"/>
      <c r="L90" s="236"/>
      <c r="M90" s="99"/>
      <c r="N90" s="99"/>
      <c r="O90" s="236"/>
      <c r="P90" s="22"/>
      <c r="Q90" s="22">
        <v>0</v>
      </c>
      <c r="R90" s="22" t="s">
        <v>153</v>
      </c>
      <c r="S90" s="3"/>
      <c r="T90" s="260"/>
      <c r="U90" s="261"/>
      <c r="V90" s="22"/>
      <c r="W90" s="567" t="s">
        <v>464</v>
      </c>
      <c r="X90" s="567" t="s">
        <v>6764</v>
      </c>
      <c r="Y90" s="22"/>
      <c r="Z90" s="22"/>
      <c r="AA90" s="22"/>
      <c r="AB90" s="22" t="s">
        <v>114</v>
      </c>
      <c r="AC90" s="3"/>
      <c r="AD90" s="3"/>
      <c r="AE90" s="3">
        <v>0</v>
      </c>
      <c r="AF90" s="3">
        <v>0</v>
      </c>
      <c r="AG90" s="3">
        <v>0</v>
      </c>
      <c r="AH90" s="3"/>
      <c r="AI90" s="3">
        <v>0</v>
      </c>
      <c r="AJ90" s="3">
        <v>0</v>
      </c>
      <c r="AK90" s="3">
        <v>0</v>
      </c>
      <c r="AL90" s="3"/>
      <c r="AM90" s="3"/>
      <c r="AN90" s="3"/>
      <c r="AO90" s="3"/>
      <c r="AP90" s="3"/>
      <c r="AQ90" s="282" t="str">
        <f>"tricks/"&amp;A90</f>
        <v>tricks/1020313</v>
      </c>
    </row>
    <row r="91" spans="1:44" ht="15" customHeight="1">
      <c r="A91" s="7">
        <v>1020401</v>
      </c>
      <c r="B91" s="7" t="s">
        <v>465</v>
      </c>
      <c r="C91" s="294" t="s">
        <v>466</v>
      </c>
      <c r="D91" s="7" t="s">
        <v>81</v>
      </c>
      <c r="E91" s="7" t="s">
        <v>325</v>
      </c>
      <c r="F91" s="7">
        <v>1</v>
      </c>
      <c r="G91" s="7">
        <v>2</v>
      </c>
      <c r="H91" s="7" t="s">
        <v>82</v>
      </c>
      <c r="I91" s="7" t="s">
        <v>101</v>
      </c>
      <c r="J91" s="7"/>
      <c r="K91" s="7">
        <v>1</v>
      </c>
      <c r="L91" s="250" t="s">
        <v>467</v>
      </c>
      <c r="M91" s="238"/>
      <c r="N91" s="238"/>
      <c r="O91" s="294"/>
      <c r="P91" s="239">
        <v>1</v>
      </c>
      <c r="Q91" s="239">
        <v>0</v>
      </c>
      <c r="R91" s="239" t="s">
        <v>85</v>
      </c>
      <c r="S91" s="7">
        <v>1020401</v>
      </c>
      <c r="T91" s="262"/>
      <c r="U91" s="263"/>
      <c r="V91" s="239" t="s">
        <v>468</v>
      </c>
      <c r="W91" s="580" t="s">
        <v>469</v>
      </c>
      <c r="X91" s="580" t="s">
        <v>469</v>
      </c>
      <c r="Y91" s="239"/>
      <c r="Z91" s="239"/>
      <c r="AA91" s="239">
        <v>1</v>
      </c>
      <c r="AB91" s="239" t="s">
        <v>90</v>
      </c>
      <c r="AC91" s="7"/>
      <c r="AD91" s="7"/>
      <c r="AE91" s="7">
        <v>1</v>
      </c>
      <c r="AF91" s="7">
        <v>1</v>
      </c>
      <c r="AG91" s="7">
        <v>6</v>
      </c>
      <c r="AH91" s="7"/>
      <c r="AI91" s="7">
        <v>40</v>
      </c>
      <c r="AJ91" s="7">
        <v>24</v>
      </c>
      <c r="AK91" s="273" t="s">
        <v>470</v>
      </c>
      <c r="AL91" s="273"/>
      <c r="AM91" s="273"/>
      <c r="AN91" s="277" t="s">
        <v>471</v>
      </c>
      <c r="AO91" s="277"/>
      <c r="AP91" s="277"/>
      <c r="AQ91" s="7" t="s">
        <v>472</v>
      </c>
      <c r="AR91" s="283">
        <v>201</v>
      </c>
    </row>
    <row r="92" spans="1:44" ht="15" customHeight="1">
      <c r="A92" s="7">
        <v>1020402</v>
      </c>
      <c r="B92" s="7" t="s">
        <v>465</v>
      </c>
      <c r="C92" s="295" t="s">
        <v>473</v>
      </c>
      <c r="D92" s="7" t="s">
        <v>81</v>
      </c>
      <c r="E92" s="7" t="s">
        <v>325</v>
      </c>
      <c r="F92" s="7">
        <v>1</v>
      </c>
      <c r="G92" s="7">
        <v>2</v>
      </c>
      <c r="H92" s="7" t="s">
        <v>136</v>
      </c>
      <c r="I92" s="7" t="s">
        <v>137</v>
      </c>
      <c r="J92" s="7"/>
      <c r="K92" s="7"/>
      <c r="L92" s="250" t="s">
        <v>474</v>
      </c>
      <c r="M92" s="238"/>
      <c r="N92" s="238"/>
      <c r="O92" s="295"/>
      <c r="P92" s="239"/>
      <c r="Q92" s="239">
        <v>0</v>
      </c>
      <c r="R92" s="239" t="s">
        <v>85</v>
      </c>
      <c r="S92" s="7">
        <v>1020402</v>
      </c>
      <c r="T92" s="314" t="s">
        <v>475</v>
      </c>
      <c r="U92" s="315" t="s">
        <v>476</v>
      </c>
      <c r="V92" s="239" t="s">
        <v>468</v>
      </c>
      <c r="W92" s="580" t="s">
        <v>477</v>
      </c>
      <c r="X92" s="580" t="s">
        <v>477</v>
      </c>
      <c r="Y92" s="324"/>
      <c r="Z92" s="324"/>
      <c r="AA92" s="239">
        <v>0</v>
      </c>
      <c r="AB92" s="239"/>
      <c r="AC92" s="7"/>
      <c r="AD92" s="7"/>
      <c r="AE92" s="7">
        <v>0</v>
      </c>
      <c r="AF92" s="7">
        <v>0</v>
      </c>
      <c r="AG92" s="7">
        <v>0</v>
      </c>
      <c r="AH92" s="7"/>
      <c r="AI92" s="7">
        <v>0</v>
      </c>
      <c r="AJ92" s="7">
        <v>0</v>
      </c>
      <c r="AK92" s="273"/>
      <c r="AL92" s="273"/>
      <c r="AM92" s="273"/>
      <c r="AN92" s="277" t="s">
        <v>478</v>
      </c>
      <c r="AO92" s="277"/>
      <c r="AP92" s="277"/>
      <c r="AQ92" s="7" t="s">
        <v>479</v>
      </c>
      <c r="AR92" s="283"/>
    </row>
    <row r="93" spans="1:44" ht="15" customHeight="1">
      <c r="A93" s="7">
        <v>1020403</v>
      </c>
      <c r="B93" s="7" t="s">
        <v>465</v>
      </c>
      <c r="C93" s="294" t="s">
        <v>480</v>
      </c>
      <c r="D93" s="7" t="s">
        <v>81</v>
      </c>
      <c r="E93" s="7" t="s">
        <v>325</v>
      </c>
      <c r="F93" s="7">
        <v>1</v>
      </c>
      <c r="G93" s="7">
        <v>2</v>
      </c>
      <c r="H93" s="7" t="s">
        <v>82</v>
      </c>
      <c r="I93" s="7" t="s">
        <v>101</v>
      </c>
      <c r="J93" s="7"/>
      <c r="K93" s="7">
        <v>2</v>
      </c>
      <c r="L93" s="250" t="s">
        <v>481</v>
      </c>
      <c r="M93" s="238"/>
      <c r="N93" s="238"/>
      <c r="O93" s="294"/>
      <c r="P93" s="239">
        <v>4</v>
      </c>
      <c r="Q93" s="239">
        <v>0</v>
      </c>
      <c r="R93" s="239" t="s">
        <v>85</v>
      </c>
      <c r="S93" s="7">
        <v>1020403</v>
      </c>
      <c r="T93" s="262" t="s">
        <v>482</v>
      </c>
      <c r="U93" s="263" t="s">
        <v>483</v>
      </c>
      <c r="V93" s="239" t="s">
        <v>468</v>
      </c>
      <c r="W93" s="580" t="s">
        <v>484</v>
      </c>
      <c r="X93" s="580" t="s">
        <v>484</v>
      </c>
      <c r="Y93" s="239"/>
      <c r="Z93" s="239"/>
      <c r="AA93" s="239">
        <v>1</v>
      </c>
      <c r="AB93" s="239" t="s">
        <v>90</v>
      </c>
      <c r="AC93" s="7"/>
      <c r="AD93" s="7"/>
      <c r="AE93" s="7">
        <v>1</v>
      </c>
      <c r="AF93" s="7">
        <v>1</v>
      </c>
      <c r="AG93" s="7">
        <v>5</v>
      </c>
      <c r="AH93" s="7"/>
      <c r="AI93" s="7">
        <v>39</v>
      </c>
      <c r="AJ93" s="7">
        <v>26</v>
      </c>
      <c r="AK93" s="273" t="s">
        <v>485</v>
      </c>
      <c r="AL93" s="273"/>
      <c r="AM93" s="273"/>
      <c r="AN93" s="277" t="s">
        <v>486</v>
      </c>
      <c r="AO93" s="277"/>
      <c r="AP93" s="277"/>
      <c r="AQ93" s="7" t="s">
        <v>487</v>
      </c>
      <c r="AR93" s="283"/>
    </row>
    <row r="94" spans="1:44" ht="15" customHeight="1">
      <c r="A94" s="7">
        <v>1020404</v>
      </c>
      <c r="B94" s="7" t="s">
        <v>465</v>
      </c>
      <c r="C94" s="295" t="s">
        <v>488</v>
      </c>
      <c r="D94" s="7" t="s">
        <v>81</v>
      </c>
      <c r="E94" s="7" t="s">
        <v>325</v>
      </c>
      <c r="F94" s="7">
        <v>2</v>
      </c>
      <c r="G94" s="7">
        <v>2</v>
      </c>
      <c r="H94" s="7" t="s">
        <v>136</v>
      </c>
      <c r="I94" s="7" t="s">
        <v>137</v>
      </c>
      <c r="J94" s="7"/>
      <c r="K94" s="7"/>
      <c r="L94" s="237" t="s">
        <v>489</v>
      </c>
      <c r="M94" s="238"/>
      <c r="N94" s="238"/>
      <c r="O94" s="295"/>
      <c r="P94" s="239"/>
      <c r="Q94" s="239">
        <v>0</v>
      </c>
      <c r="R94" s="239" t="s">
        <v>153</v>
      </c>
      <c r="S94" s="7">
        <v>1020404</v>
      </c>
      <c r="T94" s="306"/>
      <c r="U94" s="263"/>
      <c r="V94" s="239" t="s">
        <v>468</v>
      </c>
      <c r="W94" s="568" t="s">
        <v>490</v>
      </c>
      <c r="X94" s="568" t="s">
        <v>490</v>
      </c>
      <c r="Y94" s="239"/>
      <c r="Z94" s="239"/>
      <c r="AA94" s="239">
        <v>0</v>
      </c>
      <c r="AB94" s="239"/>
      <c r="AC94" s="7"/>
      <c r="AD94" s="7"/>
      <c r="AE94" s="7">
        <v>0</v>
      </c>
      <c r="AF94" s="7">
        <v>0</v>
      </c>
      <c r="AG94" s="7">
        <v>0</v>
      </c>
      <c r="AH94" s="7"/>
      <c r="AI94" s="7">
        <v>0</v>
      </c>
      <c r="AJ94" s="7">
        <v>0</v>
      </c>
      <c r="AK94" s="273"/>
      <c r="AL94" s="273"/>
      <c r="AM94" s="273"/>
      <c r="AN94" s="7"/>
      <c r="AO94" s="7"/>
      <c r="AP94" s="7"/>
      <c r="AQ94" s="7" t="s">
        <v>491</v>
      </c>
      <c r="AR94" s="283"/>
    </row>
    <row r="95" spans="1:44" ht="15" customHeight="1">
      <c r="A95" s="7">
        <v>1020405</v>
      </c>
      <c r="B95" s="7" t="s">
        <v>465</v>
      </c>
      <c r="C95" s="294" t="s">
        <v>492</v>
      </c>
      <c r="D95" s="7" t="s">
        <v>81</v>
      </c>
      <c r="E95" s="7" t="s">
        <v>325</v>
      </c>
      <c r="F95" s="7">
        <v>1</v>
      </c>
      <c r="G95" s="7">
        <v>2</v>
      </c>
      <c r="H95" s="7" t="s">
        <v>82</v>
      </c>
      <c r="I95" s="7" t="s">
        <v>101</v>
      </c>
      <c r="J95" s="7"/>
      <c r="K95" s="7">
        <v>3</v>
      </c>
      <c r="L95" s="286" t="s">
        <v>493</v>
      </c>
      <c r="M95" s="238"/>
      <c r="N95" s="238"/>
      <c r="O95" s="294"/>
      <c r="P95" s="239" t="s">
        <v>376</v>
      </c>
      <c r="Q95" s="239">
        <v>0</v>
      </c>
      <c r="R95" s="239" t="s">
        <v>85</v>
      </c>
      <c r="S95" s="7">
        <v>1020405</v>
      </c>
      <c r="T95" s="262" t="s">
        <v>494</v>
      </c>
      <c r="U95" s="263" t="s">
        <v>495</v>
      </c>
      <c r="V95" s="239" t="s">
        <v>468</v>
      </c>
      <c r="W95" s="580" t="s">
        <v>496</v>
      </c>
      <c r="X95" s="580" t="s">
        <v>496</v>
      </c>
      <c r="Y95" s="239"/>
      <c r="Z95" s="239"/>
      <c r="AA95" s="239">
        <v>1</v>
      </c>
      <c r="AB95" s="239" t="s">
        <v>90</v>
      </c>
      <c r="AC95" s="7"/>
      <c r="AD95" s="7"/>
      <c r="AE95" s="7">
        <v>1</v>
      </c>
      <c r="AF95" s="7">
        <v>1</v>
      </c>
      <c r="AG95" s="7">
        <v>5</v>
      </c>
      <c r="AH95" s="7"/>
      <c r="AI95" s="7">
        <v>42</v>
      </c>
      <c r="AJ95" s="7">
        <v>35</v>
      </c>
      <c r="AK95" s="273" t="s">
        <v>497</v>
      </c>
      <c r="AL95" s="273"/>
      <c r="AM95" s="273"/>
      <c r="AN95" s="277" t="s">
        <v>498</v>
      </c>
      <c r="AO95" s="277"/>
      <c r="AP95" s="277"/>
      <c r="AQ95" s="7" t="s">
        <v>499</v>
      </c>
      <c r="AR95" s="283">
        <v>202</v>
      </c>
    </row>
    <row r="96" spans="1:44" ht="15" customHeight="1">
      <c r="A96" s="7">
        <v>1020406</v>
      </c>
      <c r="B96" s="7" t="s">
        <v>465</v>
      </c>
      <c r="C96" s="295" t="s">
        <v>500</v>
      </c>
      <c r="D96" s="7" t="s">
        <v>81</v>
      </c>
      <c r="E96" s="7" t="s">
        <v>325</v>
      </c>
      <c r="F96" s="7">
        <v>3</v>
      </c>
      <c r="G96" s="7">
        <v>2</v>
      </c>
      <c r="H96" s="7" t="s">
        <v>136</v>
      </c>
      <c r="I96" s="7" t="s">
        <v>137</v>
      </c>
      <c r="J96" s="7"/>
      <c r="K96" s="7"/>
      <c r="L96" s="237" t="s">
        <v>501</v>
      </c>
      <c r="M96" s="238"/>
      <c r="N96" s="238"/>
      <c r="O96" s="295"/>
      <c r="P96" s="239"/>
      <c r="Q96" s="239">
        <v>0</v>
      </c>
      <c r="R96" s="239" t="s">
        <v>153</v>
      </c>
      <c r="S96" s="7">
        <v>1020406</v>
      </c>
      <c r="T96" s="262"/>
      <c r="U96" s="263"/>
      <c r="V96" s="239" t="s">
        <v>468</v>
      </c>
      <c r="W96" s="568" t="s">
        <v>502</v>
      </c>
      <c r="X96" s="568" t="s">
        <v>502</v>
      </c>
      <c r="Y96" s="239"/>
      <c r="Z96" s="239"/>
      <c r="AA96" s="239">
        <v>0</v>
      </c>
      <c r="AB96" s="239"/>
      <c r="AC96" s="7"/>
      <c r="AD96" s="7"/>
      <c r="AE96" s="7">
        <v>0</v>
      </c>
      <c r="AF96" s="7">
        <v>0</v>
      </c>
      <c r="AG96" s="7">
        <v>0</v>
      </c>
      <c r="AH96" s="7"/>
      <c r="AI96" s="7">
        <v>0</v>
      </c>
      <c r="AJ96" s="7">
        <v>0</v>
      </c>
      <c r="AK96" s="273"/>
      <c r="AL96" s="273"/>
      <c r="AM96" s="273"/>
      <c r="AN96" s="7"/>
      <c r="AO96" s="7"/>
      <c r="AP96" s="7"/>
      <c r="AQ96" s="7" t="s">
        <v>503</v>
      </c>
      <c r="AR96" s="283"/>
    </row>
    <row r="97" spans="1:44" ht="15" customHeight="1">
      <c r="A97" s="7">
        <v>1020407</v>
      </c>
      <c r="B97" s="7" t="s">
        <v>465</v>
      </c>
      <c r="C97" s="294" t="s">
        <v>504</v>
      </c>
      <c r="D97" s="7" t="s">
        <v>81</v>
      </c>
      <c r="E97" s="7" t="s">
        <v>325</v>
      </c>
      <c r="F97" s="7">
        <v>4</v>
      </c>
      <c r="G97" s="7">
        <v>2</v>
      </c>
      <c r="H97" s="7" t="s">
        <v>136</v>
      </c>
      <c r="I97" s="7" t="s">
        <v>137</v>
      </c>
      <c r="J97" s="7"/>
      <c r="K97" s="7"/>
      <c r="L97" s="250" t="s">
        <v>505</v>
      </c>
      <c r="M97" s="238"/>
      <c r="N97" s="238"/>
      <c r="O97" s="294"/>
      <c r="P97" s="239"/>
      <c r="Q97" s="239">
        <v>0</v>
      </c>
      <c r="R97" s="239" t="s">
        <v>153</v>
      </c>
      <c r="S97" s="7">
        <v>1020407</v>
      </c>
      <c r="T97" s="262"/>
      <c r="U97" s="263"/>
      <c r="V97" s="239" t="s">
        <v>468</v>
      </c>
      <c r="W97" s="580" t="s">
        <v>506</v>
      </c>
      <c r="X97" s="580" t="s">
        <v>506</v>
      </c>
      <c r="Y97" s="239"/>
      <c r="Z97" s="239"/>
      <c r="AA97" s="239">
        <v>0</v>
      </c>
      <c r="AB97" s="239"/>
      <c r="AC97" s="7"/>
      <c r="AD97" s="7"/>
      <c r="AE97" s="7">
        <v>0</v>
      </c>
      <c r="AF97" s="7">
        <v>0</v>
      </c>
      <c r="AG97" s="7">
        <v>0</v>
      </c>
      <c r="AH97" s="7"/>
      <c r="AI97" s="7">
        <v>0</v>
      </c>
      <c r="AJ97" s="7">
        <v>0</v>
      </c>
      <c r="AK97" s="273"/>
      <c r="AL97" s="273"/>
      <c r="AM97" s="273"/>
      <c r="AN97" s="277"/>
      <c r="AO97" s="277"/>
      <c r="AP97" s="277"/>
      <c r="AQ97" s="7" t="s">
        <v>507</v>
      </c>
      <c r="AR97" s="283"/>
    </row>
    <row r="98" spans="1:44" ht="15" customHeight="1">
      <c r="A98" s="7">
        <v>1020408</v>
      </c>
      <c r="B98" s="7" t="s">
        <v>465</v>
      </c>
      <c r="C98" s="295" t="s">
        <v>508</v>
      </c>
      <c r="D98" s="7" t="s">
        <v>81</v>
      </c>
      <c r="E98" s="7" t="s">
        <v>325</v>
      </c>
      <c r="F98" s="7">
        <v>5</v>
      </c>
      <c r="G98" s="7">
        <v>2</v>
      </c>
      <c r="H98" s="7" t="s">
        <v>136</v>
      </c>
      <c r="I98" s="7" t="s">
        <v>137</v>
      </c>
      <c r="J98" s="7"/>
      <c r="K98" s="7"/>
      <c r="L98" s="250" t="s">
        <v>509</v>
      </c>
      <c r="M98" s="238"/>
      <c r="N98" s="238"/>
      <c r="O98" s="295"/>
      <c r="P98" s="239"/>
      <c r="Q98" s="239">
        <v>0</v>
      </c>
      <c r="R98" s="239" t="s">
        <v>153</v>
      </c>
      <c r="S98" s="7">
        <v>1020408</v>
      </c>
      <c r="T98" s="262"/>
      <c r="U98" s="263"/>
      <c r="V98" s="239" t="s">
        <v>468</v>
      </c>
      <c r="W98" s="580" t="s">
        <v>510</v>
      </c>
      <c r="X98" s="580" t="s">
        <v>510</v>
      </c>
      <c r="Y98" s="239"/>
      <c r="Z98" s="239"/>
      <c r="AA98" s="239">
        <v>0</v>
      </c>
      <c r="AB98" s="239"/>
      <c r="AC98" s="7"/>
      <c r="AD98" s="7"/>
      <c r="AE98" s="7">
        <v>0</v>
      </c>
      <c r="AF98" s="7">
        <v>0</v>
      </c>
      <c r="AG98" s="7">
        <v>0</v>
      </c>
      <c r="AH98" s="7"/>
      <c r="AI98" s="7">
        <v>0</v>
      </c>
      <c r="AJ98" s="7">
        <v>0</v>
      </c>
      <c r="AK98" s="273"/>
      <c r="AL98" s="273"/>
      <c r="AM98" s="273"/>
      <c r="AN98" s="277"/>
      <c r="AO98" s="277"/>
      <c r="AP98" s="277"/>
      <c r="AQ98" s="7" t="s">
        <v>511</v>
      </c>
      <c r="AR98" s="283"/>
    </row>
    <row r="99" spans="1:44" ht="15" customHeight="1">
      <c r="A99" s="7">
        <v>1020409</v>
      </c>
      <c r="B99" s="7" t="s">
        <v>465</v>
      </c>
      <c r="C99" s="294" t="s">
        <v>512</v>
      </c>
      <c r="D99" s="7" t="s">
        <v>81</v>
      </c>
      <c r="E99" s="7" t="s">
        <v>325</v>
      </c>
      <c r="F99" s="7">
        <v>6</v>
      </c>
      <c r="G99" s="7">
        <v>2</v>
      </c>
      <c r="H99" s="7" t="s">
        <v>136</v>
      </c>
      <c r="I99" s="7" t="s">
        <v>137</v>
      </c>
      <c r="J99" s="7"/>
      <c r="K99" s="7"/>
      <c r="L99" s="250" t="s">
        <v>513</v>
      </c>
      <c r="M99" s="238"/>
      <c r="N99" s="238"/>
      <c r="O99" s="294"/>
      <c r="P99" s="239"/>
      <c r="Q99" s="239">
        <v>0</v>
      </c>
      <c r="R99" s="239" t="s">
        <v>153</v>
      </c>
      <c r="S99" s="7">
        <v>1020409</v>
      </c>
      <c r="T99" s="262"/>
      <c r="U99" s="305"/>
      <c r="V99" s="239" t="s">
        <v>468</v>
      </c>
      <c r="W99" s="580" t="s">
        <v>514</v>
      </c>
      <c r="X99" s="580" t="s">
        <v>514</v>
      </c>
      <c r="Y99" s="321"/>
      <c r="Z99" s="321"/>
      <c r="AA99" s="239">
        <v>0</v>
      </c>
      <c r="AB99" s="239"/>
      <c r="AC99" s="7"/>
      <c r="AD99" s="7"/>
      <c r="AE99" s="7">
        <v>0</v>
      </c>
      <c r="AF99" s="7">
        <v>0</v>
      </c>
      <c r="AG99" s="7">
        <v>0</v>
      </c>
      <c r="AH99" s="7"/>
      <c r="AI99" s="7">
        <v>0</v>
      </c>
      <c r="AJ99" s="7">
        <v>0</v>
      </c>
      <c r="AK99" s="273"/>
      <c r="AL99" s="273"/>
      <c r="AM99" s="273"/>
      <c r="AN99" s="277"/>
      <c r="AO99" s="277"/>
      <c r="AP99" s="277"/>
      <c r="AQ99" s="7" t="s">
        <v>515</v>
      </c>
      <c r="AR99" s="283"/>
    </row>
    <row r="100" spans="1:44" ht="15" customHeight="1">
      <c r="A100" s="7">
        <v>1020410</v>
      </c>
      <c r="B100" s="7" t="s">
        <v>465</v>
      </c>
      <c r="C100" s="295" t="s">
        <v>516</v>
      </c>
      <c r="D100" s="7" t="s">
        <v>81</v>
      </c>
      <c r="E100" s="7" t="s">
        <v>325</v>
      </c>
      <c r="F100" s="7">
        <v>7</v>
      </c>
      <c r="G100" s="7">
        <v>2</v>
      </c>
      <c r="H100" s="7" t="s">
        <v>136</v>
      </c>
      <c r="I100" s="7" t="s">
        <v>137</v>
      </c>
      <c r="J100" s="7"/>
      <c r="K100" s="7"/>
      <c r="L100" s="250" t="s">
        <v>517</v>
      </c>
      <c r="M100" s="238"/>
      <c r="N100" s="238"/>
      <c r="O100" s="295"/>
      <c r="P100" s="239"/>
      <c r="Q100" s="239">
        <v>0</v>
      </c>
      <c r="R100" s="239" t="s">
        <v>153</v>
      </c>
      <c r="S100" s="7">
        <v>1020410</v>
      </c>
      <c r="T100" s="262"/>
      <c r="U100" s="263"/>
      <c r="V100" s="239" t="s">
        <v>468</v>
      </c>
      <c r="W100" s="580" t="s">
        <v>518</v>
      </c>
      <c r="X100" s="580" t="s">
        <v>518</v>
      </c>
      <c r="Y100" s="239"/>
      <c r="Z100" s="239"/>
      <c r="AA100" s="239"/>
      <c r="AB100" s="239"/>
      <c r="AC100" s="7"/>
      <c r="AD100" s="7"/>
      <c r="AE100" s="7">
        <v>0</v>
      </c>
      <c r="AF100" s="7">
        <v>0</v>
      </c>
      <c r="AG100" s="7">
        <v>0</v>
      </c>
      <c r="AH100" s="7"/>
      <c r="AI100" s="7">
        <v>0</v>
      </c>
      <c r="AJ100" s="7">
        <v>0</v>
      </c>
      <c r="AK100" s="273">
        <v>8020204</v>
      </c>
      <c r="AL100" s="273"/>
      <c r="AM100" s="273"/>
      <c r="AN100" s="277"/>
      <c r="AO100" s="277"/>
      <c r="AP100" s="277"/>
      <c r="AQ100" s="7" t="s">
        <v>519</v>
      </c>
      <c r="AR100" s="283"/>
    </row>
    <row r="101" spans="1:44" ht="15" customHeight="1">
      <c r="A101" s="3">
        <v>1020411</v>
      </c>
      <c r="B101" s="3" t="s">
        <v>465</v>
      </c>
      <c r="C101" s="236" t="s">
        <v>520</v>
      </c>
      <c r="D101" s="3" t="s">
        <v>81</v>
      </c>
      <c r="E101" s="3" t="s">
        <v>325</v>
      </c>
      <c r="F101" s="3">
        <v>8</v>
      </c>
      <c r="G101" s="3">
        <v>2</v>
      </c>
      <c r="H101" s="3" t="s">
        <v>136</v>
      </c>
      <c r="I101" s="3" t="s">
        <v>137</v>
      </c>
      <c r="J101" s="3"/>
      <c r="K101" s="3"/>
      <c r="L101" s="236"/>
      <c r="M101" s="99"/>
      <c r="N101" s="99"/>
      <c r="O101" s="236"/>
      <c r="P101" s="22"/>
      <c r="Q101" s="22">
        <v>0</v>
      </c>
      <c r="R101" s="22" t="s">
        <v>153</v>
      </c>
      <c r="S101" s="3"/>
      <c r="T101" s="260"/>
      <c r="U101" s="261"/>
      <c r="V101" s="22"/>
      <c r="W101" s="567" t="s">
        <v>169</v>
      </c>
      <c r="X101" s="567" t="s">
        <v>6736</v>
      </c>
      <c r="Y101" s="22"/>
      <c r="Z101" s="22"/>
      <c r="AA101" s="22"/>
      <c r="AB101" s="22" t="s">
        <v>114</v>
      </c>
      <c r="AC101" s="3"/>
      <c r="AD101" s="3"/>
      <c r="AE101" s="3">
        <v>0</v>
      </c>
      <c r="AF101" s="3">
        <v>0</v>
      </c>
      <c r="AG101" s="3">
        <v>0</v>
      </c>
      <c r="AH101" s="3"/>
      <c r="AI101" s="3">
        <v>0</v>
      </c>
      <c r="AJ101" s="3">
        <v>0</v>
      </c>
      <c r="AK101" s="3">
        <v>0</v>
      </c>
      <c r="AL101" s="3"/>
      <c r="AM101" s="3"/>
      <c r="AN101" s="3"/>
      <c r="AO101" s="3"/>
      <c r="AP101" s="3"/>
      <c r="AQ101" s="3" t="s">
        <v>499</v>
      </c>
      <c r="AR101" s="281"/>
    </row>
    <row r="102" spans="1:44" ht="15" customHeight="1">
      <c r="A102" s="3">
        <v>1020412</v>
      </c>
      <c r="B102" s="3" t="s">
        <v>465</v>
      </c>
      <c r="C102" s="236" t="s">
        <v>521</v>
      </c>
      <c r="D102" s="3" t="s">
        <v>81</v>
      </c>
      <c r="E102" s="3" t="s">
        <v>325</v>
      </c>
      <c r="F102" s="3">
        <v>9</v>
      </c>
      <c r="G102" s="3">
        <v>2</v>
      </c>
      <c r="H102" s="3" t="s">
        <v>136</v>
      </c>
      <c r="I102" s="3" t="s">
        <v>137</v>
      </c>
      <c r="J102" s="3"/>
      <c r="K102" s="3"/>
      <c r="L102" s="236"/>
      <c r="M102" s="99"/>
      <c r="N102" s="99"/>
      <c r="O102" s="236"/>
      <c r="P102" s="22"/>
      <c r="Q102" s="22">
        <v>0</v>
      </c>
      <c r="R102" s="22" t="s">
        <v>153</v>
      </c>
      <c r="S102" s="3"/>
      <c r="T102" s="260"/>
      <c r="U102" s="261"/>
      <c r="V102" s="22"/>
      <c r="W102" s="567" t="s">
        <v>522</v>
      </c>
      <c r="X102" s="567" t="s">
        <v>6763</v>
      </c>
      <c r="Y102" s="22"/>
      <c r="Z102" s="22"/>
      <c r="AA102" s="22"/>
      <c r="AB102" s="22" t="s">
        <v>114</v>
      </c>
      <c r="AC102" s="3"/>
      <c r="AD102" s="3"/>
      <c r="AE102" s="3">
        <v>0</v>
      </c>
      <c r="AF102" s="3">
        <v>0</v>
      </c>
      <c r="AG102" s="3">
        <v>0</v>
      </c>
      <c r="AH102" s="3"/>
      <c r="AI102" s="3">
        <v>0</v>
      </c>
      <c r="AJ102" s="3">
        <v>0</v>
      </c>
      <c r="AK102" s="3">
        <v>0</v>
      </c>
      <c r="AL102" s="3"/>
      <c r="AM102" s="3"/>
      <c r="AN102" s="3"/>
      <c r="AO102" s="3"/>
      <c r="AP102" s="3"/>
      <c r="AQ102" s="282" t="str">
        <f>"tricks/"&amp;A102</f>
        <v>tricks/1020412</v>
      </c>
    </row>
    <row r="103" spans="1:44" ht="15" customHeight="1">
      <c r="A103" s="3">
        <v>1020413</v>
      </c>
      <c r="B103" s="3" t="s">
        <v>465</v>
      </c>
      <c r="C103" s="236" t="s">
        <v>523</v>
      </c>
      <c r="D103" s="3" t="s">
        <v>81</v>
      </c>
      <c r="E103" s="3" t="s">
        <v>325</v>
      </c>
      <c r="F103" s="3">
        <v>10</v>
      </c>
      <c r="G103" s="3">
        <v>2</v>
      </c>
      <c r="H103" s="3" t="s">
        <v>136</v>
      </c>
      <c r="I103" s="3" t="s">
        <v>137</v>
      </c>
      <c r="J103" s="3"/>
      <c r="K103" s="3"/>
      <c r="L103" s="236"/>
      <c r="M103" s="99"/>
      <c r="N103" s="99"/>
      <c r="O103" s="236"/>
      <c r="P103" s="22"/>
      <c r="Q103" s="22">
        <v>0</v>
      </c>
      <c r="R103" s="22" t="s">
        <v>153</v>
      </c>
      <c r="S103" s="3"/>
      <c r="T103" s="260"/>
      <c r="U103" s="261"/>
      <c r="V103" s="22"/>
      <c r="W103" s="567" t="s">
        <v>524</v>
      </c>
      <c r="X103" s="567" t="s">
        <v>524</v>
      </c>
      <c r="Y103" s="22"/>
      <c r="Z103" s="22"/>
      <c r="AA103" s="22"/>
      <c r="AB103" s="22" t="s">
        <v>114</v>
      </c>
      <c r="AC103" s="3"/>
      <c r="AD103" s="3"/>
      <c r="AE103" s="3">
        <v>0</v>
      </c>
      <c r="AF103" s="3">
        <v>0</v>
      </c>
      <c r="AG103" s="3">
        <v>0</v>
      </c>
      <c r="AH103" s="3"/>
      <c r="AI103" s="3">
        <v>0</v>
      </c>
      <c r="AJ103" s="3">
        <v>0</v>
      </c>
      <c r="AK103" s="3">
        <v>0</v>
      </c>
      <c r="AL103" s="3"/>
      <c r="AM103" s="3"/>
      <c r="AN103" s="3"/>
      <c r="AO103" s="3"/>
      <c r="AP103" s="3"/>
      <c r="AQ103" s="282" t="str">
        <f>"tricks/"&amp;A103</f>
        <v>tricks/1020413</v>
      </c>
    </row>
    <row r="104" spans="1:44" ht="15" customHeight="1">
      <c r="A104" s="27">
        <v>1020501</v>
      </c>
      <c r="B104" s="27" t="s">
        <v>525</v>
      </c>
      <c r="C104" s="581" t="s">
        <v>526</v>
      </c>
      <c r="D104" s="27" t="s">
        <v>81</v>
      </c>
      <c r="E104" s="27" t="s">
        <v>325</v>
      </c>
      <c r="F104" s="27">
        <v>1</v>
      </c>
      <c r="G104" s="27">
        <v>2</v>
      </c>
      <c r="H104" s="27" t="s">
        <v>82</v>
      </c>
      <c r="I104" s="27" t="s">
        <v>101</v>
      </c>
      <c r="J104" s="27"/>
      <c r="K104" s="27">
        <v>1</v>
      </c>
      <c r="L104" s="296" t="s">
        <v>527</v>
      </c>
      <c r="M104" s="297"/>
      <c r="N104" s="297"/>
      <c r="O104" s="296"/>
      <c r="P104" s="298"/>
      <c r="Q104" s="298">
        <v>0</v>
      </c>
      <c r="R104" s="298" t="s">
        <v>85</v>
      </c>
      <c r="S104" s="27">
        <v>1020501</v>
      </c>
      <c r="T104" s="316" t="s">
        <v>528</v>
      </c>
      <c r="U104" s="317" t="s">
        <v>529</v>
      </c>
      <c r="V104" s="298" t="s">
        <v>530</v>
      </c>
      <c r="W104" s="588" t="s">
        <v>531</v>
      </c>
      <c r="X104" s="588" t="s">
        <v>531</v>
      </c>
      <c r="Y104" s="298"/>
      <c r="Z104" s="298"/>
      <c r="AA104" s="298"/>
      <c r="AB104" s="298" t="s">
        <v>90</v>
      </c>
      <c r="AC104" s="27"/>
      <c r="AD104" s="27"/>
      <c r="AE104" s="27">
        <v>1</v>
      </c>
      <c r="AF104" s="27">
        <v>2</v>
      </c>
      <c r="AG104" s="27">
        <v>7</v>
      </c>
      <c r="AH104" s="27"/>
      <c r="AI104" s="27">
        <v>40</v>
      </c>
      <c r="AJ104" s="27">
        <v>24</v>
      </c>
      <c r="AK104" s="327"/>
      <c r="AL104" s="327"/>
      <c r="AM104" s="327"/>
      <c r="AN104" s="27" t="s">
        <v>532</v>
      </c>
      <c r="AO104" s="27"/>
      <c r="AP104" s="27"/>
      <c r="AQ104" s="27" t="s">
        <v>533</v>
      </c>
      <c r="AR104" s="331">
        <v>206</v>
      </c>
    </row>
    <row r="105" spans="1:44" ht="15" customHeight="1">
      <c r="A105" s="27">
        <v>1020502</v>
      </c>
      <c r="B105" s="27" t="s">
        <v>525</v>
      </c>
      <c r="C105" s="299" t="s">
        <v>534</v>
      </c>
      <c r="D105" s="27" t="s">
        <v>81</v>
      </c>
      <c r="E105" s="27" t="s">
        <v>325</v>
      </c>
      <c r="F105" s="27">
        <v>1</v>
      </c>
      <c r="G105" s="27">
        <v>2</v>
      </c>
      <c r="H105" s="27" t="s">
        <v>136</v>
      </c>
      <c r="I105" s="27" t="s">
        <v>137</v>
      </c>
      <c r="J105" s="27"/>
      <c r="K105" s="27"/>
      <c r="L105" s="299" t="s">
        <v>535</v>
      </c>
      <c r="M105" s="297"/>
      <c r="N105" s="297"/>
      <c r="O105" s="299"/>
      <c r="P105" s="298"/>
      <c r="Q105" s="298">
        <v>0</v>
      </c>
      <c r="R105" s="298"/>
      <c r="S105" s="27">
        <v>1020502</v>
      </c>
      <c r="T105" s="316"/>
      <c r="U105" s="317"/>
      <c r="V105" s="298" t="s">
        <v>530</v>
      </c>
      <c r="W105" s="588" t="s">
        <v>536</v>
      </c>
      <c r="X105" s="588" t="s">
        <v>536</v>
      </c>
      <c r="Y105" s="298"/>
      <c r="Z105" s="298"/>
      <c r="AA105" s="298"/>
      <c r="AB105" s="298"/>
      <c r="AC105" s="27"/>
      <c r="AD105" s="27"/>
      <c r="AE105" s="27">
        <v>0</v>
      </c>
      <c r="AF105" s="27"/>
      <c r="AG105" s="27"/>
      <c r="AH105" s="27"/>
      <c r="AI105" s="27"/>
      <c r="AJ105" s="27"/>
      <c r="AK105" s="327"/>
      <c r="AL105" s="327"/>
      <c r="AM105" s="327"/>
      <c r="AN105" s="27"/>
      <c r="AO105" s="27"/>
      <c r="AP105" s="27"/>
      <c r="AQ105" s="27" t="s">
        <v>537</v>
      </c>
      <c r="AR105" s="331"/>
    </row>
    <row r="106" spans="1:44" ht="15" customHeight="1">
      <c r="A106" s="27">
        <v>1020503</v>
      </c>
      <c r="B106" s="27" t="s">
        <v>525</v>
      </c>
      <c r="C106" s="299" t="s">
        <v>538</v>
      </c>
      <c r="D106" s="27" t="s">
        <v>81</v>
      </c>
      <c r="E106" s="27" t="s">
        <v>325</v>
      </c>
      <c r="F106" s="27">
        <v>1</v>
      </c>
      <c r="G106" s="27">
        <v>2</v>
      </c>
      <c r="H106" s="27" t="s">
        <v>82</v>
      </c>
      <c r="I106" s="27" t="s">
        <v>101</v>
      </c>
      <c r="J106" s="27"/>
      <c r="K106" s="27">
        <v>2</v>
      </c>
      <c r="L106" s="299" t="s">
        <v>539</v>
      </c>
      <c r="M106" s="297"/>
      <c r="N106" s="297"/>
      <c r="O106" s="299"/>
      <c r="P106" s="298"/>
      <c r="Q106" s="298">
        <v>0</v>
      </c>
      <c r="R106" s="298" t="s">
        <v>85</v>
      </c>
      <c r="S106" s="27">
        <v>1020503</v>
      </c>
      <c r="T106" s="316"/>
      <c r="U106" s="317"/>
      <c r="V106" s="298" t="s">
        <v>530</v>
      </c>
      <c r="W106" s="588" t="s">
        <v>540</v>
      </c>
      <c r="X106" s="588" t="s">
        <v>540</v>
      </c>
      <c r="Y106" s="298"/>
      <c r="Z106" s="298"/>
      <c r="AA106" s="298"/>
      <c r="AB106" s="298" t="s">
        <v>90</v>
      </c>
      <c r="AC106" s="27"/>
      <c r="AD106" s="27"/>
      <c r="AE106" s="27">
        <v>1</v>
      </c>
      <c r="AF106" s="27">
        <v>1</v>
      </c>
      <c r="AG106" s="27">
        <v>5</v>
      </c>
      <c r="AH106" s="27"/>
      <c r="AI106" s="27">
        <v>39</v>
      </c>
      <c r="AJ106" s="27">
        <v>26</v>
      </c>
      <c r="AK106" s="327"/>
      <c r="AL106" s="327"/>
      <c r="AM106" s="327"/>
      <c r="AN106" s="27" t="s">
        <v>541</v>
      </c>
      <c r="AO106" s="27"/>
      <c r="AP106" s="27"/>
      <c r="AQ106" s="27" t="s">
        <v>542</v>
      </c>
      <c r="AR106" s="331">
        <v>207</v>
      </c>
    </row>
    <row r="107" spans="1:44" ht="15" customHeight="1">
      <c r="A107" s="27">
        <v>1020504</v>
      </c>
      <c r="B107" s="27" t="s">
        <v>525</v>
      </c>
      <c r="C107" s="299" t="s">
        <v>543</v>
      </c>
      <c r="D107" s="27" t="s">
        <v>81</v>
      </c>
      <c r="E107" s="27" t="s">
        <v>325</v>
      </c>
      <c r="F107" s="27">
        <v>2</v>
      </c>
      <c r="G107" s="27">
        <v>2</v>
      </c>
      <c r="H107" s="27" t="s">
        <v>136</v>
      </c>
      <c r="I107" s="27" t="s">
        <v>137</v>
      </c>
      <c r="J107" s="27"/>
      <c r="K107" s="27"/>
      <c r="L107" s="299" t="s">
        <v>544</v>
      </c>
      <c r="M107" s="297"/>
      <c r="N107" s="297"/>
      <c r="O107" s="299"/>
      <c r="P107" s="298"/>
      <c r="Q107" s="298">
        <v>0</v>
      </c>
      <c r="R107" s="298"/>
      <c r="S107" s="27">
        <v>1020504</v>
      </c>
      <c r="T107" s="316"/>
      <c r="U107" s="317"/>
      <c r="V107" s="298" t="s">
        <v>530</v>
      </c>
      <c r="W107" s="588" t="s">
        <v>545</v>
      </c>
      <c r="X107" s="588" t="s">
        <v>545</v>
      </c>
      <c r="Y107" s="298"/>
      <c r="Z107" s="298"/>
      <c r="AA107" s="298"/>
      <c r="AB107" s="298"/>
      <c r="AC107" s="27"/>
      <c r="AD107" s="27"/>
      <c r="AE107" s="27">
        <v>0</v>
      </c>
      <c r="AF107" s="27"/>
      <c r="AG107" s="27"/>
      <c r="AH107" s="27"/>
      <c r="AI107" s="27"/>
      <c r="AJ107" s="27"/>
      <c r="AK107" s="327"/>
      <c r="AL107" s="327"/>
      <c r="AM107" s="327"/>
      <c r="AN107" s="27"/>
      <c r="AO107" s="27"/>
      <c r="AP107" s="27"/>
      <c r="AQ107" s="27" t="s">
        <v>546</v>
      </c>
      <c r="AR107" s="331"/>
    </row>
    <row r="108" spans="1:44" ht="15" customHeight="1">
      <c r="A108" s="27">
        <v>1020505</v>
      </c>
      <c r="B108" s="27" t="s">
        <v>525</v>
      </c>
      <c r="C108" s="299" t="s">
        <v>547</v>
      </c>
      <c r="D108" s="27" t="s">
        <v>81</v>
      </c>
      <c r="E108" s="27" t="s">
        <v>325</v>
      </c>
      <c r="F108" s="27">
        <v>1</v>
      </c>
      <c r="G108" s="27">
        <v>2</v>
      </c>
      <c r="H108" s="27" t="s">
        <v>82</v>
      </c>
      <c r="I108" s="27" t="s">
        <v>101</v>
      </c>
      <c r="J108" s="27"/>
      <c r="K108" s="27">
        <v>3</v>
      </c>
      <c r="L108" s="299" t="s">
        <v>548</v>
      </c>
      <c r="M108" s="297"/>
      <c r="N108" s="297"/>
      <c r="O108" s="299"/>
      <c r="P108" s="298"/>
      <c r="Q108" s="298">
        <v>0</v>
      </c>
      <c r="R108" s="298" t="s">
        <v>85</v>
      </c>
      <c r="S108" s="27">
        <v>1020505</v>
      </c>
      <c r="T108" s="316" t="s">
        <v>549</v>
      </c>
      <c r="U108" s="317" t="s">
        <v>550</v>
      </c>
      <c r="V108" s="298" t="s">
        <v>530</v>
      </c>
      <c r="W108" s="588" t="s">
        <v>551</v>
      </c>
      <c r="X108" s="588" t="s">
        <v>551</v>
      </c>
      <c r="Y108" s="298"/>
      <c r="Z108" s="298"/>
      <c r="AA108" s="298"/>
      <c r="AB108" s="298" t="s">
        <v>90</v>
      </c>
      <c r="AC108" s="27"/>
      <c r="AD108" s="27"/>
      <c r="AE108" s="27">
        <v>1</v>
      </c>
      <c r="AF108" s="27">
        <v>1</v>
      </c>
      <c r="AG108" s="27">
        <v>5</v>
      </c>
      <c r="AH108" s="27"/>
      <c r="AI108" s="27">
        <v>42</v>
      </c>
      <c r="AJ108" s="27">
        <v>35</v>
      </c>
      <c r="AK108" s="327"/>
      <c r="AL108" s="327"/>
      <c r="AM108" s="327"/>
      <c r="AN108" s="27" t="s">
        <v>552</v>
      </c>
      <c r="AO108" s="27"/>
      <c r="AP108" s="27"/>
      <c r="AQ108" s="27" t="s">
        <v>553</v>
      </c>
      <c r="AR108" s="331">
        <v>208</v>
      </c>
    </row>
    <row r="109" spans="1:44" ht="15" customHeight="1">
      <c r="A109" s="27">
        <v>1020506</v>
      </c>
      <c r="B109" s="27" t="s">
        <v>525</v>
      </c>
      <c r="C109" s="299" t="s">
        <v>554</v>
      </c>
      <c r="D109" s="27" t="s">
        <v>81</v>
      </c>
      <c r="E109" s="27" t="s">
        <v>325</v>
      </c>
      <c r="F109" s="27">
        <v>3</v>
      </c>
      <c r="G109" s="27">
        <v>2</v>
      </c>
      <c r="H109" s="27" t="s">
        <v>136</v>
      </c>
      <c r="I109" s="27" t="s">
        <v>137</v>
      </c>
      <c r="J109" s="27"/>
      <c r="K109" s="27"/>
      <c r="L109" s="299" t="s">
        <v>555</v>
      </c>
      <c r="M109" s="297"/>
      <c r="N109" s="297"/>
      <c r="O109" s="299"/>
      <c r="P109" s="298"/>
      <c r="Q109" s="298">
        <v>0</v>
      </c>
      <c r="R109" s="298"/>
      <c r="S109" s="27">
        <v>1020506</v>
      </c>
      <c r="T109" s="316"/>
      <c r="U109" s="317"/>
      <c r="V109" s="298" t="s">
        <v>530</v>
      </c>
      <c r="W109" s="588" t="s">
        <v>556</v>
      </c>
      <c r="X109" s="588" t="s">
        <v>556</v>
      </c>
      <c r="Y109" s="298"/>
      <c r="Z109" s="298"/>
      <c r="AA109" s="298"/>
      <c r="AB109" s="298"/>
      <c r="AC109" s="27"/>
      <c r="AD109" s="27"/>
      <c r="AE109" s="27">
        <v>0</v>
      </c>
      <c r="AF109" s="27"/>
      <c r="AG109" s="27"/>
      <c r="AH109" s="27"/>
      <c r="AI109" s="27"/>
      <c r="AJ109" s="27"/>
      <c r="AK109" s="327"/>
      <c r="AL109" s="327"/>
      <c r="AM109" s="327"/>
      <c r="AN109" s="27"/>
      <c r="AO109" s="27"/>
      <c r="AP109" s="27"/>
      <c r="AQ109" s="27" t="s">
        <v>557</v>
      </c>
      <c r="AR109" s="331"/>
    </row>
    <row r="110" spans="1:44" ht="15" customHeight="1">
      <c r="A110" s="27">
        <v>1020507</v>
      </c>
      <c r="B110" s="27" t="s">
        <v>525</v>
      </c>
      <c r="C110" s="299" t="s">
        <v>558</v>
      </c>
      <c r="D110" s="27" t="s">
        <v>81</v>
      </c>
      <c r="E110" s="27" t="s">
        <v>325</v>
      </c>
      <c r="F110" s="27">
        <v>4</v>
      </c>
      <c r="G110" s="27">
        <v>2</v>
      </c>
      <c r="H110" s="27" t="s">
        <v>136</v>
      </c>
      <c r="I110" s="27" t="s">
        <v>137</v>
      </c>
      <c r="J110" s="27"/>
      <c r="K110" s="27"/>
      <c r="L110" s="299" t="s">
        <v>559</v>
      </c>
      <c r="M110" s="297"/>
      <c r="N110" s="297"/>
      <c r="O110" s="299"/>
      <c r="P110" s="298"/>
      <c r="Q110" s="298">
        <v>0</v>
      </c>
      <c r="R110" s="298"/>
      <c r="S110" s="27">
        <v>1020507</v>
      </c>
      <c r="T110" s="316"/>
      <c r="U110" s="317"/>
      <c r="V110" s="298" t="s">
        <v>530</v>
      </c>
      <c r="W110" s="588" t="s">
        <v>560</v>
      </c>
      <c r="X110" s="588" t="s">
        <v>560</v>
      </c>
      <c r="Y110" s="298"/>
      <c r="Z110" s="298"/>
      <c r="AA110" s="298"/>
      <c r="AB110" s="298"/>
      <c r="AC110" s="27"/>
      <c r="AD110" s="27"/>
      <c r="AE110" s="27">
        <v>0</v>
      </c>
      <c r="AF110" s="27"/>
      <c r="AG110" s="27"/>
      <c r="AH110" s="27"/>
      <c r="AI110" s="27"/>
      <c r="AJ110" s="27"/>
      <c r="AK110" s="327"/>
      <c r="AL110" s="327"/>
      <c r="AM110" s="327"/>
      <c r="AN110" s="27"/>
      <c r="AO110" s="27"/>
      <c r="AP110" s="27"/>
      <c r="AQ110" s="27" t="s">
        <v>561</v>
      </c>
      <c r="AR110" s="331"/>
    </row>
    <row r="111" spans="1:44" ht="15" customHeight="1">
      <c r="A111" s="27">
        <v>1020508</v>
      </c>
      <c r="B111" s="27" t="s">
        <v>525</v>
      </c>
      <c r="C111" s="299" t="s">
        <v>562</v>
      </c>
      <c r="D111" s="27" t="s">
        <v>81</v>
      </c>
      <c r="E111" s="27" t="s">
        <v>325</v>
      </c>
      <c r="F111" s="27">
        <v>5</v>
      </c>
      <c r="G111" s="27">
        <v>2</v>
      </c>
      <c r="H111" s="27" t="s">
        <v>136</v>
      </c>
      <c r="I111" s="27" t="s">
        <v>137</v>
      </c>
      <c r="J111" s="27"/>
      <c r="K111" s="27"/>
      <c r="L111" s="299" t="s">
        <v>563</v>
      </c>
      <c r="M111" s="297"/>
      <c r="N111" s="297"/>
      <c r="O111" s="299"/>
      <c r="P111" s="298"/>
      <c r="Q111" s="298">
        <v>0</v>
      </c>
      <c r="R111" s="298"/>
      <c r="S111" s="27">
        <v>1020508</v>
      </c>
      <c r="T111" s="316"/>
      <c r="U111" s="318"/>
      <c r="V111" s="298" t="s">
        <v>530</v>
      </c>
      <c r="W111" s="588" t="s">
        <v>564</v>
      </c>
      <c r="X111" s="588" t="s">
        <v>564</v>
      </c>
      <c r="Y111" s="298"/>
      <c r="Z111" s="298"/>
      <c r="AA111" s="298"/>
      <c r="AB111" s="298"/>
      <c r="AC111" s="27"/>
      <c r="AD111" s="27"/>
      <c r="AE111" s="27">
        <v>0</v>
      </c>
      <c r="AF111" s="27"/>
      <c r="AG111" s="27"/>
      <c r="AH111" s="27"/>
      <c r="AI111" s="27"/>
      <c r="AJ111" s="27"/>
      <c r="AK111" s="327"/>
      <c r="AL111" s="327"/>
      <c r="AM111" s="327"/>
      <c r="AN111" s="27"/>
      <c r="AO111" s="27"/>
      <c r="AP111" s="27"/>
      <c r="AQ111" s="27" t="s">
        <v>565</v>
      </c>
      <c r="AR111" s="331"/>
    </row>
    <row r="112" spans="1:44" ht="15" customHeight="1">
      <c r="A112" s="27">
        <v>1020509</v>
      </c>
      <c r="B112" s="27" t="s">
        <v>525</v>
      </c>
      <c r="C112" s="299" t="s">
        <v>566</v>
      </c>
      <c r="D112" s="27" t="s">
        <v>81</v>
      </c>
      <c r="E112" s="27" t="s">
        <v>325</v>
      </c>
      <c r="F112" s="27">
        <v>6</v>
      </c>
      <c r="G112" s="27">
        <v>2</v>
      </c>
      <c r="H112" s="27" t="s">
        <v>136</v>
      </c>
      <c r="I112" s="27" t="s">
        <v>137</v>
      </c>
      <c r="J112" s="27"/>
      <c r="K112" s="27"/>
      <c r="L112" s="299" t="s">
        <v>567</v>
      </c>
      <c r="M112" s="297"/>
      <c r="N112" s="297"/>
      <c r="O112" s="299"/>
      <c r="P112" s="298"/>
      <c r="Q112" s="298">
        <v>0</v>
      </c>
      <c r="R112" s="298"/>
      <c r="S112" s="27">
        <v>1020509</v>
      </c>
      <c r="T112" s="316"/>
      <c r="U112" s="317"/>
      <c r="V112" s="298" t="s">
        <v>530</v>
      </c>
      <c r="W112" s="588" t="s">
        <v>568</v>
      </c>
      <c r="X112" s="588" t="s">
        <v>568</v>
      </c>
      <c r="Y112" s="298"/>
      <c r="Z112" s="298"/>
      <c r="AA112" s="298"/>
      <c r="AB112" s="298"/>
      <c r="AC112" s="27"/>
      <c r="AD112" s="27"/>
      <c r="AE112" s="27">
        <v>0</v>
      </c>
      <c r="AF112" s="27"/>
      <c r="AG112" s="27"/>
      <c r="AH112" s="27"/>
      <c r="AI112" s="27"/>
      <c r="AJ112" s="27"/>
      <c r="AK112" s="327"/>
      <c r="AL112" s="327"/>
      <c r="AM112" s="327"/>
      <c r="AN112" s="27"/>
      <c r="AO112" s="27"/>
      <c r="AP112" s="27"/>
      <c r="AQ112" s="27" t="s">
        <v>569</v>
      </c>
      <c r="AR112" s="331"/>
    </row>
    <row r="113" spans="1:44" ht="15" customHeight="1">
      <c r="A113" s="27">
        <v>1020510</v>
      </c>
      <c r="B113" s="27" t="s">
        <v>525</v>
      </c>
      <c r="C113" s="299" t="s">
        <v>570</v>
      </c>
      <c r="D113" s="27" t="s">
        <v>81</v>
      </c>
      <c r="E113" s="27" t="s">
        <v>325</v>
      </c>
      <c r="F113" s="27">
        <v>7</v>
      </c>
      <c r="G113" s="27">
        <v>2</v>
      </c>
      <c r="H113" s="27" t="s">
        <v>136</v>
      </c>
      <c r="I113" s="27" t="s">
        <v>137</v>
      </c>
      <c r="J113" s="27"/>
      <c r="K113" s="27"/>
      <c r="L113" s="299" t="s">
        <v>571</v>
      </c>
      <c r="M113" s="297"/>
      <c r="N113" s="297"/>
      <c r="O113" s="299"/>
      <c r="P113" s="298"/>
      <c r="Q113" s="298">
        <v>0</v>
      </c>
      <c r="R113" s="298"/>
      <c r="S113" s="27">
        <v>1020510</v>
      </c>
      <c r="T113" s="316"/>
      <c r="U113" s="317"/>
      <c r="V113" s="298" t="s">
        <v>530</v>
      </c>
      <c r="W113" s="588" t="s">
        <v>572</v>
      </c>
      <c r="X113" s="588" t="s">
        <v>572</v>
      </c>
      <c r="Y113" s="298"/>
      <c r="Z113" s="298"/>
      <c r="AA113" s="298"/>
      <c r="AB113" s="298"/>
      <c r="AC113" s="27"/>
      <c r="AD113" s="27"/>
      <c r="AE113" s="27">
        <v>0</v>
      </c>
      <c r="AF113" s="27"/>
      <c r="AG113" s="27"/>
      <c r="AH113" s="27"/>
      <c r="AI113" s="27"/>
      <c r="AJ113" s="27"/>
      <c r="AK113" s="327"/>
      <c r="AL113" s="327"/>
      <c r="AM113" s="327"/>
      <c r="AN113" s="27"/>
      <c r="AO113" s="27"/>
      <c r="AP113" s="27"/>
      <c r="AQ113" s="27" t="s">
        <v>573</v>
      </c>
      <c r="AR113" s="331"/>
    </row>
    <row r="114" spans="1:44" ht="15" customHeight="1">
      <c r="A114" s="3">
        <v>1020511</v>
      </c>
      <c r="B114" s="3" t="s">
        <v>525</v>
      </c>
      <c r="C114" s="236" t="s">
        <v>574</v>
      </c>
      <c r="D114" s="3" t="s">
        <v>81</v>
      </c>
      <c r="E114" s="3" t="s">
        <v>325</v>
      </c>
      <c r="F114" s="3">
        <v>8</v>
      </c>
      <c r="G114" s="3">
        <v>2</v>
      </c>
      <c r="H114" s="3" t="s">
        <v>136</v>
      </c>
      <c r="I114" s="3" t="s">
        <v>137</v>
      </c>
      <c r="J114" s="3"/>
      <c r="K114" s="3"/>
      <c r="L114" s="236"/>
      <c r="M114" s="99"/>
      <c r="N114" s="99"/>
      <c r="O114" s="236"/>
      <c r="P114" s="22"/>
      <c r="Q114" s="22">
        <v>0</v>
      </c>
      <c r="R114" s="22" t="s">
        <v>153</v>
      </c>
      <c r="S114" s="3"/>
      <c r="T114" s="260"/>
      <c r="U114" s="261"/>
      <c r="V114" s="22"/>
      <c r="W114" s="567" t="s">
        <v>285</v>
      </c>
      <c r="X114" s="567" t="s">
        <v>6732</v>
      </c>
      <c r="Y114" s="22"/>
      <c r="Z114" s="22"/>
      <c r="AA114" s="22"/>
      <c r="AB114" s="22" t="s">
        <v>114</v>
      </c>
      <c r="AC114" s="3"/>
      <c r="AD114" s="3"/>
      <c r="AE114" s="3">
        <v>0</v>
      </c>
      <c r="AF114" s="3">
        <v>0</v>
      </c>
      <c r="AG114" s="3">
        <v>0</v>
      </c>
      <c r="AH114" s="3"/>
      <c r="AI114" s="3">
        <v>0</v>
      </c>
      <c r="AJ114" s="3">
        <v>0</v>
      </c>
      <c r="AK114" s="3">
        <v>0</v>
      </c>
      <c r="AL114" s="3"/>
      <c r="AM114" s="3"/>
      <c r="AN114" s="3"/>
      <c r="AO114" s="3"/>
      <c r="AP114" s="3"/>
      <c r="AQ114" s="3" t="s">
        <v>553</v>
      </c>
      <c r="AR114" s="281"/>
    </row>
    <row r="115" spans="1:44" ht="15" customHeight="1">
      <c r="A115" s="3">
        <v>1020512</v>
      </c>
      <c r="B115" s="3" t="s">
        <v>525</v>
      </c>
      <c r="C115" s="236" t="s">
        <v>575</v>
      </c>
      <c r="D115" s="3" t="s">
        <v>81</v>
      </c>
      <c r="E115" s="3" t="s">
        <v>325</v>
      </c>
      <c r="F115" s="3">
        <v>9</v>
      </c>
      <c r="G115" s="3">
        <v>2</v>
      </c>
      <c r="H115" s="3" t="s">
        <v>136</v>
      </c>
      <c r="I115" s="3" t="s">
        <v>137</v>
      </c>
      <c r="J115" s="3"/>
      <c r="K115" s="3"/>
      <c r="L115" s="236"/>
      <c r="M115" s="99"/>
      <c r="N115" s="99"/>
      <c r="O115" s="236"/>
      <c r="P115" s="22"/>
      <c r="Q115" s="22">
        <v>0</v>
      </c>
      <c r="R115" s="22" t="s">
        <v>153</v>
      </c>
      <c r="S115" s="3"/>
      <c r="T115" s="260"/>
      <c r="U115" s="261"/>
      <c r="V115" s="22"/>
      <c r="W115" s="567" t="s">
        <v>576</v>
      </c>
      <c r="X115" s="567" t="s">
        <v>6762</v>
      </c>
      <c r="Y115" s="22"/>
      <c r="Z115" s="22"/>
      <c r="AA115" s="22"/>
      <c r="AB115" s="22" t="s">
        <v>114</v>
      </c>
      <c r="AC115" s="3"/>
      <c r="AD115" s="3"/>
      <c r="AE115" s="3">
        <v>0</v>
      </c>
      <c r="AF115" s="3">
        <v>0</v>
      </c>
      <c r="AG115" s="3">
        <v>0</v>
      </c>
      <c r="AH115" s="3"/>
      <c r="AI115" s="3">
        <v>0</v>
      </c>
      <c r="AJ115" s="3">
        <v>0</v>
      </c>
      <c r="AK115" s="3">
        <v>0</v>
      </c>
      <c r="AL115" s="3"/>
      <c r="AM115" s="3"/>
      <c r="AN115" s="3"/>
      <c r="AO115" s="3"/>
      <c r="AP115" s="3"/>
      <c r="AQ115" s="282" t="str">
        <f>"tricks/"&amp;A115</f>
        <v>tricks/1020512</v>
      </c>
    </row>
    <row r="116" spans="1:44" ht="15" customHeight="1">
      <c r="A116" s="3">
        <v>1020513</v>
      </c>
      <c r="B116" s="3" t="s">
        <v>525</v>
      </c>
      <c r="C116" s="236" t="s">
        <v>577</v>
      </c>
      <c r="D116" s="3" t="s">
        <v>81</v>
      </c>
      <c r="E116" s="3" t="s">
        <v>325</v>
      </c>
      <c r="F116" s="3">
        <v>10</v>
      </c>
      <c r="G116" s="3">
        <v>2</v>
      </c>
      <c r="H116" s="3" t="s">
        <v>136</v>
      </c>
      <c r="I116" s="3" t="s">
        <v>137</v>
      </c>
      <c r="J116" s="3"/>
      <c r="K116" s="3"/>
      <c r="L116" s="236"/>
      <c r="M116" s="99"/>
      <c r="N116" s="99"/>
      <c r="O116" s="236"/>
      <c r="P116" s="22"/>
      <c r="Q116" s="22">
        <v>0</v>
      </c>
      <c r="R116" s="22" t="s">
        <v>153</v>
      </c>
      <c r="S116" s="3"/>
      <c r="T116" s="260"/>
      <c r="U116" s="261"/>
      <c r="V116" s="22"/>
      <c r="W116" s="567" t="s">
        <v>578</v>
      </c>
      <c r="X116" s="567" t="s">
        <v>578</v>
      </c>
      <c r="Y116" s="22"/>
      <c r="Z116" s="22"/>
      <c r="AA116" s="22"/>
      <c r="AB116" s="22" t="s">
        <v>114</v>
      </c>
      <c r="AC116" s="3"/>
      <c r="AD116" s="3"/>
      <c r="AE116" s="3">
        <v>0</v>
      </c>
      <c r="AF116" s="3">
        <v>0</v>
      </c>
      <c r="AG116" s="3">
        <v>0</v>
      </c>
      <c r="AH116" s="3"/>
      <c r="AI116" s="3">
        <v>0</v>
      </c>
      <c r="AJ116" s="3">
        <v>0</v>
      </c>
      <c r="AK116" s="3">
        <v>0</v>
      </c>
      <c r="AL116" s="3"/>
      <c r="AM116" s="3"/>
      <c r="AN116" s="3"/>
      <c r="AO116" s="3"/>
      <c r="AP116" s="3"/>
      <c r="AQ116" s="282" t="str">
        <f>"tricks/"&amp;A116</f>
        <v>tricks/1020513</v>
      </c>
    </row>
    <row r="117" spans="1:44" ht="15" customHeight="1">
      <c r="A117" s="28">
        <v>1020601</v>
      </c>
      <c r="B117" s="28" t="s">
        <v>579</v>
      </c>
      <c r="C117" s="300" t="s">
        <v>580</v>
      </c>
      <c r="D117" s="28" t="s">
        <v>81</v>
      </c>
      <c r="E117" s="28" t="s">
        <v>325</v>
      </c>
      <c r="F117" s="28">
        <v>1</v>
      </c>
      <c r="G117" s="28">
        <v>2</v>
      </c>
      <c r="H117" s="28" t="s">
        <v>82</v>
      </c>
      <c r="I117" s="28" t="s">
        <v>101</v>
      </c>
      <c r="J117" s="28"/>
      <c r="K117" s="28">
        <v>1</v>
      </c>
      <c r="L117" s="300" t="s">
        <v>527</v>
      </c>
      <c r="M117" s="301"/>
      <c r="N117" s="301"/>
      <c r="O117" s="300"/>
      <c r="P117" s="302"/>
      <c r="Q117" s="302">
        <v>0</v>
      </c>
      <c r="R117" s="302" t="s">
        <v>85</v>
      </c>
      <c r="S117" s="28">
        <v>1020501</v>
      </c>
      <c r="T117" s="319" t="s">
        <v>581</v>
      </c>
      <c r="U117" s="320"/>
      <c r="V117" s="302" t="s">
        <v>582</v>
      </c>
      <c r="W117" s="589" t="s">
        <v>583</v>
      </c>
      <c r="X117" s="589" t="s">
        <v>583</v>
      </c>
      <c r="Y117" s="302"/>
      <c r="Z117" s="302"/>
      <c r="AA117" s="302"/>
      <c r="AB117" s="302" t="s">
        <v>90</v>
      </c>
      <c r="AC117" s="28"/>
      <c r="AD117" s="28"/>
      <c r="AE117" s="28">
        <v>1</v>
      </c>
      <c r="AF117" s="28">
        <v>2</v>
      </c>
      <c r="AG117" s="28">
        <v>7</v>
      </c>
      <c r="AH117" s="28"/>
      <c r="AI117" s="28">
        <v>40</v>
      </c>
      <c r="AJ117" s="28">
        <v>24</v>
      </c>
      <c r="AK117" s="328"/>
      <c r="AL117" s="328"/>
      <c r="AM117" s="328"/>
      <c r="AN117" s="28" t="s">
        <v>584</v>
      </c>
      <c r="AO117" s="28"/>
      <c r="AP117" s="28"/>
      <c r="AQ117" s="28" t="s">
        <v>585</v>
      </c>
      <c r="AR117" s="332">
        <v>218</v>
      </c>
    </row>
    <row r="118" spans="1:44" ht="15" customHeight="1">
      <c r="A118" s="28">
        <v>1020602</v>
      </c>
      <c r="B118" s="28" t="s">
        <v>579</v>
      </c>
      <c r="C118" s="303" t="s">
        <v>586</v>
      </c>
      <c r="D118" s="28" t="s">
        <v>81</v>
      </c>
      <c r="E118" s="28" t="s">
        <v>325</v>
      </c>
      <c r="F118" s="28">
        <v>1</v>
      </c>
      <c r="G118" s="28">
        <v>2</v>
      </c>
      <c r="H118" s="28" t="s">
        <v>136</v>
      </c>
      <c r="I118" s="28" t="s">
        <v>137</v>
      </c>
      <c r="J118" s="28"/>
      <c r="K118" s="28"/>
      <c r="L118" s="303" t="s">
        <v>535</v>
      </c>
      <c r="M118" s="301"/>
      <c r="N118" s="301"/>
      <c r="O118" s="303"/>
      <c r="P118" s="302"/>
      <c r="Q118" s="302">
        <v>0</v>
      </c>
      <c r="R118" s="302"/>
      <c r="S118" s="28">
        <v>1020502</v>
      </c>
      <c r="T118" s="319"/>
      <c r="U118" s="320"/>
      <c r="V118" s="302" t="s">
        <v>582</v>
      </c>
      <c r="W118" s="589" t="s">
        <v>587</v>
      </c>
      <c r="X118" s="589" t="s">
        <v>587</v>
      </c>
      <c r="Y118" s="302"/>
      <c r="Z118" s="302"/>
      <c r="AA118" s="302"/>
      <c r="AB118" s="302"/>
      <c r="AC118" s="28"/>
      <c r="AD118" s="28"/>
      <c r="AE118" s="28">
        <v>0</v>
      </c>
      <c r="AF118" s="28"/>
      <c r="AG118" s="28"/>
      <c r="AH118" s="28"/>
      <c r="AI118" s="28"/>
      <c r="AJ118" s="28"/>
      <c r="AK118" s="328"/>
      <c r="AL118" s="328"/>
      <c r="AM118" s="328"/>
      <c r="AN118" s="28"/>
      <c r="AO118" s="28"/>
      <c r="AP118" s="28"/>
      <c r="AQ118" s="28" t="s">
        <v>588</v>
      </c>
      <c r="AR118" s="332"/>
    </row>
    <row r="119" spans="1:44" ht="15" customHeight="1">
      <c r="A119" s="28">
        <v>1020603</v>
      </c>
      <c r="B119" s="28" t="s">
        <v>579</v>
      </c>
      <c r="C119" s="303" t="s">
        <v>589</v>
      </c>
      <c r="D119" s="28" t="s">
        <v>81</v>
      </c>
      <c r="E119" s="28" t="s">
        <v>325</v>
      </c>
      <c r="F119" s="28">
        <v>1</v>
      </c>
      <c r="G119" s="28">
        <v>2</v>
      </c>
      <c r="H119" s="28" t="s">
        <v>82</v>
      </c>
      <c r="I119" s="28" t="s">
        <v>101</v>
      </c>
      <c r="J119" s="28"/>
      <c r="K119" s="28">
        <v>2</v>
      </c>
      <c r="L119" s="303" t="s">
        <v>539</v>
      </c>
      <c r="M119" s="301"/>
      <c r="N119" s="301"/>
      <c r="O119" s="303"/>
      <c r="P119" s="302"/>
      <c r="Q119" s="302">
        <v>0</v>
      </c>
      <c r="R119" s="302" t="s">
        <v>85</v>
      </c>
      <c r="S119" s="28">
        <v>1020503</v>
      </c>
      <c r="T119" s="319" t="s">
        <v>590</v>
      </c>
      <c r="U119" s="320"/>
      <c r="V119" s="302" t="s">
        <v>582</v>
      </c>
      <c r="W119" s="589" t="s">
        <v>591</v>
      </c>
      <c r="X119" s="589" t="s">
        <v>591</v>
      </c>
      <c r="Y119" s="302"/>
      <c r="Z119" s="302"/>
      <c r="AA119" s="302"/>
      <c r="AB119" s="302" t="s">
        <v>90</v>
      </c>
      <c r="AC119" s="28"/>
      <c r="AD119" s="28"/>
      <c r="AE119" s="28">
        <v>1</v>
      </c>
      <c r="AF119" s="28">
        <v>1</v>
      </c>
      <c r="AG119" s="28">
        <v>6</v>
      </c>
      <c r="AH119" s="28"/>
      <c r="AI119" s="28">
        <v>39</v>
      </c>
      <c r="AJ119" s="28">
        <v>26</v>
      </c>
      <c r="AK119" s="328"/>
      <c r="AL119" s="328"/>
      <c r="AM119" s="328"/>
      <c r="AN119" s="28" t="s">
        <v>592</v>
      </c>
      <c r="AO119" s="28"/>
      <c r="AP119" s="28"/>
      <c r="AQ119" s="28" t="s">
        <v>593</v>
      </c>
      <c r="AR119" s="332">
        <v>219</v>
      </c>
    </row>
    <row r="120" spans="1:44" ht="15" customHeight="1">
      <c r="A120" s="28">
        <v>1020604</v>
      </c>
      <c r="B120" s="28" t="s">
        <v>579</v>
      </c>
      <c r="C120" s="303" t="s">
        <v>594</v>
      </c>
      <c r="D120" s="28" t="s">
        <v>81</v>
      </c>
      <c r="E120" s="28" t="s">
        <v>325</v>
      </c>
      <c r="F120" s="28">
        <v>2</v>
      </c>
      <c r="G120" s="28">
        <v>2</v>
      </c>
      <c r="H120" s="28" t="s">
        <v>136</v>
      </c>
      <c r="I120" s="28" t="s">
        <v>137</v>
      </c>
      <c r="J120" s="28"/>
      <c r="K120" s="28"/>
      <c r="L120" s="303" t="s">
        <v>544</v>
      </c>
      <c r="M120" s="301"/>
      <c r="N120" s="301"/>
      <c r="O120" s="303"/>
      <c r="P120" s="302"/>
      <c r="Q120" s="302">
        <v>0</v>
      </c>
      <c r="R120" s="302"/>
      <c r="S120" s="28">
        <v>1020504</v>
      </c>
      <c r="T120" s="319"/>
      <c r="U120" s="320"/>
      <c r="V120" s="302" t="s">
        <v>582</v>
      </c>
      <c r="W120" s="589" t="s">
        <v>595</v>
      </c>
      <c r="X120" s="589" t="s">
        <v>595</v>
      </c>
      <c r="Y120" s="302"/>
      <c r="Z120" s="302"/>
      <c r="AA120" s="302"/>
      <c r="AB120" s="302"/>
      <c r="AC120" s="28"/>
      <c r="AD120" s="28"/>
      <c r="AE120" s="28">
        <v>0</v>
      </c>
      <c r="AF120" s="28"/>
      <c r="AG120" s="28"/>
      <c r="AH120" s="28"/>
      <c r="AI120" s="28"/>
      <c r="AJ120" s="28"/>
      <c r="AK120" s="328"/>
      <c r="AL120" s="328"/>
      <c r="AM120" s="328"/>
      <c r="AN120" s="28"/>
      <c r="AO120" s="28"/>
      <c r="AP120" s="28"/>
      <c r="AQ120" s="28" t="s">
        <v>596</v>
      </c>
      <c r="AR120" s="332"/>
    </row>
    <row r="121" spans="1:44" ht="15" customHeight="1">
      <c r="A121" s="28">
        <v>1020605</v>
      </c>
      <c r="B121" s="28" t="s">
        <v>579</v>
      </c>
      <c r="C121" s="303" t="s">
        <v>597</v>
      </c>
      <c r="D121" s="28" t="s">
        <v>81</v>
      </c>
      <c r="E121" s="28" t="s">
        <v>325</v>
      </c>
      <c r="F121" s="28">
        <v>1</v>
      </c>
      <c r="G121" s="28">
        <v>2</v>
      </c>
      <c r="H121" s="28" t="s">
        <v>82</v>
      </c>
      <c r="I121" s="28" t="s">
        <v>101</v>
      </c>
      <c r="J121" s="28"/>
      <c r="K121" s="28">
        <v>3</v>
      </c>
      <c r="L121" s="303" t="s">
        <v>598</v>
      </c>
      <c r="M121" s="301"/>
      <c r="N121" s="301"/>
      <c r="O121" s="303"/>
      <c r="P121" s="302"/>
      <c r="Q121" s="302">
        <v>0</v>
      </c>
      <c r="R121" s="302" t="s">
        <v>85</v>
      </c>
      <c r="S121" s="28">
        <v>1020505</v>
      </c>
      <c r="T121" s="319" t="s">
        <v>599</v>
      </c>
      <c r="U121" s="320"/>
      <c r="V121" s="302" t="s">
        <v>582</v>
      </c>
      <c r="W121" s="589" t="s">
        <v>600</v>
      </c>
      <c r="X121" s="589" t="s">
        <v>600</v>
      </c>
      <c r="Y121" s="302"/>
      <c r="Z121" s="302"/>
      <c r="AA121" s="302"/>
      <c r="AB121" s="302" t="s">
        <v>90</v>
      </c>
      <c r="AC121" s="28"/>
      <c r="AD121" s="28"/>
      <c r="AE121" s="28">
        <v>1</v>
      </c>
      <c r="AF121" s="28">
        <v>1</v>
      </c>
      <c r="AG121" s="28">
        <v>5</v>
      </c>
      <c r="AH121" s="28"/>
      <c r="AI121" s="28">
        <v>42</v>
      </c>
      <c r="AJ121" s="28">
        <v>35</v>
      </c>
      <c r="AK121" s="328"/>
      <c r="AL121" s="328"/>
      <c r="AM121" s="328"/>
      <c r="AN121" s="329" t="s">
        <v>601</v>
      </c>
      <c r="AO121" s="28"/>
      <c r="AP121" s="28"/>
      <c r="AQ121" s="28" t="s">
        <v>602</v>
      </c>
      <c r="AR121" s="332">
        <v>220</v>
      </c>
    </row>
    <row r="122" spans="1:44" ht="15" customHeight="1">
      <c r="A122" s="28">
        <v>1020606</v>
      </c>
      <c r="B122" s="28" t="s">
        <v>579</v>
      </c>
      <c r="C122" s="303" t="s">
        <v>603</v>
      </c>
      <c r="D122" s="28" t="s">
        <v>81</v>
      </c>
      <c r="E122" s="28" t="s">
        <v>325</v>
      </c>
      <c r="F122" s="28">
        <v>3</v>
      </c>
      <c r="G122" s="28">
        <v>2</v>
      </c>
      <c r="H122" s="28" t="s">
        <v>136</v>
      </c>
      <c r="I122" s="28" t="s">
        <v>137</v>
      </c>
      <c r="J122" s="28"/>
      <c r="K122" s="28"/>
      <c r="L122" s="303" t="s">
        <v>555</v>
      </c>
      <c r="M122" s="301"/>
      <c r="N122" s="301"/>
      <c r="O122" s="303"/>
      <c r="P122" s="302"/>
      <c r="Q122" s="302">
        <v>0</v>
      </c>
      <c r="R122" s="302"/>
      <c r="S122" s="28">
        <v>1020506</v>
      </c>
      <c r="T122" s="319"/>
      <c r="U122" s="320"/>
      <c r="V122" s="302" t="s">
        <v>582</v>
      </c>
      <c r="W122" s="589" t="s">
        <v>604</v>
      </c>
      <c r="X122" s="589" t="s">
        <v>604</v>
      </c>
      <c r="Y122" s="302"/>
      <c r="Z122" s="302"/>
      <c r="AA122" s="302"/>
      <c r="AB122" s="302"/>
      <c r="AC122" s="28"/>
      <c r="AD122" s="28"/>
      <c r="AE122" s="28">
        <v>0</v>
      </c>
      <c r="AF122" s="28"/>
      <c r="AG122" s="28"/>
      <c r="AH122" s="28"/>
      <c r="AI122" s="28"/>
      <c r="AJ122" s="28"/>
      <c r="AK122" s="328"/>
      <c r="AL122" s="328"/>
      <c r="AM122" s="328"/>
      <c r="AN122" s="28"/>
      <c r="AO122" s="28"/>
      <c r="AP122" s="28"/>
      <c r="AQ122" s="28" t="s">
        <v>605</v>
      </c>
      <c r="AR122" s="332"/>
    </row>
    <row r="123" spans="1:44" ht="15" customHeight="1">
      <c r="A123" s="28">
        <v>1020607</v>
      </c>
      <c r="B123" s="28" t="s">
        <v>579</v>
      </c>
      <c r="C123" s="303" t="s">
        <v>606</v>
      </c>
      <c r="D123" s="28" t="s">
        <v>81</v>
      </c>
      <c r="E123" s="28" t="s">
        <v>325</v>
      </c>
      <c r="F123" s="28">
        <v>4</v>
      </c>
      <c r="G123" s="28">
        <v>2</v>
      </c>
      <c r="H123" s="28" t="s">
        <v>136</v>
      </c>
      <c r="I123" s="28" t="s">
        <v>137</v>
      </c>
      <c r="J123" s="28"/>
      <c r="K123" s="28"/>
      <c r="L123" s="303" t="s">
        <v>559</v>
      </c>
      <c r="M123" s="301"/>
      <c r="N123" s="301"/>
      <c r="O123" s="303"/>
      <c r="P123" s="302"/>
      <c r="Q123" s="302">
        <v>0</v>
      </c>
      <c r="R123" s="302"/>
      <c r="S123" s="28">
        <v>1020507</v>
      </c>
      <c r="T123" s="319"/>
      <c r="U123" s="320"/>
      <c r="V123" s="302" t="s">
        <v>582</v>
      </c>
      <c r="W123" s="589" t="s">
        <v>607</v>
      </c>
      <c r="X123" s="589" t="s">
        <v>607</v>
      </c>
      <c r="Y123" s="302"/>
      <c r="Z123" s="302"/>
      <c r="AA123" s="302"/>
      <c r="AB123" s="302"/>
      <c r="AC123" s="28"/>
      <c r="AD123" s="28"/>
      <c r="AE123" s="28">
        <v>0</v>
      </c>
      <c r="AF123" s="28"/>
      <c r="AG123" s="28"/>
      <c r="AH123" s="28"/>
      <c r="AI123" s="28"/>
      <c r="AJ123" s="28"/>
      <c r="AK123" s="328"/>
      <c r="AL123" s="328"/>
      <c r="AM123" s="328"/>
      <c r="AN123" s="28"/>
      <c r="AO123" s="28"/>
      <c r="AP123" s="28"/>
      <c r="AQ123" s="28" t="s">
        <v>608</v>
      </c>
      <c r="AR123" s="332"/>
    </row>
    <row r="124" spans="1:44" ht="15" customHeight="1">
      <c r="A124" s="28">
        <v>1020608</v>
      </c>
      <c r="B124" s="28" t="s">
        <v>579</v>
      </c>
      <c r="C124" s="303" t="s">
        <v>609</v>
      </c>
      <c r="D124" s="28" t="s">
        <v>81</v>
      </c>
      <c r="E124" s="28" t="s">
        <v>325</v>
      </c>
      <c r="F124" s="28">
        <v>5</v>
      </c>
      <c r="G124" s="28">
        <v>2</v>
      </c>
      <c r="H124" s="28" t="s">
        <v>136</v>
      </c>
      <c r="I124" s="28" t="s">
        <v>137</v>
      </c>
      <c r="J124" s="28"/>
      <c r="K124" s="28"/>
      <c r="L124" s="303" t="s">
        <v>563</v>
      </c>
      <c r="M124" s="301"/>
      <c r="N124" s="301"/>
      <c r="O124" s="303"/>
      <c r="P124" s="302"/>
      <c r="Q124" s="302">
        <v>0</v>
      </c>
      <c r="R124" s="302"/>
      <c r="S124" s="28">
        <v>1020508</v>
      </c>
      <c r="T124" s="319"/>
      <c r="U124" s="320"/>
      <c r="V124" s="302" t="s">
        <v>582</v>
      </c>
      <c r="W124" s="319" t="s">
        <v>610</v>
      </c>
      <c r="X124" s="319" t="s">
        <v>610</v>
      </c>
      <c r="Y124" s="302"/>
      <c r="Z124" s="302"/>
      <c r="AA124" s="302"/>
      <c r="AB124" s="302"/>
      <c r="AC124" s="28"/>
      <c r="AD124" s="28"/>
      <c r="AE124" s="28">
        <v>0</v>
      </c>
      <c r="AF124" s="28"/>
      <c r="AG124" s="28"/>
      <c r="AH124" s="28"/>
      <c r="AI124" s="28"/>
      <c r="AJ124" s="28"/>
      <c r="AK124" s="328"/>
      <c r="AL124" s="328"/>
      <c r="AM124" s="328"/>
      <c r="AN124" s="28"/>
      <c r="AO124" s="28"/>
      <c r="AP124" s="28"/>
      <c r="AQ124" s="28" t="s">
        <v>611</v>
      </c>
      <c r="AR124" s="332"/>
    </row>
    <row r="125" spans="1:44" ht="15" customHeight="1">
      <c r="A125" s="28">
        <v>1020609</v>
      </c>
      <c r="B125" s="28" t="s">
        <v>579</v>
      </c>
      <c r="C125" s="303" t="s">
        <v>612</v>
      </c>
      <c r="D125" s="28" t="s">
        <v>81</v>
      </c>
      <c r="E125" s="28" t="s">
        <v>325</v>
      </c>
      <c r="F125" s="28">
        <v>6</v>
      </c>
      <c r="G125" s="28">
        <v>2</v>
      </c>
      <c r="H125" s="28" t="s">
        <v>136</v>
      </c>
      <c r="I125" s="28" t="s">
        <v>137</v>
      </c>
      <c r="J125" s="28"/>
      <c r="K125" s="28"/>
      <c r="L125" s="303" t="s">
        <v>567</v>
      </c>
      <c r="M125" s="301"/>
      <c r="N125" s="301"/>
      <c r="O125" s="303"/>
      <c r="P125" s="302"/>
      <c r="Q125" s="302">
        <v>0</v>
      </c>
      <c r="R125" s="302"/>
      <c r="S125" s="28">
        <v>1020509</v>
      </c>
      <c r="T125" s="319"/>
      <c r="U125" s="320"/>
      <c r="V125" s="302" t="s">
        <v>582</v>
      </c>
      <c r="W125" s="589" t="s">
        <v>607</v>
      </c>
      <c r="X125" s="589" t="s">
        <v>607</v>
      </c>
      <c r="Y125" s="302"/>
      <c r="Z125" s="302"/>
      <c r="AA125" s="302"/>
      <c r="AB125" s="302"/>
      <c r="AC125" s="28"/>
      <c r="AD125" s="28"/>
      <c r="AE125" s="28">
        <v>0</v>
      </c>
      <c r="AF125" s="28"/>
      <c r="AG125" s="28"/>
      <c r="AH125" s="28"/>
      <c r="AI125" s="28"/>
      <c r="AJ125" s="28"/>
      <c r="AK125" s="328"/>
      <c r="AL125" s="328"/>
      <c r="AM125" s="328"/>
      <c r="AN125" s="28"/>
      <c r="AO125" s="28"/>
      <c r="AP125" s="28"/>
      <c r="AQ125" s="28" t="s">
        <v>613</v>
      </c>
      <c r="AR125" s="332"/>
    </row>
    <row r="126" spans="1:44" ht="15" customHeight="1">
      <c r="A126" s="28">
        <v>1020610</v>
      </c>
      <c r="B126" s="28" t="s">
        <v>579</v>
      </c>
      <c r="C126" s="303" t="s">
        <v>614</v>
      </c>
      <c r="D126" s="28" t="s">
        <v>81</v>
      </c>
      <c r="E126" s="28" t="s">
        <v>325</v>
      </c>
      <c r="F126" s="28">
        <v>7</v>
      </c>
      <c r="G126" s="28">
        <v>2</v>
      </c>
      <c r="H126" s="28" t="s">
        <v>136</v>
      </c>
      <c r="I126" s="28" t="s">
        <v>137</v>
      </c>
      <c r="J126" s="28"/>
      <c r="K126" s="28"/>
      <c r="L126" s="303" t="s">
        <v>571</v>
      </c>
      <c r="M126" s="301"/>
      <c r="N126" s="301"/>
      <c r="O126" s="303"/>
      <c r="P126" s="302"/>
      <c r="Q126" s="302">
        <v>0</v>
      </c>
      <c r="R126" s="302"/>
      <c r="S126" s="28">
        <v>1020510</v>
      </c>
      <c r="T126" s="319"/>
      <c r="U126" s="320"/>
      <c r="V126" s="302" t="s">
        <v>582</v>
      </c>
      <c r="W126" s="589" t="s">
        <v>615</v>
      </c>
      <c r="X126" s="589" t="s">
        <v>615</v>
      </c>
      <c r="Y126" s="302"/>
      <c r="Z126" s="302"/>
      <c r="AA126" s="302"/>
      <c r="AB126" s="302"/>
      <c r="AC126" s="28"/>
      <c r="AD126" s="28"/>
      <c r="AE126" s="28">
        <v>0</v>
      </c>
      <c r="AF126" s="28"/>
      <c r="AG126" s="28"/>
      <c r="AH126" s="28"/>
      <c r="AI126" s="28"/>
      <c r="AJ126" s="28"/>
      <c r="AK126" s="328"/>
      <c r="AL126" s="328"/>
      <c r="AM126" s="328"/>
      <c r="AN126" s="28"/>
      <c r="AO126" s="28"/>
      <c r="AP126" s="28"/>
      <c r="AQ126" s="28" t="s">
        <v>616</v>
      </c>
      <c r="AR126" s="332"/>
    </row>
    <row r="127" spans="1:44" ht="15" customHeight="1">
      <c r="A127" s="3">
        <v>1020611</v>
      </c>
      <c r="B127" s="3" t="s">
        <v>579</v>
      </c>
      <c r="C127" s="236" t="s">
        <v>617</v>
      </c>
      <c r="D127" s="3" t="s">
        <v>81</v>
      </c>
      <c r="E127" s="3" t="s">
        <v>325</v>
      </c>
      <c r="F127" s="3">
        <v>8</v>
      </c>
      <c r="G127" s="3">
        <v>2</v>
      </c>
      <c r="H127" s="3" t="s">
        <v>136</v>
      </c>
      <c r="I127" s="3" t="s">
        <v>137</v>
      </c>
      <c r="J127" s="3"/>
      <c r="K127" s="3"/>
      <c r="L127" s="236"/>
      <c r="M127" s="99"/>
      <c r="N127" s="99"/>
      <c r="O127" s="236"/>
      <c r="P127" s="22"/>
      <c r="Q127" s="22">
        <v>0</v>
      </c>
      <c r="R127" s="22" t="s">
        <v>153</v>
      </c>
      <c r="S127" s="3"/>
      <c r="T127" s="260"/>
      <c r="U127" s="261"/>
      <c r="V127" s="22"/>
      <c r="W127" s="567" t="s">
        <v>402</v>
      </c>
      <c r="X127" s="567" t="s">
        <v>6750</v>
      </c>
      <c r="Y127" s="22"/>
      <c r="Z127" s="22"/>
      <c r="AA127" s="22"/>
      <c r="AB127" s="22" t="s">
        <v>114</v>
      </c>
      <c r="AC127" s="3"/>
      <c r="AD127" s="3"/>
      <c r="AE127" s="3">
        <v>0</v>
      </c>
      <c r="AF127" s="3">
        <v>0</v>
      </c>
      <c r="AG127" s="3">
        <v>0</v>
      </c>
      <c r="AH127" s="3"/>
      <c r="AI127" s="3">
        <v>0</v>
      </c>
      <c r="AJ127" s="3">
        <v>0</v>
      </c>
      <c r="AK127" s="3">
        <v>0</v>
      </c>
      <c r="AL127" s="3"/>
      <c r="AM127" s="3"/>
      <c r="AN127" s="3"/>
      <c r="AO127" s="3"/>
      <c r="AP127" s="3"/>
      <c r="AQ127" s="3" t="s">
        <v>602</v>
      </c>
      <c r="AR127" s="281"/>
    </row>
    <row r="128" spans="1:44" ht="15" customHeight="1">
      <c r="A128" s="3">
        <v>1020612</v>
      </c>
      <c r="B128" s="3" t="s">
        <v>579</v>
      </c>
      <c r="C128" s="236" t="s">
        <v>618</v>
      </c>
      <c r="D128" s="3" t="s">
        <v>81</v>
      </c>
      <c r="E128" s="3" t="s">
        <v>325</v>
      </c>
      <c r="F128" s="3">
        <v>9</v>
      </c>
      <c r="G128" s="3">
        <v>2</v>
      </c>
      <c r="H128" s="3" t="s">
        <v>136</v>
      </c>
      <c r="I128" s="3" t="s">
        <v>137</v>
      </c>
      <c r="J128" s="3"/>
      <c r="K128" s="3"/>
      <c r="L128" s="236"/>
      <c r="M128" s="99"/>
      <c r="N128" s="99"/>
      <c r="O128" s="236"/>
      <c r="P128" s="22"/>
      <c r="Q128" s="22">
        <v>0</v>
      </c>
      <c r="R128" s="22" t="s">
        <v>153</v>
      </c>
      <c r="S128" s="3"/>
      <c r="T128" s="260"/>
      <c r="U128" s="261"/>
      <c r="V128" s="22"/>
      <c r="W128" s="567" t="s">
        <v>619</v>
      </c>
      <c r="X128" s="567" t="s">
        <v>6760</v>
      </c>
      <c r="Y128" s="22"/>
      <c r="Z128" s="22"/>
      <c r="AA128" s="22"/>
      <c r="AB128" s="22" t="s">
        <v>114</v>
      </c>
      <c r="AC128" s="3"/>
      <c r="AD128" s="3"/>
      <c r="AE128" s="3">
        <v>0</v>
      </c>
      <c r="AF128" s="3">
        <v>0</v>
      </c>
      <c r="AG128" s="3">
        <v>0</v>
      </c>
      <c r="AH128" s="3"/>
      <c r="AI128" s="3">
        <v>0</v>
      </c>
      <c r="AJ128" s="3">
        <v>0</v>
      </c>
      <c r="AK128" s="3">
        <v>0</v>
      </c>
      <c r="AL128" s="3"/>
      <c r="AM128" s="3"/>
      <c r="AN128" s="3"/>
      <c r="AO128" s="3"/>
      <c r="AP128" s="3"/>
      <c r="AQ128" s="282" t="str">
        <f>"tricks/"&amp;A128</f>
        <v>tricks/1020612</v>
      </c>
    </row>
    <row r="129" spans="1:44" ht="15" customHeight="1">
      <c r="A129" s="3">
        <v>1020613</v>
      </c>
      <c r="B129" s="3" t="s">
        <v>579</v>
      </c>
      <c r="C129" s="236" t="s">
        <v>620</v>
      </c>
      <c r="D129" s="3" t="s">
        <v>81</v>
      </c>
      <c r="E129" s="3" t="s">
        <v>325</v>
      </c>
      <c r="F129" s="3">
        <v>10</v>
      </c>
      <c r="G129" s="3">
        <v>2</v>
      </c>
      <c r="H129" s="3" t="s">
        <v>136</v>
      </c>
      <c r="I129" s="3" t="s">
        <v>137</v>
      </c>
      <c r="J129" s="3"/>
      <c r="K129" s="3"/>
      <c r="L129" s="236"/>
      <c r="M129" s="99"/>
      <c r="N129" s="99"/>
      <c r="O129" s="236"/>
      <c r="P129" s="22"/>
      <c r="Q129" s="22">
        <v>0</v>
      </c>
      <c r="R129" s="22" t="s">
        <v>153</v>
      </c>
      <c r="S129" s="3"/>
      <c r="T129" s="260"/>
      <c r="U129" s="261"/>
      <c r="V129" s="22"/>
      <c r="W129" s="567" t="s">
        <v>621</v>
      </c>
      <c r="X129" s="567" t="s">
        <v>6761</v>
      </c>
      <c r="Y129" s="22"/>
      <c r="Z129" s="22"/>
      <c r="AA129" s="22"/>
      <c r="AB129" s="22" t="s">
        <v>114</v>
      </c>
      <c r="AC129" s="3"/>
      <c r="AD129" s="3"/>
      <c r="AE129" s="3">
        <v>0</v>
      </c>
      <c r="AF129" s="3">
        <v>0</v>
      </c>
      <c r="AG129" s="3">
        <v>0</v>
      </c>
      <c r="AH129" s="3"/>
      <c r="AI129" s="3">
        <v>0</v>
      </c>
      <c r="AJ129" s="3">
        <v>0</v>
      </c>
      <c r="AK129" s="3">
        <v>0</v>
      </c>
      <c r="AL129" s="3"/>
      <c r="AM129" s="3"/>
      <c r="AN129" s="3"/>
      <c r="AO129" s="3"/>
      <c r="AP129" s="3"/>
      <c r="AQ129" s="282" t="str">
        <f>"tricks/"&amp;A129</f>
        <v>tricks/1020613</v>
      </c>
    </row>
    <row r="130" spans="1:44" ht="15" customHeight="1">
      <c r="A130" s="28">
        <v>1020701</v>
      </c>
      <c r="B130" s="329" t="s">
        <v>622</v>
      </c>
      <c r="C130" s="590" t="s">
        <v>623</v>
      </c>
      <c r="D130" s="28" t="s">
        <v>81</v>
      </c>
      <c r="E130" s="28" t="s">
        <v>325</v>
      </c>
      <c r="F130" s="28">
        <v>1</v>
      </c>
      <c r="G130" s="28">
        <v>2</v>
      </c>
      <c r="H130" s="28" t="s">
        <v>82</v>
      </c>
      <c r="I130" s="28" t="s">
        <v>101</v>
      </c>
      <c r="J130" s="28"/>
      <c r="K130" s="28">
        <v>1</v>
      </c>
      <c r="L130" s="300" t="s">
        <v>527</v>
      </c>
      <c r="M130" s="301"/>
      <c r="N130" s="301"/>
      <c r="O130" s="300"/>
      <c r="P130" s="302"/>
      <c r="Q130" s="302">
        <v>0</v>
      </c>
      <c r="R130" s="302" t="s">
        <v>85</v>
      </c>
      <c r="S130" s="28">
        <v>1020501</v>
      </c>
      <c r="T130" s="319"/>
      <c r="U130" s="320" t="s">
        <v>624</v>
      </c>
      <c r="V130" s="302" t="s">
        <v>582</v>
      </c>
      <c r="W130" s="589" t="s">
        <v>625</v>
      </c>
      <c r="X130" s="589" t="s">
        <v>625</v>
      </c>
      <c r="Y130" s="302"/>
      <c r="Z130" s="302"/>
      <c r="AA130" s="302"/>
      <c r="AB130" s="302" t="s">
        <v>90</v>
      </c>
      <c r="AC130" s="28"/>
      <c r="AD130" s="28"/>
      <c r="AE130" s="28">
        <v>1</v>
      </c>
      <c r="AF130" s="28">
        <v>2</v>
      </c>
      <c r="AG130" s="28">
        <v>7</v>
      </c>
      <c r="AH130" s="28"/>
      <c r="AI130" s="28">
        <v>40</v>
      </c>
      <c r="AJ130" s="28">
        <v>24</v>
      </c>
      <c r="AK130" s="328"/>
      <c r="AL130" s="328"/>
      <c r="AM130" s="328"/>
      <c r="AN130" s="28" t="s">
        <v>626</v>
      </c>
      <c r="AO130" s="28"/>
      <c r="AP130" s="28"/>
      <c r="AQ130" s="8" t="str">
        <f>"tricks/"&amp;A130</f>
        <v>tricks/1020701</v>
      </c>
      <c r="AR130" s="332">
        <v>369</v>
      </c>
    </row>
    <row r="131" spans="1:44" ht="15" customHeight="1">
      <c r="A131" s="28">
        <v>1020702</v>
      </c>
      <c r="B131" s="28" t="s">
        <v>622</v>
      </c>
      <c r="C131" s="303" t="s">
        <v>627</v>
      </c>
      <c r="D131" s="28" t="s">
        <v>81</v>
      </c>
      <c r="E131" s="28" t="s">
        <v>325</v>
      </c>
      <c r="F131" s="28">
        <v>1</v>
      </c>
      <c r="G131" s="28">
        <v>2</v>
      </c>
      <c r="H131" s="28" t="s">
        <v>136</v>
      </c>
      <c r="I131" s="28" t="s">
        <v>137</v>
      </c>
      <c r="J131" s="28"/>
      <c r="K131" s="28"/>
      <c r="L131" s="303" t="s">
        <v>535</v>
      </c>
      <c r="M131" s="301"/>
      <c r="N131" s="301"/>
      <c r="O131" s="303"/>
      <c r="P131" s="302"/>
      <c r="Q131" s="302">
        <v>0</v>
      </c>
      <c r="R131" s="302"/>
      <c r="S131" s="28">
        <v>1020502</v>
      </c>
      <c r="T131" s="319"/>
      <c r="U131" s="320"/>
      <c r="V131" s="302" t="s">
        <v>582</v>
      </c>
      <c r="W131" s="589" t="s">
        <v>628</v>
      </c>
      <c r="X131" s="589" t="s">
        <v>628</v>
      </c>
      <c r="Y131" s="302"/>
      <c r="Z131" s="302"/>
      <c r="AA131" s="302"/>
      <c r="AB131" s="302"/>
      <c r="AC131" s="28"/>
      <c r="AD131" s="28"/>
      <c r="AE131" s="28">
        <v>0</v>
      </c>
      <c r="AF131" s="28"/>
      <c r="AG131" s="28"/>
      <c r="AH131" s="28"/>
      <c r="AI131" s="28"/>
      <c r="AJ131" s="28"/>
      <c r="AK131" s="328"/>
      <c r="AL131" s="328"/>
      <c r="AM131" s="328"/>
      <c r="AN131" s="28"/>
      <c r="AO131" s="28"/>
      <c r="AP131" s="28"/>
      <c r="AQ131" s="8" t="str">
        <f t="shared" ref="AQ131:AQ142" si="1">"tricks/"&amp;A131</f>
        <v>tricks/1020702</v>
      </c>
      <c r="AR131" s="332"/>
    </row>
    <row r="132" spans="1:44" ht="15" customHeight="1">
      <c r="A132" s="28">
        <v>1020703</v>
      </c>
      <c r="B132" s="28" t="s">
        <v>622</v>
      </c>
      <c r="C132" s="303" t="s">
        <v>629</v>
      </c>
      <c r="D132" s="28" t="s">
        <v>81</v>
      </c>
      <c r="E132" s="28" t="s">
        <v>325</v>
      </c>
      <c r="F132" s="28">
        <v>1</v>
      </c>
      <c r="G132" s="28">
        <v>2</v>
      </c>
      <c r="H132" s="28" t="s">
        <v>82</v>
      </c>
      <c r="I132" s="28" t="s">
        <v>101</v>
      </c>
      <c r="J132" s="28"/>
      <c r="K132" s="28">
        <v>2</v>
      </c>
      <c r="L132" s="303" t="s">
        <v>539</v>
      </c>
      <c r="M132" s="301"/>
      <c r="N132" s="301"/>
      <c r="O132" s="303"/>
      <c r="P132" s="302"/>
      <c r="Q132" s="302">
        <v>0</v>
      </c>
      <c r="R132" s="302" t="s">
        <v>85</v>
      </c>
      <c r="S132" s="28">
        <v>1020503</v>
      </c>
      <c r="T132" s="319"/>
      <c r="U132" s="320" t="s">
        <v>630</v>
      </c>
      <c r="V132" s="302" t="s">
        <v>582</v>
      </c>
      <c r="W132" s="589" t="s">
        <v>631</v>
      </c>
      <c r="X132" s="589" t="s">
        <v>631</v>
      </c>
      <c r="Y132" s="302"/>
      <c r="Z132" s="302"/>
      <c r="AA132" s="302"/>
      <c r="AB132" s="302" t="s">
        <v>90</v>
      </c>
      <c r="AC132" s="28"/>
      <c r="AD132" s="28"/>
      <c r="AE132" s="28">
        <v>1</v>
      </c>
      <c r="AF132" s="28">
        <v>1</v>
      </c>
      <c r="AG132" s="28">
        <v>6</v>
      </c>
      <c r="AH132" s="28"/>
      <c r="AI132" s="28">
        <v>39</v>
      </c>
      <c r="AJ132" s="28">
        <v>26</v>
      </c>
      <c r="AK132" s="328"/>
      <c r="AL132" s="328"/>
      <c r="AM132" s="328"/>
      <c r="AN132" s="329" t="s">
        <v>632</v>
      </c>
      <c r="AO132" s="28"/>
      <c r="AP132" s="28"/>
      <c r="AQ132" s="8" t="str">
        <f t="shared" si="1"/>
        <v>tricks/1020703</v>
      </c>
      <c r="AR132" s="332">
        <v>370</v>
      </c>
    </row>
    <row r="133" spans="1:44" ht="15" customHeight="1">
      <c r="A133" s="28">
        <v>1020704</v>
      </c>
      <c r="B133" s="28" t="s">
        <v>622</v>
      </c>
      <c r="C133" s="303" t="s">
        <v>633</v>
      </c>
      <c r="D133" s="28" t="s">
        <v>81</v>
      </c>
      <c r="E133" s="28" t="s">
        <v>325</v>
      </c>
      <c r="F133" s="28">
        <v>2</v>
      </c>
      <c r="G133" s="28">
        <v>2</v>
      </c>
      <c r="H133" s="28" t="s">
        <v>136</v>
      </c>
      <c r="I133" s="28" t="s">
        <v>137</v>
      </c>
      <c r="J133" s="28"/>
      <c r="K133" s="28"/>
      <c r="L133" s="303" t="s">
        <v>544</v>
      </c>
      <c r="M133" s="301"/>
      <c r="N133" s="301"/>
      <c r="O133" s="303"/>
      <c r="P133" s="302"/>
      <c r="Q133" s="302">
        <v>0</v>
      </c>
      <c r="R133" s="302"/>
      <c r="S133" s="28">
        <v>1020504</v>
      </c>
      <c r="T133" s="319"/>
      <c r="U133" s="320"/>
      <c r="V133" s="302" t="s">
        <v>582</v>
      </c>
      <c r="W133" s="589" t="s">
        <v>634</v>
      </c>
      <c r="X133" s="589" t="s">
        <v>634</v>
      </c>
      <c r="Y133" s="302"/>
      <c r="Z133" s="302"/>
      <c r="AA133" s="302"/>
      <c r="AB133" s="302"/>
      <c r="AC133" s="28"/>
      <c r="AD133" s="28"/>
      <c r="AE133" s="28">
        <v>0</v>
      </c>
      <c r="AF133" s="28"/>
      <c r="AG133" s="28"/>
      <c r="AH133" s="28"/>
      <c r="AI133" s="28"/>
      <c r="AJ133" s="28"/>
      <c r="AK133" s="328"/>
      <c r="AL133" s="328"/>
      <c r="AM133" s="328"/>
      <c r="AN133" s="28"/>
      <c r="AO133" s="28"/>
      <c r="AP133" s="28"/>
      <c r="AQ133" s="8" t="str">
        <f t="shared" si="1"/>
        <v>tricks/1020704</v>
      </c>
      <c r="AR133" s="332"/>
    </row>
    <row r="134" spans="1:44" ht="15" customHeight="1">
      <c r="A134" s="28">
        <v>1020705</v>
      </c>
      <c r="B134" s="28" t="s">
        <v>622</v>
      </c>
      <c r="C134" s="303" t="s">
        <v>635</v>
      </c>
      <c r="D134" s="28" t="s">
        <v>81</v>
      </c>
      <c r="E134" s="28" t="s">
        <v>325</v>
      </c>
      <c r="F134" s="28">
        <v>1</v>
      </c>
      <c r="G134" s="28">
        <v>2</v>
      </c>
      <c r="H134" s="28" t="s">
        <v>82</v>
      </c>
      <c r="I134" s="28" t="s">
        <v>101</v>
      </c>
      <c r="J134" s="28"/>
      <c r="K134" s="28">
        <v>3</v>
      </c>
      <c r="L134" s="303" t="s">
        <v>598</v>
      </c>
      <c r="M134" s="301"/>
      <c r="N134" s="301"/>
      <c r="O134" s="303"/>
      <c r="P134" s="302"/>
      <c r="Q134" s="302">
        <v>0</v>
      </c>
      <c r="R134" s="302" t="s">
        <v>85</v>
      </c>
      <c r="S134" s="28">
        <v>1020505</v>
      </c>
      <c r="T134" s="319"/>
      <c r="U134" s="320" t="s">
        <v>636</v>
      </c>
      <c r="V134" s="302" t="s">
        <v>582</v>
      </c>
      <c r="W134" s="589" t="s">
        <v>637</v>
      </c>
      <c r="X134" s="589" t="s">
        <v>637</v>
      </c>
      <c r="Y134" s="302"/>
      <c r="Z134" s="302"/>
      <c r="AA134" s="302"/>
      <c r="AB134" s="302" t="s">
        <v>90</v>
      </c>
      <c r="AC134" s="28"/>
      <c r="AD134" s="28"/>
      <c r="AE134" s="28">
        <v>1</v>
      </c>
      <c r="AF134" s="28">
        <v>1</v>
      </c>
      <c r="AG134" s="28">
        <v>5</v>
      </c>
      <c r="AH134" s="28"/>
      <c r="AI134" s="28">
        <v>42</v>
      </c>
      <c r="AJ134" s="28">
        <v>35</v>
      </c>
      <c r="AK134" s="328"/>
      <c r="AL134" s="328"/>
      <c r="AM134" s="328"/>
      <c r="AN134" s="329" t="s">
        <v>638</v>
      </c>
      <c r="AO134" s="28"/>
      <c r="AP134" s="28"/>
      <c r="AQ134" s="8" t="str">
        <f t="shared" si="1"/>
        <v>tricks/1020705</v>
      </c>
      <c r="AR134" s="332">
        <v>371</v>
      </c>
    </row>
    <row r="135" spans="1:44" ht="15" customHeight="1">
      <c r="A135" s="28">
        <v>1020706</v>
      </c>
      <c r="B135" s="28" t="s">
        <v>622</v>
      </c>
      <c r="C135" s="303" t="s">
        <v>639</v>
      </c>
      <c r="D135" s="28" t="s">
        <v>81</v>
      </c>
      <c r="E135" s="28" t="s">
        <v>325</v>
      </c>
      <c r="F135" s="28">
        <v>3</v>
      </c>
      <c r="G135" s="28">
        <v>2</v>
      </c>
      <c r="H135" s="28" t="s">
        <v>136</v>
      </c>
      <c r="I135" s="28" t="s">
        <v>137</v>
      </c>
      <c r="J135" s="28"/>
      <c r="K135" s="28"/>
      <c r="L135" s="303" t="s">
        <v>555</v>
      </c>
      <c r="M135" s="301"/>
      <c r="N135" s="301"/>
      <c r="O135" s="303"/>
      <c r="P135" s="302"/>
      <c r="Q135" s="302">
        <v>0</v>
      </c>
      <c r="R135" s="302"/>
      <c r="S135" s="28">
        <v>1020506</v>
      </c>
      <c r="T135" s="319"/>
      <c r="U135" s="320"/>
      <c r="V135" s="302" t="s">
        <v>582</v>
      </c>
      <c r="W135" s="589" t="s">
        <v>640</v>
      </c>
      <c r="X135" s="589" t="s">
        <v>640</v>
      </c>
      <c r="Y135" s="302"/>
      <c r="Z135" s="302"/>
      <c r="AA135" s="302"/>
      <c r="AB135" s="302"/>
      <c r="AC135" s="28"/>
      <c r="AD135" s="28"/>
      <c r="AE135" s="28">
        <v>0</v>
      </c>
      <c r="AF135" s="28"/>
      <c r="AG135" s="28"/>
      <c r="AH135" s="28"/>
      <c r="AI135" s="28"/>
      <c r="AJ135" s="28"/>
      <c r="AK135" s="328"/>
      <c r="AL135" s="328"/>
      <c r="AM135" s="328"/>
      <c r="AN135" s="28"/>
      <c r="AO135" s="28"/>
      <c r="AP135" s="28"/>
      <c r="AQ135" s="8" t="str">
        <f t="shared" si="1"/>
        <v>tricks/1020706</v>
      </c>
      <c r="AR135" s="332"/>
    </row>
    <row r="136" spans="1:44" ht="15" customHeight="1">
      <c r="A136" s="28">
        <v>1020707</v>
      </c>
      <c r="B136" s="28" t="s">
        <v>622</v>
      </c>
      <c r="C136" s="303" t="s">
        <v>641</v>
      </c>
      <c r="D136" s="28" t="s">
        <v>81</v>
      </c>
      <c r="E136" s="28" t="s">
        <v>325</v>
      </c>
      <c r="F136" s="28">
        <v>4</v>
      </c>
      <c r="G136" s="28">
        <v>2</v>
      </c>
      <c r="H136" s="28" t="s">
        <v>136</v>
      </c>
      <c r="I136" s="28" t="s">
        <v>137</v>
      </c>
      <c r="J136" s="28"/>
      <c r="K136" s="28"/>
      <c r="L136" s="303" t="s">
        <v>559</v>
      </c>
      <c r="M136" s="301"/>
      <c r="N136" s="301"/>
      <c r="O136" s="303"/>
      <c r="P136" s="302"/>
      <c r="Q136" s="302">
        <v>0</v>
      </c>
      <c r="R136" s="302"/>
      <c r="S136" s="28">
        <v>1020507</v>
      </c>
      <c r="T136" s="319"/>
      <c r="U136" s="320"/>
      <c r="V136" s="302" t="s">
        <v>582</v>
      </c>
      <c r="W136" s="589" t="s">
        <v>642</v>
      </c>
      <c r="X136" s="589" t="s">
        <v>642</v>
      </c>
      <c r="Y136" s="302"/>
      <c r="Z136" s="302"/>
      <c r="AA136" s="302"/>
      <c r="AB136" s="302"/>
      <c r="AC136" s="28"/>
      <c r="AD136" s="28"/>
      <c r="AE136" s="28">
        <v>0</v>
      </c>
      <c r="AF136" s="28"/>
      <c r="AG136" s="28"/>
      <c r="AH136" s="28"/>
      <c r="AI136" s="28"/>
      <c r="AJ136" s="28"/>
      <c r="AK136" s="328"/>
      <c r="AL136" s="328"/>
      <c r="AM136" s="328"/>
      <c r="AN136" s="28"/>
      <c r="AO136" s="28"/>
      <c r="AP136" s="28"/>
      <c r="AQ136" s="8" t="str">
        <f t="shared" si="1"/>
        <v>tricks/1020707</v>
      </c>
      <c r="AR136" s="332"/>
    </row>
    <row r="137" spans="1:44" ht="15" customHeight="1">
      <c r="A137" s="28">
        <v>1020708</v>
      </c>
      <c r="B137" s="28" t="s">
        <v>622</v>
      </c>
      <c r="C137" s="303" t="s">
        <v>643</v>
      </c>
      <c r="D137" s="28" t="s">
        <v>81</v>
      </c>
      <c r="E137" s="28" t="s">
        <v>325</v>
      </c>
      <c r="F137" s="28">
        <v>5</v>
      </c>
      <c r="G137" s="28">
        <v>2</v>
      </c>
      <c r="H137" s="28" t="s">
        <v>136</v>
      </c>
      <c r="I137" s="28" t="s">
        <v>137</v>
      </c>
      <c r="J137" s="28"/>
      <c r="K137" s="28"/>
      <c r="L137" s="303" t="s">
        <v>563</v>
      </c>
      <c r="M137" s="301"/>
      <c r="N137" s="301"/>
      <c r="O137" s="303"/>
      <c r="P137" s="302"/>
      <c r="Q137" s="302">
        <v>0</v>
      </c>
      <c r="R137" s="302"/>
      <c r="S137" s="28">
        <v>1020508</v>
      </c>
      <c r="T137" s="319"/>
      <c r="U137" s="320"/>
      <c r="V137" s="302" t="s">
        <v>582</v>
      </c>
      <c r="W137" s="319" t="s">
        <v>644</v>
      </c>
      <c r="X137" s="319" t="s">
        <v>644</v>
      </c>
      <c r="Y137" s="302"/>
      <c r="Z137" s="302"/>
      <c r="AA137" s="302"/>
      <c r="AB137" s="302"/>
      <c r="AC137" s="28"/>
      <c r="AD137" s="28"/>
      <c r="AE137" s="28">
        <v>0</v>
      </c>
      <c r="AF137" s="28"/>
      <c r="AG137" s="28"/>
      <c r="AH137" s="28"/>
      <c r="AI137" s="28"/>
      <c r="AJ137" s="28"/>
      <c r="AK137" s="328"/>
      <c r="AL137" s="328"/>
      <c r="AM137" s="328"/>
      <c r="AN137" s="28"/>
      <c r="AO137" s="28"/>
      <c r="AP137" s="28"/>
      <c r="AQ137" s="8" t="str">
        <f t="shared" si="1"/>
        <v>tricks/1020708</v>
      </c>
      <c r="AR137" s="332"/>
    </row>
    <row r="138" spans="1:44" ht="15" customHeight="1">
      <c r="A138" s="28">
        <v>1020709</v>
      </c>
      <c r="B138" s="28" t="s">
        <v>622</v>
      </c>
      <c r="C138" s="303" t="s">
        <v>645</v>
      </c>
      <c r="D138" s="28" t="s">
        <v>81</v>
      </c>
      <c r="E138" s="28" t="s">
        <v>325</v>
      </c>
      <c r="F138" s="28">
        <v>6</v>
      </c>
      <c r="G138" s="28">
        <v>2</v>
      </c>
      <c r="H138" s="28" t="s">
        <v>136</v>
      </c>
      <c r="I138" s="28" t="s">
        <v>137</v>
      </c>
      <c r="J138" s="28"/>
      <c r="K138" s="28"/>
      <c r="L138" s="303" t="s">
        <v>567</v>
      </c>
      <c r="M138" s="301"/>
      <c r="N138" s="301"/>
      <c r="O138" s="303"/>
      <c r="P138" s="302"/>
      <c r="Q138" s="302">
        <v>0</v>
      </c>
      <c r="R138" s="302"/>
      <c r="S138" s="28">
        <v>1020509</v>
      </c>
      <c r="T138" s="319"/>
      <c r="U138" s="320"/>
      <c r="V138" s="302" t="s">
        <v>582</v>
      </c>
      <c r="W138" s="589" t="s">
        <v>646</v>
      </c>
      <c r="X138" s="589" t="s">
        <v>646</v>
      </c>
      <c r="Y138" s="302"/>
      <c r="Z138" s="302"/>
      <c r="AA138" s="302"/>
      <c r="AB138" s="302"/>
      <c r="AC138" s="28"/>
      <c r="AD138" s="28"/>
      <c r="AE138" s="28">
        <v>0</v>
      </c>
      <c r="AF138" s="28"/>
      <c r="AG138" s="28"/>
      <c r="AH138" s="28"/>
      <c r="AI138" s="28"/>
      <c r="AJ138" s="28"/>
      <c r="AK138" s="328"/>
      <c r="AL138" s="328"/>
      <c r="AM138" s="328"/>
      <c r="AN138" s="28"/>
      <c r="AO138" s="28"/>
      <c r="AP138" s="28"/>
      <c r="AQ138" s="8" t="str">
        <f t="shared" si="1"/>
        <v>tricks/1020709</v>
      </c>
      <c r="AR138" s="332"/>
    </row>
    <row r="139" spans="1:44" ht="15" customHeight="1">
      <c r="A139" s="28">
        <v>1020710</v>
      </c>
      <c r="B139" s="28" t="s">
        <v>622</v>
      </c>
      <c r="C139" s="303" t="s">
        <v>647</v>
      </c>
      <c r="D139" s="28" t="s">
        <v>81</v>
      </c>
      <c r="E139" s="28" t="s">
        <v>325</v>
      </c>
      <c r="F139" s="28">
        <v>7</v>
      </c>
      <c r="G139" s="28">
        <v>2</v>
      </c>
      <c r="H139" s="28" t="s">
        <v>136</v>
      </c>
      <c r="I139" s="28" t="s">
        <v>137</v>
      </c>
      <c r="J139" s="28"/>
      <c r="K139" s="28"/>
      <c r="L139" s="303" t="s">
        <v>571</v>
      </c>
      <c r="M139" s="301"/>
      <c r="N139" s="301"/>
      <c r="O139" s="303"/>
      <c r="P139" s="302"/>
      <c r="Q139" s="302">
        <v>0</v>
      </c>
      <c r="R139" s="302"/>
      <c r="S139" s="28">
        <v>1020510</v>
      </c>
      <c r="T139" s="319"/>
      <c r="U139" s="320"/>
      <c r="V139" s="302" t="s">
        <v>582</v>
      </c>
      <c r="W139" s="589" t="s">
        <v>648</v>
      </c>
      <c r="X139" s="589" t="s">
        <v>648</v>
      </c>
      <c r="Y139" s="302"/>
      <c r="Z139" s="302"/>
      <c r="AA139" s="302"/>
      <c r="AB139" s="302"/>
      <c r="AC139" s="28"/>
      <c r="AD139" s="28"/>
      <c r="AE139" s="28">
        <v>0</v>
      </c>
      <c r="AF139" s="28"/>
      <c r="AG139" s="28"/>
      <c r="AH139" s="28"/>
      <c r="AI139" s="28"/>
      <c r="AJ139" s="28"/>
      <c r="AK139" s="328"/>
      <c r="AL139" s="328"/>
      <c r="AM139" s="328"/>
      <c r="AN139" s="28"/>
      <c r="AO139" s="28"/>
      <c r="AP139" s="28"/>
      <c r="AQ139" s="8" t="str">
        <f t="shared" si="1"/>
        <v>tricks/1020710</v>
      </c>
      <c r="AR139" s="332"/>
    </row>
    <row r="140" spans="1:44" ht="15" customHeight="1">
      <c r="A140" s="3">
        <v>1020711</v>
      </c>
      <c r="B140" s="3" t="s">
        <v>622</v>
      </c>
      <c r="C140" s="236" t="s">
        <v>649</v>
      </c>
      <c r="D140" s="3" t="s">
        <v>81</v>
      </c>
      <c r="E140" s="3" t="s">
        <v>325</v>
      </c>
      <c r="F140" s="3">
        <v>8</v>
      </c>
      <c r="G140" s="3">
        <v>2</v>
      </c>
      <c r="H140" s="3" t="s">
        <v>136</v>
      </c>
      <c r="I140" s="3" t="s">
        <v>137</v>
      </c>
      <c r="J140" s="3"/>
      <c r="K140" s="3"/>
      <c r="L140" s="236"/>
      <c r="M140" s="99"/>
      <c r="N140" s="99"/>
      <c r="O140" s="236"/>
      <c r="P140" s="22"/>
      <c r="Q140" s="22">
        <v>0</v>
      </c>
      <c r="R140" s="22" t="s">
        <v>153</v>
      </c>
      <c r="S140" s="3"/>
      <c r="T140" s="260"/>
      <c r="U140" s="261"/>
      <c r="V140" s="22"/>
      <c r="W140" s="567" t="s">
        <v>650</v>
      </c>
      <c r="X140" s="567" t="s">
        <v>650</v>
      </c>
      <c r="Y140" s="22"/>
      <c r="Z140" s="22"/>
      <c r="AA140" s="22"/>
      <c r="AB140" s="22" t="s">
        <v>114</v>
      </c>
      <c r="AC140" s="3"/>
      <c r="AD140" s="3"/>
      <c r="AE140" s="3">
        <v>0</v>
      </c>
      <c r="AF140" s="3">
        <v>0</v>
      </c>
      <c r="AG140" s="3">
        <v>0</v>
      </c>
      <c r="AH140" s="3"/>
      <c r="AI140" s="3">
        <v>0</v>
      </c>
      <c r="AJ140" s="3">
        <v>0</v>
      </c>
      <c r="AK140" s="3">
        <v>0</v>
      </c>
      <c r="AL140" s="3"/>
      <c r="AM140" s="3"/>
      <c r="AN140" s="3"/>
      <c r="AO140" s="3"/>
      <c r="AP140" s="3"/>
      <c r="AQ140" s="8" t="str">
        <f t="shared" si="1"/>
        <v>tricks/1020711</v>
      </c>
      <c r="AR140" s="281"/>
    </row>
    <row r="141" spans="1:44" ht="15" customHeight="1">
      <c r="A141" s="3">
        <v>1020712</v>
      </c>
      <c r="B141" s="3" t="s">
        <v>622</v>
      </c>
      <c r="C141" s="236" t="s">
        <v>651</v>
      </c>
      <c r="D141" s="3" t="s">
        <v>81</v>
      </c>
      <c r="E141" s="3" t="s">
        <v>325</v>
      </c>
      <c r="F141" s="3">
        <v>9</v>
      </c>
      <c r="G141" s="3">
        <v>2</v>
      </c>
      <c r="H141" s="3" t="s">
        <v>136</v>
      </c>
      <c r="I141" s="3" t="s">
        <v>137</v>
      </c>
      <c r="J141" s="3"/>
      <c r="K141" s="3"/>
      <c r="L141" s="236"/>
      <c r="M141" s="99"/>
      <c r="N141" s="99"/>
      <c r="O141" s="236"/>
      <c r="P141" s="22"/>
      <c r="Q141" s="22">
        <v>0</v>
      </c>
      <c r="R141" s="22" t="s">
        <v>153</v>
      </c>
      <c r="S141" s="3"/>
      <c r="T141" s="260"/>
      <c r="U141" s="261"/>
      <c r="V141" s="22"/>
      <c r="W141" s="567" t="s">
        <v>652</v>
      </c>
      <c r="X141" s="567" t="s">
        <v>652</v>
      </c>
      <c r="Y141" s="22"/>
      <c r="Z141" s="22"/>
      <c r="AA141" s="22"/>
      <c r="AB141" s="22" t="s">
        <v>114</v>
      </c>
      <c r="AC141" s="3"/>
      <c r="AD141" s="3"/>
      <c r="AE141" s="3">
        <v>0</v>
      </c>
      <c r="AF141" s="3">
        <v>0</v>
      </c>
      <c r="AG141" s="3">
        <v>0</v>
      </c>
      <c r="AH141" s="3"/>
      <c r="AI141" s="3">
        <v>0</v>
      </c>
      <c r="AJ141" s="3">
        <v>0</v>
      </c>
      <c r="AK141" s="3">
        <v>0</v>
      </c>
      <c r="AL141" s="3"/>
      <c r="AM141" s="3"/>
      <c r="AN141" s="3"/>
      <c r="AO141" s="3"/>
      <c r="AP141" s="3"/>
      <c r="AQ141" s="8" t="str">
        <f t="shared" si="1"/>
        <v>tricks/1020712</v>
      </c>
      <c r="AR141" s="281"/>
    </row>
    <row r="142" spans="1:44" ht="15" customHeight="1">
      <c r="A142" s="3">
        <v>1020713</v>
      </c>
      <c r="B142" s="3" t="s">
        <v>622</v>
      </c>
      <c r="C142" s="236" t="s">
        <v>653</v>
      </c>
      <c r="D142" s="3" t="s">
        <v>81</v>
      </c>
      <c r="E142" s="3" t="s">
        <v>325</v>
      </c>
      <c r="F142" s="3">
        <v>10</v>
      </c>
      <c r="G142" s="3">
        <v>2</v>
      </c>
      <c r="H142" s="3" t="s">
        <v>136</v>
      </c>
      <c r="I142" s="3" t="s">
        <v>137</v>
      </c>
      <c r="J142" s="3"/>
      <c r="K142" s="3"/>
      <c r="L142" s="236"/>
      <c r="M142" s="99"/>
      <c r="N142" s="99"/>
      <c r="O142" s="236"/>
      <c r="P142" s="22"/>
      <c r="Q142" s="22">
        <v>0</v>
      </c>
      <c r="R142" s="22" t="s">
        <v>153</v>
      </c>
      <c r="S142" s="3"/>
      <c r="T142" s="260"/>
      <c r="U142" s="261"/>
      <c r="V142" s="22"/>
      <c r="W142" s="567" t="s">
        <v>654</v>
      </c>
      <c r="X142" s="567" t="s">
        <v>654</v>
      </c>
      <c r="Y142" s="22"/>
      <c r="Z142" s="22"/>
      <c r="AA142" s="22"/>
      <c r="AB142" s="22" t="s">
        <v>114</v>
      </c>
      <c r="AC142" s="3"/>
      <c r="AD142" s="3"/>
      <c r="AE142" s="3">
        <v>0</v>
      </c>
      <c r="AF142" s="3">
        <v>0</v>
      </c>
      <c r="AG142" s="3">
        <v>0</v>
      </c>
      <c r="AH142" s="3"/>
      <c r="AI142" s="3">
        <v>0</v>
      </c>
      <c r="AJ142" s="3">
        <v>0</v>
      </c>
      <c r="AK142" s="3">
        <v>0</v>
      </c>
      <c r="AL142" s="3"/>
      <c r="AM142" s="3"/>
      <c r="AN142" s="3"/>
      <c r="AO142" s="3"/>
      <c r="AP142" s="3"/>
      <c r="AQ142" s="8" t="str">
        <f t="shared" si="1"/>
        <v>tricks/1020713</v>
      </c>
      <c r="AR142" s="281"/>
    </row>
    <row r="143" spans="1:44" ht="15" customHeight="1">
      <c r="A143" s="5">
        <v>1030001</v>
      </c>
      <c r="B143" s="5" t="s">
        <v>655</v>
      </c>
      <c r="C143" s="5" t="s">
        <v>656</v>
      </c>
      <c r="D143" s="5" t="s">
        <v>81</v>
      </c>
      <c r="E143" s="5" t="s">
        <v>655</v>
      </c>
      <c r="F143" s="5">
        <v>1</v>
      </c>
      <c r="G143" s="5">
        <v>3</v>
      </c>
      <c r="H143" s="5" t="s">
        <v>82</v>
      </c>
      <c r="I143" s="5" t="s">
        <v>83</v>
      </c>
      <c r="J143" s="5"/>
      <c r="K143" s="5">
        <v>4</v>
      </c>
      <c r="L143" s="333" t="s">
        <v>657</v>
      </c>
      <c r="M143" s="231"/>
      <c r="N143" s="231"/>
      <c r="O143" s="5"/>
      <c r="P143" s="232"/>
      <c r="Q143" s="232">
        <v>0</v>
      </c>
      <c r="R143" s="232" t="s">
        <v>85</v>
      </c>
      <c r="S143" s="5">
        <v>1030001</v>
      </c>
      <c r="T143" s="256" t="s">
        <v>658</v>
      </c>
      <c r="U143" s="257">
        <v>0</v>
      </c>
      <c r="V143" s="232" t="s">
        <v>342</v>
      </c>
      <c r="W143" s="592" t="s">
        <v>659</v>
      </c>
      <c r="X143" s="592" t="s">
        <v>659</v>
      </c>
      <c r="Y143" s="232"/>
      <c r="Z143" s="232"/>
      <c r="AA143" s="232"/>
      <c r="AB143" s="232"/>
      <c r="AC143" s="5"/>
      <c r="AD143" s="5"/>
      <c r="AE143" s="5">
        <v>2</v>
      </c>
      <c r="AF143" s="5">
        <v>0</v>
      </c>
      <c r="AG143" s="5">
        <v>4</v>
      </c>
      <c r="AH143" s="5"/>
      <c r="AI143" s="5">
        <v>60</v>
      </c>
      <c r="AJ143" s="5">
        <v>39</v>
      </c>
      <c r="AK143" s="270" t="s">
        <v>660</v>
      </c>
      <c r="AL143" s="270"/>
      <c r="AM143" s="270"/>
      <c r="AN143" s="5" t="s">
        <v>661</v>
      </c>
      <c r="AO143" s="5"/>
      <c r="AP143" s="5"/>
      <c r="AQ143" s="5" t="s">
        <v>662</v>
      </c>
      <c r="AR143" s="279">
        <v>243</v>
      </c>
    </row>
    <row r="144" spans="1:44" ht="15" customHeight="1">
      <c r="A144" s="5">
        <v>1030002</v>
      </c>
      <c r="B144" s="5" t="s">
        <v>655</v>
      </c>
      <c r="C144" s="5" t="s">
        <v>663</v>
      </c>
      <c r="D144" s="5" t="s">
        <v>81</v>
      </c>
      <c r="E144" s="5" t="s">
        <v>655</v>
      </c>
      <c r="F144" s="5">
        <v>1</v>
      </c>
      <c r="G144" s="5">
        <v>3</v>
      </c>
      <c r="H144" s="5" t="s">
        <v>82</v>
      </c>
      <c r="I144" s="5" t="s">
        <v>83</v>
      </c>
      <c r="J144" s="5"/>
      <c r="K144" s="5">
        <v>5</v>
      </c>
      <c r="L144" s="333" t="s">
        <v>664</v>
      </c>
      <c r="M144" s="231"/>
      <c r="N144" s="231"/>
      <c r="O144" s="5"/>
      <c r="P144" s="232"/>
      <c r="Q144" s="232">
        <v>0</v>
      </c>
      <c r="R144" s="232" t="s">
        <v>85</v>
      </c>
      <c r="S144" s="5">
        <v>1030002</v>
      </c>
      <c r="T144" s="256" t="s">
        <v>658</v>
      </c>
      <c r="U144" s="257">
        <v>0</v>
      </c>
      <c r="V144" s="232" t="s">
        <v>342</v>
      </c>
      <c r="W144" s="592" t="s">
        <v>665</v>
      </c>
      <c r="X144" s="592" t="s">
        <v>665</v>
      </c>
      <c r="Y144" s="232"/>
      <c r="Z144" s="232"/>
      <c r="AA144" s="232"/>
      <c r="AB144" s="232"/>
      <c r="AC144" s="5"/>
      <c r="AD144" s="5"/>
      <c r="AE144" s="5">
        <v>2</v>
      </c>
      <c r="AF144" s="5">
        <v>0</v>
      </c>
      <c r="AG144" s="5">
        <v>4</v>
      </c>
      <c r="AH144" s="5"/>
      <c r="AI144" s="5">
        <v>50</v>
      </c>
      <c r="AJ144" s="5">
        <v>32</v>
      </c>
      <c r="AK144" s="270" t="s">
        <v>660</v>
      </c>
      <c r="AL144" s="270"/>
      <c r="AM144" s="270"/>
      <c r="AN144" s="5" t="s">
        <v>666</v>
      </c>
      <c r="AO144" s="5"/>
      <c r="AP144" s="5"/>
      <c r="AQ144" s="5" t="s">
        <v>667</v>
      </c>
      <c r="AR144" s="279">
        <v>244</v>
      </c>
    </row>
    <row r="145" spans="1:44" ht="15" customHeight="1">
      <c r="A145" s="29">
        <v>1030101</v>
      </c>
      <c r="B145" s="29" t="s">
        <v>668</v>
      </c>
      <c r="C145" s="334" t="s">
        <v>669</v>
      </c>
      <c r="D145" s="29" t="s">
        <v>81</v>
      </c>
      <c r="E145" s="29" t="s">
        <v>655</v>
      </c>
      <c r="F145" s="29">
        <v>1</v>
      </c>
      <c r="G145" s="29">
        <v>3</v>
      </c>
      <c r="H145" s="29" t="s">
        <v>82</v>
      </c>
      <c r="I145" s="29" t="s">
        <v>101</v>
      </c>
      <c r="J145" s="29"/>
      <c r="K145" s="29">
        <v>1</v>
      </c>
      <c r="L145" s="334" t="s">
        <v>670</v>
      </c>
      <c r="M145" s="335"/>
      <c r="N145" s="335"/>
      <c r="O145" s="334"/>
      <c r="P145" s="336"/>
      <c r="Q145" s="336">
        <v>0</v>
      </c>
      <c r="R145" s="336" t="s">
        <v>85</v>
      </c>
      <c r="S145" s="29">
        <v>1030101</v>
      </c>
      <c r="T145" s="351" t="s">
        <v>671</v>
      </c>
      <c r="U145" s="352"/>
      <c r="V145" s="336" t="s">
        <v>342</v>
      </c>
      <c r="W145" s="593" t="s">
        <v>672</v>
      </c>
      <c r="X145" s="593" t="s">
        <v>672</v>
      </c>
      <c r="Y145" s="336"/>
      <c r="Z145" s="336"/>
      <c r="AA145" s="336"/>
      <c r="AB145" s="336" t="s">
        <v>90</v>
      </c>
      <c r="AC145" s="29"/>
      <c r="AD145" s="29"/>
      <c r="AE145" s="29">
        <v>1</v>
      </c>
      <c r="AF145" s="29">
        <v>2</v>
      </c>
      <c r="AG145" s="29">
        <v>7</v>
      </c>
      <c r="AH145" s="29"/>
      <c r="AI145" s="29">
        <v>60</v>
      </c>
      <c r="AJ145" s="29">
        <v>18</v>
      </c>
      <c r="AK145" s="357" t="s">
        <v>673</v>
      </c>
      <c r="AL145" s="357"/>
      <c r="AM145" s="357"/>
      <c r="AN145" s="29" t="s">
        <v>674</v>
      </c>
      <c r="AO145" s="29"/>
      <c r="AP145" s="29"/>
      <c r="AQ145" s="29" t="s">
        <v>675</v>
      </c>
      <c r="AR145" s="362">
        <v>241</v>
      </c>
    </row>
    <row r="146" spans="1:44" ht="15" customHeight="1">
      <c r="A146" s="29">
        <v>1030102</v>
      </c>
      <c r="B146" s="29" t="s">
        <v>668</v>
      </c>
      <c r="C146" s="334" t="s">
        <v>676</v>
      </c>
      <c r="D146" s="29" t="s">
        <v>81</v>
      </c>
      <c r="E146" s="29" t="s">
        <v>655</v>
      </c>
      <c r="F146" s="29">
        <v>1</v>
      </c>
      <c r="G146" s="29">
        <v>3</v>
      </c>
      <c r="H146" s="29" t="s">
        <v>136</v>
      </c>
      <c r="I146" s="29" t="s">
        <v>137</v>
      </c>
      <c r="J146" s="29"/>
      <c r="K146" s="29"/>
      <c r="L146" s="334" t="s">
        <v>677</v>
      </c>
      <c r="M146" s="335"/>
      <c r="N146" s="335"/>
      <c r="O146" s="334"/>
      <c r="P146" s="336"/>
      <c r="Q146" s="336">
        <v>0</v>
      </c>
      <c r="R146" s="336" t="s">
        <v>153</v>
      </c>
      <c r="S146" s="29">
        <v>1030102</v>
      </c>
      <c r="T146" s="351"/>
      <c r="U146" s="352"/>
      <c r="V146" s="336" t="s">
        <v>342</v>
      </c>
      <c r="W146" s="593" t="s">
        <v>678</v>
      </c>
      <c r="X146" s="593" t="s">
        <v>678</v>
      </c>
      <c r="Y146" s="336"/>
      <c r="Z146" s="336"/>
      <c r="AA146" s="336"/>
      <c r="AB146" s="336"/>
      <c r="AC146" s="29"/>
      <c r="AD146" s="29"/>
      <c r="AE146" s="29">
        <v>0</v>
      </c>
      <c r="AF146" s="29">
        <v>0</v>
      </c>
      <c r="AG146" s="29">
        <v>0</v>
      </c>
      <c r="AH146" s="29"/>
      <c r="AI146" s="29">
        <v>0</v>
      </c>
      <c r="AJ146" s="29">
        <v>0</v>
      </c>
      <c r="AK146" s="357"/>
      <c r="AL146" s="357"/>
      <c r="AM146" s="357"/>
      <c r="AN146" s="29"/>
      <c r="AO146" s="29"/>
      <c r="AP146" s="29"/>
      <c r="AQ146" s="29" t="s">
        <v>679</v>
      </c>
      <c r="AR146" s="362"/>
    </row>
    <row r="147" spans="1:44" ht="15" customHeight="1">
      <c r="A147" s="29">
        <v>1030103</v>
      </c>
      <c r="B147" s="29" t="s">
        <v>668</v>
      </c>
      <c r="C147" s="334" t="s">
        <v>680</v>
      </c>
      <c r="D147" s="29" t="s">
        <v>81</v>
      </c>
      <c r="E147" s="29" t="s">
        <v>655</v>
      </c>
      <c r="F147" s="29">
        <v>1</v>
      </c>
      <c r="G147" s="29">
        <v>3</v>
      </c>
      <c r="H147" s="29" t="s">
        <v>82</v>
      </c>
      <c r="I147" s="29" t="s">
        <v>101</v>
      </c>
      <c r="J147" s="29"/>
      <c r="K147" s="29">
        <v>2</v>
      </c>
      <c r="L147" s="334" t="s">
        <v>681</v>
      </c>
      <c r="M147" s="335"/>
      <c r="N147" s="335"/>
      <c r="O147" s="334"/>
      <c r="P147" s="336"/>
      <c r="Q147" s="336">
        <v>0</v>
      </c>
      <c r="R147" s="336" t="s">
        <v>85</v>
      </c>
      <c r="S147" s="29">
        <v>1030103</v>
      </c>
      <c r="T147" s="351" t="s">
        <v>682</v>
      </c>
      <c r="U147" s="352"/>
      <c r="V147" s="336" t="s">
        <v>342</v>
      </c>
      <c r="W147" s="593" t="s">
        <v>683</v>
      </c>
      <c r="X147" s="593" t="s">
        <v>683</v>
      </c>
      <c r="Y147" s="336"/>
      <c r="Z147" s="336"/>
      <c r="AA147" s="336"/>
      <c r="AB147" s="336" t="s">
        <v>90</v>
      </c>
      <c r="AC147" s="29"/>
      <c r="AD147" s="29"/>
      <c r="AE147" s="29">
        <v>1</v>
      </c>
      <c r="AF147" s="29">
        <v>1</v>
      </c>
      <c r="AG147" s="29">
        <v>6</v>
      </c>
      <c r="AH147" s="29"/>
      <c r="AI147" s="29">
        <v>40</v>
      </c>
      <c r="AJ147" s="29">
        <v>24</v>
      </c>
      <c r="AK147" s="357"/>
      <c r="AL147" s="357"/>
      <c r="AM147" s="357"/>
      <c r="AN147" s="29" t="s">
        <v>684</v>
      </c>
      <c r="AO147" s="29"/>
      <c r="AP147" s="29"/>
      <c r="AQ147" s="29" t="s">
        <v>685</v>
      </c>
      <c r="AR147" s="362">
        <v>242</v>
      </c>
    </row>
    <row r="148" spans="1:44" ht="15" customHeight="1">
      <c r="A148" s="29">
        <v>1030104</v>
      </c>
      <c r="B148" s="29" t="s">
        <v>668</v>
      </c>
      <c r="C148" s="334" t="s">
        <v>686</v>
      </c>
      <c r="D148" s="29" t="s">
        <v>81</v>
      </c>
      <c r="E148" s="29" t="s">
        <v>655</v>
      </c>
      <c r="F148" s="29">
        <v>2</v>
      </c>
      <c r="G148" s="29">
        <v>3</v>
      </c>
      <c r="H148" s="29" t="s">
        <v>136</v>
      </c>
      <c r="I148" s="29" t="s">
        <v>137</v>
      </c>
      <c r="J148" s="29"/>
      <c r="K148" s="29"/>
      <c r="L148" s="334" t="s">
        <v>687</v>
      </c>
      <c r="M148" s="335"/>
      <c r="N148" s="335"/>
      <c r="O148" s="334"/>
      <c r="P148" s="336"/>
      <c r="Q148" s="336">
        <v>0</v>
      </c>
      <c r="R148" s="336" t="s">
        <v>688</v>
      </c>
      <c r="S148" s="29">
        <v>1030104</v>
      </c>
      <c r="T148" s="351"/>
      <c r="U148" s="352">
        <v>0</v>
      </c>
      <c r="V148" s="336" t="s">
        <v>342</v>
      </c>
      <c r="W148" s="593" t="s">
        <v>689</v>
      </c>
      <c r="X148" s="593" t="s">
        <v>689</v>
      </c>
      <c r="Y148" s="336"/>
      <c r="Z148" s="336"/>
      <c r="AA148" s="336"/>
      <c r="AB148" s="336"/>
      <c r="AC148" s="29"/>
      <c r="AD148" s="29"/>
      <c r="AE148" s="29">
        <v>0</v>
      </c>
      <c r="AF148" s="29">
        <v>0</v>
      </c>
      <c r="AG148" s="29">
        <v>0</v>
      </c>
      <c r="AH148" s="29"/>
      <c r="AI148" s="29">
        <v>0</v>
      </c>
      <c r="AJ148" s="29">
        <v>0</v>
      </c>
      <c r="AK148" s="357"/>
      <c r="AL148" s="357"/>
      <c r="AM148" s="357"/>
      <c r="AN148" s="29"/>
      <c r="AO148" s="29"/>
      <c r="AP148" s="29"/>
      <c r="AQ148" s="29" t="s">
        <v>690</v>
      </c>
      <c r="AR148" s="362"/>
    </row>
    <row r="149" spans="1:44" ht="15" customHeight="1">
      <c r="A149" s="30">
        <v>1030105</v>
      </c>
      <c r="B149" s="30" t="s">
        <v>668</v>
      </c>
      <c r="C149" s="337" t="s">
        <v>691</v>
      </c>
      <c r="D149" s="30" t="s">
        <v>81</v>
      </c>
      <c r="E149" s="30" t="s">
        <v>655</v>
      </c>
      <c r="F149" s="30">
        <v>1</v>
      </c>
      <c r="G149" s="30">
        <v>3</v>
      </c>
      <c r="H149" s="30" t="s">
        <v>82</v>
      </c>
      <c r="I149" s="30" t="s">
        <v>101</v>
      </c>
      <c r="J149" s="30"/>
      <c r="K149" s="30">
        <v>3</v>
      </c>
      <c r="L149" s="337" t="s">
        <v>692</v>
      </c>
      <c r="M149" s="338"/>
      <c r="N149" s="338"/>
      <c r="O149" s="337"/>
      <c r="P149" s="339"/>
      <c r="Q149" s="339">
        <v>0</v>
      </c>
      <c r="R149" s="339" t="s">
        <v>85</v>
      </c>
      <c r="S149" s="30">
        <v>1030105</v>
      </c>
      <c r="T149" s="351" t="s">
        <v>693</v>
      </c>
      <c r="U149" s="352"/>
      <c r="V149" s="339" t="s">
        <v>342</v>
      </c>
      <c r="W149" s="593" t="s">
        <v>694</v>
      </c>
      <c r="X149" s="593" t="s">
        <v>694</v>
      </c>
      <c r="Y149" s="339"/>
      <c r="Z149" s="339"/>
      <c r="AA149" s="339"/>
      <c r="AB149" s="339" t="s">
        <v>90</v>
      </c>
      <c r="AC149" s="30"/>
      <c r="AD149" s="30"/>
      <c r="AE149" s="30">
        <v>1</v>
      </c>
      <c r="AF149" s="30">
        <v>1</v>
      </c>
      <c r="AG149" s="30">
        <v>5</v>
      </c>
      <c r="AH149" s="30"/>
      <c r="AI149" s="30">
        <v>40</v>
      </c>
      <c r="AJ149" s="30">
        <v>20</v>
      </c>
      <c r="AK149" s="358"/>
      <c r="AL149" s="358"/>
      <c r="AM149" s="358"/>
      <c r="AN149" s="30" t="s">
        <v>695</v>
      </c>
      <c r="AO149" s="30"/>
      <c r="AP149" s="30"/>
      <c r="AQ149" s="30" t="s">
        <v>696</v>
      </c>
      <c r="AR149" s="362"/>
    </row>
    <row r="150" spans="1:44" ht="15" customHeight="1">
      <c r="A150" s="30">
        <v>1030106</v>
      </c>
      <c r="B150" s="30" t="s">
        <v>668</v>
      </c>
      <c r="C150" s="337" t="s">
        <v>697</v>
      </c>
      <c r="D150" s="30" t="s">
        <v>81</v>
      </c>
      <c r="E150" s="30" t="s">
        <v>655</v>
      </c>
      <c r="F150" s="30">
        <v>3</v>
      </c>
      <c r="G150" s="30">
        <v>3</v>
      </c>
      <c r="H150" s="30" t="s">
        <v>136</v>
      </c>
      <c r="I150" s="30" t="s">
        <v>137</v>
      </c>
      <c r="J150" s="30"/>
      <c r="K150" s="30"/>
      <c r="L150" s="337" t="s">
        <v>698</v>
      </c>
      <c r="M150" s="338"/>
      <c r="N150" s="338"/>
      <c r="O150" s="337"/>
      <c r="P150" s="339"/>
      <c r="Q150" s="339">
        <v>0</v>
      </c>
      <c r="R150" s="339" t="s">
        <v>153</v>
      </c>
      <c r="S150" s="30">
        <v>1030106</v>
      </c>
      <c r="T150" s="351"/>
      <c r="U150" s="352"/>
      <c r="V150" s="339" t="s">
        <v>342</v>
      </c>
      <c r="W150" s="593" t="s">
        <v>699</v>
      </c>
      <c r="X150" s="593" t="s">
        <v>699</v>
      </c>
      <c r="Y150" s="339"/>
      <c r="Z150" s="339"/>
      <c r="AA150" s="339"/>
      <c r="AB150" s="339"/>
      <c r="AC150" s="30"/>
      <c r="AD150" s="30"/>
      <c r="AE150" s="30">
        <v>0</v>
      </c>
      <c r="AF150" s="30">
        <v>0</v>
      </c>
      <c r="AG150" s="30">
        <v>0</v>
      </c>
      <c r="AH150" s="30"/>
      <c r="AI150" s="30">
        <v>0</v>
      </c>
      <c r="AJ150" s="30">
        <v>0</v>
      </c>
      <c r="AK150" s="358"/>
      <c r="AL150" s="358"/>
      <c r="AM150" s="358"/>
      <c r="AN150" s="30"/>
      <c r="AO150" s="30"/>
      <c r="AP150" s="30"/>
      <c r="AQ150" s="30" t="s">
        <v>700</v>
      </c>
      <c r="AR150" s="362"/>
    </row>
    <row r="151" spans="1:44" ht="15" customHeight="1">
      <c r="A151" s="30">
        <v>1030107</v>
      </c>
      <c r="B151" s="30" t="s">
        <v>668</v>
      </c>
      <c r="C151" s="337" t="s">
        <v>701</v>
      </c>
      <c r="D151" s="30" t="s">
        <v>81</v>
      </c>
      <c r="E151" s="30" t="s">
        <v>655</v>
      </c>
      <c r="F151" s="30">
        <v>4</v>
      </c>
      <c r="G151" s="30">
        <v>3</v>
      </c>
      <c r="H151" s="30" t="s">
        <v>136</v>
      </c>
      <c r="I151" s="30" t="s">
        <v>137</v>
      </c>
      <c r="J151" s="30"/>
      <c r="K151" s="30"/>
      <c r="L151" s="340" t="s">
        <v>702</v>
      </c>
      <c r="M151" s="338"/>
      <c r="N151" s="338"/>
      <c r="O151" s="337"/>
      <c r="P151" s="339"/>
      <c r="Q151" s="339">
        <v>0</v>
      </c>
      <c r="R151" s="339" t="s">
        <v>153</v>
      </c>
      <c r="S151" s="30">
        <v>1030107</v>
      </c>
      <c r="T151" s="351"/>
      <c r="U151" s="352"/>
      <c r="V151" s="339" t="s">
        <v>342</v>
      </c>
      <c r="W151" s="593" t="s">
        <v>703</v>
      </c>
      <c r="X151" s="593" t="s">
        <v>703</v>
      </c>
      <c r="Y151" s="339"/>
      <c r="Z151" s="339"/>
      <c r="AA151" s="339"/>
      <c r="AB151" s="339"/>
      <c r="AC151" s="30"/>
      <c r="AD151" s="30"/>
      <c r="AE151" s="30">
        <v>0</v>
      </c>
      <c r="AF151" s="30">
        <v>0</v>
      </c>
      <c r="AG151" s="30">
        <v>0</v>
      </c>
      <c r="AH151" s="30"/>
      <c r="AI151" s="30">
        <v>0</v>
      </c>
      <c r="AJ151" s="30">
        <v>0</v>
      </c>
      <c r="AK151" s="358"/>
      <c r="AL151" s="358"/>
      <c r="AM151" s="358"/>
      <c r="AN151" s="30"/>
      <c r="AO151" s="30"/>
      <c r="AP151" s="30"/>
      <c r="AQ151" s="30" t="s">
        <v>704</v>
      </c>
      <c r="AR151" s="362"/>
    </row>
    <row r="152" spans="1:44" ht="15" customHeight="1">
      <c r="A152" s="29">
        <v>1030108</v>
      </c>
      <c r="B152" s="29" t="s">
        <v>668</v>
      </c>
      <c r="C152" s="334" t="s">
        <v>705</v>
      </c>
      <c r="D152" s="29" t="s">
        <v>81</v>
      </c>
      <c r="E152" s="29" t="s">
        <v>655</v>
      </c>
      <c r="F152" s="29">
        <v>5</v>
      </c>
      <c r="G152" s="29">
        <v>3</v>
      </c>
      <c r="H152" s="29" t="s">
        <v>136</v>
      </c>
      <c r="I152" s="29" t="s">
        <v>137</v>
      </c>
      <c r="J152" s="29"/>
      <c r="K152" s="29"/>
      <c r="L152" s="341" t="s">
        <v>706</v>
      </c>
      <c r="M152" s="335"/>
      <c r="N152" s="335"/>
      <c r="O152" s="334"/>
      <c r="P152" s="336"/>
      <c r="Q152" s="336">
        <v>0</v>
      </c>
      <c r="R152" s="336" t="s">
        <v>153</v>
      </c>
      <c r="S152" s="29">
        <v>1030108</v>
      </c>
      <c r="T152" s="351"/>
      <c r="U152" s="352">
        <v>0</v>
      </c>
      <c r="V152" s="336" t="s">
        <v>342</v>
      </c>
      <c r="W152" s="593" t="s">
        <v>707</v>
      </c>
      <c r="X152" s="593" t="s">
        <v>707</v>
      </c>
      <c r="Y152" s="336"/>
      <c r="Z152" s="336"/>
      <c r="AA152" s="336"/>
      <c r="AB152" s="336"/>
      <c r="AC152" s="29"/>
      <c r="AD152" s="29"/>
      <c r="AE152" s="29">
        <v>0</v>
      </c>
      <c r="AF152" s="29">
        <v>0</v>
      </c>
      <c r="AG152" s="29">
        <v>0</v>
      </c>
      <c r="AH152" s="29"/>
      <c r="AI152" s="29">
        <v>0</v>
      </c>
      <c r="AJ152" s="29">
        <v>0</v>
      </c>
      <c r="AK152" s="357"/>
      <c r="AL152" s="357"/>
      <c r="AM152" s="357"/>
      <c r="AN152" s="29"/>
      <c r="AO152" s="29"/>
      <c r="AP152" s="29"/>
      <c r="AQ152" s="29" t="s">
        <v>708</v>
      </c>
      <c r="AR152" s="362"/>
    </row>
    <row r="153" spans="1:44" ht="15" customHeight="1">
      <c r="A153" s="29">
        <v>1030109</v>
      </c>
      <c r="B153" s="29" t="s">
        <v>668</v>
      </c>
      <c r="C153" s="341" t="s">
        <v>709</v>
      </c>
      <c r="D153" s="29" t="s">
        <v>81</v>
      </c>
      <c r="E153" s="29" t="s">
        <v>655</v>
      </c>
      <c r="F153" s="29">
        <v>6</v>
      </c>
      <c r="G153" s="29">
        <v>3</v>
      </c>
      <c r="H153" s="29" t="s">
        <v>136</v>
      </c>
      <c r="I153" s="29" t="s">
        <v>137</v>
      </c>
      <c r="J153" s="29"/>
      <c r="K153" s="29"/>
      <c r="L153" s="341" t="s">
        <v>710</v>
      </c>
      <c r="M153" s="335"/>
      <c r="N153" s="335"/>
      <c r="O153" s="341"/>
      <c r="P153" s="336"/>
      <c r="Q153" s="336">
        <v>0</v>
      </c>
      <c r="R153" s="336" t="s">
        <v>153</v>
      </c>
      <c r="S153" s="29">
        <v>1030109</v>
      </c>
      <c r="T153" s="351"/>
      <c r="U153" s="352"/>
      <c r="V153" s="336" t="s">
        <v>342</v>
      </c>
      <c r="W153" s="593" t="s">
        <v>711</v>
      </c>
      <c r="X153" s="593" t="s">
        <v>711</v>
      </c>
      <c r="Y153" s="336"/>
      <c r="Z153" s="336"/>
      <c r="AA153" s="336"/>
      <c r="AB153" s="336"/>
      <c r="AC153" s="29"/>
      <c r="AD153" s="29"/>
      <c r="AE153" s="29">
        <v>0</v>
      </c>
      <c r="AF153" s="29">
        <v>0</v>
      </c>
      <c r="AG153" s="29">
        <v>0</v>
      </c>
      <c r="AH153" s="29"/>
      <c r="AI153" s="29">
        <v>0</v>
      </c>
      <c r="AJ153" s="29">
        <v>0</v>
      </c>
      <c r="AK153" s="357"/>
      <c r="AL153" s="357"/>
      <c r="AM153" s="357"/>
      <c r="AN153" s="29"/>
      <c r="AO153" s="29"/>
      <c r="AP153" s="29"/>
      <c r="AQ153" s="29" t="s">
        <v>712</v>
      </c>
      <c r="AR153" s="362"/>
    </row>
    <row r="154" spans="1:44" ht="15" customHeight="1">
      <c r="A154" s="29">
        <v>1030110</v>
      </c>
      <c r="B154" s="29" t="s">
        <v>668</v>
      </c>
      <c r="C154" s="334" t="s">
        <v>713</v>
      </c>
      <c r="D154" s="29" t="s">
        <v>81</v>
      </c>
      <c r="E154" s="29" t="s">
        <v>655</v>
      </c>
      <c r="F154" s="29">
        <v>7</v>
      </c>
      <c r="G154" s="29">
        <v>3</v>
      </c>
      <c r="H154" s="29" t="s">
        <v>136</v>
      </c>
      <c r="I154" s="29" t="s">
        <v>137</v>
      </c>
      <c r="J154" s="29"/>
      <c r="K154" s="29"/>
      <c r="L154" s="334" t="s">
        <v>714</v>
      </c>
      <c r="M154" s="335"/>
      <c r="N154" s="335"/>
      <c r="O154" s="334"/>
      <c r="P154" s="336"/>
      <c r="Q154" s="336">
        <v>0</v>
      </c>
      <c r="R154" s="336" t="s">
        <v>153</v>
      </c>
      <c r="S154" s="29">
        <v>1030110</v>
      </c>
      <c r="T154" s="351"/>
      <c r="U154" s="352"/>
      <c r="V154" s="336" t="s">
        <v>342</v>
      </c>
      <c r="W154" s="593" t="s">
        <v>715</v>
      </c>
      <c r="X154" s="593" t="s">
        <v>715</v>
      </c>
      <c r="Y154" s="336"/>
      <c r="Z154" s="336"/>
      <c r="AA154" s="336"/>
      <c r="AB154" s="336"/>
      <c r="AC154" s="29"/>
      <c r="AD154" s="29"/>
      <c r="AE154" s="29">
        <v>0</v>
      </c>
      <c r="AF154" s="29">
        <v>0</v>
      </c>
      <c r="AG154" s="29">
        <v>0</v>
      </c>
      <c r="AH154" s="29"/>
      <c r="AI154" s="29">
        <v>0</v>
      </c>
      <c r="AJ154" s="29">
        <v>0</v>
      </c>
      <c r="AK154" s="357"/>
      <c r="AL154" s="357"/>
      <c r="AM154" s="357"/>
      <c r="AN154" s="29"/>
      <c r="AO154" s="29"/>
      <c r="AP154" s="29"/>
      <c r="AQ154" s="29" t="s">
        <v>716</v>
      </c>
      <c r="AR154" s="362"/>
    </row>
    <row r="155" spans="1:44" ht="15" customHeight="1">
      <c r="A155" s="3">
        <v>1030111</v>
      </c>
      <c r="B155" s="3" t="s">
        <v>668</v>
      </c>
      <c r="C155" s="236" t="s">
        <v>717</v>
      </c>
      <c r="D155" s="3" t="s">
        <v>81</v>
      </c>
      <c r="E155" s="3" t="s">
        <v>655</v>
      </c>
      <c r="F155" s="3">
        <v>8</v>
      </c>
      <c r="G155" s="3">
        <v>3</v>
      </c>
      <c r="H155" s="3" t="s">
        <v>136</v>
      </c>
      <c r="I155" s="3" t="s">
        <v>137</v>
      </c>
      <c r="J155" s="3"/>
      <c r="K155" s="3"/>
      <c r="L155" s="236"/>
      <c r="M155" s="99"/>
      <c r="N155" s="99"/>
      <c r="O155" s="236"/>
      <c r="P155" s="22"/>
      <c r="Q155" s="22">
        <v>0</v>
      </c>
      <c r="R155" s="22" t="s">
        <v>153</v>
      </c>
      <c r="S155" s="3"/>
      <c r="T155" s="260"/>
      <c r="U155" s="261"/>
      <c r="V155" s="22"/>
      <c r="W155" s="567" t="s">
        <v>169</v>
      </c>
      <c r="X155" s="567" t="s">
        <v>6736</v>
      </c>
      <c r="Y155" s="22"/>
      <c r="Z155" s="22"/>
      <c r="AA155" s="22"/>
      <c r="AB155" s="22" t="s">
        <v>114</v>
      </c>
      <c r="AC155" s="3"/>
      <c r="AD155" s="3"/>
      <c r="AE155" s="3">
        <v>0</v>
      </c>
      <c r="AF155" s="3">
        <v>0</v>
      </c>
      <c r="AG155" s="3">
        <v>0</v>
      </c>
      <c r="AH155" s="3"/>
      <c r="AI155" s="3">
        <v>0</v>
      </c>
      <c r="AJ155" s="3">
        <v>0</v>
      </c>
      <c r="AK155" s="3">
        <v>0</v>
      </c>
      <c r="AL155" s="3"/>
      <c r="AM155" s="3"/>
      <c r="AN155" s="3"/>
      <c r="AO155" s="3"/>
      <c r="AP155" s="3"/>
      <c r="AQ155" s="3" t="s">
        <v>696</v>
      </c>
      <c r="AR155" s="281"/>
    </row>
    <row r="156" spans="1:44" s="213" customFormat="1" ht="15" customHeight="1">
      <c r="A156" s="3">
        <v>1030112</v>
      </c>
      <c r="B156" s="3" t="s">
        <v>668</v>
      </c>
      <c r="C156" s="236" t="s">
        <v>718</v>
      </c>
      <c r="D156" s="3" t="s">
        <v>81</v>
      </c>
      <c r="E156" s="3" t="s">
        <v>655</v>
      </c>
      <c r="F156" s="3">
        <v>9</v>
      </c>
      <c r="G156" s="3">
        <v>3</v>
      </c>
      <c r="H156" s="3" t="s">
        <v>136</v>
      </c>
      <c r="I156" s="3" t="s">
        <v>137</v>
      </c>
      <c r="J156" s="3"/>
      <c r="K156" s="3"/>
      <c r="L156" s="236"/>
      <c r="M156" s="99"/>
      <c r="N156" s="99"/>
      <c r="O156" s="236"/>
      <c r="P156" s="22"/>
      <c r="Q156" s="22">
        <v>0</v>
      </c>
      <c r="R156" s="22" t="s">
        <v>153</v>
      </c>
      <c r="S156" s="3"/>
      <c r="T156" s="260"/>
      <c r="U156" s="261"/>
      <c r="V156" s="22"/>
      <c r="W156" s="567" t="s">
        <v>719</v>
      </c>
      <c r="X156" s="567" t="s">
        <v>719</v>
      </c>
      <c r="Y156" s="22"/>
      <c r="Z156" s="22"/>
      <c r="AA156" s="22"/>
      <c r="AB156" s="22" t="s">
        <v>114</v>
      </c>
      <c r="AC156" s="3"/>
      <c r="AD156" s="3"/>
      <c r="AE156" s="3">
        <v>0</v>
      </c>
      <c r="AF156" s="3">
        <v>0</v>
      </c>
      <c r="AG156" s="3">
        <v>0</v>
      </c>
      <c r="AH156" s="3"/>
      <c r="AI156" s="3">
        <v>0</v>
      </c>
      <c r="AJ156" s="3">
        <v>0</v>
      </c>
      <c r="AK156" s="3">
        <v>0</v>
      </c>
      <c r="AL156" s="3"/>
      <c r="AM156" s="3"/>
      <c r="AN156" s="3"/>
      <c r="AO156" s="3"/>
      <c r="AP156" s="3"/>
      <c r="AQ156" s="282" t="str">
        <f>"tricks/"&amp;A156</f>
        <v>tricks/1030112</v>
      </c>
      <c r="AR156" s="222"/>
    </row>
    <row r="157" spans="1:44" s="213" customFormat="1" ht="15" customHeight="1">
      <c r="A157" s="3">
        <v>1030113</v>
      </c>
      <c r="B157" s="3" t="s">
        <v>668</v>
      </c>
      <c r="C157" s="236" t="s">
        <v>720</v>
      </c>
      <c r="D157" s="3" t="s">
        <v>81</v>
      </c>
      <c r="E157" s="3" t="s">
        <v>655</v>
      </c>
      <c r="F157" s="3">
        <v>10</v>
      </c>
      <c r="G157" s="3">
        <v>3</v>
      </c>
      <c r="H157" s="3" t="s">
        <v>136</v>
      </c>
      <c r="I157" s="3" t="s">
        <v>137</v>
      </c>
      <c r="J157" s="3"/>
      <c r="K157" s="3"/>
      <c r="L157" s="236"/>
      <c r="M157" s="99"/>
      <c r="N157" s="99"/>
      <c r="O157" s="236"/>
      <c r="P157" s="22"/>
      <c r="Q157" s="22">
        <v>0</v>
      </c>
      <c r="R157" s="22" t="s">
        <v>153</v>
      </c>
      <c r="S157" s="3"/>
      <c r="T157" s="260"/>
      <c r="U157" s="261"/>
      <c r="V157" s="22"/>
      <c r="W157" s="567" t="s">
        <v>721</v>
      </c>
      <c r="X157" s="567" t="s">
        <v>6759</v>
      </c>
      <c r="Y157" s="22"/>
      <c r="Z157" s="22"/>
      <c r="AA157" s="22"/>
      <c r="AB157" s="22" t="s">
        <v>114</v>
      </c>
      <c r="AC157" s="3"/>
      <c r="AD157" s="3"/>
      <c r="AE157" s="3">
        <v>0</v>
      </c>
      <c r="AF157" s="3">
        <v>0</v>
      </c>
      <c r="AG157" s="3">
        <v>0</v>
      </c>
      <c r="AH157" s="3"/>
      <c r="AI157" s="3">
        <v>0</v>
      </c>
      <c r="AJ157" s="3">
        <v>0</v>
      </c>
      <c r="AK157" s="3">
        <v>0</v>
      </c>
      <c r="AL157" s="3"/>
      <c r="AM157" s="3"/>
      <c r="AN157" s="3"/>
      <c r="AO157" s="3"/>
      <c r="AP157" s="3"/>
      <c r="AQ157" s="282" t="str">
        <f>"tricks/"&amp;A157</f>
        <v>tricks/1030113</v>
      </c>
      <c r="AR157" s="222"/>
    </row>
    <row r="158" spans="1:44" s="213" customFormat="1" ht="15" customHeight="1">
      <c r="A158" s="31">
        <v>1030201</v>
      </c>
      <c r="B158" s="31" t="s">
        <v>722</v>
      </c>
      <c r="C158" s="342" t="s">
        <v>723</v>
      </c>
      <c r="D158" s="31" t="s">
        <v>81</v>
      </c>
      <c r="E158" s="31" t="s">
        <v>655</v>
      </c>
      <c r="F158" s="31">
        <v>1</v>
      </c>
      <c r="G158" s="31">
        <v>3</v>
      </c>
      <c r="H158" s="31" t="s">
        <v>82</v>
      </c>
      <c r="I158" s="31" t="s">
        <v>101</v>
      </c>
      <c r="J158" s="31"/>
      <c r="K158" s="31">
        <v>1</v>
      </c>
      <c r="L158" s="342"/>
      <c r="M158" s="343"/>
      <c r="N158" s="343"/>
      <c r="O158" s="342"/>
      <c r="P158" s="344"/>
      <c r="Q158" s="344">
        <v>0</v>
      </c>
      <c r="R158" s="344" t="s">
        <v>85</v>
      </c>
      <c r="S158" s="31">
        <v>1030101</v>
      </c>
      <c r="T158" s="353" t="s">
        <v>724</v>
      </c>
      <c r="U158" s="354"/>
      <c r="V158" s="344" t="s">
        <v>342</v>
      </c>
      <c r="W158" s="594" t="s">
        <v>725</v>
      </c>
      <c r="X158" s="594" t="s">
        <v>725</v>
      </c>
      <c r="Y158" s="344"/>
      <c r="Z158" s="344"/>
      <c r="AA158" s="344"/>
      <c r="AB158" s="344" t="s">
        <v>90</v>
      </c>
      <c r="AC158" s="31"/>
      <c r="AD158" s="31"/>
      <c r="AE158" s="31">
        <v>1</v>
      </c>
      <c r="AF158" s="31">
        <v>2</v>
      </c>
      <c r="AG158" s="31">
        <v>7</v>
      </c>
      <c r="AH158" s="31"/>
      <c r="AI158" s="31">
        <v>60</v>
      </c>
      <c r="AJ158" s="31">
        <v>18</v>
      </c>
      <c r="AK158" s="359"/>
      <c r="AL158" s="359"/>
      <c r="AM158" s="359"/>
      <c r="AN158" s="31" t="s">
        <v>726</v>
      </c>
      <c r="AO158" s="31"/>
      <c r="AP158" s="31"/>
      <c r="AQ158" s="31" t="s">
        <v>727</v>
      </c>
      <c r="AR158" s="363">
        <v>346</v>
      </c>
    </row>
    <row r="159" spans="1:44" s="213" customFormat="1" ht="15" customHeight="1">
      <c r="A159" s="31">
        <v>1030202</v>
      </c>
      <c r="B159" s="31" t="s">
        <v>722</v>
      </c>
      <c r="C159" s="342" t="s">
        <v>728</v>
      </c>
      <c r="D159" s="31" t="s">
        <v>81</v>
      </c>
      <c r="E159" s="31" t="s">
        <v>655</v>
      </c>
      <c r="F159" s="31">
        <v>1</v>
      </c>
      <c r="G159" s="31">
        <v>3</v>
      </c>
      <c r="H159" s="31" t="s">
        <v>136</v>
      </c>
      <c r="I159" s="31" t="s">
        <v>137</v>
      </c>
      <c r="J159" s="31"/>
      <c r="K159" s="31"/>
      <c r="L159" s="342"/>
      <c r="M159" s="343"/>
      <c r="N159" s="343"/>
      <c r="O159" s="342"/>
      <c r="P159" s="344"/>
      <c r="Q159" s="344">
        <v>0</v>
      </c>
      <c r="R159" s="344" t="s">
        <v>153</v>
      </c>
      <c r="S159" s="31">
        <v>1030102</v>
      </c>
      <c r="T159" s="353"/>
      <c r="U159" s="354"/>
      <c r="V159" s="344" t="s">
        <v>342</v>
      </c>
      <c r="W159" s="594" t="s">
        <v>729</v>
      </c>
      <c r="X159" s="594" t="s">
        <v>729</v>
      </c>
      <c r="Y159" s="344"/>
      <c r="Z159" s="344"/>
      <c r="AA159" s="344"/>
      <c r="AB159" s="344"/>
      <c r="AC159" s="31"/>
      <c r="AD159" s="31"/>
      <c r="AE159" s="31">
        <v>0</v>
      </c>
      <c r="AF159" s="31">
        <v>0</v>
      </c>
      <c r="AG159" s="31">
        <v>0</v>
      </c>
      <c r="AH159" s="31"/>
      <c r="AI159" s="31">
        <v>0</v>
      </c>
      <c r="AJ159" s="31">
        <v>0</v>
      </c>
      <c r="AK159" s="359"/>
      <c r="AL159" s="359"/>
      <c r="AM159" s="359"/>
      <c r="AN159" s="31"/>
      <c r="AO159" s="31"/>
      <c r="AP159" s="31"/>
      <c r="AQ159" s="31" t="s">
        <v>730</v>
      </c>
      <c r="AR159" s="363"/>
    </row>
    <row r="160" spans="1:44" s="213" customFormat="1" ht="15" customHeight="1">
      <c r="A160" s="31">
        <v>1030203</v>
      </c>
      <c r="B160" s="31" t="s">
        <v>722</v>
      </c>
      <c r="C160" s="342" t="s">
        <v>731</v>
      </c>
      <c r="D160" s="31" t="s">
        <v>81</v>
      </c>
      <c r="E160" s="31" t="s">
        <v>655</v>
      </c>
      <c r="F160" s="31">
        <v>1</v>
      </c>
      <c r="G160" s="31">
        <v>3</v>
      </c>
      <c r="H160" s="31" t="s">
        <v>82</v>
      </c>
      <c r="I160" s="31" t="s">
        <v>101</v>
      </c>
      <c r="J160" s="31"/>
      <c r="K160" s="31">
        <v>2</v>
      </c>
      <c r="L160" s="342"/>
      <c r="M160" s="343"/>
      <c r="N160" s="343"/>
      <c r="O160" s="342"/>
      <c r="P160" s="344"/>
      <c r="Q160" s="344">
        <v>0</v>
      </c>
      <c r="R160" s="344" t="s">
        <v>85</v>
      </c>
      <c r="S160" s="31">
        <v>1030103</v>
      </c>
      <c r="T160" s="353" t="s">
        <v>732</v>
      </c>
      <c r="U160" s="354"/>
      <c r="V160" s="344" t="s">
        <v>342</v>
      </c>
      <c r="W160" s="594" t="s">
        <v>733</v>
      </c>
      <c r="X160" s="594" t="s">
        <v>733</v>
      </c>
      <c r="Y160" s="344"/>
      <c r="Z160" s="344"/>
      <c r="AA160" s="344"/>
      <c r="AB160" s="344" t="s">
        <v>90</v>
      </c>
      <c r="AC160" s="31"/>
      <c r="AD160" s="31"/>
      <c r="AE160" s="31">
        <v>1</v>
      </c>
      <c r="AF160" s="31">
        <v>1</v>
      </c>
      <c r="AG160" s="31">
        <v>6</v>
      </c>
      <c r="AH160" s="31"/>
      <c r="AI160" s="31">
        <v>40</v>
      </c>
      <c r="AJ160" s="31">
        <v>24</v>
      </c>
      <c r="AK160" s="359"/>
      <c r="AL160" s="359"/>
      <c r="AM160" s="359"/>
      <c r="AN160" s="31" t="s">
        <v>734</v>
      </c>
      <c r="AO160" s="31"/>
      <c r="AP160" s="31"/>
      <c r="AQ160" s="31" t="s">
        <v>735</v>
      </c>
      <c r="AR160" s="363">
        <v>347</v>
      </c>
    </row>
    <row r="161" spans="1:44" s="213" customFormat="1" ht="15" customHeight="1">
      <c r="A161" s="31">
        <v>1030204</v>
      </c>
      <c r="B161" s="31" t="s">
        <v>722</v>
      </c>
      <c r="C161" s="342" t="s">
        <v>736</v>
      </c>
      <c r="D161" s="31" t="s">
        <v>81</v>
      </c>
      <c r="E161" s="31" t="s">
        <v>655</v>
      </c>
      <c r="F161" s="31">
        <v>2</v>
      </c>
      <c r="G161" s="31">
        <v>3</v>
      </c>
      <c r="H161" s="31" t="s">
        <v>136</v>
      </c>
      <c r="I161" s="31" t="s">
        <v>137</v>
      </c>
      <c r="J161" s="31"/>
      <c r="K161" s="31"/>
      <c r="L161" s="342"/>
      <c r="M161" s="343"/>
      <c r="N161" s="343"/>
      <c r="O161" s="342"/>
      <c r="P161" s="344"/>
      <c r="Q161" s="344">
        <v>0</v>
      </c>
      <c r="R161" s="344" t="s">
        <v>153</v>
      </c>
      <c r="S161" s="31">
        <v>1030104</v>
      </c>
      <c r="T161" s="353"/>
      <c r="U161" s="354">
        <v>0</v>
      </c>
      <c r="V161" s="344" t="s">
        <v>342</v>
      </c>
      <c r="W161" s="594" t="s">
        <v>737</v>
      </c>
      <c r="X161" s="594" t="s">
        <v>737</v>
      </c>
      <c r="Y161" s="344"/>
      <c r="Z161" s="344"/>
      <c r="AA161" s="344"/>
      <c r="AB161" s="344"/>
      <c r="AC161" s="31"/>
      <c r="AD161" s="31"/>
      <c r="AE161" s="31">
        <v>0</v>
      </c>
      <c r="AF161" s="31">
        <v>0</v>
      </c>
      <c r="AG161" s="31">
        <v>0</v>
      </c>
      <c r="AH161" s="31"/>
      <c r="AI161" s="31">
        <v>0</v>
      </c>
      <c r="AJ161" s="31">
        <v>0</v>
      </c>
      <c r="AK161" s="359"/>
      <c r="AL161" s="359"/>
      <c r="AM161" s="359"/>
      <c r="AN161" s="31"/>
      <c r="AO161" s="31"/>
      <c r="AP161" s="31"/>
      <c r="AQ161" s="31" t="s">
        <v>738</v>
      </c>
      <c r="AR161" s="363"/>
    </row>
    <row r="162" spans="1:44" s="213" customFormat="1" ht="15" customHeight="1">
      <c r="A162" s="31">
        <v>1030205</v>
      </c>
      <c r="B162" s="31" t="s">
        <v>722</v>
      </c>
      <c r="C162" s="342" t="s">
        <v>739</v>
      </c>
      <c r="D162" s="31" t="s">
        <v>81</v>
      </c>
      <c r="E162" s="31" t="s">
        <v>655</v>
      </c>
      <c r="F162" s="31">
        <v>1</v>
      </c>
      <c r="G162" s="31">
        <v>3</v>
      </c>
      <c r="H162" s="31" t="s">
        <v>82</v>
      </c>
      <c r="I162" s="31" t="s">
        <v>101</v>
      </c>
      <c r="J162" s="31"/>
      <c r="K162" s="31">
        <v>3</v>
      </c>
      <c r="L162" s="342"/>
      <c r="M162" s="343"/>
      <c r="N162" s="343"/>
      <c r="O162" s="342"/>
      <c r="P162" s="344"/>
      <c r="Q162" s="344">
        <v>0</v>
      </c>
      <c r="R162" s="344" t="s">
        <v>85</v>
      </c>
      <c r="S162" s="31">
        <v>1030105</v>
      </c>
      <c r="T162" s="353" t="s">
        <v>740</v>
      </c>
      <c r="U162" s="354"/>
      <c r="V162" s="344" t="s">
        <v>342</v>
      </c>
      <c r="W162" s="594" t="s">
        <v>741</v>
      </c>
      <c r="X162" s="594" t="s">
        <v>741</v>
      </c>
      <c r="Y162" s="344"/>
      <c r="Z162" s="344"/>
      <c r="AA162" s="344"/>
      <c r="AB162" s="344" t="s">
        <v>90</v>
      </c>
      <c r="AC162" s="31"/>
      <c r="AD162" s="31"/>
      <c r="AE162" s="31">
        <v>1</v>
      </c>
      <c r="AF162" s="31">
        <v>1</v>
      </c>
      <c r="AG162" s="31">
        <v>5</v>
      </c>
      <c r="AH162" s="31"/>
      <c r="AI162" s="31">
        <v>40</v>
      </c>
      <c r="AJ162" s="31">
        <v>20</v>
      </c>
      <c r="AK162" s="359"/>
      <c r="AL162" s="359"/>
      <c r="AM162" s="359"/>
      <c r="AN162" s="31" t="s">
        <v>742</v>
      </c>
      <c r="AO162" s="31"/>
      <c r="AP162" s="31"/>
      <c r="AQ162" s="31" t="s">
        <v>743</v>
      </c>
      <c r="AR162" s="363">
        <v>348</v>
      </c>
    </row>
    <row r="163" spans="1:44" s="213" customFormat="1" ht="15" customHeight="1">
      <c r="A163" s="31">
        <v>1030206</v>
      </c>
      <c r="B163" s="31" t="s">
        <v>722</v>
      </c>
      <c r="C163" s="342" t="s">
        <v>744</v>
      </c>
      <c r="D163" s="31" t="s">
        <v>81</v>
      </c>
      <c r="E163" s="31" t="s">
        <v>655</v>
      </c>
      <c r="F163" s="31">
        <v>3</v>
      </c>
      <c r="G163" s="31">
        <v>3</v>
      </c>
      <c r="H163" s="31" t="s">
        <v>136</v>
      </c>
      <c r="I163" s="31" t="s">
        <v>137</v>
      </c>
      <c r="J163" s="31"/>
      <c r="K163" s="31"/>
      <c r="L163" s="342"/>
      <c r="M163" s="343"/>
      <c r="N163" s="343"/>
      <c r="O163" s="342"/>
      <c r="P163" s="344"/>
      <c r="Q163" s="344">
        <v>0</v>
      </c>
      <c r="R163" s="344" t="s">
        <v>153</v>
      </c>
      <c r="S163" s="31">
        <v>1030106</v>
      </c>
      <c r="T163" s="353"/>
      <c r="U163" s="354"/>
      <c r="V163" s="344" t="s">
        <v>342</v>
      </c>
      <c r="W163" s="594" t="s">
        <v>745</v>
      </c>
      <c r="X163" s="594" t="s">
        <v>745</v>
      </c>
      <c r="Y163" s="344"/>
      <c r="Z163" s="344"/>
      <c r="AA163" s="344"/>
      <c r="AB163" s="344"/>
      <c r="AC163" s="31"/>
      <c r="AD163" s="31"/>
      <c r="AE163" s="31">
        <v>0</v>
      </c>
      <c r="AF163" s="31">
        <v>0</v>
      </c>
      <c r="AG163" s="31">
        <v>0</v>
      </c>
      <c r="AH163" s="31"/>
      <c r="AI163" s="31">
        <v>0</v>
      </c>
      <c r="AJ163" s="31">
        <v>0</v>
      </c>
      <c r="AK163" s="359"/>
      <c r="AL163" s="359"/>
      <c r="AM163" s="359"/>
      <c r="AN163" s="31"/>
      <c r="AO163" s="31"/>
      <c r="AP163" s="31"/>
      <c r="AQ163" s="31" t="s">
        <v>746</v>
      </c>
      <c r="AR163" s="363"/>
    </row>
    <row r="164" spans="1:44" s="213" customFormat="1" ht="15" customHeight="1">
      <c r="A164" s="31">
        <v>1030207</v>
      </c>
      <c r="B164" s="31" t="s">
        <v>722</v>
      </c>
      <c r="C164" s="342" t="s">
        <v>747</v>
      </c>
      <c r="D164" s="31" t="s">
        <v>81</v>
      </c>
      <c r="E164" s="31" t="s">
        <v>655</v>
      </c>
      <c r="F164" s="31">
        <v>4</v>
      </c>
      <c r="G164" s="31">
        <v>3</v>
      </c>
      <c r="H164" s="31" t="s">
        <v>136</v>
      </c>
      <c r="I164" s="31" t="s">
        <v>137</v>
      </c>
      <c r="J164" s="31"/>
      <c r="K164" s="31"/>
      <c r="L164" s="345"/>
      <c r="M164" s="343"/>
      <c r="N164" s="343"/>
      <c r="O164" s="342"/>
      <c r="P164" s="344"/>
      <c r="Q164" s="344">
        <v>0</v>
      </c>
      <c r="R164" s="344" t="s">
        <v>153</v>
      </c>
      <c r="S164" s="31">
        <v>1030107</v>
      </c>
      <c r="T164" s="353"/>
      <c r="U164" s="354"/>
      <c r="V164" s="344" t="s">
        <v>342</v>
      </c>
      <c r="W164" s="594" t="s">
        <v>748</v>
      </c>
      <c r="X164" s="594" t="s">
        <v>748</v>
      </c>
      <c r="Y164" s="344"/>
      <c r="Z164" s="344"/>
      <c r="AA164" s="344"/>
      <c r="AB164" s="344"/>
      <c r="AC164" s="31"/>
      <c r="AD164" s="31"/>
      <c r="AE164" s="31">
        <v>0</v>
      </c>
      <c r="AF164" s="31">
        <v>0</v>
      </c>
      <c r="AG164" s="31">
        <v>0</v>
      </c>
      <c r="AH164" s="31"/>
      <c r="AI164" s="31">
        <v>0</v>
      </c>
      <c r="AJ164" s="31">
        <v>0</v>
      </c>
      <c r="AK164" s="359"/>
      <c r="AL164" s="359"/>
      <c r="AM164" s="359"/>
      <c r="AN164" s="31"/>
      <c r="AO164" s="31"/>
      <c r="AP164" s="31"/>
      <c r="AQ164" s="31" t="s">
        <v>749</v>
      </c>
      <c r="AR164" s="363"/>
    </row>
    <row r="165" spans="1:44" s="213" customFormat="1" ht="15" customHeight="1">
      <c r="A165" s="31">
        <v>1030208</v>
      </c>
      <c r="B165" s="31" t="s">
        <v>722</v>
      </c>
      <c r="C165" s="342" t="s">
        <v>750</v>
      </c>
      <c r="D165" s="31" t="s">
        <v>81</v>
      </c>
      <c r="E165" s="31" t="s">
        <v>655</v>
      </c>
      <c r="F165" s="31">
        <v>5</v>
      </c>
      <c r="G165" s="31">
        <v>3</v>
      </c>
      <c r="H165" s="31" t="s">
        <v>136</v>
      </c>
      <c r="I165" s="31" t="s">
        <v>137</v>
      </c>
      <c r="J165" s="31"/>
      <c r="K165" s="31"/>
      <c r="L165" s="345"/>
      <c r="M165" s="343"/>
      <c r="N165" s="343"/>
      <c r="O165" s="342"/>
      <c r="P165" s="344"/>
      <c r="Q165" s="344">
        <v>0</v>
      </c>
      <c r="R165" s="344" t="s">
        <v>153</v>
      </c>
      <c r="S165" s="31">
        <v>1030108</v>
      </c>
      <c r="T165" s="353"/>
      <c r="U165" s="354">
        <v>0</v>
      </c>
      <c r="V165" s="344" t="s">
        <v>342</v>
      </c>
      <c r="W165" s="594" t="s">
        <v>751</v>
      </c>
      <c r="X165" s="594" t="s">
        <v>751</v>
      </c>
      <c r="Y165" s="344"/>
      <c r="Z165" s="344"/>
      <c r="AA165" s="344"/>
      <c r="AB165" s="344"/>
      <c r="AC165" s="31"/>
      <c r="AD165" s="31"/>
      <c r="AE165" s="31">
        <v>0</v>
      </c>
      <c r="AF165" s="31">
        <v>0</v>
      </c>
      <c r="AG165" s="31">
        <v>0</v>
      </c>
      <c r="AH165" s="31"/>
      <c r="AI165" s="31">
        <v>0</v>
      </c>
      <c r="AJ165" s="31">
        <v>0</v>
      </c>
      <c r="AK165" s="359"/>
      <c r="AL165" s="359"/>
      <c r="AM165" s="359"/>
      <c r="AN165" s="31"/>
      <c r="AO165" s="31"/>
      <c r="AP165" s="31"/>
      <c r="AQ165" s="31" t="s">
        <v>752</v>
      </c>
      <c r="AR165" s="363"/>
    </row>
    <row r="166" spans="1:44" ht="15" customHeight="1">
      <c r="A166" s="31">
        <v>1030209</v>
      </c>
      <c r="B166" s="31" t="s">
        <v>722</v>
      </c>
      <c r="C166" s="345" t="s">
        <v>753</v>
      </c>
      <c r="D166" s="31" t="s">
        <v>81</v>
      </c>
      <c r="E166" s="31" t="s">
        <v>655</v>
      </c>
      <c r="F166" s="31">
        <v>6</v>
      </c>
      <c r="G166" s="31">
        <v>3</v>
      </c>
      <c r="H166" s="31" t="s">
        <v>136</v>
      </c>
      <c r="I166" s="31" t="s">
        <v>137</v>
      </c>
      <c r="J166" s="31"/>
      <c r="K166" s="31"/>
      <c r="L166" s="345"/>
      <c r="M166" s="343"/>
      <c r="N166" s="343"/>
      <c r="O166" s="345"/>
      <c r="P166" s="344"/>
      <c r="Q166" s="344">
        <v>0</v>
      </c>
      <c r="R166" s="344" t="s">
        <v>153</v>
      </c>
      <c r="S166" s="31">
        <v>1030109</v>
      </c>
      <c r="T166" s="353"/>
      <c r="U166" s="354"/>
      <c r="V166" s="344" t="s">
        <v>342</v>
      </c>
      <c r="W166" s="594" t="s">
        <v>754</v>
      </c>
      <c r="X166" s="594" t="s">
        <v>754</v>
      </c>
      <c r="Y166" s="344"/>
      <c r="Z166" s="344"/>
      <c r="AA166" s="344"/>
      <c r="AB166" s="344"/>
      <c r="AC166" s="31"/>
      <c r="AD166" s="31"/>
      <c r="AE166" s="31">
        <v>0</v>
      </c>
      <c r="AF166" s="31">
        <v>0</v>
      </c>
      <c r="AG166" s="31">
        <v>0</v>
      </c>
      <c r="AH166" s="31"/>
      <c r="AI166" s="31">
        <v>0</v>
      </c>
      <c r="AJ166" s="31">
        <v>0</v>
      </c>
      <c r="AK166" s="359"/>
      <c r="AL166" s="359"/>
      <c r="AM166" s="359"/>
      <c r="AN166" s="31"/>
      <c r="AO166" s="31"/>
      <c r="AP166" s="31"/>
      <c r="AQ166" s="31" t="s">
        <v>755</v>
      </c>
      <c r="AR166" s="363"/>
    </row>
    <row r="167" spans="1:44" ht="15" customHeight="1">
      <c r="A167" s="31">
        <v>1030210</v>
      </c>
      <c r="B167" s="31" t="s">
        <v>722</v>
      </c>
      <c r="C167" s="342" t="s">
        <v>756</v>
      </c>
      <c r="D167" s="31" t="s">
        <v>81</v>
      </c>
      <c r="E167" s="31" t="s">
        <v>655</v>
      </c>
      <c r="F167" s="31">
        <v>7</v>
      </c>
      <c r="G167" s="31">
        <v>3</v>
      </c>
      <c r="H167" s="31" t="s">
        <v>136</v>
      </c>
      <c r="I167" s="31" t="s">
        <v>137</v>
      </c>
      <c r="J167" s="31"/>
      <c r="K167" s="31"/>
      <c r="L167" s="342"/>
      <c r="M167" s="343"/>
      <c r="N167" s="343"/>
      <c r="O167" s="342"/>
      <c r="P167" s="344"/>
      <c r="Q167" s="344">
        <v>0</v>
      </c>
      <c r="R167" s="344" t="s">
        <v>153</v>
      </c>
      <c r="S167" s="31">
        <v>1030110</v>
      </c>
      <c r="T167" s="353"/>
      <c r="U167" s="354"/>
      <c r="V167" s="344" t="s">
        <v>342</v>
      </c>
      <c r="W167" s="594" t="s">
        <v>757</v>
      </c>
      <c r="X167" s="594" t="s">
        <v>757</v>
      </c>
      <c r="Y167" s="344"/>
      <c r="Z167" s="344"/>
      <c r="AA167" s="344"/>
      <c r="AB167" s="344"/>
      <c r="AC167" s="31"/>
      <c r="AD167" s="31"/>
      <c r="AE167" s="31">
        <v>0</v>
      </c>
      <c r="AF167" s="31">
        <v>0</v>
      </c>
      <c r="AG167" s="31">
        <v>0</v>
      </c>
      <c r="AH167" s="31"/>
      <c r="AI167" s="31">
        <v>0</v>
      </c>
      <c r="AJ167" s="31">
        <v>0</v>
      </c>
      <c r="AK167" s="359"/>
      <c r="AL167" s="359"/>
      <c r="AM167" s="359"/>
      <c r="AN167" s="31"/>
      <c r="AO167" s="31"/>
      <c r="AP167" s="31"/>
      <c r="AQ167" s="31" t="s">
        <v>758</v>
      </c>
      <c r="AR167" s="363"/>
    </row>
    <row r="168" spans="1:44" ht="15" customHeight="1">
      <c r="A168" s="3">
        <v>1030211</v>
      </c>
      <c r="B168" s="3" t="s">
        <v>722</v>
      </c>
      <c r="C168" s="236" t="s">
        <v>759</v>
      </c>
      <c r="D168" s="3" t="s">
        <v>81</v>
      </c>
      <c r="E168" s="3" t="s">
        <v>655</v>
      </c>
      <c r="F168" s="3">
        <v>8</v>
      </c>
      <c r="G168" s="3">
        <v>3</v>
      </c>
      <c r="H168" s="3" t="s">
        <v>136</v>
      </c>
      <c r="I168" s="3" t="s">
        <v>137</v>
      </c>
      <c r="J168" s="3"/>
      <c r="K168" s="3"/>
      <c r="L168" s="236"/>
      <c r="M168" s="99"/>
      <c r="N168" s="99"/>
      <c r="O168" s="236"/>
      <c r="P168" s="22"/>
      <c r="Q168" s="22">
        <v>0</v>
      </c>
      <c r="R168" s="22" t="s">
        <v>153</v>
      </c>
      <c r="S168" s="3"/>
      <c r="T168" s="260"/>
      <c r="U168" s="261"/>
      <c r="V168" s="22"/>
      <c r="W168" s="567" t="s">
        <v>169</v>
      </c>
      <c r="X168" s="567" t="s">
        <v>6736</v>
      </c>
      <c r="Y168" s="22"/>
      <c r="Z168" s="22"/>
      <c r="AA168" s="22"/>
      <c r="AB168" s="22" t="s">
        <v>114</v>
      </c>
      <c r="AC168" s="3"/>
      <c r="AD168" s="3"/>
      <c r="AE168" s="3">
        <v>0</v>
      </c>
      <c r="AF168" s="3">
        <v>0</v>
      </c>
      <c r="AG168" s="3">
        <v>0</v>
      </c>
      <c r="AH168" s="3"/>
      <c r="AI168" s="3">
        <v>0</v>
      </c>
      <c r="AJ168" s="3">
        <v>0</v>
      </c>
      <c r="AK168" s="3">
        <v>0</v>
      </c>
      <c r="AL168" s="3"/>
      <c r="AM168" s="3"/>
      <c r="AN168" s="3"/>
      <c r="AO168" s="3"/>
      <c r="AP168" s="3"/>
      <c r="AQ168" s="3" t="s">
        <v>760</v>
      </c>
      <c r="AR168" s="281"/>
    </row>
    <row r="169" spans="1:44" ht="15" customHeight="1">
      <c r="A169" s="3">
        <v>1030212</v>
      </c>
      <c r="B169" s="3" t="s">
        <v>722</v>
      </c>
      <c r="C169" s="236" t="s">
        <v>761</v>
      </c>
      <c r="D169" s="3" t="s">
        <v>81</v>
      </c>
      <c r="E169" s="3" t="s">
        <v>655</v>
      </c>
      <c r="F169" s="3">
        <v>9</v>
      </c>
      <c r="G169" s="3">
        <v>3</v>
      </c>
      <c r="H169" s="3" t="s">
        <v>136</v>
      </c>
      <c r="I169" s="3" t="s">
        <v>137</v>
      </c>
      <c r="J169" s="3"/>
      <c r="K169" s="3"/>
      <c r="L169" s="236"/>
      <c r="M169" s="99"/>
      <c r="N169" s="99"/>
      <c r="O169" s="236"/>
      <c r="P169" s="22"/>
      <c r="Q169" s="22">
        <v>0</v>
      </c>
      <c r="R169" s="22" t="s">
        <v>153</v>
      </c>
      <c r="S169" s="3"/>
      <c r="T169" s="260"/>
      <c r="U169" s="261"/>
      <c r="V169" s="22"/>
      <c r="W169" s="567" t="s">
        <v>762</v>
      </c>
      <c r="X169" s="567" t="s">
        <v>6758</v>
      </c>
      <c r="Y169" s="22"/>
      <c r="Z169" s="22"/>
      <c r="AA169" s="22"/>
      <c r="AB169" s="22" t="s">
        <v>114</v>
      </c>
      <c r="AC169" s="3"/>
      <c r="AD169" s="3"/>
      <c r="AE169" s="3">
        <v>0</v>
      </c>
      <c r="AF169" s="3">
        <v>0</v>
      </c>
      <c r="AG169" s="3">
        <v>0</v>
      </c>
      <c r="AH169" s="3"/>
      <c r="AI169" s="3">
        <v>0</v>
      </c>
      <c r="AJ169" s="3">
        <v>0</v>
      </c>
      <c r="AK169" s="3">
        <v>0</v>
      </c>
      <c r="AL169" s="3"/>
      <c r="AM169" s="3"/>
      <c r="AN169" s="3"/>
      <c r="AO169" s="3"/>
      <c r="AP169" s="3"/>
      <c r="AQ169" s="282" t="str">
        <f>"tricks/"&amp;A169</f>
        <v>tricks/1030212</v>
      </c>
    </row>
    <row r="170" spans="1:44" ht="15" customHeight="1">
      <c r="A170" s="3">
        <v>1030213</v>
      </c>
      <c r="B170" s="3" t="s">
        <v>722</v>
      </c>
      <c r="C170" s="236" t="s">
        <v>763</v>
      </c>
      <c r="D170" s="3" t="s">
        <v>81</v>
      </c>
      <c r="E170" s="3" t="s">
        <v>655</v>
      </c>
      <c r="F170" s="3">
        <v>10</v>
      </c>
      <c r="G170" s="3">
        <v>3</v>
      </c>
      <c r="H170" s="3" t="s">
        <v>136</v>
      </c>
      <c r="I170" s="3" t="s">
        <v>137</v>
      </c>
      <c r="J170" s="3"/>
      <c r="K170" s="3"/>
      <c r="L170" s="236"/>
      <c r="M170" s="99"/>
      <c r="N170" s="99"/>
      <c r="O170" s="236"/>
      <c r="P170" s="22"/>
      <c r="Q170" s="22">
        <v>0</v>
      </c>
      <c r="R170" s="22" t="s">
        <v>153</v>
      </c>
      <c r="S170" s="3"/>
      <c r="T170" s="260"/>
      <c r="U170" s="261"/>
      <c r="V170" s="22"/>
      <c r="W170" s="567" t="s">
        <v>764</v>
      </c>
      <c r="X170" s="567" t="s">
        <v>764</v>
      </c>
      <c r="Y170" s="22"/>
      <c r="Z170" s="22"/>
      <c r="AA170" s="22"/>
      <c r="AB170" s="22" t="s">
        <v>114</v>
      </c>
      <c r="AC170" s="3"/>
      <c r="AD170" s="3"/>
      <c r="AE170" s="3">
        <v>0</v>
      </c>
      <c r="AF170" s="3">
        <v>0</v>
      </c>
      <c r="AG170" s="3">
        <v>0</v>
      </c>
      <c r="AH170" s="3"/>
      <c r="AI170" s="3">
        <v>0</v>
      </c>
      <c r="AJ170" s="3">
        <v>0</v>
      </c>
      <c r="AK170" s="3">
        <v>0</v>
      </c>
      <c r="AL170" s="3"/>
      <c r="AM170" s="3"/>
      <c r="AN170" s="3"/>
      <c r="AO170" s="3"/>
      <c r="AP170" s="3"/>
      <c r="AQ170" s="282" t="str">
        <f>"tricks/"&amp;A170</f>
        <v>tricks/1030213</v>
      </c>
    </row>
    <row r="171" spans="1:44" ht="15" customHeight="1">
      <c r="A171" s="5">
        <v>1040001</v>
      </c>
      <c r="B171" s="5" t="s">
        <v>765</v>
      </c>
      <c r="C171" s="5" t="s">
        <v>766</v>
      </c>
      <c r="D171" s="5" t="s">
        <v>81</v>
      </c>
      <c r="E171" s="5" t="s">
        <v>765</v>
      </c>
      <c r="F171" s="5">
        <v>1</v>
      </c>
      <c r="G171" s="5">
        <v>4</v>
      </c>
      <c r="H171" s="5" t="s">
        <v>82</v>
      </c>
      <c r="I171" s="5" t="s">
        <v>83</v>
      </c>
      <c r="J171" s="5"/>
      <c r="K171" s="5">
        <v>4</v>
      </c>
      <c r="L171" s="346" t="s">
        <v>767</v>
      </c>
      <c r="M171" s="231"/>
      <c r="N171" s="231"/>
      <c r="O171" s="5"/>
      <c r="P171" s="232">
        <v>5</v>
      </c>
      <c r="Q171" s="232">
        <v>0</v>
      </c>
      <c r="R171" s="232" t="s">
        <v>85</v>
      </c>
      <c r="S171" s="5">
        <v>1040001</v>
      </c>
      <c r="T171" s="256" t="s">
        <v>768</v>
      </c>
      <c r="U171" s="257" t="s">
        <v>769</v>
      </c>
      <c r="V171" s="232" t="s">
        <v>88</v>
      </c>
      <c r="W171" s="592" t="s">
        <v>770</v>
      </c>
      <c r="X171" s="592" t="s">
        <v>770</v>
      </c>
      <c r="Y171" s="232"/>
      <c r="Z171" s="232"/>
      <c r="AA171" s="232">
        <v>1</v>
      </c>
      <c r="AB171" s="232" t="s">
        <v>90</v>
      </c>
      <c r="AC171" s="5"/>
      <c r="AD171" s="5"/>
      <c r="AE171" s="5">
        <v>2</v>
      </c>
      <c r="AF171" s="5">
        <v>0</v>
      </c>
      <c r="AG171" s="5">
        <v>4</v>
      </c>
      <c r="AH171" s="5"/>
      <c r="AI171" s="5">
        <v>45</v>
      </c>
      <c r="AJ171" s="5">
        <v>32</v>
      </c>
      <c r="AK171" s="270"/>
      <c r="AL171" s="270"/>
      <c r="AM171" s="270"/>
      <c r="AN171" s="271" t="s">
        <v>771</v>
      </c>
      <c r="AO171" s="271"/>
      <c r="AP171" s="271"/>
      <c r="AQ171" s="5" t="s">
        <v>772</v>
      </c>
      <c r="AR171" s="279">
        <v>253</v>
      </c>
    </row>
    <row r="172" spans="1:44" ht="15" customHeight="1">
      <c r="A172" s="5">
        <v>1040002</v>
      </c>
      <c r="B172" s="5" t="s">
        <v>765</v>
      </c>
      <c r="C172" s="5" t="s">
        <v>773</v>
      </c>
      <c r="D172" s="5" t="s">
        <v>81</v>
      </c>
      <c r="E172" s="5" t="s">
        <v>765</v>
      </c>
      <c r="F172" s="5">
        <v>1</v>
      </c>
      <c r="G172" s="5">
        <v>4</v>
      </c>
      <c r="H172" s="5" t="s">
        <v>82</v>
      </c>
      <c r="I172" s="5" t="s">
        <v>83</v>
      </c>
      <c r="J172" s="5"/>
      <c r="K172" s="5">
        <v>5</v>
      </c>
      <c r="L172" s="346" t="s">
        <v>774</v>
      </c>
      <c r="M172" s="231"/>
      <c r="N172" s="231"/>
      <c r="O172" s="5"/>
      <c r="P172" s="232">
        <v>1</v>
      </c>
      <c r="Q172" s="232">
        <v>0</v>
      </c>
      <c r="R172" s="232" t="s">
        <v>85</v>
      </c>
      <c r="S172" s="5">
        <v>1040002</v>
      </c>
      <c r="T172" s="256" t="s">
        <v>768</v>
      </c>
      <c r="U172" s="257" t="s">
        <v>769</v>
      </c>
      <c r="V172" s="232" t="s">
        <v>88</v>
      </c>
      <c r="W172" s="592" t="s">
        <v>775</v>
      </c>
      <c r="X172" s="592" t="s">
        <v>775</v>
      </c>
      <c r="Y172" s="232"/>
      <c r="Z172" s="232"/>
      <c r="AA172" s="232">
        <v>1</v>
      </c>
      <c r="AB172" s="232" t="s">
        <v>90</v>
      </c>
      <c r="AC172" s="5"/>
      <c r="AD172" s="5"/>
      <c r="AE172" s="5">
        <v>2</v>
      </c>
      <c r="AF172" s="5">
        <v>0</v>
      </c>
      <c r="AG172" s="5">
        <v>4</v>
      </c>
      <c r="AH172" s="5"/>
      <c r="AI172" s="5">
        <v>58</v>
      </c>
      <c r="AJ172" s="5">
        <v>39</v>
      </c>
      <c r="AK172" s="270"/>
      <c r="AL172" s="270"/>
      <c r="AM172" s="270"/>
      <c r="AN172" s="271" t="s">
        <v>776</v>
      </c>
      <c r="AO172" s="271"/>
      <c r="AP172" s="271"/>
      <c r="AQ172" s="5" t="s">
        <v>777</v>
      </c>
      <c r="AR172" s="279">
        <v>254</v>
      </c>
    </row>
    <row r="173" spans="1:44" ht="15" customHeight="1">
      <c r="A173" s="32">
        <v>1040003</v>
      </c>
      <c r="B173" s="32" t="s">
        <v>765</v>
      </c>
      <c r="C173" s="32" t="s">
        <v>778</v>
      </c>
      <c r="D173" s="32" t="s">
        <v>81</v>
      </c>
      <c r="E173" s="32" t="s">
        <v>765</v>
      </c>
      <c r="F173" s="32">
        <v>1</v>
      </c>
      <c r="G173" s="32">
        <v>4</v>
      </c>
      <c r="H173" s="32" t="s">
        <v>82</v>
      </c>
      <c r="I173" s="32" t="s">
        <v>83</v>
      </c>
      <c r="J173" s="32"/>
      <c r="K173" s="32"/>
      <c r="L173" s="347" t="s">
        <v>779</v>
      </c>
      <c r="M173" s="348"/>
      <c r="N173" s="348"/>
      <c r="O173" s="32"/>
      <c r="P173" s="349"/>
      <c r="Q173" s="349">
        <v>0</v>
      </c>
      <c r="R173" s="349"/>
      <c r="S173" s="32">
        <v>1040003</v>
      </c>
      <c r="T173" s="355" t="s">
        <v>768</v>
      </c>
      <c r="U173" s="356" t="s">
        <v>769</v>
      </c>
      <c r="V173" s="349" t="s">
        <v>88</v>
      </c>
      <c r="W173" s="595" t="s">
        <v>780</v>
      </c>
      <c r="X173" s="595" t="s">
        <v>780</v>
      </c>
      <c r="Y173" s="349"/>
      <c r="Z173" s="349"/>
      <c r="AA173" s="349"/>
      <c r="AB173" s="349"/>
      <c r="AC173" s="32"/>
      <c r="AD173" s="32"/>
      <c r="AE173" s="32">
        <v>2</v>
      </c>
      <c r="AF173" s="32"/>
      <c r="AG173" s="32"/>
      <c r="AH173" s="32"/>
      <c r="AI173" s="32"/>
      <c r="AJ173" s="32"/>
      <c r="AK173" s="360"/>
      <c r="AL173" s="360"/>
      <c r="AM173" s="360"/>
      <c r="AN173" s="361"/>
      <c r="AO173" s="361"/>
      <c r="AP173" s="361"/>
      <c r="AQ173" s="32" t="s">
        <v>781</v>
      </c>
      <c r="AR173" s="364"/>
    </row>
    <row r="174" spans="1:44" ht="15" customHeight="1">
      <c r="A174" s="5">
        <v>1040101</v>
      </c>
      <c r="B174" s="5" t="s">
        <v>782</v>
      </c>
      <c r="C174" s="591" t="s">
        <v>783</v>
      </c>
      <c r="D174" s="5" t="s">
        <v>81</v>
      </c>
      <c r="E174" s="5" t="s">
        <v>765</v>
      </c>
      <c r="F174" s="5">
        <v>1</v>
      </c>
      <c r="G174" s="5">
        <v>4</v>
      </c>
      <c r="H174" s="5" t="s">
        <v>82</v>
      </c>
      <c r="I174" s="5" t="s">
        <v>101</v>
      </c>
      <c r="J174" s="5"/>
      <c r="K174" s="5">
        <v>1</v>
      </c>
      <c r="L174" s="230" t="s">
        <v>784</v>
      </c>
      <c r="M174" s="231"/>
      <c r="N174" s="231"/>
      <c r="O174" s="5"/>
      <c r="P174" s="232">
        <v>2</v>
      </c>
      <c r="Q174" s="232">
        <v>0</v>
      </c>
      <c r="R174" s="232" t="s">
        <v>85</v>
      </c>
      <c r="S174" s="5" t="s">
        <v>785</v>
      </c>
      <c r="T174" s="256" t="s">
        <v>786</v>
      </c>
      <c r="U174" s="257" t="s">
        <v>787</v>
      </c>
      <c r="V174" s="232" t="s">
        <v>468</v>
      </c>
      <c r="W174" s="565" t="s">
        <v>788</v>
      </c>
      <c r="X174" s="565" t="s">
        <v>788</v>
      </c>
      <c r="Y174" s="232"/>
      <c r="Z174" s="232"/>
      <c r="AA174" s="232">
        <v>1</v>
      </c>
      <c r="AB174" s="232" t="s">
        <v>90</v>
      </c>
      <c r="AC174" s="5"/>
      <c r="AD174" s="5"/>
      <c r="AE174" s="5">
        <v>1</v>
      </c>
      <c r="AF174" s="5">
        <v>2</v>
      </c>
      <c r="AG174" s="5">
        <v>7</v>
      </c>
      <c r="AH174" s="5"/>
      <c r="AI174" s="5">
        <v>40</v>
      </c>
      <c r="AJ174" s="5">
        <v>26</v>
      </c>
      <c r="AK174" s="270"/>
      <c r="AL174" s="270"/>
      <c r="AM174" s="270"/>
      <c r="AN174" s="271" t="s">
        <v>789</v>
      </c>
      <c r="AO174" s="271"/>
      <c r="AP174" s="271"/>
      <c r="AQ174" s="5" t="s">
        <v>790</v>
      </c>
      <c r="AR174" s="279">
        <v>246</v>
      </c>
    </row>
    <row r="175" spans="1:44" ht="15" customHeight="1">
      <c r="A175" s="5">
        <v>1040102</v>
      </c>
      <c r="B175" s="5" t="s">
        <v>782</v>
      </c>
      <c r="C175" s="5" t="s">
        <v>791</v>
      </c>
      <c r="D175" s="5" t="s">
        <v>81</v>
      </c>
      <c r="E175" s="5" t="s">
        <v>765</v>
      </c>
      <c r="F175" s="5">
        <v>1</v>
      </c>
      <c r="G175" s="5">
        <v>4</v>
      </c>
      <c r="H175" s="5" t="s">
        <v>136</v>
      </c>
      <c r="I175" s="5" t="s">
        <v>137</v>
      </c>
      <c r="J175" s="5"/>
      <c r="K175" s="5"/>
      <c r="L175" s="346" t="s">
        <v>792</v>
      </c>
      <c r="M175" s="231"/>
      <c r="N175" s="231"/>
      <c r="O175" s="5"/>
      <c r="P175" s="232">
        <v>3</v>
      </c>
      <c r="Q175" s="232">
        <v>0</v>
      </c>
      <c r="R175" s="232" t="s">
        <v>153</v>
      </c>
      <c r="S175" s="5">
        <v>1040102</v>
      </c>
      <c r="T175" s="256"/>
      <c r="U175" s="257"/>
      <c r="V175" s="232" t="s">
        <v>468</v>
      </c>
      <c r="W175" s="592" t="s">
        <v>793</v>
      </c>
      <c r="X175" s="592" t="s">
        <v>793</v>
      </c>
      <c r="Y175" s="232"/>
      <c r="Z175" s="232"/>
      <c r="AA175" s="232">
        <v>1</v>
      </c>
      <c r="AB175" s="232"/>
      <c r="AC175" s="5"/>
      <c r="AD175" s="5"/>
      <c r="AE175" s="5">
        <v>0</v>
      </c>
      <c r="AF175" s="5">
        <v>0</v>
      </c>
      <c r="AG175" s="5">
        <v>0</v>
      </c>
      <c r="AH175" s="5"/>
      <c r="AI175" s="5">
        <v>0</v>
      </c>
      <c r="AJ175" s="5">
        <v>0</v>
      </c>
      <c r="AK175" s="270"/>
      <c r="AL175" s="270"/>
      <c r="AM175" s="270"/>
      <c r="AN175" s="5"/>
      <c r="AO175" s="271"/>
      <c r="AP175" s="271"/>
      <c r="AQ175" s="5" t="s">
        <v>794</v>
      </c>
      <c r="AR175" s="279"/>
    </row>
    <row r="176" spans="1:44" ht="15" customHeight="1">
      <c r="A176" s="5">
        <v>1040103</v>
      </c>
      <c r="B176" s="5" t="s">
        <v>782</v>
      </c>
      <c r="C176" s="591" t="s">
        <v>795</v>
      </c>
      <c r="D176" s="5" t="s">
        <v>81</v>
      </c>
      <c r="E176" s="5" t="s">
        <v>765</v>
      </c>
      <c r="F176" s="5">
        <v>1</v>
      </c>
      <c r="G176" s="5">
        <v>4</v>
      </c>
      <c r="H176" s="5" t="s">
        <v>82</v>
      </c>
      <c r="I176" s="5" t="s">
        <v>101</v>
      </c>
      <c r="J176" s="5"/>
      <c r="K176" s="5">
        <v>2</v>
      </c>
      <c r="L176" s="230" t="s">
        <v>796</v>
      </c>
      <c r="M176" s="231"/>
      <c r="N176" s="231"/>
      <c r="O176" s="5"/>
      <c r="P176" s="232">
        <v>1</v>
      </c>
      <c r="Q176" s="232">
        <v>0</v>
      </c>
      <c r="R176" s="232" t="s">
        <v>85</v>
      </c>
      <c r="S176" s="5">
        <v>1040103</v>
      </c>
      <c r="T176" s="256" t="s">
        <v>797</v>
      </c>
      <c r="U176" s="257" t="s">
        <v>787</v>
      </c>
      <c r="V176" s="232" t="s">
        <v>468</v>
      </c>
      <c r="W176" s="565" t="s">
        <v>798</v>
      </c>
      <c r="X176" s="565" t="s">
        <v>798</v>
      </c>
      <c r="Y176" s="232"/>
      <c r="Z176" s="232"/>
      <c r="AA176" s="232">
        <v>1</v>
      </c>
      <c r="AB176" s="232" t="s">
        <v>90</v>
      </c>
      <c r="AC176" s="5"/>
      <c r="AD176" s="5"/>
      <c r="AE176" s="5">
        <v>1</v>
      </c>
      <c r="AF176" s="5">
        <v>1</v>
      </c>
      <c r="AG176" s="5">
        <v>6</v>
      </c>
      <c r="AH176" s="5"/>
      <c r="AI176" s="5">
        <v>35</v>
      </c>
      <c r="AJ176" s="5">
        <v>19</v>
      </c>
      <c r="AK176" s="270"/>
      <c r="AL176" s="270"/>
      <c r="AM176" s="270"/>
      <c r="AN176" s="271" t="s">
        <v>799</v>
      </c>
      <c r="AO176" s="271"/>
      <c r="AP176" s="271"/>
      <c r="AQ176" s="5" t="s">
        <v>800</v>
      </c>
      <c r="AR176" s="279">
        <v>245</v>
      </c>
    </row>
    <row r="177" spans="1:44" ht="15" customHeight="1">
      <c r="A177" s="5">
        <v>1040104</v>
      </c>
      <c r="B177" s="5" t="s">
        <v>782</v>
      </c>
      <c r="C177" s="5" t="s">
        <v>801</v>
      </c>
      <c r="D177" s="5" t="s">
        <v>81</v>
      </c>
      <c r="E177" s="5" t="s">
        <v>765</v>
      </c>
      <c r="F177" s="5">
        <v>2</v>
      </c>
      <c r="G177" s="5">
        <v>4</v>
      </c>
      <c r="H177" s="5" t="s">
        <v>136</v>
      </c>
      <c r="I177" s="5" t="s">
        <v>137</v>
      </c>
      <c r="J177" s="5"/>
      <c r="K177" s="5"/>
      <c r="L177" s="346" t="s">
        <v>802</v>
      </c>
      <c r="M177" s="5"/>
      <c r="N177" s="5"/>
      <c r="O177" s="5"/>
      <c r="P177" s="5"/>
      <c r="Q177" s="232">
        <v>0</v>
      </c>
      <c r="R177" s="5" t="s">
        <v>153</v>
      </c>
      <c r="S177" s="5">
        <v>1040104</v>
      </c>
      <c r="T177" s="256"/>
      <c r="U177" s="257"/>
      <c r="V177" s="232" t="s">
        <v>468</v>
      </c>
      <c r="W177" s="592" t="s">
        <v>803</v>
      </c>
      <c r="X177" s="592" t="s">
        <v>803</v>
      </c>
      <c r="Y177" s="232"/>
      <c r="Z177" s="232"/>
      <c r="AA177" s="232">
        <v>2</v>
      </c>
      <c r="AB177" s="232" t="s">
        <v>114</v>
      </c>
      <c r="AC177" s="5"/>
      <c r="AD177" s="5"/>
      <c r="AE177" s="5">
        <v>0</v>
      </c>
      <c r="AF177" s="5">
        <v>0</v>
      </c>
      <c r="AG177" s="5">
        <v>0</v>
      </c>
      <c r="AH177" s="5"/>
      <c r="AI177" s="5">
        <v>0</v>
      </c>
      <c r="AJ177" s="5">
        <v>0</v>
      </c>
      <c r="AK177" s="270"/>
      <c r="AL177" s="270"/>
      <c r="AM177" s="270"/>
      <c r="AN177" s="271"/>
      <c r="AO177" s="271"/>
      <c r="AP177" s="271"/>
      <c r="AQ177" s="5" t="s">
        <v>804</v>
      </c>
      <c r="AR177" s="279"/>
    </row>
    <row r="178" spans="1:44" ht="15" customHeight="1">
      <c r="A178" s="5">
        <v>1040105</v>
      </c>
      <c r="B178" s="5" t="s">
        <v>782</v>
      </c>
      <c r="C178" s="5" t="s">
        <v>805</v>
      </c>
      <c r="D178" s="5" t="s">
        <v>81</v>
      </c>
      <c r="E178" s="5" t="s">
        <v>765</v>
      </c>
      <c r="F178" s="5">
        <v>1</v>
      </c>
      <c r="G178" s="5">
        <v>4</v>
      </c>
      <c r="H178" s="5" t="s">
        <v>82</v>
      </c>
      <c r="I178" s="5" t="s">
        <v>101</v>
      </c>
      <c r="J178" s="5"/>
      <c r="K178" s="5">
        <v>3</v>
      </c>
      <c r="L178" s="230" t="s">
        <v>806</v>
      </c>
      <c r="M178" s="231"/>
      <c r="N178" s="231"/>
      <c r="O178" s="5"/>
      <c r="P178" s="232">
        <v>2</v>
      </c>
      <c r="Q178" s="232">
        <v>0</v>
      </c>
      <c r="R178" s="232" t="s">
        <v>85</v>
      </c>
      <c r="S178" s="5">
        <v>1040105</v>
      </c>
      <c r="T178" s="256" t="s">
        <v>807</v>
      </c>
      <c r="U178" s="257" t="s">
        <v>808</v>
      </c>
      <c r="V178" s="232" t="s">
        <v>468</v>
      </c>
      <c r="W178" s="565" t="s">
        <v>809</v>
      </c>
      <c r="X178" s="565" t="s">
        <v>809</v>
      </c>
      <c r="Y178" s="232"/>
      <c r="Z178" s="232"/>
      <c r="AA178" s="232">
        <v>2</v>
      </c>
      <c r="AB178" s="232" t="s">
        <v>90</v>
      </c>
      <c r="AC178" s="5"/>
      <c r="AD178" s="5"/>
      <c r="AE178" s="5">
        <v>1</v>
      </c>
      <c r="AF178" s="5">
        <v>1</v>
      </c>
      <c r="AG178" s="5">
        <v>5</v>
      </c>
      <c r="AH178" s="5"/>
      <c r="AI178" s="5">
        <v>35</v>
      </c>
      <c r="AJ178" s="5">
        <v>19</v>
      </c>
      <c r="AK178" s="270"/>
      <c r="AL178" s="270"/>
      <c r="AM178" s="270"/>
      <c r="AN178" s="271" t="s">
        <v>810</v>
      </c>
      <c r="AO178" s="271"/>
      <c r="AP178" s="271"/>
      <c r="AQ178" s="5" t="s">
        <v>811</v>
      </c>
      <c r="AR178" s="279">
        <v>245</v>
      </c>
    </row>
    <row r="179" spans="1:44" ht="15" customHeight="1">
      <c r="A179" s="5">
        <v>1040106</v>
      </c>
      <c r="B179" s="5" t="s">
        <v>782</v>
      </c>
      <c r="C179" s="5" t="s">
        <v>812</v>
      </c>
      <c r="D179" s="5" t="s">
        <v>81</v>
      </c>
      <c r="E179" s="5" t="s">
        <v>765</v>
      </c>
      <c r="F179" s="5">
        <v>3</v>
      </c>
      <c r="G179" s="5">
        <v>4</v>
      </c>
      <c r="H179" s="5" t="s">
        <v>136</v>
      </c>
      <c r="I179" s="5" t="s">
        <v>137</v>
      </c>
      <c r="J179" s="5"/>
      <c r="K179" s="5"/>
      <c r="L179" s="346" t="s">
        <v>813</v>
      </c>
      <c r="M179" s="231"/>
      <c r="N179" s="231"/>
      <c r="O179" s="5"/>
      <c r="P179" s="232"/>
      <c r="Q179" s="232">
        <v>0</v>
      </c>
      <c r="R179" s="232" t="s">
        <v>153</v>
      </c>
      <c r="S179" s="5">
        <v>1040106</v>
      </c>
      <c r="T179" s="256"/>
      <c r="U179" s="257"/>
      <c r="V179" s="232" t="s">
        <v>468</v>
      </c>
      <c r="W179" s="592" t="s">
        <v>814</v>
      </c>
      <c r="X179" s="592" t="s">
        <v>814</v>
      </c>
      <c r="Y179" s="232"/>
      <c r="Z179" s="232"/>
      <c r="AA179" s="232"/>
      <c r="AB179" s="232" t="s">
        <v>114</v>
      </c>
      <c r="AC179" s="5"/>
      <c r="AD179" s="5"/>
      <c r="AE179" s="5">
        <v>0</v>
      </c>
      <c r="AF179" s="5">
        <v>0</v>
      </c>
      <c r="AG179" s="5">
        <v>10</v>
      </c>
      <c r="AH179" s="5"/>
      <c r="AI179" s="5">
        <v>0</v>
      </c>
      <c r="AJ179" s="5">
        <v>0</v>
      </c>
      <c r="AK179" s="270"/>
      <c r="AL179" s="270"/>
      <c r="AM179" s="270"/>
      <c r="AN179" s="5"/>
      <c r="AO179" s="5"/>
      <c r="AP179" s="5"/>
      <c r="AQ179" s="5" t="s">
        <v>815</v>
      </c>
      <c r="AR179" s="279"/>
    </row>
    <row r="180" spans="1:44" ht="15" customHeight="1">
      <c r="A180" s="5">
        <v>1040107</v>
      </c>
      <c r="B180" s="5" t="s">
        <v>782</v>
      </c>
      <c r="C180" s="5" t="s">
        <v>816</v>
      </c>
      <c r="D180" s="5" t="s">
        <v>81</v>
      </c>
      <c r="E180" s="5" t="s">
        <v>765</v>
      </c>
      <c r="F180" s="5">
        <v>4</v>
      </c>
      <c r="G180" s="5">
        <v>4</v>
      </c>
      <c r="H180" s="5" t="s">
        <v>136</v>
      </c>
      <c r="I180" s="5" t="s">
        <v>137</v>
      </c>
      <c r="J180" s="5"/>
      <c r="K180" s="5"/>
      <c r="L180" s="346" t="s">
        <v>817</v>
      </c>
      <c r="M180" s="231"/>
      <c r="N180" s="231"/>
      <c r="O180" s="5"/>
      <c r="P180" s="232"/>
      <c r="Q180" s="232">
        <v>0</v>
      </c>
      <c r="R180" s="232" t="s">
        <v>153</v>
      </c>
      <c r="S180" s="5">
        <v>1040107</v>
      </c>
      <c r="T180" s="256"/>
      <c r="U180" s="257"/>
      <c r="V180" s="232" t="s">
        <v>468</v>
      </c>
      <c r="W180" s="592" t="s">
        <v>818</v>
      </c>
      <c r="X180" s="592" t="s">
        <v>818</v>
      </c>
      <c r="Y180" s="232"/>
      <c r="Z180" s="232"/>
      <c r="AA180" s="232"/>
      <c r="AB180" s="232" t="s">
        <v>90</v>
      </c>
      <c r="AC180" s="5"/>
      <c r="AD180" s="5"/>
      <c r="AE180" s="5">
        <v>0</v>
      </c>
      <c r="AF180" s="5">
        <v>0</v>
      </c>
      <c r="AG180" s="5">
        <v>0</v>
      </c>
      <c r="AH180" s="5"/>
      <c r="AI180" s="5">
        <v>0</v>
      </c>
      <c r="AJ180" s="5">
        <v>0</v>
      </c>
      <c r="AK180" s="270"/>
      <c r="AL180" s="270"/>
      <c r="AM180" s="270"/>
      <c r="AN180" s="5"/>
      <c r="AO180" s="5"/>
      <c r="AP180" s="5"/>
      <c r="AQ180" s="5" t="s">
        <v>819</v>
      </c>
      <c r="AR180" s="279"/>
    </row>
    <row r="181" spans="1:44" ht="15" customHeight="1">
      <c r="A181" s="5">
        <v>1040108</v>
      </c>
      <c r="B181" s="5" t="s">
        <v>782</v>
      </c>
      <c r="C181" s="5" t="s">
        <v>820</v>
      </c>
      <c r="D181" s="5" t="s">
        <v>81</v>
      </c>
      <c r="E181" s="5" t="s">
        <v>765</v>
      </c>
      <c r="F181" s="5">
        <v>5</v>
      </c>
      <c r="G181" s="5">
        <v>4</v>
      </c>
      <c r="H181" s="5" t="s">
        <v>136</v>
      </c>
      <c r="I181" s="5" t="s">
        <v>137</v>
      </c>
      <c r="J181" s="5"/>
      <c r="K181" s="5"/>
      <c r="L181" s="346" t="s">
        <v>821</v>
      </c>
      <c r="M181" s="231"/>
      <c r="N181" s="231"/>
      <c r="O181" s="5"/>
      <c r="P181" s="232"/>
      <c r="Q181" s="232">
        <v>0</v>
      </c>
      <c r="R181" s="232" t="s">
        <v>153</v>
      </c>
      <c r="S181" s="5">
        <v>1040108</v>
      </c>
      <c r="T181" s="256"/>
      <c r="U181" s="257"/>
      <c r="V181" s="232" t="s">
        <v>468</v>
      </c>
      <c r="W181" s="592" t="s">
        <v>822</v>
      </c>
      <c r="X181" s="592" t="s">
        <v>822</v>
      </c>
      <c r="Y181" s="232"/>
      <c r="Z181" s="232"/>
      <c r="AA181" s="232"/>
      <c r="AB181" s="232" t="s">
        <v>90</v>
      </c>
      <c r="AC181" s="5"/>
      <c r="AD181" s="5"/>
      <c r="AE181" s="5">
        <v>0</v>
      </c>
      <c r="AF181" s="5">
        <v>0</v>
      </c>
      <c r="AG181" s="5">
        <v>0</v>
      </c>
      <c r="AH181" s="5"/>
      <c r="AI181" s="5">
        <v>0</v>
      </c>
      <c r="AJ181" s="5">
        <v>0</v>
      </c>
      <c r="AK181" s="270"/>
      <c r="AL181" s="270"/>
      <c r="AM181" s="270"/>
      <c r="AN181" s="5"/>
      <c r="AO181" s="5"/>
      <c r="AP181" s="5"/>
      <c r="AQ181" s="5" t="s">
        <v>823</v>
      </c>
      <c r="AR181" s="279"/>
    </row>
    <row r="182" spans="1:44" ht="15" customHeight="1">
      <c r="A182" s="5">
        <v>1040109</v>
      </c>
      <c r="B182" s="5" t="s">
        <v>782</v>
      </c>
      <c r="C182" s="5" t="s">
        <v>824</v>
      </c>
      <c r="D182" s="5" t="s">
        <v>81</v>
      </c>
      <c r="E182" s="5" t="s">
        <v>765</v>
      </c>
      <c r="F182" s="5">
        <v>6</v>
      </c>
      <c r="G182" s="5">
        <v>4</v>
      </c>
      <c r="H182" s="5" t="s">
        <v>136</v>
      </c>
      <c r="I182" s="5" t="s">
        <v>137</v>
      </c>
      <c r="J182" s="5"/>
      <c r="K182" s="5"/>
      <c r="L182" s="346" t="s">
        <v>825</v>
      </c>
      <c r="M182" s="231"/>
      <c r="N182" s="231"/>
      <c r="O182" s="5"/>
      <c r="P182" s="232"/>
      <c r="Q182" s="232">
        <v>0</v>
      </c>
      <c r="R182" s="232" t="s">
        <v>153</v>
      </c>
      <c r="S182" s="5">
        <v>1040109</v>
      </c>
      <c r="T182" s="256"/>
      <c r="U182" s="257"/>
      <c r="V182" s="232" t="s">
        <v>468</v>
      </c>
      <c r="W182" s="592" t="s">
        <v>826</v>
      </c>
      <c r="X182" s="592" t="s">
        <v>826</v>
      </c>
      <c r="Y182" s="232"/>
      <c r="Z182" s="232"/>
      <c r="AA182" s="232"/>
      <c r="AB182" s="232"/>
      <c r="AC182" s="5"/>
      <c r="AD182" s="5"/>
      <c r="AE182" s="5">
        <v>0</v>
      </c>
      <c r="AF182" s="5">
        <v>0</v>
      </c>
      <c r="AG182" s="5">
        <v>0</v>
      </c>
      <c r="AH182" s="5"/>
      <c r="AI182" s="5">
        <v>0</v>
      </c>
      <c r="AJ182" s="5">
        <v>0</v>
      </c>
      <c r="AK182" s="270"/>
      <c r="AL182" s="270"/>
      <c r="AM182" s="270"/>
      <c r="AN182" s="5"/>
      <c r="AO182" s="5"/>
      <c r="AP182" s="5"/>
      <c r="AQ182" s="5" t="s">
        <v>827</v>
      </c>
      <c r="AR182" s="279"/>
    </row>
    <row r="183" spans="1:44" ht="15" customHeight="1">
      <c r="A183" s="5">
        <v>1040110</v>
      </c>
      <c r="B183" s="5" t="s">
        <v>782</v>
      </c>
      <c r="C183" s="5" t="s">
        <v>756</v>
      </c>
      <c r="D183" s="5" t="s">
        <v>81</v>
      </c>
      <c r="E183" s="5" t="s">
        <v>765</v>
      </c>
      <c r="F183" s="5">
        <v>7</v>
      </c>
      <c r="G183" s="5">
        <v>4</v>
      </c>
      <c r="H183" s="5" t="s">
        <v>136</v>
      </c>
      <c r="I183" s="5" t="s">
        <v>137</v>
      </c>
      <c r="J183" s="5"/>
      <c r="K183" s="5"/>
      <c r="L183" s="346" t="s">
        <v>828</v>
      </c>
      <c r="M183" s="231"/>
      <c r="N183" s="231"/>
      <c r="O183" s="5"/>
      <c r="P183" s="232"/>
      <c r="Q183" s="232">
        <v>0</v>
      </c>
      <c r="R183" s="232" t="s">
        <v>153</v>
      </c>
      <c r="S183" s="5">
        <v>1040110</v>
      </c>
      <c r="T183" s="256"/>
      <c r="U183" s="257"/>
      <c r="V183" s="232" t="s">
        <v>468</v>
      </c>
      <c r="W183" s="592" t="s">
        <v>829</v>
      </c>
      <c r="X183" s="592" t="s">
        <v>829</v>
      </c>
      <c r="Y183" s="232"/>
      <c r="Z183" s="232"/>
      <c r="AA183" s="232"/>
      <c r="AB183" s="232" t="s">
        <v>90</v>
      </c>
      <c r="AC183" s="5"/>
      <c r="AD183" s="5"/>
      <c r="AE183" s="5">
        <v>0</v>
      </c>
      <c r="AF183" s="5">
        <v>0</v>
      </c>
      <c r="AG183" s="5">
        <v>0</v>
      </c>
      <c r="AH183" s="5"/>
      <c r="AI183" s="5">
        <v>0</v>
      </c>
      <c r="AJ183" s="5">
        <v>0</v>
      </c>
      <c r="AK183" s="270"/>
      <c r="AL183" s="270"/>
      <c r="AM183" s="270"/>
      <c r="AN183" s="5"/>
      <c r="AO183" s="5"/>
      <c r="AP183" s="5"/>
      <c r="AQ183" s="5" t="s">
        <v>830</v>
      </c>
      <c r="AR183" s="279"/>
    </row>
    <row r="184" spans="1:44" ht="15" customHeight="1">
      <c r="A184" s="3">
        <v>1040111</v>
      </c>
      <c r="B184" s="3" t="s">
        <v>782</v>
      </c>
      <c r="C184" s="236" t="s">
        <v>831</v>
      </c>
      <c r="D184" s="3" t="s">
        <v>81</v>
      </c>
      <c r="E184" s="3" t="s">
        <v>765</v>
      </c>
      <c r="F184" s="3">
        <v>8</v>
      </c>
      <c r="G184" s="3">
        <v>4</v>
      </c>
      <c r="H184" s="3" t="s">
        <v>136</v>
      </c>
      <c r="I184" s="3" t="s">
        <v>137</v>
      </c>
      <c r="J184" s="3"/>
      <c r="K184" s="3"/>
      <c r="L184" s="236"/>
      <c r="M184" s="99"/>
      <c r="N184" s="99"/>
      <c r="O184" s="236"/>
      <c r="P184" s="22"/>
      <c r="Q184" s="22">
        <v>0</v>
      </c>
      <c r="R184" s="22" t="s">
        <v>153</v>
      </c>
      <c r="S184" s="3"/>
      <c r="T184" s="260"/>
      <c r="U184" s="261"/>
      <c r="V184" s="22"/>
      <c r="W184" s="567" t="s">
        <v>402</v>
      </c>
      <c r="X184" s="567" t="s">
        <v>6750</v>
      </c>
      <c r="Y184" s="22"/>
      <c r="Z184" s="22"/>
      <c r="AA184" s="22"/>
      <c r="AB184" s="22" t="s">
        <v>114</v>
      </c>
      <c r="AC184" s="3"/>
      <c r="AD184" s="3"/>
      <c r="AE184" s="3">
        <v>0</v>
      </c>
      <c r="AF184" s="3">
        <v>0</v>
      </c>
      <c r="AG184" s="3">
        <v>0</v>
      </c>
      <c r="AH184" s="3"/>
      <c r="AI184" s="3">
        <v>0</v>
      </c>
      <c r="AJ184" s="3">
        <v>0</v>
      </c>
      <c r="AK184" s="3">
        <v>0</v>
      </c>
      <c r="AL184" s="3"/>
      <c r="AM184" s="3"/>
      <c r="AN184" s="3"/>
      <c r="AO184" s="3"/>
      <c r="AP184" s="3"/>
      <c r="AQ184" s="3" t="s">
        <v>811</v>
      </c>
      <c r="AR184" s="281"/>
    </row>
    <row r="185" spans="1:44" ht="15" customHeight="1">
      <c r="A185" s="3">
        <v>1040112</v>
      </c>
      <c r="B185" s="3" t="s">
        <v>782</v>
      </c>
      <c r="C185" s="236" t="s">
        <v>832</v>
      </c>
      <c r="D185" s="3" t="s">
        <v>81</v>
      </c>
      <c r="E185" s="3" t="s">
        <v>765</v>
      </c>
      <c r="F185" s="3">
        <v>9</v>
      </c>
      <c r="G185" s="3">
        <v>4</v>
      </c>
      <c r="H185" s="3" t="s">
        <v>136</v>
      </c>
      <c r="I185" s="3" t="s">
        <v>137</v>
      </c>
      <c r="J185" s="3"/>
      <c r="K185" s="3"/>
      <c r="L185" s="236"/>
      <c r="M185" s="99"/>
      <c r="N185" s="99"/>
      <c r="O185" s="236"/>
      <c r="P185" s="22"/>
      <c r="Q185" s="22">
        <v>0</v>
      </c>
      <c r="R185" s="22" t="s">
        <v>153</v>
      </c>
      <c r="S185" s="3"/>
      <c r="T185" s="260"/>
      <c r="U185" s="261"/>
      <c r="V185" s="22"/>
      <c r="W185" s="567" t="s">
        <v>833</v>
      </c>
      <c r="X185" s="567" t="s">
        <v>6757</v>
      </c>
      <c r="Y185" s="22"/>
      <c r="Z185" s="22"/>
      <c r="AA185" s="22"/>
      <c r="AB185" s="22" t="s">
        <v>114</v>
      </c>
      <c r="AC185" s="3"/>
      <c r="AD185" s="3"/>
      <c r="AE185" s="3">
        <v>0</v>
      </c>
      <c r="AF185" s="3">
        <v>0</v>
      </c>
      <c r="AG185" s="3">
        <v>0</v>
      </c>
      <c r="AH185" s="3"/>
      <c r="AI185" s="3">
        <v>0</v>
      </c>
      <c r="AJ185" s="3">
        <v>0</v>
      </c>
      <c r="AK185" s="3">
        <v>0</v>
      </c>
      <c r="AL185" s="3"/>
      <c r="AM185" s="3"/>
      <c r="AN185" s="3"/>
      <c r="AO185" s="3"/>
      <c r="AP185" s="3"/>
      <c r="AQ185" s="282" t="str">
        <f>"tricks/"&amp;A185</f>
        <v>tricks/1040112</v>
      </c>
    </row>
    <row r="186" spans="1:44" ht="15" customHeight="1">
      <c r="A186" s="3">
        <v>1040113</v>
      </c>
      <c r="B186" s="3" t="s">
        <v>782</v>
      </c>
      <c r="C186" s="236" t="s">
        <v>834</v>
      </c>
      <c r="D186" s="3" t="s">
        <v>81</v>
      </c>
      <c r="E186" s="3" t="s">
        <v>765</v>
      </c>
      <c r="F186" s="3">
        <v>10</v>
      </c>
      <c r="G186" s="3">
        <v>4</v>
      </c>
      <c r="H186" s="3" t="s">
        <v>136</v>
      </c>
      <c r="I186" s="3" t="s">
        <v>137</v>
      </c>
      <c r="J186" s="3"/>
      <c r="K186" s="3"/>
      <c r="L186" s="236"/>
      <c r="M186" s="99"/>
      <c r="N186" s="99"/>
      <c r="O186" s="236"/>
      <c r="P186" s="22"/>
      <c r="Q186" s="22">
        <v>0</v>
      </c>
      <c r="R186" s="22" t="s">
        <v>153</v>
      </c>
      <c r="S186" s="3"/>
      <c r="T186" s="260"/>
      <c r="U186" s="261"/>
      <c r="V186" s="22"/>
      <c r="W186" s="567" t="s">
        <v>835</v>
      </c>
      <c r="X186" s="567" t="s">
        <v>835</v>
      </c>
      <c r="Y186" s="22"/>
      <c r="Z186" s="22"/>
      <c r="AA186" s="22"/>
      <c r="AB186" s="22" t="s">
        <v>114</v>
      </c>
      <c r="AC186" s="3"/>
      <c r="AD186" s="3"/>
      <c r="AE186" s="3">
        <v>0</v>
      </c>
      <c r="AF186" s="3">
        <v>0</v>
      </c>
      <c r="AG186" s="3">
        <v>0</v>
      </c>
      <c r="AH186" s="3"/>
      <c r="AI186" s="3">
        <v>0</v>
      </c>
      <c r="AJ186" s="3">
        <v>0</v>
      </c>
      <c r="AK186" s="3">
        <v>0</v>
      </c>
      <c r="AL186" s="3"/>
      <c r="AM186" s="3"/>
      <c r="AN186" s="3"/>
      <c r="AO186" s="3"/>
      <c r="AP186" s="3"/>
      <c r="AQ186" s="282" t="str">
        <f>"tricks/"&amp;A186</f>
        <v>tricks/1040113</v>
      </c>
    </row>
    <row r="187" spans="1:44" ht="15" customHeight="1">
      <c r="A187" s="7">
        <v>1040201</v>
      </c>
      <c r="B187" s="7" t="s">
        <v>836</v>
      </c>
      <c r="C187" s="350" t="s">
        <v>837</v>
      </c>
      <c r="D187" s="7" t="s">
        <v>81</v>
      </c>
      <c r="E187" s="7" t="s">
        <v>765</v>
      </c>
      <c r="F187" s="7">
        <v>1</v>
      </c>
      <c r="G187" s="7">
        <v>4</v>
      </c>
      <c r="H187" s="7" t="s">
        <v>82</v>
      </c>
      <c r="I187" s="7" t="s">
        <v>101</v>
      </c>
      <c r="J187" s="7"/>
      <c r="K187" s="7">
        <v>1</v>
      </c>
      <c r="L187" s="350" t="s">
        <v>838</v>
      </c>
      <c r="M187" s="238"/>
      <c r="N187" s="238"/>
      <c r="O187" s="350"/>
      <c r="P187" s="239"/>
      <c r="Q187" s="239">
        <v>0</v>
      </c>
      <c r="R187" s="239" t="s">
        <v>85</v>
      </c>
      <c r="S187" s="7">
        <v>1040201</v>
      </c>
      <c r="T187" s="262" t="s">
        <v>839</v>
      </c>
      <c r="U187" s="263" t="s">
        <v>840</v>
      </c>
      <c r="V187" s="239" t="s">
        <v>841</v>
      </c>
      <c r="W187" s="568" t="s">
        <v>842</v>
      </c>
      <c r="X187" s="568" t="s">
        <v>842</v>
      </c>
      <c r="Y187" s="239"/>
      <c r="Z187" s="239"/>
      <c r="AA187" s="239">
        <v>3</v>
      </c>
      <c r="AB187" s="239" t="s">
        <v>90</v>
      </c>
      <c r="AC187" s="7"/>
      <c r="AD187" s="7"/>
      <c r="AE187" s="7">
        <v>1</v>
      </c>
      <c r="AF187" s="7">
        <v>2</v>
      </c>
      <c r="AG187" s="7">
        <v>7</v>
      </c>
      <c r="AH187" s="7"/>
      <c r="AI187" s="7">
        <v>40</v>
      </c>
      <c r="AJ187" s="7">
        <v>26</v>
      </c>
      <c r="AK187" s="273"/>
      <c r="AL187" s="273"/>
      <c r="AM187" s="273"/>
      <c r="AN187" s="277" t="s">
        <v>843</v>
      </c>
      <c r="AO187" s="277"/>
      <c r="AP187" s="277"/>
      <c r="AQ187" s="7" t="s">
        <v>844</v>
      </c>
      <c r="AR187" s="283">
        <v>250</v>
      </c>
    </row>
    <row r="188" spans="1:44" ht="15" customHeight="1">
      <c r="A188" s="7">
        <v>1040202</v>
      </c>
      <c r="B188" s="7" t="s">
        <v>836</v>
      </c>
      <c r="C188" s="350" t="s">
        <v>845</v>
      </c>
      <c r="D188" s="7" t="s">
        <v>81</v>
      </c>
      <c r="E188" s="7" t="s">
        <v>765</v>
      </c>
      <c r="F188" s="7">
        <v>1</v>
      </c>
      <c r="G188" s="7">
        <v>4</v>
      </c>
      <c r="H188" s="7" t="s">
        <v>136</v>
      </c>
      <c r="I188" s="7" t="s">
        <v>137</v>
      </c>
      <c r="J188" s="7"/>
      <c r="K188" s="7"/>
      <c r="L188" s="350" t="s">
        <v>846</v>
      </c>
      <c r="M188" s="238"/>
      <c r="N188" s="238"/>
      <c r="O188" s="350"/>
      <c r="P188" s="239"/>
      <c r="Q188" s="239">
        <v>0</v>
      </c>
      <c r="R188" s="239" t="s">
        <v>847</v>
      </c>
      <c r="S188" s="7">
        <v>1040202</v>
      </c>
      <c r="T188" s="262"/>
      <c r="U188" s="263"/>
      <c r="V188" s="239" t="s">
        <v>841</v>
      </c>
      <c r="W188" s="568" t="s">
        <v>848</v>
      </c>
      <c r="X188" s="568" t="s">
        <v>848</v>
      </c>
      <c r="Y188" s="239"/>
      <c r="Z188" s="239"/>
      <c r="AA188" s="239">
        <v>1</v>
      </c>
      <c r="AB188" s="239"/>
      <c r="AC188" s="7"/>
      <c r="AD188" s="7"/>
      <c r="AE188" s="7">
        <v>0</v>
      </c>
      <c r="AF188" s="7">
        <v>0</v>
      </c>
      <c r="AG188" s="7">
        <v>0</v>
      </c>
      <c r="AH188" s="7"/>
      <c r="AI188" s="7">
        <v>0</v>
      </c>
      <c r="AJ188" s="7">
        <v>0</v>
      </c>
      <c r="AK188" s="273"/>
      <c r="AL188" s="273"/>
      <c r="AM188" s="273"/>
      <c r="AN188" s="7"/>
      <c r="AO188" s="277"/>
      <c r="AP188" s="277"/>
      <c r="AQ188" s="7" t="s">
        <v>849</v>
      </c>
      <c r="AR188" s="283"/>
    </row>
    <row r="189" spans="1:44" ht="15" customHeight="1">
      <c r="A189" s="7">
        <v>1040203</v>
      </c>
      <c r="B189" s="7" t="s">
        <v>836</v>
      </c>
      <c r="C189" s="350" t="s">
        <v>850</v>
      </c>
      <c r="D189" s="7" t="s">
        <v>81</v>
      </c>
      <c r="E189" s="7" t="s">
        <v>765</v>
      </c>
      <c r="F189" s="7">
        <v>1</v>
      </c>
      <c r="G189" s="7">
        <v>4</v>
      </c>
      <c r="H189" s="7" t="s">
        <v>82</v>
      </c>
      <c r="I189" s="7" t="s">
        <v>101</v>
      </c>
      <c r="J189" s="7"/>
      <c r="K189" s="7">
        <v>2</v>
      </c>
      <c r="L189" s="350" t="s">
        <v>851</v>
      </c>
      <c r="M189" s="238"/>
      <c r="N189" s="238"/>
      <c r="O189" s="350"/>
      <c r="P189" s="239"/>
      <c r="Q189" s="239">
        <v>0</v>
      </c>
      <c r="R189" s="239" t="s">
        <v>85</v>
      </c>
      <c r="S189" s="7">
        <v>1040203</v>
      </c>
      <c r="T189" s="262" t="s">
        <v>852</v>
      </c>
      <c r="U189" s="263" t="s">
        <v>853</v>
      </c>
      <c r="V189" s="239" t="s">
        <v>841</v>
      </c>
      <c r="W189" s="568" t="s">
        <v>854</v>
      </c>
      <c r="X189" s="568" t="s">
        <v>854</v>
      </c>
      <c r="Y189" s="239"/>
      <c r="Z189" s="239"/>
      <c r="AA189" s="239">
        <v>2</v>
      </c>
      <c r="AB189" s="239" t="s">
        <v>90</v>
      </c>
      <c r="AC189" s="7"/>
      <c r="AD189" s="7"/>
      <c r="AE189" s="7">
        <v>1</v>
      </c>
      <c r="AF189" s="7">
        <v>1</v>
      </c>
      <c r="AG189" s="7">
        <v>6</v>
      </c>
      <c r="AH189" s="7"/>
      <c r="AI189" s="7">
        <v>35</v>
      </c>
      <c r="AJ189" s="7">
        <v>19</v>
      </c>
      <c r="AK189" s="273" t="s">
        <v>855</v>
      </c>
      <c r="AL189" s="273"/>
      <c r="AM189" s="273"/>
      <c r="AN189" s="277" t="s">
        <v>856</v>
      </c>
      <c r="AO189" s="277"/>
      <c r="AP189" s="277"/>
      <c r="AQ189" s="7" t="s">
        <v>857</v>
      </c>
      <c r="AR189" s="283">
        <v>251</v>
      </c>
    </row>
    <row r="190" spans="1:44" ht="15" customHeight="1">
      <c r="A190" s="7">
        <v>1040204</v>
      </c>
      <c r="B190" s="7" t="s">
        <v>836</v>
      </c>
      <c r="C190" s="350" t="s">
        <v>858</v>
      </c>
      <c r="D190" s="7" t="s">
        <v>81</v>
      </c>
      <c r="E190" s="7" t="s">
        <v>765</v>
      </c>
      <c r="F190" s="7">
        <v>2</v>
      </c>
      <c r="G190" s="7">
        <v>4</v>
      </c>
      <c r="H190" s="7" t="s">
        <v>136</v>
      </c>
      <c r="I190" s="7" t="s">
        <v>137</v>
      </c>
      <c r="J190" s="7"/>
      <c r="K190" s="7"/>
      <c r="L190" s="350" t="s">
        <v>859</v>
      </c>
      <c r="M190" s="238"/>
      <c r="N190" s="238"/>
      <c r="O190" s="350"/>
      <c r="P190" s="239"/>
      <c r="Q190" s="239">
        <v>0</v>
      </c>
      <c r="R190" s="239" t="s">
        <v>688</v>
      </c>
      <c r="S190" s="7">
        <v>1040204</v>
      </c>
      <c r="T190" s="262"/>
      <c r="U190" s="263"/>
      <c r="V190" s="239" t="s">
        <v>841</v>
      </c>
      <c r="W190" s="568" t="s">
        <v>860</v>
      </c>
      <c r="X190" s="568" t="s">
        <v>860</v>
      </c>
      <c r="Y190" s="239"/>
      <c r="Z190" s="239"/>
      <c r="AA190" s="239">
        <v>2</v>
      </c>
      <c r="AB190" s="239"/>
      <c r="AC190" s="7"/>
      <c r="AD190" s="7"/>
      <c r="AE190" s="7">
        <v>0</v>
      </c>
      <c r="AF190" s="7">
        <v>0</v>
      </c>
      <c r="AG190" s="7">
        <v>0</v>
      </c>
      <c r="AH190" s="7"/>
      <c r="AI190" s="7">
        <v>0</v>
      </c>
      <c r="AJ190" s="7">
        <v>0</v>
      </c>
      <c r="AK190" s="273"/>
      <c r="AL190" s="273"/>
      <c r="AM190" s="273"/>
      <c r="AN190" s="277" t="s">
        <v>861</v>
      </c>
      <c r="AO190" s="277"/>
      <c r="AP190" s="277"/>
      <c r="AQ190" s="7" t="s">
        <v>862</v>
      </c>
      <c r="AR190" s="283"/>
    </row>
    <row r="191" spans="1:44" ht="15" customHeight="1">
      <c r="A191" s="7">
        <v>1040205</v>
      </c>
      <c r="B191" s="7" t="s">
        <v>836</v>
      </c>
      <c r="C191" s="350" t="s">
        <v>863</v>
      </c>
      <c r="D191" s="7" t="s">
        <v>81</v>
      </c>
      <c r="E191" s="7" t="s">
        <v>765</v>
      </c>
      <c r="F191" s="7">
        <v>1</v>
      </c>
      <c r="G191" s="7">
        <v>4</v>
      </c>
      <c r="H191" s="7" t="s">
        <v>82</v>
      </c>
      <c r="I191" s="7" t="s">
        <v>101</v>
      </c>
      <c r="J191" s="7"/>
      <c r="K191" s="7">
        <v>3</v>
      </c>
      <c r="L191" s="350" t="s">
        <v>864</v>
      </c>
      <c r="M191" s="238"/>
      <c r="N191" s="238"/>
      <c r="O191" s="350"/>
      <c r="P191" s="239"/>
      <c r="Q191" s="239">
        <v>0</v>
      </c>
      <c r="R191" s="239" t="s">
        <v>85</v>
      </c>
      <c r="S191" s="7">
        <v>1040205</v>
      </c>
      <c r="T191" s="262" t="s">
        <v>865</v>
      </c>
      <c r="U191" s="263" t="s">
        <v>866</v>
      </c>
      <c r="V191" s="239" t="s">
        <v>841</v>
      </c>
      <c r="W191" s="568" t="s">
        <v>867</v>
      </c>
      <c r="X191" s="568" t="s">
        <v>867</v>
      </c>
      <c r="Y191" s="239"/>
      <c r="Z191" s="239"/>
      <c r="AA191" s="239">
        <v>3</v>
      </c>
      <c r="AB191" s="239" t="s">
        <v>90</v>
      </c>
      <c r="AC191" s="7"/>
      <c r="AD191" s="7"/>
      <c r="AE191" s="7">
        <v>1</v>
      </c>
      <c r="AF191" s="7">
        <v>1</v>
      </c>
      <c r="AG191" s="7">
        <v>5</v>
      </c>
      <c r="AH191" s="7"/>
      <c r="AI191" s="7">
        <v>32</v>
      </c>
      <c r="AJ191" s="7">
        <v>19</v>
      </c>
      <c r="AK191" s="273" t="s">
        <v>868</v>
      </c>
      <c r="AL191" s="273"/>
      <c r="AM191" s="273"/>
      <c r="AN191" s="277" t="s">
        <v>869</v>
      </c>
      <c r="AO191" s="277"/>
      <c r="AP191" s="277"/>
      <c r="AQ191" s="7" t="s">
        <v>870</v>
      </c>
      <c r="AR191" s="283">
        <v>252</v>
      </c>
    </row>
    <row r="192" spans="1:44" ht="15" customHeight="1">
      <c r="A192" s="7">
        <v>1040206</v>
      </c>
      <c r="B192" s="7" t="s">
        <v>836</v>
      </c>
      <c r="C192" s="350" t="s">
        <v>871</v>
      </c>
      <c r="D192" s="7" t="s">
        <v>81</v>
      </c>
      <c r="E192" s="7" t="s">
        <v>765</v>
      </c>
      <c r="F192" s="7">
        <v>3</v>
      </c>
      <c r="G192" s="7">
        <v>4</v>
      </c>
      <c r="H192" s="7" t="s">
        <v>136</v>
      </c>
      <c r="I192" s="7" t="s">
        <v>137</v>
      </c>
      <c r="J192" s="7"/>
      <c r="K192" s="7"/>
      <c r="L192" s="350" t="s">
        <v>872</v>
      </c>
      <c r="M192" s="238"/>
      <c r="N192" s="238"/>
      <c r="O192" s="350"/>
      <c r="P192" s="239"/>
      <c r="Q192" s="239">
        <v>0</v>
      </c>
      <c r="R192" s="239" t="s">
        <v>153</v>
      </c>
      <c r="S192" s="7">
        <v>1040206</v>
      </c>
      <c r="T192" s="262"/>
      <c r="U192" s="263"/>
      <c r="V192" s="239" t="s">
        <v>841</v>
      </c>
      <c r="W192" s="568" t="s">
        <v>873</v>
      </c>
      <c r="X192" s="568" t="s">
        <v>873</v>
      </c>
      <c r="Y192" s="239"/>
      <c r="Z192" s="239"/>
      <c r="AA192" s="239"/>
      <c r="AB192" s="239"/>
      <c r="AC192" s="7"/>
      <c r="AD192" s="7"/>
      <c r="AE192" s="7">
        <v>0</v>
      </c>
      <c r="AF192" s="7"/>
      <c r="AG192" s="7"/>
      <c r="AH192" s="7"/>
      <c r="AI192" s="7"/>
      <c r="AJ192" s="7"/>
      <c r="AK192" s="273"/>
      <c r="AL192" s="273"/>
      <c r="AM192" s="273"/>
      <c r="AN192" s="7"/>
      <c r="AO192" s="7"/>
      <c r="AP192" s="7"/>
      <c r="AQ192" s="7" t="s">
        <v>874</v>
      </c>
      <c r="AR192" s="283"/>
    </row>
    <row r="193" spans="1:44" ht="15" customHeight="1">
      <c r="A193" s="7">
        <v>1040207</v>
      </c>
      <c r="B193" s="7" t="s">
        <v>836</v>
      </c>
      <c r="C193" s="350" t="s">
        <v>875</v>
      </c>
      <c r="D193" s="7" t="s">
        <v>81</v>
      </c>
      <c r="E193" s="7" t="s">
        <v>765</v>
      </c>
      <c r="F193" s="7">
        <v>4</v>
      </c>
      <c r="G193" s="7">
        <v>4</v>
      </c>
      <c r="H193" s="7" t="s">
        <v>136</v>
      </c>
      <c r="I193" s="7" t="s">
        <v>137</v>
      </c>
      <c r="J193" s="7"/>
      <c r="K193" s="7"/>
      <c r="L193" s="350" t="s">
        <v>876</v>
      </c>
      <c r="M193" s="238"/>
      <c r="N193" s="238"/>
      <c r="O193" s="350"/>
      <c r="P193" s="239"/>
      <c r="Q193" s="239">
        <v>0</v>
      </c>
      <c r="R193" s="239" t="s">
        <v>153</v>
      </c>
      <c r="S193" s="7">
        <v>1040207</v>
      </c>
      <c r="T193" s="262"/>
      <c r="U193" s="263"/>
      <c r="V193" s="239" t="s">
        <v>841</v>
      </c>
      <c r="W193" s="568" t="s">
        <v>877</v>
      </c>
      <c r="X193" s="568" t="s">
        <v>877</v>
      </c>
      <c r="Y193" s="239"/>
      <c r="Z193" s="239"/>
      <c r="AA193" s="239"/>
      <c r="AB193" s="239"/>
      <c r="AC193" s="7"/>
      <c r="AD193" s="7"/>
      <c r="AE193" s="7">
        <v>0</v>
      </c>
      <c r="AF193" s="7"/>
      <c r="AG193" s="7"/>
      <c r="AH193" s="7"/>
      <c r="AI193" s="7"/>
      <c r="AJ193" s="7"/>
      <c r="AK193" s="273"/>
      <c r="AL193" s="392"/>
      <c r="AM193" s="392"/>
      <c r="AN193" s="393"/>
      <c r="AO193" s="7"/>
      <c r="AP193" s="7"/>
      <c r="AQ193" s="7" t="s">
        <v>878</v>
      </c>
      <c r="AR193" s="283"/>
    </row>
    <row r="194" spans="1:44" ht="15" customHeight="1">
      <c r="A194" s="7">
        <v>1040208</v>
      </c>
      <c r="B194" s="7" t="s">
        <v>836</v>
      </c>
      <c r="C194" s="350" t="s">
        <v>879</v>
      </c>
      <c r="D194" s="7" t="s">
        <v>81</v>
      </c>
      <c r="E194" s="7" t="s">
        <v>765</v>
      </c>
      <c r="F194" s="7">
        <v>5</v>
      </c>
      <c r="G194" s="7">
        <v>4</v>
      </c>
      <c r="H194" s="7" t="s">
        <v>136</v>
      </c>
      <c r="I194" s="7" t="s">
        <v>137</v>
      </c>
      <c r="J194" s="7"/>
      <c r="K194" s="7"/>
      <c r="L194" s="350" t="s">
        <v>880</v>
      </c>
      <c r="M194" s="238"/>
      <c r="N194" s="238"/>
      <c r="O194" s="350"/>
      <c r="P194" s="239"/>
      <c r="Q194" s="239">
        <v>0</v>
      </c>
      <c r="R194" s="239" t="s">
        <v>153</v>
      </c>
      <c r="S194" s="7">
        <v>1040208</v>
      </c>
      <c r="T194" s="262"/>
      <c r="U194" s="263"/>
      <c r="V194" s="239" t="s">
        <v>841</v>
      </c>
      <c r="W194" s="568" t="s">
        <v>881</v>
      </c>
      <c r="X194" s="568" t="s">
        <v>881</v>
      </c>
      <c r="Y194" s="239"/>
      <c r="Z194" s="239"/>
      <c r="AA194" s="239"/>
      <c r="AB194" s="239"/>
      <c r="AC194" s="7"/>
      <c r="AD194" s="7"/>
      <c r="AE194" s="7">
        <v>0</v>
      </c>
      <c r="AF194" s="7"/>
      <c r="AG194" s="7"/>
      <c r="AH194" s="7"/>
      <c r="AI194" s="7"/>
      <c r="AJ194" s="7"/>
      <c r="AK194" s="273"/>
      <c r="AL194" s="273"/>
      <c r="AM194" s="273"/>
      <c r="AN194" s="7"/>
      <c r="AO194" s="7"/>
      <c r="AP194" s="7"/>
      <c r="AQ194" s="7" t="s">
        <v>882</v>
      </c>
      <c r="AR194" s="283"/>
    </row>
    <row r="195" spans="1:44" ht="15" customHeight="1">
      <c r="A195" s="7">
        <v>1040209</v>
      </c>
      <c r="B195" s="7" t="s">
        <v>836</v>
      </c>
      <c r="C195" s="350" t="s">
        <v>883</v>
      </c>
      <c r="D195" s="7" t="s">
        <v>81</v>
      </c>
      <c r="E195" s="7" t="s">
        <v>765</v>
      </c>
      <c r="F195" s="7">
        <v>6</v>
      </c>
      <c r="G195" s="7">
        <v>4</v>
      </c>
      <c r="H195" s="7" t="s">
        <v>136</v>
      </c>
      <c r="I195" s="7" t="s">
        <v>137</v>
      </c>
      <c r="J195" s="7"/>
      <c r="K195" s="7"/>
      <c r="L195" s="350" t="s">
        <v>884</v>
      </c>
      <c r="M195" s="238"/>
      <c r="N195" s="238"/>
      <c r="O195" s="350"/>
      <c r="P195" s="239"/>
      <c r="Q195" s="239">
        <v>0</v>
      </c>
      <c r="R195" s="239" t="s">
        <v>153</v>
      </c>
      <c r="S195" s="7">
        <v>1040209</v>
      </c>
      <c r="T195" s="262"/>
      <c r="U195" s="263"/>
      <c r="V195" s="239" t="s">
        <v>841</v>
      </c>
      <c r="W195" s="568" t="s">
        <v>885</v>
      </c>
      <c r="X195" s="568" t="s">
        <v>885</v>
      </c>
      <c r="Y195" s="239"/>
      <c r="Z195" s="239"/>
      <c r="AA195" s="239"/>
      <c r="AB195" s="239"/>
      <c r="AC195" s="7"/>
      <c r="AD195" s="7"/>
      <c r="AE195" s="7">
        <v>0</v>
      </c>
      <c r="AF195" s="7"/>
      <c r="AG195" s="7"/>
      <c r="AH195" s="7"/>
      <c r="AI195" s="7"/>
      <c r="AJ195" s="7"/>
      <c r="AK195" s="273"/>
      <c r="AL195" s="273"/>
      <c r="AM195" s="273"/>
      <c r="AN195" s="7"/>
      <c r="AO195" s="7"/>
      <c r="AP195" s="7"/>
      <c r="AQ195" s="7" t="s">
        <v>886</v>
      </c>
      <c r="AR195" s="283"/>
    </row>
    <row r="196" spans="1:44" ht="15" customHeight="1">
      <c r="A196" s="7">
        <v>1040210</v>
      </c>
      <c r="B196" s="7" t="s">
        <v>836</v>
      </c>
      <c r="C196" s="350" t="s">
        <v>887</v>
      </c>
      <c r="D196" s="7" t="s">
        <v>81</v>
      </c>
      <c r="E196" s="7" t="s">
        <v>765</v>
      </c>
      <c r="F196" s="7">
        <v>7</v>
      </c>
      <c r="G196" s="7">
        <v>4</v>
      </c>
      <c r="H196" s="7" t="s">
        <v>136</v>
      </c>
      <c r="I196" s="7" t="s">
        <v>137</v>
      </c>
      <c r="J196" s="7"/>
      <c r="K196" s="7"/>
      <c r="L196" s="350" t="s">
        <v>888</v>
      </c>
      <c r="M196" s="238"/>
      <c r="N196" s="238"/>
      <c r="O196" s="350"/>
      <c r="P196" s="239"/>
      <c r="Q196" s="239">
        <v>0</v>
      </c>
      <c r="R196" s="239" t="s">
        <v>153</v>
      </c>
      <c r="S196" s="7">
        <v>1040210</v>
      </c>
      <c r="T196" s="262"/>
      <c r="U196" s="263"/>
      <c r="V196" s="239" t="s">
        <v>841</v>
      </c>
      <c r="W196" s="568" t="s">
        <v>889</v>
      </c>
      <c r="X196" s="568" t="s">
        <v>889</v>
      </c>
      <c r="Y196" s="239"/>
      <c r="Z196" s="239"/>
      <c r="AA196" s="239"/>
      <c r="AB196" s="239"/>
      <c r="AC196" s="7"/>
      <c r="AD196" s="7"/>
      <c r="AE196" s="7">
        <v>0</v>
      </c>
      <c r="AF196" s="7"/>
      <c r="AG196" s="7"/>
      <c r="AH196" s="7"/>
      <c r="AI196" s="7"/>
      <c r="AJ196" s="7"/>
      <c r="AK196" s="273" t="s">
        <v>890</v>
      </c>
      <c r="AL196" s="273"/>
      <c r="AM196" s="273"/>
      <c r="AN196" s="7"/>
      <c r="AO196" s="7"/>
      <c r="AP196" s="7"/>
      <c r="AQ196" s="7" t="s">
        <v>891</v>
      </c>
      <c r="AR196" s="283"/>
    </row>
    <row r="197" spans="1:44" ht="15" customHeight="1">
      <c r="A197" s="3">
        <v>1040211</v>
      </c>
      <c r="B197" s="3" t="s">
        <v>836</v>
      </c>
      <c r="C197" s="236" t="s">
        <v>892</v>
      </c>
      <c r="D197" s="3" t="s">
        <v>81</v>
      </c>
      <c r="E197" s="3" t="s">
        <v>765</v>
      </c>
      <c r="F197" s="3">
        <v>8</v>
      </c>
      <c r="G197" s="3">
        <v>4</v>
      </c>
      <c r="H197" s="3" t="s">
        <v>136</v>
      </c>
      <c r="I197" s="3" t="s">
        <v>137</v>
      </c>
      <c r="J197" s="3"/>
      <c r="K197" s="3"/>
      <c r="L197" s="236"/>
      <c r="M197" s="99"/>
      <c r="N197" s="99"/>
      <c r="O197" s="236"/>
      <c r="P197" s="22"/>
      <c r="Q197" s="22">
        <v>0</v>
      </c>
      <c r="R197" s="22" t="s">
        <v>153</v>
      </c>
      <c r="S197" s="3"/>
      <c r="T197" s="260"/>
      <c r="U197" s="261"/>
      <c r="V197" s="22"/>
      <c r="W197" s="567" t="s">
        <v>169</v>
      </c>
      <c r="X197" s="567" t="s">
        <v>6736</v>
      </c>
      <c r="Y197" s="22"/>
      <c r="Z197" s="22"/>
      <c r="AA197" s="22"/>
      <c r="AB197" s="22" t="s">
        <v>114</v>
      </c>
      <c r="AC197" s="3"/>
      <c r="AD197" s="3"/>
      <c r="AE197" s="3">
        <v>0</v>
      </c>
      <c r="AF197" s="3">
        <v>0</v>
      </c>
      <c r="AG197" s="3">
        <v>0</v>
      </c>
      <c r="AH197" s="3"/>
      <c r="AI197" s="3">
        <v>0</v>
      </c>
      <c r="AJ197" s="3">
        <v>0</v>
      </c>
      <c r="AK197" s="3">
        <v>0</v>
      </c>
      <c r="AL197" s="3"/>
      <c r="AM197" s="3"/>
      <c r="AN197" s="3"/>
      <c r="AO197" s="3"/>
      <c r="AP197" s="3"/>
      <c r="AQ197" s="3" t="s">
        <v>870</v>
      </c>
      <c r="AR197" s="281"/>
    </row>
    <row r="198" spans="1:44" ht="15" customHeight="1">
      <c r="A198" s="3">
        <v>1040212</v>
      </c>
      <c r="B198" s="3" t="s">
        <v>836</v>
      </c>
      <c r="C198" s="236" t="s">
        <v>893</v>
      </c>
      <c r="D198" s="3" t="s">
        <v>81</v>
      </c>
      <c r="E198" s="3" t="s">
        <v>765</v>
      </c>
      <c r="F198" s="3">
        <v>9</v>
      </c>
      <c r="G198" s="3">
        <v>4</v>
      </c>
      <c r="H198" s="3" t="s">
        <v>136</v>
      </c>
      <c r="I198" s="3" t="s">
        <v>137</v>
      </c>
      <c r="J198" s="3"/>
      <c r="K198" s="3"/>
      <c r="L198" s="236"/>
      <c r="M198" s="99"/>
      <c r="N198" s="99"/>
      <c r="O198" s="236"/>
      <c r="P198" s="22"/>
      <c r="Q198" s="22">
        <v>0</v>
      </c>
      <c r="R198" s="22" t="s">
        <v>153</v>
      </c>
      <c r="S198" s="3"/>
      <c r="T198" s="260"/>
      <c r="U198" s="261"/>
      <c r="V198" s="22"/>
      <c r="W198" s="567" t="s">
        <v>894</v>
      </c>
      <c r="X198" s="567" t="s">
        <v>6755</v>
      </c>
      <c r="Y198" s="22"/>
      <c r="Z198" s="22"/>
      <c r="AA198" s="22"/>
      <c r="AB198" s="22" t="s">
        <v>114</v>
      </c>
      <c r="AC198" s="3"/>
      <c r="AD198" s="3"/>
      <c r="AE198" s="3">
        <v>0</v>
      </c>
      <c r="AF198" s="3">
        <v>0</v>
      </c>
      <c r="AG198" s="3">
        <v>0</v>
      </c>
      <c r="AH198" s="3"/>
      <c r="AI198" s="3">
        <v>0</v>
      </c>
      <c r="AJ198" s="3">
        <v>0</v>
      </c>
      <c r="AK198" s="3">
        <v>0</v>
      </c>
      <c r="AL198" s="3"/>
      <c r="AM198" s="3"/>
      <c r="AN198" s="3"/>
      <c r="AO198" s="3"/>
      <c r="AP198" s="3"/>
      <c r="AQ198" s="282" t="str">
        <f>"tricks/"&amp;A198</f>
        <v>tricks/1040212</v>
      </c>
    </row>
    <row r="199" spans="1:44" ht="15" customHeight="1">
      <c r="A199" s="3">
        <v>1040213</v>
      </c>
      <c r="B199" s="3" t="s">
        <v>836</v>
      </c>
      <c r="C199" s="236" t="s">
        <v>895</v>
      </c>
      <c r="D199" s="3" t="s">
        <v>81</v>
      </c>
      <c r="E199" s="3" t="s">
        <v>765</v>
      </c>
      <c r="F199" s="3">
        <v>10</v>
      </c>
      <c r="G199" s="3">
        <v>4</v>
      </c>
      <c r="H199" s="3" t="s">
        <v>136</v>
      </c>
      <c r="I199" s="3" t="s">
        <v>137</v>
      </c>
      <c r="J199" s="3"/>
      <c r="K199" s="3"/>
      <c r="L199" s="236"/>
      <c r="M199" s="99"/>
      <c r="N199" s="99"/>
      <c r="O199" s="236"/>
      <c r="P199" s="22"/>
      <c r="Q199" s="22">
        <v>0</v>
      </c>
      <c r="R199" s="22" t="s">
        <v>153</v>
      </c>
      <c r="S199" s="3"/>
      <c r="T199" s="260"/>
      <c r="U199" s="261"/>
      <c r="V199" s="22"/>
      <c r="W199" s="567" t="s">
        <v>896</v>
      </c>
      <c r="X199" s="567" t="s">
        <v>6756</v>
      </c>
      <c r="Y199" s="22"/>
      <c r="Z199" s="22"/>
      <c r="AA199" s="22"/>
      <c r="AB199" s="22" t="s">
        <v>114</v>
      </c>
      <c r="AC199" s="3"/>
      <c r="AD199" s="3"/>
      <c r="AE199" s="3">
        <v>0</v>
      </c>
      <c r="AF199" s="3">
        <v>0</v>
      </c>
      <c r="AG199" s="3">
        <v>0</v>
      </c>
      <c r="AH199" s="3"/>
      <c r="AI199" s="3">
        <v>0</v>
      </c>
      <c r="AJ199" s="3">
        <v>0</v>
      </c>
      <c r="AK199" s="3">
        <v>0</v>
      </c>
      <c r="AL199" s="3"/>
      <c r="AM199" s="3"/>
      <c r="AN199" s="3"/>
      <c r="AO199" s="3"/>
      <c r="AP199" s="3"/>
      <c r="AQ199" s="282" t="str">
        <f>"tricks/"&amp;A199</f>
        <v>tricks/1040213</v>
      </c>
    </row>
    <row r="200" spans="1:44" ht="15" customHeight="1">
      <c r="A200" s="6">
        <v>1040301</v>
      </c>
      <c r="B200" s="6" t="s">
        <v>897</v>
      </c>
      <c r="C200" s="234" t="s">
        <v>898</v>
      </c>
      <c r="D200" s="6" t="s">
        <v>81</v>
      </c>
      <c r="E200" s="6" t="s">
        <v>765</v>
      </c>
      <c r="F200" s="6">
        <v>1</v>
      </c>
      <c r="G200" s="6">
        <v>4</v>
      </c>
      <c r="H200" s="6" t="s">
        <v>82</v>
      </c>
      <c r="I200" s="6" t="s">
        <v>101</v>
      </c>
      <c r="J200" s="6"/>
      <c r="K200" s="6">
        <v>1</v>
      </c>
      <c r="L200" s="234" t="s">
        <v>899</v>
      </c>
      <c r="M200" s="235"/>
      <c r="N200" s="235"/>
      <c r="O200" s="234"/>
      <c r="P200" s="40"/>
      <c r="Q200" s="40">
        <v>0</v>
      </c>
      <c r="R200" s="40" t="s">
        <v>85</v>
      </c>
      <c r="S200" s="6">
        <v>1040301</v>
      </c>
      <c r="T200" s="258" t="s">
        <v>900</v>
      </c>
      <c r="U200" s="259" t="s">
        <v>901</v>
      </c>
      <c r="V200" s="40" t="s">
        <v>902</v>
      </c>
      <c r="W200" s="566" t="s">
        <v>903</v>
      </c>
      <c r="X200" s="566" t="s">
        <v>903</v>
      </c>
      <c r="Y200" s="40"/>
      <c r="Z200" s="40"/>
      <c r="AA200" s="40"/>
      <c r="AB200" s="40" t="s">
        <v>90</v>
      </c>
      <c r="AC200" s="6"/>
      <c r="AD200" s="6"/>
      <c r="AE200" s="6">
        <v>1</v>
      </c>
      <c r="AF200" s="6">
        <v>2</v>
      </c>
      <c r="AG200" s="6">
        <v>8</v>
      </c>
      <c r="AH200" s="6"/>
      <c r="AI200" s="6">
        <v>40</v>
      </c>
      <c r="AJ200" s="6">
        <v>26</v>
      </c>
      <c r="AK200" s="272"/>
      <c r="AL200" s="272"/>
      <c r="AM200" s="272"/>
      <c r="AN200" s="394" t="s">
        <v>904</v>
      </c>
      <c r="AO200" s="6"/>
      <c r="AP200" s="6"/>
      <c r="AQ200" s="6" t="s">
        <v>905</v>
      </c>
      <c r="AR200" s="280">
        <v>256</v>
      </c>
    </row>
    <row r="201" spans="1:44" ht="15" customHeight="1">
      <c r="A201" s="6">
        <v>1040302</v>
      </c>
      <c r="B201" s="6" t="s">
        <v>897</v>
      </c>
      <c r="C201" s="234" t="s">
        <v>906</v>
      </c>
      <c r="D201" s="6" t="s">
        <v>81</v>
      </c>
      <c r="E201" s="6" t="s">
        <v>765</v>
      </c>
      <c r="F201" s="6">
        <v>1</v>
      </c>
      <c r="G201" s="6">
        <v>4</v>
      </c>
      <c r="H201" s="6" t="s">
        <v>136</v>
      </c>
      <c r="I201" s="6" t="s">
        <v>137</v>
      </c>
      <c r="J201" s="6"/>
      <c r="K201" s="6"/>
      <c r="L201" s="234" t="s">
        <v>907</v>
      </c>
      <c r="M201" s="235"/>
      <c r="N201" s="235"/>
      <c r="O201" s="234"/>
      <c r="P201" s="40"/>
      <c r="Q201" s="40">
        <v>0</v>
      </c>
      <c r="R201" s="40" t="s">
        <v>153</v>
      </c>
      <c r="S201" s="6">
        <v>1040302</v>
      </c>
      <c r="T201" s="258"/>
      <c r="U201" s="259"/>
      <c r="V201" s="40" t="s">
        <v>902</v>
      </c>
      <c r="W201" s="566" t="s">
        <v>908</v>
      </c>
      <c r="X201" s="566" t="s">
        <v>908</v>
      </c>
      <c r="Y201" s="40"/>
      <c r="Z201" s="40"/>
      <c r="AA201" s="40"/>
      <c r="AB201" s="40"/>
      <c r="AC201" s="6"/>
      <c r="AD201" s="6"/>
      <c r="AE201" s="6">
        <v>0</v>
      </c>
      <c r="AF201" s="6"/>
      <c r="AG201" s="6"/>
      <c r="AH201" s="6"/>
      <c r="AI201" s="6"/>
      <c r="AJ201" s="6"/>
      <c r="AK201" s="272"/>
      <c r="AL201" s="272"/>
      <c r="AM201" s="272"/>
      <c r="AN201" s="6"/>
      <c r="AO201" s="6"/>
      <c r="AP201" s="6"/>
      <c r="AQ201" s="6" t="s">
        <v>909</v>
      </c>
      <c r="AR201" s="280"/>
    </row>
    <row r="202" spans="1:44" ht="15" customHeight="1">
      <c r="A202" s="6">
        <v>1040303</v>
      </c>
      <c r="B202" s="6" t="s">
        <v>897</v>
      </c>
      <c r="C202" s="234" t="s">
        <v>910</v>
      </c>
      <c r="D202" s="6" t="s">
        <v>81</v>
      </c>
      <c r="E202" s="6" t="s">
        <v>765</v>
      </c>
      <c r="F202" s="6">
        <v>1</v>
      </c>
      <c r="G202" s="6">
        <v>4</v>
      </c>
      <c r="H202" s="6" t="s">
        <v>82</v>
      </c>
      <c r="I202" s="6" t="s">
        <v>101</v>
      </c>
      <c r="J202" s="6"/>
      <c r="K202" s="6">
        <v>2</v>
      </c>
      <c r="L202" s="234" t="s">
        <v>911</v>
      </c>
      <c r="M202" s="235"/>
      <c r="N202" s="235"/>
      <c r="O202" s="234"/>
      <c r="P202" s="40"/>
      <c r="Q202" s="40">
        <v>0</v>
      </c>
      <c r="R202" s="40" t="s">
        <v>85</v>
      </c>
      <c r="S202" s="6">
        <v>1040303</v>
      </c>
      <c r="T202" s="258" t="s">
        <v>912</v>
      </c>
      <c r="U202" s="259" t="s">
        <v>913</v>
      </c>
      <c r="V202" s="40" t="s">
        <v>902</v>
      </c>
      <c r="W202" s="566" t="s">
        <v>914</v>
      </c>
      <c r="X202" s="566" t="s">
        <v>914</v>
      </c>
      <c r="Y202" s="40"/>
      <c r="Z202" s="40"/>
      <c r="AA202" s="40"/>
      <c r="AB202" s="40" t="s">
        <v>90</v>
      </c>
      <c r="AC202" s="6"/>
      <c r="AD202" s="6"/>
      <c r="AE202" s="6">
        <v>1</v>
      </c>
      <c r="AF202" s="6">
        <v>1</v>
      </c>
      <c r="AG202" s="6">
        <v>5</v>
      </c>
      <c r="AH202" s="6"/>
      <c r="AI202" s="6">
        <v>35</v>
      </c>
      <c r="AJ202" s="6">
        <v>19</v>
      </c>
      <c r="AK202" s="272"/>
      <c r="AL202" s="272"/>
      <c r="AM202" s="272"/>
      <c r="AN202" s="6" t="s">
        <v>915</v>
      </c>
      <c r="AO202" s="6"/>
      <c r="AP202" s="6"/>
      <c r="AQ202" s="6" t="s">
        <v>916</v>
      </c>
      <c r="AR202" s="280">
        <v>257</v>
      </c>
    </row>
    <row r="203" spans="1:44" ht="15" customHeight="1">
      <c r="A203" s="6">
        <v>1040304</v>
      </c>
      <c r="B203" s="6" t="s">
        <v>897</v>
      </c>
      <c r="C203" s="234" t="s">
        <v>917</v>
      </c>
      <c r="D203" s="6" t="s">
        <v>81</v>
      </c>
      <c r="E203" s="6" t="s">
        <v>765</v>
      </c>
      <c r="F203" s="6">
        <v>2</v>
      </c>
      <c r="G203" s="6">
        <v>4</v>
      </c>
      <c r="H203" s="6" t="s">
        <v>136</v>
      </c>
      <c r="I203" s="6" t="s">
        <v>137</v>
      </c>
      <c r="J203" s="6"/>
      <c r="K203" s="6"/>
      <c r="L203" s="234" t="s">
        <v>918</v>
      </c>
      <c r="M203" s="235"/>
      <c r="N203" s="235"/>
      <c r="O203" s="234"/>
      <c r="P203" s="40"/>
      <c r="Q203" s="40">
        <v>0</v>
      </c>
      <c r="R203" s="40" t="s">
        <v>153</v>
      </c>
      <c r="S203" s="6">
        <v>1040304</v>
      </c>
      <c r="T203" s="258"/>
      <c r="U203" s="259"/>
      <c r="V203" s="40" t="s">
        <v>902</v>
      </c>
      <c r="W203" s="566" t="s">
        <v>919</v>
      </c>
      <c r="X203" s="566" t="s">
        <v>919</v>
      </c>
      <c r="Y203" s="40"/>
      <c r="Z203" s="40"/>
      <c r="AA203" s="40"/>
      <c r="AB203" s="40"/>
      <c r="AC203" s="6"/>
      <c r="AD203" s="6"/>
      <c r="AE203" s="6">
        <v>0</v>
      </c>
      <c r="AF203" s="6"/>
      <c r="AG203" s="6"/>
      <c r="AH203" s="6"/>
      <c r="AI203" s="6"/>
      <c r="AJ203" s="6"/>
      <c r="AK203" s="272"/>
      <c r="AL203" s="272"/>
      <c r="AM203" s="272"/>
      <c r="AN203" s="272"/>
      <c r="AO203" s="6"/>
      <c r="AP203" s="6"/>
      <c r="AQ203" s="6" t="s">
        <v>920</v>
      </c>
      <c r="AR203" s="280"/>
    </row>
    <row r="204" spans="1:44" ht="15" customHeight="1">
      <c r="A204" s="6">
        <v>1040305</v>
      </c>
      <c r="B204" s="6" t="s">
        <v>897</v>
      </c>
      <c r="C204" s="234" t="s">
        <v>921</v>
      </c>
      <c r="D204" s="6" t="s">
        <v>81</v>
      </c>
      <c r="E204" s="6" t="s">
        <v>765</v>
      </c>
      <c r="F204" s="6">
        <v>1</v>
      </c>
      <c r="G204" s="6">
        <v>4</v>
      </c>
      <c r="H204" s="6" t="s">
        <v>82</v>
      </c>
      <c r="I204" s="6" t="s">
        <v>101</v>
      </c>
      <c r="J204" s="6"/>
      <c r="K204" s="6">
        <v>3</v>
      </c>
      <c r="L204" s="234" t="s">
        <v>922</v>
      </c>
      <c r="M204" s="235"/>
      <c r="N204" s="235"/>
      <c r="O204" s="234"/>
      <c r="P204" s="40"/>
      <c r="Q204" s="40">
        <v>0</v>
      </c>
      <c r="R204" s="40" t="s">
        <v>85</v>
      </c>
      <c r="S204" s="6">
        <v>1040305</v>
      </c>
      <c r="T204" s="258" t="s">
        <v>923</v>
      </c>
      <c r="U204" s="259" t="s">
        <v>924</v>
      </c>
      <c r="V204" s="40" t="s">
        <v>902</v>
      </c>
      <c r="W204" s="566" t="s">
        <v>925</v>
      </c>
      <c r="X204" s="566" t="s">
        <v>925</v>
      </c>
      <c r="Y204" s="40"/>
      <c r="Z204" s="40"/>
      <c r="AA204" s="40"/>
      <c r="AB204" s="40" t="s">
        <v>90</v>
      </c>
      <c r="AC204" s="6"/>
      <c r="AD204" s="6"/>
      <c r="AE204" s="6">
        <v>1</v>
      </c>
      <c r="AF204" s="6">
        <v>1</v>
      </c>
      <c r="AG204" s="6">
        <v>6</v>
      </c>
      <c r="AH204" s="6"/>
      <c r="AI204" s="6">
        <v>40</v>
      </c>
      <c r="AJ204" s="6">
        <v>26</v>
      </c>
      <c r="AK204" s="272"/>
      <c r="AL204" s="272"/>
      <c r="AM204" s="272"/>
      <c r="AN204" s="6" t="s">
        <v>926</v>
      </c>
      <c r="AO204" s="6"/>
      <c r="AP204" s="6"/>
      <c r="AQ204" s="6" t="s">
        <v>927</v>
      </c>
      <c r="AR204" s="280">
        <v>258</v>
      </c>
    </row>
    <row r="205" spans="1:44" ht="15" customHeight="1">
      <c r="A205" s="6">
        <v>1040306</v>
      </c>
      <c r="B205" s="6" t="s">
        <v>897</v>
      </c>
      <c r="C205" s="234" t="s">
        <v>928</v>
      </c>
      <c r="D205" s="6" t="s">
        <v>81</v>
      </c>
      <c r="E205" s="6" t="s">
        <v>765</v>
      </c>
      <c r="F205" s="6">
        <v>3</v>
      </c>
      <c r="G205" s="6">
        <v>4</v>
      </c>
      <c r="H205" s="6" t="s">
        <v>136</v>
      </c>
      <c r="I205" s="6" t="s">
        <v>137</v>
      </c>
      <c r="J205" s="6"/>
      <c r="K205" s="6"/>
      <c r="L205" s="234" t="s">
        <v>929</v>
      </c>
      <c r="M205" s="235"/>
      <c r="N205" s="235"/>
      <c r="O205" s="234"/>
      <c r="P205" s="40"/>
      <c r="Q205" s="40">
        <v>0</v>
      </c>
      <c r="R205" s="40" t="s">
        <v>153</v>
      </c>
      <c r="S205" s="6">
        <v>1040306</v>
      </c>
      <c r="T205" s="258"/>
      <c r="U205" s="259"/>
      <c r="V205" s="40" t="s">
        <v>902</v>
      </c>
      <c r="W205" s="566" t="s">
        <v>930</v>
      </c>
      <c r="X205" s="566" t="s">
        <v>930</v>
      </c>
      <c r="Y205" s="40"/>
      <c r="Z205" s="40"/>
      <c r="AA205" s="40"/>
      <c r="AB205" s="40"/>
      <c r="AC205" s="6"/>
      <c r="AD205" s="6"/>
      <c r="AE205" s="6">
        <v>0</v>
      </c>
      <c r="AF205" s="6"/>
      <c r="AG205" s="6"/>
      <c r="AH205" s="6"/>
      <c r="AI205" s="6"/>
      <c r="AJ205" s="6"/>
      <c r="AK205" s="272"/>
      <c r="AL205" s="272"/>
      <c r="AM205" s="272"/>
      <c r="AN205" s="6"/>
      <c r="AO205" s="6"/>
      <c r="AP205" s="6"/>
      <c r="AQ205" s="6" t="s">
        <v>931</v>
      </c>
      <c r="AR205" s="280"/>
    </row>
    <row r="206" spans="1:44" ht="15" customHeight="1">
      <c r="A206" s="6">
        <v>1040307</v>
      </c>
      <c r="B206" s="6" t="s">
        <v>897</v>
      </c>
      <c r="C206" s="234" t="s">
        <v>932</v>
      </c>
      <c r="D206" s="6" t="s">
        <v>81</v>
      </c>
      <c r="E206" s="6" t="s">
        <v>765</v>
      </c>
      <c r="F206" s="6">
        <v>4</v>
      </c>
      <c r="G206" s="6">
        <v>4</v>
      </c>
      <c r="H206" s="6" t="s">
        <v>136</v>
      </c>
      <c r="I206" s="6" t="s">
        <v>137</v>
      </c>
      <c r="J206" s="6"/>
      <c r="K206" s="6"/>
      <c r="L206" s="234" t="s">
        <v>933</v>
      </c>
      <c r="M206" s="235"/>
      <c r="N206" s="235"/>
      <c r="O206" s="234"/>
      <c r="P206" s="40"/>
      <c r="Q206" s="40">
        <v>0</v>
      </c>
      <c r="R206" s="40" t="s">
        <v>153</v>
      </c>
      <c r="S206" s="6">
        <v>1040307</v>
      </c>
      <c r="T206" s="258"/>
      <c r="U206" s="259"/>
      <c r="V206" s="40" t="s">
        <v>902</v>
      </c>
      <c r="W206" s="566" t="s">
        <v>934</v>
      </c>
      <c r="X206" s="566" t="s">
        <v>934</v>
      </c>
      <c r="Y206" s="40"/>
      <c r="Z206" s="40"/>
      <c r="AA206" s="40"/>
      <c r="AB206" s="40"/>
      <c r="AC206" s="6"/>
      <c r="AD206" s="6"/>
      <c r="AE206" s="6">
        <v>0</v>
      </c>
      <c r="AF206" s="6"/>
      <c r="AG206" s="6"/>
      <c r="AH206" s="6"/>
      <c r="AI206" s="6"/>
      <c r="AJ206" s="6"/>
      <c r="AK206" s="272"/>
      <c r="AL206" s="272"/>
      <c r="AM206" s="272"/>
      <c r="AN206" s="6"/>
      <c r="AO206" s="6"/>
      <c r="AP206" s="6"/>
      <c r="AQ206" s="6" t="s">
        <v>935</v>
      </c>
      <c r="AR206" s="280"/>
    </row>
    <row r="207" spans="1:44" ht="15" customHeight="1">
      <c r="A207" s="6">
        <v>1040308</v>
      </c>
      <c r="B207" s="6" t="s">
        <v>897</v>
      </c>
      <c r="C207" s="234" t="s">
        <v>936</v>
      </c>
      <c r="D207" s="6" t="s">
        <v>81</v>
      </c>
      <c r="E207" s="6" t="s">
        <v>765</v>
      </c>
      <c r="F207" s="6">
        <v>5</v>
      </c>
      <c r="G207" s="6">
        <v>4</v>
      </c>
      <c r="H207" s="6" t="s">
        <v>136</v>
      </c>
      <c r="I207" s="6" t="s">
        <v>137</v>
      </c>
      <c r="J207" s="6"/>
      <c r="K207" s="6"/>
      <c r="L207" s="234" t="s">
        <v>937</v>
      </c>
      <c r="M207" s="235"/>
      <c r="N207" s="235"/>
      <c r="O207" s="234"/>
      <c r="P207" s="40"/>
      <c r="Q207" s="40">
        <v>0</v>
      </c>
      <c r="R207" s="40" t="s">
        <v>153</v>
      </c>
      <c r="S207" s="6">
        <v>1040308</v>
      </c>
      <c r="T207" s="258"/>
      <c r="U207" s="259"/>
      <c r="V207" s="40" t="s">
        <v>902</v>
      </c>
      <c r="W207" s="566" t="s">
        <v>938</v>
      </c>
      <c r="X207" s="566" t="s">
        <v>938</v>
      </c>
      <c r="Y207" s="40"/>
      <c r="Z207" s="40"/>
      <c r="AA207" s="40"/>
      <c r="AB207" s="40"/>
      <c r="AC207" s="6"/>
      <c r="AD207" s="6"/>
      <c r="AE207" s="6">
        <v>0</v>
      </c>
      <c r="AF207" s="6"/>
      <c r="AG207" s="6"/>
      <c r="AH207" s="6"/>
      <c r="AI207" s="6"/>
      <c r="AJ207" s="6"/>
      <c r="AK207" s="272"/>
      <c r="AL207" s="272"/>
      <c r="AM207" s="272"/>
      <c r="AN207" s="6"/>
      <c r="AO207" s="6"/>
      <c r="AP207" s="6"/>
      <c r="AQ207" s="6" t="s">
        <v>939</v>
      </c>
      <c r="AR207" s="280"/>
    </row>
    <row r="208" spans="1:44" ht="15" customHeight="1">
      <c r="A208" s="6">
        <v>1040309</v>
      </c>
      <c r="B208" s="6" t="s">
        <v>897</v>
      </c>
      <c r="C208" s="234" t="s">
        <v>940</v>
      </c>
      <c r="D208" s="6" t="s">
        <v>81</v>
      </c>
      <c r="E208" s="6" t="s">
        <v>765</v>
      </c>
      <c r="F208" s="6">
        <v>6</v>
      </c>
      <c r="G208" s="6">
        <v>4</v>
      </c>
      <c r="H208" s="6" t="s">
        <v>136</v>
      </c>
      <c r="I208" s="6" t="s">
        <v>137</v>
      </c>
      <c r="J208" s="6"/>
      <c r="K208" s="6"/>
      <c r="L208" s="234" t="s">
        <v>941</v>
      </c>
      <c r="M208" s="235"/>
      <c r="N208" s="235"/>
      <c r="O208" s="234"/>
      <c r="P208" s="40"/>
      <c r="Q208" s="40">
        <v>0</v>
      </c>
      <c r="R208" s="40" t="s">
        <v>153</v>
      </c>
      <c r="S208" s="6">
        <v>1040309</v>
      </c>
      <c r="T208" s="258"/>
      <c r="U208" s="259"/>
      <c r="V208" s="40" t="s">
        <v>902</v>
      </c>
      <c r="W208" s="566" t="s">
        <v>942</v>
      </c>
      <c r="X208" s="566" t="s">
        <v>942</v>
      </c>
      <c r="Y208" s="40"/>
      <c r="Z208" s="40"/>
      <c r="AA208" s="40"/>
      <c r="AB208" s="40"/>
      <c r="AC208" s="6"/>
      <c r="AD208" s="6"/>
      <c r="AE208" s="6">
        <v>0</v>
      </c>
      <c r="AF208" s="6"/>
      <c r="AG208" s="6"/>
      <c r="AH208" s="6"/>
      <c r="AI208" s="6"/>
      <c r="AJ208" s="6"/>
      <c r="AK208" s="272"/>
      <c r="AL208" s="272"/>
      <c r="AM208" s="272"/>
      <c r="AN208" s="6"/>
      <c r="AO208" s="6"/>
      <c r="AP208" s="6"/>
      <c r="AQ208" s="6" t="s">
        <v>943</v>
      </c>
      <c r="AR208" s="280"/>
    </row>
    <row r="209" spans="1:44" ht="15" customHeight="1">
      <c r="A209" s="6">
        <v>1040310</v>
      </c>
      <c r="B209" s="6" t="s">
        <v>897</v>
      </c>
      <c r="C209" s="234" t="s">
        <v>944</v>
      </c>
      <c r="D209" s="6" t="s">
        <v>81</v>
      </c>
      <c r="E209" s="6" t="s">
        <v>765</v>
      </c>
      <c r="F209" s="6">
        <v>7</v>
      </c>
      <c r="G209" s="6">
        <v>4</v>
      </c>
      <c r="H209" s="6" t="s">
        <v>136</v>
      </c>
      <c r="I209" s="6" t="s">
        <v>137</v>
      </c>
      <c r="J209" s="6"/>
      <c r="K209" s="6"/>
      <c r="L209" s="234" t="s">
        <v>945</v>
      </c>
      <c r="M209" s="235"/>
      <c r="N209" s="235"/>
      <c r="O209" s="234"/>
      <c r="P209" s="40"/>
      <c r="Q209" s="40">
        <v>0</v>
      </c>
      <c r="R209" s="40" t="s">
        <v>153</v>
      </c>
      <c r="S209" s="6">
        <v>1040310</v>
      </c>
      <c r="T209" s="258"/>
      <c r="U209" s="259"/>
      <c r="V209" s="40" t="s">
        <v>902</v>
      </c>
      <c r="W209" s="566" t="s">
        <v>946</v>
      </c>
      <c r="X209" s="566" t="s">
        <v>946</v>
      </c>
      <c r="Y209" s="40"/>
      <c r="Z209" s="40"/>
      <c r="AA209" s="40"/>
      <c r="AB209" s="40"/>
      <c r="AC209" s="6"/>
      <c r="AD209" s="6"/>
      <c r="AE209" s="6">
        <v>0</v>
      </c>
      <c r="AF209" s="6"/>
      <c r="AG209" s="6"/>
      <c r="AH209" s="6"/>
      <c r="AI209" s="6"/>
      <c r="AJ209" s="6"/>
      <c r="AK209" s="272"/>
      <c r="AL209" s="272"/>
      <c r="AM209" s="272"/>
      <c r="AN209" s="6"/>
      <c r="AO209" s="6"/>
      <c r="AP209" s="6"/>
      <c r="AQ209" s="6" t="s">
        <v>947</v>
      </c>
      <c r="AR209" s="280"/>
    </row>
    <row r="210" spans="1:44" ht="15" customHeight="1">
      <c r="A210" s="3">
        <v>1040311</v>
      </c>
      <c r="B210" s="3" t="s">
        <v>897</v>
      </c>
      <c r="C210" s="236" t="s">
        <v>948</v>
      </c>
      <c r="D210" s="3" t="s">
        <v>81</v>
      </c>
      <c r="E210" s="3" t="s">
        <v>765</v>
      </c>
      <c r="F210" s="3">
        <v>8</v>
      </c>
      <c r="G210" s="3">
        <v>4</v>
      </c>
      <c r="H210" s="3" t="s">
        <v>136</v>
      </c>
      <c r="I210" s="3" t="s">
        <v>137</v>
      </c>
      <c r="J210" s="3"/>
      <c r="K210" s="3"/>
      <c r="L210" s="236"/>
      <c r="M210" s="99"/>
      <c r="N210" s="99"/>
      <c r="O210" s="236"/>
      <c r="P210" s="22"/>
      <c r="Q210" s="22">
        <v>0</v>
      </c>
      <c r="R210" s="22" t="s">
        <v>153</v>
      </c>
      <c r="S210" s="3"/>
      <c r="T210" s="260"/>
      <c r="U210" s="261"/>
      <c r="V210" s="22"/>
      <c r="W210" s="567" t="s">
        <v>949</v>
      </c>
      <c r="X210" s="567" t="s">
        <v>6753</v>
      </c>
      <c r="Y210" s="22"/>
      <c r="Z210" s="22"/>
      <c r="AA210" s="22"/>
      <c r="AB210" s="22" t="s">
        <v>114</v>
      </c>
      <c r="AC210" s="3"/>
      <c r="AD210" s="3"/>
      <c r="AE210" s="3">
        <v>0</v>
      </c>
      <c r="AF210" s="3">
        <v>0</v>
      </c>
      <c r="AG210" s="3">
        <v>0</v>
      </c>
      <c r="AH210" s="3"/>
      <c r="AI210" s="3">
        <v>0</v>
      </c>
      <c r="AJ210" s="3">
        <v>0</v>
      </c>
      <c r="AK210" s="3">
        <v>0</v>
      </c>
      <c r="AL210" s="3"/>
      <c r="AM210" s="3"/>
      <c r="AN210" s="3"/>
      <c r="AO210" s="3"/>
      <c r="AP210" s="3"/>
      <c r="AQ210" s="3" t="s">
        <v>927</v>
      </c>
      <c r="AR210" s="281"/>
    </row>
    <row r="211" spans="1:44" ht="15" customHeight="1">
      <c r="A211" s="3">
        <v>1040312</v>
      </c>
      <c r="B211" s="3" t="s">
        <v>897</v>
      </c>
      <c r="C211" s="236" t="s">
        <v>950</v>
      </c>
      <c r="D211" s="3" t="s">
        <v>81</v>
      </c>
      <c r="E211" s="3" t="s">
        <v>765</v>
      </c>
      <c r="F211" s="3">
        <v>9</v>
      </c>
      <c r="G211" s="3">
        <v>4</v>
      </c>
      <c r="H211" s="3" t="s">
        <v>136</v>
      </c>
      <c r="I211" s="3" t="s">
        <v>137</v>
      </c>
      <c r="J211" s="3"/>
      <c r="K211" s="3"/>
      <c r="L211" s="236"/>
      <c r="M211" s="99"/>
      <c r="N211" s="99"/>
      <c r="O211" s="236"/>
      <c r="P211" s="22"/>
      <c r="Q211" s="22">
        <v>0</v>
      </c>
      <c r="R211" s="22" t="s">
        <v>153</v>
      </c>
      <c r="S211" s="3"/>
      <c r="T211" s="260"/>
      <c r="U211" s="261"/>
      <c r="V211" s="22"/>
      <c r="W211" s="567" t="s">
        <v>951</v>
      </c>
      <c r="X211" s="567" t="s">
        <v>6754</v>
      </c>
      <c r="Y211" s="22"/>
      <c r="Z211" s="22"/>
      <c r="AA211" s="22"/>
      <c r="AB211" s="22" t="s">
        <v>114</v>
      </c>
      <c r="AC211" s="3"/>
      <c r="AD211" s="3"/>
      <c r="AE211" s="3">
        <v>0</v>
      </c>
      <c r="AF211" s="3">
        <v>0</v>
      </c>
      <c r="AG211" s="3">
        <v>0</v>
      </c>
      <c r="AH211" s="3"/>
      <c r="AI211" s="3">
        <v>0</v>
      </c>
      <c r="AJ211" s="3">
        <v>0</v>
      </c>
      <c r="AK211" s="3">
        <v>0</v>
      </c>
      <c r="AL211" s="3"/>
      <c r="AM211" s="3"/>
      <c r="AN211" s="3"/>
      <c r="AO211" s="3"/>
      <c r="AP211" s="3"/>
      <c r="AQ211" s="282" t="str">
        <f>"tricks/"&amp;A211</f>
        <v>tricks/1040312</v>
      </c>
    </row>
    <row r="212" spans="1:44" ht="15" customHeight="1">
      <c r="A212" s="3">
        <v>1040313</v>
      </c>
      <c r="B212" s="3" t="s">
        <v>897</v>
      </c>
      <c r="C212" s="236" t="s">
        <v>952</v>
      </c>
      <c r="D212" s="3" t="s">
        <v>81</v>
      </c>
      <c r="E212" s="3" t="s">
        <v>765</v>
      </c>
      <c r="F212" s="3">
        <v>10</v>
      </c>
      <c r="G212" s="3">
        <v>4</v>
      </c>
      <c r="H212" s="3" t="s">
        <v>136</v>
      </c>
      <c r="I212" s="3" t="s">
        <v>137</v>
      </c>
      <c r="J212" s="3"/>
      <c r="K212" s="3"/>
      <c r="L212" s="236"/>
      <c r="M212" s="99"/>
      <c r="N212" s="99"/>
      <c r="O212" s="236"/>
      <c r="P212" s="22"/>
      <c r="Q212" s="22">
        <v>0</v>
      </c>
      <c r="R212" s="22" t="s">
        <v>153</v>
      </c>
      <c r="S212" s="3"/>
      <c r="T212" s="260"/>
      <c r="U212" s="261"/>
      <c r="V212" s="22"/>
      <c r="W212" s="567" t="s">
        <v>953</v>
      </c>
      <c r="X212" s="567" t="s">
        <v>953</v>
      </c>
      <c r="Y212" s="22"/>
      <c r="Z212" s="22"/>
      <c r="AA212" s="22"/>
      <c r="AB212" s="22" t="s">
        <v>114</v>
      </c>
      <c r="AC212" s="3"/>
      <c r="AD212" s="3"/>
      <c r="AE212" s="3">
        <v>0</v>
      </c>
      <c r="AF212" s="3">
        <v>0</v>
      </c>
      <c r="AG212" s="3">
        <v>0</v>
      </c>
      <c r="AH212" s="3"/>
      <c r="AI212" s="3">
        <v>0</v>
      </c>
      <c r="AJ212" s="3">
        <v>0</v>
      </c>
      <c r="AK212" s="3">
        <v>0</v>
      </c>
      <c r="AL212" s="3"/>
      <c r="AM212" s="3"/>
      <c r="AN212" s="3"/>
      <c r="AO212" s="3"/>
      <c r="AP212" s="3"/>
      <c r="AQ212" s="282" t="str">
        <f>"tricks/"&amp;A212</f>
        <v>tricks/1040313</v>
      </c>
    </row>
    <row r="213" spans="1:44" ht="15" customHeight="1">
      <c r="A213" s="7">
        <v>1040401</v>
      </c>
      <c r="B213" s="7" t="s">
        <v>954</v>
      </c>
      <c r="C213" s="350" t="s">
        <v>955</v>
      </c>
      <c r="D213" s="7" t="s">
        <v>81</v>
      </c>
      <c r="E213" s="7" t="s">
        <v>765</v>
      </c>
      <c r="F213" s="7">
        <v>1</v>
      </c>
      <c r="G213" s="7">
        <v>4</v>
      </c>
      <c r="H213" s="7" t="s">
        <v>82</v>
      </c>
      <c r="I213" s="7" t="s">
        <v>101</v>
      </c>
      <c r="J213" s="7"/>
      <c r="K213" s="7">
        <v>1</v>
      </c>
      <c r="L213" s="350"/>
      <c r="M213" s="238"/>
      <c r="N213" s="238"/>
      <c r="O213" s="350"/>
      <c r="P213" s="239"/>
      <c r="Q213" s="239">
        <v>0</v>
      </c>
      <c r="R213" s="239" t="s">
        <v>85</v>
      </c>
      <c r="S213" s="7">
        <v>1040201</v>
      </c>
      <c r="T213" s="262" t="s">
        <v>956</v>
      </c>
      <c r="U213" s="263" t="s">
        <v>957</v>
      </c>
      <c r="V213" s="239" t="s">
        <v>841</v>
      </c>
      <c r="W213" s="568" t="s">
        <v>958</v>
      </c>
      <c r="X213" s="568" t="s">
        <v>958</v>
      </c>
      <c r="Y213" s="239"/>
      <c r="Z213" s="239"/>
      <c r="AA213" s="239">
        <v>3</v>
      </c>
      <c r="AB213" s="239" t="s">
        <v>90</v>
      </c>
      <c r="AC213" s="7"/>
      <c r="AD213" s="7"/>
      <c r="AE213" s="7">
        <v>1</v>
      </c>
      <c r="AF213" s="7">
        <v>2</v>
      </c>
      <c r="AG213" s="7">
        <v>7</v>
      </c>
      <c r="AH213" s="7"/>
      <c r="AI213" s="7">
        <v>40</v>
      </c>
      <c r="AJ213" s="7">
        <v>26</v>
      </c>
      <c r="AK213" s="273"/>
      <c r="AL213" s="273"/>
      <c r="AM213" s="273"/>
      <c r="AN213" s="395" t="s">
        <v>959</v>
      </c>
      <c r="AO213" s="395" t="s">
        <v>960</v>
      </c>
      <c r="AP213" s="395" t="s">
        <v>961</v>
      </c>
      <c r="AQ213" s="7" t="s">
        <v>962</v>
      </c>
      <c r="AR213" s="283">
        <v>352</v>
      </c>
    </row>
    <row r="214" spans="1:44" ht="15" customHeight="1">
      <c r="A214" s="7">
        <v>1040402</v>
      </c>
      <c r="B214" s="7" t="s">
        <v>954</v>
      </c>
      <c r="C214" s="350" t="s">
        <v>963</v>
      </c>
      <c r="D214" s="7" t="s">
        <v>81</v>
      </c>
      <c r="E214" s="7" t="s">
        <v>765</v>
      </c>
      <c r="F214" s="7">
        <v>1</v>
      </c>
      <c r="G214" s="7">
        <v>4</v>
      </c>
      <c r="H214" s="7" t="s">
        <v>136</v>
      </c>
      <c r="I214" s="7" t="s">
        <v>137</v>
      </c>
      <c r="J214" s="7"/>
      <c r="K214" s="7"/>
      <c r="L214" s="350"/>
      <c r="M214" s="238"/>
      <c r="N214" s="238"/>
      <c r="O214" s="350"/>
      <c r="P214" s="239"/>
      <c r="Q214" s="239">
        <v>0</v>
      </c>
      <c r="R214" s="239" t="s">
        <v>153</v>
      </c>
      <c r="S214" s="7">
        <v>1040202</v>
      </c>
      <c r="T214" s="262"/>
      <c r="U214" s="263"/>
      <c r="V214" s="239" t="s">
        <v>841</v>
      </c>
      <c r="W214" s="568" t="s">
        <v>964</v>
      </c>
      <c r="X214" s="568" t="s">
        <v>964</v>
      </c>
      <c r="Y214" s="239"/>
      <c r="Z214" s="239"/>
      <c r="AA214" s="239">
        <v>1</v>
      </c>
      <c r="AB214" s="239"/>
      <c r="AC214" s="7"/>
      <c r="AD214" s="7"/>
      <c r="AE214" s="7">
        <v>0</v>
      </c>
      <c r="AF214" s="7">
        <v>0</v>
      </c>
      <c r="AG214" s="7">
        <v>0</v>
      </c>
      <c r="AH214" s="7"/>
      <c r="AI214" s="7">
        <v>0</v>
      </c>
      <c r="AJ214" s="7">
        <v>0</v>
      </c>
      <c r="AK214" s="273"/>
      <c r="AL214" s="273"/>
      <c r="AM214" s="273"/>
      <c r="AN214" s="7"/>
      <c r="AO214" s="277"/>
      <c r="AP214" s="277"/>
      <c r="AQ214" s="7" t="s">
        <v>965</v>
      </c>
      <c r="AR214" s="283"/>
    </row>
    <row r="215" spans="1:44" ht="15" customHeight="1">
      <c r="A215" s="7">
        <v>1040403</v>
      </c>
      <c r="B215" s="7" t="s">
        <v>954</v>
      </c>
      <c r="C215" s="350" t="s">
        <v>966</v>
      </c>
      <c r="D215" s="7" t="s">
        <v>81</v>
      </c>
      <c r="E215" s="7" t="s">
        <v>765</v>
      </c>
      <c r="F215" s="7">
        <v>1</v>
      </c>
      <c r="G215" s="7">
        <v>4</v>
      </c>
      <c r="H215" s="7" t="s">
        <v>82</v>
      </c>
      <c r="I215" s="7" t="s">
        <v>101</v>
      </c>
      <c r="J215" s="7"/>
      <c r="K215" s="7">
        <v>2</v>
      </c>
      <c r="L215" s="350"/>
      <c r="M215" s="238"/>
      <c r="N215" s="238"/>
      <c r="O215" s="350"/>
      <c r="P215" s="239"/>
      <c r="Q215" s="239">
        <v>0</v>
      </c>
      <c r="R215" s="239" t="s">
        <v>85</v>
      </c>
      <c r="S215" s="7">
        <v>1040203</v>
      </c>
      <c r="T215" s="262" t="s">
        <v>967</v>
      </c>
      <c r="U215" s="263" t="s">
        <v>968</v>
      </c>
      <c r="V215" s="239" t="s">
        <v>841</v>
      </c>
      <c r="W215" s="568" t="s">
        <v>969</v>
      </c>
      <c r="X215" s="568" t="s">
        <v>969</v>
      </c>
      <c r="Y215" s="239"/>
      <c r="Z215" s="239"/>
      <c r="AA215" s="239">
        <v>2</v>
      </c>
      <c r="AB215" s="239" t="s">
        <v>90</v>
      </c>
      <c r="AC215" s="7"/>
      <c r="AD215" s="7"/>
      <c r="AE215" s="7">
        <v>1</v>
      </c>
      <c r="AF215" s="7">
        <v>1</v>
      </c>
      <c r="AG215" s="7">
        <v>6</v>
      </c>
      <c r="AH215" s="7"/>
      <c r="AI215" s="7">
        <v>35</v>
      </c>
      <c r="AJ215" s="7">
        <v>19</v>
      </c>
      <c r="AK215" s="273"/>
      <c r="AL215" s="273"/>
      <c r="AM215" s="273"/>
      <c r="AN215" s="277" t="s">
        <v>970</v>
      </c>
      <c r="AO215" s="277"/>
      <c r="AP215" s="277"/>
      <c r="AQ215" s="7" t="s">
        <v>971</v>
      </c>
      <c r="AR215" s="283">
        <v>353</v>
      </c>
    </row>
    <row r="216" spans="1:44" ht="15" customHeight="1">
      <c r="A216" s="7">
        <v>1040404</v>
      </c>
      <c r="B216" s="7" t="s">
        <v>954</v>
      </c>
      <c r="C216" s="350" t="s">
        <v>972</v>
      </c>
      <c r="D216" s="7" t="s">
        <v>81</v>
      </c>
      <c r="E216" s="7" t="s">
        <v>765</v>
      </c>
      <c r="F216" s="7">
        <v>2</v>
      </c>
      <c r="G216" s="7">
        <v>4</v>
      </c>
      <c r="H216" s="7" t="s">
        <v>136</v>
      </c>
      <c r="I216" s="7" t="s">
        <v>137</v>
      </c>
      <c r="J216" s="7"/>
      <c r="K216" s="7"/>
      <c r="L216" s="350"/>
      <c r="M216" s="238"/>
      <c r="N216" s="238"/>
      <c r="O216" s="350"/>
      <c r="P216" s="239"/>
      <c r="Q216" s="239">
        <v>0</v>
      </c>
      <c r="R216" s="239" t="s">
        <v>153</v>
      </c>
      <c r="S216" s="7">
        <v>1040204</v>
      </c>
      <c r="T216" s="262"/>
      <c r="U216" s="263"/>
      <c r="V216" s="239" t="s">
        <v>841</v>
      </c>
      <c r="W216" s="568" t="s">
        <v>973</v>
      </c>
      <c r="X216" s="568" t="s">
        <v>973</v>
      </c>
      <c r="Y216" s="239"/>
      <c r="Z216" s="239"/>
      <c r="AA216" s="239">
        <v>2</v>
      </c>
      <c r="AB216" s="239"/>
      <c r="AC216" s="7"/>
      <c r="AD216" s="7"/>
      <c r="AE216" s="7">
        <v>0</v>
      </c>
      <c r="AF216" s="7">
        <v>0</v>
      </c>
      <c r="AG216" s="7">
        <v>0</v>
      </c>
      <c r="AH216" s="7"/>
      <c r="AI216" s="7">
        <v>0</v>
      </c>
      <c r="AJ216" s="7">
        <v>0</v>
      </c>
      <c r="AK216" s="273"/>
      <c r="AL216" s="273"/>
      <c r="AM216" s="273"/>
      <c r="AN216" s="277"/>
      <c r="AO216" s="277"/>
      <c r="AP216" s="277"/>
      <c r="AQ216" s="7" t="s">
        <v>974</v>
      </c>
      <c r="AR216" s="283"/>
    </row>
    <row r="217" spans="1:44" ht="15" customHeight="1">
      <c r="A217" s="7">
        <v>1040405</v>
      </c>
      <c r="B217" s="7" t="s">
        <v>954</v>
      </c>
      <c r="C217" s="350" t="s">
        <v>975</v>
      </c>
      <c r="D217" s="7" t="s">
        <v>81</v>
      </c>
      <c r="E217" s="7" t="s">
        <v>765</v>
      </c>
      <c r="F217" s="7">
        <v>1</v>
      </c>
      <c r="G217" s="7">
        <v>4</v>
      </c>
      <c r="H217" s="7" t="s">
        <v>82</v>
      </c>
      <c r="I217" s="7" t="s">
        <v>101</v>
      </c>
      <c r="J217" s="7"/>
      <c r="K217" s="7">
        <v>3</v>
      </c>
      <c r="L217" s="350"/>
      <c r="M217" s="238"/>
      <c r="N217" s="238"/>
      <c r="O217" s="350"/>
      <c r="P217" s="239"/>
      <c r="Q217" s="239">
        <v>0</v>
      </c>
      <c r="R217" s="239" t="s">
        <v>85</v>
      </c>
      <c r="S217" s="7">
        <v>1040205</v>
      </c>
      <c r="T217" s="262" t="s">
        <v>976</v>
      </c>
      <c r="U217" s="263" t="s">
        <v>977</v>
      </c>
      <c r="V217" s="239" t="s">
        <v>841</v>
      </c>
      <c r="W217" s="568" t="s">
        <v>978</v>
      </c>
      <c r="X217" s="568" t="s">
        <v>978</v>
      </c>
      <c r="Y217" s="239"/>
      <c r="Z217" s="239"/>
      <c r="AA217" s="239">
        <v>3</v>
      </c>
      <c r="AB217" s="239" t="s">
        <v>90</v>
      </c>
      <c r="AC217" s="7"/>
      <c r="AD217" s="7"/>
      <c r="AE217" s="7">
        <v>1</v>
      </c>
      <c r="AF217" s="7">
        <v>1</v>
      </c>
      <c r="AG217" s="7">
        <v>5</v>
      </c>
      <c r="AH217" s="7"/>
      <c r="AI217" s="7">
        <v>32</v>
      </c>
      <c r="AJ217" s="7">
        <v>19</v>
      </c>
      <c r="AK217" s="273"/>
      <c r="AL217" s="273"/>
      <c r="AM217" s="273"/>
      <c r="AN217" s="277" t="s">
        <v>979</v>
      </c>
      <c r="AO217" s="277"/>
      <c r="AP217" s="277"/>
      <c r="AQ217" s="7" t="s">
        <v>980</v>
      </c>
      <c r="AR217" s="283">
        <v>354</v>
      </c>
    </row>
    <row r="218" spans="1:44" ht="15" customHeight="1">
      <c r="A218" s="7">
        <v>1040406</v>
      </c>
      <c r="B218" s="7" t="s">
        <v>954</v>
      </c>
      <c r="C218" s="350" t="s">
        <v>981</v>
      </c>
      <c r="D218" s="7" t="s">
        <v>81</v>
      </c>
      <c r="E218" s="7" t="s">
        <v>765</v>
      </c>
      <c r="F218" s="7">
        <v>3</v>
      </c>
      <c r="G218" s="7">
        <v>4</v>
      </c>
      <c r="H218" s="7" t="s">
        <v>136</v>
      </c>
      <c r="I218" s="7" t="s">
        <v>137</v>
      </c>
      <c r="J218" s="7"/>
      <c r="K218" s="7"/>
      <c r="L218" s="350"/>
      <c r="M218" s="238"/>
      <c r="N218" s="238"/>
      <c r="O218" s="350"/>
      <c r="P218" s="239"/>
      <c r="Q218" s="239">
        <v>0</v>
      </c>
      <c r="R218" s="239" t="s">
        <v>153</v>
      </c>
      <c r="S218" s="7">
        <v>1040206</v>
      </c>
      <c r="T218" s="262"/>
      <c r="U218" s="263"/>
      <c r="V218" s="239" t="s">
        <v>841</v>
      </c>
      <c r="W218" s="568" t="s">
        <v>982</v>
      </c>
      <c r="X218" s="568" t="s">
        <v>982</v>
      </c>
      <c r="Y218" s="239"/>
      <c r="Z218" s="239"/>
      <c r="AA218" s="239"/>
      <c r="AB218" s="239"/>
      <c r="AC218" s="7"/>
      <c r="AD218" s="7"/>
      <c r="AE218" s="7">
        <v>0</v>
      </c>
      <c r="AF218" s="7"/>
      <c r="AG218" s="7"/>
      <c r="AH218" s="7"/>
      <c r="AI218" s="7"/>
      <c r="AJ218" s="7"/>
      <c r="AK218" s="273"/>
      <c r="AL218" s="273"/>
      <c r="AM218" s="273"/>
      <c r="AN218" s="7"/>
      <c r="AO218" s="7"/>
      <c r="AP218" s="7"/>
      <c r="AQ218" s="7" t="s">
        <v>983</v>
      </c>
      <c r="AR218" s="283"/>
    </row>
    <row r="219" spans="1:44" ht="15" customHeight="1">
      <c r="A219" s="7">
        <v>1040407</v>
      </c>
      <c r="B219" s="7" t="s">
        <v>954</v>
      </c>
      <c r="C219" s="350" t="s">
        <v>984</v>
      </c>
      <c r="D219" s="7" t="s">
        <v>81</v>
      </c>
      <c r="E219" s="7" t="s">
        <v>765</v>
      </c>
      <c r="F219" s="7">
        <v>4</v>
      </c>
      <c r="G219" s="7">
        <v>4</v>
      </c>
      <c r="H219" s="7" t="s">
        <v>136</v>
      </c>
      <c r="I219" s="7" t="s">
        <v>137</v>
      </c>
      <c r="J219" s="7"/>
      <c r="K219" s="7"/>
      <c r="L219" s="350"/>
      <c r="M219" s="238"/>
      <c r="N219" s="238"/>
      <c r="O219" s="350"/>
      <c r="P219" s="239"/>
      <c r="Q219" s="239">
        <v>0</v>
      </c>
      <c r="R219" s="239" t="s">
        <v>153</v>
      </c>
      <c r="S219" s="7">
        <v>1040207</v>
      </c>
      <c r="T219" s="262"/>
      <c r="U219" s="263"/>
      <c r="V219" s="239" t="s">
        <v>841</v>
      </c>
      <c r="W219" s="568" t="s">
        <v>985</v>
      </c>
      <c r="X219" s="568" t="s">
        <v>985</v>
      </c>
      <c r="Y219" s="239"/>
      <c r="Z219" s="239"/>
      <c r="AA219" s="239"/>
      <c r="AB219" s="239"/>
      <c r="AC219" s="7"/>
      <c r="AD219" s="7"/>
      <c r="AE219" s="7">
        <v>0</v>
      </c>
      <c r="AF219" s="7"/>
      <c r="AG219" s="7"/>
      <c r="AH219" s="7"/>
      <c r="AI219" s="7"/>
      <c r="AJ219" s="7"/>
      <c r="AK219" s="273"/>
      <c r="AL219" s="273"/>
      <c r="AM219" s="273"/>
      <c r="AN219" s="7"/>
      <c r="AO219" s="7"/>
      <c r="AP219" s="7"/>
      <c r="AQ219" s="7" t="s">
        <v>986</v>
      </c>
      <c r="AR219" s="283"/>
    </row>
    <row r="220" spans="1:44" ht="15" customHeight="1">
      <c r="A220" s="7">
        <v>1040408</v>
      </c>
      <c r="B220" s="7" t="s">
        <v>954</v>
      </c>
      <c r="C220" s="350" t="s">
        <v>987</v>
      </c>
      <c r="D220" s="7" t="s">
        <v>81</v>
      </c>
      <c r="E220" s="7" t="s">
        <v>765</v>
      </c>
      <c r="F220" s="7">
        <v>5</v>
      </c>
      <c r="G220" s="7">
        <v>4</v>
      </c>
      <c r="H220" s="7" t="s">
        <v>136</v>
      </c>
      <c r="I220" s="7" t="s">
        <v>137</v>
      </c>
      <c r="J220" s="7"/>
      <c r="K220" s="7"/>
      <c r="L220" s="350"/>
      <c r="M220" s="238"/>
      <c r="N220" s="238"/>
      <c r="O220" s="350"/>
      <c r="P220" s="239"/>
      <c r="Q220" s="239">
        <v>0</v>
      </c>
      <c r="R220" s="239" t="s">
        <v>153</v>
      </c>
      <c r="S220" s="7">
        <v>1040208</v>
      </c>
      <c r="T220" s="262"/>
      <c r="U220" s="263"/>
      <c r="V220" s="239" t="s">
        <v>841</v>
      </c>
      <c r="W220" s="568" t="s">
        <v>988</v>
      </c>
      <c r="X220" s="568" t="s">
        <v>988</v>
      </c>
      <c r="Y220" s="239"/>
      <c r="Z220" s="239"/>
      <c r="AA220" s="239"/>
      <c r="AB220" s="239"/>
      <c r="AC220" s="7"/>
      <c r="AD220" s="7"/>
      <c r="AE220" s="7">
        <v>0</v>
      </c>
      <c r="AF220" s="7"/>
      <c r="AG220" s="7"/>
      <c r="AH220" s="7"/>
      <c r="AI220" s="7"/>
      <c r="AJ220" s="7"/>
      <c r="AK220" s="273"/>
      <c r="AL220" s="273"/>
      <c r="AM220" s="273"/>
      <c r="AN220" s="7"/>
      <c r="AO220" s="7"/>
      <c r="AP220" s="7"/>
      <c r="AQ220" s="7" t="s">
        <v>989</v>
      </c>
      <c r="AR220" s="283"/>
    </row>
    <row r="221" spans="1:44" ht="15" customHeight="1">
      <c r="A221" s="7">
        <v>1040409</v>
      </c>
      <c r="B221" s="7" t="s">
        <v>954</v>
      </c>
      <c r="C221" s="350" t="s">
        <v>990</v>
      </c>
      <c r="D221" s="7" t="s">
        <v>81</v>
      </c>
      <c r="E221" s="7" t="s">
        <v>765</v>
      </c>
      <c r="F221" s="7">
        <v>6</v>
      </c>
      <c r="G221" s="7">
        <v>4</v>
      </c>
      <c r="H221" s="7" t="s">
        <v>136</v>
      </c>
      <c r="I221" s="7" t="s">
        <v>137</v>
      </c>
      <c r="J221" s="7"/>
      <c r="K221" s="7"/>
      <c r="L221" s="350"/>
      <c r="M221" s="238"/>
      <c r="N221" s="238"/>
      <c r="O221" s="350"/>
      <c r="P221" s="239"/>
      <c r="Q221" s="239">
        <v>0</v>
      </c>
      <c r="R221" s="239" t="s">
        <v>153</v>
      </c>
      <c r="S221" s="7">
        <v>1040209</v>
      </c>
      <c r="T221" s="262"/>
      <c r="U221" s="263"/>
      <c r="V221" s="239" t="s">
        <v>841</v>
      </c>
      <c r="W221" s="568" t="s">
        <v>991</v>
      </c>
      <c r="X221" s="568" t="s">
        <v>991</v>
      </c>
      <c r="Y221" s="239"/>
      <c r="Z221" s="239"/>
      <c r="AA221" s="239"/>
      <c r="AB221" s="239"/>
      <c r="AC221" s="7"/>
      <c r="AD221" s="7"/>
      <c r="AE221" s="7">
        <v>0</v>
      </c>
      <c r="AF221" s="7"/>
      <c r="AG221" s="7"/>
      <c r="AH221" s="7"/>
      <c r="AI221" s="7"/>
      <c r="AJ221" s="7"/>
      <c r="AK221" s="273"/>
      <c r="AL221" s="273"/>
      <c r="AM221" s="273"/>
      <c r="AN221" s="7"/>
      <c r="AO221" s="7"/>
      <c r="AP221" s="7"/>
      <c r="AQ221" s="7" t="s">
        <v>992</v>
      </c>
      <c r="AR221" s="283"/>
    </row>
    <row r="222" spans="1:44" ht="15" customHeight="1">
      <c r="A222" s="3">
        <v>1040410</v>
      </c>
      <c r="B222" s="3" t="s">
        <v>954</v>
      </c>
      <c r="C222" s="236" t="s">
        <v>993</v>
      </c>
      <c r="D222" s="3" t="s">
        <v>81</v>
      </c>
      <c r="E222" s="3" t="s">
        <v>765</v>
      </c>
      <c r="F222" s="3">
        <v>7</v>
      </c>
      <c r="G222" s="3">
        <v>4</v>
      </c>
      <c r="H222" s="3" t="s">
        <v>136</v>
      </c>
      <c r="I222" s="3" t="s">
        <v>137</v>
      </c>
      <c r="J222" s="3"/>
      <c r="K222" s="3"/>
      <c r="L222" s="236"/>
      <c r="M222" s="99"/>
      <c r="N222" s="99"/>
      <c r="O222" s="236"/>
      <c r="P222" s="22"/>
      <c r="Q222" s="22">
        <v>0</v>
      </c>
      <c r="R222" s="22" t="s">
        <v>153</v>
      </c>
      <c r="S222" s="3">
        <v>1040210</v>
      </c>
      <c r="T222" s="260"/>
      <c r="U222" s="261"/>
      <c r="V222" s="22" t="s">
        <v>841</v>
      </c>
      <c r="W222" s="567" t="s">
        <v>994</v>
      </c>
      <c r="X222" s="567" t="s">
        <v>994</v>
      </c>
      <c r="Y222" s="22"/>
      <c r="Z222" s="22"/>
      <c r="AA222" s="22"/>
      <c r="AB222" s="22"/>
      <c r="AC222" s="3"/>
      <c r="AD222" s="3"/>
      <c r="AE222" s="3">
        <v>0</v>
      </c>
      <c r="AF222" s="3"/>
      <c r="AG222" s="3"/>
      <c r="AH222" s="3"/>
      <c r="AI222" s="3"/>
      <c r="AJ222" s="3"/>
      <c r="AK222" s="89"/>
      <c r="AL222" s="89"/>
      <c r="AM222" s="89"/>
      <c r="AN222" s="3"/>
      <c r="AO222" s="3"/>
      <c r="AP222" s="3"/>
      <c r="AQ222" s="3" t="s">
        <v>995</v>
      </c>
      <c r="AR222" s="281"/>
    </row>
    <row r="223" spans="1:44" ht="15" customHeight="1">
      <c r="A223" s="3">
        <v>1040411</v>
      </c>
      <c r="B223" s="3" t="s">
        <v>954</v>
      </c>
      <c r="C223" s="236" t="s">
        <v>996</v>
      </c>
      <c r="D223" s="3" t="s">
        <v>81</v>
      </c>
      <c r="E223" s="3" t="s">
        <v>765</v>
      </c>
      <c r="F223" s="3">
        <v>8</v>
      </c>
      <c r="G223" s="3">
        <v>4</v>
      </c>
      <c r="H223" s="3" t="s">
        <v>136</v>
      </c>
      <c r="I223" s="3" t="s">
        <v>137</v>
      </c>
      <c r="J223" s="3"/>
      <c r="K223" s="3"/>
      <c r="L223" s="236"/>
      <c r="M223" s="99"/>
      <c r="N223" s="99"/>
      <c r="O223" s="236"/>
      <c r="P223" s="22"/>
      <c r="Q223" s="22">
        <v>0</v>
      </c>
      <c r="R223" s="22" t="s">
        <v>153</v>
      </c>
      <c r="S223" s="3"/>
      <c r="T223" s="260"/>
      <c r="U223" s="261"/>
      <c r="V223" s="22"/>
      <c r="W223" s="567" t="s">
        <v>402</v>
      </c>
      <c r="X223" s="567" t="s">
        <v>6750</v>
      </c>
      <c r="Y223" s="22"/>
      <c r="Z223" s="22"/>
      <c r="AA223" s="22"/>
      <c r="AB223" s="22" t="s">
        <v>114</v>
      </c>
      <c r="AC223" s="3"/>
      <c r="AD223" s="3"/>
      <c r="AE223" s="3">
        <v>0</v>
      </c>
      <c r="AF223" s="3">
        <v>0</v>
      </c>
      <c r="AG223" s="3">
        <v>0</v>
      </c>
      <c r="AH223" s="3"/>
      <c r="AI223" s="3">
        <v>0</v>
      </c>
      <c r="AJ223" s="3">
        <v>0</v>
      </c>
      <c r="AK223" s="3">
        <v>0</v>
      </c>
      <c r="AL223" s="3"/>
      <c r="AM223" s="3"/>
      <c r="AN223" s="3"/>
      <c r="AO223" s="3"/>
      <c r="AP223" s="3"/>
      <c r="AQ223" s="3" t="s">
        <v>997</v>
      </c>
      <c r="AR223" s="281"/>
    </row>
    <row r="224" spans="1:44" ht="15" customHeight="1">
      <c r="A224" s="3">
        <v>1040412</v>
      </c>
      <c r="B224" s="3" t="s">
        <v>954</v>
      </c>
      <c r="C224" s="236" t="s">
        <v>998</v>
      </c>
      <c r="D224" s="3" t="s">
        <v>81</v>
      </c>
      <c r="E224" s="3" t="s">
        <v>765</v>
      </c>
      <c r="F224" s="3">
        <v>9</v>
      </c>
      <c r="G224" s="3">
        <v>4</v>
      </c>
      <c r="H224" s="3" t="s">
        <v>136</v>
      </c>
      <c r="I224" s="3" t="s">
        <v>137</v>
      </c>
      <c r="J224" s="3"/>
      <c r="K224" s="3"/>
      <c r="L224" s="236"/>
      <c r="M224" s="99"/>
      <c r="N224" s="99"/>
      <c r="O224" s="236"/>
      <c r="P224" s="22"/>
      <c r="Q224" s="22">
        <v>0</v>
      </c>
      <c r="R224" s="22" t="s">
        <v>153</v>
      </c>
      <c r="S224" s="3"/>
      <c r="T224" s="260"/>
      <c r="U224" s="261"/>
      <c r="V224" s="22"/>
      <c r="W224" s="567" t="s">
        <v>999</v>
      </c>
      <c r="X224" s="567" t="s">
        <v>6751</v>
      </c>
      <c r="Y224" s="22"/>
      <c r="Z224" s="22"/>
      <c r="AA224" s="22"/>
      <c r="AB224" s="22" t="s">
        <v>114</v>
      </c>
      <c r="AC224" s="3"/>
      <c r="AD224" s="3"/>
      <c r="AE224" s="3">
        <v>0</v>
      </c>
      <c r="AF224" s="3">
        <v>0</v>
      </c>
      <c r="AG224" s="3">
        <v>0</v>
      </c>
      <c r="AH224" s="3"/>
      <c r="AI224" s="3">
        <v>0</v>
      </c>
      <c r="AJ224" s="3">
        <v>0</v>
      </c>
      <c r="AK224" s="3">
        <v>0</v>
      </c>
      <c r="AL224" s="3"/>
      <c r="AM224" s="3"/>
      <c r="AN224" s="3"/>
      <c r="AO224" s="3"/>
      <c r="AP224" s="3"/>
      <c r="AQ224" s="282" t="str">
        <f>"tricks/"&amp;A224</f>
        <v>tricks/1040412</v>
      </c>
    </row>
    <row r="225" spans="1:44" ht="15" customHeight="1">
      <c r="A225" s="3">
        <v>1040413</v>
      </c>
      <c r="B225" s="3" t="s">
        <v>954</v>
      </c>
      <c r="C225" s="236" t="s">
        <v>1000</v>
      </c>
      <c r="D225" s="3" t="s">
        <v>81</v>
      </c>
      <c r="E225" s="3" t="s">
        <v>765</v>
      </c>
      <c r="F225" s="3">
        <v>10</v>
      </c>
      <c r="G225" s="3">
        <v>4</v>
      </c>
      <c r="H225" s="3" t="s">
        <v>136</v>
      </c>
      <c r="I225" s="3" t="s">
        <v>137</v>
      </c>
      <c r="J225" s="3"/>
      <c r="K225" s="3"/>
      <c r="L225" s="236"/>
      <c r="M225" s="99"/>
      <c r="N225" s="99"/>
      <c r="O225" s="236"/>
      <c r="P225" s="22"/>
      <c r="Q225" s="22">
        <v>0</v>
      </c>
      <c r="R225" s="22" t="s">
        <v>153</v>
      </c>
      <c r="S225" s="3"/>
      <c r="T225" s="260"/>
      <c r="U225" s="261"/>
      <c r="V225" s="22"/>
      <c r="W225" s="567" t="s">
        <v>1001</v>
      </c>
      <c r="X225" s="567" t="s">
        <v>6752</v>
      </c>
      <c r="Y225" s="22"/>
      <c r="Z225" s="22"/>
      <c r="AA225" s="22"/>
      <c r="AB225" s="22" t="s">
        <v>114</v>
      </c>
      <c r="AC225" s="3"/>
      <c r="AD225" s="3"/>
      <c r="AE225" s="3">
        <v>0</v>
      </c>
      <c r="AF225" s="3">
        <v>0</v>
      </c>
      <c r="AG225" s="3">
        <v>0</v>
      </c>
      <c r="AH225" s="3"/>
      <c r="AI225" s="3">
        <v>0</v>
      </c>
      <c r="AJ225" s="3">
        <v>0</v>
      </c>
      <c r="AK225" s="3">
        <v>0</v>
      </c>
      <c r="AL225" s="3"/>
      <c r="AM225" s="3"/>
      <c r="AN225" s="3"/>
      <c r="AO225" s="3"/>
      <c r="AP225" s="3"/>
      <c r="AQ225" s="282" t="str">
        <f>"tricks/"&amp;A225</f>
        <v>tricks/1040413</v>
      </c>
    </row>
    <row r="226" spans="1:44" ht="15" customHeight="1">
      <c r="A226" s="3">
        <v>1046001</v>
      </c>
      <c r="B226" s="3" t="s">
        <v>765</v>
      </c>
      <c r="C226" s="3" t="s">
        <v>1002</v>
      </c>
      <c r="D226" s="3" t="s">
        <v>81</v>
      </c>
      <c r="E226" s="3" t="s">
        <v>765</v>
      </c>
      <c r="F226" s="3">
        <v>1</v>
      </c>
      <c r="G226" s="3">
        <v>4</v>
      </c>
      <c r="H226" s="3" t="s">
        <v>136</v>
      </c>
      <c r="I226" s="3" t="s">
        <v>137</v>
      </c>
      <c r="J226" s="3"/>
      <c r="K226" s="3"/>
      <c r="L226" s="365" t="s">
        <v>1003</v>
      </c>
      <c r="M226" s="99"/>
      <c r="N226" s="99"/>
      <c r="O226" s="22"/>
      <c r="P226" s="3"/>
      <c r="Q226" s="22">
        <v>0</v>
      </c>
      <c r="R226" s="22" t="s">
        <v>85</v>
      </c>
      <c r="S226" s="3">
        <v>1046001</v>
      </c>
      <c r="T226" s="260" t="s">
        <v>1004</v>
      </c>
      <c r="U226" s="261" t="s">
        <v>1005</v>
      </c>
      <c r="V226" s="22" t="s">
        <v>582</v>
      </c>
      <c r="W226" s="260" t="s">
        <v>1006</v>
      </c>
      <c r="X226" s="260" t="s">
        <v>1006</v>
      </c>
      <c r="AE226" s="1">
        <v>2</v>
      </c>
      <c r="AF226" s="1">
        <v>0</v>
      </c>
      <c r="AG226" s="1">
        <v>0</v>
      </c>
      <c r="AI226" s="1">
        <v>0</v>
      </c>
      <c r="AJ226" s="1">
        <v>0</v>
      </c>
      <c r="AN226" s="1" t="s">
        <v>1007</v>
      </c>
      <c r="AQ226" s="403" t="s">
        <v>1008</v>
      </c>
    </row>
    <row r="227" spans="1:44" ht="15" customHeight="1">
      <c r="A227" s="33">
        <v>1050001</v>
      </c>
      <c r="B227" s="33" t="s">
        <v>1009</v>
      </c>
      <c r="C227" s="368" t="s">
        <v>1010</v>
      </c>
      <c r="D227" s="33" t="s">
        <v>81</v>
      </c>
      <c r="E227" s="33" t="s">
        <v>1009</v>
      </c>
      <c r="F227" s="33">
        <v>1</v>
      </c>
      <c r="G227" s="33">
        <v>5</v>
      </c>
      <c r="H227" s="33" t="s">
        <v>82</v>
      </c>
      <c r="I227" s="33" t="s">
        <v>83</v>
      </c>
      <c r="J227" s="33"/>
      <c r="K227" s="33">
        <v>4</v>
      </c>
      <c r="L227" s="366" t="s">
        <v>1011</v>
      </c>
      <c r="M227" s="367"/>
      <c r="N227" s="367"/>
      <c r="O227" s="368"/>
      <c r="P227" s="369">
        <v>5</v>
      </c>
      <c r="Q227" s="369">
        <v>0</v>
      </c>
      <c r="R227" s="369" t="s">
        <v>85</v>
      </c>
      <c r="S227" s="33">
        <v>1050001</v>
      </c>
      <c r="T227" s="380" t="s">
        <v>1012</v>
      </c>
      <c r="U227" s="381" t="s">
        <v>1013</v>
      </c>
      <c r="V227" s="369" t="s">
        <v>530</v>
      </c>
      <c r="W227" s="597" t="s">
        <v>1014</v>
      </c>
      <c r="X227" s="597" t="s">
        <v>1014</v>
      </c>
      <c r="Y227" s="369"/>
      <c r="Z227" s="369"/>
      <c r="AA227" s="369">
        <v>1</v>
      </c>
      <c r="AB227" s="369" t="s">
        <v>90</v>
      </c>
      <c r="AC227" s="33"/>
      <c r="AD227" s="33"/>
      <c r="AE227" s="33">
        <v>2</v>
      </c>
      <c r="AF227" s="33">
        <v>0</v>
      </c>
      <c r="AG227" s="33">
        <v>4</v>
      </c>
      <c r="AH227" s="33"/>
      <c r="AI227" s="33">
        <v>45</v>
      </c>
      <c r="AJ227" s="33">
        <v>32</v>
      </c>
      <c r="AK227" s="396" t="s">
        <v>1015</v>
      </c>
      <c r="AL227" s="396"/>
      <c r="AM227" s="396"/>
      <c r="AN227" s="397" t="s">
        <v>1016</v>
      </c>
      <c r="AO227" s="397"/>
      <c r="AP227" s="397"/>
      <c r="AQ227" s="33" t="s">
        <v>1017</v>
      </c>
      <c r="AR227" s="404">
        <v>265</v>
      </c>
    </row>
    <row r="228" spans="1:44" ht="15" customHeight="1">
      <c r="A228" s="33">
        <v>1050002</v>
      </c>
      <c r="B228" s="33" t="s">
        <v>1009</v>
      </c>
      <c r="C228" s="368" t="s">
        <v>1018</v>
      </c>
      <c r="D228" s="33" t="s">
        <v>81</v>
      </c>
      <c r="E228" s="33" t="s">
        <v>1009</v>
      </c>
      <c r="F228" s="33">
        <v>1</v>
      </c>
      <c r="G228" s="33">
        <v>5</v>
      </c>
      <c r="H228" s="33" t="s">
        <v>82</v>
      </c>
      <c r="I228" s="33" t="s">
        <v>83</v>
      </c>
      <c r="J228" s="33"/>
      <c r="K228" s="33">
        <v>5</v>
      </c>
      <c r="L228" s="366" t="s">
        <v>1019</v>
      </c>
      <c r="M228" s="367"/>
      <c r="N228" s="367"/>
      <c r="O228" s="368"/>
      <c r="P228" s="369">
        <v>1</v>
      </c>
      <c r="Q228" s="369">
        <v>0</v>
      </c>
      <c r="R228" s="369" t="s">
        <v>85</v>
      </c>
      <c r="S228" s="33">
        <v>1050002</v>
      </c>
      <c r="T228" s="380" t="s">
        <v>1012</v>
      </c>
      <c r="U228" s="381" t="s">
        <v>1013</v>
      </c>
      <c r="V228" s="369" t="s">
        <v>530</v>
      </c>
      <c r="W228" s="597" t="s">
        <v>1020</v>
      </c>
      <c r="X228" s="597" t="s">
        <v>1020</v>
      </c>
      <c r="Y228" s="369"/>
      <c r="Z228" s="369"/>
      <c r="AA228" s="369">
        <v>1</v>
      </c>
      <c r="AB228" s="369" t="s">
        <v>90</v>
      </c>
      <c r="AC228" s="33" t="s">
        <v>1021</v>
      </c>
      <c r="AD228" s="33"/>
      <c r="AE228" s="33">
        <v>2</v>
      </c>
      <c r="AF228" s="33">
        <v>0</v>
      </c>
      <c r="AG228" s="33">
        <v>4</v>
      </c>
      <c r="AH228" s="33"/>
      <c r="AI228" s="33">
        <v>58</v>
      </c>
      <c r="AJ228" s="33">
        <v>39</v>
      </c>
      <c r="AK228" s="396"/>
      <c r="AL228" s="396"/>
      <c r="AM228" s="396"/>
      <c r="AN228" s="397" t="s">
        <v>1022</v>
      </c>
      <c r="AO228" s="397"/>
      <c r="AP228" s="397"/>
      <c r="AQ228" s="33" t="s">
        <v>1023</v>
      </c>
      <c r="AR228" s="404">
        <v>266</v>
      </c>
    </row>
    <row r="229" spans="1:44" ht="15" customHeight="1">
      <c r="A229" s="34">
        <v>1050101</v>
      </c>
      <c r="B229" s="34" t="s">
        <v>1024</v>
      </c>
      <c r="C229" s="435" t="s">
        <v>1025</v>
      </c>
      <c r="D229" s="34" t="s">
        <v>81</v>
      </c>
      <c r="E229" s="34" t="s">
        <v>1009</v>
      </c>
      <c r="F229" s="34">
        <v>1</v>
      </c>
      <c r="G229" s="34">
        <v>5</v>
      </c>
      <c r="H229" s="34" t="s">
        <v>82</v>
      </c>
      <c r="I229" s="34" t="s">
        <v>101</v>
      </c>
      <c r="J229" s="34"/>
      <c r="K229" s="34">
        <v>1</v>
      </c>
      <c r="L229" s="370" t="s">
        <v>1026</v>
      </c>
      <c r="M229" s="371"/>
      <c r="N229" s="371"/>
      <c r="O229" s="34"/>
      <c r="P229" s="130">
        <v>2</v>
      </c>
      <c r="Q229" s="130">
        <v>0</v>
      </c>
      <c r="R229" s="130" t="s">
        <v>85</v>
      </c>
      <c r="S229" s="34">
        <v>1050101</v>
      </c>
      <c r="T229" s="382" t="s">
        <v>1027</v>
      </c>
      <c r="U229" s="383" t="s">
        <v>1028</v>
      </c>
      <c r="V229" s="130" t="s">
        <v>530</v>
      </c>
      <c r="W229" s="598" t="s">
        <v>1029</v>
      </c>
      <c r="X229" s="598" t="s">
        <v>1029</v>
      </c>
      <c r="Y229" s="130"/>
      <c r="Z229" s="130"/>
      <c r="AA229" s="130">
        <v>1</v>
      </c>
      <c r="AB229" s="130" t="s">
        <v>90</v>
      </c>
      <c r="AC229" s="34"/>
      <c r="AD229" s="34"/>
      <c r="AE229" s="34">
        <v>1</v>
      </c>
      <c r="AF229" s="34">
        <v>2</v>
      </c>
      <c r="AG229" s="34">
        <v>6</v>
      </c>
      <c r="AH229" s="34"/>
      <c r="AI229" s="34">
        <v>39</v>
      </c>
      <c r="AJ229" s="34">
        <v>26</v>
      </c>
      <c r="AK229" s="131"/>
      <c r="AL229" s="131"/>
      <c r="AM229" s="131"/>
      <c r="AN229" s="398" t="s">
        <v>1030</v>
      </c>
      <c r="AO229" s="398" t="s">
        <v>1031</v>
      </c>
      <c r="AP229" s="398"/>
      <c r="AQ229" s="34" t="s">
        <v>1032</v>
      </c>
      <c r="AR229" s="405">
        <v>262</v>
      </c>
    </row>
    <row r="230" spans="1:44" ht="15" customHeight="1">
      <c r="A230" s="34">
        <v>1050102</v>
      </c>
      <c r="B230" s="34" t="s">
        <v>1024</v>
      </c>
      <c r="C230" s="34" t="s">
        <v>1033</v>
      </c>
      <c r="D230" s="34" t="s">
        <v>81</v>
      </c>
      <c r="E230" s="34" t="s">
        <v>1009</v>
      </c>
      <c r="F230" s="34">
        <v>1</v>
      </c>
      <c r="G230" s="34">
        <v>5</v>
      </c>
      <c r="H230" s="34" t="s">
        <v>136</v>
      </c>
      <c r="I230" s="34" t="s">
        <v>137</v>
      </c>
      <c r="J230" s="34"/>
      <c r="K230" s="34"/>
      <c r="L230" s="372" t="s">
        <v>1034</v>
      </c>
      <c r="M230" s="371"/>
      <c r="N230" s="371"/>
      <c r="O230" s="34"/>
      <c r="P230" s="130">
        <v>3</v>
      </c>
      <c r="Q230" s="130">
        <v>0</v>
      </c>
      <c r="R230" s="130" t="s">
        <v>153</v>
      </c>
      <c r="S230" s="34">
        <v>1050102</v>
      </c>
      <c r="T230" s="382"/>
      <c r="U230" s="383"/>
      <c r="V230" s="130" t="s">
        <v>530</v>
      </c>
      <c r="W230" s="599" t="s">
        <v>1035</v>
      </c>
      <c r="X230" s="599" t="s">
        <v>1035</v>
      </c>
      <c r="Y230" s="130"/>
      <c r="Z230" s="130"/>
      <c r="AA230" s="130">
        <v>1</v>
      </c>
      <c r="AB230" s="130"/>
      <c r="AC230" s="34"/>
      <c r="AD230" s="34"/>
      <c r="AE230" s="34">
        <v>0</v>
      </c>
      <c r="AF230" s="34">
        <v>0</v>
      </c>
      <c r="AG230" s="34">
        <v>0</v>
      </c>
      <c r="AH230" s="34"/>
      <c r="AI230" s="34">
        <v>0</v>
      </c>
      <c r="AJ230" s="34">
        <v>0</v>
      </c>
      <c r="AK230" s="131">
        <v>8050104</v>
      </c>
      <c r="AL230" s="131"/>
      <c r="AM230" s="131"/>
      <c r="AN230" s="398"/>
      <c r="AO230" s="398"/>
      <c r="AP230" s="398"/>
      <c r="AQ230" s="34" t="s">
        <v>1036</v>
      </c>
      <c r="AR230" s="405"/>
    </row>
    <row r="231" spans="1:44" ht="15" customHeight="1">
      <c r="A231" s="34">
        <v>1050103</v>
      </c>
      <c r="B231" s="34" t="s">
        <v>1024</v>
      </c>
      <c r="C231" s="34" t="s">
        <v>1037</v>
      </c>
      <c r="D231" s="34" t="s">
        <v>81</v>
      </c>
      <c r="E231" s="34" t="s">
        <v>1009</v>
      </c>
      <c r="F231" s="34">
        <v>1</v>
      </c>
      <c r="G231" s="34">
        <v>5</v>
      </c>
      <c r="H231" s="34" t="s">
        <v>82</v>
      </c>
      <c r="I231" s="34" t="s">
        <v>101</v>
      </c>
      <c r="J231" s="34"/>
      <c r="K231" s="34">
        <v>2</v>
      </c>
      <c r="L231" s="370" t="s">
        <v>1038</v>
      </c>
      <c r="M231" s="371"/>
      <c r="N231" s="371"/>
      <c r="O231" s="34"/>
      <c r="P231" s="130">
        <v>1</v>
      </c>
      <c r="Q231" s="130">
        <v>0</v>
      </c>
      <c r="R231" s="130" t="s">
        <v>1039</v>
      </c>
      <c r="S231" s="34">
        <v>1050103</v>
      </c>
      <c r="T231" s="382"/>
      <c r="U231" s="383"/>
      <c r="V231" s="130" t="s">
        <v>530</v>
      </c>
      <c r="W231" s="598" t="s">
        <v>1040</v>
      </c>
      <c r="X231" s="598" t="s">
        <v>1040</v>
      </c>
      <c r="Y231" s="130"/>
      <c r="Z231" s="130"/>
      <c r="AA231" s="130">
        <v>1</v>
      </c>
      <c r="AB231" s="130" t="s">
        <v>90</v>
      </c>
      <c r="AC231" s="34"/>
      <c r="AD231" s="34"/>
      <c r="AE231" s="34">
        <v>1</v>
      </c>
      <c r="AF231" s="34">
        <v>1</v>
      </c>
      <c r="AG231" s="34">
        <v>5</v>
      </c>
      <c r="AH231" s="34"/>
      <c r="AI231" s="34">
        <v>39</v>
      </c>
      <c r="AJ231" s="34">
        <v>26</v>
      </c>
      <c r="AK231" s="131">
        <v>8050101</v>
      </c>
      <c r="AL231" s="131"/>
      <c r="AM231" s="131"/>
      <c r="AN231" s="398" t="s">
        <v>1041</v>
      </c>
      <c r="AO231" s="398"/>
      <c r="AP231" s="398"/>
      <c r="AQ231" s="34" t="s">
        <v>1042</v>
      </c>
      <c r="AR231" s="405">
        <v>263</v>
      </c>
    </row>
    <row r="232" spans="1:44" ht="15" customHeight="1">
      <c r="A232" s="34">
        <v>1050104</v>
      </c>
      <c r="B232" s="34" t="s">
        <v>1024</v>
      </c>
      <c r="C232" s="34" t="s">
        <v>1043</v>
      </c>
      <c r="D232" s="34" t="s">
        <v>81</v>
      </c>
      <c r="E232" s="34" t="s">
        <v>1009</v>
      </c>
      <c r="F232" s="34">
        <v>2</v>
      </c>
      <c r="G232" s="34">
        <v>5</v>
      </c>
      <c r="H232" s="34" t="s">
        <v>136</v>
      </c>
      <c r="I232" s="34" t="s">
        <v>137</v>
      </c>
      <c r="J232" s="34"/>
      <c r="K232" s="34"/>
      <c r="L232" s="372" t="s">
        <v>1044</v>
      </c>
      <c r="M232" s="34"/>
      <c r="N232" s="34"/>
      <c r="O232" s="34"/>
      <c r="P232" s="34"/>
      <c r="Q232" s="130">
        <v>0</v>
      </c>
      <c r="R232" s="34" t="s">
        <v>153</v>
      </c>
      <c r="S232" s="34">
        <v>1050104</v>
      </c>
      <c r="T232" s="382"/>
      <c r="U232" s="383"/>
      <c r="V232" s="130" t="s">
        <v>530</v>
      </c>
      <c r="W232" s="599" t="s">
        <v>1045</v>
      </c>
      <c r="X232" s="599" t="s">
        <v>1045</v>
      </c>
      <c r="Y232" s="130"/>
      <c r="Z232" s="130"/>
      <c r="AA232" s="130">
        <v>2</v>
      </c>
      <c r="AB232" s="130" t="s">
        <v>114</v>
      </c>
      <c r="AC232" s="34"/>
      <c r="AD232" s="34"/>
      <c r="AE232" s="34">
        <v>0</v>
      </c>
      <c r="AF232" s="34">
        <v>0</v>
      </c>
      <c r="AG232" s="34">
        <v>0</v>
      </c>
      <c r="AH232" s="34"/>
      <c r="AI232" s="34">
        <v>0</v>
      </c>
      <c r="AJ232" s="34">
        <v>0</v>
      </c>
      <c r="AK232" s="131">
        <v>8050105</v>
      </c>
      <c r="AL232" s="131"/>
      <c r="AM232" s="131"/>
      <c r="AN232" s="398"/>
      <c r="AO232" s="398"/>
      <c r="AP232" s="398"/>
      <c r="AQ232" s="34" t="s">
        <v>1046</v>
      </c>
      <c r="AR232" s="405"/>
    </row>
    <row r="233" spans="1:44" ht="15" customHeight="1">
      <c r="A233" s="34">
        <v>1050105</v>
      </c>
      <c r="B233" s="34" t="s">
        <v>1024</v>
      </c>
      <c r="C233" s="34" t="s">
        <v>1047</v>
      </c>
      <c r="D233" s="34" t="s">
        <v>81</v>
      </c>
      <c r="E233" s="34" t="s">
        <v>1009</v>
      </c>
      <c r="F233" s="34">
        <v>1</v>
      </c>
      <c r="G233" s="34">
        <v>5</v>
      </c>
      <c r="H233" s="34" t="s">
        <v>82</v>
      </c>
      <c r="I233" s="34" t="s">
        <v>101</v>
      </c>
      <c r="J233" s="34"/>
      <c r="K233" s="34">
        <v>3</v>
      </c>
      <c r="L233" s="372" t="s">
        <v>1048</v>
      </c>
      <c r="M233" s="371"/>
      <c r="N233" s="371"/>
      <c r="O233" s="34"/>
      <c r="P233" s="130">
        <v>2</v>
      </c>
      <c r="Q233" s="130">
        <v>0</v>
      </c>
      <c r="R233" s="130" t="s">
        <v>85</v>
      </c>
      <c r="S233" s="34">
        <v>1050105</v>
      </c>
      <c r="T233" s="382" t="s">
        <v>1049</v>
      </c>
      <c r="U233" s="383" t="s">
        <v>1050</v>
      </c>
      <c r="V233" s="130" t="s">
        <v>530</v>
      </c>
      <c r="W233" s="599" t="s">
        <v>1051</v>
      </c>
      <c r="X233" s="599" t="s">
        <v>1051</v>
      </c>
      <c r="Y233" s="130"/>
      <c r="Z233" s="130"/>
      <c r="AA233" s="130">
        <v>2</v>
      </c>
      <c r="AB233" s="130" t="s">
        <v>90</v>
      </c>
      <c r="AC233" s="34"/>
      <c r="AD233" s="34"/>
      <c r="AE233" s="34">
        <v>1</v>
      </c>
      <c r="AF233" s="34">
        <v>1</v>
      </c>
      <c r="AG233" s="34">
        <v>5</v>
      </c>
      <c r="AH233" s="34"/>
      <c r="AI233" s="34">
        <v>39</v>
      </c>
      <c r="AJ233" s="34">
        <v>26</v>
      </c>
      <c r="AK233" s="131"/>
      <c r="AL233" s="131"/>
      <c r="AM233" s="131"/>
      <c r="AN233" s="398" t="s">
        <v>1052</v>
      </c>
      <c r="AO233" s="398"/>
      <c r="AP233" s="398"/>
      <c r="AQ233" s="34" t="s">
        <v>1053</v>
      </c>
      <c r="AR233" s="405">
        <v>264</v>
      </c>
    </row>
    <row r="234" spans="1:44" ht="15" customHeight="1">
      <c r="A234" s="34">
        <v>1050106</v>
      </c>
      <c r="B234" s="34" t="s">
        <v>1024</v>
      </c>
      <c r="C234" s="34" t="s">
        <v>1054</v>
      </c>
      <c r="D234" s="34" t="s">
        <v>81</v>
      </c>
      <c r="E234" s="34" t="s">
        <v>1009</v>
      </c>
      <c r="F234" s="34">
        <v>3</v>
      </c>
      <c r="G234" s="34">
        <v>5</v>
      </c>
      <c r="H234" s="34" t="s">
        <v>136</v>
      </c>
      <c r="I234" s="34" t="s">
        <v>137</v>
      </c>
      <c r="J234" s="34"/>
      <c r="K234" s="34"/>
      <c r="L234" s="372" t="s">
        <v>1055</v>
      </c>
      <c r="M234" s="371"/>
      <c r="N234" s="371"/>
      <c r="O234" s="34"/>
      <c r="P234" s="130"/>
      <c r="Q234" s="130">
        <v>0</v>
      </c>
      <c r="R234" s="130" t="s">
        <v>153</v>
      </c>
      <c r="S234" s="34">
        <v>1050106</v>
      </c>
      <c r="T234" s="382"/>
      <c r="U234" s="383"/>
      <c r="V234" s="130" t="s">
        <v>530</v>
      </c>
      <c r="W234" s="599" t="s">
        <v>1056</v>
      </c>
      <c r="X234" s="599" t="s">
        <v>1056</v>
      </c>
      <c r="Y234" s="130"/>
      <c r="Z234" s="130"/>
      <c r="AA234" s="130"/>
      <c r="AB234" s="130" t="s">
        <v>114</v>
      </c>
      <c r="AC234" s="34"/>
      <c r="AD234" s="34"/>
      <c r="AE234" s="34">
        <v>0</v>
      </c>
      <c r="AF234" s="34">
        <v>0</v>
      </c>
      <c r="AG234" s="34">
        <v>0</v>
      </c>
      <c r="AH234" s="34"/>
      <c r="AI234" s="34">
        <v>0</v>
      </c>
      <c r="AJ234" s="34">
        <v>0</v>
      </c>
      <c r="AK234" s="131" t="s">
        <v>1057</v>
      </c>
      <c r="AL234" s="131"/>
      <c r="AM234" s="131"/>
      <c r="AN234" s="34"/>
      <c r="AO234" s="34"/>
      <c r="AP234" s="34"/>
      <c r="AQ234" s="34" t="s">
        <v>1058</v>
      </c>
      <c r="AR234" s="405"/>
    </row>
    <row r="235" spans="1:44" ht="15" customHeight="1">
      <c r="A235" s="34">
        <v>1050107</v>
      </c>
      <c r="B235" s="34" t="s">
        <v>1024</v>
      </c>
      <c r="C235" s="34" t="s">
        <v>1059</v>
      </c>
      <c r="D235" s="34" t="s">
        <v>81</v>
      </c>
      <c r="E235" s="34" t="s">
        <v>1009</v>
      </c>
      <c r="F235" s="34">
        <v>4</v>
      </c>
      <c r="G235" s="34">
        <v>5</v>
      </c>
      <c r="H235" s="34" t="s">
        <v>136</v>
      </c>
      <c r="I235" s="34" t="s">
        <v>137</v>
      </c>
      <c r="J235" s="34"/>
      <c r="K235" s="34"/>
      <c r="L235" s="372" t="s">
        <v>1060</v>
      </c>
      <c r="M235" s="371"/>
      <c r="N235" s="371"/>
      <c r="O235" s="34"/>
      <c r="P235" s="130"/>
      <c r="Q235" s="130">
        <v>0</v>
      </c>
      <c r="R235" s="130" t="s">
        <v>153</v>
      </c>
      <c r="S235" s="34">
        <v>1050107</v>
      </c>
      <c r="T235" s="384"/>
      <c r="U235" s="385"/>
      <c r="V235" s="130" t="s">
        <v>530</v>
      </c>
      <c r="W235" s="599" t="s">
        <v>1061</v>
      </c>
      <c r="X235" s="599" t="s">
        <v>1061</v>
      </c>
      <c r="Y235" s="34"/>
      <c r="Z235" s="34"/>
      <c r="AA235" s="130"/>
      <c r="AB235" s="130" t="s">
        <v>90</v>
      </c>
      <c r="AC235" s="34"/>
      <c r="AD235" s="34"/>
      <c r="AE235" s="34">
        <v>0</v>
      </c>
      <c r="AF235" s="34">
        <v>0</v>
      </c>
      <c r="AG235" s="34">
        <v>0</v>
      </c>
      <c r="AH235" s="34"/>
      <c r="AI235" s="34">
        <v>0</v>
      </c>
      <c r="AJ235" s="34">
        <v>0</v>
      </c>
      <c r="AK235" s="131"/>
      <c r="AL235" s="131"/>
      <c r="AM235" s="131"/>
      <c r="AN235" s="34"/>
      <c r="AO235" s="34"/>
      <c r="AP235" s="34"/>
      <c r="AQ235" s="34" t="s">
        <v>1062</v>
      </c>
      <c r="AR235" s="405"/>
    </row>
    <row r="236" spans="1:44" ht="15" customHeight="1">
      <c r="A236" s="34">
        <v>1050108</v>
      </c>
      <c r="B236" s="34" t="s">
        <v>1024</v>
      </c>
      <c r="C236" s="34" t="s">
        <v>1063</v>
      </c>
      <c r="D236" s="34" t="s">
        <v>81</v>
      </c>
      <c r="E236" s="34" t="s">
        <v>1009</v>
      </c>
      <c r="F236" s="34">
        <v>5</v>
      </c>
      <c r="G236" s="34">
        <v>5</v>
      </c>
      <c r="H236" s="34" t="s">
        <v>136</v>
      </c>
      <c r="I236" s="34" t="s">
        <v>137</v>
      </c>
      <c r="J236" s="34"/>
      <c r="K236" s="34"/>
      <c r="L236" s="372" t="s">
        <v>1064</v>
      </c>
      <c r="M236" s="371"/>
      <c r="N236" s="371"/>
      <c r="O236" s="34"/>
      <c r="P236" s="130"/>
      <c r="Q236" s="130">
        <v>0</v>
      </c>
      <c r="R236" s="130" t="s">
        <v>153</v>
      </c>
      <c r="S236" s="34">
        <v>1050108</v>
      </c>
      <c r="T236" s="382"/>
      <c r="U236" s="383"/>
      <c r="V236" s="130" t="s">
        <v>530</v>
      </c>
      <c r="W236" s="599" t="s">
        <v>1065</v>
      </c>
      <c r="X236" s="599" t="s">
        <v>1065</v>
      </c>
      <c r="Y236" s="130"/>
      <c r="Z236" s="130"/>
      <c r="AA236" s="130"/>
      <c r="AB236" s="130" t="s">
        <v>114</v>
      </c>
      <c r="AC236" s="34"/>
      <c r="AD236" s="34"/>
      <c r="AE236" s="34">
        <v>0</v>
      </c>
      <c r="AF236" s="34">
        <v>0</v>
      </c>
      <c r="AG236" s="34">
        <v>0</v>
      </c>
      <c r="AH236" s="34"/>
      <c r="AI236" s="34">
        <v>0</v>
      </c>
      <c r="AJ236" s="34">
        <v>0</v>
      </c>
      <c r="AK236" s="131"/>
      <c r="AL236" s="131"/>
      <c r="AM236" s="131"/>
      <c r="AN236" s="34"/>
      <c r="AO236" s="34"/>
      <c r="AP236" s="34"/>
      <c r="AQ236" s="34" t="s">
        <v>1066</v>
      </c>
      <c r="AR236" s="405"/>
    </row>
    <row r="237" spans="1:44" ht="15" customHeight="1">
      <c r="A237" s="34">
        <v>1050109</v>
      </c>
      <c r="B237" s="34" t="s">
        <v>1024</v>
      </c>
      <c r="C237" s="34" t="s">
        <v>1067</v>
      </c>
      <c r="D237" s="34" t="s">
        <v>81</v>
      </c>
      <c r="E237" s="34" t="s">
        <v>1009</v>
      </c>
      <c r="F237" s="34">
        <v>6</v>
      </c>
      <c r="G237" s="34">
        <v>5</v>
      </c>
      <c r="H237" s="34" t="s">
        <v>136</v>
      </c>
      <c r="I237" s="34" t="s">
        <v>137</v>
      </c>
      <c r="J237" s="34"/>
      <c r="K237" s="34"/>
      <c r="L237" s="372" t="s">
        <v>1068</v>
      </c>
      <c r="M237" s="371"/>
      <c r="N237" s="371"/>
      <c r="O237" s="34"/>
      <c r="P237" s="130"/>
      <c r="Q237" s="130">
        <v>0</v>
      </c>
      <c r="R237" s="130" t="s">
        <v>153</v>
      </c>
      <c r="S237" s="34">
        <v>1050109</v>
      </c>
      <c r="T237" s="382"/>
      <c r="U237" s="383"/>
      <c r="V237" s="130" t="s">
        <v>530</v>
      </c>
      <c r="W237" s="599" t="s">
        <v>1069</v>
      </c>
      <c r="X237" s="599" t="s">
        <v>1069</v>
      </c>
      <c r="Y237" s="130"/>
      <c r="Z237" s="130"/>
      <c r="AA237" s="130"/>
      <c r="AB237" s="130"/>
      <c r="AC237" s="34"/>
      <c r="AD237" s="34"/>
      <c r="AE237" s="34">
        <v>0</v>
      </c>
      <c r="AF237" s="34">
        <v>0</v>
      </c>
      <c r="AG237" s="34">
        <v>0</v>
      </c>
      <c r="AH237" s="34"/>
      <c r="AI237" s="34">
        <v>0</v>
      </c>
      <c r="AJ237" s="34">
        <v>0</v>
      </c>
      <c r="AK237" s="131"/>
      <c r="AL237" s="131"/>
      <c r="AM237" s="131"/>
      <c r="AN237" s="34"/>
      <c r="AO237" s="34"/>
      <c r="AP237" s="34"/>
      <c r="AQ237" s="34" t="s">
        <v>1070</v>
      </c>
      <c r="AR237" s="405"/>
    </row>
    <row r="238" spans="1:44" ht="15" customHeight="1">
      <c r="A238" s="34">
        <v>1050110</v>
      </c>
      <c r="B238" s="34" t="s">
        <v>1024</v>
      </c>
      <c r="C238" s="34" t="s">
        <v>1071</v>
      </c>
      <c r="D238" s="34" t="s">
        <v>81</v>
      </c>
      <c r="E238" s="34" t="s">
        <v>1009</v>
      </c>
      <c r="F238" s="34">
        <v>7</v>
      </c>
      <c r="G238" s="34">
        <v>5</v>
      </c>
      <c r="H238" s="34" t="s">
        <v>136</v>
      </c>
      <c r="I238" s="34" t="s">
        <v>137</v>
      </c>
      <c r="J238" s="34"/>
      <c r="K238" s="34"/>
      <c r="L238" s="372" t="s">
        <v>1072</v>
      </c>
      <c r="M238" s="371"/>
      <c r="N238" s="371"/>
      <c r="O238" s="34"/>
      <c r="P238" s="130"/>
      <c r="Q238" s="130">
        <v>0</v>
      </c>
      <c r="R238" s="130" t="s">
        <v>153</v>
      </c>
      <c r="S238" s="34">
        <v>1050110</v>
      </c>
      <c r="T238" s="382"/>
      <c r="U238" s="383"/>
      <c r="V238" s="130" t="s">
        <v>530</v>
      </c>
      <c r="W238" s="599" t="s">
        <v>1073</v>
      </c>
      <c r="X238" s="599" t="s">
        <v>1073</v>
      </c>
      <c r="Y238" s="130"/>
      <c r="Z238" s="130"/>
      <c r="AA238" s="130"/>
      <c r="AB238" s="130" t="s">
        <v>90</v>
      </c>
      <c r="AC238" s="34"/>
      <c r="AD238" s="34"/>
      <c r="AE238" s="34">
        <v>0</v>
      </c>
      <c r="AF238" s="34">
        <v>0</v>
      </c>
      <c r="AG238" s="34">
        <v>0</v>
      </c>
      <c r="AH238" s="34"/>
      <c r="AI238" s="34">
        <v>0</v>
      </c>
      <c r="AJ238" s="34">
        <v>0</v>
      </c>
      <c r="AK238" s="131"/>
      <c r="AL238" s="131"/>
      <c r="AM238" s="131"/>
      <c r="AN238" s="34"/>
      <c r="AO238" s="34"/>
      <c r="AP238" s="34"/>
      <c r="AQ238" s="34" t="s">
        <v>1074</v>
      </c>
      <c r="AR238" s="405"/>
    </row>
    <row r="239" spans="1:44" ht="15" customHeight="1">
      <c r="A239" s="3">
        <v>1050111</v>
      </c>
      <c r="B239" s="3" t="s">
        <v>1024</v>
      </c>
      <c r="C239" s="236" t="s">
        <v>1075</v>
      </c>
      <c r="D239" s="3" t="s">
        <v>81</v>
      </c>
      <c r="E239" s="3" t="s">
        <v>1009</v>
      </c>
      <c r="F239" s="3">
        <v>8</v>
      </c>
      <c r="G239" s="3">
        <v>5</v>
      </c>
      <c r="H239" s="3" t="s">
        <v>136</v>
      </c>
      <c r="I239" s="3" t="s">
        <v>137</v>
      </c>
      <c r="J239" s="3"/>
      <c r="K239" s="3"/>
      <c r="L239" s="236"/>
      <c r="M239" s="99"/>
      <c r="N239" s="99"/>
      <c r="O239" s="236"/>
      <c r="P239" s="22"/>
      <c r="Q239" s="22">
        <v>0</v>
      </c>
      <c r="R239" s="22" t="s">
        <v>153</v>
      </c>
      <c r="S239" s="3"/>
      <c r="T239" s="260"/>
      <c r="U239" s="261"/>
      <c r="V239" s="22"/>
      <c r="W239" s="567" t="s">
        <v>285</v>
      </c>
      <c r="X239" s="567" t="s">
        <v>6732</v>
      </c>
      <c r="Y239" s="22"/>
      <c r="Z239" s="22"/>
      <c r="AA239" s="22"/>
      <c r="AB239" s="22" t="s">
        <v>114</v>
      </c>
      <c r="AC239" s="3"/>
      <c r="AD239" s="3"/>
      <c r="AE239" s="3">
        <v>0</v>
      </c>
      <c r="AF239" s="3">
        <v>0</v>
      </c>
      <c r="AG239" s="3">
        <v>0</v>
      </c>
      <c r="AH239" s="3"/>
      <c r="AI239" s="3">
        <v>0</v>
      </c>
      <c r="AJ239" s="3">
        <v>0</v>
      </c>
      <c r="AK239" s="3">
        <v>0</v>
      </c>
      <c r="AL239" s="3"/>
      <c r="AM239" s="3"/>
      <c r="AN239" s="3"/>
      <c r="AO239" s="3"/>
      <c r="AP239" s="3"/>
      <c r="AQ239" s="3" t="s">
        <v>1053</v>
      </c>
      <c r="AR239" s="281"/>
    </row>
    <row r="240" spans="1:44" ht="15" customHeight="1">
      <c r="A240" s="3">
        <v>1050112</v>
      </c>
      <c r="B240" s="3" t="s">
        <v>1024</v>
      </c>
      <c r="C240" s="236" t="s">
        <v>1076</v>
      </c>
      <c r="D240" s="3" t="s">
        <v>81</v>
      </c>
      <c r="E240" s="3" t="s">
        <v>1077</v>
      </c>
      <c r="F240" s="3">
        <v>9</v>
      </c>
      <c r="G240" s="3">
        <v>1</v>
      </c>
      <c r="H240" s="3" t="s">
        <v>136</v>
      </c>
      <c r="I240" s="3" t="s">
        <v>137</v>
      </c>
      <c r="J240" s="3"/>
      <c r="K240" s="3"/>
      <c r="L240" s="236"/>
      <c r="M240" s="99"/>
      <c r="N240" s="99"/>
      <c r="O240" s="236"/>
      <c r="P240" s="22"/>
      <c r="Q240" s="22">
        <v>0</v>
      </c>
      <c r="R240" s="22" t="s">
        <v>153</v>
      </c>
      <c r="S240" s="3"/>
      <c r="T240" s="260"/>
      <c r="U240" s="261"/>
      <c r="V240" s="22"/>
      <c r="W240" s="567" t="s">
        <v>1078</v>
      </c>
      <c r="X240" s="567" t="s">
        <v>6749</v>
      </c>
      <c r="Y240" s="22"/>
      <c r="Z240" s="22"/>
      <c r="AA240" s="22"/>
      <c r="AB240" s="22" t="s">
        <v>114</v>
      </c>
      <c r="AC240" s="3"/>
      <c r="AD240" s="3"/>
      <c r="AE240" s="3">
        <v>0</v>
      </c>
      <c r="AF240" s="3">
        <v>0</v>
      </c>
      <c r="AG240" s="3">
        <v>0</v>
      </c>
      <c r="AH240" s="3"/>
      <c r="AI240" s="3">
        <v>0</v>
      </c>
      <c r="AJ240" s="3">
        <v>0</v>
      </c>
      <c r="AK240" s="3">
        <v>0</v>
      </c>
      <c r="AL240" s="3"/>
      <c r="AM240" s="3"/>
      <c r="AN240" s="3"/>
      <c r="AO240" s="3"/>
      <c r="AP240" s="3"/>
      <c r="AQ240" s="282" t="str">
        <f>"tricks/"&amp;A240</f>
        <v>tricks/1050112</v>
      </c>
    </row>
    <row r="241" spans="1:44" ht="15" customHeight="1">
      <c r="A241" s="3">
        <v>1050113</v>
      </c>
      <c r="B241" s="3" t="s">
        <v>1024</v>
      </c>
      <c r="C241" s="236" t="s">
        <v>1079</v>
      </c>
      <c r="D241" s="3" t="s">
        <v>81</v>
      </c>
      <c r="E241" s="3" t="s">
        <v>1077</v>
      </c>
      <c r="F241" s="3">
        <v>10</v>
      </c>
      <c r="G241" s="3">
        <v>1</v>
      </c>
      <c r="H241" s="3" t="s">
        <v>136</v>
      </c>
      <c r="I241" s="3" t="s">
        <v>137</v>
      </c>
      <c r="J241" s="3"/>
      <c r="K241" s="3"/>
      <c r="L241" s="236"/>
      <c r="M241" s="99"/>
      <c r="N241" s="99"/>
      <c r="O241" s="236"/>
      <c r="P241" s="22"/>
      <c r="Q241" s="22">
        <v>0</v>
      </c>
      <c r="R241" s="22" t="s">
        <v>153</v>
      </c>
      <c r="S241" s="3"/>
      <c r="T241" s="260"/>
      <c r="U241" s="261"/>
      <c r="V241" s="22"/>
      <c r="W241" s="567" t="s">
        <v>1080</v>
      </c>
      <c r="X241" s="567" t="s">
        <v>1080</v>
      </c>
      <c r="Y241" s="22"/>
      <c r="Z241" s="22"/>
      <c r="AA241" s="22"/>
      <c r="AB241" s="22" t="s">
        <v>114</v>
      </c>
      <c r="AC241" s="3"/>
      <c r="AD241" s="3"/>
      <c r="AE241" s="3">
        <v>0</v>
      </c>
      <c r="AF241" s="3">
        <v>0</v>
      </c>
      <c r="AG241" s="3">
        <v>0</v>
      </c>
      <c r="AH241" s="3"/>
      <c r="AI241" s="3">
        <v>0</v>
      </c>
      <c r="AJ241" s="3">
        <v>0</v>
      </c>
      <c r="AK241" s="3">
        <v>0</v>
      </c>
      <c r="AL241" s="3"/>
      <c r="AM241" s="3"/>
      <c r="AN241" s="3"/>
      <c r="AO241" s="3"/>
      <c r="AP241" s="3"/>
      <c r="AQ241" s="282" t="str">
        <f>"tricks/"&amp;A241</f>
        <v>tricks/1050113</v>
      </c>
    </row>
    <row r="242" spans="1:44" ht="15" customHeight="1">
      <c r="A242" s="35">
        <v>1050201</v>
      </c>
      <c r="B242" s="35" t="s">
        <v>1081</v>
      </c>
      <c r="C242" s="596" t="s">
        <v>1082</v>
      </c>
      <c r="D242" s="35" t="s">
        <v>81</v>
      </c>
      <c r="E242" s="35" t="s">
        <v>1009</v>
      </c>
      <c r="F242" s="35">
        <v>1</v>
      </c>
      <c r="G242" s="35">
        <v>5</v>
      </c>
      <c r="H242" s="35" t="s">
        <v>82</v>
      </c>
      <c r="I242" s="35" t="s">
        <v>101</v>
      </c>
      <c r="J242" s="35"/>
      <c r="K242" s="35">
        <v>1</v>
      </c>
      <c r="L242" s="373" t="s">
        <v>1026</v>
      </c>
      <c r="M242" s="374"/>
      <c r="N242" s="374"/>
      <c r="O242" s="35"/>
      <c r="P242" s="375">
        <v>2</v>
      </c>
      <c r="Q242" s="375">
        <v>0</v>
      </c>
      <c r="R242" s="375" t="s">
        <v>85</v>
      </c>
      <c r="S242" s="35">
        <v>1050101</v>
      </c>
      <c r="T242" s="386" t="s">
        <v>1083</v>
      </c>
      <c r="U242" s="387" t="s">
        <v>1084</v>
      </c>
      <c r="V242" s="375" t="s">
        <v>582</v>
      </c>
      <c r="W242" s="600" t="s">
        <v>1085</v>
      </c>
      <c r="X242" s="600" t="s">
        <v>1085</v>
      </c>
      <c r="Y242" s="375"/>
      <c r="Z242" s="375"/>
      <c r="AA242" s="375">
        <v>1</v>
      </c>
      <c r="AB242" s="375" t="s">
        <v>90</v>
      </c>
      <c r="AC242" s="35"/>
      <c r="AD242" s="35"/>
      <c r="AE242" s="35">
        <v>1</v>
      </c>
      <c r="AF242" s="35">
        <v>2</v>
      </c>
      <c r="AG242" s="35">
        <v>6</v>
      </c>
      <c r="AH242" s="35"/>
      <c r="AI242" s="35">
        <v>39</v>
      </c>
      <c r="AJ242" s="35">
        <v>26</v>
      </c>
      <c r="AK242" s="399"/>
      <c r="AL242" s="399"/>
      <c r="AM242" s="399"/>
      <c r="AN242" s="400" t="s">
        <v>1086</v>
      </c>
      <c r="AO242" s="400"/>
      <c r="AP242" s="400"/>
      <c r="AQ242" s="35" t="s">
        <v>1087</v>
      </c>
      <c r="AR242" s="406">
        <v>310</v>
      </c>
    </row>
    <row r="243" spans="1:44" ht="15" customHeight="1">
      <c r="A243" s="35">
        <v>1050202</v>
      </c>
      <c r="B243" s="35" t="s">
        <v>1081</v>
      </c>
      <c r="C243" s="35" t="s">
        <v>1088</v>
      </c>
      <c r="D243" s="35" t="s">
        <v>81</v>
      </c>
      <c r="E243" s="35" t="s">
        <v>1009</v>
      </c>
      <c r="F243" s="35">
        <v>1</v>
      </c>
      <c r="G243" s="35">
        <v>5</v>
      </c>
      <c r="H243" s="35" t="s">
        <v>136</v>
      </c>
      <c r="I243" s="35" t="s">
        <v>137</v>
      </c>
      <c r="J243" s="35"/>
      <c r="K243" s="35"/>
      <c r="L243" s="376" t="s">
        <v>1034</v>
      </c>
      <c r="M243" s="374"/>
      <c r="N243" s="374"/>
      <c r="O243" s="35"/>
      <c r="P243" s="375">
        <v>3</v>
      </c>
      <c r="Q243" s="375">
        <v>0</v>
      </c>
      <c r="R243" s="375" t="s">
        <v>153</v>
      </c>
      <c r="S243" s="35">
        <v>1050102</v>
      </c>
      <c r="T243" s="386"/>
      <c r="U243" s="387"/>
      <c r="V243" s="375" t="s">
        <v>582</v>
      </c>
      <c r="W243" s="601" t="s">
        <v>1089</v>
      </c>
      <c r="X243" s="601" t="s">
        <v>1089</v>
      </c>
      <c r="Y243" s="375"/>
      <c r="Z243" s="375"/>
      <c r="AA243" s="375">
        <v>1</v>
      </c>
      <c r="AB243" s="375"/>
      <c r="AC243" s="35"/>
      <c r="AD243" s="35"/>
      <c r="AE243" s="35">
        <v>0</v>
      </c>
      <c r="AF243" s="35">
        <v>0</v>
      </c>
      <c r="AG243" s="35">
        <v>0</v>
      </c>
      <c r="AH243" s="35"/>
      <c r="AI243" s="35">
        <v>0</v>
      </c>
      <c r="AJ243" s="35">
        <v>0</v>
      </c>
      <c r="AK243" s="399"/>
      <c r="AL243" s="399"/>
      <c r="AM243" s="399"/>
      <c r="AN243" s="400"/>
      <c r="AO243" s="400"/>
      <c r="AP243" s="400"/>
      <c r="AQ243" s="35" t="s">
        <v>1090</v>
      </c>
      <c r="AR243" s="406"/>
    </row>
    <row r="244" spans="1:44" ht="15" customHeight="1">
      <c r="A244" s="35">
        <v>1050203</v>
      </c>
      <c r="B244" s="35" t="s">
        <v>1081</v>
      </c>
      <c r="C244" s="35" t="s">
        <v>1091</v>
      </c>
      <c r="D244" s="35" t="s">
        <v>81</v>
      </c>
      <c r="E244" s="35" t="s">
        <v>1009</v>
      </c>
      <c r="F244" s="35">
        <v>1</v>
      </c>
      <c r="G244" s="35">
        <v>5</v>
      </c>
      <c r="H244" s="35" t="s">
        <v>82</v>
      </c>
      <c r="I244" s="35" t="s">
        <v>101</v>
      </c>
      <c r="J244" s="35"/>
      <c r="K244" s="35">
        <v>2</v>
      </c>
      <c r="L244" s="373" t="s">
        <v>1038</v>
      </c>
      <c r="M244" s="374"/>
      <c r="N244" s="374"/>
      <c r="O244" s="35"/>
      <c r="P244" s="375">
        <v>1</v>
      </c>
      <c r="Q244" s="375">
        <v>0</v>
      </c>
      <c r="R244" s="375" t="s">
        <v>85</v>
      </c>
      <c r="S244" s="35">
        <v>1050103</v>
      </c>
      <c r="T244" s="386" t="s">
        <v>1092</v>
      </c>
      <c r="U244" s="387" t="s">
        <v>1093</v>
      </c>
      <c r="V244" s="375" t="s">
        <v>582</v>
      </c>
      <c r="W244" s="600" t="s">
        <v>1094</v>
      </c>
      <c r="X244" s="600" t="s">
        <v>1094</v>
      </c>
      <c r="Y244" s="375"/>
      <c r="Z244" s="375"/>
      <c r="AA244" s="375">
        <v>1</v>
      </c>
      <c r="AB244" s="375" t="s">
        <v>90</v>
      </c>
      <c r="AC244" s="35"/>
      <c r="AD244" s="35"/>
      <c r="AE244" s="35">
        <v>1</v>
      </c>
      <c r="AF244" s="35">
        <v>1</v>
      </c>
      <c r="AG244" s="35">
        <v>5</v>
      </c>
      <c r="AH244" s="35"/>
      <c r="AI244" s="35">
        <v>39</v>
      </c>
      <c r="AJ244" s="35">
        <v>26</v>
      </c>
      <c r="AK244" s="399"/>
      <c r="AL244" s="399"/>
      <c r="AM244" s="399"/>
      <c r="AN244" s="400" t="s">
        <v>1095</v>
      </c>
      <c r="AO244" s="400"/>
      <c r="AP244" s="400"/>
      <c r="AQ244" s="35" t="s">
        <v>1096</v>
      </c>
      <c r="AR244" s="406">
        <v>311</v>
      </c>
    </row>
    <row r="245" spans="1:44" ht="15" customHeight="1">
      <c r="A245" s="35">
        <v>1050204</v>
      </c>
      <c r="B245" s="35" t="s">
        <v>1081</v>
      </c>
      <c r="C245" s="35" t="s">
        <v>1097</v>
      </c>
      <c r="D245" s="35" t="s">
        <v>81</v>
      </c>
      <c r="E245" s="35" t="s">
        <v>1009</v>
      </c>
      <c r="F245" s="35">
        <v>2</v>
      </c>
      <c r="G245" s="35">
        <v>5</v>
      </c>
      <c r="H245" s="35" t="s">
        <v>136</v>
      </c>
      <c r="I245" s="35" t="s">
        <v>137</v>
      </c>
      <c r="J245" s="35"/>
      <c r="K245" s="35"/>
      <c r="L245" s="376" t="s">
        <v>1044</v>
      </c>
      <c r="M245" s="35"/>
      <c r="N245" s="35"/>
      <c r="O245" s="35"/>
      <c r="P245" s="35"/>
      <c r="Q245" s="375">
        <v>0</v>
      </c>
      <c r="R245" s="35" t="s">
        <v>153</v>
      </c>
      <c r="S245" s="35">
        <v>1050104</v>
      </c>
      <c r="T245" s="386"/>
      <c r="U245" s="387"/>
      <c r="V245" s="375" t="s">
        <v>582</v>
      </c>
      <c r="W245" s="601" t="s">
        <v>1098</v>
      </c>
      <c r="X245" s="601" t="s">
        <v>1098</v>
      </c>
      <c r="Y245" s="375"/>
      <c r="Z245" s="375"/>
      <c r="AA245" s="375">
        <v>2</v>
      </c>
      <c r="AB245" s="375" t="s">
        <v>114</v>
      </c>
      <c r="AC245" s="35"/>
      <c r="AD245" s="35"/>
      <c r="AE245" s="35">
        <v>0</v>
      </c>
      <c r="AF245" s="35">
        <v>0</v>
      </c>
      <c r="AG245" s="35">
        <v>0</v>
      </c>
      <c r="AH245" s="35"/>
      <c r="AI245" s="35">
        <v>0</v>
      </c>
      <c r="AJ245" s="35">
        <v>0</v>
      </c>
      <c r="AK245" s="399"/>
      <c r="AL245" s="399"/>
      <c r="AM245" s="399"/>
      <c r="AN245" s="400"/>
      <c r="AO245" s="400"/>
      <c r="AP245" s="400"/>
      <c r="AQ245" s="35" t="s">
        <v>1099</v>
      </c>
      <c r="AR245" s="406"/>
    </row>
    <row r="246" spans="1:44" ht="15" customHeight="1">
      <c r="A246" s="35">
        <v>1050205</v>
      </c>
      <c r="B246" s="35" t="s">
        <v>1081</v>
      </c>
      <c r="C246" s="596" t="s">
        <v>1100</v>
      </c>
      <c r="D246" s="35" t="s">
        <v>81</v>
      </c>
      <c r="E246" s="35" t="s">
        <v>1009</v>
      </c>
      <c r="F246" s="35">
        <v>1</v>
      </c>
      <c r="G246" s="35">
        <v>5</v>
      </c>
      <c r="H246" s="35" t="s">
        <v>82</v>
      </c>
      <c r="I246" s="35" t="s">
        <v>101</v>
      </c>
      <c r="J246" s="35"/>
      <c r="K246" s="35">
        <v>3</v>
      </c>
      <c r="L246" s="376" t="s">
        <v>1048</v>
      </c>
      <c r="M246" s="374"/>
      <c r="N246" s="374"/>
      <c r="O246" s="35"/>
      <c r="P246" s="375">
        <v>2</v>
      </c>
      <c r="Q246" s="375">
        <v>0</v>
      </c>
      <c r="R246" s="375" t="s">
        <v>1039</v>
      </c>
      <c r="S246" s="35">
        <v>1050105</v>
      </c>
      <c r="T246" s="386"/>
      <c r="U246" s="387"/>
      <c r="V246" s="375" t="s">
        <v>582</v>
      </c>
      <c r="W246" s="601" t="s">
        <v>1101</v>
      </c>
      <c r="X246" s="601" t="s">
        <v>1101</v>
      </c>
      <c r="Y246" s="375"/>
      <c r="Z246" s="375"/>
      <c r="AA246" s="375">
        <v>2</v>
      </c>
      <c r="AB246" s="375" t="s">
        <v>90</v>
      </c>
      <c r="AC246" s="35"/>
      <c r="AD246" s="35"/>
      <c r="AE246" s="35">
        <v>1</v>
      </c>
      <c r="AF246" s="35">
        <v>1</v>
      </c>
      <c r="AG246" s="35">
        <v>5</v>
      </c>
      <c r="AH246" s="35"/>
      <c r="AI246" s="35">
        <v>39</v>
      </c>
      <c r="AJ246" s="35">
        <v>26</v>
      </c>
      <c r="AK246" s="399"/>
      <c r="AL246" s="399"/>
      <c r="AM246" s="399"/>
      <c r="AN246" s="400" t="s">
        <v>1102</v>
      </c>
      <c r="AO246" s="400"/>
      <c r="AP246" s="400"/>
      <c r="AQ246" s="35" t="s">
        <v>1103</v>
      </c>
      <c r="AR246" s="406">
        <v>312</v>
      </c>
    </row>
    <row r="247" spans="1:44" ht="15" customHeight="1">
      <c r="A247" s="35">
        <v>1050206</v>
      </c>
      <c r="B247" s="35" t="s">
        <v>1081</v>
      </c>
      <c r="C247" s="35" t="s">
        <v>1104</v>
      </c>
      <c r="D247" s="35" t="s">
        <v>81</v>
      </c>
      <c r="E247" s="35" t="s">
        <v>1009</v>
      </c>
      <c r="F247" s="35">
        <v>3</v>
      </c>
      <c r="G247" s="35">
        <v>5</v>
      </c>
      <c r="H247" s="35" t="s">
        <v>136</v>
      </c>
      <c r="I247" s="35" t="s">
        <v>137</v>
      </c>
      <c r="J247" s="35"/>
      <c r="K247" s="35"/>
      <c r="L247" s="376" t="s">
        <v>1055</v>
      </c>
      <c r="M247" s="374"/>
      <c r="N247" s="374"/>
      <c r="O247" s="35"/>
      <c r="P247" s="375"/>
      <c r="Q247" s="375">
        <v>0</v>
      </c>
      <c r="R247" s="375" t="s">
        <v>153</v>
      </c>
      <c r="S247" s="35">
        <v>1050106</v>
      </c>
      <c r="T247" s="386"/>
      <c r="U247" s="387"/>
      <c r="V247" s="375" t="s">
        <v>582</v>
      </c>
      <c r="W247" s="601" t="s">
        <v>1105</v>
      </c>
      <c r="X247" s="601" t="s">
        <v>1105</v>
      </c>
      <c r="Y247" s="375"/>
      <c r="Z247" s="375"/>
      <c r="AA247" s="375"/>
      <c r="AB247" s="375" t="s">
        <v>114</v>
      </c>
      <c r="AC247" s="35"/>
      <c r="AD247" s="35"/>
      <c r="AE247" s="35">
        <v>0</v>
      </c>
      <c r="AF247" s="35">
        <v>0</v>
      </c>
      <c r="AG247" s="35">
        <v>0</v>
      </c>
      <c r="AH247" s="35"/>
      <c r="AI247" s="35">
        <v>0</v>
      </c>
      <c r="AJ247" s="35">
        <v>0</v>
      </c>
      <c r="AK247" s="399"/>
      <c r="AL247" s="399"/>
      <c r="AM247" s="399"/>
      <c r="AN247" s="35"/>
      <c r="AO247" s="35"/>
      <c r="AP247" s="35"/>
      <c r="AQ247" s="35" t="s">
        <v>1106</v>
      </c>
      <c r="AR247" s="406"/>
    </row>
    <row r="248" spans="1:44" ht="15" customHeight="1">
      <c r="A248" s="35">
        <v>1050207</v>
      </c>
      <c r="B248" s="35" t="s">
        <v>1081</v>
      </c>
      <c r="C248" s="35" t="s">
        <v>1107</v>
      </c>
      <c r="D248" s="35" t="s">
        <v>81</v>
      </c>
      <c r="E248" s="35" t="s">
        <v>1009</v>
      </c>
      <c r="F248" s="35">
        <v>4</v>
      </c>
      <c r="G248" s="35">
        <v>5</v>
      </c>
      <c r="H248" s="35" t="s">
        <v>136</v>
      </c>
      <c r="I248" s="35" t="s">
        <v>137</v>
      </c>
      <c r="J248" s="35"/>
      <c r="K248" s="35"/>
      <c r="L248" s="376" t="s">
        <v>1060</v>
      </c>
      <c r="M248" s="374"/>
      <c r="N248" s="374"/>
      <c r="O248" s="35"/>
      <c r="P248" s="375"/>
      <c r="Q248" s="375">
        <v>0</v>
      </c>
      <c r="R248" s="375" t="s">
        <v>153</v>
      </c>
      <c r="S248" s="35">
        <v>1050107</v>
      </c>
      <c r="T248" s="388"/>
      <c r="U248" s="389"/>
      <c r="V248" s="375" t="s">
        <v>582</v>
      </c>
      <c r="W248" s="601" t="s">
        <v>1108</v>
      </c>
      <c r="X248" s="601" t="s">
        <v>1108</v>
      </c>
      <c r="Y248" s="35"/>
      <c r="Z248" s="35"/>
      <c r="AA248" s="375"/>
      <c r="AB248" s="375" t="s">
        <v>90</v>
      </c>
      <c r="AC248" s="35"/>
      <c r="AD248" s="35"/>
      <c r="AE248" s="35">
        <v>0</v>
      </c>
      <c r="AF248" s="35">
        <v>0</v>
      </c>
      <c r="AG248" s="35">
        <v>0</v>
      </c>
      <c r="AH248" s="35"/>
      <c r="AI248" s="35">
        <v>0</v>
      </c>
      <c r="AJ248" s="35">
        <v>0</v>
      </c>
      <c r="AK248" s="399"/>
      <c r="AL248" s="399"/>
      <c r="AM248" s="399"/>
      <c r="AN248" s="35"/>
      <c r="AO248" s="35"/>
      <c r="AP248" s="35"/>
      <c r="AQ248" s="35" t="s">
        <v>1109</v>
      </c>
      <c r="AR248" s="406"/>
    </row>
    <row r="249" spans="1:44" ht="15" customHeight="1">
      <c r="A249" s="35">
        <v>1050208</v>
      </c>
      <c r="B249" s="35" t="s">
        <v>1081</v>
      </c>
      <c r="C249" s="35" t="s">
        <v>1110</v>
      </c>
      <c r="D249" s="35" t="s">
        <v>81</v>
      </c>
      <c r="E249" s="35" t="s">
        <v>1009</v>
      </c>
      <c r="F249" s="35">
        <v>5</v>
      </c>
      <c r="G249" s="35">
        <v>5</v>
      </c>
      <c r="H249" s="35" t="s">
        <v>136</v>
      </c>
      <c r="I249" s="35" t="s">
        <v>137</v>
      </c>
      <c r="J249" s="35"/>
      <c r="K249" s="35"/>
      <c r="L249" s="376" t="s">
        <v>1064</v>
      </c>
      <c r="M249" s="374"/>
      <c r="N249" s="374"/>
      <c r="O249" s="35"/>
      <c r="P249" s="375"/>
      <c r="Q249" s="375">
        <v>0</v>
      </c>
      <c r="R249" s="375" t="s">
        <v>153</v>
      </c>
      <c r="S249" s="35">
        <v>1050108</v>
      </c>
      <c r="T249" s="386"/>
      <c r="U249" s="387"/>
      <c r="V249" s="375" t="s">
        <v>582</v>
      </c>
      <c r="W249" s="601" t="s">
        <v>1111</v>
      </c>
      <c r="X249" s="601" t="s">
        <v>1111</v>
      </c>
      <c r="Y249" s="375"/>
      <c r="Z249" s="375"/>
      <c r="AA249" s="375"/>
      <c r="AB249" s="375" t="s">
        <v>114</v>
      </c>
      <c r="AC249" s="35"/>
      <c r="AD249" s="35"/>
      <c r="AE249" s="35">
        <v>0</v>
      </c>
      <c r="AF249" s="35">
        <v>0</v>
      </c>
      <c r="AG249" s="35">
        <v>0</v>
      </c>
      <c r="AH249" s="35"/>
      <c r="AI249" s="35">
        <v>0</v>
      </c>
      <c r="AJ249" s="35">
        <v>0</v>
      </c>
      <c r="AK249" s="399"/>
      <c r="AL249" s="399"/>
      <c r="AM249" s="399"/>
      <c r="AN249" s="35"/>
      <c r="AO249" s="35"/>
      <c r="AP249" s="35"/>
      <c r="AQ249" s="35" t="s">
        <v>1112</v>
      </c>
      <c r="AR249" s="406"/>
    </row>
    <row r="250" spans="1:44" ht="15" customHeight="1">
      <c r="A250" s="35">
        <v>1050209</v>
      </c>
      <c r="B250" s="35" t="s">
        <v>1081</v>
      </c>
      <c r="C250" s="35" t="s">
        <v>1113</v>
      </c>
      <c r="D250" s="35" t="s">
        <v>81</v>
      </c>
      <c r="E250" s="35" t="s">
        <v>1009</v>
      </c>
      <c r="F250" s="35">
        <v>6</v>
      </c>
      <c r="G250" s="35">
        <v>5</v>
      </c>
      <c r="H250" s="35" t="s">
        <v>136</v>
      </c>
      <c r="I250" s="35" t="s">
        <v>137</v>
      </c>
      <c r="J250" s="35"/>
      <c r="K250" s="35"/>
      <c r="L250" s="376" t="s">
        <v>1068</v>
      </c>
      <c r="M250" s="374"/>
      <c r="N250" s="374"/>
      <c r="O250" s="35"/>
      <c r="P250" s="375"/>
      <c r="Q250" s="375">
        <v>0</v>
      </c>
      <c r="R250" s="375" t="s">
        <v>153</v>
      </c>
      <c r="S250" s="35">
        <v>1050109</v>
      </c>
      <c r="T250" s="386"/>
      <c r="U250" s="387"/>
      <c r="V250" s="375" t="s">
        <v>582</v>
      </c>
      <c r="W250" s="601" t="s">
        <v>1114</v>
      </c>
      <c r="X250" s="601" t="s">
        <v>1114</v>
      </c>
      <c r="Y250" s="375"/>
      <c r="Z250" s="375"/>
      <c r="AA250" s="375"/>
      <c r="AB250" s="375"/>
      <c r="AC250" s="35"/>
      <c r="AD250" s="35"/>
      <c r="AE250" s="35">
        <v>0</v>
      </c>
      <c r="AF250" s="35">
        <v>0</v>
      </c>
      <c r="AG250" s="35">
        <v>0</v>
      </c>
      <c r="AH250" s="35"/>
      <c r="AI250" s="35">
        <v>0</v>
      </c>
      <c r="AJ250" s="35">
        <v>0</v>
      </c>
      <c r="AK250" s="399"/>
      <c r="AL250" s="399"/>
      <c r="AM250" s="399"/>
      <c r="AN250" s="35"/>
      <c r="AO250" s="35"/>
      <c r="AP250" s="35"/>
      <c r="AQ250" s="35" t="s">
        <v>1115</v>
      </c>
      <c r="AR250" s="406"/>
    </row>
    <row r="251" spans="1:44" ht="15" customHeight="1">
      <c r="A251" s="35">
        <v>1050210</v>
      </c>
      <c r="B251" s="35" t="s">
        <v>1081</v>
      </c>
      <c r="C251" s="35" t="s">
        <v>1116</v>
      </c>
      <c r="D251" s="35" t="s">
        <v>81</v>
      </c>
      <c r="E251" s="35" t="s">
        <v>1009</v>
      </c>
      <c r="F251" s="35">
        <v>7</v>
      </c>
      <c r="G251" s="35">
        <v>5</v>
      </c>
      <c r="H251" s="35" t="s">
        <v>136</v>
      </c>
      <c r="I251" s="35" t="s">
        <v>137</v>
      </c>
      <c r="J251" s="35"/>
      <c r="K251" s="35"/>
      <c r="L251" s="376" t="s">
        <v>1072</v>
      </c>
      <c r="M251" s="374"/>
      <c r="N251" s="374"/>
      <c r="O251" s="35"/>
      <c r="P251" s="375"/>
      <c r="Q251" s="375">
        <v>0</v>
      </c>
      <c r="R251" s="375" t="s">
        <v>153</v>
      </c>
      <c r="S251" s="35">
        <v>1050110</v>
      </c>
      <c r="T251" s="386"/>
      <c r="U251" s="387"/>
      <c r="V251" s="375" t="s">
        <v>582</v>
      </c>
      <c r="W251" s="601" t="s">
        <v>1117</v>
      </c>
      <c r="X251" s="601" t="s">
        <v>1117</v>
      </c>
      <c r="Y251" s="375"/>
      <c r="Z251" s="375"/>
      <c r="AA251" s="375"/>
      <c r="AB251" s="375" t="s">
        <v>90</v>
      </c>
      <c r="AC251" s="35"/>
      <c r="AD251" s="35"/>
      <c r="AE251" s="35">
        <v>0</v>
      </c>
      <c r="AF251" s="35">
        <v>0</v>
      </c>
      <c r="AG251" s="35">
        <v>0</v>
      </c>
      <c r="AH251" s="35"/>
      <c r="AI251" s="35">
        <v>0</v>
      </c>
      <c r="AJ251" s="35">
        <v>0</v>
      </c>
      <c r="AK251" s="399"/>
      <c r="AL251" s="399"/>
      <c r="AM251" s="399"/>
      <c r="AN251" s="35"/>
      <c r="AO251" s="35"/>
      <c r="AP251" s="35"/>
      <c r="AQ251" s="35" t="s">
        <v>1118</v>
      </c>
      <c r="AR251" s="406"/>
    </row>
    <row r="252" spans="1:44" ht="15" customHeight="1">
      <c r="A252" s="3">
        <v>1050211</v>
      </c>
      <c r="B252" s="3" t="s">
        <v>1081</v>
      </c>
      <c r="C252" s="236" t="s">
        <v>1119</v>
      </c>
      <c r="D252" s="3" t="s">
        <v>81</v>
      </c>
      <c r="E252" s="3" t="s">
        <v>1009</v>
      </c>
      <c r="F252" s="3">
        <v>8</v>
      </c>
      <c r="G252" s="3">
        <v>5</v>
      </c>
      <c r="H252" s="3" t="s">
        <v>136</v>
      </c>
      <c r="I252" s="3" t="s">
        <v>137</v>
      </c>
      <c r="J252" s="3"/>
      <c r="K252" s="3"/>
      <c r="L252" s="236"/>
      <c r="M252" s="99"/>
      <c r="N252" s="99"/>
      <c r="O252" s="236"/>
      <c r="P252" s="22"/>
      <c r="Q252" s="22">
        <v>0</v>
      </c>
      <c r="R252" s="22" t="s">
        <v>153</v>
      </c>
      <c r="S252" s="3"/>
      <c r="T252" s="260"/>
      <c r="U252" s="261"/>
      <c r="V252" s="22"/>
      <c r="W252" s="567" t="s">
        <v>285</v>
      </c>
      <c r="X252" s="567" t="s">
        <v>6732</v>
      </c>
      <c r="Y252" s="22"/>
      <c r="Z252" s="22"/>
      <c r="AA252" s="22"/>
      <c r="AB252" s="22" t="s">
        <v>114</v>
      </c>
      <c r="AC252" s="3"/>
      <c r="AD252" s="3"/>
      <c r="AE252" s="3">
        <v>0</v>
      </c>
      <c r="AF252" s="3">
        <v>0</v>
      </c>
      <c r="AG252" s="3">
        <v>0</v>
      </c>
      <c r="AH252" s="3"/>
      <c r="AI252" s="3">
        <v>0</v>
      </c>
      <c r="AJ252" s="3">
        <v>0</v>
      </c>
      <c r="AK252" s="3">
        <v>0</v>
      </c>
      <c r="AL252" s="3"/>
      <c r="AM252" s="3"/>
      <c r="AN252" s="3"/>
      <c r="AO252" s="3"/>
      <c r="AP252" s="3"/>
      <c r="AQ252" s="3" t="s">
        <v>1103</v>
      </c>
      <c r="AR252" s="281"/>
    </row>
    <row r="253" spans="1:44" ht="15" customHeight="1">
      <c r="A253" s="3">
        <v>1050212</v>
      </c>
      <c r="B253" s="3" t="s">
        <v>1081</v>
      </c>
      <c r="C253" s="236" t="s">
        <v>1120</v>
      </c>
      <c r="D253" s="3" t="s">
        <v>81</v>
      </c>
      <c r="E253" s="3" t="s">
        <v>1077</v>
      </c>
      <c r="F253" s="3">
        <v>9</v>
      </c>
      <c r="G253" s="3">
        <v>1</v>
      </c>
      <c r="H253" s="3" t="s">
        <v>136</v>
      </c>
      <c r="I253" s="3" t="s">
        <v>137</v>
      </c>
      <c r="J253" s="3"/>
      <c r="K253" s="3"/>
      <c r="L253" s="236"/>
      <c r="M253" s="99"/>
      <c r="N253" s="99"/>
      <c r="O253" s="236"/>
      <c r="P253" s="22"/>
      <c r="Q253" s="22">
        <v>0</v>
      </c>
      <c r="R253" s="22" t="s">
        <v>153</v>
      </c>
      <c r="S253" s="3"/>
      <c r="T253" s="260"/>
      <c r="U253" s="261"/>
      <c r="V253" s="22"/>
      <c r="W253" s="567" t="s">
        <v>1121</v>
      </c>
      <c r="X253" s="567" t="s">
        <v>6748</v>
      </c>
      <c r="Y253" s="22"/>
      <c r="Z253" s="22"/>
      <c r="AA253" s="22"/>
      <c r="AB253" s="22" t="s">
        <v>114</v>
      </c>
      <c r="AC253" s="3"/>
      <c r="AD253" s="3"/>
      <c r="AE253" s="3">
        <v>0</v>
      </c>
      <c r="AF253" s="3">
        <v>0</v>
      </c>
      <c r="AG253" s="3">
        <v>0</v>
      </c>
      <c r="AH253" s="3"/>
      <c r="AI253" s="3">
        <v>0</v>
      </c>
      <c r="AJ253" s="3">
        <v>0</v>
      </c>
      <c r="AK253" s="3">
        <v>0</v>
      </c>
      <c r="AL253" s="3"/>
      <c r="AM253" s="3"/>
      <c r="AN253" s="3"/>
      <c r="AO253" s="3"/>
      <c r="AP253" s="3"/>
      <c r="AQ253" s="282" t="str">
        <f>"tricks/"&amp;A253</f>
        <v>tricks/1050212</v>
      </c>
    </row>
    <row r="254" spans="1:44" ht="15" customHeight="1">
      <c r="A254" s="3">
        <v>1050213</v>
      </c>
      <c r="B254" s="3" t="s">
        <v>1081</v>
      </c>
      <c r="C254" s="236" t="s">
        <v>1122</v>
      </c>
      <c r="D254" s="3" t="s">
        <v>81</v>
      </c>
      <c r="E254" s="3" t="s">
        <v>1077</v>
      </c>
      <c r="F254" s="3">
        <v>10</v>
      </c>
      <c r="G254" s="3">
        <v>1</v>
      </c>
      <c r="H254" s="3" t="s">
        <v>136</v>
      </c>
      <c r="I254" s="3" t="s">
        <v>137</v>
      </c>
      <c r="J254" s="3"/>
      <c r="K254" s="3"/>
      <c r="L254" s="236"/>
      <c r="M254" s="99"/>
      <c r="N254" s="99"/>
      <c r="O254" s="236"/>
      <c r="P254" s="22"/>
      <c r="Q254" s="22">
        <v>0</v>
      </c>
      <c r="R254" s="22" t="s">
        <v>153</v>
      </c>
      <c r="S254" s="3"/>
      <c r="T254" s="260"/>
      <c r="U254" s="261"/>
      <c r="V254" s="22"/>
      <c r="W254" s="567" t="s">
        <v>1123</v>
      </c>
      <c r="X254" s="567" t="s">
        <v>1123</v>
      </c>
      <c r="Y254" s="22"/>
      <c r="Z254" s="22"/>
      <c r="AA254" s="22"/>
      <c r="AB254" s="22" t="s">
        <v>114</v>
      </c>
      <c r="AC254" s="3"/>
      <c r="AD254" s="3"/>
      <c r="AE254" s="3">
        <v>0</v>
      </c>
      <c r="AF254" s="3">
        <v>0</v>
      </c>
      <c r="AG254" s="3">
        <v>0</v>
      </c>
      <c r="AH254" s="3"/>
      <c r="AI254" s="3">
        <v>0</v>
      </c>
      <c r="AJ254" s="3">
        <v>0</v>
      </c>
      <c r="AK254" s="3">
        <v>0</v>
      </c>
      <c r="AL254" s="3"/>
      <c r="AM254" s="3"/>
      <c r="AN254" s="3"/>
      <c r="AO254" s="3"/>
      <c r="AP254" s="3"/>
      <c r="AQ254" s="282" t="str">
        <f>"tricks/"&amp;A254</f>
        <v>tricks/1050213</v>
      </c>
    </row>
    <row r="255" spans="1:44" ht="15" customHeight="1">
      <c r="A255" s="36">
        <v>1056001</v>
      </c>
      <c r="B255" s="36" t="s">
        <v>1024</v>
      </c>
      <c r="C255" s="36" t="s">
        <v>1124</v>
      </c>
      <c r="D255" s="36" t="s">
        <v>81</v>
      </c>
      <c r="E255" s="36" t="s">
        <v>1009</v>
      </c>
      <c r="F255" s="36">
        <v>1</v>
      </c>
      <c r="G255" s="36">
        <v>5</v>
      </c>
      <c r="H255" s="36" t="s">
        <v>82</v>
      </c>
      <c r="I255" s="36" t="s">
        <v>101</v>
      </c>
      <c r="J255" s="36"/>
      <c r="K255" s="36"/>
      <c r="L255" s="377" t="s">
        <v>1125</v>
      </c>
      <c r="M255" s="378"/>
      <c r="N255" s="378"/>
      <c r="O255" s="379"/>
      <c r="P255" s="36"/>
      <c r="Q255" s="379">
        <v>0</v>
      </c>
      <c r="R255" s="379" t="s">
        <v>85</v>
      </c>
      <c r="S255" s="36">
        <v>1056001</v>
      </c>
      <c r="T255" s="390" t="s">
        <v>1004</v>
      </c>
      <c r="U255" s="391" t="s">
        <v>1005</v>
      </c>
      <c r="V255" s="379" t="s">
        <v>530</v>
      </c>
      <c r="W255" s="390" t="s">
        <v>1126</v>
      </c>
      <c r="X255" s="390" t="s">
        <v>1126</v>
      </c>
      <c r="Y255" s="379"/>
      <c r="Z255" s="379"/>
      <c r="AA255" s="379"/>
      <c r="AB255" s="379" t="s">
        <v>90</v>
      </c>
      <c r="AC255" s="36"/>
      <c r="AD255" s="36"/>
      <c r="AE255" s="36">
        <v>2</v>
      </c>
      <c r="AF255" s="36">
        <v>0</v>
      </c>
      <c r="AG255" s="36">
        <v>0</v>
      </c>
      <c r="AH255" s="36"/>
      <c r="AI255" s="36">
        <v>0</v>
      </c>
      <c r="AJ255" s="36">
        <v>0</v>
      </c>
      <c r="AK255" s="401"/>
      <c r="AL255" s="401"/>
      <c r="AM255" s="401"/>
      <c r="AN255" s="36" t="s">
        <v>1127</v>
      </c>
      <c r="AO255" s="36"/>
      <c r="AP255" s="36"/>
      <c r="AQ255" s="377" t="s">
        <v>1128</v>
      </c>
      <c r="AR255" s="407"/>
    </row>
    <row r="256" spans="1:44" ht="15" customHeight="1">
      <c r="A256" s="5">
        <v>1060001</v>
      </c>
      <c r="B256" s="5" t="s">
        <v>1129</v>
      </c>
      <c r="C256" s="5" t="s">
        <v>1130</v>
      </c>
      <c r="D256" s="5" t="s">
        <v>81</v>
      </c>
      <c r="E256" s="5" t="s">
        <v>1129</v>
      </c>
      <c r="F256" s="5">
        <v>1</v>
      </c>
      <c r="G256" s="5">
        <v>6</v>
      </c>
      <c r="H256" s="5" t="s">
        <v>82</v>
      </c>
      <c r="I256" s="5" t="s">
        <v>83</v>
      </c>
      <c r="J256" s="5"/>
      <c r="K256" s="5">
        <v>4</v>
      </c>
      <c r="L256" s="230" t="s">
        <v>1131</v>
      </c>
      <c r="M256" s="231"/>
      <c r="N256" s="231"/>
      <c r="O256" s="5"/>
      <c r="P256" s="232"/>
      <c r="Q256" s="232">
        <v>0</v>
      </c>
      <c r="R256" s="232" t="s">
        <v>85</v>
      </c>
      <c r="S256" s="5">
        <v>1060001</v>
      </c>
      <c r="T256" s="256"/>
      <c r="U256" s="257"/>
      <c r="V256" s="232" t="s">
        <v>1132</v>
      </c>
      <c r="W256" s="565" t="s">
        <v>1133</v>
      </c>
      <c r="X256" s="565" t="s">
        <v>1133</v>
      </c>
      <c r="Y256" s="232"/>
      <c r="Z256" s="232"/>
      <c r="AA256" s="232"/>
      <c r="AB256" s="232" t="s">
        <v>90</v>
      </c>
      <c r="AC256" s="5"/>
      <c r="AD256" s="5"/>
      <c r="AE256" s="5">
        <v>2</v>
      </c>
      <c r="AF256" s="5">
        <v>0</v>
      </c>
      <c r="AG256" s="5">
        <v>4</v>
      </c>
      <c r="AH256" s="5"/>
      <c r="AI256" s="5">
        <v>58</v>
      </c>
      <c r="AJ256" s="5">
        <v>39</v>
      </c>
      <c r="AK256" s="270"/>
      <c r="AL256" s="270"/>
      <c r="AM256" s="270"/>
      <c r="AN256" s="402" t="s">
        <v>1134</v>
      </c>
      <c r="AO256" s="5"/>
      <c r="AP256" s="5"/>
      <c r="AQ256" s="5" t="s">
        <v>1135</v>
      </c>
      <c r="AR256" s="279">
        <v>271</v>
      </c>
    </row>
    <row r="257" spans="1:44" ht="15" customHeight="1">
      <c r="A257" s="5">
        <v>1060002</v>
      </c>
      <c r="B257" s="5" t="s">
        <v>1129</v>
      </c>
      <c r="C257" s="5" t="s">
        <v>1136</v>
      </c>
      <c r="D257" s="5" t="s">
        <v>81</v>
      </c>
      <c r="E257" s="5" t="s">
        <v>1129</v>
      </c>
      <c r="F257" s="5">
        <v>1</v>
      </c>
      <c r="G257" s="5">
        <v>6</v>
      </c>
      <c r="H257" s="5" t="s">
        <v>82</v>
      </c>
      <c r="I257" s="5" t="s">
        <v>83</v>
      </c>
      <c r="J257" s="5"/>
      <c r="K257" s="5">
        <v>5</v>
      </c>
      <c r="L257" s="230" t="s">
        <v>1137</v>
      </c>
      <c r="M257" s="231"/>
      <c r="N257" s="231"/>
      <c r="O257" s="5"/>
      <c r="P257" s="232"/>
      <c r="Q257" s="232">
        <v>0</v>
      </c>
      <c r="R257" s="232" t="s">
        <v>85</v>
      </c>
      <c r="S257" s="5">
        <v>1060002</v>
      </c>
      <c r="T257" s="256" t="s">
        <v>1138</v>
      </c>
      <c r="U257" s="257" t="s">
        <v>769</v>
      </c>
      <c r="V257" s="232" t="s">
        <v>1132</v>
      </c>
      <c r="W257" s="565" t="s">
        <v>1139</v>
      </c>
      <c r="X257" s="565" t="s">
        <v>1139</v>
      </c>
      <c r="Y257" s="232"/>
      <c r="Z257" s="232"/>
      <c r="AA257" s="232"/>
      <c r="AB257" s="232" t="s">
        <v>90</v>
      </c>
      <c r="AC257" s="5"/>
      <c r="AD257" s="5"/>
      <c r="AE257" s="5">
        <v>2</v>
      </c>
      <c r="AF257" s="5">
        <v>0</v>
      </c>
      <c r="AG257" s="5">
        <v>4</v>
      </c>
      <c r="AH257" s="5"/>
      <c r="AI257" s="5">
        <v>45</v>
      </c>
      <c r="AJ257" s="5">
        <v>32</v>
      </c>
      <c r="AK257" s="270"/>
      <c r="AL257" s="270"/>
      <c r="AM257" s="270"/>
      <c r="AN257" s="402" t="s">
        <v>1140</v>
      </c>
      <c r="AO257" s="5"/>
      <c r="AP257" s="5"/>
      <c r="AQ257" s="5" t="s">
        <v>1141</v>
      </c>
      <c r="AR257" s="279">
        <v>272</v>
      </c>
    </row>
    <row r="258" spans="1:44" ht="15" customHeight="1">
      <c r="A258" s="37">
        <v>1060101</v>
      </c>
      <c r="B258" s="37" t="s">
        <v>1142</v>
      </c>
      <c r="C258" s="37" t="s">
        <v>1143</v>
      </c>
      <c r="D258" s="37" t="s">
        <v>81</v>
      </c>
      <c r="E258" s="37" t="s">
        <v>1129</v>
      </c>
      <c r="F258" s="37">
        <v>1</v>
      </c>
      <c r="G258" s="37">
        <v>6</v>
      </c>
      <c r="H258" s="37" t="s">
        <v>82</v>
      </c>
      <c r="I258" s="37" t="s">
        <v>101</v>
      </c>
      <c r="J258" s="37"/>
      <c r="K258" s="37">
        <v>1</v>
      </c>
      <c r="L258" s="408" t="s">
        <v>1144</v>
      </c>
      <c r="M258" s="409"/>
      <c r="N258" s="409"/>
      <c r="O258" s="37"/>
      <c r="P258" s="410"/>
      <c r="Q258" s="410">
        <v>0</v>
      </c>
      <c r="R258" s="410" t="s">
        <v>85</v>
      </c>
      <c r="S258" s="37">
        <v>1060101</v>
      </c>
      <c r="T258" s="415"/>
      <c r="U258" s="416"/>
      <c r="V258" s="410" t="s">
        <v>902</v>
      </c>
      <c r="W258" s="603" t="s">
        <v>1145</v>
      </c>
      <c r="X258" s="603" t="s">
        <v>1145</v>
      </c>
      <c r="Y258" s="410"/>
      <c r="Z258" s="410"/>
      <c r="AA258" s="410"/>
      <c r="AB258" s="410" t="s">
        <v>90</v>
      </c>
      <c r="AC258" s="37"/>
      <c r="AD258" s="37"/>
      <c r="AE258" s="37">
        <v>1</v>
      </c>
      <c r="AF258" s="37">
        <v>2</v>
      </c>
      <c r="AG258" s="37">
        <v>6</v>
      </c>
      <c r="AH258" s="37"/>
      <c r="AI258" s="37">
        <v>39</v>
      </c>
      <c r="AJ258" s="37">
        <v>26</v>
      </c>
      <c r="AK258" s="420"/>
      <c r="AL258" s="420"/>
      <c r="AM258" s="420"/>
      <c r="AN258" s="421" t="s">
        <v>1146</v>
      </c>
      <c r="AO258" s="37"/>
      <c r="AP258" s="37"/>
      <c r="AQ258" s="37" t="s">
        <v>1147</v>
      </c>
      <c r="AR258" s="423">
        <v>268</v>
      </c>
    </row>
    <row r="259" spans="1:44" ht="15" customHeight="1">
      <c r="A259" s="37">
        <v>1060102</v>
      </c>
      <c r="B259" s="37" t="s">
        <v>1142</v>
      </c>
      <c r="C259" s="37" t="s">
        <v>1148</v>
      </c>
      <c r="D259" s="37" t="s">
        <v>81</v>
      </c>
      <c r="E259" s="37" t="s">
        <v>1129</v>
      </c>
      <c r="F259" s="37">
        <v>1</v>
      </c>
      <c r="G259" s="37">
        <v>6</v>
      </c>
      <c r="H259" s="37" t="s">
        <v>136</v>
      </c>
      <c r="I259" s="37" t="s">
        <v>137</v>
      </c>
      <c r="J259" s="37"/>
      <c r="K259" s="37"/>
      <c r="L259" s="408" t="s">
        <v>1149</v>
      </c>
      <c r="M259" s="409"/>
      <c r="N259" s="409"/>
      <c r="O259" s="37"/>
      <c r="P259" s="410"/>
      <c r="Q259" s="410">
        <v>0</v>
      </c>
      <c r="R259" s="410"/>
      <c r="S259" s="37">
        <v>1060102</v>
      </c>
      <c r="T259" s="415"/>
      <c r="U259" s="416"/>
      <c r="V259" s="410" t="s">
        <v>902</v>
      </c>
      <c r="W259" s="603" t="s">
        <v>1150</v>
      </c>
      <c r="X259" s="603" t="s">
        <v>1150</v>
      </c>
      <c r="Y259" s="410"/>
      <c r="Z259" s="410"/>
      <c r="AA259" s="410"/>
      <c r="AB259" s="410" t="s">
        <v>114</v>
      </c>
      <c r="AC259" s="37"/>
      <c r="AD259" s="37"/>
      <c r="AE259" s="37">
        <v>0</v>
      </c>
      <c r="AF259" s="37">
        <v>0</v>
      </c>
      <c r="AG259" s="37">
        <v>0</v>
      </c>
      <c r="AH259" s="37"/>
      <c r="AI259" s="37">
        <v>0</v>
      </c>
      <c r="AJ259" s="37">
        <v>0</v>
      </c>
      <c r="AK259" s="420"/>
      <c r="AL259" s="420"/>
      <c r="AM259" s="420"/>
      <c r="AN259" s="421"/>
      <c r="AO259" s="37"/>
      <c r="AP259" s="37"/>
      <c r="AQ259" s="37" t="s">
        <v>1151</v>
      </c>
      <c r="AR259" s="423"/>
    </row>
    <row r="260" spans="1:44" ht="15" customHeight="1">
      <c r="A260" s="37">
        <v>1060103</v>
      </c>
      <c r="B260" s="37" t="s">
        <v>1142</v>
      </c>
      <c r="C260" s="602" t="s">
        <v>1152</v>
      </c>
      <c r="D260" s="37" t="s">
        <v>81</v>
      </c>
      <c r="E260" s="37" t="s">
        <v>1129</v>
      </c>
      <c r="F260" s="37">
        <v>1</v>
      </c>
      <c r="G260" s="37">
        <v>6</v>
      </c>
      <c r="H260" s="37" t="s">
        <v>82</v>
      </c>
      <c r="I260" s="37" t="s">
        <v>101</v>
      </c>
      <c r="J260" s="37"/>
      <c r="K260" s="37">
        <v>2</v>
      </c>
      <c r="L260" s="408" t="s">
        <v>1153</v>
      </c>
      <c r="M260" s="409"/>
      <c r="N260" s="409"/>
      <c r="O260" s="37"/>
      <c r="P260" s="410"/>
      <c r="Q260" s="410">
        <v>0</v>
      </c>
      <c r="R260" s="410" t="s">
        <v>85</v>
      </c>
      <c r="S260" s="37">
        <v>1060103</v>
      </c>
      <c r="T260" s="415"/>
      <c r="U260" s="416"/>
      <c r="V260" s="410" t="s">
        <v>902</v>
      </c>
      <c r="W260" s="603" t="s">
        <v>1154</v>
      </c>
      <c r="X260" s="603" t="s">
        <v>1154</v>
      </c>
      <c r="Y260" s="410"/>
      <c r="Z260" s="410"/>
      <c r="AA260" s="410"/>
      <c r="AB260" s="410" t="s">
        <v>90</v>
      </c>
      <c r="AC260" s="419" t="s">
        <v>1155</v>
      </c>
      <c r="AD260" s="37"/>
      <c r="AE260" s="37">
        <v>1</v>
      </c>
      <c r="AF260" s="37">
        <v>1</v>
      </c>
      <c r="AG260" s="37">
        <v>5</v>
      </c>
      <c r="AH260" s="37"/>
      <c r="AI260" s="37">
        <v>39</v>
      </c>
      <c r="AJ260" s="37">
        <v>26</v>
      </c>
      <c r="AK260" s="420"/>
      <c r="AL260" s="420"/>
      <c r="AM260" s="420"/>
      <c r="AN260" s="421" t="s">
        <v>1156</v>
      </c>
      <c r="AO260" s="37" t="s">
        <v>1157</v>
      </c>
      <c r="AP260" s="37"/>
      <c r="AQ260" s="37" t="s">
        <v>1158</v>
      </c>
      <c r="AR260" s="423">
        <v>269</v>
      </c>
    </row>
    <row r="261" spans="1:44" ht="15" customHeight="1">
      <c r="A261" s="37">
        <v>1060104</v>
      </c>
      <c r="B261" s="37" t="s">
        <v>1142</v>
      </c>
      <c r="C261" s="37" t="s">
        <v>1159</v>
      </c>
      <c r="D261" s="37" t="s">
        <v>81</v>
      </c>
      <c r="E261" s="37" t="s">
        <v>1129</v>
      </c>
      <c r="F261" s="37">
        <v>2</v>
      </c>
      <c r="G261" s="37">
        <v>6</v>
      </c>
      <c r="H261" s="37" t="s">
        <v>136</v>
      </c>
      <c r="I261" s="37" t="s">
        <v>137</v>
      </c>
      <c r="J261" s="37"/>
      <c r="K261" s="37"/>
      <c r="L261" s="408" t="s">
        <v>1160</v>
      </c>
      <c r="M261" s="409"/>
      <c r="N261" s="409"/>
      <c r="O261" s="37"/>
      <c r="P261" s="410"/>
      <c r="Q261" s="410">
        <v>0</v>
      </c>
      <c r="R261" s="410"/>
      <c r="S261" s="37">
        <v>1060104</v>
      </c>
      <c r="T261" s="415"/>
      <c r="U261" s="416"/>
      <c r="V261" s="410" t="s">
        <v>902</v>
      </c>
      <c r="W261" s="603" t="s">
        <v>1161</v>
      </c>
      <c r="X261" s="603" t="s">
        <v>1161</v>
      </c>
      <c r="Y261" s="410"/>
      <c r="Z261" s="410"/>
      <c r="AA261" s="410"/>
      <c r="AB261" s="410"/>
      <c r="AC261" s="37"/>
      <c r="AD261" s="37"/>
      <c r="AE261" s="37">
        <v>0</v>
      </c>
      <c r="AF261" s="37">
        <v>0</v>
      </c>
      <c r="AG261" s="37">
        <v>0</v>
      </c>
      <c r="AH261" s="37"/>
      <c r="AI261" s="37">
        <v>0</v>
      </c>
      <c r="AJ261" s="37">
        <v>0</v>
      </c>
      <c r="AK261" s="420"/>
      <c r="AL261" s="420"/>
      <c r="AM261" s="420"/>
      <c r="AN261" s="421"/>
      <c r="AO261" s="37"/>
      <c r="AP261" s="37"/>
      <c r="AQ261" s="37" t="s">
        <v>1162</v>
      </c>
      <c r="AR261" s="423"/>
    </row>
    <row r="262" spans="1:44" ht="15" customHeight="1">
      <c r="A262" s="37">
        <v>1060105</v>
      </c>
      <c r="B262" s="37" t="s">
        <v>1142</v>
      </c>
      <c r="C262" s="37" t="s">
        <v>1163</v>
      </c>
      <c r="D262" s="37" t="s">
        <v>81</v>
      </c>
      <c r="E262" s="37" t="s">
        <v>1129</v>
      </c>
      <c r="F262" s="37">
        <v>1</v>
      </c>
      <c r="G262" s="37">
        <v>6</v>
      </c>
      <c r="H262" s="37" t="s">
        <v>82</v>
      </c>
      <c r="I262" s="37" t="s">
        <v>101</v>
      </c>
      <c r="J262" s="37"/>
      <c r="K262" s="37">
        <v>3</v>
      </c>
      <c r="L262" s="408" t="s">
        <v>1164</v>
      </c>
      <c r="M262" s="409"/>
      <c r="N262" s="409"/>
      <c r="O262" s="37"/>
      <c r="P262" s="410"/>
      <c r="Q262" s="410">
        <v>0</v>
      </c>
      <c r="R262" s="410" t="s">
        <v>85</v>
      </c>
      <c r="S262" s="37">
        <v>1060105</v>
      </c>
      <c r="T262" s="415"/>
      <c r="U262" s="416"/>
      <c r="V262" s="410" t="s">
        <v>902</v>
      </c>
      <c r="W262" s="603" t="s">
        <v>1165</v>
      </c>
      <c r="X262" s="603" t="s">
        <v>1165</v>
      </c>
      <c r="Y262" s="410"/>
      <c r="Z262" s="410"/>
      <c r="AA262" s="410"/>
      <c r="AB262" s="410" t="s">
        <v>90</v>
      </c>
      <c r="AC262" s="37"/>
      <c r="AD262" s="37"/>
      <c r="AE262" s="37">
        <v>1</v>
      </c>
      <c r="AF262" s="37">
        <v>1</v>
      </c>
      <c r="AG262" s="37">
        <v>5</v>
      </c>
      <c r="AH262" s="37"/>
      <c r="AI262" s="37">
        <v>39</v>
      </c>
      <c r="AJ262" s="37">
        <v>26</v>
      </c>
      <c r="AK262" s="420"/>
      <c r="AL262" s="420"/>
      <c r="AM262" s="420"/>
      <c r="AN262" s="422" t="s">
        <v>1166</v>
      </c>
      <c r="AO262" s="37"/>
      <c r="AP262" s="37"/>
      <c r="AQ262" s="37" t="s">
        <v>1167</v>
      </c>
      <c r="AR262" s="423">
        <v>270</v>
      </c>
    </row>
    <row r="263" spans="1:44" ht="15" customHeight="1">
      <c r="A263" s="37">
        <v>1060106</v>
      </c>
      <c r="B263" s="37" t="s">
        <v>1142</v>
      </c>
      <c r="C263" s="37" t="s">
        <v>1168</v>
      </c>
      <c r="D263" s="37" t="s">
        <v>81</v>
      </c>
      <c r="E263" s="37" t="s">
        <v>1129</v>
      </c>
      <c r="F263" s="37">
        <v>3</v>
      </c>
      <c r="G263" s="37">
        <v>6</v>
      </c>
      <c r="H263" s="37" t="s">
        <v>136</v>
      </c>
      <c r="I263" s="37" t="s">
        <v>137</v>
      </c>
      <c r="J263" s="37"/>
      <c r="K263" s="37"/>
      <c r="L263" s="408" t="s">
        <v>1169</v>
      </c>
      <c r="M263" s="409"/>
      <c r="N263" s="409"/>
      <c r="O263" s="37"/>
      <c r="P263" s="410"/>
      <c r="Q263" s="410">
        <v>0</v>
      </c>
      <c r="R263" s="410"/>
      <c r="S263" s="37">
        <v>1060106</v>
      </c>
      <c r="T263" s="415"/>
      <c r="U263" s="416"/>
      <c r="V263" s="410" t="s">
        <v>902</v>
      </c>
      <c r="W263" s="603" t="s">
        <v>1170</v>
      </c>
      <c r="X263" s="603" t="s">
        <v>1170</v>
      </c>
      <c r="Y263" s="410"/>
      <c r="Z263" s="410"/>
      <c r="AA263" s="410"/>
      <c r="AB263" s="410" t="s">
        <v>114</v>
      </c>
      <c r="AC263" s="37"/>
      <c r="AD263" s="37"/>
      <c r="AE263" s="37">
        <v>0</v>
      </c>
      <c r="AF263" s="37">
        <v>0</v>
      </c>
      <c r="AG263" s="37">
        <v>0</v>
      </c>
      <c r="AH263" s="37"/>
      <c r="AI263" s="37">
        <v>0</v>
      </c>
      <c r="AJ263" s="37">
        <v>0</v>
      </c>
      <c r="AK263" s="420"/>
      <c r="AL263" s="420"/>
      <c r="AM263" s="420"/>
      <c r="AN263" s="37"/>
      <c r="AO263" s="37"/>
      <c r="AP263" s="37"/>
      <c r="AQ263" s="37" t="s">
        <v>1171</v>
      </c>
      <c r="AR263" s="423"/>
    </row>
    <row r="264" spans="1:44" ht="15" customHeight="1">
      <c r="A264" s="37">
        <v>1060107</v>
      </c>
      <c r="B264" s="37" t="s">
        <v>1142</v>
      </c>
      <c r="C264" s="37" t="s">
        <v>1172</v>
      </c>
      <c r="D264" s="37" t="s">
        <v>81</v>
      </c>
      <c r="E264" s="37" t="s">
        <v>1129</v>
      </c>
      <c r="F264" s="37">
        <v>4</v>
      </c>
      <c r="G264" s="37">
        <v>6</v>
      </c>
      <c r="H264" s="37" t="s">
        <v>136</v>
      </c>
      <c r="I264" s="37" t="s">
        <v>137</v>
      </c>
      <c r="J264" s="37"/>
      <c r="K264" s="37"/>
      <c r="L264" s="408" t="s">
        <v>1173</v>
      </c>
      <c r="M264" s="409"/>
      <c r="N264" s="409"/>
      <c r="O264" s="37"/>
      <c r="P264" s="410"/>
      <c r="Q264" s="410">
        <v>0</v>
      </c>
      <c r="R264" s="410"/>
      <c r="S264" s="37">
        <v>1060107</v>
      </c>
      <c r="T264" s="415"/>
      <c r="U264" s="416"/>
      <c r="V264" s="410" t="s">
        <v>902</v>
      </c>
      <c r="W264" s="603" t="s">
        <v>1174</v>
      </c>
      <c r="X264" s="603" t="s">
        <v>1174</v>
      </c>
      <c r="Y264" s="410"/>
      <c r="Z264" s="410"/>
      <c r="AA264" s="410"/>
      <c r="AB264" s="410"/>
      <c r="AC264" s="37"/>
      <c r="AD264" s="37"/>
      <c r="AE264" s="37">
        <v>0</v>
      </c>
      <c r="AF264" s="37">
        <v>0</v>
      </c>
      <c r="AG264" s="37">
        <v>0</v>
      </c>
      <c r="AH264" s="37"/>
      <c r="AI264" s="37">
        <v>0</v>
      </c>
      <c r="AJ264" s="37">
        <v>0</v>
      </c>
      <c r="AK264" s="420"/>
      <c r="AL264" s="420"/>
      <c r="AM264" s="420"/>
      <c r="AN264" s="37"/>
      <c r="AO264" s="37"/>
      <c r="AP264" s="37"/>
      <c r="AQ264" s="37" t="s">
        <v>1175</v>
      </c>
      <c r="AR264" s="423"/>
    </row>
    <row r="265" spans="1:44" ht="15" customHeight="1">
      <c r="A265" s="37">
        <v>1060108</v>
      </c>
      <c r="B265" s="37" t="s">
        <v>1142</v>
      </c>
      <c r="C265" s="37" t="s">
        <v>1176</v>
      </c>
      <c r="D265" s="37" t="s">
        <v>81</v>
      </c>
      <c r="E265" s="37" t="s">
        <v>1129</v>
      </c>
      <c r="F265" s="37">
        <v>5</v>
      </c>
      <c r="G265" s="37">
        <v>6</v>
      </c>
      <c r="H265" s="37" t="s">
        <v>136</v>
      </c>
      <c r="I265" s="37" t="s">
        <v>137</v>
      </c>
      <c r="J265" s="37"/>
      <c r="K265" s="37"/>
      <c r="L265" s="408" t="s">
        <v>1177</v>
      </c>
      <c r="M265" s="409"/>
      <c r="N265" s="409"/>
      <c r="O265" s="37"/>
      <c r="P265" s="410"/>
      <c r="Q265" s="410">
        <v>0</v>
      </c>
      <c r="R265" s="410"/>
      <c r="S265" s="37">
        <v>1060108</v>
      </c>
      <c r="T265" s="415"/>
      <c r="U265" s="416"/>
      <c r="V265" s="410" t="s">
        <v>902</v>
      </c>
      <c r="W265" s="603" t="s">
        <v>1178</v>
      </c>
      <c r="X265" s="603" t="s">
        <v>1178</v>
      </c>
      <c r="Y265" s="410"/>
      <c r="Z265" s="410"/>
      <c r="AA265" s="410"/>
      <c r="AB265" s="410" t="s">
        <v>114</v>
      </c>
      <c r="AC265" s="37"/>
      <c r="AD265" s="37"/>
      <c r="AE265" s="37">
        <v>0</v>
      </c>
      <c r="AF265" s="37">
        <v>0</v>
      </c>
      <c r="AG265" s="37">
        <v>0</v>
      </c>
      <c r="AH265" s="37"/>
      <c r="AI265" s="37">
        <v>0</v>
      </c>
      <c r="AJ265" s="37">
        <v>0</v>
      </c>
      <c r="AK265" s="420"/>
      <c r="AL265" s="420"/>
      <c r="AM265" s="420"/>
      <c r="AN265" s="37"/>
      <c r="AO265" s="37"/>
      <c r="AP265" s="37"/>
      <c r="AQ265" s="37" t="s">
        <v>1179</v>
      </c>
      <c r="AR265" s="423"/>
    </row>
    <row r="266" spans="1:44" ht="15" customHeight="1">
      <c r="A266" s="37">
        <v>1060109</v>
      </c>
      <c r="B266" s="37" t="s">
        <v>1142</v>
      </c>
      <c r="C266" s="37" t="s">
        <v>1180</v>
      </c>
      <c r="D266" s="37" t="s">
        <v>81</v>
      </c>
      <c r="E266" s="37" t="s">
        <v>1129</v>
      </c>
      <c r="F266" s="37">
        <v>6</v>
      </c>
      <c r="G266" s="37">
        <v>6</v>
      </c>
      <c r="H266" s="37" t="s">
        <v>136</v>
      </c>
      <c r="I266" s="37" t="s">
        <v>137</v>
      </c>
      <c r="J266" s="37"/>
      <c r="K266" s="37"/>
      <c r="L266" s="408" t="s">
        <v>1181</v>
      </c>
      <c r="M266" s="409"/>
      <c r="N266" s="409"/>
      <c r="O266" s="37"/>
      <c r="P266" s="410"/>
      <c r="Q266" s="410">
        <v>0</v>
      </c>
      <c r="R266" s="410"/>
      <c r="S266" s="37">
        <v>1060109</v>
      </c>
      <c r="T266" s="415"/>
      <c r="U266" s="416"/>
      <c r="V266" s="410" t="s">
        <v>902</v>
      </c>
      <c r="W266" s="603" t="s">
        <v>1182</v>
      </c>
      <c r="X266" s="603" t="s">
        <v>1182</v>
      </c>
      <c r="Y266" s="410"/>
      <c r="Z266" s="410"/>
      <c r="AA266" s="410"/>
      <c r="AB266" s="410"/>
      <c r="AC266" s="37"/>
      <c r="AD266" s="37"/>
      <c r="AE266" s="37">
        <v>0</v>
      </c>
      <c r="AF266" s="37">
        <v>0</v>
      </c>
      <c r="AG266" s="37">
        <v>0</v>
      </c>
      <c r="AH266" s="37"/>
      <c r="AI266" s="37">
        <v>0</v>
      </c>
      <c r="AJ266" s="37">
        <v>0</v>
      </c>
      <c r="AK266" s="420"/>
      <c r="AL266" s="420"/>
      <c r="AM266" s="420"/>
      <c r="AN266" s="37"/>
      <c r="AO266" s="37"/>
      <c r="AP266" s="37"/>
      <c r="AQ266" s="37" t="s">
        <v>1183</v>
      </c>
      <c r="AR266" s="423"/>
    </row>
    <row r="267" spans="1:44" ht="15" customHeight="1">
      <c r="A267" s="37">
        <v>1060110</v>
      </c>
      <c r="B267" s="37" t="s">
        <v>1142</v>
      </c>
      <c r="C267" s="37" t="s">
        <v>1184</v>
      </c>
      <c r="D267" s="37" t="s">
        <v>81</v>
      </c>
      <c r="E267" s="37" t="s">
        <v>1129</v>
      </c>
      <c r="F267" s="37">
        <v>7</v>
      </c>
      <c r="G267" s="37">
        <v>6</v>
      </c>
      <c r="H267" s="37" t="s">
        <v>136</v>
      </c>
      <c r="I267" s="37" t="s">
        <v>137</v>
      </c>
      <c r="J267" s="37"/>
      <c r="K267" s="37"/>
      <c r="L267" s="408" t="s">
        <v>1185</v>
      </c>
      <c r="M267" s="409"/>
      <c r="N267" s="409"/>
      <c r="O267" s="37"/>
      <c r="P267" s="410"/>
      <c r="Q267" s="410">
        <v>0</v>
      </c>
      <c r="R267" s="410"/>
      <c r="S267" s="37">
        <v>1060110</v>
      </c>
      <c r="T267" s="415"/>
      <c r="U267" s="416"/>
      <c r="V267" s="410" t="s">
        <v>902</v>
      </c>
      <c r="W267" s="603" t="s">
        <v>1186</v>
      </c>
      <c r="X267" s="603" t="s">
        <v>1186</v>
      </c>
      <c r="Y267" s="410"/>
      <c r="Z267" s="410"/>
      <c r="AA267" s="410"/>
      <c r="AB267" s="410"/>
      <c r="AC267" s="37"/>
      <c r="AD267" s="37"/>
      <c r="AE267" s="37">
        <v>0</v>
      </c>
      <c r="AF267" s="37">
        <v>0</v>
      </c>
      <c r="AG267" s="37">
        <v>0</v>
      </c>
      <c r="AH267" s="37"/>
      <c r="AI267" s="37">
        <v>0</v>
      </c>
      <c r="AJ267" s="37">
        <v>0</v>
      </c>
      <c r="AK267" s="420"/>
      <c r="AL267" s="420"/>
      <c r="AM267" s="420"/>
      <c r="AN267" s="37"/>
      <c r="AO267" s="37"/>
      <c r="AP267" s="37"/>
      <c r="AQ267" s="37" t="s">
        <v>1187</v>
      </c>
      <c r="AR267" s="423"/>
    </row>
    <row r="268" spans="1:44" ht="15" customHeight="1">
      <c r="A268" s="3">
        <v>1060111</v>
      </c>
      <c r="B268" s="3" t="s">
        <v>1142</v>
      </c>
      <c r="C268" s="236" t="s">
        <v>1188</v>
      </c>
      <c r="D268" s="3" t="s">
        <v>81</v>
      </c>
      <c r="E268" s="3" t="s">
        <v>1129</v>
      </c>
      <c r="F268" s="3">
        <v>8</v>
      </c>
      <c r="G268" s="3">
        <v>6</v>
      </c>
      <c r="H268" s="3" t="s">
        <v>136</v>
      </c>
      <c r="I268" s="3" t="s">
        <v>137</v>
      </c>
      <c r="J268" s="3"/>
      <c r="K268" s="3"/>
      <c r="L268" s="236"/>
      <c r="M268" s="99"/>
      <c r="N268" s="99"/>
      <c r="O268" s="236"/>
      <c r="P268" s="22"/>
      <c r="Q268" s="22">
        <v>0</v>
      </c>
      <c r="R268" s="22" t="s">
        <v>153</v>
      </c>
      <c r="S268" s="3"/>
      <c r="T268" s="260"/>
      <c r="U268" s="261"/>
      <c r="V268" s="22"/>
      <c r="W268" s="567" t="s">
        <v>285</v>
      </c>
      <c r="X268" s="567" t="s">
        <v>6732</v>
      </c>
      <c r="Y268" s="22"/>
      <c r="Z268" s="22"/>
      <c r="AA268" s="22"/>
      <c r="AB268" s="22" t="s">
        <v>114</v>
      </c>
      <c r="AC268" s="3"/>
      <c r="AD268" s="3"/>
      <c r="AE268" s="3">
        <v>0</v>
      </c>
      <c r="AF268" s="3">
        <v>0</v>
      </c>
      <c r="AG268" s="3">
        <v>0</v>
      </c>
      <c r="AH268" s="3"/>
      <c r="AI268" s="3">
        <v>0</v>
      </c>
      <c r="AJ268" s="3">
        <v>0</v>
      </c>
      <c r="AK268" s="3">
        <v>0</v>
      </c>
      <c r="AL268" s="3"/>
      <c r="AM268" s="3"/>
      <c r="AN268" s="3"/>
      <c r="AO268" s="3"/>
      <c r="AP268" s="3"/>
      <c r="AQ268" s="3" t="s">
        <v>1167</v>
      </c>
      <c r="AR268" s="281"/>
    </row>
    <row r="269" spans="1:44" ht="15" customHeight="1">
      <c r="A269" s="3">
        <v>1060112</v>
      </c>
      <c r="B269" s="3" t="s">
        <v>1142</v>
      </c>
      <c r="C269" s="236" t="s">
        <v>1189</v>
      </c>
      <c r="D269" s="3" t="s">
        <v>81</v>
      </c>
      <c r="E269" s="3" t="s">
        <v>1129</v>
      </c>
      <c r="F269" s="3">
        <v>9</v>
      </c>
      <c r="G269" s="3">
        <v>6</v>
      </c>
      <c r="H269" s="3" t="s">
        <v>136</v>
      </c>
      <c r="I269" s="3" t="s">
        <v>137</v>
      </c>
      <c r="J269" s="3"/>
      <c r="K269" s="3"/>
      <c r="L269" s="236"/>
      <c r="M269" s="99"/>
      <c r="N269" s="99"/>
      <c r="O269" s="236"/>
      <c r="P269" s="22"/>
      <c r="Q269" s="22">
        <v>0</v>
      </c>
      <c r="R269" s="22" t="s">
        <v>153</v>
      </c>
      <c r="S269" s="3"/>
      <c r="T269" s="260"/>
      <c r="U269" s="261"/>
      <c r="V269" s="22"/>
      <c r="W269" s="567" t="s">
        <v>1114</v>
      </c>
      <c r="X269" s="567" t="s">
        <v>1114</v>
      </c>
      <c r="Y269" s="22"/>
      <c r="Z269" s="22"/>
      <c r="AA269" s="22"/>
      <c r="AB269" s="22" t="s">
        <v>114</v>
      </c>
      <c r="AC269" s="3"/>
      <c r="AD269" s="3"/>
      <c r="AE269" s="3">
        <v>0</v>
      </c>
      <c r="AF269" s="3">
        <v>0</v>
      </c>
      <c r="AG269" s="3">
        <v>0</v>
      </c>
      <c r="AH269" s="3"/>
      <c r="AI269" s="3">
        <v>0</v>
      </c>
      <c r="AJ269" s="3">
        <v>0</v>
      </c>
      <c r="AK269" s="3">
        <v>0</v>
      </c>
      <c r="AL269" s="3"/>
      <c r="AM269" s="3"/>
      <c r="AN269" s="3"/>
      <c r="AO269" s="3"/>
      <c r="AP269" s="3"/>
      <c r="AQ269" s="282" t="str">
        <f>"tricks/"&amp;A269</f>
        <v>tricks/1060112</v>
      </c>
    </row>
    <row r="270" spans="1:44" ht="15" customHeight="1">
      <c r="A270" s="3">
        <v>1060113</v>
      </c>
      <c r="B270" s="3" t="s">
        <v>1142</v>
      </c>
      <c r="C270" s="236" t="s">
        <v>1190</v>
      </c>
      <c r="D270" s="3" t="s">
        <v>81</v>
      </c>
      <c r="E270" s="3" t="s">
        <v>1129</v>
      </c>
      <c r="F270" s="3">
        <v>10</v>
      </c>
      <c r="G270" s="3">
        <v>6</v>
      </c>
      <c r="H270" s="3" t="s">
        <v>136</v>
      </c>
      <c r="I270" s="3" t="s">
        <v>137</v>
      </c>
      <c r="J270" s="3"/>
      <c r="K270" s="3"/>
      <c r="L270" s="236"/>
      <c r="M270" s="99"/>
      <c r="N270" s="99"/>
      <c r="O270" s="236"/>
      <c r="P270" s="22"/>
      <c r="Q270" s="22">
        <v>0</v>
      </c>
      <c r="R270" s="22" t="s">
        <v>153</v>
      </c>
      <c r="S270" s="3"/>
      <c r="T270" s="260"/>
      <c r="U270" s="261"/>
      <c r="V270" s="22"/>
      <c r="W270" s="567" t="s">
        <v>1191</v>
      </c>
      <c r="X270" s="567" t="s">
        <v>1191</v>
      </c>
      <c r="Y270" s="22"/>
      <c r="Z270" s="22"/>
      <c r="AA270" s="22"/>
      <c r="AB270" s="22" t="s">
        <v>114</v>
      </c>
      <c r="AC270" s="3"/>
      <c r="AD270" s="3"/>
      <c r="AE270" s="3">
        <v>0</v>
      </c>
      <c r="AF270" s="3">
        <v>0</v>
      </c>
      <c r="AG270" s="3">
        <v>0</v>
      </c>
      <c r="AH270" s="3"/>
      <c r="AI270" s="3">
        <v>0</v>
      </c>
      <c r="AJ270" s="3">
        <v>0</v>
      </c>
      <c r="AK270" s="3">
        <v>0</v>
      </c>
      <c r="AL270" s="3"/>
      <c r="AM270" s="3"/>
      <c r="AN270" s="3"/>
      <c r="AO270" s="3"/>
      <c r="AP270" s="3"/>
      <c r="AQ270" s="282" t="str">
        <f>"tricks/"&amp;A270</f>
        <v>tricks/1060113</v>
      </c>
    </row>
    <row r="271" spans="1:44" ht="15" customHeight="1">
      <c r="A271" s="37">
        <v>1060201</v>
      </c>
      <c r="B271" s="602" t="s">
        <v>1192</v>
      </c>
      <c r="C271" s="602" t="s">
        <v>1193</v>
      </c>
      <c r="D271" s="37" t="s">
        <v>81</v>
      </c>
      <c r="E271" s="37" t="s">
        <v>1129</v>
      </c>
      <c r="F271" s="37">
        <v>1</v>
      </c>
      <c r="G271" s="37">
        <v>6</v>
      </c>
      <c r="H271" s="37" t="s">
        <v>82</v>
      </c>
      <c r="I271" s="37" t="s">
        <v>101</v>
      </c>
      <c r="J271" s="37"/>
      <c r="K271" s="37">
        <v>1</v>
      </c>
      <c r="L271" s="408" t="s">
        <v>1144</v>
      </c>
      <c r="M271" s="409"/>
      <c r="N271" s="409"/>
      <c r="O271" s="37"/>
      <c r="P271" s="410"/>
      <c r="Q271" s="410">
        <v>0</v>
      </c>
      <c r="R271" s="410" t="s">
        <v>85</v>
      </c>
      <c r="S271" s="37">
        <v>1060101</v>
      </c>
      <c r="T271" s="415"/>
      <c r="U271" s="416"/>
      <c r="V271" s="410" t="s">
        <v>902</v>
      </c>
      <c r="W271" s="603" t="s">
        <v>1194</v>
      </c>
      <c r="X271" s="603" t="s">
        <v>1195</v>
      </c>
      <c r="Y271" s="410"/>
      <c r="Z271" s="410"/>
      <c r="AA271" s="410"/>
      <c r="AB271" s="410" t="s">
        <v>90</v>
      </c>
      <c r="AC271" s="37"/>
      <c r="AD271" s="37"/>
      <c r="AE271" s="37">
        <v>1</v>
      </c>
      <c r="AF271" s="37">
        <v>2</v>
      </c>
      <c r="AG271" s="37">
        <v>6</v>
      </c>
      <c r="AH271" s="37"/>
      <c r="AI271" s="37">
        <v>39</v>
      </c>
      <c r="AJ271" s="37">
        <v>26</v>
      </c>
      <c r="AK271" s="420"/>
      <c r="AL271" s="420"/>
      <c r="AM271" s="420"/>
      <c r="AN271" s="422" t="s">
        <v>1196</v>
      </c>
      <c r="AO271" s="37"/>
      <c r="AP271" s="37"/>
      <c r="AQ271" s="8" t="str">
        <f>"tricks/"&amp;A271</f>
        <v>tricks/1060201</v>
      </c>
      <c r="AR271" s="423">
        <v>357</v>
      </c>
    </row>
    <row r="272" spans="1:44" ht="15" customHeight="1">
      <c r="A272" s="37">
        <v>1060202</v>
      </c>
      <c r="B272" s="37" t="s">
        <v>1192</v>
      </c>
      <c r="C272" s="602" t="s">
        <v>1197</v>
      </c>
      <c r="D272" s="37" t="s">
        <v>81</v>
      </c>
      <c r="E272" s="37" t="s">
        <v>1129</v>
      </c>
      <c r="F272" s="37">
        <v>1</v>
      </c>
      <c r="G272" s="37">
        <v>6</v>
      </c>
      <c r="H272" s="37" t="s">
        <v>136</v>
      </c>
      <c r="I272" s="37" t="s">
        <v>137</v>
      </c>
      <c r="J272" s="37"/>
      <c r="K272" s="37"/>
      <c r="L272" s="408" t="s">
        <v>1149</v>
      </c>
      <c r="M272" s="409"/>
      <c r="N272" s="409"/>
      <c r="O272" s="37"/>
      <c r="P272" s="410"/>
      <c r="Q272" s="410">
        <v>0</v>
      </c>
      <c r="R272" s="410"/>
      <c r="S272" s="37">
        <v>1060102</v>
      </c>
      <c r="T272" s="415"/>
      <c r="U272" s="416"/>
      <c r="V272" s="410" t="s">
        <v>902</v>
      </c>
      <c r="W272" s="603" t="s">
        <v>1198</v>
      </c>
      <c r="X272" s="603" t="s">
        <v>1198</v>
      </c>
      <c r="Y272" s="410"/>
      <c r="Z272" s="410"/>
      <c r="AA272" s="410"/>
      <c r="AB272" s="410" t="s">
        <v>114</v>
      </c>
      <c r="AC272" s="37"/>
      <c r="AD272" s="37"/>
      <c r="AE272" s="37">
        <v>0</v>
      </c>
      <c r="AF272" s="37">
        <v>0</v>
      </c>
      <c r="AG272" s="37">
        <v>0</v>
      </c>
      <c r="AH272" s="37"/>
      <c r="AI272" s="37">
        <v>0</v>
      </c>
      <c r="AJ272" s="37">
        <v>0</v>
      </c>
      <c r="AK272" s="420"/>
      <c r="AL272" s="420"/>
      <c r="AM272" s="420"/>
      <c r="AN272" s="421"/>
      <c r="AO272" s="37"/>
      <c r="AP272" s="37"/>
      <c r="AQ272" s="8" t="str">
        <f t="shared" ref="AQ272:AQ283" si="2">"tricks/"&amp;A272</f>
        <v>tricks/1060202</v>
      </c>
      <c r="AR272" s="423"/>
    </row>
    <row r="273" spans="1:44" ht="15" customHeight="1">
      <c r="A273" s="37">
        <v>1060203</v>
      </c>
      <c r="B273" s="37" t="s">
        <v>1192</v>
      </c>
      <c r="C273" s="602" t="s">
        <v>1199</v>
      </c>
      <c r="D273" s="37" t="s">
        <v>81</v>
      </c>
      <c r="E273" s="37" t="s">
        <v>1129</v>
      </c>
      <c r="F273" s="37">
        <v>1</v>
      </c>
      <c r="G273" s="37">
        <v>6</v>
      </c>
      <c r="H273" s="37" t="s">
        <v>82</v>
      </c>
      <c r="I273" s="37" t="s">
        <v>101</v>
      </c>
      <c r="J273" s="37"/>
      <c r="K273" s="37">
        <v>2</v>
      </c>
      <c r="L273" s="408" t="s">
        <v>1153</v>
      </c>
      <c r="M273" s="409"/>
      <c r="N273" s="409"/>
      <c r="O273" s="37"/>
      <c r="P273" s="410"/>
      <c r="Q273" s="410">
        <v>0</v>
      </c>
      <c r="R273" s="410" t="s">
        <v>85</v>
      </c>
      <c r="S273" s="37">
        <v>1060103</v>
      </c>
      <c r="T273" s="415"/>
      <c r="U273" s="416"/>
      <c r="V273" s="410" t="s">
        <v>902</v>
      </c>
      <c r="W273" s="603" t="s">
        <v>1200</v>
      </c>
      <c r="X273" s="603" t="s">
        <v>1201</v>
      </c>
      <c r="Y273" s="410"/>
      <c r="Z273" s="410"/>
      <c r="AA273" s="410"/>
      <c r="AB273" s="410" t="s">
        <v>90</v>
      </c>
      <c r="AC273" s="419" t="s">
        <v>1155</v>
      </c>
      <c r="AD273" s="37"/>
      <c r="AE273" s="37">
        <v>1</v>
      </c>
      <c r="AF273" s="37">
        <v>1</v>
      </c>
      <c r="AG273" s="37">
        <v>5</v>
      </c>
      <c r="AH273" s="37"/>
      <c r="AI273" s="37">
        <v>39</v>
      </c>
      <c r="AJ273" s="37">
        <v>26</v>
      </c>
      <c r="AK273" s="420"/>
      <c r="AL273" s="420"/>
      <c r="AM273" s="420"/>
      <c r="AN273" s="422" t="s">
        <v>1202</v>
      </c>
      <c r="AO273" s="37"/>
      <c r="AP273" s="37"/>
      <c r="AQ273" s="8" t="str">
        <f t="shared" si="2"/>
        <v>tricks/1060203</v>
      </c>
      <c r="AR273" s="423">
        <v>358</v>
      </c>
    </row>
    <row r="274" spans="1:44" ht="15" customHeight="1">
      <c r="A274" s="37">
        <v>1060204</v>
      </c>
      <c r="B274" s="37" t="s">
        <v>1192</v>
      </c>
      <c r="C274" s="602" t="s">
        <v>1203</v>
      </c>
      <c r="D274" s="37" t="s">
        <v>81</v>
      </c>
      <c r="E274" s="37" t="s">
        <v>1129</v>
      </c>
      <c r="F274" s="37">
        <v>2</v>
      </c>
      <c r="G274" s="37">
        <v>6</v>
      </c>
      <c r="H274" s="37" t="s">
        <v>136</v>
      </c>
      <c r="I274" s="37" t="s">
        <v>137</v>
      </c>
      <c r="J274" s="37"/>
      <c r="K274" s="37"/>
      <c r="L274" s="408" t="s">
        <v>1160</v>
      </c>
      <c r="M274" s="409"/>
      <c r="N274" s="409"/>
      <c r="O274" s="37"/>
      <c r="P274" s="410"/>
      <c r="Q274" s="410">
        <v>0</v>
      </c>
      <c r="R274" s="410"/>
      <c r="S274" s="37">
        <v>1060104</v>
      </c>
      <c r="T274" s="415"/>
      <c r="U274" s="416"/>
      <c r="V274" s="410" t="s">
        <v>902</v>
      </c>
      <c r="W274" s="603" t="s">
        <v>1204</v>
      </c>
      <c r="X274" s="603" t="s">
        <v>1204</v>
      </c>
      <c r="Y274" s="410"/>
      <c r="Z274" s="410"/>
      <c r="AA274" s="410"/>
      <c r="AB274" s="410"/>
      <c r="AC274" s="37"/>
      <c r="AD274" s="37"/>
      <c r="AE274" s="37">
        <v>0</v>
      </c>
      <c r="AF274" s="37">
        <v>0</v>
      </c>
      <c r="AG274" s="37">
        <v>0</v>
      </c>
      <c r="AH274" s="37"/>
      <c r="AI274" s="37">
        <v>0</v>
      </c>
      <c r="AJ274" s="37">
        <v>0</v>
      </c>
      <c r="AK274" s="420"/>
      <c r="AL274" s="420"/>
      <c r="AM274" s="420"/>
      <c r="AN274" s="421"/>
      <c r="AO274" s="37"/>
      <c r="AP274" s="37"/>
      <c r="AQ274" s="8" t="str">
        <f t="shared" si="2"/>
        <v>tricks/1060204</v>
      </c>
      <c r="AR274" s="423"/>
    </row>
    <row r="275" spans="1:44" ht="15" customHeight="1">
      <c r="A275" s="37">
        <v>1060205</v>
      </c>
      <c r="B275" s="37" t="s">
        <v>1192</v>
      </c>
      <c r="C275" s="602" t="s">
        <v>1205</v>
      </c>
      <c r="D275" s="37" t="s">
        <v>81</v>
      </c>
      <c r="E275" s="37" t="s">
        <v>1129</v>
      </c>
      <c r="F275" s="37">
        <v>1</v>
      </c>
      <c r="G275" s="37">
        <v>6</v>
      </c>
      <c r="H275" s="37" t="s">
        <v>82</v>
      </c>
      <c r="I275" s="37" t="s">
        <v>101</v>
      </c>
      <c r="J275" s="37"/>
      <c r="K275" s="37">
        <v>3</v>
      </c>
      <c r="L275" s="408" t="s">
        <v>1164</v>
      </c>
      <c r="M275" s="409"/>
      <c r="N275" s="409"/>
      <c r="O275" s="37"/>
      <c r="P275" s="410"/>
      <c r="Q275" s="410">
        <v>0</v>
      </c>
      <c r="R275" s="410" t="s">
        <v>85</v>
      </c>
      <c r="S275" s="37">
        <v>1060105</v>
      </c>
      <c r="T275" s="415" t="s">
        <v>1206</v>
      </c>
      <c r="U275" s="416" t="s">
        <v>1207</v>
      </c>
      <c r="V275" s="410" t="s">
        <v>902</v>
      </c>
      <c r="W275" s="603" t="s">
        <v>1208</v>
      </c>
      <c r="X275" s="603" t="s">
        <v>1209</v>
      </c>
      <c r="Y275" s="410"/>
      <c r="Z275" s="410"/>
      <c r="AA275" s="410"/>
      <c r="AB275" s="410" t="s">
        <v>90</v>
      </c>
      <c r="AC275" s="37"/>
      <c r="AD275" s="37"/>
      <c r="AE275" s="37">
        <v>1</v>
      </c>
      <c r="AF275" s="37">
        <v>1</v>
      </c>
      <c r="AG275" s="37">
        <v>5</v>
      </c>
      <c r="AH275" s="37"/>
      <c r="AI275" s="37">
        <v>39</v>
      </c>
      <c r="AJ275" s="37">
        <v>26</v>
      </c>
      <c r="AK275" s="420"/>
      <c r="AL275" s="420"/>
      <c r="AM275" s="420"/>
      <c r="AN275" s="422" t="s">
        <v>1210</v>
      </c>
      <c r="AO275" s="37"/>
      <c r="AP275" s="37"/>
      <c r="AQ275" s="8" t="str">
        <f t="shared" si="2"/>
        <v>tricks/1060205</v>
      </c>
      <c r="AR275" s="423">
        <v>359</v>
      </c>
    </row>
    <row r="276" spans="1:44" ht="15" customHeight="1">
      <c r="A276" s="37">
        <v>1060206</v>
      </c>
      <c r="B276" s="37" t="s">
        <v>1192</v>
      </c>
      <c r="C276" s="602" t="s">
        <v>1211</v>
      </c>
      <c r="D276" s="37" t="s">
        <v>81</v>
      </c>
      <c r="E276" s="37" t="s">
        <v>1129</v>
      </c>
      <c r="F276" s="37">
        <v>3</v>
      </c>
      <c r="G276" s="37">
        <v>6</v>
      </c>
      <c r="H276" s="37" t="s">
        <v>136</v>
      </c>
      <c r="I276" s="37" t="s">
        <v>137</v>
      </c>
      <c r="J276" s="37"/>
      <c r="K276" s="37"/>
      <c r="L276" s="408" t="s">
        <v>1169</v>
      </c>
      <c r="M276" s="409"/>
      <c r="N276" s="409"/>
      <c r="O276" s="37"/>
      <c r="P276" s="410"/>
      <c r="Q276" s="410">
        <v>0</v>
      </c>
      <c r="R276" s="410"/>
      <c r="S276" s="37">
        <v>1060106</v>
      </c>
      <c r="T276" s="415"/>
      <c r="U276" s="416"/>
      <c r="V276" s="410" t="s">
        <v>902</v>
      </c>
      <c r="W276" s="603" t="s">
        <v>1212</v>
      </c>
      <c r="X276" s="603" t="s">
        <v>1212</v>
      </c>
      <c r="Y276" s="410"/>
      <c r="Z276" s="410"/>
      <c r="AA276" s="410"/>
      <c r="AB276" s="410" t="s">
        <v>114</v>
      </c>
      <c r="AC276" s="37"/>
      <c r="AD276" s="37"/>
      <c r="AE276" s="37">
        <v>0</v>
      </c>
      <c r="AF276" s="37">
        <v>0</v>
      </c>
      <c r="AG276" s="37">
        <v>0</v>
      </c>
      <c r="AH276" s="37"/>
      <c r="AI276" s="37">
        <v>0</v>
      </c>
      <c r="AJ276" s="37">
        <v>0</v>
      </c>
      <c r="AK276" s="420"/>
      <c r="AL276" s="420"/>
      <c r="AM276" s="420"/>
      <c r="AN276" s="37"/>
      <c r="AO276" s="37"/>
      <c r="AP276" s="37"/>
      <c r="AQ276" s="8" t="str">
        <f t="shared" si="2"/>
        <v>tricks/1060206</v>
      </c>
      <c r="AR276" s="423"/>
    </row>
    <row r="277" spans="1:44" ht="15" customHeight="1">
      <c r="A277" s="37">
        <v>1060207</v>
      </c>
      <c r="B277" s="37" t="s">
        <v>1192</v>
      </c>
      <c r="C277" s="602" t="s">
        <v>1213</v>
      </c>
      <c r="D277" s="37" t="s">
        <v>81</v>
      </c>
      <c r="E277" s="37" t="s">
        <v>1129</v>
      </c>
      <c r="F277" s="37">
        <v>4</v>
      </c>
      <c r="G277" s="37">
        <v>6</v>
      </c>
      <c r="H277" s="37" t="s">
        <v>136</v>
      </c>
      <c r="I277" s="37" t="s">
        <v>137</v>
      </c>
      <c r="J277" s="37"/>
      <c r="K277" s="37"/>
      <c r="L277" s="408" t="s">
        <v>1173</v>
      </c>
      <c r="M277" s="409"/>
      <c r="N277" s="409"/>
      <c r="O277" s="37"/>
      <c r="P277" s="410"/>
      <c r="Q277" s="410">
        <v>0</v>
      </c>
      <c r="R277" s="410"/>
      <c r="S277" s="37">
        <v>1060107</v>
      </c>
      <c r="T277" s="415"/>
      <c r="U277" s="416"/>
      <c r="V277" s="410" t="s">
        <v>902</v>
      </c>
      <c r="W277" s="603" t="s">
        <v>1214</v>
      </c>
      <c r="X277" s="603" t="s">
        <v>1214</v>
      </c>
      <c r="Y277" s="410"/>
      <c r="Z277" s="410"/>
      <c r="AA277" s="410"/>
      <c r="AB277" s="410"/>
      <c r="AC277" s="37"/>
      <c r="AD277" s="37"/>
      <c r="AE277" s="37">
        <v>0</v>
      </c>
      <c r="AF277" s="37">
        <v>0</v>
      </c>
      <c r="AG277" s="37">
        <v>0</v>
      </c>
      <c r="AH277" s="37"/>
      <c r="AI277" s="37">
        <v>0</v>
      </c>
      <c r="AJ277" s="37">
        <v>0</v>
      </c>
      <c r="AK277" s="420"/>
      <c r="AL277" s="420"/>
      <c r="AM277" s="420"/>
      <c r="AN277" s="37"/>
      <c r="AO277" s="37"/>
      <c r="AP277" s="37"/>
      <c r="AQ277" s="8" t="str">
        <f t="shared" si="2"/>
        <v>tricks/1060207</v>
      </c>
      <c r="AR277" s="423"/>
    </row>
    <row r="278" spans="1:44" ht="15" customHeight="1">
      <c r="A278" s="37">
        <v>1060208</v>
      </c>
      <c r="B278" s="37" t="s">
        <v>1192</v>
      </c>
      <c r="C278" s="602" t="s">
        <v>1215</v>
      </c>
      <c r="D278" s="37" t="s">
        <v>81</v>
      </c>
      <c r="E278" s="37" t="s">
        <v>1129</v>
      </c>
      <c r="F278" s="37">
        <v>5</v>
      </c>
      <c r="G278" s="37">
        <v>6</v>
      </c>
      <c r="H278" s="37" t="s">
        <v>136</v>
      </c>
      <c r="I278" s="37" t="s">
        <v>137</v>
      </c>
      <c r="J278" s="37"/>
      <c r="K278" s="37"/>
      <c r="L278" s="408" t="s">
        <v>1177</v>
      </c>
      <c r="M278" s="409"/>
      <c r="N278" s="409"/>
      <c r="O278" s="37"/>
      <c r="P278" s="410"/>
      <c r="Q278" s="410">
        <v>0</v>
      </c>
      <c r="R278" s="410"/>
      <c r="S278" s="37">
        <v>1060108</v>
      </c>
      <c r="T278" s="415"/>
      <c r="U278" s="416"/>
      <c r="V278" s="410" t="s">
        <v>902</v>
      </c>
      <c r="W278" s="603" t="s">
        <v>1216</v>
      </c>
      <c r="X278" s="603" t="s">
        <v>1216</v>
      </c>
      <c r="Y278" s="410"/>
      <c r="Z278" s="410"/>
      <c r="AA278" s="410"/>
      <c r="AB278" s="410" t="s">
        <v>114</v>
      </c>
      <c r="AC278" s="37"/>
      <c r="AD278" s="37"/>
      <c r="AE278" s="37">
        <v>0</v>
      </c>
      <c r="AF278" s="37">
        <v>0</v>
      </c>
      <c r="AG278" s="37">
        <v>0</v>
      </c>
      <c r="AH278" s="37"/>
      <c r="AI278" s="37">
        <v>0</v>
      </c>
      <c r="AJ278" s="37">
        <v>0</v>
      </c>
      <c r="AK278" s="420"/>
      <c r="AL278" s="420"/>
      <c r="AM278" s="420"/>
      <c r="AN278" s="37"/>
      <c r="AO278" s="37"/>
      <c r="AP278" s="37"/>
      <c r="AQ278" s="8" t="str">
        <f t="shared" si="2"/>
        <v>tricks/1060208</v>
      </c>
      <c r="AR278" s="423"/>
    </row>
    <row r="279" spans="1:44" ht="15" customHeight="1">
      <c r="A279" s="37">
        <v>1060209</v>
      </c>
      <c r="B279" s="37" t="s">
        <v>1192</v>
      </c>
      <c r="C279" s="602" t="s">
        <v>1217</v>
      </c>
      <c r="D279" s="37" t="s">
        <v>81</v>
      </c>
      <c r="E279" s="37" t="s">
        <v>1129</v>
      </c>
      <c r="F279" s="37">
        <v>6</v>
      </c>
      <c r="G279" s="37">
        <v>6</v>
      </c>
      <c r="H279" s="37" t="s">
        <v>136</v>
      </c>
      <c r="I279" s="37" t="s">
        <v>137</v>
      </c>
      <c r="J279" s="37"/>
      <c r="K279" s="37"/>
      <c r="L279" s="408" t="s">
        <v>1181</v>
      </c>
      <c r="M279" s="409"/>
      <c r="N279" s="409"/>
      <c r="O279" s="37"/>
      <c r="P279" s="410"/>
      <c r="Q279" s="410">
        <v>0</v>
      </c>
      <c r="R279" s="410"/>
      <c r="S279" s="37">
        <v>1060109</v>
      </c>
      <c r="T279" s="415"/>
      <c r="U279" s="416"/>
      <c r="V279" s="410" t="s">
        <v>902</v>
      </c>
      <c r="W279" s="603" t="s">
        <v>1218</v>
      </c>
      <c r="X279" s="603" t="s">
        <v>1218</v>
      </c>
      <c r="Y279" s="410"/>
      <c r="Z279" s="410"/>
      <c r="AA279" s="410"/>
      <c r="AB279" s="410"/>
      <c r="AC279" s="37"/>
      <c r="AD279" s="37"/>
      <c r="AE279" s="37">
        <v>0</v>
      </c>
      <c r="AF279" s="37">
        <v>0</v>
      </c>
      <c r="AG279" s="37">
        <v>0</v>
      </c>
      <c r="AH279" s="37"/>
      <c r="AI279" s="37">
        <v>0</v>
      </c>
      <c r="AJ279" s="37">
        <v>0</v>
      </c>
      <c r="AK279" s="420"/>
      <c r="AL279" s="420"/>
      <c r="AM279" s="420"/>
      <c r="AN279" s="37"/>
      <c r="AO279" s="37"/>
      <c r="AP279" s="37"/>
      <c r="AQ279" s="8" t="str">
        <f t="shared" si="2"/>
        <v>tricks/1060209</v>
      </c>
      <c r="AR279" s="423"/>
    </row>
    <row r="280" spans="1:44" ht="15" customHeight="1">
      <c r="A280" s="37">
        <v>1060210</v>
      </c>
      <c r="B280" s="37" t="s">
        <v>1192</v>
      </c>
      <c r="C280" s="602" t="s">
        <v>1219</v>
      </c>
      <c r="D280" s="37" t="s">
        <v>81</v>
      </c>
      <c r="E280" s="37" t="s">
        <v>1129</v>
      </c>
      <c r="F280" s="37">
        <v>7</v>
      </c>
      <c r="G280" s="37">
        <v>6</v>
      </c>
      <c r="H280" s="37" t="s">
        <v>136</v>
      </c>
      <c r="I280" s="37" t="s">
        <v>137</v>
      </c>
      <c r="J280" s="37"/>
      <c r="K280" s="37"/>
      <c r="L280" s="408" t="s">
        <v>1185</v>
      </c>
      <c r="M280" s="409"/>
      <c r="N280" s="409"/>
      <c r="O280" s="37"/>
      <c r="P280" s="410"/>
      <c r="Q280" s="410">
        <v>0</v>
      </c>
      <c r="R280" s="410"/>
      <c r="S280" s="37">
        <v>1060110</v>
      </c>
      <c r="T280" s="415"/>
      <c r="U280" s="416"/>
      <c r="V280" s="410" t="s">
        <v>902</v>
      </c>
      <c r="W280" s="603" t="s">
        <v>1220</v>
      </c>
      <c r="X280" s="603" t="s">
        <v>1220</v>
      </c>
      <c r="Y280" s="410"/>
      <c r="Z280" s="410"/>
      <c r="AA280" s="410"/>
      <c r="AB280" s="410"/>
      <c r="AC280" s="37"/>
      <c r="AD280" s="37"/>
      <c r="AE280" s="37">
        <v>0</v>
      </c>
      <c r="AF280" s="37">
        <v>0</v>
      </c>
      <c r="AG280" s="37">
        <v>0</v>
      </c>
      <c r="AH280" s="37"/>
      <c r="AI280" s="37">
        <v>0</v>
      </c>
      <c r="AJ280" s="37">
        <v>0</v>
      </c>
      <c r="AK280" s="420"/>
      <c r="AL280" s="420"/>
      <c r="AM280" s="420"/>
      <c r="AN280" s="37"/>
      <c r="AO280" s="37"/>
      <c r="AP280" s="37"/>
      <c r="AQ280" s="8" t="str">
        <f t="shared" si="2"/>
        <v>tricks/1060210</v>
      </c>
      <c r="AR280" s="423"/>
    </row>
    <row r="281" spans="1:44" ht="15" customHeight="1">
      <c r="A281" s="3">
        <v>1060211</v>
      </c>
      <c r="B281" s="3" t="s">
        <v>1192</v>
      </c>
      <c r="C281" s="236" t="s">
        <v>1221</v>
      </c>
      <c r="D281" s="3" t="s">
        <v>81</v>
      </c>
      <c r="E281" s="3" t="s">
        <v>1129</v>
      </c>
      <c r="F281" s="3">
        <v>8</v>
      </c>
      <c r="G281" s="3">
        <v>6</v>
      </c>
      <c r="H281" s="3" t="s">
        <v>136</v>
      </c>
      <c r="I281" s="3" t="s">
        <v>137</v>
      </c>
      <c r="J281" s="3"/>
      <c r="K281" s="3"/>
      <c r="L281" s="236"/>
      <c r="M281" s="99"/>
      <c r="N281" s="99"/>
      <c r="O281" s="236"/>
      <c r="P281" s="22"/>
      <c r="Q281" s="22">
        <v>0</v>
      </c>
      <c r="R281" s="22" t="s">
        <v>153</v>
      </c>
      <c r="S281" s="3"/>
      <c r="T281" s="260"/>
      <c r="U281" s="261"/>
      <c r="V281" s="22"/>
      <c r="W281" s="567" t="s">
        <v>1222</v>
      </c>
      <c r="X281" s="567" t="s">
        <v>1222</v>
      </c>
      <c r="Y281" s="22"/>
      <c r="Z281" s="22"/>
      <c r="AA281" s="22"/>
      <c r="AB281" s="22" t="s">
        <v>114</v>
      </c>
      <c r="AC281" s="3"/>
      <c r="AD281" s="3"/>
      <c r="AE281" s="3">
        <v>0</v>
      </c>
      <c r="AF281" s="3">
        <v>0</v>
      </c>
      <c r="AG281" s="3">
        <v>0</v>
      </c>
      <c r="AH281" s="3"/>
      <c r="AI281" s="3">
        <v>0</v>
      </c>
      <c r="AJ281" s="3">
        <v>0</v>
      </c>
      <c r="AK281" s="3">
        <v>0</v>
      </c>
      <c r="AL281" s="3"/>
      <c r="AM281" s="3"/>
      <c r="AN281" s="3"/>
      <c r="AO281" s="3"/>
      <c r="AP281" s="3"/>
      <c r="AQ281" s="8" t="str">
        <f t="shared" si="2"/>
        <v>tricks/1060211</v>
      </c>
      <c r="AR281" s="281"/>
    </row>
    <row r="282" spans="1:44" ht="15" customHeight="1">
      <c r="A282" s="3">
        <v>1060212</v>
      </c>
      <c r="B282" s="3" t="s">
        <v>1192</v>
      </c>
      <c r="C282" s="236" t="s">
        <v>1223</v>
      </c>
      <c r="D282" s="3" t="s">
        <v>81</v>
      </c>
      <c r="E282" s="3" t="s">
        <v>1129</v>
      </c>
      <c r="F282" s="3">
        <v>9</v>
      </c>
      <c r="G282" s="3">
        <v>6</v>
      </c>
      <c r="H282" s="3" t="s">
        <v>136</v>
      </c>
      <c r="I282" s="3" t="s">
        <v>137</v>
      </c>
      <c r="J282" s="3"/>
      <c r="K282" s="3"/>
      <c r="L282" s="236"/>
      <c r="M282" s="99"/>
      <c r="N282" s="99"/>
      <c r="O282" s="236"/>
      <c r="P282" s="22"/>
      <c r="Q282" s="22">
        <v>0</v>
      </c>
      <c r="R282" s="22" t="s">
        <v>153</v>
      </c>
      <c r="S282" s="3"/>
      <c r="T282" s="260"/>
      <c r="U282" s="261"/>
      <c r="V282" s="22"/>
      <c r="W282" s="567" t="s">
        <v>1224</v>
      </c>
      <c r="X282" s="567" t="s">
        <v>1224</v>
      </c>
      <c r="Y282" s="22"/>
      <c r="Z282" s="22"/>
      <c r="AA282" s="22"/>
      <c r="AB282" s="22" t="s">
        <v>114</v>
      </c>
      <c r="AC282" s="3"/>
      <c r="AD282" s="3"/>
      <c r="AE282" s="3">
        <v>0</v>
      </c>
      <c r="AF282" s="3">
        <v>0</v>
      </c>
      <c r="AG282" s="3">
        <v>0</v>
      </c>
      <c r="AH282" s="3"/>
      <c r="AI282" s="3">
        <v>0</v>
      </c>
      <c r="AJ282" s="3">
        <v>0</v>
      </c>
      <c r="AK282" s="3">
        <v>0</v>
      </c>
      <c r="AL282" s="3"/>
      <c r="AM282" s="3"/>
      <c r="AN282" s="3"/>
      <c r="AO282" s="3"/>
      <c r="AP282" s="3"/>
      <c r="AQ282" s="8" t="str">
        <f t="shared" si="2"/>
        <v>tricks/1060212</v>
      </c>
      <c r="AR282" s="281"/>
    </row>
    <row r="283" spans="1:44" ht="15" customHeight="1">
      <c r="A283" s="3">
        <v>1060213</v>
      </c>
      <c r="B283" s="3" t="s">
        <v>1192</v>
      </c>
      <c r="C283" s="236" t="s">
        <v>1225</v>
      </c>
      <c r="D283" s="3" t="s">
        <v>81</v>
      </c>
      <c r="E283" s="3" t="s">
        <v>1129</v>
      </c>
      <c r="F283" s="3">
        <v>10</v>
      </c>
      <c r="G283" s="3">
        <v>6</v>
      </c>
      <c r="H283" s="3" t="s">
        <v>136</v>
      </c>
      <c r="I283" s="3" t="s">
        <v>137</v>
      </c>
      <c r="J283" s="3"/>
      <c r="K283" s="3"/>
      <c r="L283" s="236"/>
      <c r="M283" s="99"/>
      <c r="N283" s="99"/>
      <c r="O283" s="236"/>
      <c r="P283" s="22"/>
      <c r="Q283" s="22">
        <v>0</v>
      </c>
      <c r="R283" s="22" t="s">
        <v>153</v>
      </c>
      <c r="S283" s="3"/>
      <c r="T283" s="260"/>
      <c r="U283" s="261"/>
      <c r="V283" s="22"/>
      <c r="W283" s="567" t="s">
        <v>1226</v>
      </c>
      <c r="X283" s="567" t="s">
        <v>1226</v>
      </c>
      <c r="Y283" s="22"/>
      <c r="Z283" s="22"/>
      <c r="AA283" s="22"/>
      <c r="AB283" s="22" t="s">
        <v>114</v>
      </c>
      <c r="AC283" s="3"/>
      <c r="AD283" s="3"/>
      <c r="AE283" s="3">
        <v>0</v>
      </c>
      <c r="AF283" s="3">
        <v>0</v>
      </c>
      <c r="AG283" s="3">
        <v>0</v>
      </c>
      <c r="AH283" s="3"/>
      <c r="AI283" s="3">
        <v>0</v>
      </c>
      <c r="AJ283" s="3">
        <v>0</v>
      </c>
      <c r="AK283" s="3">
        <v>0</v>
      </c>
      <c r="AL283" s="3"/>
      <c r="AM283" s="3"/>
      <c r="AN283" s="3"/>
      <c r="AO283" s="3"/>
      <c r="AP283" s="3"/>
      <c r="AQ283" s="8" t="str">
        <f t="shared" si="2"/>
        <v>tricks/1060213</v>
      </c>
      <c r="AR283" s="281"/>
    </row>
    <row r="284" spans="1:44" ht="15" customHeight="1">
      <c r="A284" s="5">
        <v>1090001</v>
      </c>
      <c r="B284" s="5" t="s">
        <v>1227</v>
      </c>
      <c r="C284" s="5" t="s">
        <v>1228</v>
      </c>
      <c r="D284" s="5" t="s">
        <v>81</v>
      </c>
      <c r="E284" s="5" t="s">
        <v>1227</v>
      </c>
      <c r="F284" s="5">
        <v>1</v>
      </c>
      <c r="G284" s="5">
        <v>9</v>
      </c>
      <c r="H284" s="5" t="s">
        <v>82</v>
      </c>
      <c r="I284" s="5" t="s">
        <v>83</v>
      </c>
      <c r="J284" s="5"/>
      <c r="K284" s="5">
        <v>4</v>
      </c>
      <c r="L284" s="230" t="s">
        <v>1229</v>
      </c>
      <c r="M284" s="231"/>
      <c r="N284" s="231"/>
      <c r="O284" s="5"/>
      <c r="P284" s="232"/>
      <c r="Q284" s="232">
        <v>0</v>
      </c>
      <c r="R284" s="232" t="s">
        <v>85</v>
      </c>
      <c r="S284" s="5">
        <v>1090001</v>
      </c>
      <c r="T284" s="256" t="s">
        <v>1230</v>
      </c>
      <c r="U284" s="257" t="s">
        <v>1231</v>
      </c>
      <c r="V284" s="232" t="s">
        <v>468</v>
      </c>
      <c r="W284" s="565" t="s">
        <v>1232</v>
      </c>
      <c r="X284" s="565" t="s">
        <v>1232</v>
      </c>
      <c r="Y284" s="232"/>
      <c r="Z284" s="232"/>
      <c r="AA284" s="232"/>
      <c r="AB284" s="232"/>
      <c r="AC284" s="5"/>
      <c r="AD284" s="5"/>
      <c r="AE284" s="5">
        <v>2</v>
      </c>
      <c r="AF284" s="5">
        <v>0</v>
      </c>
      <c r="AG284" s="5">
        <v>4</v>
      </c>
      <c r="AH284" s="5"/>
      <c r="AI284" s="5">
        <v>58</v>
      </c>
      <c r="AJ284" s="5">
        <v>39</v>
      </c>
      <c r="AK284" s="270"/>
      <c r="AL284" s="270"/>
      <c r="AM284" s="270"/>
      <c r="AN284" s="5" t="s">
        <v>1233</v>
      </c>
      <c r="AO284" s="5"/>
      <c r="AP284" s="5"/>
      <c r="AQ284" s="5" t="s">
        <v>1234</v>
      </c>
      <c r="AR284" s="279">
        <v>277</v>
      </c>
    </row>
    <row r="285" spans="1:44" ht="15" customHeight="1">
      <c r="A285" s="5">
        <v>1090002</v>
      </c>
      <c r="B285" s="5" t="s">
        <v>1227</v>
      </c>
      <c r="C285" s="5" t="s">
        <v>1235</v>
      </c>
      <c r="D285" s="5" t="s">
        <v>81</v>
      </c>
      <c r="E285" s="5" t="s">
        <v>1227</v>
      </c>
      <c r="F285" s="5">
        <v>1</v>
      </c>
      <c r="G285" s="5">
        <v>9</v>
      </c>
      <c r="H285" s="5" t="s">
        <v>82</v>
      </c>
      <c r="I285" s="5" t="s">
        <v>83</v>
      </c>
      <c r="J285" s="5"/>
      <c r="K285" s="5">
        <v>5</v>
      </c>
      <c r="L285" s="230" t="s">
        <v>1236</v>
      </c>
      <c r="M285" s="231"/>
      <c r="N285" s="231"/>
      <c r="O285" s="5"/>
      <c r="P285" s="232"/>
      <c r="Q285" s="232">
        <v>0</v>
      </c>
      <c r="R285" s="232" t="s">
        <v>85</v>
      </c>
      <c r="S285" s="5">
        <v>1090002</v>
      </c>
      <c r="T285" s="256" t="s">
        <v>1230</v>
      </c>
      <c r="U285" s="257" t="s">
        <v>1231</v>
      </c>
      <c r="V285" s="232" t="s">
        <v>468</v>
      </c>
      <c r="W285" s="565" t="s">
        <v>1237</v>
      </c>
      <c r="X285" s="565" t="s">
        <v>1237</v>
      </c>
      <c r="Y285" s="232"/>
      <c r="Z285" s="232"/>
      <c r="AA285" s="232"/>
      <c r="AB285" s="232"/>
      <c r="AC285" s="5"/>
      <c r="AD285" s="5"/>
      <c r="AE285" s="5">
        <v>2</v>
      </c>
      <c r="AF285" s="5">
        <v>0</v>
      </c>
      <c r="AG285" s="5">
        <v>4</v>
      </c>
      <c r="AH285" s="5"/>
      <c r="AI285" s="5">
        <v>45</v>
      </c>
      <c r="AJ285" s="5">
        <v>32</v>
      </c>
      <c r="AK285" s="270"/>
      <c r="AL285" s="270"/>
      <c r="AM285" s="270"/>
      <c r="AN285" s="5" t="s">
        <v>1238</v>
      </c>
      <c r="AO285" s="5"/>
      <c r="AP285" s="5"/>
      <c r="AQ285" s="5" t="s">
        <v>1239</v>
      </c>
      <c r="AR285" s="279">
        <v>278</v>
      </c>
    </row>
    <row r="286" spans="1:44" ht="15" customHeight="1">
      <c r="A286" s="7">
        <v>1090101</v>
      </c>
      <c r="B286" s="7" t="s">
        <v>1240</v>
      </c>
      <c r="C286" s="350" t="s">
        <v>1241</v>
      </c>
      <c r="D286" s="7" t="s">
        <v>81</v>
      </c>
      <c r="E286" s="7" t="s">
        <v>1227</v>
      </c>
      <c r="F286" s="7">
        <v>1</v>
      </c>
      <c r="G286" s="7">
        <v>9</v>
      </c>
      <c r="H286" s="7" t="s">
        <v>82</v>
      </c>
      <c r="I286" s="7" t="s">
        <v>101</v>
      </c>
      <c r="J286" s="7"/>
      <c r="K286" s="7">
        <v>1</v>
      </c>
      <c r="L286" s="350" t="s">
        <v>1242</v>
      </c>
      <c r="M286" s="238"/>
      <c r="N286" s="238"/>
      <c r="O286" s="350"/>
      <c r="P286" s="239"/>
      <c r="Q286" s="239">
        <v>0</v>
      </c>
      <c r="R286" s="239" t="s">
        <v>85</v>
      </c>
      <c r="S286" s="7">
        <v>1090101</v>
      </c>
      <c r="T286" s="262" t="s">
        <v>1243</v>
      </c>
      <c r="U286" s="263" t="s">
        <v>1244</v>
      </c>
      <c r="V286" s="239" t="s">
        <v>468</v>
      </c>
      <c r="W286" s="568" t="s">
        <v>1245</v>
      </c>
      <c r="X286" s="568" t="s">
        <v>1245</v>
      </c>
      <c r="Y286" s="239"/>
      <c r="Z286" s="239"/>
      <c r="AA286" s="239"/>
      <c r="AB286" s="239" t="s">
        <v>90</v>
      </c>
      <c r="AC286" s="7"/>
      <c r="AD286" s="7"/>
      <c r="AE286" s="7">
        <v>1</v>
      </c>
      <c r="AF286" s="7">
        <v>2</v>
      </c>
      <c r="AG286" s="7">
        <v>6</v>
      </c>
      <c r="AH286" s="7"/>
      <c r="AI286" s="7">
        <v>39</v>
      </c>
      <c r="AJ286" s="7">
        <v>26</v>
      </c>
      <c r="AK286" s="273" t="s">
        <v>1246</v>
      </c>
      <c r="AL286" s="273"/>
      <c r="AM286" s="273"/>
      <c r="AN286" s="7" t="s">
        <v>1247</v>
      </c>
      <c r="AO286" s="7"/>
      <c r="AP286" s="7"/>
      <c r="AQ286" s="7" t="s">
        <v>1248</v>
      </c>
      <c r="AR286" s="283">
        <v>274</v>
      </c>
    </row>
    <row r="287" spans="1:44" ht="15" customHeight="1">
      <c r="A287" s="7">
        <v>1090102</v>
      </c>
      <c r="B287" s="7" t="s">
        <v>1240</v>
      </c>
      <c r="C287" s="350" t="s">
        <v>1249</v>
      </c>
      <c r="D287" s="7" t="s">
        <v>81</v>
      </c>
      <c r="E287" s="7" t="s">
        <v>1227</v>
      </c>
      <c r="F287" s="7">
        <v>1</v>
      </c>
      <c r="G287" s="7">
        <v>9</v>
      </c>
      <c r="H287" s="7" t="s">
        <v>136</v>
      </c>
      <c r="I287" s="7" t="s">
        <v>137</v>
      </c>
      <c r="J287" s="7"/>
      <c r="K287" s="7"/>
      <c r="L287" s="350" t="s">
        <v>1250</v>
      </c>
      <c r="M287" s="238"/>
      <c r="N287" s="238"/>
      <c r="O287" s="411"/>
      <c r="P287" s="239"/>
      <c r="Q287" s="239">
        <v>0</v>
      </c>
      <c r="R287" s="239" t="s">
        <v>153</v>
      </c>
      <c r="S287" s="7">
        <v>1090102</v>
      </c>
      <c r="T287" s="262"/>
      <c r="U287" s="263"/>
      <c r="V287" s="239" t="s">
        <v>468</v>
      </c>
      <c r="W287" s="568" t="s">
        <v>1251</v>
      </c>
      <c r="X287" s="568" t="s">
        <v>1251</v>
      </c>
      <c r="Y287" s="239"/>
      <c r="Z287" s="239"/>
      <c r="AA287" s="239"/>
      <c r="AB287" s="239"/>
      <c r="AC287" s="7"/>
      <c r="AD287" s="7"/>
      <c r="AE287" s="7">
        <v>0</v>
      </c>
      <c r="AF287" s="7">
        <v>0</v>
      </c>
      <c r="AG287" s="7">
        <v>0</v>
      </c>
      <c r="AH287" s="7"/>
      <c r="AI287" s="7">
        <v>0</v>
      </c>
      <c r="AJ287" s="7">
        <v>0</v>
      </c>
      <c r="AK287" s="273"/>
      <c r="AL287" s="273"/>
      <c r="AM287" s="273"/>
      <c r="AN287" s="7"/>
      <c r="AO287" s="7"/>
      <c r="AP287" s="7"/>
      <c r="AQ287" s="7" t="s">
        <v>1252</v>
      </c>
      <c r="AR287" s="283"/>
    </row>
    <row r="288" spans="1:44" ht="15" customHeight="1">
      <c r="A288" s="7">
        <v>1090103</v>
      </c>
      <c r="B288" s="7" t="s">
        <v>1240</v>
      </c>
      <c r="C288" s="350" t="s">
        <v>1253</v>
      </c>
      <c r="D288" s="7" t="s">
        <v>81</v>
      </c>
      <c r="E288" s="7" t="s">
        <v>1227</v>
      </c>
      <c r="F288" s="7">
        <v>1</v>
      </c>
      <c r="G288" s="7">
        <v>9</v>
      </c>
      <c r="H288" s="7" t="s">
        <v>82</v>
      </c>
      <c r="I288" s="7" t="s">
        <v>101</v>
      </c>
      <c r="J288" s="7"/>
      <c r="K288" s="7">
        <v>2</v>
      </c>
      <c r="L288" s="350" t="s">
        <v>1254</v>
      </c>
      <c r="M288" s="238"/>
      <c r="N288" s="238"/>
      <c r="O288" s="350"/>
      <c r="P288" s="239"/>
      <c r="Q288" s="239">
        <v>0</v>
      </c>
      <c r="R288" s="239" t="s">
        <v>85</v>
      </c>
      <c r="S288" s="7">
        <v>1090103</v>
      </c>
      <c r="T288" s="262" t="s">
        <v>1255</v>
      </c>
      <c r="U288" s="263" t="s">
        <v>1244</v>
      </c>
      <c r="V288" s="239" t="s">
        <v>468</v>
      </c>
      <c r="W288" s="568" t="s">
        <v>1256</v>
      </c>
      <c r="X288" s="568" t="s">
        <v>1256</v>
      </c>
      <c r="Y288" s="239"/>
      <c r="Z288" s="239"/>
      <c r="AA288" s="239"/>
      <c r="AB288" s="239" t="s">
        <v>90</v>
      </c>
      <c r="AC288" s="7"/>
      <c r="AD288" s="7"/>
      <c r="AE288" s="7">
        <v>1</v>
      </c>
      <c r="AF288" s="7">
        <v>1</v>
      </c>
      <c r="AG288" s="7">
        <v>5</v>
      </c>
      <c r="AH288" s="7"/>
      <c r="AI288" s="7">
        <v>39</v>
      </c>
      <c r="AJ288" s="7">
        <v>26</v>
      </c>
      <c r="AK288" s="273" t="s">
        <v>1257</v>
      </c>
      <c r="AL288" s="273"/>
      <c r="AM288" s="273"/>
      <c r="AN288" s="7" t="s">
        <v>1258</v>
      </c>
      <c r="AO288" s="7" t="s">
        <v>1259</v>
      </c>
      <c r="AP288" s="7"/>
      <c r="AQ288" s="7" t="s">
        <v>1260</v>
      </c>
      <c r="AR288" s="283">
        <v>275</v>
      </c>
    </row>
    <row r="289" spans="1:44" ht="15" customHeight="1">
      <c r="A289" s="7">
        <v>1090104</v>
      </c>
      <c r="B289" s="7" t="s">
        <v>1240</v>
      </c>
      <c r="C289" s="350" t="s">
        <v>1261</v>
      </c>
      <c r="D289" s="7" t="s">
        <v>81</v>
      </c>
      <c r="E289" s="7" t="s">
        <v>1227</v>
      </c>
      <c r="F289" s="7">
        <v>2</v>
      </c>
      <c r="G289" s="7">
        <v>9</v>
      </c>
      <c r="H289" s="7" t="s">
        <v>136</v>
      </c>
      <c r="I289" s="7" t="s">
        <v>137</v>
      </c>
      <c r="J289" s="7"/>
      <c r="K289" s="7"/>
      <c r="L289" s="350" t="s">
        <v>1262</v>
      </c>
      <c r="M289" s="238"/>
      <c r="N289" s="238"/>
      <c r="O289" s="350"/>
      <c r="P289" s="239"/>
      <c r="Q289" s="239">
        <v>0</v>
      </c>
      <c r="R289" s="239" t="s">
        <v>153</v>
      </c>
      <c r="S289" s="7">
        <v>1090104</v>
      </c>
      <c r="T289" s="262"/>
      <c r="U289" s="263"/>
      <c r="V289" s="239" t="s">
        <v>468</v>
      </c>
      <c r="W289" s="568" t="s">
        <v>1263</v>
      </c>
      <c r="X289" s="568" t="s">
        <v>1263</v>
      </c>
      <c r="Y289" s="239"/>
      <c r="Z289" s="239"/>
      <c r="AA289" s="239"/>
      <c r="AB289" s="239"/>
      <c r="AC289" s="7"/>
      <c r="AD289" s="7"/>
      <c r="AE289" s="7">
        <v>0</v>
      </c>
      <c r="AF289" s="7">
        <v>0</v>
      </c>
      <c r="AG289" s="7">
        <v>0</v>
      </c>
      <c r="AH289" s="7"/>
      <c r="AI289" s="7">
        <v>0</v>
      </c>
      <c r="AJ289" s="7">
        <v>0</v>
      </c>
      <c r="AK289" s="273"/>
      <c r="AL289" s="273"/>
      <c r="AM289" s="273"/>
      <c r="AN289" s="7"/>
      <c r="AO289" s="7"/>
      <c r="AP289" s="7"/>
      <c r="AQ289" s="7" t="s">
        <v>1264</v>
      </c>
      <c r="AR289" s="283"/>
    </row>
    <row r="290" spans="1:44" ht="15" customHeight="1">
      <c r="A290" s="7">
        <v>1090105</v>
      </c>
      <c r="B290" s="7" t="s">
        <v>1240</v>
      </c>
      <c r="C290" s="350" t="s">
        <v>1265</v>
      </c>
      <c r="D290" s="7" t="s">
        <v>81</v>
      </c>
      <c r="E290" s="7" t="s">
        <v>1227</v>
      </c>
      <c r="F290" s="7">
        <v>1</v>
      </c>
      <c r="G290" s="7">
        <v>9</v>
      </c>
      <c r="H290" s="7" t="s">
        <v>82</v>
      </c>
      <c r="I290" s="7" t="s">
        <v>101</v>
      </c>
      <c r="J290" s="7"/>
      <c r="K290" s="7">
        <v>3</v>
      </c>
      <c r="L290" s="350" t="s">
        <v>1266</v>
      </c>
      <c r="M290" s="238"/>
      <c r="N290" s="238"/>
      <c r="O290" s="350"/>
      <c r="P290" s="239"/>
      <c r="Q290" s="239">
        <v>0</v>
      </c>
      <c r="R290" s="239" t="s">
        <v>85</v>
      </c>
      <c r="S290" s="7">
        <v>1090105</v>
      </c>
      <c r="T290" s="262" t="s">
        <v>1267</v>
      </c>
      <c r="U290" s="263" t="s">
        <v>1244</v>
      </c>
      <c r="V290" s="239" t="s">
        <v>468</v>
      </c>
      <c r="W290" s="568" t="s">
        <v>1268</v>
      </c>
      <c r="X290" s="568" t="s">
        <v>1268</v>
      </c>
      <c r="Y290" s="239"/>
      <c r="Z290" s="239"/>
      <c r="AA290" s="239"/>
      <c r="AB290" s="239" t="s">
        <v>90</v>
      </c>
      <c r="AC290" s="7"/>
      <c r="AD290" s="7"/>
      <c r="AE290" s="7">
        <v>1</v>
      </c>
      <c r="AF290" s="7">
        <v>1</v>
      </c>
      <c r="AG290" s="7">
        <v>5</v>
      </c>
      <c r="AH290" s="7"/>
      <c r="AI290" s="7">
        <v>39</v>
      </c>
      <c r="AJ290" s="7">
        <v>26</v>
      </c>
      <c r="AK290" s="273" t="s">
        <v>1269</v>
      </c>
      <c r="AL290" s="273"/>
      <c r="AM290" s="273"/>
      <c r="AN290" s="7" t="s">
        <v>1270</v>
      </c>
      <c r="AO290" s="7"/>
      <c r="AP290" s="7"/>
      <c r="AQ290" s="7" t="s">
        <v>1271</v>
      </c>
      <c r="AR290" s="283">
        <v>276</v>
      </c>
    </row>
    <row r="291" spans="1:44" ht="15" customHeight="1">
      <c r="A291" s="7">
        <v>1090106</v>
      </c>
      <c r="B291" s="7" t="s">
        <v>1240</v>
      </c>
      <c r="C291" s="350" t="s">
        <v>1272</v>
      </c>
      <c r="D291" s="7" t="s">
        <v>81</v>
      </c>
      <c r="E291" s="7" t="s">
        <v>1227</v>
      </c>
      <c r="F291" s="7">
        <v>3</v>
      </c>
      <c r="G291" s="7">
        <v>9</v>
      </c>
      <c r="H291" s="7" t="s">
        <v>136</v>
      </c>
      <c r="I291" s="7" t="s">
        <v>137</v>
      </c>
      <c r="J291" s="7"/>
      <c r="K291" s="7"/>
      <c r="L291" s="350" t="s">
        <v>1273</v>
      </c>
      <c r="M291" s="238"/>
      <c r="N291" s="238"/>
      <c r="O291" s="350"/>
      <c r="P291" s="239"/>
      <c r="Q291" s="239">
        <v>0</v>
      </c>
      <c r="R291" s="239" t="s">
        <v>153</v>
      </c>
      <c r="S291" s="7">
        <v>1090106</v>
      </c>
      <c r="T291" s="262"/>
      <c r="U291" s="263"/>
      <c r="V291" s="239" t="s">
        <v>468</v>
      </c>
      <c r="W291" s="568" t="s">
        <v>1274</v>
      </c>
      <c r="X291" s="568" t="s">
        <v>1274</v>
      </c>
      <c r="Y291" s="239"/>
      <c r="Z291" s="239"/>
      <c r="AA291" s="239"/>
      <c r="AB291" s="239"/>
      <c r="AC291" s="7"/>
      <c r="AD291" s="7"/>
      <c r="AE291" s="7">
        <v>0</v>
      </c>
      <c r="AF291" s="7">
        <v>0</v>
      </c>
      <c r="AG291" s="7">
        <v>0</v>
      </c>
      <c r="AH291" s="7"/>
      <c r="AI291" s="7">
        <v>0</v>
      </c>
      <c r="AJ291" s="7">
        <v>0</v>
      </c>
      <c r="AK291" s="273"/>
      <c r="AL291" s="273"/>
      <c r="AM291" s="273"/>
      <c r="AN291" s="7"/>
      <c r="AO291" s="7"/>
      <c r="AP291" s="7"/>
      <c r="AQ291" s="7" t="s">
        <v>1275</v>
      </c>
      <c r="AR291" s="283"/>
    </row>
    <row r="292" spans="1:44" ht="15" customHeight="1">
      <c r="A292" s="7">
        <v>1090107</v>
      </c>
      <c r="B292" s="7" t="s">
        <v>1240</v>
      </c>
      <c r="C292" s="350" t="s">
        <v>1276</v>
      </c>
      <c r="D292" s="7" t="s">
        <v>81</v>
      </c>
      <c r="E292" s="7" t="s">
        <v>1227</v>
      </c>
      <c r="F292" s="7">
        <v>4</v>
      </c>
      <c r="G292" s="7">
        <v>9</v>
      </c>
      <c r="H292" s="7" t="s">
        <v>136</v>
      </c>
      <c r="I292" s="7" t="s">
        <v>137</v>
      </c>
      <c r="J292" s="7"/>
      <c r="K292" s="7"/>
      <c r="L292" s="350" t="s">
        <v>1277</v>
      </c>
      <c r="M292" s="238"/>
      <c r="N292" s="238"/>
      <c r="O292" s="350"/>
      <c r="P292" s="239"/>
      <c r="Q292" s="239">
        <v>0</v>
      </c>
      <c r="R292" s="239" t="s">
        <v>153</v>
      </c>
      <c r="S292" s="7">
        <v>1090107</v>
      </c>
      <c r="T292" s="262"/>
      <c r="U292" s="263"/>
      <c r="V292" s="239" t="s">
        <v>468</v>
      </c>
      <c r="W292" s="568" t="s">
        <v>1278</v>
      </c>
      <c r="X292" s="568" t="s">
        <v>1278</v>
      </c>
      <c r="Y292" s="239"/>
      <c r="Z292" s="239"/>
      <c r="AA292" s="239"/>
      <c r="AB292" s="239"/>
      <c r="AC292" s="7"/>
      <c r="AD292" s="7"/>
      <c r="AE292" s="7">
        <v>0</v>
      </c>
      <c r="AF292" s="7">
        <v>0</v>
      </c>
      <c r="AG292" s="7">
        <v>0</v>
      </c>
      <c r="AH292" s="7"/>
      <c r="AI292" s="7">
        <v>0</v>
      </c>
      <c r="AJ292" s="7">
        <v>0</v>
      </c>
      <c r="AK292" s="273"/>
      <c r="AL292" s="273"/>
      <c r="AM292" s="273"/>
      <c r="AN292" s="7"/>
      <c r="AO292" s="7"/>
      <c r="AP292" s="7"/>
      <c r="AQ292" s="7" t="s">
        <v>1279</v>
      </c>
      <c r="AR292" s="283"/>
    </row>
    <row r="293" spans="1:44" ht="15" customHeight="1">
      <c r="A293" s="7">
        <v>1090108</v>
      </c>
      <c r="B293" s="7" t="s">
        <v>1240</v>
      </c>
      <c r="C293" s="350" t="s">
        <v>1280</v>
      </c>
      <c r="D293" s="7" t="s">
        <v>81</v>
      </c>
      <c r="E293" s="7" t="s">
        <v>1227</v>
      </c>
      <c r="F293" s="7">
        <v>5</v>
      </c>
      <c r="G293" s="7">
        <v>9</v>
      </c>
      <c r="H293" s="7" t="s">
        <v>136</v>
      </c>
      <c r="I293" s="7" t="s">
        <v>137</v>
      </c>
      <c r="J293" s="7"/>
      <c r="K293" s="7"/>
      <c r="L293" s="350" t="s">
        <v>1281</v>
      </c>
      <c r="M293" s="238"/>
      <c r="N293" s="238"/>
      <c r="O293" s="350"/>
      <c r="P293" s="239"/>
      <c r="Q293" s="239">
        <v>0</v>
      </c>
      <c r="R293" s="239" t="s">
        <v>153</v>
      </c>
      <c r="S293" s="7">
        <v>1090108</v>
      </c>
      <c r="T293" s="262"/>
      <c r="U293" s="263"/>
      <c r="V293" s="239" t="s">
        <v>468</v>
      </c>
      <c r="W293" s="568" t="s">
        <v>1282</v>
      </c>
      <c r="X293" s="568" t="s">
        <v>1282</v>
      </c>
      <c r="Y293" s="239"/>
      <c r="Z293" s="239"/>
      <c r="AA293" s="239"/>
      <c r="AB293" s="239"/>
      <c r="AC293" s="7"/>
      <c r="AD293" s="7"/>
      <c r="AE293" s="7">
        <v>0</v>
      </c>
      <c r="AF293" s="7">
        <v>0</v>
      </c>
      <c r="AG293" s="7">
        <v>0</v>
      </c>
      <c r="AH293" s="7"/>
      <c r="AI293" s="7">
        <v>0</v>
      </c>
      <c r="AJ293" s="7">
        <v>0</v>
      </c>
      <c r="AK293" s="273"/>
      <c r="AL293" s="273"/>
      <c r="AM293" s="273"/>
      <c r="AN293" s="7"/>
      <c r="AO293" s="7"/>
      <c r="AP293" s="7"/>
      <c r="AQ293" s="7" t="s">
        <v>1283</v>
      </c>
      <c r="AR293" s="283"/>
    </row>
    <row r="294" spans="1:44" ht="15" customHeight="1">
      <c r="A294" s="7">
        <v>1090109</v>
      </c>
      <c r="B294" s="7" t="s">
        <v>1240</v>
      </c>
      <c r="C294" s="350" t="s">
        <v>1284</v>
      </c>
      <c r="D294" s="7" t="s">
        <v>81</v>
      </c>
      <c r="E294" s="7" t="s">
        <v>1227</v>
      </c>
      <c r="F294" s="7">
        <v>6</v>
      </c>
      <c r="G294" s="7">
        <v>9</v>
      </c>
      <c r="H294" s="7" t="s">
        <v>136</v>
      </c>
      <c r="I294" s="7" t="s">
        <v>137</v>
      </c>
      <c r="J294" s="7"/>
      <c r="K294" s="7"/>
      <c r="L294" s="350" t="s">
        <v>1285</v>
      </c>
      <c r="M294" s="238"/>
      <c r="N294" s="238"/>
      <c r="O294" s="350"/>
      <c r="P294" s="239"/>
      <c r="Q294" s="239">
        <v>0</v>
      </c>
      <c r="R294" s="239" t="s">
        <v>153</v>
      </c>
      <c r="S294" s="7">
        <v>1090109</v>
      </c>
      <c r="T294" s="262"/>
      <c r="U294" s="263"/>
      <c r="V294" s="239" t="s">
        <v>468</v>
      </c>
      <c r="W294" s="568" t="s">
        <v>1286</v>
      </c>
      <c r="X294" s="568" t="s">
        <v>1286</v>
      </c>
      <c r="Y294" s="239"/>
      <c r="Z294" s="239"/>
      <c r="AA294" s="239"/>
      <c r="AB294" s="239"/>
      <c r="AC294" s="7"/>
      <c r="AD294" s="7"/>
      <c r="AE294" s="7">
        <v>0</v>
      </c>
      <c r="AF294" s="7">
        <v>0</v>
      </c>
      <c r="AG294" s="7">
        <v>0</v>
      </c>
      <c r="AH294" s="7"/>
      <c r="AI294" s="7">
        <v>0</v>
      </c>
      <c r="AJ294" s="7">
        <v>0</v>
      </c>
      <c r="AK294" s="273"/>
      <c r="AL294" s="273"/>
      <c r="AM294" s="273"/>
      <c r="AN294" s="7"/>
      <c r="AO294" s="7"/>
      <c r="AP294" s="7"/>
      <c r="AQ294" s="7" t="s">
        <v>1287</v>
      </c>
      <c r="AR294" s="283"/>
    </row>
    <row r="295" spans="1:44" ht="15" customHeight="1">
      <c r="A295" s="7">
        <v>1090110</v>
      </c>
      <c r="B295" s="7" t="s">
        <v>1240</v>
      </c>
      <c r="C295" s="350" t="s">
        <v>1288</v>
      </c>
      <c r="D295" s="7" t="s">
        <v>81</v>
      </c>
      <c r="E295" s="7" t="s">
        <v>1227</v>
      </c>
      <c r="F295" s="7">
        <v>7</v>
      </c>
      <c r="G295" s="7">
        <v>9</v>
      </c>
      <c r="H295" s="7" t="s">
        <v>136</v>
      </c>
      <c r="I295" s="7" t="s">
        <v>137</v>
      </c>
      <c r="J295" s="7"/>
      <c r="K295" s="7"/>
      <c r="L295" s="350" t="s">
        <v>1289</v>
      </c>
      <c r="M295" s="238"/>
      <c r="N295" s="238"/>
      <c r="O295" s="350"/>
      <c r="P295" s="239"/>
      <c r="Q295" s="239">
        <v>0</v>
      </c>
      <c r="R295" s="239" t="s">
        <v>153</v>
      </c>
      <c r="S295" s="7">
        <v>1090110</v>
      </c>
      <c r="T295" s="262"/>
      <c r="U295" s="263"/>
      <c r="V295" s="239" t="s">
        <v>468</v>
      </c>
      <c r="W295" s="568" t="s">
        <v>1290</v>
      </c>
      <c r="X295" s="568" t="s">
        <v>1290</v>
      </c>
      <c r="Y295" s="239"/>
      <c r="Z295" s="239"/>
      <c r="AA295" s="239"/>
      <c r="AB295" s="239"/>
      <c r="AC295" s="7"/>
      <c r="AD295" s="7"/>
      <c r="AE295" s="7">
        <v>0</v>
      </c>
      <c r="AF295" s="7">
        <v>0</v>
      </c>
      <c r="AG295" s="7">
        <v>0</v>
      </c>
      <c r="AH295" s="7"/>
      <c r="AI295" s="7">
        <v>0</v>
      </c>
      <c r="AJ295" s="7">
        <v>0</v>
      </c>
      <c r="AK295" s="273"/>
      <c r="AL295" s="273"/>
      <c r="AM295" s="273"/>
      <c r="AN295" s="7"/>
      <c r="AO295" s="7"/>
      <c r="AP295" s="7"/>
      <c r="AQ295" s="7" t="s">
        <v>1291</v>
      </c>
      <c r="AR295" s="283"/>
    </row>
    <row r="296" spans="1:44" ht="15" customHeight="1">
      <c r="A296" s="3">
        <v>1090111</v>
      </c>
      <c r="B296" s="3" t="s">
        <v>1240</v>
      </c>
      <c r="C296" s="236" t="s">
        <v>1292</v>
      </c>
      <c r="D296" s="3" t="s">
        <v>81</v>
      </c>
      <c r="E296" s="3" t="s">
        <v>1227</v>
      </c>
      <c r="F296" s="3">
        <v>8</v>
      </c>
      <c r="G296" s="3">
        <v>9</v>
      </c>
      <c r="H296" s="3" t="s">
        <v>136</v>
      </c>
      <c r="I296" s="3" t="s">
        <v>137</v>
      </c>
      <c r="J296" s="3"/>
      <c r="K296" s="3"/>
      <c r="L296" s="236"/>
      <c r="M296" s="99"/>
      <c r="N296" s="99"/>
      <c r="O296" s="236"/>
      <c r="P296" s="22"/>
      <c r="Q296" s="22">
        <v>0</v>
      </c>
      <c r="R296" s="22" t="s">
        <v>153</v>
      </c>
      <c r="S296" s="3"/>
      <c r="T296" s="260"/>
      <c r="U296" s="261"/>
      <c r="V296" s="22"/>
      <c r="W296" s="567" t="s">
        <v>169</v>
      </c>
      <c r="X296" s="567" t="s">
        <v>6736</v>
      </c>
      <c r="Y296" s="22"/>
      <c r="Z296" s="22"/>
      <c r="AA296" s="22"/>
      <c r="AB296" s="22" t="s">
        <v>114</v>
      </c>
      <c r="AC296" s="3"/>
      <c r="AD296" s="3"/>
      <c r="AE296" s="3">
        <v>0</v>
      </c>
      <c r="AF296" s="3">
        <v>0</v>
      </c>
      <c r="AG296" s="3">
        <v>0</v>
      </c>
      <c r="AH296" s="3"/>
      <c r="AI296" s="3">
        <v>0</v>
      </c>
      <c r="AJ296" s="3">
        <v>0</v>
      </c>
      <c r="AK296" s="3">
        <v>0</v>
      </c>
      <c r="AL296" s="3"/>
      <c r="AM296" s="3"/>
      <c r="AN296" s="3"/>
      <c r="AO296" s="3"/>
      <c r="AP296" s="3"/>
      <c r="AQ296" s="3" t="s">
        <v>1271</v>
      </c>
      <c r="AR296" s="281"/>
    </row>
    <row r="297" spans="1:44" ht="15" customHeight="1">
      <c r="A297" s="3">
        <v>1090112</v>
      </c>
      <c r="B297" s="3" t="s">
        <v>1240</v>
      </c>
      <c r="C297" s="236" t="s">
        <v>1293</v>
      </c>
      <c r="D297" s="3" t="s">
        <v>81</v>
      </c>
      <c r="E297" s="3" t="s">
        <v>1227</v>
      </c>
      <c r="F297" s="3">
        <v>9</v>
      </c>
      <c r="G297" s="3">
        <v>9</v>
      </c>
      <c r="H297" s="3" t="s">
        <v>136</v>
      </c>
      <c r="I297" s="3" t="s">
        <v>137</v>
      </c>
      <c r="J297" s="3"/>
      <c r="K297" s="3"/>
      <c r="L297" s="236"/>
      <c r="M297" s="99"/>
      <c r="N297" s="99"/>
      <c r="O297" s="236"/>
      <c r="P297" s="22"/>
      <c r="Q297" s="22">
        <v>0</v>
      </c>
      <c r="R297" s="22" t="s">
        <v>153</v>
      </c>
      <c r="S297" s="3"/>
      <c r="T297" s="260"/>
      <c r="U297" s="261"/>
      <c r="V297" s="22"/>
      <c r="W297" s="567" t="s">
        <v>1294</v>
      </c>
      <c r="X297" s="567" t="s">
        <v>6747</v>
      </c>
      <c r="Y297" s="22"/>
      <c r="Z297" s="22"/>
      <c r="AA297" s="22"/>
      <c r="AB297" s="22" t="s">
        <v>114</v>
      </c>
      <c r="AC297" s="3"/>
      <c r="AD297" s="3"/>
      <c r="AE297" s="3">
        <v>0</v>
      </c>
      <c r="AF297" s="3">
        <v>0</v>
      </c>
      <c r="AG297" s="3">
        <v>0</v>
      </c>
      <c r="AH297" s="3"/>
      <c r="AI297" s="3">
        <v>0</v>
      </c>
      <c r="AJ297" s="3">
        <v>0</v>
      </c>
      <c r="AK297" s="3">
        <v>0</v>
      </c>
      <c r="AL297" s="3"/>
      <c r="AM297" s="3"/>
      <c r="AN297" s="3"/>
      <c r="AO297" s="3"/>
      <c r="AP297" s="3"/>
      <c r="AQ297" s="282" t="str">
        <f>"tricks/"&amp;A297</f>
        <v>tricks/1090112</v>
      </c>
    </row>
    <row r="298" spans="1:44" ht="15" customHeight="1">
      <c r="A298" s="3">
        <v>1090113</v>
      </c>
      <c r="B298" s="3" t="s">
        <v>1240</v>
      </c>
      <c r="C298" s="236" t="s">
        <v>1295</v>
      </c>
      <c r="D298" s="3" t="s">
        <v>81</v>
      </c>
      <c r="E298" s="3" t="s">
        <v>1227</v>
      </c>
      <c r="F298" s="3">
        <v>10</v>
      </c>
      <c r="G298" s="3">
        <v>9</v>
      </c>
      <c r="H298" s="3" t="s">
        <v>136</v>
      </c>
      <c r="I298" s="3" t="s">
        <v>137</v>
      </c>
      <c r="J298" s="3"/>
      <c r="K298" s="3"/>
      <c r="L298" s="236"/>
      <c r="M298" s="99"/>
      <c r="N298" s="99"/>
      <c r="O298" s="236"/>
      <c r="P298" s="22"/>
      <c r="Q298" s="22">
        <v>0</v>
      </c>
      <c r="R298" s="22" t="s">
        <v>153</v>
      </c>
      <c r="S298" s="3"/>
      <c r="T298" s="260"/>
      <c r="U298" s="261"/>
      <c r="V298" s="22"/>
      <c r="W298" s="567" t="s">
        <v>1296</v>
      </c>
      <c r="X298" s="567" t="s">
        <v>6746</v>
      </c>
      <c r="Y298" s="22"/>
      <c r="Z298" s="22"/>
      <c r="AA298" s="22"/>
      <c r="AB298" s="22" t="s">
        <v>114</v>
      </c>
      <c r="AC298" s="3"/>
      <c r="AD298" s="3"/>
      <c r="AE298" s="3">
        <v>0</v>
      </c>
      <c r="AF298" s="3">
        <v>0</v>
      </c>
      <c r="AG298" s="3">
        <v>0</v>
      </c>
      <c r="AH298" s="3"/>
      <c r="AI298" s="3">
        <v>0</v>
      </c>
      <c r="AJ298" s="3">
        <v>0</v>
      </c>
      <c r="AK298" s="3">
        <v>0</v>
      </c>
      <c r="AL298" s="3"/>
      <c r="AM298" s="3"/>
      <c r="AN298" s="3"/>
      <c r="AO298" s="3"/>
      <c r="AP298" s="3"/>
      <c r="AQ298" s="282" t="str">
        <f>"tricks/"&amp;A298</f>
        <v>tricks/1090113</v>
      </c>
    </row>
    <row r="299" spans="1:44" ht="15" customHeight="1">
      <c r="A299" s="34">
        <v>1090201</v>
      </c>
      <c r="B299" s="34" t="s">
        <v>1297</v>
      </c>
      <c r="C299" s="412" t="s">
        <v>1298</v>
      </c>
      <c r="D299" s="34" t="s">
        <v>81</v>
      </c>
      <c r="E299" s="34" t="s">
        <v>1227</v>
      </c>
      <c r="F299" s="34">
        <v>1</v>
      </c>
      <c r="G299" s="34">
        <v>9</v>
      </c>
      <c r="H299" s="34" t="s">
        <v>82</v>
      </c>
      <c r="I299" s="34" t="s">
        <v>101</v>
      </c>
      <c r="J299" s="34"/>
      <c r="K299" s="34">
        <v>1</v>
      </c>
      <c r="L299" s="412"/>
      <c r="M299" s="371"/>
      <c r="N299" s="371"/>
      <c r="O299" s="412"/>
      <c r="P299" s="130"/>
      <c r="Q299" s="130">
        <v>0</v>
      </c>
      <c r="R299" s="130" t="s">
        <v>85</v>
      </c>
      <c r="S299" s="34">
        <v>1090101</v>
      </c>
      <c r="T299" s="382" t="s">
        <v>1299</v>
      </c>
      <c r="U299" s="383" t="s">
        <v>1300</v>
      </c>
      <c r="V299" s="130" t="s">
        <v>582</v>
      </c>
      <c r="W299" s="599" t="s">
        <v>1301</v>
      </c>
      <c r="X299" s="599" t="s">
        <v>1301</v>
      </c>
      <c r="Y299" s="130"/>
      <c r="Z299" s="130"/>
      <c r="AA299" s="130"/>
      <c r="AB299" s="130" t="s">
        <v>90</v>
      </c>
      <c r="AC299" s="34"/>
      <c r="AD299" s="34"/>
      <c r="AE299" s="34">
        <v>1</v>
      </c>
      <c r="AF299" s="34">
        <v>2</v>
      </c>
      <c r="AG299" s="34">
        <v>6</v>
      </c>
      <c r="AH299" s="34"/>
      <c r="AI299" s="34">
        <v>39</v>
      </c>
      <c r="AJ299" s="34">
        <v>26</v>
      </c>
      <c r="AK299" s="131"/>
      <c r="AL299" s="131"/>
      <c r="AM299" s="131"/>
      <c r="AN299" s="34" t="s">
        <v>1302</v>
      </c>
      <c r="AO299" s="34"/>
      <c r="AP299" s="34"/>
      <c r="AQ299" s="34" t="s">
        <v>1303</v>
      </c>
      <c r="AR299" s="405">
        <v>322</v>
      </c>
    </row>
    <row r="300" spans="1:44" ht="15" customHeight="1">
      <c r="A300" s="34">
        <v>1090202</v>
      </c>
      <c r="B300" s="34" t="s">
        <v>1297</v>
      </c>
      <c r="C300" s="412" t="s">
        <v>1304</v>
      </c>
      <c r="D300" s="34" t="s">
        <v>81</v>
      </c>
      <c r="E300" s="34" t="s">
        <v>1227</v>
      </c>
      <c r="F300" s="34">
        <v>1</v>
      </c>
      <c r="G300" s="34">
        <v>9</v>
      </c>
      <c r="H300" s="34" t="s">
        <v>136</v>
      </c>
      <c r="I300" s="34" t="s">
        <v>137</v>
      </c>
      <c r="J300" s="34"/>
      <c r="K300" s="34"/>
      <c r="L300" s="412"/>
      <c r="M300" s="371"/>
      <c r="N300" s="371"/>
      <c r="O300" s="413"/>
      <c r="P300" s="130"/>
      <c r="Q300" s="130">
        <v>0</v>
      </c>
      <c r="R300" s="130" t="s">
        <v>153</v>
      </c>
      <c r="S300" s="34">
        <v>1090102</v>
      </c>
      <c r="T300" s="382"/>
      <c r="U300" s="383"/>
      <c r="V300" s="130" t="s">
        <v>582</v>
      </c>
      <c r="W300" s="599" t="s">
        <v>1305</v>
      </c>
      <c r="X300" s="599" t="s">
        <v>1305</v>
      </c>
      <c r="Y300" s="130"/>
      <c r="Z300" s="130"/>
      <c r="AA300" s="130"/>
      <c r="AB300" s="130"/>
      <c r="AC300" s="34"/>
      <c r="AD300" s="34"/>
      <c r="AE300" s="34">
        <v>0</v>
      </c>
      <c r="AF300" s="34">
        <v>0</v>
      </c>
      <c r="AG300" s="34">
        <v>0</v>
      </c>
      <c r="AH300" s="34"/>
      <c r="AI300" s="34">
        <v>0</v>
      </c>
      <c r="AJ300" s="34">
        <v>0</v>
      </c>
      <c r="AK300" s="131"/>
      <c r="AL300" s="131"/>
      <c r="AM300" s="131"/>
      <c r="AN300" s="34"/>
      <c r="AO300" s="34"/>
      <c r="AP300" s="34"/>
      <c r="AQ300" s="34" t="s">
        <v>1306</v>
      </c>
      <c r="AR300" s="405"/>
    </row>
    <row r="301" spans="1:44" ht="15" customHeight="1">
      <c r="A301" s="34">
        <v>1090203</v>
      </c>
      <c r="B301" s="34" t="s">
        <v>1297</v>
      </c>
      <c r="C301" s="412" t="s">
        <v>1307</v>
      </c>
      <c r="D301" s="34" t="s">
        <v>81</v>
      </c>
      <c r="E301" s="34" t="s">
        <v>1227</v>
      </c>
      <c r="F301" s="34">
        <v>1</v>
      </c>
      <c r="G301" s="34">
        <v>9</v>
      </c>
      <c r="H301" s="34" t="s">
        <v>82</v>
      </c>
      <c r="I301" s="34" t="s">
        <v>101</v>
      </c>
      <c r="J301" s="34"/>
      <c r="K301" s="34">
        <v>2</v>
      </c>
      <c r="L301" s="412"/>
      <c r="M301" s="371"/>
      <c r="N301" s="371"/>
      <c r="O301" s="412"/>
      <c r="P301" s="130"/>
      <c r="Q301" s="130">
        <v>0</v>
      </c>
      <c r="R301" s="130" t="s">
        <v>85</v>
      </c>
      <c r="S301" s="34">
        <v>1090103</v>
      </c>
      <c r="T301" s="382" t="s">
        <v>1308</v>
      </c>
      <c r="U301" s="383" t="s">
        <v>1244</v>
      </c>
      <c r="V301" s="130" t="s">
        <v>582</v>
      </c>
      <c r="W301" s="599" t="s">
        <v>1309</v>
      </c>
      <c r="X301" s="599" t="s">
        <v>1309</v>
      </c>
      <c r="Y301" s="130"/>
      <c r="Z301" s="130"/>
      <c r="AA301" s="130"/>
      <c r="AB301" s="130" t="s">
        <v>90</v>
      </c>
      <c r="AC301" s="34"/>
      <c r="AD301" s="34"/>
      <c r="AE301" s="34">
        <v>1</v>
      </c>
      <c r="AF301" s="34">
        <v>1</v>
      </c>
      <c r="AG301" s="34">
        <v>5</v>
      </c>
      <c r="AH301" s="34"/>
      <c r="AI301" s="34">
        <v>39</v>
      </c>
      <c r="AJ301" s="34">
        <v>26</v>
      </c>
      <c r="AK301" s="131"/>
      <c r="AL301" s="131"/>
      <c r="AM301" s="131"/>
      <c r="AN301" s="34" t="s">
        <v>1310</v>
      </c>
      <c r="AO301" s="34"/>
      <c r="AP301" s="34"/>
      <c r="AQ301" s="34" t="s">
        <v>1311</v>
      </c>
      <c r="AR301" s="405">
        <v>323</v>
      </c>
    </row>
    <row r="302" spans="1:44" ht="15" customHeight="1">
      <c r="A302" s="34">
        <v>1090204</v>
      </c>
      <c r="B302" s="34" t="s">
        <v>1297</v>
      </c>
      <c r="C302" s="412" t="s">
        <v>1312</v>
      </c>
      <c r="D302" s="34" t="s">
        <v>81</v>
      </c>
      <c r="E302" s="34" t="s">
        <v>1227</v>
      </c>
      <c r="F302" s="34">
        <v>2</v>
      </c>
      <c r="G302" s="34">
        <v>9</v>
      </c>
      <c r="H302" s="34" t="s">
        <v>136</v>
      </c>
      <c r="I302" s="34" t="s">
        <v>137</v>
      </c>
      <c r="J302" s="34"/>
      <c r="K302" s="34"/>
      <c r="L302" s="412"/>
      <c r="M302" s="371"/>
      <c r="N302" s="371"/>
      <c r="O302" s="412"/>
      <c r="P302" s="130"/>
      <c r="Q302" s="130">
        <v>0</v>
      </c>
      <c r="R302" s="130" t="s">
        <v>153</v>
      </c>
      <c r="S302" s="34">
        <v>1090104</v>
      </c>
      <c r="T302" s="382"/>
      <c r="U302" s="383"/>
      <c r="V302" s="130" t="s">
        <v>582</v>
      </c>
      <c r="W302" s="599" t="s">
        <v>1313</v>
      </c>
      <c r="X302" s="599" t="s">
        <v>1313</v>
      </c>
      <c r="Y302" s="130"/>
      <c r="Z302" s="130"/>
      <c r="AA302" s="130"/>
      <c r="AB302" s="130"/>
      <c r="AC302" s="34"/>
      <c r="AD302" s="34"/>
      <c r="AE302" s="34">
        <v>0</v>
      </c>
      <c r="AF302" s="34">
        <v>0</v>
      </c>
      <c r="AG302" s="34">
        <v>0</v>
      </c>
      <c r="AH302" s="34"/>
      <c r="AI302" s="34">
        <v>0</v>
      </c>
      <c r="AJ302" s="34">
        <v>0</v>
      </c>
      <c r="AK302" s="131"/>
      <c r="AL302" s="131"/>
      <c r="AM302" s="131"/>
      <c r="AN302" s="34"/>
      <c r="AO302" s="34"/>
      <c r="AP302" s="34"/>
      <c r="AQ302" s="34" t="s">
        <v>1314</v>
      </c>
      <c r="AR302" s="405"/>
    </row>
    <row r="303" spans="1:44" ht="15" customHeight="1">
      <c r="A303" s="34">
        <v>1090205</v>
      </c>
      <c r="B303" s="34" t="s">
        <v>1297</v>
      </c>
      <c r="C303" s="412" t="s">
        <v>1315</v>
      </c>
      <c r="D303" s="34" t="s">
        <v>81</v>
      </c>
      <c r="E303" s="34" t="s">
        <v>1227</v>
      </c>
      <c r="F303" s="34">
        <v>1</v>
      </c>
      <c r="G303" s="34">
        <v>9</v>
      </c>
      <c r="H303" s="34" t="s">
        <v>82</v>
      </c>
      <c r="I303" s="34" t="s">
        <v>101</v>
      </c>
      <c r="J303" s="34"/>
      <c r="K303" s="34">
        <v>3</v>
      </c>
      <c r="L303" s="412"/>
      <c r="M303" s="371"/>
      <c r="N303" s="371"/>
      <c r="O303" s="412"/>
      <c r="P303" s="130"/>
      <c r="Q303" s="130">
        <v>0</v>
      </c>
      <c r="R303" s="130" t="s">
        <v>85</v>
      </c>
      <c r="S303" s="34">
        <v>1090105</v>
      </c>
      <c r="T303" s="382" t="s">
        <v>1316</v>
      </c>
      <c r="U303" s="383" t="s">
        <v>1317</v>
      </c>
      <c r="V303" s="130" t="s">
        <v>582</v>
      </c>
      <c r="W303" s="599" t="s">
        <v>1318</v>
      </c>
      <c r="X303" s="599" t="s">
        <v>1318</v>
      </c>
      <c r="Y303" s="130"/>
      <c r="Z303" s="130"/>
      <c r="AA303" s="130"/>
      <c r="AB303" s="130" t="s">
        <v>90</v>
      </c>
      <c r="AC303" s="34"/>
      <c r="AD303" s="34"/>
      <c r="AE303" s="34">
        <v>1</v>
      </c>
      <c r="AF303" s="34">
        <v>1</v>
      </c>
      <c r="AG303" s="34">
        <v>5</v>
      </c>
      <c r="AH303" s="34"/>
      <c r="AI303" s="34">
        <v>39</v>
      </c>
      <c r="AJ303" s="34">
        <v>26</v>
      </c>
      <c r="AK303" s="131"/>
      <c r="AL303" s="131"/>
      <c r="AM303" s="131"/>
      <c r="AN303" s="34" t="s">
        <v>1319</v>
      </c>
      <c r="AO303" s="34"/>
      <c r="AP303" s="34"/>
      <c r="AQ303" s="34" t="s">
        <v>1320</v>
      </c>
      <c r="AR303" s="405">
        <v>324</v>
      </c>
    </row>
    <row r="304" spans="1:44" ht="15" customHeight="1">
      <c r="A304" s="34">
        <v>1090206</v>
      </c>
      <c r="B304" s="34" t="s">
        <v>1297</v>
      </c>
      <c r="C304" s="412" t="s">
        <v>1321</v>
      </c>
      <c r="D304" s="34" t="s">
        <v>81</v>
      </c>
      <c r="E304" s="34" t="s">
        <v>1227</v>
      </c>
      <c r="F304" s="34">
        <v>3</v>
      </c>
      <c r="G304" s="34">
        <v>9</v>
      </c>
      <c r="H304" s="34" t="s">
        <v>136</v>
      </c>
      <c r="I304" s="34" t="s">
        <v>137</v>
      </c>
      <c r="J304" s="34"/>
      <c r="K304" s="34"/>
      <c r="L304" s="412"/>
      <c r="M304" s="371"/>
      <c r="N304" s="371"/>
      <c r="O304" s="412"/>
      <c r="P304" s="130"/>
      <c r="Q304" s="130">
        <v>0</v>
      </c>
      <c r="R304" s="130" t="s">
        <v>153</v>
      </c>
      <c r="S304" s="34">
        <v>1090106</v>
      </c>
      <c r="T304" s="382"/>
      <c r="U304" s="383"/>
      <c r="V304" s="130" t="s">
        <v>582</v>
      </c>
      <c r="W304" s="599" t="s">
        <v>1322</v>
      </c>
      <c r="X304" s="599" t="s">
        <v>1322</v>
      </c>
      <c r="Y304" s="130"/>
      <c r="Z304" s="130"/>
      <c r="AA304" s="130"/>
      <c r="AB304" s="130"/>
      <c r="AC304" s="34"/>
      <c r="AD304" s="34"/>
      <c r="AE304" s="34">
        <v>0</v>
      </c>
      <c r="AF304" s="34">
        <v>0</v>
      </c>
      <c r="AG304" s="34">
        <v>0</v>
      </c>
      <c r="AH304" s="34"/>
      <c r="AI304" s="34">
        <v>0</v>
      </c>
      <c r="AJ304" s="34">
        <v>0</v>
      </c>
      <c r="AK304" s="131"/>
      <c r="AL304" s="131"/>
      <c r="AM304" s="131"/>
      <c r="AN304" s="34"/>
      <c r="AO304" s="34"/>
      <c r="AP304" s="34"/>
      <c r="AQ304" s="34" t="s">
        <v>1323</v>
      </c>
      <c r="AR304" s="405"/>
    </row>
    <row r="305" spans="1:44" ht="15" customHeight="1">
      <c r="A305" s="34">
        <v>1090207</v>
      </c>
      <c r="B305" s="34" t="s">
        <v>1297</v>
      </c>
      <c r="C305" s="412" t="s">
        <v>1324</v>
      </c>
      <c r="D305" s="34" t="s">
        <v>81</v>
      </c>
      <c r="E305" s="34" t="s">
        <v>1227</v>
      </c>
      <c r="F305" s="34">
        <v>4</v>
      </c>
      <c r="G305" s="34">
        <v>9</v>
      </c>
      <c r="H305" s="34" t="s">
        <v>136</v>
      </c>
      <c r="I305" s="34" t="s">
        <v>137</v>
      </c>
      <c r="J305" s="34"/>
      <c r="K305" s="34"/>
      <c r="L305" s="412"/>
      <c r="M305" s="371"/>
      <c r="N305" s="371"/>
      <c r="O305" s="412"/>
      <c r="P305" s="130"/>
      <c r="Q305" s="130">
        <v>0</v>
      </c>
      <c r="R305" s="130" t="s">
        <v>153</v>
      </c>
      <c r="S305" s="34">
        <v>1090107</v>
      </c>
      <c r="T305" s="382"/>
      <c r="U305" s="383"/>
      <c r="V305" s="130" t="s">
        <v>582</v>
      </c>
      <c r="W305" s="599" t="s">
        <v>1325</v>
      </c>
      <c r="X305" s="599" t="s">
        <v>1325</v>
      </c>
      <c r="Y305" s="130"/>
      <c r="Z305" s="130"/>
      <c r="AA305" s="130"/>
      <c r="AB305" s="130"/>
      <c r="AC305" s="34"/>
      <c r="AD305" s="34"/>
      <c r="AE305" s="34">
        <v>0</v>
      </c>
      <c r="AF305" s="34">
        <v>0</v>
      </c>
      <c r="AG305" s="34">
        <v>0</v>
      </c>
      <c r="AH305" s="34"/>
      <c r="AI305" s="34">
        <v>0</v>
      </c>
      <c r="AJ305" s="34">
        <v>0</v>
      </c>
      <c r="AK305" s="131"/>
      <c r="AL305" s="131"/>
      <c r="AM305" s="131"/>
      <c r="AN305" s="34"/>
      <c r="AO305" s="34"/>
      <c r="AP305" s="34"/>
      <c r="AQ305" s="34" t="s">
        <v>1326</v>
      </c>
      <c r="AR305" s="405"/>
    </row>
    <row r="306" spans="1:44" ht="15" customHeight="1">
      <c r="A306" s="34">
        <v>1090208</v>
      </c>
      <c r="B306" s="34" t="s">
        <v>1297</v>
      </c>
      <c r="C306" s="412" t="s">
        <v>1327</v>
      </c>
      <c r="D306" s="34" t="s">
        <v>81</v>
      </c>
      <c r="E306" s="34" t="s">
        <v>1227</v>
      </c>
      <c r="F306" s="34">
        <v>5</v>
      </c>
      <c r="G306" s="34">
        <v>9</v>
      </c>
      <c r="H306" s="34" t="s">
        <v>136</v>
      </c>
      <c r="I306" s="34" t="s">
        <v>137</v>
      </c>
      <c r="J306" s="34"/>
      <c r="K306" s="34"/>
      <c r="L306" s="412"/>
      <c r="M306" s="371"/>
      <c r="N306" s="371"/>
      <c r="O306" s="412"/>
      <c r="P306" s="130"/>
      <c r="Q306" s="130">
        <v>0</v>
      </c>
      <c r="R306" s="130" t="s">
        <v>153</v>
      </c>
      <c r="S306" s="34">
        <v>1090108</v>
      </c>
      <c r="T306" s="382"/>
      <c r="U306" s="383"/>
      <c r="V306" s="130" t="s">
        <v>582</v>
      </c>
      <c r="W306" s="599" t="s">
        <v>1328</v>
      </c>
      <c r="X306" s="599" t="s">
        <v>1328</v>
      </c>
      <c r="Y306" s="130"/>
      <c r="Z306" s="130"/>
      <c r="AA306" s="130"/>
      <c r="AB306" s="130"/>
      <c r="AC306" s="34"/>
      <c r="AD306" s="34"/>
      <c r="AE306" s="34">
        <v>0</v>
      </c>
      <c r="AF306" s="34">
        <v>0</v>
      </c>
      <c r="AG306" s="34">
        <v>0</v>
      </c>
      <c r="AH306" s="34"/>
      <c r="AI306" s="34">
        <v>0</v>
      </c>
      <c r="AJ306" s="34">
        <v>0</v>
      </c>
      <c r="AK306" s="131"/>
      <c r="AL306" s="131"/>
      <c r="AM306" s="131"/>
      <c r="AN306" s="34"/>
      <c r="AO306" s="34"/>
      <c r="AP306" s="34"/>
      <c r="AQ306" s="34" t="s">
        <v>1329</v>
      </c>
      <c r="AR306" s="405"/>
    </row>
    <row r="307" spans="1:44" ht="15" customHeight="1">
      <c r="A307" s="34">
        <v>1090209</v>
      </c>
      <c r="B307" s="34" t="s">
        <v>1297</v>
      </c>
      <c r="C307" s="412" t="s">
        <v>1330</v>
      </c>
      <c r="D307" s="34" t="s">
        <v>81</v>
      </c>
      <c r="E307" s="34" t="s">
        <v>1227</v>
      </c>
      <c r="F307" s="34">
        <v>6</v>
      </c>
      <c r="G307" s="34">
        <v>9</v>
      </c>
      <c r="H307" s="34" t="s">
        <v>136</v>
      </c>
      <c r="I307" s="34" t="s">
        <v>137</v>
      </c>
      <c r="J307" s="34"/>
      <c r="K307" s="34"/>
      <c r="L307" s="412"/>
      <c r="M307" s="371"/>
      <c r="N307" s="371"/>
      <c r="O307" s="412"/>
      <c r="P307" s="130"/>
      <c r="Q307" s="130">
        <v>0</v>
      </c>
      <c r="R307" s="130" t="s">
        <v>153</v>
      </c>
      <c r="S307" s="34">
        <v>1090109</v>
      </c>
      <c r="T307" s="382"/>
      <c r="U307" s="383"/>
      <c r="V307" s="130" t="s">
        <v>582</v>
      </c>
      <c r="W307" s="599" t="s">
        <v>1331</v>
      </c>
      <c r="X307" s="599" t="s">
        <v>1331</v>
      </c>
      <c r="Y307" s="130"/>
      <c r="Z307" s="130"/>
      <c r="AA307" s="130"/>
      <c r="AB307" s="130"/>
      <c r="AC307" s="34"/>
      <c r="AD307" s="34"/>
      <c r="AE307" s="34">
        <v>0</v>
      </c>
      <c r="AF307" s="34">
        <v>0</v>
      </c>
      <c r="AG307" s="34">
        <v>0</v>
      </c>
      <c r="AH307" s="34"/>
      <c r="AI307" s="34">
        <v>0</v>
      </c>
      <c r="AJ307" s="34">
        <v>0</v>
      </c>
      <c r="AK307" s="131"/>
      <c r="AL307" s="131"/>
      <c r="AM307" s="131"/>
      <c r="AN307" s="34"/>
      <c r="AO307" s="34"/>
      <c r="AP307" s="34"/>
      <c r="AQ307" s="34" t="s">
        <v>1332</v>
      </c>
      <c r="AR307" s="405"/>
    </row>
    <row r="308" spans="1:44" ht="15" customHeight="1">
      <c r="A308" s="34">
        <v>1090210</v>
      </c>
      <c r="B308" s="34" t="s">
        <v>1297</v>
      </c>
      <c r="C308" s="412" t="s">
        <v>1333</v>
      </c>
      <c r="D308" s="34" t="s">
        <v>81</v>
      </c>
      <c r="E308" s="34" t="s">
        <v>1227</v>
      </c>
      <c r="F308" s="34">
        <v>7</v>
      </c>
      <c r="G308" s="34">
        <v>9</v>
      </c>
      <c r="H308" s="34" t="s">
        <v>136</v>
      </c>
      <c r="I308" s="34" t="s">
        <v>137</v>
      </c>
      <c r="J308" s="34"/>
      <c r="K308" s="34"/>
      <c r="L308" s="412"/>
      <c r="M308" s="371"/>
      <c r="N308" s="371"/>
      <c r="O308" s="412"/>
      <c r="P308" s="130"/>
      <c r="Q308" s="130">
        <v>0</v>
      </c>
      <c r="R308" s="130" t="s">
        <v>153</v>
      </c>
      <c r="S308" s="34">
        <v>1090110</v>
      </c>
      <c r="T308" s="382"/>
      <c r="U308" s="383"/>
      <c r="V308" s="130" t="s">
        <v>582</v>
      </c>
      <c r="W308" s="599" t="s">
        <v>1334</v>
      </c>
      <c r="X308" s="599" t="s">
        <v>1334</v>
      </c>
      <c r="Y308" s="130"/>
      <c r="Z308" s="130"/>
      <c r="AA308" s="130"/>
      <c r="AB308" s="130"/>
      <c r="AC308" s="34"/>
      <c r="AD308" s="34"/>
      <c r="AE308" s="34">
        <v>0</v>
      </c>
      <c r="AF308" s="34">
        <v>0</v>
      </c>
      <c r="AG308" s="34">
        <v>0</v>
      </c>
      <c r="AH308" s="34"/>
      <c r="AI308" s="34">
        <v>0</v>
      </c>
      <c r="AJ308" s="34">
        <v>0</v>
      </c>
      <c r="AK308" s="131"/>
      <c r="AL308" s="131"/>
      <c r="AM308" s="131"/>
      <c r="AN308" s="34"/>
      <c r="AO308" s="34"/>
      <c r="AP308" s="34"/>
      <c r="AQ308" s="34" t="s">
        <v>1335</v>
      </c>
      <c r="AR308" s="405"/>
    </row>
    <row r="309" spans="1:44" ht="15" customHeight="1">
      <c r="A309" s="3">
        <v>1090211</v>
      </c>
      <c r="B309" s="3" t="s">
        <v>1297</v>
      </c>
      <c r="C309" s="236" t="s">
        <v>1336</v>
      </c>
      <c r="D309" s="3" t="s">
        <v>81</v>
      </c>
      <c r="E309" s="3" t="s">
        <v>1227</v>
      </c>
      <c r="F309" s="3">
        <v>8</v>
      </c>
      <c r="G309" s="3">
        <v>9</v>
      </c>
      <c r="H309" s="3" t="s">
        <v>136</v>
      </c>
      <c r="I309" s="3" t="s">
        <v>137</v>
      </c>
      <c r="J309" s="3"/>
      <c r="K309" s="3"/>
      <c r="L309" s="236"/>
      <c r="M309" s="99"/>
      <c r="N309" s="99"/>
      <c r="O309" s="236"/>
      <c r="P309" s="22"/>
      <c r="Q309" s="22">
        <v>0</v>
      </c>
      <c r="R309" s="22" t="s">
        <v>153</v>
      </c>
      <c r="S309" s="3"/>
      <c r="T309" s="260"/>
      <c r="U309" s="261"/>
      <c r="V309" s="22"/>
      <c r="W309" s="567" t="s">
        <v>169</v>
      </c>
      <c r="X309" s="567" t="s">
        <v>6736</v>
      </c>
      <c r="Y309" s="22"/>
      <c r="Z309" s="22"/>
      <c r="AA309" s="22"/>
      <c r="AB309" s="22" t="s">
        <v>114</v>
      </c>
      <c r="AC309" s="3"/>
      <c r="AD309" s="3"/>
      <c r="AE309" s="3">
        <v>0</v>
      </c>
      <c r="AF309" s="3">
        <v>0</v>
      </c>
      <c r="AG309" s="3">
        <v>0</v>
      </c>
      <c r="AH309" s="3"/>
      <c r="AI309" s="3">
        <v>0</v>
      </c>
      <c r="AJ309" s="3">
        <v>0</v>
      </c>
      <c r="AK309" s="3">
        <v>0</v>
      </c>
      <c r="AL309" s="3"/>
      <c r="AM309" s="3"/>
      <c r="AN309" s="3"/>
      <c r="AO309" s="3"/>
      <c r="AP309" s="3"/>
      <c r="AQ309" s="3" t="s">
        <v>1320</v>
      </c>
      <c r="AR309" s="281"/>
    </row>
    <row r="310" spans="1:44" ht="15" customHeight="1">
      <c r="A310" s="3">
        <v>1090212</v>
      </c>
      <c r="B310" s="3" t="s">
        <v>1297</v>
      </c>
      <c r="C310" s="236" t="s">
        <v>1337</v>
      </c>
      <c r="D310" s="3" t="s">
        <v>81</v>
      </c>
      <c r="E310" s="3" t="s">
        <v>1227</v>
      </c>
      <c r="F310" s="3">
        <v>9</v>
      </c>
      <c r="G310" s="3">
        <v>9</v>
      </c>
      <c r="H310" s="3" t="s">
        <v>136</v>
      </c>
      <c r="I310" s="3" t="s">
        <v>137</v>
      </c>
      <c r="J310" s="3"/>
      <c r="K310" s="3"/>
      <c r="L310" s="236"/>
      <c r="M310" s="99"/>
      <c r="N310" s="99"/>
      <c r="O310" s="236"/>
      <c r="P310" s="22"/>
      <c r="Q310" s="22">
        <v>0</v>
      </c>
      <c r="R310" s="22" t="s">
        <v>153</v>
      </c>
      <c r="S310" s="3"/>
      <c r="T310" s="260"/>
      <c r="U310" s="261"/>
      <c r="V310" s="22"/>
      <c r="W310" s="567" t="s">
        <v>1338</v>
      </c>
      <c r="X310" s="567" t="s">
        <v>1338</v>
      </c>
      <c r="Y310" s="22"/>
      <c r="Z310" s="22"/>
      <c r="AA310" s="22"/>
      <c r="AB310" s="22" t="s">
        <v>114</v>
      </c>
      <c r="AC310" s="3"/>
      <c r="AD310" s="3"/>
      <c r="AE310" s="3">
        <v>0</v>
      </c>
      <c r="AF310" s="3">
        <v>0</v>
      </c>
      <c r="AG310" s="3">
        <v>0</v>
      </c>
      <c r="AH310" s="3"/>
      <c r="AI310" s="3">
        <v>0</v>
      </c>
      <c r="AJ310" s="3">
        <v>0</v>
      </c>
      <c r="AK310" s="3">
        <v>0</v>
      </c>
      <c r="AL310" s="3"/>
      <c r="AM310" s="3"/>
      <c r="AN310" s="3"/>
      <c r="AO310" s="3"/>
      <c r="AP310" s="3"/>
      <c r="AQ310" s="282" t="str">
        <f>"tricks/"&amp;A310</f>
        <v>tricks/1090212</v>
      </c>
    </row>
    <row r="311" spans="1:44" ht="15" customHeight="1">
      <c r="A311" s="3">
        <v>1090213</v>
      </c>
      <c r="B311" s="3" t="s">
        <v>1297</v>
      </c>
      <c r="C311" s="236" t="s">
        <v>1339</v>
      </c>
      <c r="D311" s="3" t="s">
        <v>81</v>
      </c>
      <c r="E311" s="3" t="s">
        <v>1227</v>
      </c>
      <c r="F311" s="3">
        <v>10</v>
      </c>
      <c r="G311" s="3">
        <v>9</v>
      </c>
      <c r="H311" s="3" t="s">
        <v>136</v>
      </c>
      <c r="I311" s="3" t="s">
        <v>137</v>
      </c>
      <c r="J311" s="3"/>
      <c r="K311" s="3"/>
      <c r="L311" s="236"/>
      <c r="M311" s="99"/>
      <c r="N311" s="99"/>
      <c r="O311" s="236"/>
      <c r="P311" s="22"/>
      <c r="Q311" s="22">
        <v>0</v>
      </c>
      <c r="R311" s="22" t="s">
        <v>153</v>
      </c>
      <c r="S311" s="3"/>
      <c r="T311" s="260"/>
      <c r="U311" s="261"/>
      <c r="V311" s="22"/>
      <c r="W311" s="567" t="s">
        <v>1340</v>
      </c>
      <c r="X311" s="567" t="s">
        <v>6745</v>
      </c>
      <c r="Y311" s="22"/>
      <c r="Z311" s="22"/>
      <c r="AA311" s="22"/>
      <c r="AB311" s="22" t="s">
        <v>114</v>
      </c>
      <c r="AC311" s="3"/>
      <c r="AD311" s="3"/>
      <c r="AE311" s="3">
        <v>0</v>
      </c>
      <c r="AF311" s="3">
        <v>0</v>
      </c>
      <c r="AG311" s="3">
        <v>0</v>
      </c>
      <c r="AH311" s="3"/>
      <c r="AI311" s="3">
        <v>0</v>
      </c>
      <c r="AJ311" s="3">
        <v>0</v>
      </c>
      <c r="AK311" s="3">
        <v>0</v>
      </c>
      <c r="AL311" s="3"/>
      <c r="AM311" s="3"/>
      <c r="AN311" s="3"/>
      <c r="AO311" s="3"/>
      <c r="AP311" s="3"/>
      <c r="AQ311" s="282" t="str">
        <f>"tricks/"&amp;A311</f>
        <v>tricks/1090213</v>
      </c>
    </row>
    <row r="312" spans="1:44" ht="15" customHeight="1">
      <c r="A312" s="5">
        <v>1100001</v>
      </c>
      <c r="B312" s="5" t="s">
        <v>1341</v>
      </c>
      <c r="C312" s="5" t="s">
        <v>1342</v>
      </c>
      <c r="D312" s="5" t="s">
        <v>81</v>
      </c>
      <c r="E312" s="5" t="s">
        <v>1341</v>
      </c>
      <c r="F312" s="5">
        <v>1</v>
      </c>
      <c r="G312" s="5">
        <v>10</v>
      </c>
      <c r="H312" s="5" t="s">
        <v>82</v>
      </c>
      <c r="I312" s="5" t="s">
        <v>83</v>
      </c>
      <c r="J312" s="5"/>
      <c r="K312" s="5">
        <v>4</v>
      </c>
      <c r="L312" s="230" t="s">
        <v>1343</v>
      </c>
      <c r="M312" s="231"/>
      <c r="N312" s="231"/>
      <c r="O312" s="5"/>
      <c r="P312" s="232"/>
      <c r="Q312" s="232">
        <v>0</v>
      </c>
      <c r="R312" s="232" t="s">
        <v>85</v>
      </c>
      <c r="S312" s="5">
        <v>1100001</v>
      </c>
      <c r="T312" s="256" t="s">
        <v>1344</v>
      </c>
      <c r="U312" s="257" t="s">
        <v>1345</v>
      </c>
      <c r="V312" s="232" t="s">
        <v>105</v>
      </c>
      <c r="W312" s="565" t="s">
        <v>1346</v>
      </c>
      <c r="X312" s="565" t="s">
        <v>1346</v>
      </c>
      <c r="Y312" s="232"/>
      <c r="Z312" s="232"/>
      <c r="AA312" s="232">
        <v>1</v>
      </c>
      <c r="AB312" s="232" t="s">
        <v>90</v>
      </c>
      <c r="AC312" s="5"/>
      <c r="AD312" s="5"/>
      <c r="AE312" s="5">
        <v>2</v>
      </c>
      <c r="AF312" s="5">
        <v>0</v>
      </c>
      <c r="AG312" s="5">
        <v>4</v>
      </c>
      <c r="AH312" s="5"/>
      <c r="AI312" s="5">
        <v>52</v>
      </c>
      <c r="AJ312" s="5">
        <v>39</v>
      </c>
      <c r="AK312" s="270"/>
      <c r="AL312" s="270"/>
      <c r="AM312" s="270"/>
      <c r="AN312" s="5" t="s">
        <v>1347</v>
      </c>
      <c r="AO312" s="5"/>
      <c r="AP312" s="5"/>
      <c r="AQ312" s="5" t="s">
        <v>1348</v>
      </c>
      <c r="AR312" s="279">
        <v>283</v>
      </c>
    </row>
    <row r="313" spans="1:44" ht="15" customHeight="1">
      <c r="A313" s="5">
        <v>1100002</v>
      </c>
      <c r="B313" s="5" t="s">
        <v>1341</v>
      </c>
      <c r="C313" s="5" t="s">
        <v>1349</v>
      </c>
      <c r="D313" s="5" t="s">
        <v>81</v>
      </c>
      <c r="E313" s="5" t="s">
        <v>1341</v>
      </c>
      <c r="F313" s="5">
        <v>1</v>
      </c>
      <c r="G313" s="5">
        <v>10</v>
      </c>
      <c r="H313" s="5" t="s">
        <v>82</v>
      </c>
      <c r="I313" s="5" t="s">
        <v>83</v>
      </c>
      <c r="J313" s="5"/>
      <c r="K313" s="5">
        <v>5</v>
      </c>
      <c r="L313" s="230" t="s">
        <v>1350</v>
      </c>
      <c r="M313" s="231"/>
      <c r="N313" s="231"/>
      <c r="O313" s="5"/>
      <c r="P313" s="232"/>
      <c r="Q313" s="232">
        <v>0</v>
      </c>
      <c r="R313" s="232" t="s">
        <v>85</v>
      </c>
      <c r="S313" s="5">
        <v>1100002</v>
      </c>
      <c r="T313" s="256" t="s">
        <v>1344</v>
      </c>
      <c r="U313" s="257" t="s">
        <v>1345</v>
      </c>
      <c r="V313" s="232" t="s">
        <v>105</v>
      </c>
      <c r="W313" s="565" t="s">
        <v>1351</v>
      </c>
      <c r="X313" s="565" t="s">
        <v>1351</v>
      </c>
      <c r="Y313" s="232"/>
      <c r="Z313" s="232"/>
      <c r="AA313" s="232">
        <v>1</v>
      </c>
      <c r="AB313" s="232" t="s">
        <v>90</v>
      </c>
      <c r="AC313" s="5"/>
      <c r="AD313" s="5"/>
      <c r="AE313" s="5">
        <v>2</v>
      </c>
      <c r="AF313" s="5">
        <v>0</v>
      </c>
      <c r="AG313" s="5">
        <v>4</v>
      </c>
      <c r="AH313" s="5"/>
      <c r="AI313" s="5">
        <v>65</v>
      </c>
      <c r="AJ313" s="5">
        <v>45</v>
      </c>
      <c r="AK313" s="270"/>
      <c r="AL313" s="270"/>
      <c r="AM313" s="270"/>
      <c r="AN313" s="5" t="s">
        <v>1352</v>
      </c>
      <c r="AO313" s="5"/>
      <c r="AP313" s="5"/>
      <c r="AQ313" s="5" t="s">
        <v>1353</v>
      </c>
      <c r="AR313" s="279">
        <v>284</v>
      </c>
    </row>
    <row r="314" spans="1:44" ht="15" customHeight="1">
      <c r="A314" s="31">
        <v>1100101</v>
      </c>
      <c r="B314" s="31" t="s">
        <v>1354</v>
      </c>
      <c r="C314" s="414" t="s">
        <v>1355</v>
      </c>
      <c r="D314" s="31" t="s">
        <v>81</v>
      </c>
      <c r="E314" s="31" t="s">
        <v>1341</v>
      </c>
      <c r="F314" s="31">
        <v>1</v>
      </c>
      <c r="G314" s="31">
        <v>10</v>
      </c>
      <c r="H314" s="31" t="s">
        <v>82</v>
      </c>
      <c r="I314" s="31" t="s">
        <v>101</v>
      </c>
      <c r="J314" s="31"/>
      <c r="K314" s="31">
        <v>1</v>
      </c>
      <c r="L314" s="414" t="s">
        <v>1356</v>
      </c>
      <c r="M314" s="343"/>
      <c r="N314" s="343"/>
      <c r="O314" s="414"/>
      <c r="P314" s="344">
        <v>1</v>
      </c>
      <c r="Q314" s="344">
        <v>0</v>
      </c>
      <c r="R314" s="344" t="s">
        <v>85</v>
      </c>
      <c r="S314" s="31">
        <v>1100101</v>
      </c>
      <c r="T314" s="417" t="s">
        <v>1357</v>
      </c>
      <c r="U314" s="418" t="s">
        <v>1358</v>
      </c>
      <c r="V314" s="344" t="s">
        <v>105</v>
      </c>
      <c r="W314" s="604" t="s">
        <v>1359</v>
      </c>
      <c r="X314" s="604" t="s">
        <v>1359</v>
      </c>
      <c r="Y314" s="344"/>
      <c r="Z314" s="344"/>
      <c r="AA314" s="344">
        <v>1</v>
      </c>
      <c r="AB314" s="344" t="s">
        <v>90</v>
      </c>
      <c r="AC314" s="31"/>
      <c r="AD314" s="31"/>
      <c r="AE314" s="31">
        <v>1</v>
      </c>
      <c r="AF314" s="31">
        <v>2</v>
      </c>
      <c r="AG314" s="31">
        <v>6</v>
      </c>
      <c r="AH314" s="31"/>
      <c r="AI314" s="31">
        <v>39</v>
      </c>
      <c r="AJ314" s="31">
        <v>26</v>
      </c>
      <c r="AK314" s="359" t="s">
        <v>1360</v>
      </c>
      <c r="AL314" s="359"/>
      <c r="AM314" s="359"/>
      <c r="AN314" s="31" t="s">
        <v>1361</v>
      </c>
      <c r="AO314" s="31"/>
      <c r="AP314" s="31"/>
      <c r="AQ314" s="31" t="s">
        <v>1362</v>
      </c>
      <c r="AR314" s="424">
        <v>280</v>
      </c>
    </row>
    <row r="315" spans="1:44">
      <c r="A315" s="31" t="s">
        <v>1363</v>
      </c>
      <c r="B315" s="31" t="s">
        <v>1354</v>
      </c>
      <c r="C315" s="414" t="s">
        <v>1355</v>
      </c>
      <c r="D315" s="31" t="s">
        <v>81</v>
      </c>
      <c r="E315" s="31" t="s">
        <v>1341</v>
      </c>
      <c r="F315" s="31">
        <v>1</v>
      </c>
      <c r="G315" s="31">
        <v>10</v>
      </c>
      <c r="H315" s="31" t="s">
        <v>82</v>
      </c>
      <c r="I315" s="31" t="s">
        <v>101</v>
      </c>
      <c r="J315" s="31"/>
      <c r="K315" s="31">
        <v>1</v>
      </c>
      <c r="L315" s="414" t="s">
        <v>1356</v>
      </c>
      <c r="M315" s="343"/>
      <c r="N315" s="343"/>
      <c r="O315" s="414"/>
      <c r="P315" s="344">
        <v>1</v>
      </c>
      <c r="Q315" s="344">
        <v>0</v>
      </c>
      <c r="R315" s="344" t="s">
        <v>85</v>
      </c>
      <c r="S315" s="31" t="s">
        <v>1363</v>
      </c>
      <c r="T315" s="417" t="s">
        <v>1357</v>
      </c>
      <c r="U315" s="418" t="s">
        <v>1358</v>
      </c>
      <c r="V315" s="344" t="s">
        <v>105</v>
      </c>
      <c r="W315" s="604" t="s">
        <v>1359</v>
      </c>
      <c r="X315" s="604" t="s">
        <v>1359</v>
      </c>
      <c r="Y315" s="344"/>
      <c r="Z315" s="344"/>
      <c r="AA315" s="344">
        <v>1</v>
      </c>
      <c r="AB315" s="344" t="s">
        <v>90</v>
      </c>
      <c r="AC315" s="31"/>
      <c r="AD315" s="31"/>
      <c r="AE315" s="31">
        <v>1</v>
      </c>
      <c r="AF315" s="31">
        <v>1</v>
      </c>
      <c r="AG315" s="31">
        <v>0</v>
      </c>
      <c r="AH315" s="31"/>
      <c r="AI315" s="31">
        <v>39</v>
      </c>
      <c r="AJ315" s="31">
        <v>26</v>
      </c>
      <c r="AK315" s="359" t="s">
        <v>1360</v>
      </c>
      <c r="AL315" s="359"/>
      <c r="AM315" s="359"/>
      <c r="AN315" s="31" t="s">
        <v>1364</v>
      </c>
      <c r="AO315" s="31"/>
      <c r="AP315" s="31"/>
      <c r="AQ315" s="31" t="s">
        <v>1362</v>
      </c>
      <c r="AR315" s="424"/>
    </row>
    <row r="316" spans="1:44" ht="15" customHeight="1">
      <c r="A316" s="31">
        <v>1100102</v>
      </c>
      <c r="B316" s="31" t="s">
        <v>1354</v>
      </c>
      <c r="C316" s="414" t="s">
        <v>1365</v>
      </c>
      <c r="D316" s="31" t="s">
        <v>81</v>
      </c>
      <c r="E316" s="31" t="s">
        <v>1341</v>
      </c>
      <c r="F316" s="31">
        <v>1</v>
      </c>
      <c r="G316" s="31">
        <v>10</v>
      </c>
      <c r="H316" s="31" t="s">
        <v>136</v>
      </c>
      <c r="I316" s="31" t="s">
        <v>137</v>
      </c>
      <c r="J316" s="31"/>
      <c r="K316" s="31"/>
      <c r="L316" s="414" t="s">
        <v>1366</v>
      </c>
      <c r="M316" s="343"/>
      <c r="N316" s="343"/>
      <c r="O316" s="414"/>
      <c r="P316" s="344"/>
      <c r="Q316" s="344">
        <v>0</v>
      </c>
      <c r="R316" s="344"/>
      <c r="S316" s="31">
        <v>1100102</v>
      </c>
      <c r="T316" s="417"/>
      <c r="U316" s="418"/>
      <c r="V316" s="344" t="s">
        <v>105</v>
      </c>
      <c r="W316" s="604" t="s">
        <v>1367</v>
      </c>
      <c r="X316" s="604" t="s">
        <v>1367</v>
      </c>
      <c r="Y316" s="344"/>
      <c r="Z316" s="344"/>
      <c r="AA316" s="344"/>
      <c r="AB316" s="344"/>
      <c r="AC316" s="31"/>
      <c r="AD316" s="31"/>
      <c r="AE316" s="31">
        <v>0</v>
      </c>
      <c r="AF316" s="31">
        <v>0</v>
      </c>
      <c r="AG316" s="31">
        <v>0</v>
      </c>
      <c r="AH316" s="31"/>
      <c r="AI316" s="31">
        <v>0</v>
      </c>
      <c r="AJ316" s="31">
        <v>0</v>
      </c>
      <c r="AK316" s="359"/>
      <c r="AL316" s="359"/>
      <c r="AM316" s="359"/>
      <c r="AN316" s="31"/>
      <c r="AO316" s="31"/>
      <c r="AP316" s="31"/>
      <c r="AQ316" s="31" t="s">
        <v>1368</v>
      </c>
      <c r="AR316" s="424"/>
    </row>
    <row r="317" spans="1:44" ht="15" customHeight="1">
      <c r="A317" s="31">
        <v>1100103</v>
      </c>
      <c r="B317" s="31" t="s">
        <v>1354</v>
      </c>
      <c r="C317" s="414" t="s">
        <v>1369</v>
      </c>
      <c r="D317" s="31" t="s">
        <v>81</v>
      </c>
      <c r="E317" s="31" t="s">
        <v>1341</v>
      </c>
      <c r="F317" s="31">
        <v>1</v>
      </c>
      <c r="G317" s="31">
        <v>10</v>
      </c>
      <c r="H317" s="31" t="s">
        <v>82</v>
      </c>
      <c r="I317" s="31" t="s">
        <v>101</v>
      </c>
      <c r="J317" s="31"/>
      <c r="K317" s="31">
        <v>2</v>
      </c>
      <c r="L317" s="414" t="s">
        <v>1370</v>
      </c>
      <c r="M317" s="343"/>
      <c r="N317" s="343"/>
      <c r="O317" s="414"/>
      <c r="P317" s="344">
        <v>1</v>
      </c>
      <c r="Q317" s="344">
        <v>0</v>
      </c>
      <c r="R317" s="344" t="s">
        <v>85</v>
      </c>
      <c r="S317" s="31">
        <v>1100103</v>
      </c>
      <c r="T317" s="417" t="s">
        <v>1371</v>
      </c>
      <c r="U317" s="418" t="s">
        <v>1372</v>
      </c>
      <c r="V317" s="344" t="s">
        <v>105</v>
      </c>
      <c r="W317" s="604" t="s">
        <v>1373</v>
      </c>
      <c r="X317" s="604" t="s">
        <v>1373</v>
      </c>
      <c r="Y317" s="344"/>
      <c r="Z317" s="344"/>
      <c r="AA317" s="344">
        <v>1</v>
      </c>
      <c r="AB317" s="344" t="s">
        <v>90</v>
      </c>
      <c r="AC317" s="31"/>
      <c r="AD317" s="31"/>
      <c r="AE317" s="31">
        <v>1</v>
      </c>
      <c r="AF317" s="31">
        <v>1</v>
      </c>
      <c r="AG317" s="31">
        <v>5</v>
      </c>
      <c r="AH317" s="31"/>
      <c r="AI317" s="31">
        <v>39</v>
      </c>
      <c r="AJ317" s="31">
        <v>26</v>
      </c>
      <c r="AK317" s="359" t="s">
        <v>1374</v>
      </c>
      <c r="AL317" s="359"/>
      <c r="AM317" s="359"/>
      <c r="AN317" s="31" t="s">
        <v>1375</v>
      </c>
      <c r="AO317" s="31" t="s">
        <v>1376</v>
      </c>
      <c r="AP317" s="31"/>
      <c r="AQ317" s="31" t="s">
        <v>1377</v>
      </c>
      <c r="AR317" s="424">
        <v>281</v>
      </c>
    </row>
    <row r="318" spans="1:44" ht="15" customHeight="1">
      <c r="A318" s="31">
        <v>1100104</v>
      </c>
      <c r="B318" s="31" t="s">
        <v>1354</v>
      </c>
      <c r="C318" s="414" t="s">
        <v>1378</v>
      </c>
      <c r="D318" s="31" t="s">
        <v>81</v>
      </c>
      <c r="E318" s="31" t="s">
        <v>1341</v>
      </c>
      <c r="F318" s="31">
        <v>2</v>
      </c>
      <c r="G318" s="31">
        <v>10</v>
      </c>
      <c r="H318" s="31" t="s">
        <v>136</v>
      </c>
      <c r="I318" s="31" t="s">
        <v>137</v>
      </c>
      <c r="J318" s="31"/>
      <c r="K318" s="31"/>
      <c r="L318" s="414" t="s">
        <v>1379</v>
      </c>
      <c r="M318" s="343"/>
      <c r="N318" s="343"/>
      <c r="O318" s="414"/>
      <c r="P318" s="344"/>
      <c r="Q318" s="344">
        <v>0</v>
      </c>
      <c r="R318" s="344"/>
      <c r="S318" s="31">
        <v>1100104</v>
      </c>
      <c r="T318" s="417"/>
      <c r="U318" s="418"/>
      <c r="V318" s="344" t="s">
        <v>105</v>
      </c>
      <c r="W318" s="604" t="s">
        <v>1380</v>
      </c>
      <c r="X318" s="604" t="s">
        <v>1380</v>
      </c>
      <c r="Y318" s="344"/>
      <c r="Z318" s="344"/>
      <c r="AA318" s="344"/>
      <c r="AB318" s="344"/>
      <c r="AC318" s="31"/>
      <c r="AD318" s="31"/>
      <c r="AE318" s="31">
        <v>0</v>
      </c>
      <c r="AF318" s="31">
        <v>0</v>
      </c>
      <c r="AG318" s="31">
        <v>0</v>
      </c>
      <c r="AH318" s="31"/>
      <c r="AI318" s="31">
        <v>0</v>
      </c>
      <c r="AJ318" s="31">
        <v>0</v>
      </c>
      <c r="AK318" s="359"/>
      <c r="AL318" s="359"/>
      <c r="AM318" s="359"/>
      <c r="AN318" s="31"/>
      <c r="AO318" s="31"/>
      <c r="AP318" s="31"/>
      <c r="AQ318" s="31" t="s">
        <v>1381</v>
      </c>
      <c r="AR318" s="424"/>
    </row>
    <row r="319" spans="1:44" ht="15" customHeight="1">
      <c r="A319" s="31">
        <v>1100105</v>
      </c>
      <c r="B319" s="31" t="s">
        <v>1354</v>
      </c>
      <c r="C319" s="414" t="s">
        <v>1382</v>
      </c>
      <c r="D319" s="31" t="s">
        <v>81</v>
      </c>
      <c r="E319" s="31" t="s">
        <v>1341</v>
      </c>
      <c r="F319" s="31">
        <v>1</v>
      </c>
      <c r="G319" s="31">
        <v>10</v>
      </c>
      <c r="H319" s="31" t="s">
        <v>82</v>
      </c>
      <c r="I319" s="31" t="s">
        <v>101</v>
      </c>
      <c r="J319" s="31"/>
      <c r="K319" s="31">
        <v>3</v>
      </c>
      <c r="L319" s="414" t="s">
        <v>1383</v>
      </c>
      <c r="M319" s="343"/>
      <c r="N319" s="343"/>
      <c r="O319" s="414"/>
      <c r="P319" s="344">
        <v>1</v>
      </c>
      <c r="Q319" s="344">
        <v>0</v>
      </c>
      <c r="R319" s="344" t="s">
        <v>85</v>
      </c>
      <c r="S319" s="31">
        <v>1100105</v>
      </c>
      <c r="T319" s="417" t="s">
        <v>1384</v>
      </c>
      <c r="U319" s="418" t="s">
        <v>1372</v>
      </c>
      <c r="V319" s="344" t="s">
        <v>105</v>
      </c>
      <c r="W319" s="604" t="s">
        <v>1385</v>
      </c>
      <c r="X319" s="604" t="s">
        <v>1385</v>
      </c>
      <c r="Y319" s="344"/>
      <c r="Z319" s="344"/>
      <c r="AA319" s="344">
        <v>1</v>
      </c>
      <c r="AB319" s="344" t="s">
        <v>90</v>
      </c>
      <c r="AC319" s="31"/>
      <c r="AD319" s="31"/>
      <c r="AE319" s="31">
        <v>1</v>
      </c>
      <c r="AF319" s="31">
        <v>1</v>
      </c>
      <c r="AG319" s="31">
        <v>5</v>
      </c>
      <c r="AH319" s="31"/>
      <c r="AI319" s="31">
        <v>39</v>
      </c>
      <c r="AJ319" s="31">
        <v>26</v>
      </c>
      <c r="AK319" s="359"/>
      <c r="AL319" s="359"/>
      <c r="AM319" s="359"/>
      <c r="AN319" s="31" t="s">
        <v>1386</v>
      </c>
      <c r="AO319" s="31"/>
      <c r="AP319" s="31"/>
      <c r="AQ319" s="31" t="s">
        <v>1387</v>
      </c>
      <c r="AR319" s="424">
        <v>282</v>
      </c>
    </row>
    <row r="320" spans="1:44" ht="15" customHeight="1">
      <c r="A320" s="31">
        <v>1100106</v>
      </c>
      <c r="B320" s="31" t="s">
        <v>1354</v>
      </c>
      <c r="C320" s="414" t="s">
        <v>1388</v>
      </c>
      <c r="D320" s="31" t="s">
        <v>81</v>
      </c>
      <c r="E320" s="31" t="s">
        <v>1341</v>
      </c>
      <c r="F320" s="31">
        <v>3</v>
      </c>
      <c r="G320" s="31">
        <v>10</v>
      </c>
      <c r="H320" s="31" t="s">
        <v>136</v>
      </c>
      <c r="I320" s="31" t="s">
        <v>137</v>
      </c>
      <c r="J320" s="31"/>
      <c r="K320" s="31"/>
      <c r="L320" s="414" t="s">
        <v>1389</v>
      </c>
      <c r="M320" s="343"/>
      <c r="N320" s="343"/>
      <c r="O320" s="414"/>
      <c r="P320" s="344"/>
      <c r="Q320" s="344">
        <v>0</v>
      </c>
      <c r="R320" s="344" t="s">
        <v>153</v>
      </c>
      <c r="S320" s="31">
        <v>1100106</v>
      </c>
      <c r="T320" s="417"/>
      <c r="U320" s="418"/>
      <c r="V320" s="344" t="s">
        <v>105</v>
      </c>
      <c r="W320" s="604" t="s">
        <v>1390</v>
      </c>
      <c r="X320" s="604" t="s">
        <v>1390</v>
      </c>
      <c r="Y320" s="344"/>
      <c r="Z320" s="344"/>
      <c r="AA320" s="344"/>
      <c r="AB320" s="344"/>
      <c r="AC320" s="31"/>
      <c r="AD320" s="31"/>
      <c r="AE320" s="31">
        <v>0</v>
      </c>
      <c r="AF320" s="31">
        <v>0</v>
      </c>
      <c r="AG320" s="31">
        <v>0</v>
      </c>
      <c r="AH320" s="31"/>
      <c r="AI320" s="31">
        <v>0</v>
      </c>
      <c r="AJ320" s="31">
        <v>0</v>
      </c>
      <c r="AK320" s="359"/>
      <c r="AL320" s="359"/>
      <c r="AM320" s="359"/>
      <c r="AN320" s="31"/>
      <c r="AO320" s="31"/>
      <c r="AP320" s="31"/>
      <c r="AQ320" s="31" t="s">
        <v>1391</v>
      </c>
      <c r="AR320" s="424"/>
    </row>
    <row r="321" spans="1:44" ht="15" customHeight="1">
      <c r="A321" s="31">
        <v>1100107</v>
      </c>
      <c r="B321" s="31" t="s">
        <v>1354</v>
      </c>
      <c r="C321" s="414" t="s">
        <v>1392</v>
      </c>
      <c r="D321" s="31" t="s">
        <v>81</v>
      </c>
      <c r="E321" s="31" t="s">
        <v>1341</v>
      </c>
      <c r="F321" s="31">
        <v>4</v>
      </c>
      <c r="G321" s="31">
        <v>10</v>
      </c>
      <c r="H321" s="31" t="s">
        <v>136</v>
      </c>
      <c r="I321" s="31" t="s">
        <v>137</v>
      </c>
      <c r="J321" s="31"/>
      <c r="K321" s="31"/>
      <c r="L321" s="414" t="s">
        <v>1393</v>
      </c>
      <c r="M321" s="343"/>
      <c r="N321" s="343"/>
      <c r="O321" s="414"/>
      <c r="P321" s="344"/>
      <c r="Q321" s="344">
        <v>0</v>
      </c>
      <c r="R321" s="344" t="s">
        <v>153</v>
      </c>
      <c r="S321" s="31">
        <v>1100107</v>
      </c>
      <c r="T321" s="417"/>
      <c r="U321" s="433"/>
      <c r="V321" s="344" t="s">
        <v>105</v>
      </c>
      <c r="W321" s="604" t="s">
        <v>1394</v>
      </c>
      <c r="X321" s="604" t="s">
        <v>1394</v>
      </c>
      <c r="Y321" s="344"/>
      <c r="Z321" s="344"/>
      <c r="AA321" s="344"/>
      <c r="AB321" s="344"/>
      <c r="AC321" s="31"/>
      <c r="AD321" s="31"/>
      <c r="AE321" s="31">
        <v>0</v>
      </c>
      <c r="AF321" s="31">
        <v>0</v>
      </c>
      <c r="AG321" s="31">
        <v>0</v>
      </c>
      <c r="AH321" s="31"/>
      <c r="AI321" s="31">
        <v>0</v>
      </c>
      <c r="AJ321" s="31">
        <v>0</v>
      </c>
      <c r="AK321" s="359"/>
      <c r="AL321" s="359"/>
      <c r="AM321" s="359"/>
      <c r="AN321" s="31"/>
      <c r="AO321" s="31"/>
      <c r="AP321" s="31"/>
      <c r="AQ321" s="31" t="s">
        <v>1395</v>
      </c>
      <c r="AR321" s="424"/>
    </row>
    <row r="322" spans="1:44" ht="15" customHeight="1">
      <c r="A322" s="31">
        <v>1100108</v>
      </c>
      <c r="B322" s="31" t="s">
        <v>1354</v>
      </c>
      <c r="C322" s="414" t="s">
        <v>1396</v>
      </c>
      <c r="D322" s="31" t="s">
        <v>81</v>
      </c>
      <c r="E322" s="31" t="s">
        <v>1341</v>
      </c>
      <c r="F322" s="31">
        <v>5</v>
      </c>
      <c r="G322" s="31">
        <v>10</v>
      </c>
      <c r="H322" s="31" t="s">
        <v>136</v>
      </c>
      <c r="I322" s="31" t="s">
        <v>137</v>
      </c>
      <c r="J322" s="31"/>
      <c r="K322" s="31"/>
      <c r="L322" s="414" t="s">
        <v>1397</v>
      </c>
      <c r="M322" s="343"/>
      <c r="N322" s="343"/>
      <c r="O322" s="414"/>
      <c r="P322" s="344"/>
      <c r="Q322" s="344">
        <v>0</v>
      </c>
      <c r="R322" s="344" t="s">
        <v>153</v>
      </c>
      <c r="S322" s="31">
        <v>1100108</v>
      </c>
      <c r="T322" s="417"/>
      <c r="U322" s="418"/>
      <c r="V322" s="344" t="s">
        <v>105</v>
      </c>
      <c r="W322" s="604" t="s">
        <v>1398</v>
      </c>
      <c r="X322" s="604" t="s">
        <v>1398</v>
      </c>
      <c r="Y322" s="344"/>
      <c r="Z322" s="344"/>
      <c r="AA322" s="344"/>
      <c r="AB322" s="344"/>
      <c r="AC322" s="31"/>
      <c r="AD322" s="31"/>
      <c r="AE322" s="31">
        <v>0</v>
      </c>
      <c r="AF322" s="31">
        <v>0</v>
      </c>
      <c r="AG322" s="31">
        <v>0</v>
      </c>
      <c r="AH322" s="31"/>
      <c r="AI322" s="31">
        <v>0</v>
      </c>
      <c r="AJ322" s="31">
        <v>0</v>
      </c>
      <c r="AK322" s="359"/>
      <c r="AL322" s="359"/>
      <c r="AM322" s="359"/>
      <c r="AN322" s="31"/>
      <c r="AO322" s="31"/>
      <c r="AP322" s="31"/>
      <c r="AQ322" s="31" t="s">
        <v>1399</v>
      </c>
      <c r="AR322" s="424"/>
    </row>
    <row r="323" spans="1:44" ht="15" customHeight="1">
      <c r="A323" s="31">
        <v>1100109</v>
      </c>
      <c r="B323" s="31" t="s">
        <v>1354</v>
      </c>
      <c r="C323" s="414" t="s">
        <v>1400</v>
      </c>
      <c r="D323" s="31" t="s">
        <v>81</v>
      </c>
      <c r="E323" s="31" t="s">
        <v>1341</v>
      </c>
      <c r="F323" s="31">
        <v>6</v>
      </c>
      <c r="G323" s="31">
        <v>10</v>
      </c>
      <c r="H323" s="31" t="s">
        <v>136</v>
      </c>
      <c r="I323" s="31" t="s">
        <v>137</v>
      </c>
      <c r="J323" s="31"/>
      <c r="K323" s="31"/>
      <c r="L323" s="414" t="s">
        <v>1401</v>
      </c>
      <c r="M323" s="343"/>
      <c r="N323" s="343"/>
      <c r="O323" s="414"/>
      <c r="P323" s="344"/>
      <c r="Q323" s="344">
        <v>0</v>
      </c>
      <c r="R323" s="344" t="s">
        <v>153</v>
      </c>
      <c r="S323" s="31">
        <v>1100109</v>
      </c>
      <c r="T323" s="417"/>
      <c r="U323" s="418"/>
      <c r="V323" s="344" t="s">
        <v>105</v>
      </c>
      <c r="W323" s="604" t="s">
        <v>1402</v>
      </c>
      <c r="X323" s="604" t="s">
        <v>1402</v>
      </c>
      <c r="Y323" s="344"/>
      <c r="Z323" s="344"/>
      <c r="AA323" s="344"/>
      <c r="AB323" s="344"/>
      <c r="AC323" s="31"/>
      <c r="AD323" s="31"/>
      <c r="AE323" s="31">
        <v>0</v>
      </c>
      <c r="AF323" s="31">
        <v>0</v>
      </c>
      <c r="AG323" s="31">
        <v>0</v>
      </c>
      <c r="AH323" s="31"/>
      <c r="AI323" s="31">
        <v>0</v>
      </c>
      <c r="AJ323" s="31">
        <v>0</v>
      </c>
      <c r="AK323" s="359"/>
      <c r="AL323" s="359"/>
      <c r="AM323" s="359"/>
      <c r="AN323" s="31"/>
      <c r="AO323" s="31"/>
      <c r="AP323" s="31"/>
      <c r="AQ323" s="31" t="s">
        <v>1403</v>
      </c>
      <c r="AR323" s="424"/>
    </row>
    <row r="324" spans="1:44" ht="15" customHeight="1">
      <c r="A324" s="31">
        <v>1100110</v>
      </c>
      <c r="B324" s="31" t="s">
        <v>1354</v>
      </c>
      <c r="C324" s="414" t="s">
        <v>1404</v>
      </c>
      <c r="D324" s="31" t="s">
        <v>81</v>
      </c>
      <c r="E324" s="31" t="s">
        <v>1341</v>
      </c>
      <c r="F324" s="31">
        <v>7</v>
      </c>
      <c r="G324" s="31">
        <v>10</v>
      </c>
      <c r="H324" s="31" t="s">
        <v>136</v>
      </c>
      <c r="I324" s="31" t="s">
        <v>137</v>
      </c>
      <c r="J324" s="31"/>
      <c r="K324" s="31"/>
      <c r="L324" s="414" t="s">
        <v>1405</v>
      </c>
      <c r="M324" s="343"/>
      <c r="N324" s="343"/>
      <c r="O324" s="414"/>
      <c r="P324" s="344"/>
      <c r="Q324" s="344">
        <v>0</v>
      </c>
      <c r="R324" s="344" t="s">
        <v>153</v>
      </c>
      <c r="S324" s="31">
        <v>1100110</v>
      </c>
      <c r="T324" s="417"/>
      <c r="U324" s="418"/>
      <c r="V324" s="344" t="s">
        <v>105</v>
      </c>
      <c r="W324" s="604" t="s">
        <v>1406</v>
      </c>
      <c r="X324" s="604" t="s">
        <v>1406</v>
      </c>
      <c r="Y324" s="344"/>
      <c r="Z324" s="344"/>
      <c r="AA324" s="344"/>
      <c r="AB324" s="344"/>
      <c r="AC324" s="31"/>
      <c r="AD324" s="31"/>
      <c r="AE324" s="31">
        <v>0</v>
      </c>
      <c r="AF324" s="31">
        <v>0</v>
      </c>
      <c r="AG324" s="31">
        <v>0</v>
      </c>
      <c r="AH324" s="31"/>
      <c r="AI324" s="31">
        <v>0</v>
      </c>
      <c r="AJ324" s="31">
        <v>0</v>
      </c>
      <c r="AK324" s="359"/>
      <c r="AL324" s="359"/>
      <c r="AM324" s="359"/>
      <c r="AN324" s="31"/>
      <c r="AO324" s="31"/>
      <c r="AP324" s="31"/>
      <c r="AQ324" s="31" t="s">
        <v>1407</v>
      </c>
      <c r="AR324" s="424"/>
    </row>
    <row r="325" spans="1:44" ht="15" customHeight="1">
      <c r="A325" s="3">
        <v>1100111</v>
      </c>
      <c r="B325" s="3" t="s">
        <v>1354</v>
      </c>
      <c r="C325" s="236" t="s">
        <v>1408</v>
      </c>
      <c r="D325" s="3" t="s">
        <v>81</v>
      </c>
      <c r="E325" s="3" t="s">
        <v>1341</v>
      </c>
      <c r="F325" s="3">
        <v>8</v>
      </c>
      <c r="G325" s="3">
        <v>10</v>
      </c>
      <c r="H325" s="3" t="s">
        <v>136</v>
      </c>
      <c r="I325" s="3" t="s">
        <v>137</v>
      </c>
      <c r="J325" s="3"/>
      <c r="K325" s="3"/>
      <c r="L325" s="236"/>
      <c r="M325" s="99"/>
      <c r="N325" s="99"/>
      <c r="O325" s="236"/>
      <c r="P325" s="22"/>
      <c r="Q325" s="22">
        <v>0</v>
      </c>
      <c r="R325" s="22" t="s">
        <v>153</v>
      </c>
      <c r="S325" s="3"/>
      <c r="T325" s="260"/>
      <c r="U325" s="261"/>
      <c r="V325" s="22"/>
      <c r="W325" s="567" t="s">
        <v>169</v>
      </c>
      <c r="X325" s="567" t="s">
        <v>6736</v>
      </c>
      <c r="Y325" s="22"/>
      <c r="Z325" s="22"/>
      <c r="AA325" s="22"/>
      <c r="AB325" s="22" t="s">
        <v>114</v>
      </c>
      <c r="AC325" s="3"/>
      <c r="AD325" s="3"/>
      <c r="AE325" s="3">
        <v>0</v>
      </c>
      <c r="AF325" s="3">
        <v>0</v>
      </c>
      <c r="AG325" s="3">
        <v>0</v>
      </c>
      <c r="AH325" s="3"/>
      <c r="AI325" s="3">
        <v>0</v>
      </c>
      <c r="AJ325" s="3">
        <v>0</v>
      </c>
      <c r="AK325" s="3">
        <v>0</v>
      </c>
      <c r="AL325" s="3"/>
      <c r="AM325" s="3"/>
      <c r="AN325" s="3"/>
      <c r="AO325" s="3"/>
      <c r="AP325" s="3"/>
      <c r="AQ325" s="3" t="s">
        <v>1387</v>
      </c>
      <c r="AR325" s="281"/>
    </row>
    <row r="326" spans="1:44" ht="15" customHeight="1">
      <c r="A326" s="3">
        <v>1100112</v>
      </c>
      <c r="B326" s="3" t="s">
        <v>1354</v>
      </c>
      <c r="C326" s="236" t="s">
        <v>1409</v>
      </c>
      <c r="D326" s="3" t="s">
        <v>81</v>
      </c>
      <c r="E326" s="3" t="s">
        <v>1341</v>
      </c>
      <c r="F326" s="3">
        <v>9</v>
      </c>
      <c r="G326" s="3">
        <v>10</v>
      </c>
      <c r="H326" s="3" t="s">
        <v>136</v>
      </c>
      <c r="I326" s="3" t="s">
        <v>137</v>
      </c>
      <c r="J326" s="3"/>
      <c r="K326" s="3"/>
      <c r="L326" s="236"/>
      <c r="M326" s="99"/>
      <c r="N326" s="99"/>
      <c r="O326" s="236"/>
      <c r="P326" s="22"/>
      <c r="Q326" s="22">
        <v>0</v>
      </c>
      <c r="R326" s="22" t="s">
        <v>153</v>
      </c>
      <c r="S326" s="3"/>
      <c r="T326" s="260"/>
      <c r="U326" s="261"/>
      <c r="V326" s="22"/>
      <c r="W326" s="567" t="s">
        <v>1410</v>
      </c>
      <c r="X326" s="567" t="s">
        <v>6744</v>
      </c>
      <c r="Y326" s="22"/>
      <c r="Z326" s="22"/>
      <c r="AA326" s="22"/>
      <c r="AB326" s="22" t="s">
        <v>114</v>
      </c>
      <c r="AC326" s="3"/>
      <c r="AD326" s="3"/>
      <c r="AE326" s="3">
        <v>0</v>
      </c>
      <c r="AF326" s="3">
        <v>0</v>
      </c>
      <c r="AG326" s="3">
        <v>0</v>
      </c>
      <c r="AH326" s="3"/>
      <c r="AI326" s="3">
        <v>0</v>
      </c>
      <c r="AJ326" s="3">
        <v>0</v>
      </c>
      <c r="AK326" s="3">
        <v>0</v>
      </c>
      <c r="AL326" s="3"/>
      <c r="AM326" s="3"/>
      <c r="AN326" s="3"/>
      <c r="AO326" s="3"/>
      <c r="AP326" s="3"/>
      <c r="AQ326" s="282" t="str">
        <f>"tricks/"&amp;A326</f>
        <v>tricks/1100112</v>
      </c>
    </row>
    <row r="327" spans="1:44" ht="15" customHeight="1">
      <c r="A327" s="3">
        <v>1100113</v>
      </c>
      <c r="B327" s="3" t="s">
        <v>1354</v>
      </c>
      <c r="C327" s="236" t="s">
        <v>1411</v>
      </c>
      <c r="D327" s="3" t="s">
        <v>81</v>
      </c>
      <c r="E327" s="3" t="s">
        <v>1341</v>
      </c>
      <c r="F327" s="3">
        <v>10</v>
      </c>
      <c r="G327" s="3">
        <v>10</v>
      </c>
      <c r="H327" s="3" t="s">
        <v>136</v>
      </c>
      <c r="I327" s="3" t="s">
        <v>137</v>
      </c>
      <c r="J327" s="3"/>
      <c r="K327" s="3"/>
      <c r="L327" s="236"/>
      <c r="M327" s="99"/>
      <c r="N327" s="99"/>
      <c r="O327" s="236"/>
      <c r="P327" s="22"/>
      <c r="Q327" s="22">
        <v>0</v>
      </c>
      <c r="R327" s="22" t="s">
        <v>153</v>
      </c>
      <c r="S327" s="3"/>
      <c r="T327" s="260"/>
      <c r="U327" s="261"/>
      <c r="V327" s="22"/>
      <c r="W327" s="567" t="s">
        <v>1412</v>
      </c>
      <c r="X327" s="567" t="s">
        <v>1412</v>
      </c>
      <c r="Y327" s="22"/>
      <c r="Z327" s="22"/>
      <c r="AA327" s="22"/>
      <c r="AB327" s="22" t="s">
        <v>114</v>
      </c>
      <c r="AC327" s="3"/>
      <c r="AD327" s="3"/>
      <c r="AE327" s="3">
        <v>0</v>
      </c>
      <c r="AF327" s="3">
        <v>0</v>
      </c>
      <c r="AG327" s="3">
        <v>0</v>
      </c>
      <c r="AH327" s="3"/>
      <c r="AI327" s="3">
        <v>0</v>
      </c>
      <c r="AJ327" s="3">
        <v>0</v>
      </c>
      <c r="AK327" s="3">
        <v>0</v>
      </c>
      <c r="AL327" s="3"/>
      <c r="AM327" s="3"/>
      <c r="AN327" s="3"/>
      <c r="AO327" s="3"/>
      <c r="AP327" s="3"/>
      <c r="AQ327" s="282" t="str">
        <f>"tricks/"&amp;A327</f>
        <v>tricks/1100113</v>
      </c>
    </row>
    <row r="328" spans="1:44" ht="15" customHeight="1">
      <c r="A328" s="34">
        <v>1100201</v>
      </c>
      <c r="B328" s="34" t="s">
        <v>1413</v>
      </c>
      <c r="C328" s="412" t="s">
        <v>1414</v>
      </c>
      <c r="D328" s="34" t="s">
        <v>81</v>
      </c>
      <c r="E328" s="34" t="s">
        <v>1341</v>
      </c>
      <c r="F328" s="34">
        <v>1</v>
      </c>
      <c r="G328" s="34">
        <v>10</v>
      </c>
      <c r="H328" s="34" t="s">
        <v>82</v>
      </c>
      <c r="I328" s="34" t="s">
        <v>101</v>
      </c>
      <c r="J328" s="34"/>
      <c r="K328" s="34">
        <v>1</v>
      </c>
      <c r="L328" s="412"/>
      <c r="M328" s="371"/>
      <c r="N328" s="371"/>
      <c r="O328" s="412"/>
      <c r="P328" s="130">
        <v>1</v>
      </c>
      <c r="Q328" s="130">
        <v>0</v>
      </c>
      <c r="R328" s="130" t="s">
        <v>85</v>
      </c>
      <c r="S328" s="34">
        <v>1100101</v>
      </c>
      <c r="T328" s="382" t="s">
        <v>1415</v>
      </c>
      <c r="U328" s="383" t="s">
        <v>1372</v>
      </c>
      <c r="V328" s="130" t="s">
        <v>582</v>
      </c>
      <c r="W328" s="599" t="s">
        <v>1416</v>
      </c>
      <c r="X328" s="599" t="s">
        <v>1416</v>
      </c>
      <c r="Y328" s="130"/>
      <c r="Z328" s="130"/>
      <c r="AA328" s="130">
        <v>1</v>
      </c>
      <c r="AB328" s="130" t="s">
        <v>90</v>
      </c>
      <c r="AC328" s="34"/>
      <c r="AD328" s="34"/>
      <c r="AE328" s="34">
        <v>1</v>
      </c>
      <c r="AF328" s="34">
        <v>2</v>
      </c>
      <c r="AG328" s="34">
        <v>6</v>
      </c>
      <c r="AH328" s="34"/>
      <c r="AI328" s="34">
        <v>39</v>
      </c>
      <c r="AJ328" s="34">
        <v>26</v>
      </c>
      <c r="AK328" s="131"/>
      <c r="AL328" s="131"/>
      <c r="AM328" s="131"/>
      <c r="AN328" s="34" t="s">
        <v>1417</v>
      </c>
      <c r="AO328" s="34"/>
      <c r="AP328" s="34"/>
      <c r="AQ328" s="34" t="s">
        <v>1418</v>
      </c>
      <c r="AR328" s="405">
        <v>316</v>
      </c>
    </row>
    <row r="329" spans="1:44" ht="15" customHeight="1">
      <c r="A329" s="34">
        <v>1100202</v>
      </c>
      <c r="B329" s="34" t="s">
        <v>1413</v>
      </c>
      <c r="C329" s="412" t="s">
        <v>1419</v>
      </c>
      <c r="D329" s="34" t="s">
        <v>81</v>
      </c>
      <c r="E329" s="34" t="s">
        <v>1341</v>
      </c>
      <c r="F329" s="34">
        <v>1</v>
      </c>
      <c r="G329" s="34">
        <v>10</v>
      </c>
      <c r="H329" s="34" t="s">
        <v>136</v>
      </c>
      <c r="I329" s="34" t="s">
        <v>137</v>
      </c>
      <c r="J329" s="34"/>
      <c r="K329" s="34"/>
      <c r="L329" s="412"/>
      <c r="M329" s="371"/>
      <c r="N329" s="371"/>
      <c r="O329" s="412"/>
      <c r="P329" s="130"/>
      <c r="Q329" s="130">
        <v>0</v>
      </c>
      <c r="R329" s="130"/>
      <c r="S329" s="34">
        <v>1100102</v>
      </c>
      <c r="T329" s="382"/>
      <c r="U329" s="383"/>
      <c r="V329" s="130" t="s">
        <v>582</v>
      </c>
      <c r="W329" s="599" t="s">
        <v>1420</v>
      </c>
      <c r="X329" s="599" t="s">
        <v>1420</v>
      </c>
      <c r="Y329" s="130"/>
      <c r="Z329" s="130"/>
      <c r="AA329" s="130"/>
      <c r="AB329" s="130"/>
      <c r="AC329" s="34"/>
      <c r="AD329" s="34"/>
      <c r="AE329" s="34">
        <v>0</v>
      </c>
      <c r="AF329" s="34">
        <v>0</v>
      </c>
      <c r="AG329" s="34">
        <v>0</v>
      </c>
      <c r="AH329" s="34"/>
      <c r="AI329" s="34">
        <v>0</v>
      </c>
      <c r="AJ329" s="34">
        <v>0</v>
      </c>
      <c r="AK329" s="131"/>
      <c r="AL329" s="131"/>
      <c r="AM329" s="131"/>
      <c r="AN329" s="34"/>
      <c r="AO329" s="34"/>
      <c r="AP329" s="34"/>
      <c r="AQ329" s="34" t="s">
        <v>1421</v>
      </c>
      <c r="AR329" s="405"/>
    </row>
    <row r="330" spans="1:44" ht="15" customHeight="1">
      <c r="A330" s="34">
        <v>1100203</v>
      </c>
      <c r="B330" s="34" t="s">
        <v>1413</v>
      </c>
      <c r="C330" s="412" t="s">
        <v>1422</v>
      </c>
      <c r="D330" s="34" t="s">
        <v>81</v>
      </c>
      <c r="E330" s="34" t="s">
        <v>1341</v>
      </c>
      <c r="F330" s="34">
        <v>1</v>
      </c>
      <c r="G330" s="34">
        <v>10</v>
      </c>
      <c r="H330" s="34" t="s">
        <v>82</v>
      </c>
      <c r="I330" s="34" t="s">
        <v>101</v>
      </c>
      <c r="J330" s="34"/>
      <c r="K330" s="34">
        <v>2</v>
      </c>
      <c r="L330" s="412"/>
      <c r="M330" s="371"/>
      <c r="N330" s="371"/>
      <c r="O330" s="412"/>
      <c r="P330" s="130">
        <v>1</v>
      </c>
      <c r="Q330" s="130">
        <v>0</v>
      </c>
      <c r="R330" s="130" t="s">
        <v>85</v>
      </c>
      <c r="S330" s="34">
        <v>1100103</v>
      </c>
      <c r="T330" s="262" t="s">
        <v>1423</v>
      </c>
      <c r="U330" s="383" t="s">
        <v>1372</v>
      </c>
      <c r="V330" s="130" t="s">
        <v>582</v>
      </c>
      <c r="W330" s="599" t="s">
        <v>1424</v>
      </c>
      <c r="X330" s="599" t="s">
        <v>1424</v>
      </c>
      <c r="Y330" s="130"/>
      <c r="Z330" s="130"/>
      <c r="AA330" s="130">
        <v>1</v>
      </c>
      <c r="AB330" s="130" t="s">
        <v>90</v>
      </c>
      <c r="AC330" s="34"/>
      <c r="AD330" s="34"/>
      <c r="AE330" s="34">
        <v>1</v>
      </c>
      <c r="AF330" s="34">
        <v>1</v>
      </c>
      <c r="AG330" s="34">
        <v>5</v>
      </c>
      <c r="AH330" s="34"/>
      <c r="AI330" s="34">
        <v>39</v>
      </c>
      <c r="AJ330" s="34">
        <v>26</v>
      </c>
      <c r="AK330" s="131"/>
      <c r="AL330" s="131"/>
      <c r="AM330" s="131"/>
      <c r="AN330" s="34" t="s">
        <v>1425</v>
      </c>
      <c r="AO330" s="34"/>
      <c r="AP330" s="34"/>
      <c r="AQ330" s="34" t="s">
        <v>1426</v>
      </c>
      <c r="AR330" s="405">
        <v>317</v>
      </c>
    </row>
    <row r="331" spans="1:44" ht="15" customHeight="1">
      <c r="A331" s="34">
        <v>1100204</v>
      </c>
      <c r="B331" s="34" t="s">
        <v>1413</v>
      </c>
      <c r="C331" s="412" t="s">
        <v>1427</v>
      </c>
      <c r="D331" s="34" t="s">
        <v>81</v>
      </c>
      <c r="E331" s="34" t="s">
        <v>1341</v>
      </c>
      <c r="F331" s="34">
        <v>2</v>
      </c>
      <c r="G331" s="34">
        <v>10</v>
      </c>
      <c r="H331" s="34" t="s">
        <v>136</v>
      </c>
      <c r="I331" s="34" t="s">
        <v>137</v>
      </c>
      <c r="J331" s="34"/>
      <c r="K331" s="34"/>
      <c r="L331" s="412"/>
      <c r="M331" s="371"/>
      <c r="N331" s="371"/>
      <c r="O331" s="412"/>
      <c r="P331" s="130"/>
      <c r="Q331" s="130">
        <v>0</v>
      </c>
      <c r="R331" s="130"/>
      <c r="S331" s="34">
        <v>1100104</v>
      </c>
      <c r="T331" s="382"/>
      <c r="U331" s="383"/>
      <c r="V331" s="130" t="s">
        <v>582</v>
      </c>
      <c r="W331" s="599" t="s">
        <v>1428</v>
      </c>
      <c r="X331" s="599" t="s">
        <v>1428</v>
      </c>
      <c r="Y331" s="130"/>
      <c r="Z331" s="130"/>
      <c r="AA331" s="130"/>
      <c r="AB331" s="130"/>
      <c r="AC331" s="34"/>
      <c r="AD331" s="34"/>
      <c r="AE331" s="34">
        <v>0</v>
      </c>
      <c r="AF331" s="34">
        <v>0</v>
      </c>
      <c r="AG331" s="34">
        <v>0</v>
      </c>
      <c r="AH331" s="34"/>
      <c r="AI331" s="34">
        <v>0</v>
      </c>
      <c r="AJ331" s="34">
        <v>0</v>
      </c>
      <c r="AK331" s="131"/>
      <c r="AL331" s="131"/>
      <c r="AM331" s="131"/>
      <c r="AN331" s="34"/>
      <c r="AO331" s="34"/>
      <c r="AP331" s="34"/>
      <c r="AQ331" s="34" t="s">
        <v>1429</v>
      </c>
      <c r="AR331" s="405"/>
    </row>
    <row r="332" spans="1:44" ht="15" customHeight="1">
      <c r="A332" s="34">
        <v>1100205</v>
      </c>
      <c r="B332" s="34" t="s">
        <v>1413</v>
      </c>
      <c r="C332" s="412" t="s">
        <v>1430</v>
      </c>
      <c r="D332" s="34" t="s">
        <v>81</v>
      </c>
      <c r="E332" s="34" t="s">
        <v>1341</v>
      </c>
      <c r="F332" s="34">
        <v>1</v>
      </c>
      <c r="G332" s="34">
        <v>10</v>
      </c>
      <c r="H332" s="34" t="s">
        <v>82</v>
      </c>
      <c r="I332" s="34" t="s">
        <v>101</v>
      </c>
      <c r="J332" s="34"/>
      <c r="K332" s="34">
        <v>3</v>
      </c>
      <c r="L332" s="412"/>
      <c r="M332" s="371"/>
      <c r="N332" s="371"/>
      <c r="O332" s="412"/>
      <c r="P332" s="130">
        <v>1</v>
      </c>
      <c r="Q332" s="130">
        <v>0</v>
      </c>
      <c r="R332" s="130" t="s">
        <v>85</v>
      </c>
      <c r="S332" s="34">
        <v>1100105</v>
      </c>
      <c r="T332" s="382" t="s">
        <v>1431</v>
      </c>
      <c r="U332" s="383" t="s">
        <v>1372</v>
      </c>
      <c r="V332" s="130" t="s">
        <v>582</v>
      </c>
      <c r="W332" s="599" t="s">
        <v>1432</v>
      </c>
      <c r="X332" s="599" t="s">
        <v>1432</v>
      </c>
      <c r="Y332" s="130"/>
      <c r="Z332" s="130"/>
      <c r="AA332" s="130">
        <v>1</v>
      </c>
      <c r="AB332" s="130" t="s">
        <v>90</v>
      </c>
      <c r="AC332" s="34"/>
      <c r="AD332" s="34"/>
      <c r="AE332" s="34">
        <v>1</v>
      </c>
      <c r="AF332" s="34">
        <v>1</v>
      </c>
      <c r="AG332" s="34">
        <v>5</v>
      </c>
      <c r="AH332" s="34"/>
      <c r="AI332" s="34">
        <v>39</v>
      </c>
      <c r="AJ332" s="34">
        <v>26</v>
      </c>
      <c r="AK332" s="131"/>
      <c r="AL332" s="131"/>
      <c r="AM332" s="131"/>
      <c r="AN332" s="435" t="s">
        <v>1433</v>
      </c>
      <c r="AO332" s="34"/>
      <c r="AP332" s="34"/>
      <c r="AQ332" s="34" t="s">
        <v>1434</v>
      </c>
      <c r="AR332" s="405">
        <v>318</v>
      </c>
    </row>
    <row r="333" spans="1:44" ht="15" customHeight="1">
      <c r="A333" s="34">
        <v>1100206</v>
      </c>
      <c r="B333" s="34" t="s">
        <v>1413</v>
      </c>
      <c r="C333" s="412" t="s">
        <v>1435</v>
      </c>
      <c r="D333" s="34" t="s">
        <v>81</v>
      </c>
      <c r="E333" s="34" t="s">
        <v>1341</v>
      </c>
      <c r="F333" s="34">
        <v>3</v>
      </c>
      <c r="G333" s="34">
        <v>10</v>
      </c>
      <c r="H333" s="34" t="s">
        <v>136</v>
      </c>
      <c r="I333" s="34" t="s">
        <v>137</v>
      </c>
      <c r="J333" s="34"/>
      <c r="K333" s="34"/>
      <c r="L333" s="412"/>
      <c r="M333" s="371"/>
      <c r="N333" s="371"/>
      <c r="O333" s="412"/>
      <c r="P333" s="130"/>
      <c r="Q333" s="130">
        <v>0</v>
      </c>
      <c r="R333" s="130" t="s">
        <v>153</v>
      </c>
      <c r="S333" s="34">
        <v>1100106</v>
      </c>
      <c r="T333" s="382"/>
      <c r="U333" s="383"/>
      <c r="V333" s="130" t="s">
        <v>582</v>
      </c>
      <c r="W333" s="599" t="s">
        <v>1436</v>
      </c>
      <c r="X333" s="599" t="s">
        <v>1436</v>
      </c>
      <c r="Y333" s="130"/>
      <c r="Z333" s="130"/>
      <c r="AA333" s="130"/>
      <c r="AB333" s="130"/>
      <c r="AC333" s="34"/>
      <c r="AD333" s="34"/>
      <c r="AE333" s="34">
        <v>0</v>
      </c>
      <c r="AF333" s="34">
        <v>0</v>
      </c>
      <c r="AG333" s="34">
        <v>0</v>
      </c>
      <c r="AH333" s="34"/>
      <c r="AI333" s="34">
        <v>0</v>
      </c>
      <c r="AJ333" s="34">
        <v>0</v>
      </c>
      <c r="AK333" s="131"/>
      <c r="AL333" s="131"/>
      <c r="AM333" s="131"/>
      <c r="AN333" s="34"/>
      <c r="AO333" s="34"/>
      <c r="AP333" s="34"/>
      <c r="AQ333" s="34" t="s">
        <v>1437</v>
      </c>
      <c r="AR333" s="405"/>
    </row>
    <row r="334" spans="1:44" ht="15" customHeight="1">
      <c r="A334" s="34">
        <v>1100207</v>
      </c>
      <c r="B334" s="34" t="s">
        <v>1413</v>
      </c>
      <c r="C334" s="412" t="s">
        <v>1438</v>
      </c>
      <c r="D334" s="34" t="s">
        <v>81</v>
      </c>
      <c r="E334" s="34" t="s">
        <v>1341</v>
      </c>
      <c r="F334" s="34">
        <v>4</v>
      </c>
      <c r="G334" s="34">
        <v>10</v>
      </c>
      <c r="H334" s="34" t="s">
        <v>136</v>
      </c>
      <c r="I334" s="34" t="s">
        <v>137</v>
      </c>
      <c r="J334" s="34"/>
      <c r="K334" s="34"/>
      <c r="L334" s="412"/>
      <c r="M334" s="371"/>
      <c r="N334" s="371"/>
      <c r="O334" s="412"/>
      <c r="P334" s="130"/>
      <c r="Q334" s="130">
        <v>0</v>
      </c>
      <c r="R334" s="130" t="s">
        <v>153</v>
      </c>
      <c r="S334" s="34">
        <v>1100107</v>
      </c>
      <c r="T334" s="382"/>
      <c r="U334" s="385"/>
      <c r="V334" s="130" t="s">
        <v>582</v>
      </c>
      <c r="W334" s="599" t="s">
        <v>1439</v>
      </c>
      <c r="X334" s="599" t="s">
        <v>1439</v>
      </c>
      <c r="Y334" s="130"/>
      <c r="Z334" s="130"/>
      <c r="AA334" s="130"/>
      <c r="AB334" s="130"/>
      <c r="AC334" s="34"/>
      <c r="AD334" s="34"/>
      <c r="AE334" s="34">
        <v>0</v>
      </c>
      <c r="AF334" s="34">
        <v>0</v>
      </c>
      <c r="AG334" s="34">
        <v>0</v>
      </c>
      <c r="AH334" s="34"/>
      <c r="AI334" s="34">
        <v>0</v>
      </c>
      <c r="AJ334" s="34">
        <v>0</v>
      </c>
      <c r="AK334" s="131"/>
      <c r="AL334" s="131"/>
      <c r="AM334" s="131"/>
      <c r="AN334" s="34"/>
      <c r="AO334" s="34"/>
      <c r="AP334" s="34"/>
      <c r="AQ334" s="34" t="s">
        <v>1440</v>
      </c>
      <c r="AR334" s="405"/>
    </row>
    <row r="335" spans="1:44" ht="15" customHeight="1">
      <c r="A335" s="34">
        <v>1100208</v>
      </c>
      <c r="B335" s="34" t="s">
        <v>1413</v>
      </c>
      <c r="C335" s="412" t="s">
        <v>1441</v>
      </c>
      <c r="D335" s="34" t="s">
        <v>81</v>
      </c>
      <c r="E335" s="34" t="s">
        <v>1341</v>
      </c>
      <c r="F335" s="34">
        <v>5</v>
      </c>
      <c r="G335" s="34">
        <v>10</v>
      </c>
      <c r="H335" s="34" t="s">
        <v>136</v>
      </c>
      <c r="I335" s="34" t="s">
        <v>137</v>
      </c>
      <c r="J335" s="34"/>
      <c r="K335" s="34"/>
      <c r="L335" s="412"/>
      <c r="M335" s="371"/>
      <c r="N335" s="371"/>
      <c r="O335" s="412"/>
      <c r="P335" s="130"/>
      <c r="Q335" s="130">
        <v>0</v>
      </c>
      <c r="R335" s="130" t="s">
        <v>153</v>
      </c>
      <c r="S335" s="34">
        <v>1100108</v>
      </c>
      <c r="T335" s="382"/>
      <c r="U335" s="383"/>
      <c r="V335" s="130" t="s">
        <v>582</v>
      </c>
      <c r="W335" s="599" t="s">
        <v>1442</v>
      </c>
      <c r="X335" s="599" t="s">
        <v>1442</v>
      </c>
      <c r="Y335" s="130"/>
      <c r="Z335" s="130"/>
      <c r="AA335" s="130"/>
      <c r="AB335" s="130"/>
      <c r="AC335" s="34"/>
      <c r="AD335" s="34"/>
      <c r="AE335" s="34">
        <v>0</v>
      </c>
      <c r="AF335" s="34">
        <v>0</v>
      </c>
      <c r="AG335" s="34">
        <v>0</v>
      </c>
      <c r="AH335" s="34"/>
      <c r="AI335" s="34">
        <v>0</v>
      </c>
      <c r="AJ335" s="34">
        <v>0</v>
      </c>
      <c r="AK335" s="131"/>
      <c r="AL335" s="131"/>
      <c r="AM335" s="131"/>
      <c r="AN335" s="34"/>
      <c r="AO335" s="34"/>
      <c r="AP335" s="34"/>
      <c r="AQ335" s="34" t="s">
        <v>1443</v>
      </c>
      <c r="AR335" s="405"/>
    </row>
    <row r="336" spans="1:44" ht="15" customHeight="1">
      <c r="A336" s="34">
        <v>1100209</v>
      </c>
      <c r="B336" s="34" t="s">
        <v>1413</v>
      </c>
      <c r="C336" s="412" t="s">
        <v>1444</v>
      </c>
      <c r="D336" s="34" t="s">
        <v>81</v>
      </c>
      <c r="E336" s="34" t="s">
        <v>1341</v>
      </c>
      <c r="F336" s="34">
        <v>6</v>
      </c>
      <c r="G336" s="34">
        <v>10</v>
      </c>
      <c r="H336" s="34" t="s">
        <v>136</v>
      </c>
      <c r="I336" s="34" t="s">
        <v>137</v>
      </c>
      <c r="J336" s="34"/>
      <c r="K336" s="34"/>
      <c r="L336" s="412"/>
      <c r="M336" s="371"/>
      <c r="N336" s="371"/>
      <c r="O336" s="412"/>
      <c r="P336" s="130"/>
      <c r="Q336" s="130">
        <v>0</v>
      </c>
      <c r="R336" s="130" t="s">
        <v>153</v>
      </c>
      <c r="S336" s="34">
        <v>1100109</v>
      </c>
      <c r="T336" s="382"/>
      <c r="U336" s="383"/>
      <c r="V336" s="130" t="s">
        <v>582</v>
      </c>
      <c r="W336" s="599" t="s">
        <v>1445</v>
      </c>
      <c r="X336" s="599" t="s">
        <v>1445</v>
      </c>
      <c r="Y336" s="130"/>
      <c r="Z336" s="130"/>
      <c r="AA336" s="130"/>
      <c r="AB336" s="130"/>
      <c r="AC336" s="34"/>
      <c r="AD336" s="34"/>
      <c r="AE336" s="34">
        <v>0</v>
      </c>
      <c r="AF336" s="34">
        <v>0</v>
      </c>
      <c r="AG336" s="34">
        <v>0</v>
      </c>
      <c r="AH336" s="34"/>
      <c r="AI336" s="34">
        <v>0</v>
      </c>
      <c r="AJ336" s="34">
        <v>0</v>
      </c>
      <c r="AK336" s="131"/>
      <c r="AL336" s="131"/>
      <c r="AM336" s="131"/>
      <c r="AN336" s="34"/>
      <c r="AO336" s="34"/>
      <c r="AP336" s="34"/>
      <c r="AQ336" s="34" t="s">
        <v>1446</v>
      </c>
      <c r="AR336" s="405"/>
    </row>
    <row r="337" spans="1:44" ht="15" customHeight="1">
      <c r="A337" s="34">
        <v>1100210</v>
      </c>
      <c r="B337" s="34" t="s">
        <v>1413</v>
      </c>
      <c r="C337" s="412" t="s">
        <v>1447</v>
      </c>
      <c r="D337" s="34" t="s">
        <v>81</v>
      </c>
      <c r="E337" s="34" t="s">
        <v>1341</v>
      </c>
      <c r="F337" s="34">
        <v>7</v>
      </c>
      <c r="G337" s="34">
        <v>10</v>
      </c>
      <c r="H337" s="34" t="s">
        <v>136</v>
      </c>
      <c r="I337" s="34" t="s">
        <v>137</v>
      </c>
      <c r="J337" s="34"/>
      <c r="K337" s="34"/>
      <c r="L337" s="412"/>
      <c r="M337" s="371"/>
      <c r="N337" s="371"/>
      <c r="O337" s="412"/>
      <c r="P337" s="130"/>
      <c r="Q337" s="130">
        <v>0</v>
      </c>
      <c r="R337" s="130" t="s">
        <v>153</v>
      </c>
      <c r="S337" s="34">
        <v>1100110</v>
      </c>
      <c r="T337" s="382"/>
      <c r="U337" s="383"/>
      <c r="V337" s="130" t="s">
        <v>582</v>
      </c>
      <c r="W337" s="599" t="s">
        <v>1448</v>
      </c>
      <c r="X337" s="599" t="s">
        <v>1448</v>
      </c>
      <c r="Y337" s="130"/>
      <c r="Z337" s="130"/>
      <c r="AA337" s="130"/>
      <c r="AB337" s="130"/>
      <c r="AC337" s="34"/>
      <c r="AD337" s="34"/>
      <c r="AE337" s="34">
        <v>0</v>
      </c>
      <c r="AF337" s="34">
        <v>0</v>
      </c>
      <c r="AG337" s="34">
        <v>0</v>
      </c>
      <c r="AH337" s="34"/>
      <c r="AI337" s="34">
        <v>0</v>
      </c>
      <c r="AJ337" s="34">
        <v>0</v>
      </c>
      <c r="AK337" s="131"/>
      <c r="AL337" s="131"/>
      <c r="AM337" s="131"/>
      <c r="AN337" s="34"/>
      <c r="AO337" s="34"/>
      <c r="AP337" s="34"/>
      <c r="AQ337" s="34" t="s">
        <v>1449</v>
      </c>
      <c r="AR337" s="405"/>
    </row>
    <row r="338" spans="1:44" ht="15" customHeight="1">
      <c r="A338" s="3">
        <v>1100211</v>
      </c>
      <c r="B338" s="65" t="s">
        <v>1413</v>
      </c>
      <c r="C338" s="236" t="s">
        <v>1450</v>
      </c>
      <c r="D338" s="3" t="s">
        <v>81</v>
      </c>
      <c r="E338" s="3" t="s">
        <v>1341</v>
      </c>
      <c r="F338" s="3">
        <v>8</v>
      </c>
      <c r="G338" s="3">
        <v>10</v>
      </c>
      <c r="H338" s="3" t="s">
        <v>136</v>
      </c>
      <c r="I338" s="3" t="s">
        <v>137</v>
      </c>
      <c r="J338" s="3"/>
      <c r="K338" s="3"/>
      <c r="L338" s="236"/>
      <c r="M338" s="99"/>
      <c r="N338" s="99"/>
      <c r="O338" s="236"/>
      <c r="P338" s="22"/>
      <c r="Q338" s="22">
        <v>0</v>
      </c>
      <c r="R338" s="22" t="s">
        <v>153</v>
      </c>
      <c r="S338" s="3"/>
      <c r="T338" s="260"/>
      <c r="U338" s="261"/>
      <c r="V338" s="22"/>
      <c r="W338" s="567" t="s">
        <v>169</v>
      </c>
      <c r="X338" s="567" t="s">
        <v>6736</v>
      </c>
      <c r="Y338" s="22"/>
      <c r="Z338" s="22"/>
      <c r="AA338" s="22"/>
      <c r="AB338" s="22" t="s">
        <v>114</v>
      </c>
      <c r="AC338" s="3"/>
      <c r="AD338" s="3"/>
      <c r="AE338" s="3">
        <v>0</v>
      </c>
      <c r="AF338" s="3">
        <v>0</v>
      </c>
      <c r="AG338" s="3">
        <v>0</v>
      </c>
      <c r="AH338" s="3"/>
      <c r="AI338" s="3">
        <v>0</v>
      </c>
      <c r="AJ338" s="3">
        <v>0</v>
      </c>
      <c r="AK338" s="3">
        <v>0</v>
      </c>
      <c r="AL338" s="3"/>
      <c r="AM338" s="3"/>
      <c r="AN338" s="3"/>
      <c r="AO338" s="3"/>
      <c r="AP338" s="3"/>
      <c r="AQ338" s="3" t="s">
        <v>1434</v>
      </c>
      <c r="AR338" s="281"/>
    </row>
    <row r="339" spans="1:44" ht="15" customHeight="1">
      <c r="A339" s="3">
        <v>1100212</v>
      </c>
      <c r="B339" s="3" t="s">
        <v>1413</v>
      </c>
      <c r="C339" s="236" t="s">
        <v>1451</v>
      </c>
      <c r="D339" s="3" t="s">
        <v>81</v>
      </c>
      <c r="E339" s="3" t="s">
        <v>1341</v>
      </c>
      <c r="F339" s="3">
        <v>9</v>
      </c>
      <c r="G339" s="3">
        <v>10</v>
      </c>
      <c r="H339" s="3" t="s">
        <v>136</v>
      </c>
      <c r="I339" s="3" t="s">
        <v>137</v>
      </c>
      <c r="J339" s="3"/>
      <c r="K339" s="3"/>
      <c r="L339" s="236"/>
      <c r="M339" s="99"/>
      <c r="N339" s="99"/>
      <c r="O339" s="236"/>
      <c r="P339" s="22"/>
      <c r="Q339" s="22">
        <v>0</v>
      </c>
      <c r="R339" s="22" t="s">
        <v>153</v>
      </c>
      <c r="S339" s="3"/>
      <c r="T339" s="260"/>
      <c r="U339" s="261"/>
      <c r="V339" s="22"/>
      <c r="W339" s="567" t="s">
        <v>1452</v>
      </c>
      <c r="X339" s="567" t="s">
        <v>6743</v>
      </c>
      <c r="Y339" s="22"/>
      <c r="Z339" s="22"/>
      <c r="AA339" s="22"/>
      <c r="AB339" s="22" t="s">
        <v>114</v>
      </c>
      <c r="AC339" s="3"/>
      <c r="AD339" s="3"/>
      <c r="AE339" s="3">
        <v>0</v>
      </c>
      <c r="AF339" s="3">
        <v>0</v>
      </c>
      <c r="AG339" s="3">
        <v>0</v>
      </c>
      <c r="AH339" s="3"/>
      <c r="AI339" s="3">
        <v>0</v>
      </c>
      <c r="AJ339" s="3">
        <v>0</v>
      </c>
      <c r="AK339" s="3">
        <v>0</v>
      </c>
      <c r="AL339" s="3"/>
      <c r="AM339" s="3"/>
      <c r="AN339" s="3"/>
      <c r="AO339" s="3"/>
      <c r="AP339" s="3"/>
      <c r="AQ339" s="282" t="str">
        <f>"tricks/"&amp;A339</f>
        <v>tricks/1100212</v>
      </c>
    </row>
    <row r="340" spans="1:44" ht="15" customHeight="1">
      <c r="A340" s="3">
        <v>1100213</v>
      </c>
      <c r="B340" s="3" t="s">
        <v>1413</v>
      </c>
      <c r="C340" s="236" t="s">
        <v>1453</v>
      </c>
      <c r="D340" s="3" t="s">
        <v>81</v>
      </c>
      <c r="E340" s="3" t="s">
        <v>1341</v>
      </c>
      <c r="F340" s="3">
        <v>10</v>
      </c>
      <c r="G340" s="3">
        <v>10</v>
      </c>
      <c r="H340" s="3" t="s">
        <v>136</v>
      </c>
      <c r="I340" s="3" t="s">
        <v>137</v>
      </c>
      <c r="J340" s="3"/>
      <c r="K340" s="3"/>
      <c r="L340" s="236"/>
      <c r="M340" s="99"/>
      <c r="N340" s="99"/>
      <c r="O340" s="236"/>
      <c r="P340" s="22"/>
      <c r="Q340" s="22">
        <v>0</v>
      </c>
      <c r="R340" s="22" t="s">
        <v>153</v>
      </c>
      <c r="S340" s="3"/>
      <c r="T340" s="260"/>
      <c r="U340" s="261"/>
      <c r="V340" s="22"/>
      <c r="W340" s="567" t="s">
        <v>1454</v>
      </c>
      <c r="X340" s="567" t="s">
        <v>1454</v>
      </c>
      <c r="Y340" s="22"/>
      <c r="Z340" s="22"/>
      <c r="AA340" s="22"/>
      <c r="AB340" s="22" t="s">
        <v>114</v>
      </c>
      <c r="AC340" s="3"/>
      <c r="AD340" s="3"/>
      <c r="AE340" s="3">
        <v>0</v>
      </c>
      <c r="AF340" s="3">
        <v>0</v>
      </c>
      <c r="AG340" s="3">
        <v>0</v>
      </c>
      <c r="AH340" s="3"/>
      <c r="AI340" s="3">
        <v>0</v>
      </c>
      <c r="AJ340" s="3">
        <v>0</v>
      </c>
      <c r="AK340" s="3">
        <v>0</v>
      </c>
      <c r="AL340" s="3"/>
      <c r="AM340" s="3"/>
      <c r="AN340" s="3"/>
      <c r="AO340" s="3"/>
      <c r="AP340" s="3"/>
      <c r="AQ340" s="282" t="str">
        <f>"tricks/"&amp;A340</f>
        <v>tricks/1100213</v>
      </c>
    </row>
    <row r="341" spans="1:44" ht="15" customHeight="1">
      <c r="A341" s="34">
        <v>1100301</v>
      </c>
      <c r="B341" s="435" t="s">
        <v>1455</v>
      </c>
      <c r="C341" s="412" t="s">
        <v>1456</v>
      </c>
      <c r="D341" s="34" t="s">
        <v>81</v>
      </c>
      <c r="E341" s="34" t="s">
        <v>1341</v>
      </c>
      <c r="F341" s="34">
        <v>1</v>
      </c>
      <c r="G341" s="34">
        <v>10</v>
      </c>
      <c r="H341" s="34" t="s">
        <v>82</v>
      </c>
      <c r="I341" s="34" t="s">
        <v>101</v>
      </c>
      <c r="J341" s="34"/>
      <c r="K341" s="34">
        <v>1</v>
      </c>
      <c r="L341" s="412"/>
      <c r="M341" s="371"/>
      <c r="N341" s="371"/>
      <c r="O341" s="412"/>
      <c r="P341" s="130">
        <v>1</v>
      </c>
      <c r="Q341" s="130">
        <v>0</v>
      </c>
      <c r="R341" s="130" t="s">
        <v>85</v>
      </c>
      <c r="S341" s="34">
        <v>1100101</v>
      </c>
      <c r="T341" s="382" t="s">
        <v>1457</v>
      </c>
      <c r="U341" s="383" t="s">
        <v>1372</v>
      </c>
      <c r="V341" s="130" t="s">
        <v>582</v>
      </c>
      <c r="W341" s="599" t="s">
        <v>1458</v>
      </c>
      <c r="X341" s="599" t="s">
        <v>1458</v>
      </c>
      <c r="Y341" s="130"/>
      <c r="Z341" s="130"/>
      <c r="AA341" s="130">
        <v>1</v>
      </c>
      <c r="AB341" s="130" t="s">
        <v>90</v>
      </c>
      <c r="AC341" s="34"/>
      <c r="AD341" s="34"/>
      <c r="AE341" s="34">
        <v>1</v>
      </c>
      <c r="AF341" s="34">
        <v>2</v>
      </c>
      <c r="AG341" s="34">
        <v>6</v>
      </c>
      <c r="AH341" s="34"/>
      <c r="AI341" s="34">
        <v>39</v>
      </c>
      <c r="AJ341" s="34">
        <v>26</v>
      </c>
      <c r="AK341" s="131"/>
      <c r="AL341" s="131"/>
      <c r="AM341" s="131"/>
      <c r="AN341" s="34" t="s">
        <v>1459</v>
      </c>
      <c r="AO341" s="34"/>
      <c r="AP341" s="34"/>
      <c r="AQ341" s="8" t="str">
        <f>"tricks/"&amp;A341</f>
        <v>tricks/1100301</v>
      </c>
      <c r="AR341" s="405">
        <v>363</v>
      </c>
    </row>
    <row r="342" spans="1:44" ht="15" customHeight="1">
      <c r="A342" s="34">
        <v>1100302</v>
      </c>
      <c r="B342" s="435" t="s">
        <v>1455</v>
      </c>
      <c r="C342" s="412" t="s">
        <v>1460</v>
      </c>
      <c r="D342" s="34" t="s">
        <v>81</v>
      </c>
      <c r="E342" s="34" t="s">
        <v>1341</v>
      </c>
      <c r="F342" s="34">
        <v>1</v>
      </c>
      <c r="G342" s="34">
        <v>10</v>
      </c>
      <c r="H342" s="34" t="s">
        <v>136</v>
      </c>
      <c r="I342" s="34" t="s">
        <v>137</v>
      </c>
      <c r="J342" s="34"/>
      <c r="K342" s="34"/>
      <c r="L342" s="412"/>
      <c r="M342" s="371"/>
      <c r="N342" s="371"/>
      <c r="O342" s="412"/>
      <c r="P342" s="130"/>
      <c r="Q342" s="130">
        <v>0</v>
      </c>
      <c r="R342" s="130"/>
      <c r="S342" s="34">
        <v>1100102</v>
      </c>
      <c r="T342" s="382"/>
      <c r="U342" s="383"/>
      <c r="V342" s="130" t="s">
        <v>582</v>
      </c>
      <c r="W342" s="599" t="s">
        <v>1461</v>
      </c>
      <c r="X342" s="599" t="s">
        <v>1461</v>
      </c>
      <c r="Y342" s="130"/>
      <c r="Z342" s="130"/>
      <c r="AA342" s="130"/>
      <c r="AB342" s="130"/>
      <c r="AC342" s="34"/>
      <c r="AD342" s="34"/>
      <c r="AE342" s="34">
        <v>0</v>
      </c>
      <c r="AF342" s="34">
        <v>0</v>
      </c>
      <c r="AG342" s="34">
        <v>0</v>
      </c>
      <c r="AH342" s="34"/>
      <c r="AI342" s="34">
        <v>0</v>
      </c>
      <c r="AJ342" s="34">
        <v>0</v>
      </c>
      <c r="AK342" s="131"/>
      <c r="AL342" s="131"/>
      <c r="AM342" s="131"/>
      <c r="AN342" s="34"/>
      <c r="AO342" s="34"/>
      <c r="AP342" s="34"/>
      <c r="AQ342" s="8" t="str">
        <f t="shared" ref="AQ342:AQ354" si="3">"tricks/"&amp;A342</f>
        <v>tricks/1100302</v>
      </c>
      <c r="AR342" s="405"/>
    </row>
    <row r="343" spans="1:44" ht="15" customHeight="1">
      <c r="A343" s="34">
        <v>1100303</v>
      </c>
      <c r="B343" s="435" t="s">
        <v>1455</v>
      </c>
      <c r="C343" s="412" t="s">
        <v>1462</v>
      </c>
      <c r="D343" s="34" t="s">
        <v>81</v>
      </c>
      <c r="E343" s="34" t="s">
        <v>1341</v>
      </c>
      <c r="F343" s="34">
        <v>1</v>
      </c>
      <c r="G343" s="34">
        <v>10</v>
      </c>
      <c r="H343" s="34" t="s">
        <v>82</v>
      </c>
      <c r="I343" s="34" t="s">
        <v>101</v>
      </c>
      <c r="J343" s="34"/>
      <c r="K343" s="34">
        <v>2</v>
      </c>
      <c r="L343" s="412"/>
      <c r="M343" s="371"/>
      <c r="N343" s="371"/>
      <c r="O343" s="412"/>
      <c r="P343" s="130">
        <v>1</v>
      </c>
      <c r="Q343" s="130">
        <v>0</v>
      </c>
      <c r="R343" s="130" t="s">
        <v>85</v>
      </c>
      <c r="S343" s="34">
        <v>1100103</v>
      </c>
      <c r="T343" s="262" t="s">
        <v>1463</v>
      </c>
      <c r="U343" s="383" t="s">
        <v>1372</v>
      </c>
      <c r="V343" s="130" t="s">
        <v>582</v>
      </c>
      <c r="W343" s="599" t="s">
        <v>1464</v>
      </c>
      <c r="X343" s="599" t="s">
        <v>1464</v>
      </c>
      <c r="Y343" s="130"/>
      <c r="Z343" s="130"/>
      <c r="AA343" s="130">
        <v>1</v>
      </c>
      <c r="AB343" s="130" t="s">
        <v>90</v>
      </c>
      <c r="AC343" s="34"/>
      <c r="AD343" s="34"/>
      <c r="AE343" s="34">
        <v>1</v>
      </c>
      <c r="AF343" s="34">
        <v>1</v>
      </c>
      <c r="AG343" s="34">
        <v>5</v>
      </c>
      <c r="AH343" s="34"/>
      <c r="AI343" s="34">
        <v>39</v>
      </c>
      <c r="AJ343" s="34">
        <v>26</v>
      </c>
      <c r="AK343" s="131"/>
      <c r="AL343" s="131"/>
      <c r="AM343" s="131"/>
      <c r="AN343" s="34" t="s">
        <v>1465</v>
      </c>
      <c r="AO343" s="34"/>
      <c r="AP343" s="34"/>
      <c r="AQ343" s="8" t="str">
        <f t="shared" si="3"/>
        <v>tricks/1100303</v>
      </c>
      <c r="AR343" s="405">
        <v>364</v>
      </c>
    </row>
    <row r="344" spans="1:44" ht="15" customHeight="1">
      <c r="A344" s="34">
        <v>1100304</v>
      </c>
      <c r="B344" s="605" t="s">
        <v>1455</v>
      </c>
      <c r="C344" s="606" t="s">
        <v>1466</v>
      </c>
      <c r="D344" s="34" t="s">
        <v>81</v>
      </c>
      <c r="E344" s="34" t="s">
        <v>1341</v>
      </c>
      <c r="F344" s="34">
        <v>2</v>
      </c>
      <c r="G344" s="34">
        <v>10</v>
      </c>
      <c r="H344" s="34" t="s">
        <v>136</v>
      </c>
      <c r="I344" s="34" t="s">
        <v>137</v>
      </c>
      <c r="J344" s="34"/>
      <c r="K344" s="34"/>
      <c r="L344" s="412"/>
      <c r="M344" s="371"/>
      <c r="N344" s="371"/>
      <c r="O344" s="412"/>
      <c r="P344" s="130"/>
      <c r="Q344" s="130">
        <v>0</v>
      </c>
      <c r="R344" s="130"/>
      <c r="S344" s="34">
        <v>1100104</v>
      </c>
      <c r="T344" s="382"/>
      <c r="U344" s="383"/>
      <c r="V344" s="130" t="s">
        <v>582</v>
      </c>
      <c r="W344" s="599" t="s">
        <v>1467</v>
      </c>
      <c r="X344" s="599" t="s">
        <v>1467</v>
      </c>
      <c r="Y344" s="130"/>
      <c r="Z344" s="130"/>
      <c r="AA344" s="130"/>
      <c r="AB344" s="130"/>
      <c r="AC344" s="34"/>
      <c r="AD344" s="34"/>
      <c r="AE344" s="34">
        <v>0</v>
      </c>
      <c r="AF344" s="34">
        <v>0</v>
      </c>
      <c r="AG344" s="34">
        <v>0</v>
      </c>
      <c r="AH344" s="34"/>
      <c r="AI344" s="34">
        <v>0</v>
      </c>
      <c r="AJ344" s="34">
        <v>0</v>
      </c>
      <c r="AK344" s="131"/>
      <c r="AL344" s="131"/>
      <c r="AM344" s="131"/>
      <c r="AN344" s="34"/>
      <c r="AO344" s="34"/>
      <c r="AP344" s="34"/>
      <c r="AQ344" s="8" t="str">
        <f t="shared" si="3"/>
        <v>tricks/1100304</v>
      </c>
      <c r="AR344" s="405"/>
    </row>
    <row r="345" spans="1:44" ht="15" customHeight="1">
      <c r="A345" s="34">
        <v>1100305</v>
      </c>
      <c r="B345" s="435" t="s">
        <v>1455</v>
      </c>
      <c r="C345" s="412" t="s">
        <v>1468</v>
      </c>
      <c r="D345" s="34" t="s">
        <v>81</v>
      </c>
      <c r="E345" s="34" t="s">
        <v>1341</v>
      </c>
      <c r="F345" s="34">
        <v>1</v>
      </c>
      <c r="G345" s="34">
        <v>10</v>
      </c>
      <c r="H345" s="34" t="s">
        <v>82</v>
      </c>
      <c r="I345" s="34" t="s">
        <v>101</v>
      </c>
      <c r="J345" s="34"/>
      <c r="K345" s="34">
        <v>3</v>
      </c>
      <c r="L345" s="412"/>
      <c r="M345" s="371"/>
      <c r="N345" s="371"/>
      <c r="O345" s="412"/>
      <c r="P345" s="130">
        <v>1</v>
      </c>
      <c r="Q345" s="130">
        <v>0</v>
      </c>
      <c r="R345" s="130" t="s">
        <v>85</v>
      </c>
      <c r="S345" s="34">
        <v>1100105</v>
      </c>
      <c r="T345" s="382" t="s">
        <v>1469</v>
      </c>
      <c r="U345" s="383" t="s">
        <v>1372</v>
      </c>
      <c r="V345" s="130" t="s">
        <v>582</v>
      </c>
      <c r="W345" s="599" t="s">
        <v>1470</v>
      </c>
      <c r="X345" s="599" t="s">
        <v>1470</v>
      </c>
      <c r="Y345" s="130"/>
      <c r="Z345" s="130"/>
      <c r="AA345" s="130">
        <v>1</v>
      </c>
      <c r="AB345" s="130" t="s">
        <v>90</v>
      </c>
      <c r="AC345" s="34"/>
      <c r="AD345" s="34"/>
      <c r="AE345" s="34">
        <v>1</v>
      </c>
      <c r="AF345" s="34">
        <v>1</v>
      </c>
      <c r="AG345" s="34">
        <v>5</v>
      </c>
      <c r="AH345" s="34"/>
      <c r="AI345" s="34">
        <v>39</v>
      </c>
      <c r="AJ345" s="34">
        <v>26</v>
      </c>
      <c r="AK345" s="131"/>
      <c r="AL345" s="131"/>
      <c r="AM345" s="131"/>
      <c r="AN345" s="34" t="s">
        <v>1471</v>
      </c>
      <c r="AO345" s="34"/>
      <c r="AP345" s="34"/>
      <c r="AQ345" s="8" t="str">
        <f t="shared" si="3"/>
        <v>tricks/1100305</v>
      </c>
      <c r="AR345" s="405">
        <v>365</v>
      </c>
    </row>
    <row r="346" spans="1:44" ht="15" customHeight="1">
      <c r="A346" s="34">
        <v>1100306</v>
      </c>
      <c r="B346" s="435" t="s">
        <v>1455</v>
      </c>
      <c r="C346" s="412" t="s">
        <v>1472</v>
      </c>
      <c r="D346" s="34" t="s">
        <v>81</v>
      </c>
      <c r="E346" s="34" t="s">
        <v>1341</v>
      </c>
      <c r="F346" s="34">
        <v>3</v>
      </c>
      <c r="G346" s="34">
        <v>10</v>
      </c>
      <c r="H346" s="34" t="s">
        <v>136</v>
      </c>
      <c r="I346" s="34" t="s">
        <v>137</v>
      </c>
      <c r="J346" s="34"/>
      <c r="K346" s="34"/>
      <c r="L346" s="412"/>
      <c r="M346" s="371"/>
      <c r="N346" s="371"/>
      <c r="O346" s="412"/>
      <c r="P346" s="130"/>
      <c r="Q346" s="130">
        <v>0</v>
      </c>
      <c r="R346" s="130" t="s">
        <v>153</v>
      </c>
      <c r="S346" s="34">
        <v>1100106</v>
      </c>
      <c r="T346" s="382"/>
      <c r="U346" s="383"/>
      <c r="V346" s="130" t="s">
        <v>582</v>
      </c>
      <c r="W346" s="599" t="s">
        <v>1473</v>
      </c>
      <c r="X346" s="599" t="s">
        <v>1473</v>
      </c>
      <c r="Y346" s="130"/>
      <c r="Z346" s="130"/>
      <c r="AA346" s="130"/>
      <c r="AB346" s="130"/>
      <c r="AC346" s="34"/>
      <c r="AD346" s="34"/>
      <c r="AE346" s="34">
        <v>0</v>
      </c>
      <c r="AF346" s="34">
        <v>0</v>
      </c>
      <c r="AG346" s="34">
        <v>0</v>
      </c>
      <c r="AH346" s="34"/>
      <c r="AI346" s="34">
        <v>0</v>
      </c>
      <c r="AJ346" s="34">
        <v>0</v>
      </c>
      <c r="AK346" s="131"/>
      <c r="AL346" s="131"/>
      <c r="AM346" s="131"/>
      <c r="AN346" s="34"/>
      <c r="AO346" s="34"/>
      <c r="AP346" s="34"/>
      <c r="AQ346" s="8" t="str">
        <f t="shared" si="3"/>
        <v>tricks/1100306</v>
      </c>
      <c r="AR346" s="405"/>
    </row>
    <row r="347" spans="1:44" ht="15" customHeight="1">
      <c r="A347" s="34">
        <v>1100307</v>
      </c>
      <c r="B347" s="435" t="s">
        <v>1455</v>
      </c>
      <c r="C347" s="412" t="s">
        <v>1474</v>
      </c>
      <c r="D347" s="34" t="s">
        <v>81</v>
      </c>
      <c r="E347" s="34" t="s">
        <v>1341</v>
      </c>
      <c r="F347" s="34">
        <v>4</v>
      </c>
      <c r="G347" s="34">
        <v>10</v>
      </c>
      <c r="H347" s="34" t="s">
        <v>136</v>
      </c>
      <c r="I347" s="34" t="s">
        <v>137</v>
      </c>
      <c r="J347" s="34"/>
      <c r="K347" s="34"/>
      <c r="L347" s="412"/>
      <c r="M347" s="371"/>
      <c r="N347" s="371"/>
      <c r="O347" s="412"/>
      <c r="P347" s="130"/>
      <c r="Q347" s="130">
        <v>0</v>
      </c>
      <c r="R347" s="130" t="s">
        <v>153</v>
      </c>
      <c r="S347" s="34">
        <v>1100107</v>
      </c>
      <c r="T347" s="382"/>
      <c r="U347" s="385"/>
      <c r="V347" s="130" t="s">
        <v>582</v>
      </c>
      <c r="W347" s="599" t="s">
        <v>1475</v>
      </c>
      <c r="X347" s="599" t="s">
        <v>1475</v>
      </c>
      <c r="Y347" s="130"/>
      <c r="Z347" s="130"/>
      <c r="AA347" s="130"/>
      <c r="AB347" s="130"/>
      <c r="AC347" s="34"/>
      <c r="AD347" s="34"/>
      <c r="AE347" s="34">
        <v>0</v>
      </c>
      <c r="AF347" s="34">
        <v>0</v>
      </c>
      <c r="AG347" s="34">
        <v>0</v>
      </c>
      <c r="AH347" s="34"/>
      <c r="AI347" s="34">
        <v>0</v>
      </c>
      <c r="AJ347" s="34">
        <v>0</v>
      </c>
      <c r="AK347" s="131"/>
      <c r="AL347" s="131"/>
      <c r="AM347" s="131"/>
      <c r="AN347" s="34"/>
      <c r="AO347" s="34"/>
      <c r="AP347" s="34"/>
      <c r="AQ347" s="8" t="str">
        <f t="shared" si="3"/>
        <v>tricks/1100307</v>
      </c>
      <c r="AR347" s="405"/>
    </row>
    <row r="348" spans="1:44" ht="15" customHeight="1">
      <c r="A348" s="34">
        <v>1100308</v>
      </c>
      <c r="B348" s="435" t="s">
        <v>1455</v>
      </c>
      <c r="C348" s="412" t="s">
        <v>1476</v>
      </c>
      <c r="D348" s="34" t="s">
        <v>81</v>
      </c>
      <c r="E348" s="34" t="s">
        <v>1341</v>
      </c>
      <c r="F348" s="34">
        <v>5</v>
      </c>
      <c r="G348" s="34">
        <v>10</v>
      </c>
      <c r="H348" s="34" t="s">
        <v>136</v>
      </c>
      <c r="I348" s="34" t="s">
        <v>137</v>
      </c>
      <c r="J348" s="34"/>
      <c r="K348" s="34"/>
      <c r="L348" s="412"/>
      <c r="M348" s="371"/>
      <c r="N348" s="371"/>
      <c r="O348" s="412"/>
      <c r="P348" s="130"/>
      <c r="Q348" s="130">
        <v>0</v>
      </c>
      <c r="R348" s="130" t="s">
        <v>153</v>
      </c>
      <c r="S348" s="34">
        <v>1100108</v>
      </c>
      <c r="T348" s="382"/>
      <c r="U348" s="383"/>
      <c r="V348" s="130" t="s">
        <v>582</v>
      </c>
      <c r="W348" s="599" t="s">
        <v>1477</v>
      </c>
      <c r="X348" s="599" t="s">
        <v>1477</v>
      </c>
      <c r="Y348" s="130"/>
      <c r="Z348" s="130"/>
      <c r="AA348" s="130"/>
      <c r="AB348" s="130"/>
      <c r="AC348" s="34"/>
      <c r="AD348" s="34"/>
      <c r="AE348" s="34">
        <v>0</v>
      </c>
      <c r="AF348" s="34">
        <v>0</v>
      </c>
      <c r="AG348" s="34">
        <v>0</v>
      </c>
      <c r="AH348" s="34"/>
      <c r="AI348" s="34">
        <v>0</v>
      </c>
      <c r="AJ348" s="34">
        <v>0</v>
      </c>
      <c r="AK348" s="131"/>
      <c r="AL348" s="131"/>
      <c r="AM348" s="131"/>
      <c r="AN348" s="34"/>
      <c r="AO348" s="34"/>
      <c r="AP348" s="34"/>
      <c r="AQ348" s="8" t="str">
        <f t="shared" si="3"/>
        <v>tricks/1100308</v>
      </c>
      <c r="AR348" s="405"/>
    </row>
    <row r="349" spans="1:44" ht="15" customHeight="1">
      <c r="A349" s="34">
        <v>1100309</v>
      </c>
      <c r="B349" s="435" t="s">
        <v>1455</v>
      </c>
      <c r="C349" s="412" t="s">
        <v>1478</v>
      </c>
      <c r="D349" s="34" t="s">
        <v>81</v>
      </c>
      <c r="E349" s="34" t="s">
        <v>1341</v>
      </c>
      <c r="F349" s="34">
        <v>6</v>
      </c>
      <c r="G349" s="34">
        <v>10</v>
      </c>
      <c r="H349" s="34" t="s">
        <v>136</v>
      </c>
      <c r="I349" s="34" t="s">
        <v>137</v>
      </c>
      <c r="J349" s="34"/>
      <c r="K349" s="34"/>
      <c r="L349" s="412"/>
      <c r="M349" s="371"/>
      <c r="N349" s="371"/>
      <c r="O349" s="412"/>
      <c r="P349" s="130"/>
      <c r="Q349" s="130">
        <v>0</v>
      </c>
      <c r="R349" s="130" t="s">
        <v>153</v>
      </c>
      <c r="S349" s="34">
        <v>1100109</v>
      </c>
      <c r="T349" s="382"/>
      <c r="U349" s="383"/>
      <c r="V349" s="130" t="s">
        <v>582</v>
      </c>
      <c r="W349" s="599" t="s">
        <v>1479</v>
      </c>
      <c r="X349" s="599" t="s">
        <v>1479</v>
      </c>
      <c r="Y349" s="130"/>
      <c r="Z349" s="130"/>
      <c r="AA349" s="130"/>
      <c r="AB349" s="130"/>
      <c r="AC349" s="34"/>
      <c r="AD349" s="34"/>
      <c r="AE349" s="34">
        <v>0</v>
      </c>
      <c r="AF349" s="34">
        <v>0</v>
      </c>
      <c r="AG349" s="34">
        <v>0</v>
      </c>
      <c r="AH349" s="34"/>
      <c r="AI349" s="34">
        <v>0</v>
      </c>
      <c r="AJ349" s="34">
        <v>0</v>
      </c>
      <c r="AK349" s="131"/>
      <c r="AL349" s="131"/>
      <c r="AM349" s="131"/>
      <c r="AN349" s="34"/>
      <c r="AO349" s="34"/>
      <c r="AP349" s="34"/>
      <c r="AQ349" s="8" t="str">
        <f t="shared" si="3"/>
        <v>tricks/1100309</v>
      </c>
      <c r="AR349" s="405"/>
    </row>
    <row r="350" spans="1:44" ht="15" customHeight="1">
      <c r="A350" s="34">
        <v>1100310</v>
      </c>
      <c r="B350" s="435" t="s">
        <v>1455</v>
      </c>
      <c r="C350" s="412" t="s">
        <v>1480</v>
      </c>
      <c r="D350" s="34" t="s">
        <v>81</v>
      </c>
      <c r="E350" s="34" t="s">
        <v>1341</v>
      </c>
      <c r="F350" s="34">
        <v>7</v>
      </c>
      <c r="G350" s="34">
        <v>10</v>
      </c>
      <c r="H350" s="34" t="s">
        <v>136</v>
      </c>
      <c r="I350" s="34" t="s">
        <v>137</v>
      </c>
      <c r="J350" s="34"/>
      <c r="K350" s="34"/>
      <c r="L350" s="412"/>
      <c r="M350" s="371"/>
      <c r="N350" s="371"/>
      <c r="O350" s="412"/>
      <c r="P350" s="130"/>
      <c r="Q350" s="130">
        <v>0</v>
      </c>
      <c r="R350" s="130" t="s">
        <v>153</v>
      </c>
      <c r="S350" s="34">
        <v>1100110</v>
      </c>
      <c r="T350" s="382"/>
      <c r="U350" s="383"/>
      <c r="V350" s="130" t="s">
        <v>582</v>
      </c>
      <c r="W350" s="599" t="s">
        <v>1481</v>
      </c>
      <c r="X350" s="599" t="s">
        <v>1481</v>
      </c>
      <c r="Y350" s="130"/>
      <c r="Z350" s="130"/>
      <c r="AA350" s="130"/>
      <c r="AB350" s="130"/>
      <c r="AC350" s="34"/>
      <c r="AD350" s="34"/>
      <c r="AE350" s="34">
        <v>0</v>
      </c>
      <c r="AF350" s="34">
        <v>0</v>
      </c>
      <c r="AG350" s="34">
        <v>0</v>
      </c>
      <c r="AH350" s="34"/>
      <c r="AI350" s="34">
        <v>0</v>
      </c>
      <c r="AJ350" s="34">
        <v>0</v>
      </c>
      <c r="AK350" s="131"/>
      <c r="AL350" s="131"/>
      <c r="AM350" s="131"/>
      <c r="AN350" s="34"/>
      <c r="AO350" s="34"/>
      <c r="AP350" s="34"/>
      <c r="AQ350" s="8" t="str">
        <f t="shared" si="3"/>
        <v>tricks/1100310</v>
      </c>
      <c r="AR350" s="405"/>
    </row>
    <row r="351" spans="1:44" ht="15" customHeight="1">
      <c r="A351" s="3">
        <v>1100311</v>
      </c>
      <c r="B351" s="282" t="s">
        <v>1455</v>
      </c>
      <c r="C351" s="204" t="s">
        <v>1482</v>
      </c>
      <c r="D351" s="3" t="s">
        <v>81</v>
      </c>
      <c r="E351" s="3" t="s">
        <v>1341</v>
      </c>
      <c r="F351" s="3">
        <v>8</v>
      </c>
      <c r="G351" s="3">
        <v>10</v>
      </c>
      <c r="H351" s="3" t="s">
        <v>136</v>
      </c>
      <c r="I351" s="3" t="s">
        <v>137</v>
      </c>
      <c r="J351" s="3"/>
      <c r="K351" s="3"/>
      <c r="L351" s="236"/>
      <c r="M351" s="99"/>
      <c r="N351" s="99"/>
      <c r="O351" s="236"/>
      <c r="P351" s="22"/>
      <c r="Q351" s="22">
        <v>0</v>
      </c>
      <c r="R351" s="22" t="s">
        <v>153</v>
      </c>
      <c r="S351" s="3"/>
      <c r="T351" s="260"/>
      <c r="U351" s="261"/>
      <c r="V351" s="22"/>
      <c r="W351" s="567" t="s">
        <v>1222</v>
      </c>
      <c r="X351" s="567" t="s">
        <v>1222</v>
      </c>
      <c r="Y351" s="22"/>
      <c r="Z351" s="22"/>
      <c r="AA351" s="22"/>
      <c r="AB351" s="22" t="s">
        <v>114</v>
      </c>
      <c r="AC351" s="3"/>
      <c r="AD351" s="3"/>
      <c r="AE351" s="3">
        <v>0</v>
      </c>
      <c r="AF351" s="3">
        <v>0</v>
      </c>
      <c r="AG351" s="3">
        <v>0</v>
      </c>
      <c r="AH351" s="3"/>
      <c r="AI351" s="3">
        <v>0</v>
      </c>
      <c r="AJ351" s="3">
        <v>0</v>
      </c>
      <c r="AK351" s="3">
        <v>0</v>
      </c>
      <c r="AL351" s="3"/>
      <c r="AM351" s="3"/>
      <c r="AN351" s="3"/>
      <c r="AO351" s="3"/>
      <c r="AP351" s="3"/>
      <c r="AQ351" s="8" t="str">
        <f t="shared" si="3"/>
        <v>tricks/1100311</v>
      </c>
      <c r="AR351" s="281"/>
    </row>
    <row r="352" spans="1:44" ht="15" customHeight="1">
      <c r="A352" s="3">
        <v>1100312</v>
      </c>
      <c r="B352" s="282" t="s">
        <v>1455</v>
      </c>
      <c r="C352" s="204" t="s">
        <v>1483</v>
      </c>
      <c r="D352" s="3" t="s">
        <v>81</v>
      </c>
      <c r="E352" s="3" t="s">
        <v>1341</v>
      </c>
      <c r="F352" s="3">
        <v>9</v>
      </c>
      <c r="G352" s="3">
        <v>10</v>
      </c>
      <c r="H352" s="3" t="s">
        <v>136</v>
      </c>
      <c r="I352" s="3" t="s">
        <v>137</v>
      </c>
      <c r="J352" s="3"/>
      <c r="K352" s="3"/>
      <c r="L352" s="236"/>
      <c r="M352" s="99"/>
      <c r="N352" s="99"/>
      <c r="O352" s="236"/>
      <c r="P352" s="22"/>
      <c r="Q352" s="22">
        <v>0</v>
      </c>
      <c r="R352" s="22" t="s">
        <v>153</v>
      </c>
      <c r="S352" s="3"/>
      <c r="T352" s="260"/>
      <c r="U352" s="261"/>
      <c r="V352" s="22"/>
      <c r="W352" s="567" t="s">
        <v>1484</v>
      </c>
      <c r="X352" s="567" t="s">
        <v>1484</v>
      </c>
      <c r="Y352" s="22"/>
      <c r="Z352" s="22"/>
      <c r="AA352" s="22"/>
      <c r="AB352" s="22" t="s">
        <v>114</v>
      </c>
      <c r="AC352" s="3"/>
      <c r="AD352" s="3"/>
      <c r="AE352" s="3">
        <v>0</v>
      </c>
      <c r="AF352" s="3">
        <v>0</v>
      </c>
      <c r="AG352" s="3">
        <v>0</v>
      </c>
      <c r="AH352" s="3"/>
      <c r="AI352" s="3">
        <v>0</v>
      </c>
      <c r="AJ352" s="3">
        <v>0</v>
      </c>
      <c r="AK352" s="3">
        <v>0</v>
      </c>
      <c r="AL352" s="3"/>
      <c r="AM352" s="3"/>
      <c r="AN352" s="3"/>
      <c r="AO352" s="3"/>
      <c r="AP352" s="3"/>
      <c r="AQ352" s="8" t="str">
        <f t="shared" si="3"/>
        <v>tricks/1100312</v>
      </c>
    </row>
    <row r="353" spans="1:44" ht="15" customHeight="1">
      <c r="A353" s="3">
        <v>1100313</v>
      </c>
      <c r="B353" s="282" t="s">
        <v>1455</v>
      </c>
      <c r="C353" s="204" t="s">
        <v>1485</v>
      </c>
      <c r="D353" s="3" t="s">
        <v>81</v>
      </c>
      <c r="E353" s="3" t="s">
        <v>1341</v>
      </c>
      <c r="F353" s="3">
        <v>10</v>
      </c>
      <c r="G353" s="3">
        <v>10</v>
      </c>
      <c r="H353" s="3" t="s">
        <v>136</v>
      </c>
      <c r="I353" s="3" t="s">
        <v>137</v>
      </c>
      <c r="J353" s="3"/>
      <c r="K353" s="3"/>
      <c r="L353" s="236"/>
      <c r="M353" s="99"/>
      <c r="N353" s="99"/>
      <c r="O353" s="236"/>
      <c r="P353" s="22"/>
      <c r="Q353" s="22">
        <v>0</v>
      </c>
      <c r="R353" s="22" t="s">
        <v>153</v>
      </c>
      <c r="S353" s="3"/>
      <c r="T353" s="260"/>
      <c r="U353" s="261"/>
      <c r="V353" s="22"/>
      <c r="W353" s="567" t="s">
        <v>1486</v>
      </c>
      <c r="X353" s="567" t="s">
        <v>1486</v>
      </c>
      <c r="Y353" s="22"/>
      <c r="Z353" s="22"/>
      <c r="AA353" s="22"/>
      <c r="AB353" s="22" t="s">
        <v>114</v>
      </c>
      <c r="AC353" s="3"/>
      <c r="AD353" s="3"/>
      <c r="AE353" s="3">
        <v>0</v>
      </c>
      <c r="AF353" s="3">
        <v>0</v>
      </c>
      <c r="AG353" s="3">
        <v>0</v>
      </c>
      <c r="AH353" s="3"/>
      <c r="AI353" s="3">
        <v>0</v>
      </c>
      <c r="AJ353" s="3">
        <v>0</v>
      </c>
      <c r="AK353" s="3">
        <v>0</v>
      </c>
      <c r="AL353" s="3"/>
      <c r="AM353" s="3"/>
      <c r="AN353" s="3"/>
      <c r="AO353" s="3"/>
      <c r="AP353" s="3"/>
      <c r="AQ353" s="8" t="str">
        <f t="shared" si="3"/>
        <v>tricks/1100313</v>
      </c>
    </row>
    <row r="354" spans="1:44" ht="15" customHeight="1">
      <c r="A354" s="34">
        <v>1100401</v>
      </c>
      <c r="B354" s="435" t="s">
        <v>1487</v>
      </c>
      <c r="C354" s="412" t="s">
        <v>1488</v>
      </c>
      <c r="D354" s="34" t="s">
        <v>81</v>
      </c>
      <c r="E354" s="34" t="s">
        <v>1341</v>
      </c>
      <c r="F354" s="34">
        <v>1</v>
      </c>
      <c r="G354" s="34">
        <v>10</v>
      </c>
      <c r="H354" s="34" t="s">
        <v>82</v>
      </c>
      <c r="I354" s="34" t="s">
        <v>101</v>
      </c>
      <c r="J354" s="34"/>
      <c r="K354" s="34">
        <v>1</v>
      </c>
      <c r="L354" s="412"/>
      <c r="M354" s="371"/>
      <c r="N354" s="371"/>
      <c r="O354" s="412"/>
      <c r="P354" s="130">
        <v>1</v>
      </c>
      <c r="Q354" s="130">
        <v>0</v>
      </c>
      <c r="R354" s="130" t="s">
        <v>85</v>
      </c>
      <c r="S354" s="34">
        <v>1100101</v>
      </c>
      <c r="T354" s="382" t="s">
        <v>1489</v>
      </c>
      <c r="U354" s="383" t="s">
        <v>1372</v>
      </c>
      <c r="V354" s="130" t="s">
        <v>582</v>
      </c>
      <c r="W354" s="599" t="s">
        <v>1490</v>
      </c>
      <c r="X354" s="599" t="s">
        <v>1490</v>
      </c>
      <c r="Y354" s="130"/>
      <c r="Z354" s="130"/>
      <c r="AA354" s="130">
        <v>1</v>
      </c>
      <c r="AB354" s="130" t="s">
        <v>90</v>
      </c>
      <c r="AC354" s="34"/>
      <c r="AD354" s="34"/>
      <c r="AE354" s="34">
        <v>1</v>
      </c>
      <c r="AF354" s="34">
        <v>2</v>
      </c>
      <c r="AG354" s="34">
        <v>6</v>
      </c>
      <c r="AH354" s="34"/>
      <c r="AI354" s="34">
        <v>39</v>
      </c>
      <c r="AJ354" s="34">
        <v>26</v>
      </c>
      <c r="AK354" s="131"/>
      <c r="AL354" s="131"/>
      <c r="AM354" s="131"/>
      <c r="AN354" s="34" t="s">
        <v>1491</v>
      </c>
      <c r="AO354" s="34"/>
      <c r="AP354" s="34"/>
      <c r="AQ354" s="8" t="str">
        <f t="shared" si="3"/>
        <v>tricks/1100401</v>
      </c>
      <c r="AR354" s="405">
        <v>360</v>
      </c>
    </row>
    <row r="355" spans="1:44" ht="15" customHeight="1">
      <c r="A355" s="34">
        <v>1100402</v>
      </c>
      <c r="B355" s="34" t="s">
        <v>1487</v>
      </c>
      <c r="C355" s="412" t="s">
        <v>1492</v>
      </c>
      <c r="D355" s="34" t="s">
        <v>81</v>
      </c>
      <c r="E355" s="34" t="s">
        <v>1341</v>
      </c>
      <c r="F355" s="34">
        <v>1</v>
      </c>
      <c r="G355" s="34">
        <v>10</v>
      </c>
      <c r="H355" s="34" t="s">
        <v>136</v>
      </c>
      <c r="I355" s="34" t="s">
        <v>137</v>
      </c>
      <c r="J355" s="34"/>
      <c r="K355" s="34"/>
      <c r="L355" s="412"/>
      <c r="M355" s="371"/>
      <c r="N355" s="371"/>
      <c r="O355" s="412"/>
      <c r="P355" s="130"/>
      <c r="Q355" s="130">
        <v>0</v>
      </c>
      <c r="R355" s="130"/>
      <c r="S355" s="34">
        <v>1100102</v>
      </c>
      <c r="T355" s="382"/>
      <c r="U355" s="383"/>
      <c r="V355" s="130" t="s">
        <v>582</v>
      </c>
      <c r="W355" s="599" t="s">
        <v>1493</v>
      </c>
      <c r="X355" s="599" t="s">
        <v>1493</v>
      </c>
      <c r="Y355" s="130"/>
      <c r="Z355" s="130"/>
      <c r="AA355" s="130"/>
      <c r="AB355" s="130"/>
      <c r="AC355" s="34"/>
      <c r="AD355" s="34"/>
      <c r="AE355" s="34">
        <v>0</v>
      </c>
      <c r="AF355" s="34">
        <v>0</v>
      </c>
      <c r="AG355" s="34">
        <v>0</v>
      </c>
      <c r="AH355" s="34"/>
      <c r="AI355" s="34">
        <v>0</v>
      </c>
      <c r="AJ355" s="34">
        <v>0</v>
      </c>
      <c r="AK355" s="131"/>
      <c r="AL355" s="131"/>
      <c r="AM355" s="131"/>
      <c r="AN355" s="34"/>
      <c r="AO355" s="34"/>
      <c r="AP355" s="34"/>
      <c r="AQ355" s="8" t="str">
        <f t="shared" ref="AQ355:AQ366" si="4">"tricks/"&amp;A355</f>
        <v>tricks/1100402</v>
      </c>
      <c r="AR355" s="405"/>
    </row>
    <row r="356" spans="1:44" ht="15" customHeight="1">
      <c r="A356" s="34">
        <v>1100403</v>
      </c>
      <c r="B356" s="34" t="s">
        <v>1487</v>
      </c>
      <c r="C356" s="412" t="s">
        <v>1494</v>
      </c>
      <c r="D356" s="34" t="s">
        <v>81</v>
      </c>
      <c r="E356" s="34" t="s">
        <v>1341</v>
      </c>
      <c r="F356" s="34">
        <v>1</v>
      </c>
      <c r="G356" s="34">
        <v>10</v>
      </c>
      <c r="H356" s="34" t="s">
        <v>82</v>
      </c>
      <c r="I356" s="34" t="s">
        <v>101</v>
      </c>
      <c r="J356" s="34"/>
      <c r="K356" s="34">
        <v>2</v>
      </c>
      <c r="L356" s="412"/>
      <c r="M356" s="371"/>
      <c r="N356" s="371"/>
      <c r="O356" s="412"/>
      <c r="P356" s="130">
        <v>1</v>
      </c>
      <c r="Q356" s="130">
        <v>0</v>
      </c>
      <c r="R356" s="130" t="s">
        <v>85</v>
      </c>
      <c r="S356" s="34">
        <v>1100103</v>
      </c>
      <c r="T356" s="262" t="s">
        <v>1423</v>
      </c>
      <c r="U356" s="383" t="s">
        <v>1372</v>
      </c>
      <c r="V356" s="130" t="s">
        <v>582</v>
      </c>
      <c r="W356" s="599" t="s">
        <v>1495</v>
      </c>
      <c r="X356" s="599" t="s">
        <v>1495</v>
      </c>
      <c r="Y356" s="130"/>
      <c r="Z356" s="130"/>
      <c r="AA356" s="130">
        <v>1</v>
      </c>
      <c r="AB356" s="130" t="s">
        <v>90</v>
      </c>
      <c r="AC356" s="34"/>
      <c r="AD356" s="34"/>
      <c r="AE356" s="34">
        <v>1</v>
      </c>
      <c r="AF356" s="34">
        <v>1</v>
      </c>
      <c r="AG356" s="34">
        <v>5</v>
      </c>
      <c r="AH356" s="34"/>
      <c r="AI356" s="34">
        <v>39</v>
      </c>
      <c r="AJ356" s="34">
        <v>26</v>
      </c>
      <c r="AK356" s="131"/>
      <c r="AL356" s="131"/>
      <c r="AM356" s="131"/>
      <c r="AN356" s="34" t="s">
        <v>1496</v>
      </c>
      <c r="AO356" s="34"/>
      <c r="AP356" s="34"/>
      <c r="AQ356" s="8" t="str">
        <f t="shared" si="4"/>
        <v>tricks/1100403</v>
      </c>
      <c r="AR356" s="405">
        <v>361</v>
      </c>
    </row>
    <row r="357" spans="1:44" ht="15" customHeight="1">
      <c r="A357" s="34">
        <v>1100404</v>
      </c>
      <c r="B357" s="34" t="s">
        <v>1487</v>
      </c>
      <c r="C357" s="412" t="s">
        <v>1497</v>
      </c>
      <c r="D357" s="34" t="s">
        <v>81</v>
      </c>
      <c r="E357" s="34" t="s">
        <v>1341</v>
      </c>
      <c r="F357" s="34">
        <v>2</v>
      </c>
      <c r="G357" s="34">
        <v>10</v>
      </c>
      <c r="H357" s="34" t="s">
        <v>136</v>
      </c>
      <c r="I357" s="34" t="s">
        <v>137</v>
      </c>
      <c r="J357" s="34"/>
      <c r="K357" s="34"/>
      <c r="L357" s="412"/>
      <c r="M357" s="371"/>
      <c r="N357" s="371"/>
      <c r="O357" s="412"/>
      <c r="P357" s="130"/>
      <c r="Q357" s="130">
        <v>0</v>
      </c>
      <c r="R357" s="130"/>
      <c r="S357" s="34">
        <v>1100104</v>
      </c>
      <c r="T357" s="382"/>
      <c r="U357" s="383"/>
      <c r="V357" s="130" t="s">
        <v>582</v>
      </c>
      <c r="W357" s="599" t="s">
        <v>1498</v>
      </c>
      <c r="X357" s="599" t="s">
        <v>1498</v>
      </c>
      <c r="Y357" s="130"/>
      <c r="Z357" s="130"/>
      <c r="AA357" s="130"/>
      <c r="AB357" s="130"/>
      <c r="AC357" s="34"/>
      <c r="AD357" s="34"/>
      <c r="AE357" s="34">
        <v>0</v>
      </c>
      <c r="AF357" s="34">
        <v>0</v>
      </c>
      <c r="AG357" s="34">
        <v>0</v>
      </c>
      <c r="AH357" s="34"/>
      <c r="AI357" s="34">
        <v>0</v>
      </c>
      <c r="AJ357" s="34">
        <v>0</v>
      </c>
      <c r="AK357" s="131"/>
      <c r="AL357" s="131"/>
      <c r="AM357" s="131"/>
      <c r="AN357" s="34"/>
      <c r="AO357" s="34"/>
      <c r="AP357" s="34"/>
      <c r="AQ357" s="8" t="str">
        <f t="shared" si="4"/>
        <v>tricks/1100404</v>
      </c>
      <c r="AR357" s="405"/>
    </row>
    <row r="358" spans="1:44" ht="15" customHeight="1">
      <c r="A358" s="34">
        <v>1100405</v>
      </c>
      <c r="B358" s="34" t="s">
        <v>1487</v>
      </c>
      <c r="C358" s="412" t="s">
        <v>1499</v>
      </c>
      <c r="D358" s="34" t="s">
        <v>81</v>
      </c>
      <c r="E358" s="34" t="s">
        <v>1341</v>
      </c>
      <c r="F358" s="34">
        <v>1</v>
      </c>
      <c r="G358" s="34">
        <v>10</v>
      </c>
      <c r="H358" s="34" t="s">
        <v>82</v>
      </c>
      <c r="I358" s="34" t="s">
        <v>101</v>
      </c>
      <c r="J358" s="34"/>
      <c r="K358" s="34">
        <v>3</v>
      </c>
      <c r="L358" s="412"/>
      <c r="M358" s="371"/>
      <c r="N358" s="371"/>
      <c r="O358" s="412"/>
      <c r="P358" s="130">
        <v>1</v>
      </c>
      <c r="Q358" s="130">
        <v>0</v>
      </c>
      <c r="R358" s="130" t="s">
        <v>85</v>
      </c>
      <c r="S358" s="34">
        <v>1100105</v>
      </c>
      <c r="T358" s="382" t="s">
        <v>1500</v>
      </c>
      <c r="U358" s="383" t="s">
        <v>1372</v>
      </c>
      <c r="V358" s="130" t="s">
        <v>582</v>
      </c>
      <c r="W358" s="599" t="s">
        <v>1501</v>
      </c>
      <c r="X358" s="599" t="s">
        <v>1501</v>
      </c>
      <c r="Y358" s="130"/>
      <c r="Z358" s="130"/>
      <c r="AA358" s="130">
        <v>1</v>
      </c>
      <c r="AB358" s="130" t="s">
        <v>90</v>
      </c>
      <c r="AC358" s="34"/>
      <c r="AD358" s="34"/>
      <c r="AE358" s="34">
        <v>1</v>
      </c>
      <c r="AF358" s="34">
        <v>1</v>
      </c>
      <c r="AG358" s="34">
        <v>5</v>
      </c>
      <c r="AH358" s="34"/>
      <c r="AI358" s="34">
        <v>39</v>
      </c>
      <c r="AJ358" s="34">
        <v>26</v>
      </c>
      <c r="AK358" s="131"/>
      <c r="AL358" s="131"/>
      <c r="AM358" s="131"/>
      <c r="AN358" s="34" t="s">
        <v>1502</v>
      </c>
      <c r="AO358" s="34"/>
      <c r="AP358" s="34"/>
      <c r="AQ358" s="8" t="str">
        <f t="shared" si="4"/>
        <v>tricks/1100405</v>
      </c>
      <c r="AR358" s="405">
        <v>362</v>
      </c>
    </row>
    <row r="359" spans="1:44" ht="15" customHeight="1">
      <c r="A359" s="34">
        <v>1100406</v>
      </c>
      <c r="B359" s="34" t="s">
        <v>1487</v>
      </c>
      <c r="C359" s="412" t="s">
        <v>1503</v>
      </c>
      <c r="D359" s="34" t="s">
        <v>81</v>
      </c>
      <c r="E359" s="34" t="s">
        <v>1341</v>
      </c>
      <c r="F359" s="34">
        <v>3</v>
      </c>
      <c r="G359" s="34">
        <v>10</v>
      </c>
      <c r="H359" s="34" t="s">
        <v>136</v>
      </c>
      <c r="I359" s="34" t="s">
        <v>137</v>
      </c>
      <c r="J359" s="34"/>
      <c r="K359" s="34"/>
      <c r="L359" s="412"/>
      <c r="M359" s="371"/>
      <c r="N359" s="371"/>
      <c r="O359" s="412"/>
      <c r="P359" s="130"/>
      <c r="Q359" s="130">
        <v>0</v>
      </c>
      <c r="R359" s="130" t="s">
        <v>153</v>
      </c>
      <c r="S359" s="34">
        <v>1100106</v>
      </c>
      <c r="T359" s="382"/>
      <c r="U359" s="383"/>
      <c r="V359" s="130" t="s">
        <v>582</v>
      </c>
      <c r="W359" s="599" t="s">
        <v>1504</v>
      </c>
      <c r="X359" s="599" t="s">
        <v>1504</v>
      </c>
      <c r="Y359" s="130"/>
      <c r="Z359" s="130"/>
      <c r="AA359" s="130"/>
      <c r="AB359" s="130"/>
      <c r="AC359" s="34"/>
      <c r="AD359" s="34"/>
      <c r="AE359" s="34">
        <v>0</v>
      </c>
      <c r="AF359" s="34">
        <v>0</v>
      </c>
      <c r="AG359" s="34">
        <v>0</v>
      </c>
      <c r="AH359" s="34"/>
      <c r="AI359" s="34">
        <v>0</v>
      </c>
      <c r="AJ359" s="34">
        <v>0</v>
      </c>
      <c r="AK359" s="131"/>
      <c r="AL359" s="131"/>
      <c r="AM359" s="131"/>
      <c r="AN359" s="34"/>
      <c r="AO359" s="34"/>
      <c r="AP359" s="34"/>
      <c r="AQ359" s="8" t="str">
        <f t="shared" si="4"/>
        <v>tricks/1100406</v>
      </c>
      <c r="AR359" s="405"/>
    </row>
    <row r="360" spans="1:44" ht="15" customHeight="1">
      <c r="A360" s="34">
        <v>1100407</v>
      </c>
      <c r="B360" s="34" t="s">
        <v>1487</v>
      </c>
      <c r="C360" s="412" t="s">
        <v>1505</v>
      </c>
      <c r="D360" s="34" t="s">
        <v>81</v>
      </c>
      <c r="E360" s="34" t="s">
        <v>1341</v>
      </c>
      <c r="F360" s="34">
        <v>4</v>
      </c>
      <c r="G360" s="34">
        <v>10</v>
      </c>
      <c r="H360" s="34" t="s">
        <v>136</v>
      </c>
      <c r="I360" s="34" t="s">
        <v>137</v>
      </c>
      <c r="J360" s="34"/>
      <c r="K360" s="34"/>
      <c r="L360" s="412"/>
      <c r="M360" s="371"/>
      <c r="N360" s="371"/>
      <c r="O360" s="412"/>
      <c r="P360" s="130"/>
      <c r="Q360" s="130">
        <v>0</v>
      </c>
      <c r="R360" s="130" t="s">
        <v>153</v>
      </c>
      <c r="S360" s="34">
        <v>1100107</v>
      </c>
      <c r="T360" s="382"/>
      <c r="U360" s="385"/>
      <c r="V360" s="130" t="s">
        <v>582</v>
      </c>
      <c r="W360" s="599" t="s">
        <v>1506</v>
      </c>
      <c r="X360" s="599" t="s">
        <v>1506</v>
      </c>
      <c r="Y360" s="130"/>
      <c r="Z360" s="130"/>
      <c r="AA360" s="130"/>
      <c r="AB360" s="130"/>
      <c r="AC360" s="34"/>
      <c r="AD360" s="34"/>
      <c r="AE360" s="34">
        <v>0</v>
      </c>
      <c r="AF360" s="34">
        <v>0</v>
      </c>
      <c r="AG360" s="34">
        <v>0</v>
      </c>
      <c r="AH360" s="34"/>
      <c r="AI360" s="34">
        <v>0</v>
      </c>
      <c r="AJ360" s="34">
        <v>0</v>
      </c>
      <c r="AK360" s="131"/>
      <c r="AL360" s="131"/>
      <c r="AM360" s="131"/>
      <c r="AN360" s="34"/>
      <c r="AO360" s="34"/>
      <c r="AP360" s="34"/>
      <c r="AQ360" s="8" t="str">
        <f t="shared" si="4"/>
        <v>tricks/1100407</v>
      </c>
      <c r="AR360" s="405"/>
    </row>
    <row r="361" spans="1:44" ht="15" customHeight="1">
      <c r="A361" s="34">
        <v>1100408</v>
      </c>
      <c r="B361" s="34" t="s">
        <v>1487</v>
      </c>
      <c r="C361" s="412" t="s">
        <v>1507</v>
      </c>
      <c r="D361" s="34" t="s">
        <v>81</v>
      </c>
      <c r="E361" s="34" t="s">
        <v>1341</v>
      </c>
      <c r="F361" s="34">
        <v>5</v>
      </c>
      <c r="G361" s="34">
        <v>10</v>
      </c>
      <c r="H361" s="34" t="s">
        <v>136</v>
      </c>
      <c r="I361" s="34" t="s">
        <v>137</v>
      </c>
      <c r="J361" s="34"/>
      <c r="K361" s="34"/>
      <c r="L361" s="412"/>
      <c r="M361" s="371"/>
      <c r="N361" s="371"/>
      <c r="O361" s="412"/>
      <c r="P361" s="130"/>
      <c r="Q361" s="130">
        <v>0</v>
      </c>
      <c r="R361" s="130" t="s">
        <v>153</v>
      </c>
      <c r="S361" s="34">
        <v>1100108</v>
      </c>
      <c r="T361" s="382"/>
      <c r="U361" s="383"/>
      <c r="V361" s="130" t="s">
        <v>582</v>
      </c>
      <c r="W361" s="599" t="s">
        <v>1508</v>
      </c>
      <c r="X361" s="599" t="s">
        <v>1508</v>
      </c>
      <c r="Y361" s="130"/>
      <c r="Z361" s="130"/>
      <c r="AA361" s="130"/>
      <c r="AB361" s="130"/>
      <c r="AC361" s="34"/>
      <c r="AD361" s="34"/>
      <c r="AE361" s="34">
        <v>0</v>
      </c>
      <c r="AF361" s="34">
        <v>0</v>
      </c>
      <c r="AG361" s="34">
        <v>0</v>
      </c>
      <c r="AH361" s="34"/>
      <c r="AI361" s="34">
        <v>0</v>
      </c>
      <c r="AJ361" s="34">
        <v>0</v>
      </c>
      <c r="AK361" s="131"/>
      <c r="AL361" s="131"/>
      <c r="AM361" s="131"/>
      <c r="AN361" s="34"/>
      <c r="AO361" s="34"/>
      <c r="AP361" s="34"/>
      <c r="AQ361" s="8" t="str">
        <f t="shared" si="4"/>
        <v>tricks/1100408</v>
      </c>
      <c r="AR361" s="405"/>
    </row>
    <row r="362" spans="1:44" ht="15" customHeight="1">
      <c r="A362" s="34">
        <v>1100409</v>
      </c>
      <c r="B362" s="34" t="s">
        <v>1487</v>
      </c>
      <c r="C362" s="412" t="s">
        <v>1509</v>
      </c>
      <c r="D362" s="34" t="s">
        <v>81</v>
      </c>
      <c r="E362" s="34" t="s">
        <v>1341</v>
      </c>
      <c r="F362" s="34">
        <v>6</v>
      </c>
      <c r="G362" s="34">
        <v>10</v>
      </c>
      <c r="H362" s="34" t="s">
        <v>136</v>
      </c>
      <c r="I362" s="34" t="s">
        <v>137</v>
      </c>
      <c r="J362" s="34"/>
      <c r="K362" s="34"/>
      <c r="L362" s="412"/>
      <c r="M362" s="371"/>
      <c r="N362" s="371"/>
      <c r="O362" s="412"/>
      <c r="P362" s="130"/>
      <c r="Q362" s="130">
        <v>0</v>
      </c>
      <c r="R362" s="130" t="s">
        <v>153</v>
      </c>
      <c r="S362" s="34">
        <v>1100109</v>
      </c>
      <c r="T362" s="382"/>
      <c r="U362" s="383"/>
      <c r="V362" s="130" t="s">
        <v>582</v>
      </c>
      <c r="W362" s="599" t="s">
        <v>1510</v>
      </c>
      <c r="X362" s="599" t="s">
        <v>1510</v>
      </c>
      <c r="Y362" s="130"/>
      <c r="Z362" s="130"/>
      <c r="AA362" s="130"/>
      <c r="AB362" s="130"/>
      <c r="AC362" s="34"/>
      <c r="AD362" s="34"/>
      <c r="AE362" s="34">
        <v>0</v>
      </c>
      <c r="AF362" s="34">
        <v>0</v>
      </c>
      <c r="AG362" s="34">
        <v>0</v>
      </c>
      <c r="AH362" s="34"/>
      <c r="AI362" s="34">
        <v>0</v>
      </c>
      <c r="AJ362" s="34">
        <v>0</v>
      </c>
      <c r="AK362" s="131"/>
      <c r="AL362" s="131"/>
      <c r="AM362" s="131"/>
      <c r="AN362" s="34"/>
      <c r="AO362" s="34"/>
      <c r="AP362" s="34"/>
      <c r="AQ362" s="8" t="str">
        <f t="shared" si="4"/>
        <v>tricks/1100409</v>
      </c>
      <c r="AR362" s="405"/>
    </row>
    <row r="363" spans="1:44" ht="15" customHeight="1">
      <c r="A363" s="34">
        <v>1100410</v>
      </c>
      <c r="B363" s="34" t="s">
        <v>1487</v>
      </c>
      <c r="C363" s="412" t="s">
        <v>1511</v>
      </c>
      <c r="D363" s="34" t="s">
        <v>81</v>
      </c>
      <c r="E363" s="34" t="s">
        <v>1341</v>
      </c>
      <c r="F363" s="34">
        <v>7</v>
      </c>
      <c r="G363" s="34">
        <v>10</v>
      </c>
      <c r="H363" s="34" t="s">
        <v>136</v>
      </c>
      <c r="I363" s="34" t="s">
        <v>137</v>
      </c>
      <c r="J363" s="34"/>
      <c r="K363" s="34"/>
      <c r="L363" s="412"/>
      <c r="M363" s="371"/>
      <c r="N363" s="371"/>
      <c r="O363" s="412"/>
      <c r="P363" s="130"/>
      <c r="Q363" s="130">
        <v>0</v>
      </c>
      <c r="R363" s="130" t="s">
        <v>153</v>
      </c>
      <c r="S363" s="34">
        <v>1100110</v>
      </c>
      <c r="T363" s="382"/>
      <c r="U363" s="383"/>
      <c r="V363" s="130" t="s">
        <v>582</v>
      </c>
      <c r="W363" s="599" t="s">
        <v>1512</v>
      </c>
      <c r="X363" s="599" t="s">
        <v>1512</v>
      </c>
      <c r="Y363" s="130"/>
      <c r="Z363" s="130"/>
      <c r="AA363" s="130"/>
      <c r="AB363" s="130"/>
      <c r="AC363" s="34"/>
      <c r="AD363" s="34"/>
      <c r="AE363" s="34">
        <v>0</v>
      </c>
      <c r="AF363" s="34">
        <v>0</v>
      </c>
      <c r="AG363" s="34">
        <v>0</v>
      </c>
      <c r="AH363" s="34"/>
      <c r="AI363" s="34">
        <v>0</v>
      </c>
      <c r="AJ363" s="34">
        <v>0</v>
      </c>
      <c r="AK363" s="131"/>
      <c r="AL363" s="131"/>
      <c r="AM363" s="131"/>
      <c r="AN363" s="34"/>
      <c r="AO363" s="34"/>
      <c r="AP363" s="34"/>
      <c r="AQ363" s="8" t="str">
        <f t="shared" si="4"/>
        <v>tricks/1100410</v>
      </c>
      <c r="AR363" s="405"/>
    </row>
    <row r="364" spans="1:44" ht="15" customHeight="1">
      <c r="A364" s="3">
        <v>1100411</v>
      </c>
      <c r="B364" s="3" t="s">
        <v>1487</v>
      </c>
      <c r="C364" s="236" t="s">
        <v>1513</v>
      </c>
      <c r="D364" s="3" t="s">
        <v>81</v>
      </c>
      <c r="E364" s="3" t="s">
        <v>1341</v>
      </c>
      <c r="F364" s="3">
        <v>8</v>
      </c>
      <c r="G364" s="3">
        <v>10</v>
      </c>
      <c r="H364" s="3" t="s">
        <v>136</v>
      </c>
      <c r="I364" s="3" t="s">
        <v>137</v>
      </c>
      <c r="J364" s="3"/>
      <c r="K364" s="3"/>
      <c r="L364" s="236"/>
      <c r="M364" s="99"/>
      <c r="N364" s="99"/>
      <c r="O364" s="236"/>
      <c r="P364" s="22"/>
      <c r="Q364" s="22">
        <v>0</v>
      </c>
      <c r="R364" s="22" t="s">
        <v>153</v>
      </c>
      <c r="S364" s="3"/>
      <c r="T364" s="260"/>
      <c r="U364" s="261"/>
      <c r="V364" s="22"/>
      <c r="W364" s="567" t="s">
        <v>1222</v>
      </c>
      <c r="X364" s="567" t="s">
        <v>1222</v>
      </c>
      <c r="Y364" s="22"/>
      <c r="Z364" s="22"/>
      <c r="AA364" s="22"/>
      <c r="AB364" s="22" t="s">
        <v>114</v>
      </c>
      <c r="AC364" s="3"/>
      <c r="AD364" s="3"/>
      <c r="AE364" s="3">
        <v>0</v>
      </c>
      <c r="AF364" s="3">
        <v>0</v>
      </c>
      <c r="AG364" s="3">
        <v>0</v>
      </c>
      <c r="AH364" s="3"/>
      <c r="AI364" s="3">
        <v>0</v>
      </c>
      <c r="AJ364" s="3">
        <v>0</v>
      </c>
      <c r="AK364" s="3">
        <v>0</v>
      </c>
      <c r="AL364" s="3"/>
      <c r="AM364" s="3"/>
      <c r="AN364" s="3"/>
      <c r="AO364" s="3"/>
      <c r="AP364" s="3"/>
      <c r="AQ364" s="8" t="str">
        <f t="shared" si="4"/>
        <v>tricks/1100411</v>
      </c>
      <c r="AR364" s="281"/>
    </row>
    <row r="365" spans="1:44" ht="15" customHeight="1">
      <c r="A365" s="3">
        <v>1100412</v>
      </c>
      <c r="B365" s="3" t="s">
        <v>1487</v>
      </c>
      <c r="C365" s="236" t="s">
        <v>1514</v>
      </c>
      <c r="D365" s="3" t="s">
        <v>81</v>
      </c>
      <c r="E365" s="3" t="s">
        <v>1341</v>
      </c>
      <c r="F365" s="3">
        <v>9</v>
      </c>
      <c r="G365" s="3">
        <v>10</v>
      </c>
      <c r="H365" s="3" t="s">
        <v>136</v>
      </c>
      <c r="I365" s="3" t="s">
        <v>137</v>
      </c>
      <c r="J365" s="3"/>
      <c r="K365" s="3"/>
      <c r="L365" s="236"/>
      <c r="M365" s="99"/>
      <c r="N365" s="99"/>
      <c r="O365" s="236"/>
      <c r="P365" s="22"/>
      <c r="Q365" s="22">
        <v>0</v>
      </c>
      <c r="R365" s="22" t="s">
        <v>153</v>
      </c>
      <c r="S365" s="3"/>
      <c r="T365" s="260"/>
      <c r="U365" s="261"/>
      <c r="V365" s="22"/>
      <c r="W365" s="567" t="s">
        <v>1515</v>
      </c>
      <c r="X365" s="567" t="s">
        <v>1515</v>
      </c>
      <c r="Y365" s="22"/>
      <c r="Z365" s="22"/>
      <c r="AA365" s="22"/>
      <c r="AB365" s="22" t="s">
        <v>114</v>
      </c>
      <c r="AC365" s="3"/>
      <c r="AD365" s="3"/>
      <c r="AE365" s="3">
        <v>0</v>
      </c>
      <c r="AF365" s="3">
        <v>0</v>
      </c>
      <c r="AG365" s="3">
        <v>0</v>
      </c>
      <c r="AH365" s="3"/>
      <c r="AI365" s="3">
        <v>0</v>
      </c>
      <c r="AJ365" s="3">
        <v>0</v>
      </c>
      <c r="AK365" s="3">
        <v>0</v>
      </c>
      <c r="AL365" s="3"/>
      <c r="AM365" s="3"/>
      <c r="AN365" s="3"/>
      <c r="AO365" s="3"/>
      <c r="AP365" s="3"/>
      <c r="AQ365" s="8" t="str">
        <f t="shared" si="4"/>
        <v>tricks/1100412</v>
      </c>
      <c r="AR365" s="281"/>
    </row>
    <row r="366" spans="1:44" ht="15" customHeight="1">
      <c r="A366" s="3">
        <v>1100413</v>
      </c>
      <c r="B366" s="3" t="s">
        <v>1487</v>
      </c>
      <c r="C366" s="236" t="s">
        <v>1516</v>
      </c>
      <c r="D366" s="3" t="s">
        <v>81</v>
      </c>
      <c r="E366" s="3" t="s">
        <v>1341</v>
      </c>
      <c r="F366" s="3">
        <v>10</v>
      </c>
      <c r="G366" s="3">
        <v>10</v>
      </c>
      <c r="H366" s="3" t="s">
        <v>136</v>
      </c>
      <c r="I366" s="3" t="s">
        <v>137</v>
      </c>
      <c r="J366" s="3"/>
      <c r="K366" s="3"/>
      <c r="L366" s="236"/>
      <c r="M366" s="99"/>
      <c r="N366" s="99"/>
      <c r="O366" s="236"/>
      <c r="P366" s="22"/>
      <c r="Q366" s="22">
        <v>0</v>
      </c>
      <c r="R366" s="22" t="s">
        <v>153</v>
      </c>
      <c r="S366" s="3"/>
      <c r="T366" s="260"/>
      <c r="U366" s="261"/>
      <c r="V366" s="22"/>
      <c r="W366" s="567" t="s">
        <v>1517</v>
      </c>
      <c r="X366" s="567" t="s">
        <v>1517</v>
      </c>
      <c r="Y366" s="22"/>
      <c r="Z366" s="22"/>
      <c r="AA366" s="22"/>
      <c r="AB366" s="22" t="s">
        <v>114</v>
      </c>
      <c r="AC366" s="3"/>
      <c r="AD366" s="3"/>
      <c r="AE366" s="3">
        <v>0</v>
      </c>
      <c r="AF366" s="3">
        <v>0</v>
      </c>
      <c r="AG366" s="3">
        <v>0</v>
      </c>
      <c r="AH366" s="3"/>
      <c r="AI366" s="3">
        <v>0</v>
      </c>
      <c r="AJ366" s="3">
        <v>0</v>
      </c>
      <c r="AK366" s="3">
        <v>0</v>
      </c>
      <c r="AL366" s="3"/>
      <c r="AM366" s="3"/>
      <c r="AN366" s="3"/>
      <c r="AO366" s="3"/>
      <c r="AP366" s="3"/>
      <c r="AQ366" s="8" t="str">
        <f t="shared" si="4"/>
        <v>tricks/1100413</v>
      </c>
      <c r="AR366" s="281"/>
    </row>
    <row r="367" spans="1:44" ht="15" customHeight="1">
      <c r="A367" s="38">
        <v>1110001</v>
      </c>
      <c r="B367" s="38" t="s">
        <v>1518</v>
      </c>
      <c r="C367" s="38" t="s">
        <v>1519</v>
      </c>
      <c r="D367" s="38" t="s">
        <v>81</v>
      </c>
      <c r="E367" s="38" t="s">
        <v>1520</v>
      </c>
      <c r="F367" s="38">
        <v>1</v>
      </c>
      <c r="G367" s="38">
        <v>11</v>
      </c>
      <c r="H367" s="38" t="s">
        <v>82</v>
      </c>
      <c r="I367" s="38" t="s">
        <v>83</v>
      </c>
      <c r="J367" s="38"/>
      <c r="K367" s="38">
        <v>4</v>
      </c>
      <c r="L367" s="425" t="s">
        <v>1343</v>
      </c>
      <c r="M367" s="426"/>
      <c r="N367" s="426"/>
      <c r="O367" s="38"/>
      <c r="P367" s="427"/>
      <c r="Q367" s="427">
        <v>0</v>
      </c>
      <c r="R367" s="427" t="s">
        <v>85</v>
      </c>
      <c r="S367" s="38">
        <v>1100001</v>
      </c>
      <c r="T367" s="388" t="s">
        <v>1521</v>
      </c>
      <c r="U367" s="389" t="s">
        <v>1522</v>
      </c>
      <c r="V367" s="427" t="s">
        <v>105</v>
      </c>
      <c r="W367" s="600" t="s">
        <v>1523</v>
      </c>
      <c r="X367" s="600" t="s">
        <v>1523</v>
      </c>
      <c r="Y367" s="427"/>
      <c r="Z367" s="427"/>
      <c r="AA367" s="427">
        <v>1</v>
      </c>
      <c r="AB367" s="427" t="s">
        <v>90</v>
      </c>
      <c r="AC367" s="38"/>
      <c r="AD367" s="38"/>
      <c r="AE367" s="38">
        <v>2</v>
      </c>
      <c r="AF367" s="38">
        <v>0</v>
      </c>
      <c r="AG367" s="38">
        <v>4</v>
      </c>
      <c r="AH367" s="38"/>
      <c r="AI367" s="38">
        <v>52</v>
      </c>
      <c r="AJ367" s="38">
        <v>39</v>
      </c>
      <c r="AK367" s="436"/>
      <c r="AL367" s="436"/>
      <c r="AM367" s="436"/>
      <c r="AN367" s="38" t="s">
        <v>1524</v>
      </c>
      <c r="AO367" s="38"/>
      <c r="AP367" s="38"/>
      <c r="AQ367" s="38" t="s">
        <v>1525</v>
      </c>
      <c r="AR367" s="406">
        <v>289</v>
      </c>
    </row>
    <row r="368" spans="1:44" ht="15" customHeight="1">
      <c r="A368" s="38">
        <v>1110002</v>
      </c>
      <c r="B368" s="38" t="s">
        <v>1518</v>
      </c>
      <c r="C368" s="428" t="s">
        <v>1526</v>
      </c>
      <c r="D368" s="38" t="s">
        <v>81</v>
      </c>
      <c r="E368" s="38" t="s">
        <v>1520</v>
      </c>
      <c r="F368" s="38">
        <v>1</v>
      </c>
      <c r="G368" s="38">
        <v>11</v>
      </c>
      <c r="H368" s="38" t="s">
        <v>82</v>
      </c>
      <c r="I368" s="38" t="s">
        <v>83</v>
      </c>
      <c r="J368" s="38"/>
      <c r="K368" s="38">
        <v>5</v>
      </c>
      <c r="L368" s="428"/>
      <c r="M368" s="426"/>
      <c r="N368" s="426"/>
      <c r="O368" s="428"/>
      <c r="P368" s="427">
        <v>1</v>
      </c>
      <c r="Q368" s="427">
        <v>0</v>
      </c>
      <c r="R368" s="427" t="s">
        <v>85</v>
      </c>
      <c r="S368" s="38">
        <v>1100101</v>
      </c>
      <c r="T368" s="388" t="s">
        <v>1521</v>
      </c>
      <c r="U368" s="389" t="s">
        <v>1522</v>
      </c>
      <c r="V368" s="427" t="s">
        <v>582</v>
      </c>
      <c r="W368" s="601" t="s">
        <v>1527</v>
      </c>
      <c r="X368" s="601" t="s">
        <v>1527</v>
      </c>
      <c r="Y368" s="427"/>
      <c r="Z368" s="427"/>
      <c r="AA368" s="427">
        <v>1</v>
      </c>
      <c r="AB368" s="427" t="s">
        <v>90</v>
      </c>
      <c r="AC368" s="38"/>
      <c r="AD368" s="38"/>
      <c r="AE368" s="38">
        <v>2</v>
      </c>
      <c r="AF368" s="38">
        <v>0</v>
      </c>
      <c r="AG368" s="38">
        <v>4</v>
      </c>
      <c r="AH368" s="38"/>
      <c r="AI368" s="38">
        <v>39</v>
      </c>
      <c r="AJ368" s="38">
        <v>45</v>
      </c>
      <c r="AK368" s="436"/>
      <c r="AL368" s="436"/>
      <c r="AM368" s="436"/>
      <c r="AN368" s="38" t="s">
        <v>1528</v>
      </c>
      <c r="AO368" s="38"/>
      <c r="AP368" s="38"/>
      <c r="AQ368" s="38" t="s">
        <v>1529</v>
      </c>
      <c r="AR368" s="406">
        <v>290</v>
      </c>
    </row>
    <row r="369" spans="1:44" ht="15" customHeight="1">
      <c r="A369" s="33">
        <v>1110101</v>
      </c>
      <c r="B369" s="33" t="s">
        <v>1518</v>
      </c>
      <c r="C369" s="429" t="s">
        <v>1530</v>
      </c>
      <c r="D369" s="33" t="s">
        <v>81</v>
      </c>
      <c r="E369" s="33" t="s">
        <v>1520</v>
      </c>
      <c r="F369" s="33">
        <v>1</v>
      </c>
      <c r="G369" s="33">
        <v>11</v>
      </c>
      <c r="H369" s="33" t="s">
        <v>82</v>
      </c>
      <c r="I369" s="33" t="s">
        <v>101</v>
      </c>
      <c r="J369" s="33"/>
      <c r="K369" s="33">
        <v>1</v>
      </c>
      <c r="L369" s="429"/>
      <c r="M369" s="367"/>
      <c r="N369" s="367"/>
      <c r="O369" s="429"/>
      <c r="P369" s="369">
        <v>1</v>
      </c>
      <c r="Q369" s="369">
        <v>0</v>
      </c>
      <c r="R369" s="369" t="s">
        <v>85</v>
      </c>
      <c r="S369" s="33">
        <v>1100103</v>
      </c>
      <c r="T369" s="380" t="s">
        <v>1531</v>
      </c>
      <c r="U369" s="381" t="s">
        <v>1532</v>
      </c>
      <c r="V369" s="369" t="s">
        <v>582</v>
      </c>
      <c r="W369" s="607" t="s">
        <v>1533</v>
      </c>
      <c r="X369" s="607" t="s">
        <v>1533</v>
      </c>
      <c r="Y369" s="369"/>
      <c r="Z369" s="369"/>
      <c r="AA369" s="369">
        <v>1</v>
      </c>
      <c r="AB369" s="369" t="s">
        <v>90</v>
      </c>
      <c r="AC369" s="33"/>
      <c r="AD369" s="33"/>
      <c r="AE369" s="33">
        <v>1</v>
      </c>
      <c r="AF369" s="33">
        <v>2</v>
      </c>
      <c r="AG369" s="33">
        <v>6</v>
      </c>
      <c r="AH369" s="33"/>
      <c r="AI369" s="33">
        <v>39</v>
      </c>
      <c r="AJ369" s="33">
        <v>26</v>
      </c>
      <c r="AK369" s="396"/>
      <c r="AL369" s="396"/>
      <c r="AM369" s="396"/>
      <c r="AN369" s="33" t="s">
        <v>1534</v>
      </c>
      <c r="AO369" s="33"/>
      <c r="AP369" s="33"/>
      <c r="AQ369" s="33" t="s">
        <v>1535</v>
      </c>
      <c r="AR369" s="404">
        <v>286</v>
      </c>
    </row>
    <row r="370" spans="1:44" ht="15" customHeight="1">
      <c r="A370" s="33">
        <v>1110102</v>
      </c>
      <c r="B370" s="33" t="s">
        <v>1518</v>
      </c>
      <c r="C370" s="429" t="s">
        <v>1536</v>
      </c>
      <c r="D370" s="33" t="s">
        <v>81</v>
      </c>
      <c r="E370" s="33" t="s">
        <v>1520</v>
      </c>
      <c r="F370" s="33">
        <v>1</v>
      </c>
      <c r="G370" s="33">
        <v>11</v>
      </c>
      <c r="H370" s="33" t="s">
        <v>136</v>
      </c>
      <c r="I370" s="33" t="s">
        <v>137</v>
      </c>
      <c r="J370" s="33"/>
      <c r="K370" s="33"/>
      <c r="L370" s="429"/>
      <c r="M370" s="367"/>
      <c r="N370" s="367"/>
      <c r="O370" s="429"/>
      <c r="P370" s="369"/>
      <c r="Q370" s="369">
        <v>0</v>
      </c>
      <c r="R370" s="369"/>
      <c r="S370" s="33">
        <v>1100102</v>
      </c>
      <c r="T370" s="380"/>
      <c r="U370" s="381"/>
      <c r="V370" s="369" t="s">
        <v>582</v>
      </c>
      <c r="W370" s="607" t="s">
        <v>1537</v>
      </c>
      <c r="X370" s="607" t="s">
        <v>1537</v>
      </c>
      <c r="Y370" s="369"/>
      <c r="Z370" s="369"/>
      <c r="AA370" s="369"/>
      <c r="AB370" s="369"/>
      <c r="AC370" s="33"/>
      <c r="AD370" s="33"/>
      <c r="AE370" s="33">
        <v>0</v>
      </c>
      <c r="AF370" s="33">
        <v>0</v>
      </c>
      <c r="AG370" s="33">
        <v>0</v>
      </c>
      <c r="AH370" s="33"/>
      <c r="AI370" s="33">
        <v>0</v>
      </c>
      <c r="AJ370" s="33">
        <v>0</v>
      </c>
      <c r="AK370" s="396"/>
      <c r="AL370" s="396"/>
      <c r="AM370" s="396"/>
      <c r="AN370" s="33"/>
      <c r="AO370" s="33"/>
      <c r="AP370" s="33"/>
      <c r="AQ370" s="33" t="s">
        <v>1538</v>
      </c>
      <c r="AR370" s="404"/>
    </row>
    <row r="371" spans="1:44" ht="15" customHeight="1">
      <c r="A371" s="33">
        <v>1110103</v>
      </c>
      <c r="B371" s="33" t="s">
        <v>1518</v>
      </c>
      <c r="C371" s="429" t="s">
        <v>1539</v>
      </c>
      <c r="D371" s="33" t="s">
        <v>81</v>
      </c>
      <c r="E371" s="33" t="s">
        <v>1520</v>
      </c>
      <c r="F371" s="33">
        <v>1</v>
      </c>
      <c r="G371" s="33">
        <v>11</v>
      </c>
      <c r="H371" s="33" t="s">
        <v>82</v>
      </c>
      <c r="I371" s="33" t="s">
        <v>101</v>
      </c>
      <c r="J371" s="33"/>
      <c r="K371" s="33">
        <v>3</v>
      </c>
      <c r="L371" s="429"/>
      <c r="M371" s="367"/>
      <c r="N371" s="367"/>
      <c r="O371" s="429"/>
      <c r="P371" s="369">
        <v>1</v>
      </c>
      <c r="Q371" s="369">
        <v>0</v>
      </c>
      <c r="R371" s="369" t="s">
        <v>85</v>
      </c>
      <c r="S371" s="33">
        <v>1100105</v>
      </c>
      <c r="T371" s="380" t="s">
        <v>1540</v>
      </c>
      <c r="U371" s="381" t="s">
        <v>1532</v>
      </c>
      <c r="V371" s="369" t="s">
        <v>582</v>
      </c>
      <c r="W371" s="607" t="s">
        <v>1541</v>
      </c>
      <c r="X371" s="607" t="s">
        <v>1541</v>
      </c>
      <c r="Y371" s="369"/>
      <c r="Z371" s="369"/>
      <c r="AA371" s="369">
        <v>1</v>
      </c>
      <c r="AB371" s="369" t="s">
        <v>90</v>
      </c>
      <c r="AC371" s="33"/>
      <c r="AD371" s="33"/>
      <c r="AE371" s="33">
        <v>1</v>
      </c>
      <c r="AF371" s="33">
        <v>1</v>
      </c>
      <c r="AG371" s="33">
        <v>5</v>
      </c>
      <c r="AH371" s="33"/>
      <c r="AI371" s="33">
        <v>39</v>
      </c>
      <c r="AJ371" s="33">
        <v>26</v>
      </c>
      <c r="AK371" s="396"/>
      <c r="AL371" s="396"/>
      <c r="AM371" s="396"/>
      <c r="AN371" s="33" t="s">
        <v>1542</v>
      </c>
      <c r="AO371" s="33"/>
      <c r="AP371" s="33"/>
      <c r="AQ371" s="33" t="s">
        <v>1543</v>
      </c>
      <c r="AR371" s="404">
        <v>287</v>
      </c>
    </row>
    <row r="372" spans="1:44" ht="15" customHeight="1">
      <c r="A372" s="33">
        <v>1110104</v>
      </c>
      <c r="B372" s="33" t="s">
        <v>1518</v>
      </c>
      <c r="C372" s="429" t="s">
        <v>1544</v>
      </c>
      <c r="D372" s="33" t="s">
        <v>81</v>
      </c>
      <c r="E372" s="33" t="s">
        <v>1520</v>
      </c>
      <c r="F372" s="33">
        <v>2</v>
      </c>
      <c r="G372" s="33">
        <v>11</v>
      </c>
      <c r="H372" s="33" t="s">
        <v>136</v>
      </c>
      <c r="I372" s="33" t="s">
        <v>137</v>
      </c>
      <c r="J372" s="33"/>
      <c r="K372" s="33"/>
      <c r="L372" s="429"/>
      <c r="M372" s="367"/>
      <c r="N372" s="367"/>
      <c r="O372" s="429"/>
      <c r="P372" s="369"/>
      <c r="Q372" s="369">
        <v>0</v>
      </c>
      <c r="R372" s="369"/>
      <c r="S372" s="33">
        <v>1100104</v>
      </c>
      <c r="T372" s="380"/>
      <c r="U372" s="434"/>
      <c r="V372" s="369" t="s">
        <v>582</v>
      </c>
      <c r="W372" s="607" t="s">
        <v>1545</v>
      </c>
      <c r="X372" s="607" t="s">
        <v>1545</v>
      </c>
      <c r="Y372" s="369"/>
      <c r="Z372" s="369"/>
      <c r="AA372" s="369"/>
      <c r="AB372" s="369"/>
      <c r="AC372" s="33"/>
      <c r="AD372" s="33"/>
      <c r="AE372" s="33">
        <v>0</v>
      </c>
      <c r="AF372" s="33">
        <v>0</v>
      </c>
      <c r="AG372" s="33">
        <v>0</v>
      </c>
      <c r="AH372" s="33"/>
      <c r="AI372" s="33">
        <v>0</v>
      </c>
      <c r="AJ372" s="33">
        <v>0</v>
      </c>
      <c r="AK372" s="396"/>
      <c r="AL372" s="396"/>
      <c r="AM372" s="396"/>
      <c r="AN372" s="33"/>
      <c r="AO372" s="33"/>
      <c r="AP372" s="33"/>
      <c r="AQ372" s="33" t="s">
        <v>1546</v>
      </c>
      <c r="AR372" s="404"/>
    </row>
    <row r="373" spans="1:44" ht="15" customHeight="1">
      <c r="A373" s="33">
        <v>1110105</v>
      </c>
      <c r="B373" s="33" t="s">
        <v>1518</v>
      </c>
      <c r="C373" s="33" t="s">
        <v>1547</v>
      </c>
      <c r="D373" s="33" t="s">
        <v>81</v>
      </c>
      <c r="E373" s="33" t="s">
        <v>1520</v>
      </c>
      <c r="F373" s="33">
        <v>1</v>
      </c>
      <c r="G373" s="33">
        <v>11</v>
      </c>
      <c r="H373" s="33" t="s">
        <v>82</v>
      </c>
      <c r="I373" s="33" t="s">
        <v>101</v>
      </c>
      <c r="J373" s="33"/>
      <c r="K373" s="33">
        <v>5</v>
      </c>
      <c r="L373" s="430" t="s">
        <v>1350</v>
      </c>
      <c r="M373" s="367"/>
      <c r="N373" s="367"/>
      <c r="O373" s="33"/>
      <c r="P373" s="369"/>
      <c r="Q373" s="369">
        <v>0</v>
      </c>
      <c r="R373" s="369" t="s">
        <v>85</v>
      </c>
      <c r="S373" s="33">
        <v>1100002</v>
      </c>
      <c r="T373" s="380" t="s">
        <v>1548</v>
      </c>
      <c r="U373" s="434" t="s">
        <v>1532</v>
      </c>
      <c r="V373" s="369" t="s">
        <v>105</v>
      </c>
      <c r="W373" s="597" t="s">
        <v>1549</v>
      </c>
      <c r="X373" s="597" t="s">
        <v>1549</v>
      </c>
      <c r="Y373" s="369"/>
      <c r="Z373" s="369"/>
      <c r="AA373" s="369">
        <v>1</v>
      </c>
      <c r="AB373" s="369" t="s">
        <v>90</v>
      </c>
      <c r="AC373" s="33"/>
      <c r="AD373" s="33"/>
      <c r="AE373" s="33">
        <v>1</v>
      </c>
      <c r="AF373" s="33">
        <v>1</v>
      </c>
      <c r="AG373" s="33">
        <v>5</v>
      </c>
      <c r="AH373" s="33"/>
      <c r="AI373" s="33">
        <v>39</v>
      </c>
      <c r="AJ373" s="33">
        <v>26</v>
      </c>
      <c r="AK373" s="396"/>
      <c r="AL373" s="396"/>
      <c r="AM373" s="396"/>
      <c r="AN373" s="33" t="s">
        <v>1550</v>
      </c>
      <c r="AO373" s="33"/>
      <c r="AP373" s="33"/>
      <c r="AQ373" s="33" t="s">
        <v>1551</v>
      </c>
      <c r="AR373" s="404">
        <v>288</v>
      </c>
    </row>
    <row r="374" spans="1:44" ht="15" customHeight="1">
      <c r="A374" s="33">
        <v>1110106</v>
      </c>
      <c r="B374" s="33" t="s">
        <v>1518</v>
      </c>
      <c r="C374" s="429" t="s">
        <v>1552</v>
      </c>
      <c r="D374" s="33" t="s">
        <v>81</v>
      </c>
      <c r="E374" s="33" t="s">
        <v>1520</v>
      </c>
      <c r="F374" s="33">
        <v>3</v>
      </c>
      <c r="G374" s="33">
        <v>11</v>
      </c>
      <c r="H374" s="33" t="s">
        <v>136</v>
      </c>
      <c r="I374" s="33" t="s">
        <v>137</v>
      </c>
      <c r="J374" s="33"/>
      <c r="K374" s="33"/>
      <c r="L374" s="429"/>
      <c r="M374" s="367"/>
      <c r="N374" s="367"/>
      <c r="O374" s="429"/>
      <c r="P374" s="369"/>
      <c r="Q374" s="369">
        <v>0</v>
      </c>
      <c r="R374" s="369" t="s">
        <v>153</v>
      </c>
      <c r="S374" s="33">
        <v>1100106</v>
      </c>
      <c r="T374" s="380"/>
      <c r="U374" s="434"/>
      <c r="V374" s="369" t="s">
        <v>582</v>
      </c>
      <c r="W374" s="607" t="s">
        <v>1553</v>
      </c>
      <c r="X374" s="607" t="s">
        <v>1553</v>
      </c>
      <c r="Y374" s="369"/>
      <c r="Z374" s="369"/>
      <c r="AA374" s="369"/>
      <c r="AB374" s="369"/>
      <c r="AC374" s="33"/>
      <c r="AD374" s="33"/>
      <c r="AE374" s="33">
        <v>0</v>
      </c>
      <c r="AF374" s="33">
        <v>0</v>
      </c>
      <c r="AG374" s="33">
        <v>0</v>
      </c>
      <c r="AH374" s="33"/>
      <c r="AI374" s="33">
        <v>0</v>
      </c>
      <c r="AJ374" s="33">
        <v>0</v>
      </c>
      <c r="AK374" s="396"/>
      <c r="AL374" s="396"/>
      <c r="AM374" s="396"/>
      <c r="AN374" s="33"/>
      <c r="AO374" s="33"/>
      <c r="AP374" s="33"/>
      <c r="AQ374" s="33" t="s">
        <v>1554</v>
      </c>
      <c r="AR374" s="404"/>
    </row>
    <row r="375" spans="1:44" ht="15" customHeight="1">
      <c r="A375" s="33">
        <v>1110107</v>
      </c>
      <c r="B375" s="33" t="s">
        <v>1518</v>
      </c>
      <c r="C375" s="429" t="s">
        <v>1555</v>
      </c>
      <c r="D375" s="33" t="s">
        <v>81</v>
      </c>
      <c r="E375" s="33" t="s">
        <v>1520</v>
      </c>
      <c r="F375" s="33">
        <v>4</v>
      </c>
      <c r="G375" s="33">
        <v>11</v>
      </c>
      <c r="H375" s="33" t="s">
        <v>136</v>
      </c>
      <c r="I375" s="33" t="s">
        <v>137</v>
      </c>
      <c r="J375" s="33"/>
      <c r="K375" s="33"/>
      <c r="L375" s="429"/>
      <c r="M375" s="367"/>
      <c r="N375" s="367"/>
      <c r="O375" s="429"/>
      <c r="P375" s="369"/>
      <c r="Q375" s="369">
        <v>0</v>
      </c>
      <c r="R375" s="369" t="s">
        <v>153</v>
      </c>
      <c r="S375" s="33">
        <v>1100107</v>
      </c>
      <c r="T375" s="380"/>
      <c r="U375" s="434"/>
      <c r="V375" s="369" t="s">
        <v>582</v>
      </c>
      <c r="W375" s="607" t="s">
        <v>1556</v>
      </c>
      <c r="X375" s="607" t="s">
        <v>1556</v>
      </c>
      <c r="Y375" s="369"/>
      <c r="Z375" s="369"/>
      <c r="AA375" s="369"/>
      <c r="AB375" s="369"/>
      <c r="AC375" s="33"/>
      <c r="AD375" s="33"/>
      <c r="AE375" s="33">
        <v>0</v>
      </c>
      <c r="AF375" s="33">
        <v>0</v>
      </c>
      <c r="AG375" s="33">
        <v>0</v>
      </c>
      <c r="AH375" s="33"/>
      <c r="AI375" s="33">
        <v>0</v>
      </c>
      <c r="AJ375" s="33">
        <v>0</v>
      </c>
      <c r="AK375" s="396"/>
      <c r="AL375" s="396"/>
      <c r="AM375" s="396"/>
      <c r="AN375" s="33"/>
      <c r="AO375" s="33"/>
      <c r="AP375" s="33"/>
      <c r="AQ375" s="33" t="s">
        <v>1557</v>
      </c>
      <c r="AR375" s="404"/>
    </row>
    <row r="376" spans="1:44" ht="15" customHeight="1">
      <c r="A376" s="33">
        <v>1110108</v>
      </c>
      <c r="B376" s="33" t="s">
        <v>1518</v>
      </c>
      <c r="C376" s="429" t="s">
        <v>1558</v>
      </c>
      <c r="D376" s="33" t="s">
        <v>81</v>
      </c>
      <c r="E376" s="33" t="s">
        <v>1520</v>
      </c>
      <c r="F376" s="33">
        <v>5</v>
      </c>
      <c r="G376" s="33">
        <v>11</v>
      </c>
      <c r="H376" s="33" t="s">
        <v>136</v>
      </c>
      <c r="I376" s="33" t="s">
        <v>137</v>
      </c>
      <c r="J376" s="33"/>
      <c r="K376" s="33"/>
      <c r="L376" s="429"/>
      <c r="M376" s="367"/>
      <c r="N376" s="367"/>
      <c r="O376" s="429"/>
      <c r="P376" s="369"/>
      <c r="Q376" s="369">
        <v>0</v>
      </c>
      <c r="R376" s="369" t="s">
        <v>153</v>
      </c>
      <c r="S376" s="33">
        <v>1100108</v>
      </c>
      <c r="T376" s="380"/>
      <c r="U376" s="381"/>
      <c r="V376" s="369" t="s">
        <v>582</v>
      </c>
      <c r="W376" s="607" t="s">
        <v>1559</v>
      </c>
      <c r="X376" s="607" t="s">
        <v>1559</v>
      </c>
      <c r="Y376" s="369"/>
      <c r="Z376" s="369"/>
      <c r="AA376" s="369"/>
      <c r="AB376" s="369"/>
      <c r="AC376" s="33"/>
      <c r="AD376" s="33"/>
      <c r="AE376" s="33">
        <v>0</v>
      </c>
      <c r="AF376" s="33">
        <v>0</v>
      </c>
      <c r="AG376" s="33">
        <v>0</v>
      </c>
      <c r="AH376" s="33"/>
      <c r="AI376" s="33">
        <v>0</v>
      </c>
      <c r="AJ376" s="33">
        <v>0</v>
      </c>
      <c r="AK376" s="396"/>
      <c r="AL376" s="396"/>
      <c r="AM376" s="396"/>
      <c r="AN376" s="33"/>
      <c r="AO376" s="33"/>
      <c r="AP376" s="33"/>
      <c r="AQ376" s="33" t="s">
        <v>1560</v>
      </c>
      <c r="AR376" s="404"/>
    </row>
    <row r="377" spans="1:44" ht="15" customHeight="1">
      <c r="A377" s="33">
        <v>1110109</v>
      </c>
      <c r="B377" s="33" t="s">
        <v>1518</v>
      </c>
      <c r="C377" s="429" t="s">
        <v>1561</v>
      </c>
      <c r="D377" s="33" t="s">
        <v>81</v>
      </c>
      <c r="E377" s="33" t="s">
        <v>1520</v>
      </c>
      <c r="F377" s="33">
        <v>6</v>
      </c>
      <c r="G377" s="33">
        <v>11</v>
      </c>
      <c r="H377" s="33" t="s">
        <v>136</v>
      </c>
      <c r="I377" s="33" t="s">
        <v>137</v>
      </c>
      <c r="J377" s="33"/>
      <c r="K377" s="33"/>
      <c r="L377" s="429"/>
      <c r="M377" s="367"/>
      <c r="N377" s="367"/>
      <c r="O377" s="429"/>
      <c r="P377" s="369"/>
      <c r="Q377" s="369">
        <v>0</v>
      </c>
      <c r="R377" s="369" t="s">
        <v>153</v>
      </c>
      <c r="S377" s="33">
        <v>1100109</v>
      </c>
      <c r="T377" s="380"/>
      <c r="U377" s="381"/>
      <c r="V377" s="369" t="s">
        <v>582</v>
      </c>
      <c r="W377" s="607" t="s">
        <v>1562</v>
      </c>
      <c r="X377" s="607" t="s">
        <v>1562</v>
      </c>
      <c r="Y377" s="369"/>
      <c r="Z377" s="369"/>
      <c r="AA377" s="369"/>
      <c r="AB377" s="369"/>
      <c r="AC377" s="33"/>
      <c r="AD377" s="33"/>
      <c r="AE377" s="33">
        <v>0</v>
      </c>
      <c r="AF377" s="33">
        <v>0</v>
      </c>
      <c r="AG377" s="33">
        <v>0</v>
      </c>
      <c r="AH377" s="33"/>
      <c r="AI377" s="33">
        <v>0</v>
      </c>
      <c r="AJ377" s="33">
        <v>0</v>
      </c>
      <c r="AK377" s="396"/>
      <c r="AL377" s="396"/>
      <c r="AM377" s="396"/>
      <c r="AN377" s="33"/>
      <c r="AO377" s="33"/>
      <c r="AP377" s="33"/>
      <c r="AQ377" s="33" t="s">
        <v>1563</v>
      </c>
      <c r="AR377" s="404"/>
    </row>
    <row r="378" spans="1:44" ht="15" customHeight="1">
      <c r="A378" s="33">
        <v>1110110</v>
      </c>
      <c r="B378" s="33" t="s">
        <v>1518</v>
      </c>
      <c r="C378" s="429" t="s">
        <v>1564</v>
      </c>
      <c r="D378" s="33" t="s">
        <v>81</v>
      </c>
      <c r="E378" s="33" t="s">
        <v>1520</v>
      </c>
      <c r="F378" s="33">
        <v>7</v>
      </c>
      <c r="G378" s="33">
        <v>11</v>
      </c>
      <c r="H378" s="33" t="s">
        <v>136</v>
      </c>
      <c r="I378" s="33" t="s">
        <v>137</v>
      </c>
      <c r="J378" s="33"/>
      <c r="K378" s="33"/>
      <c r="L378" s="429"/>
      <c r="M378" s="367"/>
      <c r="N378" s="367"/>
      <c r="O378" s="429"/>
      <c r="P378" s="369"/>
      <c r="Q378" s="369">
        <v>0</v>
      </c>
      <c r="R378" s="369" t="s">
        <v>153</v>
      </c>
      <c r="S378" s="33">
        <v>1100110</v>
      </c>
      <c r="T378" s="380"/>
      <c r="U378" s="381"/>
      <c r="V378" s="369" t="s">
        <v>582</v>
      </c>
      <c r="W378" s="607" t="s">
        <v>1565</v>
      </c>
      <c r="X378" s="607" t="s">
        <v>1565</v>
      </c>
      <c r="Y378" s="369"/>
      <c r="Z378" s="369"/>
      <c r="AA378" s="369"/>
      <c r="AB378" s="369"/>
      <c r="AC378" s="33"/>
      <c r="AD378" s="33"/>
      <c r="AE378" s="33">
        <v>0</v>
      </c>
      <c r="AF378" s="33">
        <v>0</v>
      </c>
      <c r="AG378" s="33">
        <v>0</v>
      </c>
      <c r="AH378" s="33"/>
      <c r="AI378" s="33">
        <v>0</v>
      </c>
      <c r="AJ378" s="33">
        <v>0</v>
      </c>
      <c r="AK378" s="396"/>
      <c r="AL378" s="396"/>
      <c r="AM378" s="396"/>
      <c r="AN378" s="33"/>
      <c r="AO378" s="33"/>
      <c r="AP378" s="33"/>
      <c r="AQ378" s="33" t="s">
        <v>1566</v>
      </c>
      <c r="AR378" s="404"/>
    </row>
    <row r="379" spans="1:44" ht="15" customHeight="1">
      <c r="A379" s="3">
        <v>1110111</v>
      </c>
      <c r="B379" s="3" t="s">
        <v>1518</v>
      </c>
      <c r="C379" s="236" t="s">
        <v>1567</v>
      </c>
      <c r="D379" s="3" t="s">
        <v>81</v>
      </c>
      <c r="E379" s="3" t="s">
        <v>1520</v>
      </c>
      <c r="F379" s="3">
        <v>8</v>
      </c>
      <c r="G379" s="3">
        <v>11</v>
      </c>
      <c r="H379" s="3" t="s">
        <v>136</v>
      </c>
      <c r="I379" s="3" t="s">
        <v>137</v>
      </c>
      <c r="J379" s="3"/>
      <c r="K379" s="3"/>
      <c r="L379" s="236"/>
      <c r="M379" s="99"/>
      <c r="N379" s="99"/>
      <c r="O379" s="236"/>
      <c r="P379" s="22"/>
      <c r="Q379" s="22">
        <v>0</v>
      </c>
      <c r="R379" s="22" t="s">
        <v>153</v>
      </c>
      <c r="S379" s="3"/>
      <c r="T379" s="260"/>
      <c r="U379" s="261"/>
      <c r="V379" s="22"/>
      <c r="W379" s="567" t="s">
        <v>169</v>
      </c>
      <c r="X379" s="567" t="s">
        <v>6736</v>
      </c>
      <c r="Y379" s="22"/>
      <c r="Z379" s="22"/>
      <c r="AA379" s="22"/>
      <c r="AB379" s="22" t="s">
        <v>114</v>
      </c>
      <c r="AC379" s="3"/>
      <c r="AD379" s="3"/>
      <c r="AE379" s="3">
        <v>0</v>
      </c>
      <c r="AF379" s="3">
        <v>0</v>
      </c>
      <c r="AG379" s="3">
        <v>0</v>
      </c>
      <c r="AH379" s="3"/>
      <c r="AI379" s="3">
        <v>0</v>
      </c>
      <c r="AJ379" s="3">
        <v>0</v>
      </c>
      <c r="AK379" s="3">
        <v>0</v>
      </c>
      <c r="AL379" s="3"/>
      <c r="AM379" s="3"/>
      <c r="AN379" s="3"/>
      <c r="AO379" s="3"/>
      <c r="AP379" s="3"/>
      <c r="AQ379" s="3" t="s">
        <v>1551</v>
      </c>
      <c r="AR379" s="281"/>
    </row>
    <row r="380" spans="1:44" ht="15" customHeight="1">
      <c r="A380" s="3">
        <v>1110112</v>
      </c>
      <c r="B380" s="3" t="s">
        <v>1518</v>
      </c>
      <c r="C380" s="236" t="s">
        <v>1568</v>
      </c>
      <c r="D380" s="3" t="s">
        <v>81</v>
      </c>
      <c r="E380" s="3" t="s">
        <v>1520</v>
      </c>
      <c r="F380" s="3">
        <v>9</v>
      </c>
      <c r="G380" s="3">
        <v>11</v>
      </c>
      <c r="H380" s="3" t="s">
        <v>136</v>
      </c>
      <c r="I380" s="3" t="s">
        <v>137</v>
      </c>
      <c r="J380" s="3"/>
      <c r="K380" s="3"/>
      <c r="L380" s="236"/>
      <c r="M380" s="99"/>
      <c r="N380" s="99"/>
      <c r="O380" s="236"/>
      <c r="P380" s="22"/>
      <c r="Q380" s="22">
        <v>0</v>
      </c>
      <c r="R380" s="22" t="s">
        <v>153</v>
      </c>
      <c r="S380" s="3"/>
      <c r="T380" s="260"/>
      <c r="U380" s="261"/>
      <c r="V380" s="22"/>
      <c r="W380" s="567" t="s">
        <v>1569</v>
      </c>
      <c r="X380" s="567" t="s">
        <v>6742</v>
      </c>
      <c r="Y380" s="22"/>
      <c r="Z380" s="22"/>
      <c r="AA380" s="22"/>
      <c r="AB380" s="22" t="s">
        <v>114</v>
      </c>
      <c r="AC380" s="3"/>
      <c r="AD380" s="3"/>
      <c r="AE380" s="3">
        <v>0</v>
      </c>
      <c r="AF380" s="3">
        <v>0</v>
      </c>
      <c r="AG380" s="3">
        <v>0</v>
      </c>
      <c r="AH380" s="3"/>
      <c r="AI380" s="3">
        <v>0</v>
      </c>
      <c r="AJ380" s="3">
        <v>0</v>
      </c>
      <c r="AK380" s="3">
        <v>0</v>
      </c>
      <c r="AL380" s="3"/>
      <c r="AM380" s="3"/>
      <c r="AN380" s="3"/>
      <c r="AO380" s="3"/>
      <c r="AP380" s="3"/>
      <c r="AQ380" s="282" t="str">
        <f>"tricks/"&amp;A380</f>
        <v>tricks/1110112</v>
      </c>
    </row>
    <row r="381" spans="1:44" ht="15" customHeight="1">
      <c r="A381" s="3">
        <v>1110113</v>
      </c>
      <c r="B381" s="3" t="s">
        <v>1518</v>
      </c>
      <c r="C381" s="236" t="s">
        <v>1570</v>
      </c>
      <c r="D381" s="3" t="s">
        <v>81</v>
      </c>
      <c r="E381" s="3" t="s">
        <v>1520</v>
      </c>
      <c r="F381" s="3">
        <v>10</v>
      </c>
      <c r="G381" s="3">
        <v>11</v>
      </c>
      <c r="H381" s="3" t="s">
        <v>136</v>
      </c>
      <c r="I381" s="3" t="s">
        <v>137</v>
      </c>
      <c r="J381" s="3"/>
      <c r="K381" s="3"/>
      <c r="L381" s="236"/>
      <c r="M381" s="99"/>
      <c r="N381" s="99"/>
      <c r="O381" s="236"/>
      <c r="P381" s="22"/>
      <c r="Q381" s="22">
        <v>0</v>
      </c>
      <c r="R381" s="22" t="s">
        <v>153</v>
      </c>
      <c r="S381" s="3"/>
      <c r="T381" s="260"/>
      <c r="U381" s="261"/>
      <c r="V381" s="22"/>
      <c r="W381" s="567" t="s">
        <v>1571</v>
      </c>
      <c r="X381" s="567" t="s">
        <v>1571</v>
      </c>
      <c r="Y381" s="22"/>
      <c r="Z381" s="22"/>
      <c r="AA381" s="22"/>
      <c r="AB381" s="22" t="s">
        <v>114</v>
      </c>
      <c r="AC381" s="3"/>
      <c r="AD381" s="3"/>
      <c r="AE381" s="3">
        <v>0</v>
      </c>
      <c r="AF381" s="3">
        <v>0</v>
      </c>
      <c r="AG381" s="3">
        <v>0</v>
      </c>
      <c r="AH381" s="3"/>
      <c r="AI381" s="3">
        <v>0</v>
      </c>
      <c r="AJ381" s="3">
        <v>0</v>
      </c>
      <c r="AK381" s="3">
        <v>0</v>
      </c>
      <c r="AL381" s="3"/>
      <c r="AM381" s="3"/>
      <c r="AN381" s="3"/>
      <c r="AO381" s="3"/>
      <c r="AP381" s="3"/>
      <c r="AQ381" s="282" t="str">
        <f>"tricks/"&amp;A381</f>
        <v>tricks/1110113</v>
      </c>
    </row>
    <row r="382" spans="1:44" ht="15" customHeight="1">
      <c r="A382" s="37">
        <v>1120001</v>
      </c>
      <c r="B382" s="37" t="s">
        <v>1572</v>
      </c>
      <c r="C382" s="37" t="s">
        <v>1573</v>
      </c>
      <c r="D382" s="37" t="s">
        <v>81</v>
      </c>
      <c r="E382" s="37" t="s">
        <v>1574</v>
      </c>
      <c r="F382" s="37">
        <v>1</v>
      </c>
      <c r="G382" s="37">
        <v>12</v>
      </c>
      <c r="H382" s="37" t="s">
        <v>82</v>
      </c>
      <c r="I382" s="37" t="s">
        <v>83</v>
      </c>
      <c r="J382" s="37"/>
      <c r="K382" s="37">
        <v>4</v>
      </c>
      <c r="L382" s="431" t="s">
        <v>1575</v>
      </c>
      <c r="M382" s="409"/>
      <c r="N382" s="409"/>
      <c r="O382" s="37"/>
      <c r="P382" s="410"/>
      <c r="Q382" s="410">
        <v>0</v>
      </c>
      <c r="R382" s="410" t="s">
        <v>85</v>
      </c>
      <c r="S382" s="37">
        <v>1500001</v>
      </c>
      <c r="T382" s="415"/>
      <c r="U382" s="416"/>
      <c r="V382" s="410" t="s">
        <v>342</v>
      </c>
      <c r="W382" s="608" t="s">
        <v>1576</v>
      </c>
      <c r="X382" s="608" t="s">
        <v>1576</v>
      </c>
      <c r="Y382" s="410"/>
      <c r="Z382" s="410"/>
      <c r="AA382" s="410">
        <v>1</v>
      </c>
      <c r="AB382" s="410" t="s">
        <v>90</v>
      </c>
      <c r="AC382" s="37"/>
      <c r="AD382" s="37"/>
      <c r="AE382" s="37">
        <v>2</v>
      </c>
      <c r="AF382" s="37">
        <v>0</v>
      </c>
      <c r="AG382" s="37">
        <v>5</v>
      </c>
      <c r="AH382" s="37"/>
      <c r="AI382" s="37">
        <v>52</v>
      </c>
      <c r="AJ382" s="37">
        <v>39</v>
      </c>
      <c r="AK382" s="420"/>
      <c r="AL382" s="420"/>
      <c r="AM382" s="420"/>
      <c r="AN382" s="37" t="s">
        <v>1577</v>
      </c>
      <c r="AO382" s="37"/>
      <c r="AP382" s="37"/>
      <c r="AQ382" s="37" t="s">
        <v>1578</v>
      </c>
      <c r="AR382" s="423">
        <v>310</v>
      </c>
    </row>
    <row r="383" spans="1:44" ht="15" customHeight="1">
      <c r="A383" s="37">
        <v>1120002</v>
      </c>
      <c r="B383" s="37" t="s">
        <v>1572</v>
      </c>
      <c r="C383" s="37" t="s">
        <v>1579</v>
      </c>
      <c r="D383" s="37" t="s">
        <v>81</v>
      </c>
      <c r="E383" s="37" t="s">
        <v>1574</v>
      </c>
      <c r="F383" s="37">
        <v>1</v>
      </c>
      <c r="G383" s="37">
        <v>12</v>
      </c>
      <c r="H383" s="37" t="s">
        <v>82</v>
      </c>
      <c r="I383" s="37" t="s">
        <v>83</v>
      </c>
      <c r="J383" s="37"/>
      <c r="K383" s="37">
        <v>5</v>
      </c>
      <c r="L383" s="431" t="s">
        <v>1580</v>
      </c>
      <c r="M383" s="409"/>
      <c r="N383" s="409"/>
      <c r="O383" s="37"/>
      <c r="P383" s="410"/>
      <c r="Q383" s="410">
        <v>0</v>
      </c>
      <c r="R383" s="410" t="s">
        <v>85</v>
      </c>
      <c r="S383" s="37">
        <v>1500002</v>
      </c>
      <c r="T383" s="415"/>
      <c r="U383" s="416"/>
      <c r="V383" s="410" t="s">
        <v>342</v>
      </c>
      <c r="W383" s="608" t="s">
        <v>1581</v>
      </c>
      <c r="X383" s="608" t="s">
        <v>1581</v>
      </c>
      <c r="Y383" s="410"/>
      <c r="Z383" s="410"/>
      <c r="AA383" s="410">
        <v>1</v>
      </c>
      <c r="AB383" s="410" t="s">
        <v>90</v>
      </c>
      <c r="AC383" s="37"/>
      <c r="AD383" s="37"/>
      <c r="AE383" s="37">
        <v>2</v>
      </c>
      <c r="AF383" s="37">
        <v>0</v>
      </c>
      <c r="AG383" s="37">
        <v>6</v>
      </c>
      <c r="AH383" s="37"/>
      <c r="AI383" s="37">
        <v>65</v>
      </c>
      <c r="AJ383" s="37">
        <v>45</v>
      </c>
      <c r="AK383" s="420"/>
      <c r="AL383" s="420"/>
      <c r="AM383" s="420"/>
      <c r="AN383" s="37" t="s">
        <v>1582</v>
      </c>
      <c r="AO383" s="37"/>
      <c r="AP383" s="37"/>
      <c r="AQ383" s="37" t="s">
        <v>1583</v>
      </c>
      <c r="AR383" s="423">
        <v>320</v>
      </c>
    </row>
    <row r="384" spans="1:44" ht="15" customHeight="1">
      <c r="A384" s="37">
        <v>1120101</v>
      </c>
      <c r="B384" s="37" t="s">
        <v>1572</v>
      </c>
      <c r="C384" s="432" t="s">
        <v>1584</v>
      </c>
      <c r="D384" s="37" t="s">
        <v>81</v>
      </c>
      <c r="E384" s="37" t="s">
        <v>1574</v>
      </c>
      <c r="F384" s="37">
        <v>1</v>
      </c>
      <c r="G384" s="37">
        <v>12</v>
      </c>
      <c r="H384" s="37" t="s">
        <v>82</v>
      </c>
      <c r="I384" s="37" t="s">
        <v>101</v>
      </c>
      <c r="J384" s="37"/>
      <c r="K384" s="37">
        <v>1</v>
      </c>
      <c r="L384" s="431" t="s">
        <v>1585</v>
      </c>
      <c r="M384" s="409"/>
      <c r="N384" s="409"/>
      <c r="O384" s="432"/>
      <c r="P384" s="410">
        <v>1</v>
      </c>
      <c r="Q384" s="410">
        <v>0</v>
      </c>
      <c r="R384" s="410" t="s">
        <v>85</v>
      </c>
      <c r="S384" s="37">
        <v>1500101</v>
      </c>
      <c r="T384" s="415"/>
      <c r="U384" s="416"/>
      <c r="V384" s="410" t="s">
        <v>342</v>
      </c>
      <c r="W384" s="608" t="s">
        <v>1586</v>
      </c>
      <c r="X384" s="608" t="s">
        <v>1586</v>
      </c>
      <c r="Y384" s="410"/>
      <c r="Z384" s="410"/>
      <c r="AA384" s="410">
        <v>1</v>
      </c>
      <c r="AB384" s="410" t="s">
        <v>90</v>
      </c>
      <c r="AC384" s="37"/>
      <c r="AD384" s="37"/>
      <c r="AE384" s="37">
        <v>1</v>
      </c>
      <c r="AF384" s="37">
        <v>2</v>
      </c>
      <c r="AG384" s="37">
        <v>6</v>
      </c>
      <c r="AH384" s="37"/>
      <c r="AI384" s="37">
        <v>39</v>
      </c>
      <c r="AJ384" s="37">
        <v>26</v>
      </c>
      <c r="AK384" s="420"/>
      <c r="AL384" s="420"/>
      <c r="AM384" s="420"/>
      <c r="AN384" s="37" t="s">
        <v>1587</v>
      </c>
      <c r="AO384" s="37"/>
      <c r="AP384" s="37"/>
      <c r="AQ384" s="37" t="s">
        <v>1588</v>
      </c>
      <c r="AR384" s="423">
        <v>298</v>
      </c>
    </row>
    <row r="385" spans="1:44" ht="15" customHeight="1">
      <c r="A385" s="37">
        <v>1120102</v>
      </c>
      <c r="B385" s="37" t="s">
        <v>1572</v>
      </c>
      <c r="C385" s="432" t="s">
        <v>1589</v>
      </c>
      <c r="D385" s="37" t="s">
        <v>81</v>
      </c>
      <c r="E385" s="37" t="s">
        <v>1574</v>
      </c>
      <c r="F385" s="37">
        <v>1</v>
      </c>
      <c r="G385" s="37">
        <v>12</v>
      </c>
      <c r="H385" s="37" t="s">
        <v>136</v>
      </c>
      <c r="I385" s="37" t="s">
        <v>137</v>
      </c>
      <c r="J385" s="37"/>
      <c r="K385" s="37"/>
      <c r="L385" s="431" t="s">
        <v>1590</v>
      </c>
      <c r="M385" s="409"/>
      <c r="N385" s="409"/>
      <c r="O385" s="432"/>
      <c r="P385" s="410"/>
      <c r="Q385" s="410">
        <v>0</v>
      </c>
      <c r="R385" s="410" t="s">
        <v>153</v>
      </c>
      <c r="S385" s="37">
        <v>1500102</v>
      </c>
      <c r="T385" s="415"/>
      <c r="U385" s="416"/>
      <c r="V385" s="410" t="s">
        <v>342</v>
      </c>
      <c r="W385" s="608" t="s">
        <v>1590</v>
      </c>
      <c r="X385" s="608" t="s">
        <v>1590</v>
      </c>
      <c r="Y385" s="410"/>
      <c r="Z385" s="410"/>
      <c r="AA385" s="410"/>
      <c r="AB385" s="410"/>
      <c r="AC385" s="37"/>
      <c r="AD385" s="37"/>
      <c r="AE385" s="37">
        <v>0</v>
      </c>
      <c r="AF385" s="37">
        <v>0</v>
      </c>
      <c r="AG385" s="37">
        <v>0</v>
      </c>
      <c r="AH385" s="37"/>
      <c r="AI385" s="37">
        <v>0</v>
      </c>
      <c r="AJ385" s="37">
        <v>0</v>
      </c>
      <c r="AK385" s="420"/>
      <c r="AL385" s="420"/>
      <c r="AM385" s="420"/>
      <c r="AN385" s="37"/>
      <c r="AO385" s="37"/>
      <c r="AP385" s="37"/>
      <c r="AQ385" s="37" t="s">
        <v>1591</v>
      </c>
      <c r="AR385" s="423"/>
    </row>
    <row r="386" spans="1:44" ht="15" customHeight="1">
      <c r="A386" s="37">
        <v>1120103</v>
      </c>
      <c r="B386" s="37" t="s">
        <v>1572</v>
      </c>
      <c r="C386" s="432" t="s">
        <v>1592</v>
      </c>
      <c r="D386" s="37" t="s">
        <v>81</v>
      </c>
      <c r="E386" s="37" t="s">
        <v>1574</v>
      </c>
      <c r="F386" s="37">
        <v>1</v>
      </c>
      <c r="G386" s="37">
        <v>12</v>
      </c>
      <c r="H386" s="37" t="s">
        <v>82</v>
      </c>
      <c r="I386" s="37" t="s">
        <v>101</v>
      </c>
      <c r="J386" s="37"/>
      <c r="K386" s="37">
        <v>2</v>
      </c>
      <c r="L386" s="431" t="s">
        <v>1593</v>
      </c>
      <c r="M386" s="409"/>
      <c r="N386" s="409"/>
      <c r="O386" s="432"/>
      <c r="P386" s="410">
        <v>1</v>
      </c>
      <c r="Q386" s="410">
        <v>0</v>
      </c>
      <c r="R386" s="410" t="s">
        <v>85</v>
      </c>
      <c r="S386" s="37">
        <v>1500103</v>
      </c>
      <c r="T386" s="415" t="s">
        <v>1594</v>
      </c>
      <c r="U386" s="416"/>
      <c r="V386" s="410" t="s">
        <v>342</v>
      </c>
      <c r="W386" s="608" t="s">
        <v>1595</v>
      </c>
      <c r="X386" s="608" t="s">
        <v>1595</v>
      </c>
      <c r="Y386" s="410"/>
      <c r="Z386" s="410"/>
      <c r="AA386" s="410">
        <v>1</v>
      </c>
      <c r="AB386" s="410" t="s">
        <v>90</v>
      </c>
      <c r="AC386" s="37"/>
      <c r="AD386" s="37"/>
      <c r="AE386" s="37">
        <v>1</v>
      </c>
      <c r="AF386" s="37">
        <v>1</v>
      </c>
      <c r="AG386" s="37">
        <v>5</v>
      </c>
      <c r="AH386" s="37"/>
      <c r="AI386" s="37">
        <v>39</v>
      </c>
      <c r="AJ386" s="37">
        <v>26</v>
      </c>
      <c r="AK386" s="420"/>
      <c r="AL386" s="420"/>
      <c r="AM386" s="420"/>
      <c r="AN386" s="37" t="s">
        <v>1596</v>
      </c>
      <c r="AO386" s="37"/>
      <c r="AP386" s="37"/>
      <c r="AQ386" s="37" t="s">
        <v>1597</v>
      </c>
      <c r="AR386" s="423">
        <v>299</v>
      </c>
    </row>
    <row r="387" spans="1:44" ht="15" customHeight="1">
      <c r="A387" s="37">
        <v>1120104</v>
      </c>
      <c r="B387" s="37" t="s">
        <v>1572</v>
      </c>
      <c r="C387" s="432" t="s">
        <v>1598</v>
      </c>
      <c r="D387" s="37" t="s">
        <v>81</v>
      </c>
      <c r="E387" s="37" t="s">
        <v>1574</v>
      </c>
      <c r="F387" s="37">
        <v>2</v>
      </c>
      <c r="G387" s="37">
        <v>12</v>
      </c>
      <c r="H387" s="37" t="s">
        <v>136</v>
      </c>
      <c r="I387" s="37" t="s">
        <v>137</v>
      </c>
      <c r="J387" s="37"/>
      <c r="K387" s="37"/>
      <c r="L387" s="431" t="s">
        <v>1599</v>
      </c>
      <c r="M387" s="409"/>
      <c r="N387" s="409"/>
      <c r="O387" s="432"/>
      <c r="P387" s="410"/>
      <c r="Q387" s="410">
        <v>0</v>
      </c>
      <c r="R387" s="410" t="s">
        <v>153</v>
      </c>
      <c r="S387" s="37">
        <v>1500104</v>
      </c>
      <c r="T387" s="415"/>
      <c r="U387" s="416"/>
      <c r="V387" s="410" t="s">
        <v>342</v>
      </c>
      <c r="W387" s="608" t="s">
        <v>1599</v>
      </c>
      <c r="X387" s="608" t="s">
        <v>1599</v>
      </c>
      <c r="Y387" s="410"/>
      <c r="Z387" s="410"/>
      <c r="AA387" s="410"/>
      <c r="AB387" s="410"/>
      <c r="AC387" s="37"/>
      <c r="AD387" s="37"/>
      <c r="AE387" s="37">
        <v>0</v>
      </c>
      <c r="AF387" s="37">
        <v>0</v>
      </c>
      <c r="AG387" s="37">
        <v>0</v>
      </c>
      <c r="AH387" s="37"/>
      <c r="AI387" s="37">
        <v>0</v>
      </c>
      <c r="AJ387" s="37">
        <v>0</v>
      </c>
      <c r="AK387" s="420"/>
      <c r="AL387" s="420"/>
      <c r="AM387" s="420"/>
      <c r="AN387" s="37"/>
      <c r="AO387" s="37"/>
      <c r="AP387" s="37"/>
      <c r="AQ387" s="37" t="s">
        <v>1600</v>
      </c>
      <c r="AR387" s="423"/>
    </row>
    <row r="388" spans="1:44" ht="15" customHeight="1">
      <c r="A388" s="37">
        <v>1120105</v>
      </c>
      <c r="B388" s="37" t="s">
        <v>1572</v>
      </c>
      <c r="C388" s="432" t="s">
        <v>1601</v>
      </c>
      <c r="D388" s="37" t="s">
        <v>81</v>
      </c>
      <c r="E388" s="37" t="s">
        <v>1574</v>
      </c>
      <c r="F388" s="37">
        <v>1</v>
      </c>
      <c r="G388" s="37">
        <v>12</v>
      </c>
      <c r="H388" s="37" t="s">
        <v>82</v>
      </c>
      <c r="I388" s="37" t="s">
        <v>101</v>
      </c>
      <c r="J388" s="37"/>
      <c r="K388" s="37">
        <v>3</v>
      </c>
      <c r="L388" s="431" t="s">
        <v>1602</v>
      </c>
      <c r="M388" s="409"/>
      <c r="N388" s="409"/>
      <c r="O388" s="432"/>
      <c r="P388" s="410">
        <v>1</v>
      </c>
      <c r="Q388" s="410">
        <v>0</v>
      </c>
      <c r="R388" s="410" t="s">
        <v>85</v>
      </c>
      <c r="S388" s="37">
        <v>1500105</v>
      </c>
      <c r="T388" s="415"/>
      <c r="U388" s="416"/>
      <c r="V388" s="410" t="s">
        <v>342</v>
      </c>
      <c r="W388" s="608" t="s">
        <v>1603</v>
      </c>
      <c r="X388" s="608" t="s">
        <v>1603</v>
      </c>
      <c r="Y388" s="410"/>
      <c r="Z388" s="410"/>
      <c r="AA388" s="410">
        <v>1</v>
      </c>
      <c r="AB388" s="410" t="s">
        <v>90</v>
      </c>
      <c r="AC388" s="37"/>
      <c r="AD388" s="37"/>
      <c r="AE388" s="37">
        <v>1</v>
      </c>
      <c r="AF388" s="37">
        <v>1</v>
      </c>
      <c r="AG388" s="37">
        <v>5</v>
      </c>
      <c r="AH388" s="37"/>
      <c r="AI388" s="37">
        <v>39</v>
      </c>
      <c r="AJ388" s="37">
        <v>26</v>
      </c>
      <c r="AK388" s="420"/>
      <c r="AL388" s="420"/>
      <c r="AM388" s="420"/>
      <c r="AN388" s="37" t="s">
        <v>1604</v>
      </c>
      <c r="AO388" s="37"/>
      <c r="AP388" s="37"/>
      <c r="AQ388" s="37" t="s">
        <v>1605</v>
      </c>
      <c r="AR388" s="423">
        <v>300</v>
      </c>
    </row>
    <row r="389" spans="1:44" ht="15" customHeight="1">
      <c r="A389" s="37">
        <v>1120106</v>
      </c>
      <c r="B389" s="37" t="s">
        <v>1572</v>
      </c>
      <c r="C389" s="432" t="s">
        <v>1606</v>
      </c>
      <c r="D389" s="37" t="s">
        <v>81</v>
      </c>
      <c r="E389" s="37" t="s">
        <v>1574</v>
      </c>
      <c r="F389" s="37">
        <v>3</v>
      </c>
      <c r="G389" s="37">
        <v>12</v>
      </c>
      <c r="H389" s="37" t="s">
        <v>136</v>
      </c>
      <c r="I389" s="37" t="s">
        <v>137</v>
      </c>
      <c r="J389" s="37"/>
      <c r="K389" s="37"/>
      <c r="L389" s="431" t="s">
        <v>1607</v>
      </c>
      <c r="M389" s="409"/>
      <c r="N389" s="409"/>
      <c r="O389" s="432"/>
      <c r="P389" s="410"/>
      <c r="Q389" s="410">
        <v>0</v>
      </c>
      <c r="R389" s="410" t="s">
        <v>153</v>
      </c>
      <c r="S389" s="37">
        <v>1500106</v>
      </c>
      <c r="T389" s="415"/>
      <c r="U389" s="416"/>
      <c r="V389" s="410" t="s">
        <v>342</v>
      </c>
      <c r="W389" s="608" t="s">
        <v>1608</v>
      </c>
      <c r="X389" s="608" t="s">
        <v>1608</v>
      </c>
      <c r="Y389" s="410"/>
      <c r="Z389" s="410"/>
      <c r="AA389" s="410"/>
      <c r="AB389" s="410"/>
      <c r="AC389" s="37"/>
      <c r="AD389" s="37"/>
      <c r="AE389" s="37">
        <v>0</v>
      </c>
      <c r="AF389" s="37">
        <v>0</v>
      </c>
      <c r="AG389" s="37">
        <v>0</v>
      </c>
      <c r="AH389" s="37"/>
      <c r="AI389" s="37">
        <v>0</v>
      </c>
      <c r="AJ389" s="37">
        <v>0</v>
      </c>
      <c r="AK389" s="420"/>
      <c r="AL389" s="420"/>
      <c r="AM389" s="420"/>
      <c r="AN389" s="37"/>
      <c r="AO389" s="37"/>
      <c r="AP389" s="37"/>
      <c r="AQ389" s="37" t="s">
        <v>1609</v>
      </c>
      <c r="AR389" s="423"/>
    </row>
    <row r="390" spans="1:44" ht="15" customHeight="1">
      <c r="A390" s="37">
        <v>1120107</v>
      </c>
      <c r="B390" s="37" t="s">
        <v>1572</v>
      </c>
      <c r="C390" s="609" t="s">
        <v>1610</v>
      </c>
      <c r="D390" s="37" t="s">
        <v>81</v>
      </c>
      <c r="E390" s="37" t="s">
        <v>1574</v>
      </c>
      <c r="F390" s="37">
        <v>4</v>
      </c>
      <c r="G390" s="37">
        <v>12</v>
      </c>
      <c r="H390" s="37" t="s">
        <v>136</v>
      </c>
      <c r="I390" s="37" t="s">
        <v>137</v>
      </c>
      <c r="J390" s="37"/>
      <c r="K390" s="37"/>
      <c r="L390" s="431" t="s">
        <v>1114</v>
      </c>
      <c r="M390" s="409"/>
      <c r="N390" s="409"/>
      <c r="O390" s="432"/>
      <c r="P390" s="410"/>
      <c r="Q390" s="410">
        <v>0</v>
      </c>
      <c r="R390" s="410" t="s">
        <v>153</v>
      </c>
      <c r="S390" s="37">
        <v>1500107</v>
      </c>
      <c r="T390" s="415"/>
      <c r="U390" s="416"/>
      <c r="V390" s="410" t="s">
        <v>342</v>
      </c>
      <c r="W390" s="608" t="s">
        <v>1114</v>
      </c>
      <c r="X390" s="608" t="s">
        <v>1114</v>
      </c>
      <c r="Y390" s="410"/>
      <c r="Z390" s="410"/>
      <c r="AA390" s="410"/>
      <c r="AB390" s="410"/>
      <c r="AC390" s="37"/>
      <c r="AD390" s="37"/>
      <c r="AE390" s="37">
        <v>0</v>
      </c>
      <c r="AF390" s="37">
        <v>0</v>
      </c>
      <c r="AG390" s="37">
        <v>0</v>
      </c>
      <c r="AH390" s="37"/>
      <c r="AI390" s="37">
        <v>0</v>
      </c>
      <c r="AJ390" s="37">
        <v>0</v>
      </c>
      <c r="AK390" s="420"/>
      <c r="AL390" s="420"/>
      <c r="AM390" s="420"/>
      <c r="AN390" s="37"/>
      <c r="AO390" s="37"/>
      <c r="AP390" s="37"/>
      <c r="AQ390" s="37" t="s">
        <v>1611</v>
      </c>
      <c r="AR390" s="423"/>
    </row>
    <row r="391" spans="1:44" ht="15" customHeight="1">
      <c r="A391" s="37">
        <v>1120108</v>
      </c>
      <c r="B391" s="37" t="s">
        <v>1572</v>
      </c>
      <c r="C391" s="432" t="s">
        <v>1612</v>
      </c>
      <c r="D391" s="37" t="s">
        <v>81</v>
      </c>
      <c r="E391" s="37" t="s">
        <v>1574</v>
      </c>
      <c r="F391" s="37">
        <v>5</v>
      </c>
      <c r="G391" s="37">
        <v>12</v>
      </c>
      <c r="H391" s="37" t="s">
        <v>136</v>
      </c>
      <c r="I391" s="37" t="s">
        <v>137</v>
      </c>
      <c r="J391" s="37"/>
      <c r="K391" s="37"/>
      <c r="L391" s="431" t="s">
        <v>1613</v>
      </c>
      <c r="M391" s="409"/>
      <c r="N391" s="409"/>
      <c r="O391" s="432"/>
      <c r="P391" s="410"/>
      <c r="Q391" s="410">
        <v>0</v>
      </c>
      <c r="R391" s="410" t="s">
        <v>153</v>
      </c>
      <c r="S391" s="37">
        <v>1500108</v>
      </c>
      <c r="T391" s="415"/>
      <c r="U391" s="416"/>
      <c r="V391" s="410" t="s">
        <v>342</v>
      </c>
      <c r="W391" s="608" t="s">
        <v>1614</v>
      </c>
      <c r="X391" s="608" t="s">
        <v>1614</v>
      </c>
      <c r="Y391" s="410"/>
      <c r="Z391" s="410"/>
      <c r="AA391" s="410"/>
      <c r="AB391" s="410"/>
      <c r="AC391" s="37"/>
      <c r="AD391" s="37"/>
      <c r="AE391" s="37">
        <v>0</v>
      </c>
      <c r="AF391" s="37">
        <v>0</v>
      </c>
      <c r="AG391" s="37">
        <v>0</v>
      </c>
      <c r="AH391" s="37"/>
      <c r="AI391" s="37">
        <v>0</v>
      </c>
      <c r="AJ391" s="37">
        <v>0</v>
      </c>
      <c r="AK391" s="420"/>
      <c r="AL391" s="420"/>
      <c r="AM391" s="420"/>
      <c r="AN391" s="37"/>
      <c r="AO391" s="37"/>
      <c r="AP391" s="37"/>
      <c r="AQ391" s="37" t="s">
        <v>1615</v>
      </c>
      <c r="AR391" s="423"/>
    </row>
    <row r="392" spans="1:44" ht="15" customHeight="1">
      <c r="A392" s="37">
        <v>1120109</v>
      </c>
      <c r="B392" s="37" t="s">
        <v>1572</v>
      </c>
      <c r="C392" s="432" t="s">
        <v>1616</v>
      </c>
      <c r="D392" s="37" t="s">
        <v>81</v>
      </c>
      <c r="E392" s="37" t="s">
        <v>1574</v>
      </c>
      <c r="F392" s="37">
        <v>6</v>
      </c>
      <c r="G392" s="37">
        <v>12</v>
      </c>
      <c r="H392" s="37" t="s">
        <v>136</v>
      </c>
      <c r="I392" s="37" t="s">
        <v>137</v>
      </c>
      <c r="J392" s="37"/>
      <c r="K392" s="37"/>
      <c r="L392" s="431" t="s">
        <v>1607</v>
      </c>
      <c r="M392" s="409"/>
      <c r="N392" s="409"/>
      <c r="O392" s="432"/>
      <c r="P392" s="410"/>
      <c r="Q392" s="410">
        <v>0</v>
      </c>
      <c r="R392" s="410" t="s">
        <v>153</v>
      </c>
      <c r="S392" s="37">
        <v>1500109</v>
      </c>
      <c r="T392" s="415"/>
      <c r="U392" s="416"/>
      <c r="V392" s="410" t="s">
        <v>342</v>
      </c>
      <c r="W392" s="608" t="s">
        <v>1617</v>
      </c>
      <c r="X392" s="608" t="s">
        <v>1617</v>
      </c>
      <c r="Y392" s="410"/>
      <c r="Z392" s="410"/>
      <c r="AA392" s="410"/>
      <c r="AB392" s="410"/>
      <c r="AC392" s="37"/>
      <c r="AD392" s="37"/>
      <c r="AE392" s="37">
        <v>0</v>
      </c>
      <c r="AF392" s="37">
        <v>0</v>
      </c>
      <c r="AG392" s="37">
        <v>0</v>
      </c>
      <c r="AH392" s="37"/>
      <c r="AI392" s="37">
        <v>0</v>
      </c>
      <c r="AJ392" s="37">
        <v>0</v>
      </c>
      <c r="AK392" s="420"/>
      <c r="AL392" s="420"/>
      <c r="AM392" s="420"/>
      <c r="AN392" s="37"/>
      <c r="AO392" s="37"/>
      <c r="AP392" s="37"/>
      <c r="AQ392" s="37" t="s">
        <v>1618</v>
      </c>
      <c r="AR392" s="423"/>
    </row>
    <row r="393" spans="1:44" ht="15" customHeight="1">
      <c r="A393" s="37">
        <v>1120110</v>
      </c>
      <c r="B393" s="37" t="s">
        <v>1572</v>
      </c>
      <c r="C393" s="432" t="s">
        <v>1619</v>
      </c>
      <c r="D393" s="37" t="s">
        <v>81</v>
      </c>
      <c r="E393" s="37" t="s">
        <v>1574</v>
      </c>
      <c r="F393" s="37">
        <v>7</v>
      </c>
      <c r="G393" s="37">
        <v>12</v>
      </c>
      <c r="H393" s="37" t="s">
        <v>136</v>
      </c>
      <c r="I393" s="37" t="s">
        <v>137</v>
      </c>
      <c r="J393" s="37"/>
      <c r="K393" s="37"/>
      <c r="L393" s="431" t="s">
        <v>1620</v>
      </c>
      <c r="M393" s="409"/>
      <c r="N393" s="409"/>
      <c r="O393" s="432"/>
      <c r="P393" s="410"/>
      <c r="Q393" s="410">
        <v>0</v>
      </c>
      <c r="R393" s="410" t="s">
        <v>153</v>
      </c>
      <c r="S393" s="37">
        <v>1500110</v>
      </c>
      <c r="T393" s="415"/>
      <c r="U393" s="416"/>
      <c r="V393" s="410" t="s">
        <v>342</v>
      </c>
      <c r="W393" s="608" t="s">
        <v>1621</v>
      </c>
      <c r="X393" s="608" t="s">
        <v>1621</v>
      </c>
      <c r="Y393" s="410"/>
      <c r="Z393" s="410"/>
      <c r="AA393" s="410"/>
      <c r="AB393" s="410"/>
      <c r="AC393" s="37"/>
      <c r="AD393" s="37"/>
      <c r="AE393" s="37">
        <v>0</v>
      </c>
      <c r="AF393" s="37">
        <v>0</v>
      </c>
      <c r="AG393" s="37">
        <v>0</v>
      </c>
      <c r="AH393" s="37"/>
      <c r="AI393" s="37">
        <v>0</v>
      </c>
      <c r="AJ393" s="37">
        <v>0</v>
      </c>
      <c r="AK393" s="420"/>
      <c r="AL393" s="420"/>
      <c r="AM393" s="420"/>
      <c r="AN393" s="37"/>
      <c r="AO393" s="37"/>
      <c r="AP393" s="37"/>
      <c r="AQ393" s="37" t="s">
        <v>1622</v>
      </c>
      <c r="AR393" s="423"/>
    </row>
    <row r="394" spans="1:44" ht="15" customHeight="1">
      <c r="A394" s="3">
        <v>1120111</v>
      </c>
      <c r="B394" s="3" t="s">
        <v>1572</v>
      </c>
      <c r="C394" s="236" t="s">
        <v>1623</v>
      </c>
      <c r="D394" s="3" t="s">
        <v>81</v>
      </c>
      <c r="E394" s="3" t="s">
        <v>1574</v>
      </c>
      <c r="F394" s="3">
        <v>8</v>
      </c>
      <c r="G394" s="3">
        <v>12</v>
      </c>
      <c r="H394" s="3" t="s">
        <v>136</v>
      </c>
      <c r="I394" s="3" t="s">
        <v>137</v>
      </c>
      <c r="J394" s="3"/>
      <c r="K394" s="3"/>
      <c r="L394" s="236"/>
      <c r="M394" s="99"/>
      <c r="N394" s="99"/>
      <c r="O394" s="236"/>
      <c r="P394" s="22"/>
      <c r="Q394" s="22">
        <v>0</v>
      </c>
      <c r="R394" s="22" t="s">
        <v>153</v>
      </c>
      <c r="S394" s="3"/>
      <c r="T394" s="260"/>
      <c r="U394" s="261"/>
      <c r="V394" s="22"/>
      <c r="W394" s="567" t="s">
        <v>169</v>
      </c>
      <c r="X394" s="567" t="s">
        <v>6736</v>
      </c>
      <c r="Y394" s="22"/>
      <c r="Z394" s="22"/>
      <c r="AA394" s="22"/>
      <c r="AB394" s="22" t="s">
        <v>114</v>
      </c>
      <c r="AC394" s="3"/>
      <c r="AD394" s="3"/>
      <c r="AE394" s="3">
        <v>0</v>
      </c>
      <c r="AF394" s="3">
        <v>0</v>
      </c>
      <c r="AG394" s="3">
        <v>0</v>
      </c>
      <c r="AH394" s="3"/>
      <c r="AI394" s="3">
        <v>0</v>
      </c>
      <c r="AJ394" s="3">
        <v>0</v>
      </c>
      <c r="AK394" s="3">
        <v>0</v>
      </c>
      <c r="AL394" s="3"/>
      <c r="AM394" s="3"/>
      <c r="AN394" s="3"/>
      <c r="AO394" s="3"/>
      <c r="AP394" s="3"/>
      <c r="AQ394" s="3" t="s">
        <v>1605</v>
      </c>
      <c r="AR394" s="281"/>
    </row>
    <row r="395" spans="1:44" ht="15" customHeight="1">
      <c r="A395" s="3">
        <v>1120112</v>
      </c>
      <c r="B395" s="3" t="s">
        <v>1572</v>
      </c>
      <c r="C395" s="236" t="s">
        <v>1624</v>
      </c>
      <c r="D395" s="3" t="s">
        <v>81</v>
      </c>
      <c r="E395" s="3" t="s">
        <v>1574</v>
      </c>
      <c r="F395" s="3">
        <v>9</v>
      </c>
      <c r="G395" s="3">
        <v>12</v>
      </c>
      <c r="H395" s="3" t="s">
        <v>136</v>
      </c>
      <c r="I395" s="3" t="s">
        <v>137</v>
      </c>
      <c r="J395" s="3"/>
      <c r="K395" s="3"/>
      <c r="L395" s="236"/>
      <c r="M395" s="99"/>
      <c r="N395" s="99"/>
      <c r="O395" s="236"/>
      <c r="P395" s="22"/>
      <c r="Q395" s="22">
        <v>0</v>
      </c>
      <c r="R395" s="22" t="s">
        <v>153</v>
      </c>
      <c r="S395" s="3"/>
      <c r="T395" s="260"/>
      <c r="U395" s="261"/>
      <c r="V395" s="22"/>
      <c r="W395" s="567" t="s">
        <v>1625</v>
      </c>
      <c r="X395" s="567" t="s">
        <v>6740</v>
      </c>
      <c r="Y395" s="22"/>
      <c r="Z395" s="22"/>
      <c r="AA395" s="22"/>
      <c r="AB395" s="22" t="s">
        <v>114</v>
      </c>
      <c r="AC395" s="3"/>
      <c r="AD395" s="3"/>
      <c r="AE395" s="3">
        <v>0</v>
      </c>
      <c r="AF395" s="3">
        <v>0</v>
      </c>
      <c r="AG395" s="3">
        <v>0</v>
      </c>
      <c r="AH395" s="3"/>
      <c r="AI395" s="3">
        <v>0</v>
      </c>
      <c r="AJ395" s="3">
        <v>0</v>
      </c>
      <c r="AK395" s="3">
        <v>0</v>
      </c>
      <c r="AL395" s="3"/>
      <c r="AM395" s="3"/>
      <c r="AN395" s="3"/>
      <c r="AO395" s="3"/>
      <c r="AP395" s="3"/>
      <c r="AQ395" s="282" t="str">
        <f>"tricks/"&amp;A395</f>
        <v>tricks/1120112</v>
      </c>
    </row>
    <row r="396" spans="1:44" ht="15" customHeight="1">
      <c r="A396" s="3">
        <v>1120113</v>
      </c>
      <c r="B396" s="3" t="s">
        <v>1572</v>
      </c>
      <c r="C396" s="236" t="s">
        <v>1626</v>
      </c>
      <c r="D396" s="3" t="s">
        <v>81</v>
      </c>
      <c r="E396" s="3" t="s">
        <v>1574</v>
      </c>
      <c r="F396" s="3">
        <v>10</v>
      </c>
      <c r="G396" s="3">
        <v>12</v>
      </c>
      <c r="H396" s="3" t="s">
        <v>136</v>
      </c>
      <c r="I396" s="3" t="s">
        <v>137</v>
      </c>
      <c r="J396" s="3"/>
      <c r="K396" s="3"/>
      <c r="L396" s="236"/>
      <c r="M396" s="99"/>
      <c r="N396" s="99"/>
      <c r="O396" s="236"/>
      <c r="P396" s="22"/>
      <c r="Q396" s="22">
        <v>0</v>
      </c>
      <c r="R396" s="22" t="s">
        <v>153</v>
      </c>
      <c r="S396" s="3"/>
      <c r="T396" s="260"/>
      <c r="U396" s="261"/>
      <c r="V396" s="22"/>
      <c r="W396" s="567" t="s">
        <v>1627</v>
      </c>
      <c r="X396" s="567" t="s">
        <v>6741</v>
      </c>
      <c r="Y396" s="22"/>
      <c r="Z396" s="22"/>
      <c r="AA396" s="22"/>
      <c r="AB396" s="22" t="s">
        <v>114</v>
      </c>
      <c r="AC396" s="3"/>
      <c r="AD396" s="3"/>
      <c r="AE396" s="3">
        <v>0</v>
      </c>
      <c r="AF396" s="3">
        <v>0</v>
      </c>
      <c r="AG396" s="3">
        <v>0</v>
      </c>
      <c r="AH396" s="3"/>
      <c r="AI396" s="3">
        <v>0</v>
      </c>
      <c r="AJ396" s="3">
        <v>0</v>
      </c>
      <c r="AK396" s="3">
        <v>0</v>
      </c>
      <c r="AL396" s="3"/>
      <c r="AM396" s="3"/>
      <c r="AN396" s="3"/>
      <c r="AO396" s="3"/>
      <c r="AP396" s="3"/>
      <c r="AQ396" s="282" t="str">
        <f>"tricks/"&amp;A396</f>
        <v>tricks/1120113</v>
      </c>
    </row>
    <row r="397" spans="1:44" ht="15" customHeight="1">
      <c r="A397" s="37">
        <v>1130001</v>
      </c>
      <c r="B397" s="37" t="s">
        <v>1628</v>
      </c>
      <c r="C397" s="37" t="s">
        <v>1629</v>
      </c>
      <c r="D397" s="37" t="s">
        <v>81</v>
      </c>
      <c r="E397" s="37" t="s">
        <v>1630</v>
      </c>
      <c r="F397" s="37">
        <v>1</v>
      </c>
      <c r="G397" s="37">
        <v>13</v>
      </c>
      <c r="H397" s="37" t="s">
        <v>82</v>
      </c>
      <c r="I397" s="37" t="s">
        <v>83</v>
      </c>
      <c r="J397" s="37"/>
      <c r="K397" s="37">
        <v>4</v>
      </c>
      <c r="L397" s="431"/>
      <c r="M397" s="409"/>
      <c r="N397" s="409"/>
      <c r="O397" s="37"/>
      <c r="P397" s="410"/>
      <c r="Q397" s="410">
        <v>0</v>
      </c>
      <c r="R397" s="410" t="s">
        <v>85</v>
      </c>
      <c r="S397" s="37">
        <v>1500001</v>
      </c>
      <c r="T397" s="415" t="s">
        <v>1521</v>
      </c>
      <c r="U397" s="416" t="s">
        <v>1522</v>
      </c>
      <c r="V397" s="410" t="s">
        <v>342</v>
      </c>
      <c r="W397" s="608" t="s">
        <v>1631</v>
      </c>
      <c r="X397" s="608" t="s">
        <v>1631</v>
      </c>
      <c r="Y397" s="410"/>
      <c r="Z397" s="410"/>
      <c r="AA397" s="410">
        <v>1</v>
      </c>
      <c r="AB397" s="410" t="s">
        <v>90</v>
      </c>
      <c r="AC397" s="37"/>
      <c r="AD397" s="37"/>
      <c r="AE397" s="37">
        <v>2</v>
      </c>
      <c r="AF397" s="37">
        <v>0</v>
      </c>
      <c r="AG397" s="37">
        <v>5</v>
      </c>
      <c r="AH397" s="37"/>
      <c r="AI397" s="37">
        <v>52</v>
      </c>
      <c r="AJ397" s="37">
        <v>39</v>
      </c>
      <c r="AK397" s="420"/>
      <c r="AL397" s="420"/>
      <c r="AM397" s="420"/>
      <c r="AN397" s="37" t="s">
        <v>1632</v>
      </c>
      <c r="AO397" s="37"/>
      <c r="AP397" s="37"/>
      <c r="AQ397" s="37" t="s">
        <v>1633</v>
      </c>
      <c r="AR397" s="423">
        <v>337</v>
      </c>
    </row>
    <row r="398" spans="1:44" ht="15" customHeight="1">
      <c r="A398" s="37">
        <v>1130002</v>
      </c>
      <c r="B398" s="37" t="s">
        <v>1628</v>
      </c>
      <c r="C398" s="37" t="s">
        <v>1634</v>
      </c>
      <c r="D398" s="37" t="s">
        <v>81</v>
      </c>
      <c r="E398" s="37" t="s">
        <v>1630</v>
      </c>
      <c r="F398" s="37">
        <v>1</v>
      </c>
      <c r="G398" s="37">
        <v>13</v>
      </c>
      <c r="H398" s="37" t="s">
        <v>82</v>
      </c>
      <c r="I398" s="37" t="s">
        <v>83</v>
      </c>
      <c r="J398" s="37"/>
      <c r="K398" s="37">
        <v>5</v>
      </c>
      <c r="L398" s="431"/>
      <c r="M398" s="409"/>
      <c r="N398" s="409"/>
      <c r="O398" s="37"/>
      <c r="P398" s="410"/>
      <c r="Q398" s="410">
        <v>0</v>
      </c>
      <c r="R398" s="410" t="s">
        <v>85</v>
      </c>
      <c r="S398" s="37">
        <v>1500002</v>
      </c>
      <c r="T398" s="415" t="s">
        <v>1521</v>
      </c>
      <c r="U398" s="416" t="s">
        <v>1522</v>
      </c>
      <c r="V398" s="410" t="s">
        <v>342</v>
      </c>
      <c r="W398" s="608" t="s">
        <v>1635</v>
      </c>
      <c r="X398" s="608" t="s">
        <v>1635</v>
      </c>
      <c r="Y398" s="410"/>
      <c r="Z398" s="410"/>
      <c r="AA398" s="410">
        <v>1</v>
      </c>
      <c r="AB398" s="410" t="s">
        <v>90</v>
      </c>
      <c r="AC398" s="37"/>
      <c r="AD398" s="37"/>
      <c r="AE398" s="37">
        <v>2</v>
      </c>
      <c r="AF398" s="37">
        <v>0</v>
      </c>
      <c r="AG398" s="37">
        <v>6</v>
      </c>
      <c r="AH398" s="37"/>
      <c r="AI398" s="37">
        <v>65</v>
      </c>
      <c r="AJ398" s="37">
        <v>45</v>
      </c>
      <c r="AK398" s="420"/>
      <c r="AL398" s="420"/>
      <c r="AM398" s="420"/>
      <c r="AN398" s="37" t="s">
        <v>1636</v>
      </c>
      <c r="AO398" s="37"/>
      <c r="AP398" s="37"/>
      <c r="AQ398" s="37" t="s">
        <v>1637</v>
      </c>
      <c r="AR398" s="423">
        <v>338</v>
      </c>
    </row>
    <row r="399" spans="1:44" ht="15" customHeight="1">
      <c r="A399" s="37">
        <v>1130101</v>
      </c>
      <c r="B399" s="37" t="s">
        <v>1628</v>
      </c>
      <c r="C399" s="432" t="s">
        <v>1638</v>
      </c>
      <c r="D399" s="37" t="s">
        <v>81</v>
      </c>
      <c r="E399" s="37" t="s">
        <v>1630</v>
      </c>
      <c r="F399" s="37">
        <v>1</v>
      </c>
      <c r="G399" s="37">
        <v>13</v>
      </c>
      <c r="H399" s="37" t="s">
        <v>82</v>
      </c>
      <c r="I399" s="37" t="s">
        <v>101</v>
      </c>
      <c r="J399" s="37"/>
      <c r="K399" s="37">
        <v>1</v>
      </c>
      <c r="L399" s="431"/>
      <c r="M399" s="409"/>
      <c r="N399" s="409"/>
      <c r="O399" s="432"/>
      <c r="P399" s="410">
        <v>1</v>
      </c>
      <c r="Q399" s="410">
        <v>0</v>
      </c>
      <c r="R399" s="410" t="s">
        <v>85</v>
      </c>
      <c r="S399" s="37">
        <v>1500101</v>
      </c>
      <c r="T399" s="258" t="s">
        <v>1639</v>
      </c>
      <c r="U399" s="259"/>
      <c r="V399" s="410" t="s">
        <v>342</v>
      </c>
      <c r="W399" s="608" t="s">
        <v>1640</v>
      </c>
      <c r="X399" s="608" t="s">
        <v>1640</v>
      </c>
      <c r="Y399" s="410"/>
      <c r="Z399" s="410"/>
      <c r="AA399" s="410">
        <v>1</v>
      </c>
      <c r="AB399" s="410" t="s">
        <v>90</v>
      </c>
      <c r="AC399" s="37"/>
      <c r="AD399" s="37"/>
      <c r="AE399" s="37">
        <v>1</v>
      </c>
      <c r="AF399" s="37">
        <v>2</v>
      </c>
      <c r="AG399" s="37">
        <v>6</v>
      </c>
      <c r="AH399" s="37"/>
      <c r="AI399" s="37">
        <v>39</v>
      </c>
      <c r="AJ399" s="37">
        <v>26</v>
      </c>
      <c r="AK399" s="420"/>
      <c r="AL399" s="420"/>
      <c r="AM399" s="420"/>
      <c r="AN399" s="37" t="s">
        <v>1641</v>
      </c>
      <c r="AO399" s="37"/>
      <c r="AP399" s="37"/>
      <c r="AQ399" s="37" t="s">
        <v>1642</v>
      </c>
      <c r="AR399" s="423">
        <v>334</v>
      </c>
    </row>
    <row r="400" spans="1:44" ht="15" customHeight="1">
      <c r="A400" s="37">
        <v>1130102</v>
      </c>
      <c r="B400" s="37" t="s">
        <v>1628</v>
      </c>
      <c r="C400" s="432" t="s">
        <v>1643</v>
      </c>
      <c r="D400" s="37" t="s">
        <v>81</v>
      </c>
      <c r="E400" s="37" t="s">
        <v>1630</v>
      </c>
      <c r="F400" s="37">
        <v>1</v>
      </c>
      <c r="G400" s="37">
        <v>13</v>
      </c>
      <c r="H400" s="37" t="s">
        <v>136</v>
      </c>
      <c r="I400" s="37" t="s">
        <v>137</v>
      </c>
      <c r="J400" s="37"/>
      <c r="K400" s="37"/>
      <c r="L400" s="431"/>
      <c r="M400" s="409"/>
      <c r="N400" s="409"/>
      <c r="O400" s="432"/>
      <c r="P400" s="410"/>
      <c r="Q400" s="410">
        <v>0</v>
      </c>
      <c r="R400" s="410" t="s">
        <v>153</v>
      </c>
      <c r="S400" s="37">
        <v>1500102</v>
      </c>
      <c r="T400" s="415" t="s">
        <v>1644</v>
      </c>
      <c r="U400" s="416"/>
      <c r="V400" s="410" t="s">
        <v>342</v>
      </c>
      <c r="W400" s="608" t="s">
        <v>1645</v>
      </c>
      <c r="X400" s="608" t="s">
        <v>1645</v>
      </c>
      <c r="Y400" s="410"/>
      <c r="Z400" s="410"/>
      <c r="AA400" s="410"/>
      <c r="AB400" s="410"/>
      <c r="AC400" s="37"/>
      <c r="AD400" s="37"/>
      <c r="AE400" s="37">
        <v>0</v>
      </c>
      <c r="AF400" s="37">
        <v>0</v>
      </c>
      <c r="AG400" s="37">
        <v>0</v>
      </c>
      <c r="AH400" s="37"/>
      <c r="AI400" s="37">
        <v>0</v>
      </c>
      <c r="AJ400" s="37">
        <v>0</v>
      </c>
      <c r="AK400" s="420"/>
      <c r="AL400" s="420"/>
      <c r="AM400" s="420"/>
      <c r="AN400" s="37"/>
      <c r="AO400" s="37"/>
      <c r="AP400" s="37"/>
      <c r="AQ400" s="37" t="s">
        <v>1646</v>
      </c>
      <c r="AR400" s="423"/>
    </row>
    <row r="401" spans="1:44" ht="15" customHeight="1">
      <c r="A401" s="37">
        <v>1130103</v>
      </c>
      <c r="B401" s="37" t="s">
        <v>1628</v>
      </c>
      <c r="C401" s="432" t="s">
        <v>1647</v>
      </c>
      <c r="D401" s="37" t="s">
        <v>81</v>
      </c>
      <c r="E401" s="37" t="s">
        <v>1630</v>
      </c>
      <c r="F401" s="37">
        <v>1</v>
      </c>
      <c r="G401" s="37">
        <v>13</v>
      </c>
      <c r="H401" s="37" t="s">
        <v>82</v>
      </c>
      <c r="I401" s="37" t="s">
        <v>101</v>
      </c>
      <c r="J401" s="37"/>
      <c r="K401" s="37">
        <v>2</v>
      </c>
      <c r="L401" s="431"/>
      <c r="M401" s="409"/>
      <c r="N401" s="409"/>
      <c r="O401" s="432"/>
      <c r="P401" s="410">
        <v>1</v>
      </c>
      <c r="Q401" s="410">
        <v>0</v>
      </c>
      <c r="R401" s="410" t="s">
        <v>85</v>
      </c>
      <c r="S401" s="37">
        <v>1500103</v>
      </c>
      <c r="T401" s="307" t="s">
        <v>1648</v>
      </c>
      <c r="U401" s="308"/>
      <c r="V401" s="410" t="s">
        <v>342</v>
      </c>
      <c r="W401" s="608" t="s">
        <v>1649</v>
      </c>
      <c r="X401" s="608" t="s">
        <v>1649</v>
      </c>
      <c r="Y401" s="410"/>
      <c r="Z401" s="410"/>
      <c r="AA401" s="410">
        <v>1</v>
      </c>
      <c r="AB401" s="410" t="s">
        <v>90</v>
      </c>
      <c r="AC401" s="37"/>
      <c r="AD401" s="37"/>
      <c r="AE401" s="37">
        <v>1</v>
      </c>
      <c r="AF401" s="37">
        <v>1</v>
      </c>
      <c r="AG401" s="37">
        <v>5</v>
      </c>
      <c r="AH401" s="37"/>
      <c r="AI401" s="37">
        <v>39</v>
      </c>
      <c r="AJ401" s="37">
        <v>26</v>
      </c>
      <c r="AK401" s="420"/>
      <c r="AL401" s="420"/>
      <c r="AM401" s="420"/>
      <c r="AN401" s="37" t="s">
        <v>1650</v>
      </c>
      <c r="AO401" s="37" t="s">
        <v>1651</v>
      </c>
      <c r="AP401" s="37"/>
      <c r="AQ401" s="37" t="s">
        <v>1652</v>
      </c>
      <c r="AR401" s="423">
        <v>335</v>
      </c>
    </row>
    <row r="402" spans="1:44" ht="15" customHeight="1">
      <c r="A402" s="37">
        <v>1130104</v>
      </c>
      <c r="B402" s="37" t="s">
        <v>1628</v>
      </c>
      <c r="C402" s="432" t="s">
        <v>1653</v>
      </c>
      <c r="D402" s="37" t="s">
        <v>81</v>
      </c>
      <c r="E402" s="37" t="s">
        <v>1630</v>
      </c>
      <c r="F402" s="37">
        <v>2</v>
      </c>
      <c r="G402" s="37">
        <v>13</v>
      </c>
      <c r="H402" s="37" t="s">
        <v>136</v>
      </c>
      <c r="I402" s="37" t="s">
        <v>137</v>
      </c>
      <c r="J402" s="37"/>
      <c r="K402" s="37"/>
      <c r="L402" s="431"/>
      <c r="M402" s="409"/>
      <c r="N402" s="409"/>
      <c r="O402" s="432"/>
      <c r="P402" s="410"/>
      <c r="Q402" s="410">
        <v>0</v>
      </c>
      <c r="R402" s="410" t="s">
        <v>153</v>
      </c>
      <c r="S402" s="37">
        <v>1500104</v>
      </c>
      <c r="T402" s="311" t="s">
        <v>1644</v>
      </c>
      <c r="U402" s="310"/>
      <c r="V402" s="410" t="s">
        <v>342</v>
      </c>
      <c r="W402" s="608" t="s">
        <v>1654</v>
      </c>
      <c r="X402" s="608" t="s">
        <v>1654</v>
      </c>
      <c r="Y402" s="410"/>
      <c r="Z402" s="410"/>
      <c r="AA402" s="410"/>
      <c r="AB402" s="410"/>
      <c r="AC402" s="37"/>
      <c r="AD402" s="37"/>
      <c r="AE402" s="37">
        <v>0</v>
      </c>
      <c r="AF402" s="37">
        <v>0</v>
      </c>
      <c r="AG402" s="37">
        <v>0</v>
      </c>
      <c r="AH402" s="37"/>
      <c r="AI402" s="37">
        <v>0</v>
      </c>
      <c r="AJ402" s="37">
        <v>0</v>
      </c>
      <c r="AK402" s="420"/>
      <c r="AL402" s="420"/>
      <c r="AM402" s="420"/>
      <c r="AN402" s="37"/>
      <c r="AO402" s="37"/>
      <c r="AP402" s="37"/>
      <c r="AQ402" s="37" t="s">
        <v>1655</v>
      </c>
      <c r="AR402" s="423"/>
    </row>
    <row r="403" spans="1:44" ht="15" customHeight="1">
      <c r="A403" s="37">
        <v>1130105</v>
      </c>
      <c r="B403" s="37" t="s">
        <v>1628</v>
      </c>
      <c r="C403" s="432" t="s">
        <v>1656</v>
      </c>
      <c r="D403" s="37" t="s">
        <v>81</v>
      </c>
      <c r="E403" s="37" t="s">
        <v>1630</v>
      </c>
      <c r="F403" s="37">
        <v>1</v>
      </c>
      <c r="G403" s="37">
        <v>13</v>
      </c>
      <c r="H403" s="37" t="s">
        <v>82</v>
      </c>
      <c r="I403" s="37" t="s">
        <v>101</v>
      </c>
      <c r="J403" s="37"/>
      <c r="K403" s="37">
        <v>3</v>
      </c>
      <c r="L403" s="431"/>
      <c r="M403" s="409"/>
      <c r="N403" s="409"/>
      <c r="O403" s="432"/>
      <c r="P403" s="410">
        <v>1</v>
      </c>
      <c r="Q403" s="410">
        <v>0</v>
      </c>
      <c r="R403" s="410" t="s">
        <v>85</v>
      </c>
      <c r="S403" s="37">
        <v>1500105</v>
      </c>
      <c r="T403" s="307" t="s">
        <v>1657</v>
      </c>
      <c r="U403" s="308"/>
      <c r="V403" s="410" t="s">
        <v>342</v>
      </c>
      <c r="W403" s="608" t="s">
        <v>1658</v>
      </c>
      <c r="X403" s="608" t="s">
        <v>1658</v>
      </c>
      <c r="Y403" s="410"/>
      <c r="Z403" s="410"/>
      <c r="AA403" s="410">
        <v>1</v>
      </c>
      <c r="AB403" s="410" t="s">
        <v>90</v>
      </c>
      <c r="AC403" s="37"/>
      <c r="AD403" s="37"/>
      <c r="AE403" s="37">
        <v>1</v>
      </c>
      <c r="AF403" s="37">
        <v>1</v>
      </c>
      <c r="AG403" s="37">
        <v>5</v>
      </c>
      <c r="AH403" s="37"/>
      <c r="AI403" s="37">
        <v>39</v>
      </c>
      <c r="AJ403" s="37">
        <v>26</v>
      </c>
      <c r="AK403" s="420"/>
      <c r="AL403" s="420"/>
      <c r="AM403" s="420"/>
      <c r="AN403" s="37" t="s">
        <v>1659</v>
      </c>
      <c r="AO403" s="37"/>
      <c r="AP403" s="37"/>
      <c r="AQ403" s="37" t="s">
        <v>1660</v>
      </c>
      <c r="AR403" s="423">
        <v>336</v>
      </c>
    </row>
    <row r="404" spans="1:44" ht="15" customHeight="1">
      <c r="A404" s="37">
        <v>1130106</v>
      </c>
      <c r="B404" s="37" t="s">
        <v>1628</v>
      </c>
      <c r="C404" s="432" t="s">
        <v>1661</v>
      </c>
      <c r="D404" s="37" t="s">
        <v>81</v>
      </c>
      <c r="E404" s="37" t="s">
        <v>1630</v>
      </c>
      <c r="F404" s="37">
        <v>3</v>
      </c>
      <c r="G404" s="37">
        <v>13</v>
      </c>
      <c r="H404" s="37" t="s">
        <v>136</v>
      </c>
      <c r="I404" s="37" t="s">
        <v>137</v>
      </c>
      <c r="J404" s="37"/>
      <c r="K404" s="37"/>
      <c r="L404" s="431"/>
      <c r="M404" s="409"/>
      <c r="N404" s="409"/>
      <c r="O404" s="432"/>
      <c r="P404" s="410"/>
      <c r="Q404" s="410">
        <v>0</v>
      </c>
      <c r="R404" s="410" t="s">
        <v>153</v>
      </c>
      <c r="S404" s="37">
        <v>1500106</v>
      </c>
      <c r="T404" s="415"/>
      <c r="U404" s="416"/>
      <c r="V404" s="410" t="s">
        <v>342</v>
      </c>
      <c r="W404" s="608" t="s">
        <v>1662</v>
      </c>
      <c r="X404" s="608" t="s">
        <v>1662</v>
      </c>
      <c r="Y404" s="410"/>
      <c r="Z404" s="410"/>
      <c r="AA404" s="410"/>
      <c r="AB404" s="410"/>
      <c r="AC404" s="37"/>
      <c r="AD404" s="37"/>
      <c r="AE404" s="37">
        <v>0</v>
      </c>
      <c r="AF404" s="37">
        <v>0</v>
      </c>
      <c r="AG404" s="37">
        <v>0</v>
      </c>
      <c r="AH404" s="37"/>
      <c r="AI404" s="37">
        <v>0</v>
      </c>
      <c r="AJ404" s="37">
        <v>0</v>
      </c>
      <c r="AK404" s="420"/>
      <c r="AL404" s="420"/>
      <c r="AM404" s="420"/>
      <c r="AN404" s="37"/>
      <c r="AO404" s="37"/>
      <c r="AP404" s="37"/>
      <c r="AQ404" s="37" t="s">
        <v>1663</v>
      </c>
      <c r="AR404" s="423"/>
    </row>
    <row r="405" spans="1:44" ht="15" customHeight="1">
      <c r="A405" s="37">
        <v>1130107</v>
      </c>
      <c r="B405" s="37" t="s">
        <v>1628</v>
      </c>
      <c r="C405" s="432" t="s">
        <v>1664</v>
      </c>
      <c r="D405" s="37" t="s">
        <v>81</v>
      </c>
      <c r="E405" s="37" t="s">
        <v>1630</v>
      </c>
      <c r="F405" s="37">
        <v>4</v>
      </c>
      <c r="G405" s="37">
        <v>13</v>
      </c>
      <c r="H405" s="37" t="s">
        <v>136</v>
      </c>
      <c r="I405" s="37" t="s">
        <v>137</v>
      </c>
      <c r="J405" s="37"/>
      <c r="K405" s="37"/>
      <c r="L405" s="431"/>
      <c r="M405" s="409"/>
      <c r="N405" s="409"/>
      <c r="O405" s="432"/>
      <c r="P405" s="410"/>
      <c r="Q405" s="410">
        <v>0</v>
      </c>
      <c r="R405" s="410" t="s">
        <v>153</v>
      </c>
      <c r="S405" s="37">
        <v>1500107</v>
      </c>
      <c r="T405" s="415"/>
      <c r="U405" s="416"/>
      <c r="V405" s="410" t="s">
        <v>342</v>
      </c>
      <c r="W405" s="608" t="s">
        <v>1665</v>
      </c>
      <c r="X405" s="608" t="s">
        <v>1665</v>
      </c>
      <c r="Y405" s="410"/>
      <c r="Z405" s="410"/>
      <c r="AA405" s="410"/>
      <c r="AB405" s="410"/>
      <c r="AC405" s="37"/>
      <c r="AD405" s="37"/>
      <c r="AE405" s="37">
        <v>0</v>
      </c>
      <c r="AF405" s="37">
        <v>0</v>
      </c>
      <c r="AG405" s="37">
        <v>0</v>
      </c>
      <c r="AH405" s="37"/>
      <c r="AI405" s="37">
        <v>0</v>
      </c>
      <c r="AJ405" s="37">
        <v>0</v>
      </c>
      <c r="AK405" s="420"/>
      <c r="AL405" s="420"/>
      <c r="AM405" s="420"/>
      <c r="AN405" s="37"/>
      <c r="AO405" s="37"/>
      <c r="AP405" s="37"/>
      <c r="AQ405" s="37" t="s">
        <v>1666</v>
      </c>
      <c r="AR405" s="423"/>
    </row>
    <row r="406" spans="1:44" ht="15" customHeight="1">
      <c r="A406" s="37">
        <v>1130108</v>
      </c>
      <c r="B406" s="37" t="s">
        <v>1628</v>
      </c>
      <c r="C406" s="432" t="s">
        <v>1667</v>
      </c>
      <c r="D406" s="37" t="s">
        <v>81</v>
      </c>
      <c r="E406" s="37" t="s">
        <v>1630</v>
      </c>
      <c r="F406" s="37">
        <v>5</v>
      </c>
      <c r="G406" s="37">
        <v>13</v>
      </c>
      <c r="H406" s="37" t="s">
        <v>136</v>
      </c>
      <c r="I406" s="37" t="s">
        <v>137</v>
      </c>
      <c r="J406" s="37"/>
      <c r="K406" s="37"/>
      <c r="L406" s="431"/>
      <c r="M406" s="409"/>
      <c r="N406" s="409"/>
      <c r="O406" s="432"/>
      <c r="P406" s="410"/>
      <c r="Q406" s="410">
        <v>0</v>
      </c>
      <c r="R406" s="410" t="s">
        <v>153</v>
      </c>
      <c r="S406" s="37">
        <v>1500108</v>
      </c>
      <c r="T406" s="415"/>
      <c r="U406" s="416"/>
      <c r="V406" s="410" t="s">
        <v>342</v>
      </c>
      <c r="W406" s="608" t="s">
        <v>1668</v>
      </c>
      <c r="X406" s="608" t="s">
        <v>1668</v>
      </c>
      <c r="Y406" s="410"/>
      <c r="Z406" s="410"/>
      <c r="AA406" s="410"/>
      <c r="AB406" s="410"/>
      <c r="AC406" s="37"/>
      <c r="AD406" s="37"/>
      <c r="AE406" s="37">
        <v>0</v>
      </c>
      <c r="AF406" s="37">
        <v>0</v>
      </c>
      <c r="AG406" s="37">
        <v>0</v>
      </c>
      <c r="AH406" s="37"/>
      <c r="AI406" s="37">
        <v>0</v>
      </c>
      <c r="AJ406" s="37">
        <v>0</v>
      </c>
      <c r="AK406" s="420"/>
      <c r="AL406" s="420"/>
      <c r="AM406" s="420"/>
      <c r="AN406" s="37"/>
      <c r="AO406" s="37"/>
      <c r="AP406" s="37"/>
      <c r="AQ406" s="37" t="s">
        <v>1669</v>
      </c>
      <c r="AR406" s="423"/>
    </row>
    <row r="407" spans="1:44" ht="15" customHeight="1">
      <c r="A407" s="37">
        <v>1130109</v>
      </c>
      <c r="B407" s="37" t="s">
        <v>1628</v>
      </c>
      <c r="C407" s="432" t="s">
        <v>1670</v>
      </c>
      <c r="D407" s="37" t="s">
        <v>81</v>
      </c>
      <c r="E407" s="37" t="s">
        <v>1630</v>
      </c>
      <c r="F407" s="37">
        <v>6</v>
      </c>
      <c r="G407" s="37">
        <v>13</v>
      </c>
      <c r="H407" s="37" t="s">
        <v>136</v>
      </c>
      <c r="I407" s="37" t="s">
        <v>137</v>
      </c>
      <c r="J407" s="37"/>
      <c r="K407" s="37"/>
      <c r="L407" s="431"/>
      <c r="M407" s="409"/>
      <c r="N407" s="409"/>
      <c r="O407" s="432"/>
      <c r="P407" s="410"/>
      <c r="Q407" s="410">
        <v>0</v>
      </c>
      <c r="R407" s="410" t="s">
        <v>153</v>
      </c>
      <c r="S407" s="37">
        <v>1500109</v>
      </c>
      <c r="T407" s="415"/>
      <c r="U407" s="416"/>
      <c r="V407" s="410" t="s">
        <v>342</v>
      </c>
      <c r="W407" s="608" t="s">
        <v>1671</v>
      </c>
      <c r="X407" s="608" t="s">
        <v>1671</v>
      </c>
      <c r="Y407" s="410"/>
      <c r="Z407" s="410"/>
      <c r="AA407" s="410"/>
      <c r="AB407" s="410"/>
      <c r="AC407" s="37"/>
      <c r="AD407" s="37"/>
      <c r="AE407" s="37">
        <v>0</v>
      </c>
      <c r="AF407" s="37">
        <v>0</v>
      </c>
      <c r="AG407" s="37">
        <v>0</v>
      </c>
      <c r="AH407" s="37"/>
      <c r="AI407" s="37">
        <v>0</v>
      </c>
      <c r="AJ407" s="37">
        <v>0</v>
      </c>
      <c r="AK407" s="420"/>
      <c r="AL407" s="420"/>
      <c r="AM407" s="420"/>
      <c r="AN407" s="37"/>
      <c r="AO407" s="37"/>
      <c r="AP407" s="37"/>
      <c r="AQ407" s="37" t="s">
        <v>1672</v>
      </c>
      <c r="AR407" s="423"/>
    </row>
    <row r="408" spans="1:44" ht="15" customHeight="1">
      <c r="A408" s="37">
        <v>1130110</v>
      </c>
      <c r="B408" s="37" t="s">
        <v>1628</v>
      </c>
      <c r="C408" s="432" t="s">
        <v>1673</v>
      </c>
      <c r="D408" s="37" t="s">
        <v>81</v>
      </c>
      <c r="E408" s="37" t="s">
        <v>1630</v>
      </c>
      <c r="F408" s="37">
        <v>7</v>
      </c>
      <c r="G408" s="37">
        <v>13</v>
      </c>
      <c r="H408" s="37" t="s">
        <v>136</v>
      </c>
      <c r="I408" s="37" t="s">
        <v>137</v>
      </c>
      <c r="J408" s="37"/>
      <c r="K408" s="37"/>
      <c r="L408" s="431"/>
      <c r="M408" s="409"/>
      <c r="N408" s="409"/>
      <c r="O408" s="432"/>
      <c r="P408" s="410"/>
      <c r="Q408" s="410">
        <v>0</v>
      </c>
      <c r="R408" s="410" t="s">
        <v>153</v>
      </c>
      <c r="S408" s="37">
        <v>1500110</v>
      </c>
      <c r="T408" s="415"/>
      <c r="U408" s="416"/>
      <c r="V408" s="410" t="s">
        <v>342</v>
      </c>
      <c r="W408" s="608" t="s">
        <v>1674</v>
      </c>
      <c r="X408" s="608" t="s">
        <v>1674</v>
      </c>
      <c r="Y408" s="410"/>
      <c r="Z408" s="410"/>
      <c r="AA408" s="410"/>
      <c r="AB408" s="410"/>
      <c r="AC408" s="37"/>
      <c r="AD408" s="37"/>
      <c r="AE408" s="37">
        <v>0</v>
      </c>
      <c r="AF408" s="37">
        <v>0</v>
      </c>
      <c r="AG408" s="37">
        <v>0</v>
      </c>
      <c r="AH408" s="37"/>
      <c r="AI408" s="37">
        <v>0</v>
      </c>
      <c r="AJ408" s="37">
        <v>0</v>
      </c>
      <c r="AK408" s="420"/>
      <c r="AL408" s="420"/>
      <c r="AM408" s="420"/>
      <c r="AN408" s="37"/>
      <c r="AO408" s="37"/>
      <c r="AP408" s="37"/>
      <c r="AQ408" s="37" t="s">
        <v>1675</v>
      </c>
      <c r="AR408" s="423"/>
    </row>
    <row r="409" spans="1:44" ht="15" customHeight="1">
      <c r="A409" s="3">
        <v>1130111</v>
      </c>
      <c r="B409" s="3" t="s">
        <v>1628</v>
      </c>
      <c r="C409" s="236" t="s">
        <v>1676</v>
      </c>
      <c r="D409" s="3" t="s">
        <v>81</v>
      </c>
      <c r="E409" s="3" t="s">
        <v>1630</v>
      </c>
      <c r="F409" s="3">
        <v>8</v>
      </c>
      <c r="G409" s="3">
        <v>13</v>
      </c>
      <c r="H409" s="3" t="s">
        <v>136</v>
      </c>
      <c r="I409" s="3" t="s">
        <v>137</v>
      </c>
      <c r="J409" s="3"/>
      <c r="K409" s="3"/>
      <c r="L409" s="236"/>
      <c r="M409" s="99"/>
      <c r="N409" s="99"/>
      <c r="O409" s="236"/>
      <c r="P409" s="22"/>
      <c r="Q409" s="22">
        <v>0</v>
      </c>
      <c r="R409" s="22" t="s">
        <v>153</v>
      </c>
      <c r="S409" s="3"/>
      <c r="T409" s="260"/>
      <c r="U409" s="261"/>
      <c r="V409" s="22"/>
      <c r="W409" s="567" t="s">
        <v>169</v>
      </c>
      <c r="X409" s="567" t="s">
        <v>6736</v>
      </c>
      <c r="Y409" s="22"/>
      <c r="Z409" s="22"/>
      <c r="AA409" s="22"/>
      <c r="AB409" s="22" t="s">
        <v>114</v>
      </c>
      <c r="AC409" s="3"/>
      <c r="AD409" s="3"/>
      <c r="AE409" s="3">
        <v>0</v>
      </c>
      <c r="AF409" s="3">
        <v>0</v>
      </c>
      <c r="AG409" s="3">
        <v>0</v>
      </c>
      <c r="AH409" s="3"/>
      <c r="AI409" s="3">
        <v>0</v>
      </c>
      <c r="AJ409" s="3">
        <v>0</v>
      </c>
      <c r="AK409" s="3">
        <v>0</v>
      </c>
      <c r="AL409" s="3"/>
      <c r="AM409" s="3"/>
      <c r="AN409" s="3"/>
      <c r="AO409" s="3"/>
      <c r="AP409" s="3"/>
      <c r="AQ409" s="3" t="s">
        <v>1660</v>
      </c>
      <c r="AR409" s="281"/>
    </row>
    <row r="410" spans="1:44" ht="15" customHeight="1">
      <c r="A410" s="3">
        <v>1130112</v>
      </c>
      <c r="B410" s="3" t="s">
        <v>1628</v>
      </c>
      <c r="C410" s="236" t="s">
        <v>1677</v>
      </c>
      <c r="D410" s="3" t="s">
        <v>81</v>
      </c>
      <c r="E410" s="3" t="s">
        <v>1630</v>
      </c>
      <c r="F410" s="3">
        <v>9</v>
      </c>
      <c r="G410" s="3">
        <v>13</v>
      </c>
      <c r="H410" s="3" t="s">
        <v>136</v>
      </c>
      <c r="I410" s="3" t="s">
        <v>137</v>
      </c>
      <c r="J410" s="3"/>
      <c r="K410" s="3"/>
      <c r="L410" s="236"/>
      <c r="M410" s="99"/>
      <c r="N410" s="99"/>
      <c r="O410" s="236"/>
      <c r="P410" s="22"/>
      <c r="Q410" s="22">
        <v>0</v>
      </c>
      <c r="R410" s="22" t="s">
        <v>153</v>
      </c>
      <c r="S410" s="3"/>
      <c r="T410" s="260"/>
      <c r="U410" s="261"/>
      <c r="V410" s="22"/>
      <c r="W410" s="567" t="s">
        <v>1678</v>
      </c>
      <c r="X410" s="567" t="s">
        <v>6739</v>
      </c>
      <c r="Y410" s="22"/>
      <c r="Z410" s="22"/>
      <c r="AA410" s="22"/>
      <c r="AB410" s="22" t="s">
        <v>114</v>
      </c>
      <c r="AC410" s="3"/>
      <c r="AD410" s="3"/>
      <c r="AE410" s="3">
        <v>0</v>
      </c>
      <c r="AF410" s="3">
        <v>0</v>
      </c>
      <c r="AG410" s="3">
        <v>0</v>
      </c>
      <c r="AH410" s="3"/>
      <c r="AI410" s="3">
        <v>0</v>
      </c>
      <c r="AJ410" s="3">
        <v>0</v>
      </c>
      <c r="AK410" s="3">
        <v>0</v>
      </c>
      <c r="AL410" s="3"/>
      <c r="AM410" s="3"/>
      <c r="AN410" s="3"/>
      <c r="AO410" s="3"/>
      <c r="AP410" s="3"/>
      <c r="AQ410" s="282" t="str">
        <f>"tricks/"&amp;A410</f>
        <v>tricks/1130112</v>
      </c>
    </row>
    <row r="411" spans="1:44" ht="15" customHeight="1">
      <c r="A411" s="3">
        <v>1130113</v>
      </c>
      <c r="B411" s="3" t="s">
        <v>1628</v>
      </c>
      <c r="C411" s="610" t="s">
        <v>1679</v>
      </c>
      <c r="D411" s="3" t="s">
        <v>81</v>
      </c>
      <c r="E411" s="3" t="s">
        <v>1630</v>
      </c>
      <c r="F411" s="3">
        <v>10</v>
      </c>
      <c r="G411" s="3">
        <v>13</v>
      </c>
      <c r="H411" s="3" t="s">
        <v>136</v>
      </c>
      <c r="I411" s="3" t="s">
        <v>137</v>
      </c>
      <c r="J411" s="3"/>
      <c r="K411" s="3"/>
      <c r="L411" s="236"/>
      <c r="M411" s="99"/>
      <c r="N411" s="99"/>
      <c r="O411" s="236"/>
      <c r="P411" s="22"/>
      <c r="Q411" s="22">
        <v>0</v>
      </c>
      <c r="R411" s="22" t="s">
        <v>153</v>
      </c>
      <c r="S411" s="3"/>
      <c r="T411" s="260"/>
      <c r="U411" s="261"/>
      <c r="V411" s="22"/>
      <c r="W411" s="567" t="s">
        <v>1680</v>
      </c>
      <c r="X411" s="567" t="s">
        <v>6735</v>
      </c>
      <c r="Y411" s="22"/>
      <c r="Z411" s="22"/>
      <c r="AA411" s="22"/>
      <c r="AB411" s="22" t="s">
        <v>114</v>
      </c>
      <c r="AC411" s="3"/>
      <c r="AD411" s="3"/>
      <c r="AE411" s="3">
        <v>0</v>
      </c>
      <c r="AF411" s="3">
        <v>0</v>
      </c>
      <c r="AG411" s="3">
        <v>0</v>
      </c>
      <c r="AH411" s="3"/>
      <c r="AI411" s="3">
        <v>0</v>
      </c>
      <c r="AJ411" s="3">
        <v>0</v>
      </c>
      <c r="AK411" s="3">
        <v>0</v>
      </c>
      <c r="AL411" s="3"/>
      <c r="AM411" s="3"/>
      <c r="AN411" s="3"/>
      <c r="AO411" s="3"/>
      <c r="AP411" s="3"/>
      <c r="AQ411" s="282" t="str">
        <f>"tricks/"&amp;A411</f>
        <v>tricks/1130113</v>
      </c>
    </row>
    <row r="412" spans="1:44" s="214" customFormat="1" ht="15" customHeight="1">
      <c r="A412" s="41">
        <v>1130201</v>
      </c>
      <c r="B412" s="448" t="s">
        <v>1681</v>
      </c>
      <c r="C412" s="174" t="s">
        <v>1682</v>
      </c>
      <c r="D412" s="41" t="s">
        <v>81</v>
      </c>
      <c r="E412" s="41" t="s">
        <v>1630</v>
      </c>
      <c r="F412" s="41">
        <v>1</v>
      </c>
      <c r="G412" s="41">
        <v>13</v>
      </c>
      <c r="H412" s="41" t="s">
        <v>82</v>
      </c>
      <c r="I412" s="41" t="s">
        <v>101</v>
      </c>
      <c r="J412" s="41"/>
      <c r="K412" s="41">
        <v>1</v>
      </c>
      <c r="L412" s="437"/>
      <c r="M412" s="438"/>
      <c r="N412" s="438"/>
      <c r="O412" s="174"/>
      <c r="P412" s="137">
        <v>1</v>
      </c>
      <c r="Q412" s="137">
        <v>0</v>
      </c>
      <c r="R412" s="137" t="s">
        <v>85</v>
      </c>
      <c r="S412" s="41">
        <v>1500101</v>
      </c>
      <c r="T412" s="441" t="s">
        <v>1683</v>
      </c>
      <c r="U412" s="441"/>
      <c r="V412" s="137" t="s">
        <v>342</v>
      </c>
      <c r="W412" s="612" t="str">
        <f>X412</f>
        <v>主动招式：先以巧劲将敌人轰扫而起，随后借势连攻要穴，对敌人造成多段外功伤害。（影响属性：武力）</v>
      </c>
      <c r="X412" s="612" t="s">
        <v>1684</v>
      </c>
      <c r="Y412" s="137"/>
      <c r="Z412" s="137"/>
      <c r="AA412" s="137">
        <v>1</v>
      </c>
      <c r="AB412" s="137" t="s">
        <v>90</v>
      </c>
      <c r="AC412" s="41"/>
      <c r="AD412" s="41"/>
      <c r="AE412" s="41">
        <v>1</v>
      </c>
      <c r="AF412" s="41">
        <v>2</v>
      </c>
      <c r="AG412" s="41">
        <v>6</v>
      </c>
      <c r="AH412" s="41"/>
      <c r="AI412" s="41">
        <v>39</v>
      </c>
      <c r="AJ412" s="41">
        <v>26</v>
      </c>
      <c r="AK412" s="139"/>
      <c r="AL412" s="139"/>
      <c r="AM412" s="139"/>
      <c r="AN412" s="448" t="s">
        <v>1685</v>
      </c>
      <c r="AO412" s="41"/>
      <c r="AP412" s="41"/>
      <c r="AQ412" s="8" t="str">
        <f>"tricks/"&amp;A412</f>
        <v>tricks/1130201</v>
      </c>
      <c r="AR412" s="449">
        <v>372</v>
      </c>
    </row>
    <row r="413" spans="1:44" s="214" customFormat="1" ht="15" customHeight="1">
      <c r="A413" s="41">
        <v>1130202</v>
      </c>
      <c r="B413" s="41" t="s">
        <v>1681</v>
      </c>
      <c r="C413" s="174" t="s">
        <v>1686</v>
      </c>
      <c r="D413" s="41" t="s">
        <v>81</v>
      </c>
      <c r="E413" s="41" t="s">
        <v>1630</v>
      </c>
      <c r="F413" s="41">
        <v>1</v>
      </c>
      <c r="G413" s="41">
        <v>13</v>
      </c>
      <c r="H413" s="41" t="s">
        <v>136</v>
      </c>
      <c r="I413" s="41" t="s">
        <v>137</v>
      </c>
      <c r="J413" s="41"/>
      <c r="K413" s="41"/>
      <c r="L413" s="437"/>
      <c r="M413" s="438"/>
      <c r="N413" s="438"/>
      <c r="O413" s="174"/>
      <c r="P413" s="137"/>
      <c r="Q413" s="137">
        <v>0</v>
      </c>
      <c r="R413" s="137" t="s">
        <v>153</v>
      </c>
      <c r="S413" s="41">
        <v>1500102</v>
      </c>
      <c r="T413" s="441" t="s">
        <v>1644</v>
      </c>
      <c r="U413" s="441"/>
      <c r="V413" s="137" t="s">
        <v>342</v>
      </c>
      <c r="W413" s="612" t="str">
        <f t="shared" ref="W413:W424" si="5">X413</f>
        <v>被动招式：使用【掣骨金虹决】招式造成伤害时额外对敌方附加【灼虹】效果，每秒损失气血1%的气血，效果持续5秒。</v>
      </c>
      <c r="X413" s="612" t="s">
        <v>1687</v>
      </c>
      <c r="Y413" s="137"/>
      <c r="Z413" s="137"/>
      <c r="AA413" s="137"/>
      <c r="AB413" s="137"/>
      <c r="AC413" s="41"/>
      <c r="AD413" s="41"/>
      <c r="AE413" s="41">
        <v>0</v>
      </c>
      <c r="AF413" s="41">
        <v>0</v>
      </c>
      <c r="AG413" s="41">
        <v>0</v>
      </c>
      <c r="AH413" s="41"/>
      <c r="AI413" s="41">
        <v>0</v>
      </c>
      <c r="AJ413" s="41">
        <v>0</v>
      </c>
      <c r="AK413" s="139"/>
      <c r="AL413" s="139"/>
      <c r="AM413" s="139"/>
      <c r="AN413" s="41"/>
      <c r="AO413" s="41"/>
      <c r="AP413" s="41"/>
      <c r="AQ413" s="8" t="str">
        <f t="shared" ref="AQ413:AQ424" si="6">"tricks/"&amp;A413</f>
        <v>tricks/1130202</v>
      </c>
      <c r="AR413" s="449"/>
    </row>
    <row r="414" spans="1:44" s="214" customFormat="1" ht="15" customHeight="1">
      <c r="A414" s="41">
        <v>1130203</v>
      </c>
      <c r="B414" s="41" t="s">
        <v>1681</v>
      </c>
      <c r="C414" s="174" t="s">
        <v>1688</v>
      </c>
      <c r="D414" s="41" t="s">
        <v>81</v>
      </c>
      <c r="E414" s="41" t="s">
        <v>1630</v>
      </c>
      <c r="F414" s="41">
        <v>1</v>
      </c>
      <c r="G414" s="41">
        <v>13</v>
      </c>
      <c r="H414" s="41" t="s">
        <v>82</v>
      </c>
      <c r="I414" s="41" t="s">
        <v>101</v>
      </c>
      <c r="J414" s="41"/>
      <c r="K414" s="41">
        <v>2</v>
      </c>
      <c r="L414" s="437"/>
      <c r="M414" s="438"/>
      <c r="N414" s="438"/>
      <c r="O414" s="174"/>
      <c r="P414" s="137">
        <v>1</v>
      </c>
      <c r="Q414" s="137">
        <v>0</v>
      </c>
      <c r="R414" s="137" t="s">
        <v>85</v>
      </c>
      <c r="S414" s="41">
        <v>1500103</v>
      </c>
      <c r="T414" s="441" t="s">
        <v>1689</v>
      </c>
      <c r="U414" s="441"/>
      <c r="V414" s="137" t="s">
        <v>342</v>
      </c>
      <c r="W414" s="612" t="str">
        <f t="shared" si="5"/>
        <v>主动招式：大开大阖，遮拦扫打，对敌人造成多段外功伤害。（影响属性：武力）</v>
      </c>
      <c r="X414" s="612" t="s">
        <v>1690</v>
      </c>
      <c r="Y414" s="137"/>
      <c r="Z414" s="137"/>
      <c r="AA414" s="137">
        <v>1</v>
      </c>
      <c r="AB414" s="137" t="s">
        <v>90</v>
      </c>
      <c r="AC414" s="41"/>
      <c r="AD414" s="41"/>
      <c r="AE414" s="41">
        <v>1</v>
      </c>
      <c r="AF414" s="41">
        <v>1</v>
      </c>
      <c r="AG414" s="41">
        <v>5</v>
      </c>
      <c r="AH414" s="41"/>
      <c r="AI414" s="41">
        <v>39</v>
      </c>
      <c r="AJ414" s="41">
        <v>26</v>
      </c>
      <c r="AK414" s="139"/>
      <c r="AL414" s="139"/>
      <c r="AM414" s="139"/>
      <c r="AN414" s="448" t="s">
        <v>1691</v>
      </c>
      <c r="AO414" s="448" t="s">
        <v>1692</v>
      </c>
      <c r="AP414" s="41"/>
      <c r="AQ414" s="8" t="str">
        <f t="shared" si="6"/>
        <v>tricks/1130203</v>
      </c>
      <c r="AR414" s="449">
        <v>373</v>
      </c>
    </row>
    <row r="415" spans="1:44" s="214" customFormat="1" ht="15" customHeight="1">
      <c r="A415" s="41">
        <v>1130204</v>
      </c>
      <c r="B415" s="41" t="s">
        <v>1681</v>
      </c>
      <c r="C415" s="174" t="s">
        <v>1693</v>
      </c>
      <c r="D415" s="41" t="s">
        <v>81</v>
      </c>
      <c r="E415" s="41" t="s">
        <v>1630</v>
      </c>
      <c r="F415" s="41">
        <v>2</v>
      </c>
      <c r="G415" s="41">
        <v>13</v>
      </c>
      <c r="H415" s="41" t="s">
        <v>136</v>
      </c>
      <c r="I415" s="41" t="s">
        <v>137</v>
      </c>
      <c r="J415" s="41"/>
      <c r="K415" s="41"/>
      <c r="L415" s="437"/>
      <c r="M415" s="438"/>
      <c r="N415" s="438"/>
      <c r="O415" s="174"/>
      <c r="P415" s="137"/>
      <c r="Q415" s="137">
        <v>0</v>
      </c>
      <c r="R415" s="137" t="s">
        <v>153</v>
      </c>
      <c r="S415" s="41">
        <v>1500104</v>
      </c>
      <c r="T415" s="442" t="s">
        <v>1644</v>
      </c>
      <c r="U415" s="442"/>
      <c r="V415" s="137" t="s">
        <v>342</v>
      </c>
      <c r="W415" s="612" t="str">
        <f t="shared" si="5"/>
        <v>被动招式：外功攻击力额外提升2%。</v>
      </c>
      <c r="X415" s="612" t="s">
        <v>1694</v>
      </c>
      <c r="Y415" s="137"/>
      <c r="Z415" s="137"/>
      <c r="AA415" s="137"/>
      <c r="AB415" s="137"/>
      <c r="AC415" s="41"/>
      <c r="AD415" s="41"/>
      <c r="AE415" s="41">
        <v>0</v>
      </c>
      <c r="AF415" s="41">
        <v>0</v>
      </c>
      <c r="AG415" s="41">
        <v>0</v>
      </c>
      <c r="AH415" s="41"/>
      <c r="AI415" s="41">
        <v>0</v>
      </c>
      <c r="AJ415" s="41">
        <v>0</v>
      </c>
      <c r="AK415" s="139"/>
      <c r="AL415" s="139"/>
      <c r="AM415" s="139"/>
      <c r="AN415" s="41"/>
      <c r="AO415" s="41"/>
      <c r="AP415" s="41"/>
      <c r="AQ415" s="8" t="str">
        <f t="shared" si="6"/>
        <v>tricks/1130204</v>
      </c>
      <c r="AR415" s="449"/>
    </row>
    <row r="416" spans="1:44" s="214" customFormat="1" ht="15" customHeight="1">
      <c r="A416" s="41">
        <v>1130205</v>
      </c>
      <c r="B416" s="41" t="s">
        <v>1681</v>
      </c>
      <c r="C416" s="174" t="s">
        <v>1695</v>
      </c>
      <c r="D416" s="41" t="s">
        <v>81</v>
      </c>
      <c r="E416" s="41" t="s">
        <v>1630</v>
      </c>
      <c r="F416" s="41">
        <v>1</v>
      </c>
      <c r="G416" s="41">
        <v>13</v>
      </c>
      <c r="H416" s="41" t="s">
        <v>82</v>
      </c>
      <c r="I416" s="41" t="s">
        <v>101</v>
      </c>
      <c r="J416" s="41"/>
      <c r="K416" s="41">
        <v>3</v>
      </c>
      <c r="L416" s="437"/>
      <c r="M416" s="438"/>
      <c r="N416" s="438"/>
      <c r="O416" s="174"/>
      <c r="P416" s="137">
        <v>1</v>
      </c>
      <c r="Q416" s="137">
        <v>0</v>
      </c>
      <c r="R416" s="137" t="s">
        <v>85</v>
      </c>
      <c r="S416" s="41">
        <v>1500105</v>
      </c>
      <c r="T416" s="441" t="s">
        <v>1689</v>
      </c>
      <c r="U416" s="441"/>
      <c r="V416" s="137" t="s">
        <v>342</v>
      </c>
      <c r="W416" s="612" t="str">
        <f t="shared" si="5"/>
        <v>主动招式：内力贯于掌中软兵之上，令其坚逾金铁、刚柔并济，挥洒恣意，并无定势，对敌人造成多段外功伤害。（影响属性：武力）</v>
      </c>
      <c r="X416" s="612" t="s">
        <v>1696</v>
      </c>
      <c r="Y416" s="137"/>
      <c r="Z416" s="137"/>
      <c r="AA416" s="137">
        <v>1</v>
      </c>
      <c r="AB416" s="137" t="s">
        <v>90</v>
      </c>
      <c r="AC416" s="41"/>
      <c r="AD416" s="41"/>
      <c r="AE416" s="41">
        <v>1</v>
      </c>
      <c r="AF416" s="41">
        <v>1</v>
      </c>
      <c r="AG416" s="41">
        <v>5</v>
      </c>
      <c r="AH416" s="41"/>
      <c r="AI416" s="41">
        <v>39</v>
      </c>
      <c r="AJ416" s="41">
        <v>26</v>
      </c>
      <c r="AK416" s="139"/>
      <c r="AL416" s="139"/>
      <c r="AM416" s="139"/>
      <c r="AN416" s="448" t="s">
        <v>1697</v>
      </c>
      <c r="AO416" s="41"/>
      <c r="AP416" s="41"/>
      <c r="AQ416" s="8" t="str">
        <f t="shared" si="6"/>
        <v>tricks/1130205</v>
      </c>
      <c r="AR416" s="449">
        <v>374</v>
      </c>
    </row>
    <row r="417" spans="1:44" s="214" customFormat="1" ht="15" customHeight="1">
      <c r="A417" s="41">
        <v>1130206</v>
      </c>
      <c r="B417" s="41" t="s">
        <v>1681</v>
      </c>
      <c r="C417" s="174" t="s">
        <v>1698</v>
      </c>
      <c r="D417" s="41" t="s">
        <v>81</v>
      </c>
      <c r="E417" s="41" t="s">
        <v>1630</v>
      </c>
      <c r="F417" s="41">
        <v>3</v>
      </c>
      <c r="G417" s="41">
        <v>13</v>
      </c>
      <c r="H417" s="41" t="s">
        <v>136</v>
      </c>
      <c r="I417" s="41" t="s">
        <v>137</v>
      </c>
      <c r="J417" s="41"/>
      <c r="K417" s="41"/>
      <c r="L417" s="437"/>
      <c r="M417" s="438"/>
      <c r="N417" s="438"/>
      <c r="O417" s="174"/>
      <c r="P417" s="137"/>
      <c r="Q417" s="137">
        <v>0</v>
      </c>
      <c r="R417" s="137" t="s">
        <v>153</v>
      </c>
      <c r="S417" s="41">
        <v>1500106</v>
      </c>
      <c r="T417" s="441"/>
      <c r="U417" s="443"/>
      <c r="V417" s="137" t="s">
        <v>342</v>
      </c>
      <c r="W417" s="612" t="str">
        <f t="shared" si="5"/>
        <v>被动招式：自身血量低于50%时，造成的伤害提升3%。</v>
      </c>
      <c r="X417" s="613" t="s">
        <v>1699</v>
      </c>
      <c r="Y417" s="137"/>
      <c r="Z417" s="137"/>
      <c r="AA417" s="137"/>
      <c r="AB417" s="137"/>
      <c r="AC417" s="41"/>
      <c r="AD417" s="41"/>
      <c r="AE417" s="41">
        <v>0</v>
      </c>
      <c r="AF417" s="41">
        <v>0</v>
      </c>
      <c r="AG417" s="41">
        <v>0</v>
      </c>
      <c r="AH417" s="41"/>
      <c r="AI417" s="41">
        <v>0</v>
      </c>
      <c r="AJ417" s="41">
        <v>0</v>
      </c>
      <c r="AK417" s="139"/>
      <c r="AL417" s="139"/>
      <c r="AM417" s="139"/>
      <c r="AN417" s="41"/>
      <c r="AO417" s="41"/>
      <c r="AP417" s="41"/>
      <c r="AQ417" s="8" t="str">
        <f t="shared" si="6"/>
        <v>tricks/1130206</v>
      </c>
      <c r="AR417" s="449"/>
    </row>
    <row r="418" spans="1:44" s="214" customFormat="1" ht="15" customHeight="1">
      <c r="A418" s="41">
        <v>1130207</v>
      </c>
      <c r="B418" s="41" t="s">
        <v>1681</v>
      </c>
      <c r="C418" s="174" t="s">
        <v>1700</v>
      </c>
      <c r="D418" s="41" t="s">
        <v>81</v>
      </c>
      <c r="E418" s="41" t="s">
        <v>1630</v>
      </c>
      <c r="F418" s="41">
        <v>4</v>
      </c>
      <c r="G418" s="41">
        <v>13</v>
      </c>
      <c r="H418" s="41" t="s">
        <v>136</v>
      </c>
      <c r="I418" s="41" t="s">
        <v>137</v>
      </c>
      <c r="J418" s="41"/>
      <c r="K418" s="41"/>
      <c r="L418" s="437"/>
      <c r="M418" s="438"/>
      <c r="N418" s="438"/>
      <c r="O418" s="174"/>
      <c r="P418" s="137"/>
      <c r="Q418" s="137">
        <v>0</v>
      </c>
      <c r="R418" s="137" t="s">
        <v>153</v>
      </c>
      <c r="S418" s="41">
        <v>1500107</v>
      </c>
      <c r="T418" s="441"/>
      <c r="U418" s="441"/>
      <c r="V418" s="137" t="s">
        <v>342</v>
      </c>
      <c r="W418" s="612" t="str">
        <f t="shared" si="5"/>
        <v>被动招式：自身的吸血属性提升10%。</v>
      </c>
      <c r="X418" s="612" t="s">
        <v>1701</v>
      </c>
      <c r="Y418" s="137"/>
      <c r="Z418" s="137"/>
      <c r="AA418" s="137"/>
      <c r="AB418" s="137"/>
      <c r="AC418" s="41"/>
      <c r="AD418" s="41"/>
      <c r="AE418" s="41">
        <v>0</v>
      </c>
      <c r="AF418" s="41">
        <v>0</v>
      </c>
      <c r="AG418" s="41">
        <v>0</v>
      </c>
      <c r="AH418" s="41"/>
      <c r="AI418" s="41">
        <v>0</v>
      </c>
      <c r="AJ418" s="41">
        <v>0</v>
      </c>
      <c r="AK418" s="139"/>
      <c r="AL418" s="139"/>
      <c r="AM418" s="139"/>
      <c r="AN418" s="41"/>
      <c r="AO418" s="41"/>
      <c r="AP418" s="41"/>
      <c r="AQ418" s="8" t="str">
        <f t="shared" si="6"/>
        <v>tricks/1130207</v>
      </c>
      <c r="AR418" s="449"/>
    </row>
    <row r="419" spans="1:44" s="214" customFormat="1" ht="15" customHeight="1">
      <c r="A419" s="41">
        <v>1130208</v>
      </c>
      <c r="B419" s="41" t="s">
        <v>1681</v>
      </c>
      <c r="C419" s="174" t="s">
        <v>1702</v>
      </c>
      <c r="D419" s="41" t="s">
        <v>81</v>
      </c>
      <c r="E419" s="41" t="s">
        <v>1630</v>
      </c>
      <c r="F419" s="41">
        <v>5</v>
      </c>
      <c r="G419" s="41">
        <v>13</v>
      </c>
      <c r="H419" s="41" t="s">
        <v>136</v>
      </c>
      <c r="I419" s="41" t="s">
        <v>137</v>
      </c>
      <c r="J419" s="41"/>
      <c r="K419" s="41"/>
      <c r="L419" s="437"/>
      <c r="M419" s="438"/>
      <c r="N419" s="438"/>
      <c r="O419" s="174"/>
      <c r="P419" s="137"/>
      <c r="Q419" s="137">
        <v>0</v>
      </c>
      <c r="R419" s="137" t="s">
        <v>153</v>
      </c>
      <c r="S419" s="41">
        <v>1500108</v>
      </c>
      <c r="T419" s="441"/>
      <c r="U419" s="441"/>
      <c r="V419" s="137" t="s">
        <v>342</v>
      </c>
      <c r="W419" s="612" t="str">
        <f t="shared" si="5"/>
        <v>被动招式：角色造成伤害时即为目标附加【灼虹】效果。</v>
      </c>
      <c r="X419" s="612" t="s">
        <v>1703</v>
      </c>
      <c r="Y419" s="137"/>
      <c r="Z419" s="137"/>
      <c r="AA419" s="137"/>
      <c r="AB419" s="137"/>
      <c r="AC419" s="41"/>
      <c r="AD419" s="41"/>
      <c r="AE419" s="41">
        <v>0</v>
      </c>
      <c r="AF419" s="41">
        <v>0</v>
      </c>
      <c r="AG419" s="41">
        <v>0</v>
      </c>
      <c r="AH419" s="41"/>
      <c r="AI419" s="41">
        <v>0</v>
      </c>
      <c r="AJ419" s="41">
        <v>0</v>
      </c>
      <c r="AK419" s="139"/>
      <c r="AL419" s="139"/>
      <c r="AM419" s="139"/>
      <c r="AN419" s="41"/>
      <c r="AO419" s="41"/>
      <c r="AP419" s="41"/>
      <c r="AQ419" s="8" t="str">
        <f t="shared" si="6"/>
        <v>tricks/1130208</v>
      </c>
      <c r="AR419" s="449"/>
    </row>
    <row r="420" spans="1:44" s="214" customFormat="1" ht="15" customHeight="1">
      <c r="A420" s="41">
        <v>1130209</v>
      </c>
      <c r="B420" s="41" t="s">
        <v>1681</v>
      </c>
      <c r="C420" s="174" t="s">
        <v>1704</v>
      </c>
      <c r="D420" s="41" t="s">
        <v>81</v>
      </c>
      <c r="E420" s="41" t="s">
        <v>1630</v>
      </c>
      <c r="F420" s="41">
        <v>6</v>
      </c>
      <c r="G420" s="41">
        <v>13</v>
      </c>
      <c r="H420" s="41" t="s">
        <v>136</v>
      </c>
      <c r="I420" s="41" t="s">
        <v>137</v>
      </c>
      <c r="J420" s="41"/>
      <c r="K420" s="41"/>
      <c r="L420" s="437"/>
      <c r="M420" s="438"/>
      <c r="N420" s="438"/>
      <c r="O420" s="174"/>
      <c r="P420" s="137"/>
      <c r="Q420" s="137">
        <v>0</v>
      </c>
      <c r="R420" s="137" t="s">
        <v>153</v>
      </c>
      <c r="S420" s="41">
        <v>1500109</v>
      </c>
      <c r="T420" s="441"/>
      <c r="U420" s="441"/>
      <c r="V420" s="137" t="s">
        <v>342</v>
      </c>
      <c r="W420" s="612" t="str">
        <f t="shared" si="5"/>
        <v>被动招式：自身血量低于50%时，造成的伤害提升至5%。</v>
      </c>
      <c r="X420" s="613" t="s">
        <v>1705</v>
      </c>
      <c r="Y420" s="137"/>
      <c r="Z420" s="137"/>
      <c r="AA420" s="137"/>
      <c r="AB420" s="137"/>
      <c r="AC420" s="41"/>
      <c r="AD420" s="41"/>
      <c r="AE420" s="41">
        <v>0</v>
      </c>
      <c r="AF420" s="41">
        <v>0</v>
      </c>
      <c r="AG420" s="41">
        <v>0</v>
      </c>
      <c r="AH420" s="41"/>
      <c r="AI420" s="41">
        <v>0</v>
      </c>
      <c r="AJ420" s="41">
        <v>0</v>
      </c>
      <c r="AK420" s="139"/>
      <c r="AL420" s="139"/>
      <c r="AM420" s="139"/>
      <c r="AN420" s="41"/>
      <c r="AO420" s="41"/>
      <c r="AP420" s="41"/>
      <c r="AQ420" s="8" t="str">
        <f t="shared" si="6"/>
        <v>tricks/1130209</v>
      </c>
      <c r="AR420" s="449"/>
    </row>
    <row r="421" spans="1:44" s="214" customFormat="1" ht="15" customHeight="1">
      <c r="A421" s="41">
        <v>1130210</v>
      </c>
      <c r="B421" s="41" t="s">
        <v>1681</v>
      </c>
      <c r="C421" s="174" t="s">
        <v>1706</v>
      </c>
      <c r="D421" s="41" t="s">
        <v>81</v>
      </c>
      <c r="E421" s="41" t="s">
        <v>1630</v>
      </c>
      <c r="F421" s="41">
        <v>7</v>
      </c>
      <c r="G421" s="41">
        <v>13</v>
      </c>
      <c r="H421" s="41" t="s">
        <v>136</v>
      </c>
      <c r="I421" s="41" t="s">
        <v>137</v>
      </c>
      <c r="J421" s="41"/>
      <c r="K421" s="41"/>
      <c r="L421" s="437"/>
      <c r="M421" s="438"/>
      <c r="N421" s="438"/>
      <c r="O421" s="174"/>
      <c r="P421" s="137"/>
      <c r="Q421" s="137">
        <v>0</v>
      </c>
      <c r="R421" s="137" t="s">
        <v>153</v>
      </c>
      <c r="S421" s="41">
        <v>1500110</v>
      </c>
      <c r="T421" s="441"/>
      <c r="U421" s="442"/>
      <c r="V421" s="137" t="s">
        <v>342</v>
      </c>
      <c r="W421" s="612" t="str">
        <f t="shared" si="5"/>
        <v>被动招式：自身造成的伤害额外提升5%，移动速度提升50点。</v>
      </c>
      <c r="X421" s="612" t="s">
        <v>1707</v>
      </c>
      <c r="Y421" s="137"/>
      <c r="Z421" s="137"/>
      <c r="AA421" s="137"/>
      <c r="AB421" s="137"/>
      <c r="AC421" s="41"/>
      <c r="AD421" s="41"/>
      <c r="AE421" s="41">
        <v>0</v>
      </c>
      <c r="AF421" s="41">
        <v>0</v>
      </c>
      <c r="AG421" s="41">
        <v>0</v>
      </c>
      <c r="AH421" s="41"/>
      <c r="AI421" s="41">
        <v>0</v>
      </c>
      <c r="AJ421" s="41">
        <v>0</v>
      </c>
      <c r="AK421" s="139"/>
      <c r="AL421" s="139"/>
      <c r="AM421" s="139"/>
      <c r="AN421" s="41"/>
      <c r="AO421" s="41"/>
      <c r="AP421" s="41"/>
      <c r="AQ421" s="8" t="str">
        <f t="shared" si="6"/>
        <v>tricks/1130210</v>
      </c>
      <c r="AR421" s="449"/>
    </row>
    <row r="422" spans="1:44" s="214" customFormat="1" ht="15" customHeight="1">
      <c r="A422" s="41">
        <v>1130211</v>
      </c>
      <c r="B422" s="41" t="s">
        <v>1681</v>
      </c>
      <c r="C422" s="174" t="s">
        <v>1708</v>
      </c>
      <c r="D422" s="41" t="s">
        <v>81</v>
      </c>
      <c r="E422" s="41" t="s">
        <v>1630</v>
      </c>
      <c r="F422" s="41">
        <v>8</v>
      </c>
      <c r="G422" s="41">
        <v>13</v>
      </c>
      <c r="H422" s="41" t="s">
        <v>136</v>
      </c>
      <c r="I422" s="41" t="s">
        <v>137</v>
      </c>
      <c r="J422" s="41"/>
      <c r="K422" s="41"/>
      <c r="L422" s="174"/>
      <c r="M422" s="438"/>
      <c r="N422" s="438"/>
      <c r="O422" s="174"/>
      <c r="P422" s="137"/>
      <c r="Q422" s="137">
        <v>0</v>
      </c>
      <c r="R422" s="137" t="s">
        <v>153</v>
      </c>
      <c r="S422" s="41"/>
      <c r="T422" s="444"/>
      <c r="U422" s="441"/>
      <c r="V422" s="137"/>
      <c r="W422" s="612" t="str">
        <f t="shared" si="5"/>
        <v>被动招式：进入战斗后,武力属性增加3点。</v>
      </c>
      <c r="X422" s="614" t="s">
        <v>6736</v>
      </c>
      <c r="Y422" s="137"/>
      <c r="Z422" s="137"/>
      <c r="AA422" s="137"/>
      <c r="AB422" s="137" t="s">
        <v>114</v>
      </c>
      <c r="AC422" s="41"/>
      <c r="AD422" s="41"/>
      <c r="AE422" s="41">
        <v>0</v>
      </c>
      <c r="AF422" s="41">
        <v>0</v>
      </c>
      <c r="AG422" s="41">
        <v>0</v>
      </c>
      <c r="AH422" s="41"/>
      <c r="AI422" s="41">
        <v>0</v>
      </c>
      <c r="AJ422" s="41">
        <v>0</v>
      </c>
      <c r="AK422" s="41">
        <v>0</v>
      </c>
      <c r="AL422" s="41"/>
      <c r="AM422" s="41"/>
      <c r="AN422" s="41"/>
      <c r="AO422" s="41"/>
      <c r="AP422" s="41"/>
      <c r="AQ422" s="8" t="str">
        <f t="shared" si="6"/>
        <v>tricks/1130211</v>
      </c>
      <c r="AR422" s="449"/>
    </row>
    <row r="423" spans="1:44" s="214" customFormat="1" ht="15" customHeight="1">
      <c r="A423" s="41">
        <v>1130212</v>
      </c>
      <c r="B423" s="41" t="s">
        <v>1681</v>
      </c>
      <c r="C423" s="174" t="s">
        <v>1709</v>
      </c>
      <c r="D423" s="41" t="s">
        <v>81</v>
      </c>
      <c r="E423" s="41" t="s">
        <v>1630</v>
      </c>
      <c r="F423" s="41">
        <v>9</v>
      </c>
      <c r="G423" s="41">
        <v>13</v>
      </c>
      <c r="H423" s="41" t="s">
        <v>136</v>
      </c>
      <c r="I423" s="41" t="s">
        <v>137</v>
      </c>
      <c r="J423" s="41"/>
      <c r="K423" s="41"/>
      <c r="L423" s="174"/>
      <c r="M423" s="438"/>
      <c r="N423" s="438"/>
      <c r="O423" s="174"/>
      <c r="P423" s="137"/>
      <c r="Q423" s="137">
        <v>0</v>
      </c>
      <c r="R423" s="137" t="s">
        <v>153</v>
      </c>
      <c r="S423" s="41"/>
      <c r="T423" s="444"/>
      <c r="U423" s="445"/>
      <c r="V423" s="137"/>
      <c r="W423" s="612" t="str">
        <f t="shared" si="5"/>
        <v>被动招式：对目标造成伤害时，为自身恢复1点真气值，此效果每20秒仅能触发1次。</v>
      </c>
      <c r="X423" s="614" t="s">
        <v>1710</v>
      </c>
      <c r="Y423" s="137"/>
      <c r="Z423" s="137"/>
      <c r="AA423" s="137"/>
      <c r="AB423" s="137" t="s">
        <v>114</v>
      </c>
      <c r="AC423" s="41"/>
      <c r="AD423" s="41"/>
      <c r="AE423" s="41">
        <v>0</v>
      </c>
      <c r="AF423" s="41">
        <v>0</v>
      </c>
      <c r="AG423" s="41">
        <v>0</v>
      </c>
      <c r="AH423" s="41"/>
      <c r="AI423" s="41">
        <v>0</v>
      </c>
      <c r="AJ423" s="41">
        <v>0</v>
      </c>
      <c r="AK423" s="41">
        <v>0</v>
      </c>
      <c r="AL423" s="41"/>
      <c r="AM423" s="41"/>
      <c r="AN423" s="41"/>
      <c r="AO423" s="41"/>
      <c r="AP423" s="41"/>
      <c r="AQ423" s="8" t="str">
        <f t="shared" si="6"/>
        <v>tricks/1130212</v>
      </c>
      <c r="AR423" s="449"/>
    </row>
    <row r="424" spans="1:44" s="214" customFormat="1" ht="15" customHeight="1">
      <c r="A424" s="41">
        <v>1130213</v>
      </c>
      <c r="B424" s="41" t="s">
        <v>1681</v>
      </c>
      <c r="C424" s="611" t="s">
        <v>1711</v>
      </c>
      <c r="D424" s="41" t="s">
        <v>81</v>
      </c>
      <c r="E424" s="41" t="s">
        <v>1630</v>
      </c>
      <c r="F424" s="41">
        <v>10</v>
      </c>
      <c r="G424" s="41">
        <v>13</v>
      </c>
      <c r="H424" s="41" t="s">
        <v>136</v>
      </c>
      <c r="I424" s="41" t="s">
        <v>137</v>
      </c>
      <c r="J424" s="41"/>
      <c r="K424" s="41"/>
      <c r="L424" s="174"/>
      <c r="M424" s="438"/>
      <c r="N424" s="438"/>
      <c r="O424" s="174"/>
      <c r="P424" s="137"/>
      <c r="Q424" s="137">
        <v>0</v>
      </c>
      <c r="R424" s="137" t="s">
        <v>153</v>
      </c>
      <c r="S424" s="41"/>
      <c r="T424" s="444"/>
      <c r="U424" s="445"/>
      <c r="V424" s="137"/>
      <c r="W424" s="612" t="str">
        <f t="shared" si="5"/>
        <v>被动招式：自身外功攻击提升3%，且武力额外提升5点。</v>
      </c>
      <c r="X424" s="614" t="s">
        <v>1712</v>
      </c>
      <c r="Y424" s="137"/>
      <c r="Z424" s="137"/>
      <c r="AA424" s="137"/>
      <c r="AB424" s="137" t="s">
        <v>114</v>
      </c>
      <c r="AC424" s="41"/>
      <c r="AD424" s="41"/>
      <c r="AE424" s="41">
        <v>0</v>
      </c>
      <c r="AF424" s="41">
        <v>0</v>
      </c>
      <c r="AG424" s="41">
        <v>0</v>
      </c>
      <c r="AH424" s="41"/>
      <c r="AI424" s="41">
        <v>0</v>
      </c>
      <c r="AJ424" s="41">
        <v>0</v>
      </c>
      <c r="AK424" s="41">
        <v>0</v>
      </c>
      <c r="AL424" s="41"/>
      <c r="AM424" s="41"/>
      <c r="AN424" s="41"/>
      <c r="AO424" s="41"/>
      <c r="AP424" s="41"/>
      <c r="AQ424" s="8" t="str">
        <f t="shared" si="6"/>
        <v>tricks/1130213</v>
      </c>
      <c r="AR424" s="449"/>
    </row>
    <row r="425" spans="1:44" ht="15" customHeight="1">
      <c r="A425" s="5">
        <v>1140001</v>
      </c>
      <c r="B425" s="5" t="s">
        <v>1713</v>
      </c>
      <c r="C425" s="5" t="s">
        <v>1714</v>
      </c>
      <c r="D425" s="5" t="s">
        <v>81</v>
      </c>
      <c r="E425" s="5" t="s">
        <v>1715</v>
      </c>
      <c r="F425" s="5">
        <v>1</v>
      </c>
      <c r="G425" s="5">
        <v>14</v>
      </c>
      <c r="H425" s="5" t="s">
        <v>82</v>
      </c>
      <c r="I425" s="5" t="s">
        <v>83</v>
      </c>
      <c r="J425" s="5"/>
      <c r="K425" s="5">
        <v>4</v>
      </c>
      <c r="L425" s="439" t="s">
        <v>1716</v>
      </c>
      <c r="M425" s="231"/>
      <c r="N425" s="231"/>
      <c r="O425" s="5"/>
      <c r="P425" s="232"/>
      <c r="Q425" s="232">
        <v>0</v>
      </c>
      <c r="R425" s="232" t="s">
        <v>85</v>
      </c>
      <c r="S425" s="5">
        <v>1400001</v>
      </c>
      <c r="T425" s="256"/>
      <c r="U425" s="257"/>
      <c r="V425" s="232" t="s">
        <v>342</v>
      </c>
      <c r="W425" s="615" t="s">
        <v>1717</v>
      </c>
      <c r="X425" s="615" t="s">
        <v>1717</v>
      </c>
      <c r="Y425" s="232"/>
      <c r="Z425" s="232"/>
      <c r="AA425" s="232">
        <v>1</v>
      </c>
      <c r="AB425" s="232" t="s">
        <v>90</v>
      </c>
      <c r="AC425" s="5"/>
      <c r="AD425" s="5"/>
      <c r="AE425" s="5">
        <v>2</v>
      </c>
      <c r="AF425" s="5">
        <v>0</v>
      </c>
      <c r="AG425" s="5">
        <v>6</v>
      </c>
      <c r="AH425" s="5"/>
      <c r="AI425" s="5">
        <v>25</v>
      </c>
      <c r="AJ425" s="5">
        <v>15</v>
      </c>
      <c r="AK425" s="270"/>
      <c r="AL425" s="270"/>
      <c r="AM425" s="270"/>
      <c r="AN425" s="5" t="s">
        <v>1718</v>
      </c>
      <c r="AO425" s="5"/>
      <c r="AP425" s="5"/>
      <c r="AQ425" s="5" t="s">
        <v>1719</v>
      </c>
      <c r="AR425" s="279">
        <v>295</v>
      </c>
    </row>
    <row r="426" spans="1:44" ht="15" customHeight="1">
      <c r="A426" s="5">
        <v>1140002</v>
      </c>
      <c r="B426" s="5" t="s">
        <v>1713</v>
      </c>
      <c r="C426" s="5" t="s">
        <v>1720</v>
      </c>
      <c r="D426" s="5" t="s">
        <v>81</v>
      </c>
      <c r="E426" s="5" t="s">
        <v>1715</v>
      </c>
      <c r="F426" s="5">
        <v>1</v>
      </c>
      <c r="G426" s="5">
        <v>14</v>
      </c>
      <c r="H426" s="5" t="s">
        <v>82</v>
      </c>
      <c r="I426" s="5" t="s">
        <v>83</v>
      </c>
      <c r="J426" s="5"/>
      <c r="K426" s="5">
        <v>5</v>
      </c>
      <c r="L426" s="439" t="s">
        <v>1721</v>
      </c>
      <c r="M426" s="231"/>
      <c r="N426" s="231"/>
      <c r="O426" s="5"/>
      <c r="P426" s="232"/>
      <c r="Q426" s="232">
        <v>0</v>
      </c>
      <c r="R426" s="232" t="s">
        <v>85</v>
      </c>
      <c r="S426" s="5">
        <v>1400002</v>
      </c>
      <c r="T426" s="256"/>
      <c r="U426" s="257"/>
      <c r="V426" s="232" t="s">
        <v>342</v>
      </c>
      <c r="W426" s="615" t="s">
        <v>1722</v>
      </c>
      <c r="X426" s="615" t="s">
        <v>1722</v>
      </c>
      <c r="Y426" s="232"/>
      <c r="Z426" s="232"/>
      <c r="AA426" s="232">
        <v>1</v>
      </c>
      <c r="AB426" s="232" t="s">
        <v>90</v>
      </c>
      <c r="AC426" s="5"/>
      <c r="AD426" s="5"/>
      <c r="AE426" s="5">
        <v>2</v>
      </c>
      <c r="AF426" s="5">
        <v>0</v>
      </c>
      <c r="AG426" s="5">
        <v>7</v>
      </c>
      <c r="AH426" s="5"/>
      <c r="AI426" s="5">
        <v>25</v>
      </c>
      <c r="AJ426" s="5">
        <v>15</v>
      </c>
      <c r="AK426" s="270"/>
      <c r="AL426" s="270"/>
      <c r="AM426" s="270"/>
      <c r="AN426" s="5" t="s">
        <v>1723</v>
      </c>
      <c r="AO426" s="5"/>
      <c r="AP426" s="5"/>
      <c r="AQ426" s="5" t="s">
        <v>1724</v>
      </c>
      <c r="AR426" s="279">
        <v>296</v>
      </c>
    </row>
    <row r="427" spans="1:44" ht="15" customHeight="1">
      <c r="A427" s="6">
        <v>1140101</v>
      </c>
      <c r="B427" s="6" t="s">
        <v>1713</v>
      </c>
      <c r="C427" s="234" t="s">
        <v>1725</v>
      </c>
      <c r="D427" s="6" t="s">
        <v>81</v>
      </c>
      <c r="E427" s="6" t="s">
        <v>1715</v>
      </c>
      <c r="F427" s="6">
        <v>1</v>
      </c>
      <c r="G427" s="6">
        <v>14</v>
      </c>
      <c r="H427" s="6" t="s">
        <v>82</v>
      </c>
      <c r="I427" s="6" t="s">
        <v>101</v>
      </c>
      <c r="J427" s="6"/>
      <c r="K427" s="6">
        <v>1</v>
      </c>
      <c r="L427" s="394" t="s">
        <v>1726</v>
      </c>
      <c r="M427" s="235"/>
      <c r="N427" s="235"/>
      <c r="O427" s="234"/>
      <c r="P427" s="40">
        <v>1</v>
      </c>
      <c r="Q427" s="40">
        <v>0</v>
      </c>
      <c r="R427" s="40" t="s">
        <v>85</v>
      </c>
      <c r="S427" s="6">
        <v>1400101</v>
      </c>
      <c r="T427" s="258"/>
      <c r="U427" s="259"/>
      <c r="V427" s="40" t="s">
        <v>342</v>
      </c>
      <c r="W427" s="616" t="s">
        <v>1727</v>
      </c>
      <c r="X427" s="616" t="s">
        <v>1727</v>
      </c>
      <c r="Y427" s="40"/>
      <c r="Z427" s="40"/>
      <c r="AA427" s="40">
        <v>1</v>
      </c>
      <c r="AB427" s="40" t="s">
        <v>90</v>
      </c>
      <c r="AC427" s="6"/>
      <c r="AD427" s="6"/>
      <c r="AE427" s="6">
        <v>1</v>
      </c>
      <c r="AF427" s="6">
        <v>0</v>
      </c>
      <c r="AG427" s="6">
        <v>6</v>
      </c>
      <c r="AH427" s="6"/>
      <c r="AI427" s="6">
        <v>30</v>
      </c>
      <c r="AJ427" s="6">
        <v>20</v>
      </c>
      <c r="AK427" s="272"/>
      <c r="AL427" s="272"/>
      <c r="AM427" s="272"/>
      <c r="AN427" s="6" t="s">
        <v>1728</v>
      </c>
      <c r="AO427" s="6"/>
      <c r="AP427" s="6"/>
      <c r="AQ427" s="6" t="s">
        <v>1729</v>
      </c>
      <c r="AR427" s="280">
        <v>292</v>
      </c>
    </row>
    <row r="428" spans="1:44" ht="15" customHeight="1">
      <c r="A428" s="6">
        <v>1140102</v>
      </c>
      <c r="B428" s="6" t="s">
        <v>1713</v>
      </c>
      <c r="C428" s="234" t="s">
        <v>1730</v>
      </c>
      <c r="D428" s="6" t="s">
        <v>81</v>
      </c>
      <c r="E428" s="6" t="s">
        <v>1715</v>
      </c>
      <c r="F428" s="6">
        <v>1</v>
      </c>
      <c r="G428" s="6">
        <v>14</v>
      </c>
      <c r="H428" s="6" t="s">
        <v>136</v>
      </c>
      <c r="I428" s="6" t="s">
        <v>137</v>
      </c>
      <c r="J428" s="6"/>
      <c r="K428" s="6"/>
      <c r="L428" s="394" t="s">
        <v>1731</v>
      </c>
      <c r="M428" s="235"/>
      <c r="N428" s="235"/>
      <c r="O428" s="234"/>
      <c r="P428" s="40"/>
      <c r="Q428" s="40">
        <v>0</v>
      </c>
      <c r="R428" s="40"/>
      <c r="S428" s="6">
        <v>1400102</v>
      </c>
      <c r="T428" s="258"/>
      <c r="U428" s="259"/>
      <c r="V428" s="40" t="s">
        <v>342</v>
      </c>
      <c r="W428" s="616" t="s">
        <v>1732</v>
      </c>
      <c r="X428" s="616" t="s">
        <v>1732</v>
      </c>
      <c r="Y428" s="40"/>
      <c r="Z428" s="40"/>
      <c r="AA428" s="40"/>
      <c r="AB428" s="40"/>
      <c r="AC428" s="6"/>
      <c r="AD428" s="6"/>
      <c r="AE428" s="6">
        <v>0</v>
      </c>
      <c r="AF428" s="6">
        <v>0</v>
      </c>
      <c r="AG428" s="6">
        <v>0</v>
      </c>
      <c r="AH428" s="6"/>
      <c r="AI428" s="6">
        <v>0</v>
      </c>
      <c r="AJ428" s="6">
        <v>0</v>
      </c>
      <c r="AK428" s="272"/>
      <c r="AL428" s="272"/>
      <c r="AM428" s="272"/>
      <c r="AN428" s="6"/>
      <c r="AO428" s="6"/>
      <c r="AP428" s="6"/>
      <c r="AQ428" s="6" t="s">
        <v>1733</v>
      </c>
      <c r="AR428" s="280"/>
    </row>
    <row r="429" spans="1:44" ht="15" customHeight="1">
      <c r="A429" s="6">
        <v>1140103</v>
      </c>
      <c r="B429" s="6" t="s">
        <v>1713</v>
      </c>
      <c r="C429" s="234" t="s">
        <v>1734</v>
      </c>
      <c r="D429" s="6" t="s">
        <v>81</v>
      </c>
      <c r="E429" s="6" t="s">
        <v>1715</v>
      </c>
      <c r="F429" s="6">
        <v>1</v>
      </c>
      <c r="G429" s="6">
        <v>14</v>
      </c>
      <c r="H429" s="6" t="s">
        <v>82</v>
      </c>
      <c r="I429" s="6" t="s">
        <v>101</v>
      </c>
      <c r="J429" s="6"/>
      <c r="K429" s="6">
        <v>2</v>
      </c>
      <c r="L429" s="394" t="s">
        <v>1735</v>
      </c>
      <c r="M429" s="235"/>
      <c r="N429" s="235"/>
      <c r="O429" s="234"/>
      <c r="P429" s="40">
        <v>1</v>
      </c>
      <c r="Q429" s="40">
        <v>0</v>
      </c>
      <c r="R429" s="40" t="s">
        <v>85</v>
      </c>
      <c r="S429" s="6">
        <v>1400103</v>
      </c>
      <c r="T429" s="258"/>
      <c r="U429" s="259"/>
      <c r="V429" s="40" t="s">
        <v>342</v>
      </c>
      <c r="W429" s="616" t="s">
        <v>1736</v>
      </c>
      <c r="X429" s="616" t="s">
        <v>1736</v>
      </c>
      <c r="Y429" s="40"/>
      <c r="Z429" s="40"/>
      <c r="AA429" s="40">
        <v>1</v>
      </c>
      <c r="AB429" s="40" t="s">
        <v>90</v>
      </c>
      <c r="AC429" s="6"/>
      <c r="AD429" s="6"/>
      <c r="AE429" s="6">
        <v>1</v>
      </c>
      <c r="AF429" s="6">
        <v>0</v>
      </c>
      <c r="AG429" s="6">
        <v>7</v>
      </c>
      <c r="AH429" s="6"/>
      <c r="AI429" s="6">
        <v>30</v>
      </c>
      <c r="AJ429" s="6">
        <v>20</v>
      </c>
      <c r="AK429" s="272"/>
      <c r="AL429" s="272"/>
      <c r="AM429" s="272"/>
      <c r="AN429" s="6" t="s">
        <v>1737</v>
      </c>
      <c r="AO429" s="6"/>
      <c r="AP429" s="6"/>
      <c r="AQ429" s="6" t="s">
        <v>1738</v>
      </c>
      <c r="AR429" s="280">
        <v>293</v>
      </c>
    </row>
    <row r="430" spans="1:44" ht="15" customHeight="1">
      <c r="A430" s="6">
        <v>1140104</v>
      </c>
      <c r="B430" s="6" t="s">
        <v>1713</v>
      </c>
      <c r="C430" s="234" t="s">
        <v>1739</v>
      </c>
      <c r="D430" s="6" t="s">
        <v>81</v>
      </c>
      <c r="E430" s="6" t="s">
        <v>1715</v>
      </c>
      <c r="F430" s="6">
        <v>2</v>
      </c>
      <c r="G430" s="6">
        <v>14</v>
      </c>
      <c r="H430" s="6" t="s">
        <v>136</v>
      </c>
      <c r="I430" s="6" t="s">
        <v>137</v>
      </c>
      <c r="J430" s="6"/>
      <c r="K430" s="6"/>
      <c r="L430" s="234" t="s">
        <v>1740</v>
      </c>
      <c r="M430" s="235"/>
      <c r="N430" s="235"/>
      <c r="O430" s="234"/>
      <c r="P430" s="40"/>
      <c r="Q430" s="40">
        <v>0</v>
      </c>
      <c r="R430" s="40"/>
      <c r="S430" s="6">
        <v>1400104</v>
      </c>
      <c r="T430" s="258"/>
      <c r="U430" s="259"/>
      <c r="V430" s="40" t="s">
        <v>342</v>
      </c>
      <c r="W430" s="566" t="s">
        <v>1741</v>
      </c>
      <c r="X430" s="566" t="s">
        <v>1741</v>
      </c>
      <c r="Y430" s="40"/>
      <c r="Z430" s="40"/>
      <c r="AA430" s="40"/>
      <c r="AB430" s="40"/>
      <c r="AC430" s="6"/>
      <c r="AD430" s="6"/>
      <c r="AE430" s="6">
        <v>0</v>
      </c>
      <c r="AF430" s="6">
        <v>0</v>
      </c>
      <c r="AG430" s="6">
        <v>0</v>
      </c>
      <c r="AH430" s="6"/>
      <c r="AI430" s="6">
        <v>0</v>
      </c>
      <c r="AJ430" s="6">
        <v>0</v>
      </c>
      <c r="AK430" s="272"/>
      <c r="AL430" s="272"/>
      <c r="AM430" s="272"/>
      <c r="AN430" s="6"/>
      <c r="AO430" s="6"/>
      <c r="AP430" s="6"/>
      <c r="AQ430" s="6" t="s">
        <v>1742</v>
      </c>
      <c r="AR430" s="280"/>
    </row>
    <row r="431" spans="1:44" s="215" customFormat="1" ht="15" customHeight="1">
      <c r="A431" s="6">
        <v>1140105</v>
      </c>
      <c r="B431" s="6" t="s">
        <v>1713</v>
      </c>
      <c r="C431" s="234" t="s">
        <v>1743</v>
      </c>
      <c r="D431" s="6" t="s">
        <v>81</v>
      </c>
      <c r="E431" s="6" t="s">
        <v>1715</v>
      </c>
      <c r="F431" s="6">
        <v>1</v>
      </c>
      <c r="G431" s="6">
        <v>14</v>
      </c>
      <c r="H431" s="6" t="s">
        <v>82</v>
      </c>
      <c r="I431" s="6" t="s">
        <v>101</v>
      </c>
      <c r="J431" s="6"/>
      <c r="K431" s="6">
        <v>3</v>
      </c>
      <c r="L431" s="234" t="s">
        <v>1744</v>
      </c>
      <c r="M431" s="235"/>
      <c r="N431" s="235"/>
      <c r="O431" s="234"/>
      <c r="P431" s="40">
        <v>1</v>
      </c>
      <c r="Q431" s="40">
        <v>0</v>
      </c>
      <c r="R431" s="40" t="s">
        <v>85</v>
      </c>
      <c r="S431" s="6">
        <v>1400105</v>
      </c>
      <c r="T431" s="258"/>
      <c r="U431" s="259"/>
      <c r="V431" s="40" t="s">
        <v>342</v>
      </c>
      <c r="W431" s="616" t="s">
        <v>1745</v>
      </c>
      <c r="X431" s="616" t="s">
        <v>1745</v>
      </c>
      <c r="Y431" s="40"/>
      <c r="Z431" s="40"/>
      <c r="AA431" s="40">
        <v>1</v>
      </c>
      <c r="AB431" s="40" t="s">
        <v>90</v>
      </c>
      <c r="AC431" s="6"/>
      <c r="AD431" s="6"/>
      <c r="AE431" s="6">
        <v>1</v>
      </c>
      <c r="AF431" s="6">
        <v>0</v>
      </c>
      <c r="AG431" s="6">
        <v>7</v>
      </c>
      <c r="AH431" s="6"/>
      <c r="AI431" s="6">
        <v>30</v>
      </c>
      <c r="AJ431" s="6">
        <v>20</v>
      </c>
      <c r="AK431" s="272"/>
      <c r="AL431" s="272"/>
      <c r="AM431" s="272"/>
      <c r="AN431" s="6" t="s">
        <v>1746</v>
      </c>
      <c r="AO431" s="6"/>
      <c r="AP431" s="6"/>
      <c r="AQ431" s="6" t="s">
        <v>1747</v>
      </c>
      <c r="AR431" s="280">
        <v>294</v>
      </c>
    </row>
    <row r="432" spans="1:44" ht="15" customHeight="1">
      <c r="A432" s="6">
        <v>1140106</v>
      </c>
      <c r="B432" s="6" t="s">
        <v>1713</v>
      </c>
      <c r="C432" s="234" t="s">
        <v>1748</v>
      </c>
      <c r="D432" s="6" t="s">
        <v>81</v>
      </c>
      <c r="E432" s="6" t="s">
        <v>1715</v>
      </c>
      <c r="F432" s="6">
        <v>3</v>
      </c>
      <c r="G432" s="6">
        <v>14</v>
      </c>
      <c r="H432" s="6" t="s">
        <v>136</v>
      </c>
      <c r="I432" s="6" t="s">
        <v>137</v>
      </c>
      <c r="J432" s="6"/>
      <c r="K432" s="6"/>
      <c r="L432" s="234" t="s">
        <v>1749</v>
      </c>
      <c r="M432" s="235"/>
      <c r="N432" s="235"/>
      <c r="O432" s="234"/>
      <c r="P432" s="40"/>
      <c r="Q432" s="40">
        <v>0</v>
      </c>
      <c r="R432" s="40" t="s">
        <v>153</v>
      </c>
      <c r="S432" s="6">
        <v>1400106</v>
      </c>
      <c r="T432" s="258"/>
      <c r="U432" s="259"/>
      <c r="V432" s="40" t="s">
        <v>342</v>
      </c>
      <c r="W432" s="616" t="s">
        <v>1750</v>
      </c>
      <c r="X432" s="616" t="s">
        <v>1750</v>
      </c>
      <c r="Y432" s="40"/>
      <c r="Z432" s="40"/>
      <c r="AA432" s="40"/>
      <c r="AB432" s="40"/>
      <c r="AC432" s="6"/>
      <c r="AD432" s="6"/>
      <c r="AE432" s="6">
        <v>0</v>
      </c>
      <c r="AF432" s="6">
        <v>0</v>
      </c>
      <c r="AG432" s="6">
        <v>0</v>
      </c>
      <c r="AH432" s="6"/>
      <c r="AI432" s="6">
        <v>0</v>
      </c>
      <c r="AJ432" s="6">
        <v>0</v>
      </c>
      <c r="AK432" s="272"/>
      <c r="AL432" s="272"/>
      <c r="AM432" s="272"/>
      <c r="AN432" s="6"/>
      <c r="AO432" s="6"/>
      <c r="AP432" s="6"/>
      <c r="AQ432" s="6" t="s">
        <v>1751</v>
      </c>
      <c r="AR432" s="280"/>
    </row>
    <row r="433" spans="1:44" ht="15" customHeight="1">
      <c r="A433" s="6">
        <v>1140107</v>
      </c>
      <c r="B433" s="6" t="s">
        <v>1713</v>
      </c>
      <c r="C433" s="234" t="s">
        <v>1752</v>
      </c>
      <c r="D433" s="6" t="s">
        <v>81</v>
      </c>
      <c r="E433" s="6" t="s">
        <v>1715</v>
      </c>
      <c r="F433" s="6">
        <v>4</v>
      </c>
      <c r="G433" s="6">
        <v>14</v>
      </c>
      <c r="H433" s="6" t="s">
        <v>136</v>
      </c>
      <c r="I433" s="6" t="s">
        <v>137</v>
      </c>
      <c r="J433" s="6"/>
      <c r="K433" s="6"/>
      <c r="L433" s="394" t="s">
        <v>1753</v>
      </c>
      <c r="M433" s="235"/>
      <c r="N433" s="235"/>
      <c r="O433" s="234"/>
      <c r="P433" s="40"/>
      <c r="Q433" s="40">
        <v>0</v>
      </c>
      <c r="R433" s="40" t="s">
        <v>153</v>
      </c>
      <c r="S433" s="6">
        <v>1400107</v>
      </c>
      <c r="T433" s="258"/>
      <c r="U433" s="259"/>
      <c r="V433" s="40" t="s">
        <v>342</v>
      </c>
      <c r="W433" s="616" t="s">
        <v>1754</v>
      </c>
      <c r="X433" s="616" t="s">
        <v>1754</v>
      </c>
      <c r="Y433" s="40"/>
      <c r="Z433" s="40"/>
      <c r="AA433" s="40"/>
      <c r="AB433" s="40"/>
      <c r="AC433" s="6"/>
      <c r="AD433" s="6"/>
      <c r="AE433" s="6">
        <v>0</v>
      </c>
      <c r="AF433" s="6">
        <v>0</v>
      </c>
      <c r="AG433" s="6">
        <v>0</v>
      </c>
      <c r="AH433" s="6"/>
      <c r="AI433" s="6">
        <v>0</v>
      </c>
      <c r="AJ433" s="6">
        <v>0</v>
      </c>
      <c r="AK433" s="272"/>
      <c r="AL433" s="272"/>
      <c r="AM433" s="272"/>
      <c r="AN433" s="6"/>
      <c r="AO433" s="6"/>
      <c r="AP433" s="6"/>
      <c r="AQ433" s="6" t="s">
        <v>1755</v>
      </c>
      <c r="AR433" s="280"/>
    </row>
    <row r="434" spans="1:44" ht="15" customHeight="1">
      <c r="A434" s="6">
        <v>1140108</v>
      </c>
      <c r="B434" s="6" t="s">
        <v>1713</v>
      </c>
      <c r="C434" s="234" t="s">
        <v>1756</v>
      </c>
      <c r="D434" s="6" t="s">
        <v>81</v>
      </c>
      <c r="E434" s="6" t="s">
        <v>1715</v>
      </c>
      <c r="F434" s="6">
        <v>5</v>
      </c>
      <c r="G434" s="6">
        <v>14</v>
      </c>
      <c r="H434" s="6" t="s">
        <v>136</v>
      </c>
      <c r="I434" s="6" t="s">
        <v>137</v>
      </c>
      <c r="J434" s="6"/>
      <c r="K434" s="6"/>
      <c r="L434" s="394" t="s">
        <v>1757</v>
      </c>
      <c r="M434" s="235"/>
      <c r="N434" s="235"/>
      <c r="O434" s="234"/>
      <c r="P434" s="40"/>
      <c r="Q434" s="40">
        <v>0</v>
      </c>
      <c r="R434" s="40" t="s">
        <v>153</v>
      </c>
      <c r="S434" s="6">
        <v>1400108</v>
      </c>
      <c r="T434" s="258"/>
      <c r="U434" s="259"/>
      <c r="V434" s="40" t="s">
        <v>342</v>
      </c>
      <c r="W434" s="616" t="s">
        <v>1741</v>
      </c>
      <c r="X434" s="616" t="s">
        <v>1741</v>
      </c>
      <c r="Y434" s="40"/>
      <c r="Z434" s="40"/>
      <c r="AA434" s="40"/>
      <c r="AB434" s="40"/>
      <c r="AC434" s="6"/>
      <c r="AD434" s="6"/>
      <c r="AE434" s="6">
        <v>0</v>
      </c>
      <c r="AF434" s="6">
        <v>0</v>
      </c>
      <c r="AG434" s="6">
        <v>0</v>
      </c>
      <c r="AH434" s="6"/>
      <c r="AI434" s="6">
        <v>0</v>
      </c>
      <c r="AJ434" s="6">
        <v>0</v>
      </c>
      <c r="AK434" s="272"/>
      <c r="AL434" s="272"/>
      <c r="AM434" s="272"/>
      <c r="AN434" s="6"/>
      <c r="AO434" s="6"/>
      <c r="AP434" s="6"/>
      <c r="AQ434" s="6" t="s">
        <v>1758</v>
      </c>
      <c r="AR434" s="280"/>
    </row>
    <row r="435" spans="1:44" ht="15" customHeight="1">
      <c r="A435" s="6">
        <v>1140109</v>
      </c>
      <c r="B435" s="6" t="s">
        <v>1713</v>
      </c>
      <c r="C435" s="234" t="s">
        <v>1759</v>
      </c>
      <c r="D435" s="6" t="s">
        <v>81</v>
      </c>
      <c r="E435" s="6" t="s">
        <v>1715</v>
      </c>
      <c r="F435" s="6">
        <v>6</v>
      </c>
      <c r="G435" s="6">
        <v>14</v>
      </c>
      <c r="H435" s="6" t="s">
        <v>136</v>
      </c>
      <c r="I435" s="6" t="s">
        <v>137</v>
      </c>
      <c r="J435" s="6"/>
      <c r="K435" s="6"/>
      <c r="L435" s="234" t="s">
        <v>1749</v>
      </c>
      <c r="M435" s="235"/>
      <c r="N435" s="235"/>
      <c r="O435" s="234"/>
      <c r="P435" s="40"/>
      <c r="Q435" s="40">
        <v>0</v>
      </c>
      <c r="R435" s="40" t="s">
        <v>153</v>
      </c>
      <c r="S435" s="6">
        <v>1400109</v>
      </c>
      <c r="T435" s="258"/>
      <c r="U435" s="259"/>
      <c r="V435" s="40" t="s">
        <v>342</v>
      </c>
      <c r="W435" s="616" t="s">
        <v>1750</v>
      </c>
      <c r="X435" s="616" t="s">
        <v>1750</v>
      </c>
      <c r="Y435" s="40"/>
      <c r="Z435" s="40"/>
      <c r="AA435" s="40"/>
      <c r="AB435" s="40"/>
      <c r="AC435" s="6"/>
      <c r="AD435" s="6"/>
      <c r="AE435" s="6">
        <v>0</v>
      </c>
      <c r="AF435" s="6">
        <v>0</v>
      </c>
      <c r="AG435" s="6">
        <v>0</v>
      </c>
      <c r="AH435" s="6"/>
      <c r="AI435" s="6">
        <v>0</v>
      </c>
      <c r="AJ435" s="6">
        <v>0</v>
      </c>
      <c r="AK435" s="272"/>
      <c r="AL435" s="272"/>
      <c r="AM435" s="272"/>
      <c r="AN435" s="6"/>
      <c r="AO435" s="6"/>
      <c r="AP435" s="6"/>
      <c r="AQ435" s="6" t="s">
        <v>1760</v>
      </c>
      <c r="AR435" s="280"/>
    </row>
    <row r="436" spans="1:44" ht="15" customHeight="1">
      <c r="A436" s="6">
        <v>1140110</v>
      </c>
      <c r="B436" s="6" t="s">
        <v>1713</v>
      </c>
      <c r="C436" s="234" t="s">
        <v>1761</v>
      </c>
      <c r="D436" s="6" t="s">
        <v>81</v>
      </c>
      <c r="E436" s="6" t="s">
        <v>1715</v>
      </c>
      <c r="F436" s="6">
        <v>7</v>
      </c>
      <c r="G436" s="6">
        <v>14</v>
      </c>
      <c r="H436" s="6" t="s">
        <v>136</v>
      </c>
      <c r="I436" s="6" t="s">
        <v>137</v>
      </c>
      <c r="J436" s="6"/>
      <c r="K436" s="6"/>
      <c r="L436" s="234" t="s">
        <v>1762</v>
      </c>
      <c r="M436" s="235"/>
      <c r="N436" s="235"/>
      <c r="O436" s="234"/>
      <c r="P436" s="40"/>
      <c r="Q436" s="40">
        <v>0</v>
      </c>
      <c r="R436" s="40" t="s">
        <v>153</v>
      </c>
      <c r="S436" s="6">
        <v>1400110</v>
      </c>
      <c r="T436" s="258"/>
      <c r="U436" s="259"/>
      <c r="V436" s="40" t="s">
        <v>342</v>
      </c>
      <c r="W436" s="616" t="s">
        <v>1763</v>
      </c>
      <c r="X436" s="616" t="s">
        <v>1763</v>
      </c>
      <c r="Y436" s="40"/>
      <c r="Z436" s="40"/>
      <c r="AA436" s="40"/>
      <c r="AB436" s="40"/>
      <c r="AC436" s="6"/>
      <c r="AD436" s="6"/>
      <c r="AE436" s="6">
        <v>0</v>
      </c>
      <c r="AF436" s="6">
        <v>0</v>
      </c>
      <c r="AG436" s="6">
        <v>0</v>
      </c>
      <c r="AH436" s="6"/>
      <c r="AI436" s="6">
        <v>0</v>
      </c>
      <c r="AJ436" s="6">
        <v>0</v>
      </c>
      <c r="AK436" s="272"/>
      <c r="AL436" s="272"/>
      <c r="AM436" s="272"/>
      <c r="AN436" s="6"/>
      <c r="AO436" s="6"/>
      <c r="AP436" s="6"/>
      <c r="AQ436" s="6" t="s">
        <v>1764</v>
      </c>
      <c r="AR436" s="280"/>
    </row>
    <row r="437" spans="1:44" ht="15" customHeight="1">
      <c r="A437" s="3">
        <v>1140111</v>
      </c>
      <c r="B437" s="3" t="s">
        <v>1713</v>
      </c>
      <c r="C437" s="236" t="s">
        <v>1765</v>
      </c>
      <c r="D437" s="3" t="s">
        <v>81</v>
      </c>
      <c r="E437" s="3" t="s">
        <v>1715</v>
      </c>
      <c r="F437" s="3">
        <v>8</v>
      </c>
      <c r="G437" s="3">
        <v>14</v>
      </c>
      <c r="H437" s="3" t="s">
        <v>136</v>
      </c>
      <c r="I437" s="3" t="s">
        <v>137</v>
      </c>
      <c r="J437" s="3"/>
      <c r="K437" s="3"/>
      <c r="L437" s="236"/>
      <c r="M437" s="99"/>
      <c r="N437" s="99"/>
      <c r="O437" s="236"/>
      <c r="P437" s="22"/>
      <c r="Q437" s="22">
        <v>0</v>
      </c>
      <c r="R437" s="22" t="s">
        <v>153</v>
      </c>
      <c r="S437" s="3"/>
      <c r="T437" s="260"/>
      <c r="U437" s="261"/>
      <c r="V437" s="22"/>
      <c r="W437" s="567" t="s">
        <v>169</v>
      </c>
      <c r="X437" s="567" t="s">
        <v>6736</v>
      </c>
      <c r="Y437" s="22"/>
      <c r="Z437" s="22"/>
      <c r="AA437" s="22"/>
      <c r="AB437" s="22" t="s">
        <v>114</v>
      </c>
      <c r="AC437" s="3"/>
      <c r="AD437" s="3"/>
      <c r="AE437" s="3">
        <v>0</v>
      </c>
      <c r="AF437" s="3">
        <v>0</v>
      </c>
      <c r="AG437" s="3">
        <v>0</v>
      </c>
      <c r="AH437" s="3"/>
      <c r="AI437" s="3">
        <v>0</v>
      </c>
      <c r="AJ437" s="3">
        <v>0</v>
      </c>
      <c r="AK437" s="3">
        <v>0</v>
      </c>
      <c r="AL437" s="3"/>
      <c r="AM437" s="3"/>
      <c r="AN437" s="3"/>
      <c r="AO437" s="3"/>
      <c r="AP437" s="3"/>
      <c r="AQ437" s="3" t="s">
        <v>1747</v>
      </c>
      <c r="AR437" s="281"/>
    </row>
    <row r="438" spans="1:44" ht="15" customHeight="1">
      <c r="A438" s="3">
        <v>1140112</v>
      </c>
      <c r="B438" s="3" t="s">
        <v>1713</v>
      </c>
      <c r="C438" s="236" t="s">
        <v>1766</v>
      </c>
      <c r="D438" s="3" t="s">
        <v>81</v>
      </c>
      <c r="E438" s="3" t="s">
        <v>1715</v>
      </c>
      <c r="F438" s="3">
        <v>9</v>
      </c>
      <c r="G438" s="3">
        <v>14</v>
      </c>
      <c r="H438" s="3" t="s">
        <v>136</v>
      </c>
      <c r="I438" s="3" t="s">
        <v>137</v>
      </c>
      <c r="J438" s="3"/>
      <c r="K438" s="3"/>
      <c r="L438" s="236"/>
      <c r="M438" s="99"/>
      <c r="N438" s="99"/>
      <c r="O438" s="236"/>
      <c r="P438" s="22"/>
      <c r="Q438" s="22">
        <v>0</v>
      </c>
      <c r="R438" s="22" t="s">
        <v>153</v>
      </c>
      <c r="S438" s="3"/>
      <c r="T438" s="260"/>
      <c r="U438" s="261"/>
      <c r="V438" s="22"/>
      <c r="W438" s="567" t="s">
        <v>1749</v>
      </c>
      <c r="X438" s="567" t="s">
        <v>6737</v>
      </c>
      <c r="Y438" s="22"/>
      <c r="Z438" s="22"/>
      <c r="AA438" s="22"/>
      <c r="AB438" s="22" t="s">
        <v>114</v>
      </c>
      <c r="AC438" s="3"/>
      <c r="AD438" s="3"/>
      <c r="AE438" s="3">
        <v>0</v>
      </c>
      <c r="AF438" s="3">
        <v>0</v>
      </c>
      <c r="AG438" s="3">
        <v>0</v>
      </c>
      <c r="AH438" s="3"/>
      <c r="AI438" s="3">
        <v>0</v>
      </c>
      <c r="AJ438" s="3">
        <v>0</v>
      </c>
      <c r="AK438" s="3">
        <v>0</v>
      </c>
      <c r="AL438" s="3"/>
      <c r="AM438" s="3"/>
      <c r="AN438" s="3"/>
      <c r="AO438" s="3"/>
      <c r="AP438" s="3"/>
      <c r="AQ438" s="282" t="str">
        <f>"tricks/"&amp;A438</f>
        <v>tricks/1140112</v>
      </c>
    </row>
    <row r="439" spans="1:44" ht="15" customHeight="1">
      <c r="A439" s="3">
        <v>1140113</v>
      </c>
      <c r="B439" s="3" t="s">
        <v>1713</v>
      </c>
      <c r="C439" s="236" t="s">
        <v>1767</v>
      </c>
      <c r="D439" s="3" t="s">
        <v>81</v>
      </c>
      <c r="E439" s="3" t="s">
        <v>1715</v>
      </c>
      <c r="F439" s="3">
        <v>10</v>
      </c>
      <c r="G439" s="3">
        <v>14</v>
      </c>
      <c r="H439" s="3" t="s">
        <v>136</v>
      </c>
      <c r="I439" s="3" t="s">
        <v>137</v>
      </c>
      <c r="J439" s="3"/>
      <c r="K439" s="3"/>
      <c r="L439" s="236"/>
      <c r="M439" s="99"/>
      <c r="N439" s="99"/>
      <c r="O439" s="236"/>
      <c r="P439" s="22"/>
      <c r="Q439" s="22">
        <v>0</v>
      </c>
      <c r="R439" s="22" t="s">
        <v>153</v>
      </c>
      <c r="S439" s="3"/>
      <c r="T439" s="260"/>
      <c r="U439" s="261"/>
      <c r="V439" s="22"/>
      <c r="W439" s="567" t="s">
        <v>1741</v>
      </c>
      <c r="X439" s="567" t="s">
        <v>6738</v>
      </c>
      <c r="Y439" s="22"/>
      <c r="Z439" s="22"/>
      <c r="AA439" s="22"/>
      <c r="AB439" s="22" t="s">
        <v>114</v>
      </c>
      <c r="AC439" s="3"/>
      <c r="AD439" s="3"/>
      <c r="AE439" s="3">
        <v>0</v>
      </c>
      <c r="AF439" s="3">
        <v>0</v>
      </c>
      <c r="AG439" s="3">
        <v>0</v>
      </c>
      <c r="AH439" s="3"/>
      <c r="AI439" s="3">
        <v>0</v>
      </c>
      <c r="AJ439" s="3">
        <v>0</v>
      </c>
      <c r="AK439" s="3">
        <v>0</v>
      </c>
      <c r="AL439" s="3"/>
      <c r="AM439" s="3"/>
      <c r="AN439" s="3"/>
      <c r="AO439" s="3"/>
      <c r="AP439" s="3"/>
      <c r="AQ439" s="282" t="str">
        <f>"tricks/"&amp;A439</f>
        <v>tricks/1140113</v>
      </c>
    </row>
    <row r="440" spans="1:44" ht="15" customHeight="1">
      <c r="A440" s="5">
        <v>1150001</v>
      </c>
      <c r="B440" s="5" t="s">
        <v>1768</v>
      </c>
      <c r="C440" s="5" t="s">
        <v>1769</v>
      </c>
      <c r="D440" s="5" t="s">
        <v>81</v>
      </c>
      <c r="E440" s="5" t="s">
        <v>1770</v>
      </c>
      <c r="F440" s="5">
        <v>1</v>
      </c>
      <c r="G440" s="5">
        <v>15</v>
      </c>
      <c r="H440" s="5" t="s">
        <v>82</v>
      </c>
      <c r="I440" s="5" t="s">
        <v>83</v>
      </c>
      <c r="J440" s="5"/>
      <c r="K440" s="5">
        <v>4</v>
      </c>
      <c r="L440" s="230" t="s">
        <v>1343</v>
      </c>
      <c r="M440" s="231"/>
      <c r="N440" s="231"/>
      <c r="O440" s="5"/>
      <c r="P440" s="232"/>
      <c r="Q440" s="232">
        <v>0</v>
      </c>
      <c r="R440" s="232" t="s">
        <v>85</v>
      </c>
      <c r="S440" s="5">
        <v>1200001</v>
      </c>
      <c r="T440" s="256"/>
      <c r="U440" s="257" t="s">
        <v>1771</v>
      </c>
      <c r="V440" s="446" t="s">
        <v>1772</v>
      </c>
      <c r="W440" s="565" t="s">
        <v>1773</v>
      </c>
      <c r="X440" s="565" t="s">
        <v>1773</v>
      </c>
      <c r="Y440" s="232"/>
      <c r="Z440" s="232"/>
      <c r="AA440" s="232">
        <v>1</v>
      </c>
      <c r="AB440" s="232" t="s">
        <v>90</v>
      </c>
      <c r="AC440" s="5"/>
      <c r="AD440" s="5"/>
      <c r="AE440" s="5">
        <v>2</v>
      </c>
      <c r="AF440" s="5">
        <v>0</v>
      </c>
      <c r="AG440" s="5">
        <v>4</v>
      </c>
      <c r="AH440" s="5"/>
      <c r="AI440" s="5">
        <v>52</v>
      </c>
      <c r="AJ440" s="5">
        <v>39</v>
      </c>
      <c r="AK440" s="270"/>
      <c r="AL440" s="270"/>
      <c r="AM440" s="270"/>
      <c r="AN440" s="5" t="s">
        <v>1774</v>
      </c>
      <c r="AO440" s="5"/>
      <c r="AP440" s="5"/>
      <c r="AQ440" s="5" t="s">
        <v>1775</v>
      </c>
      <c r="AR440" s="279">
        <v>307</v>
      </c>
    </row>
    <row r="441" spans="1:44" ht="15" customHeight="1">
      <c r="A441" s="5">
        <v>1150002</v>
      </c>
      <c r="B441" s="5" t="s">
        <v>1768</v>
      </c>
      <c r="C441" s="5" t="s">
        <v>1776</v>
      </c>
      <c r="D441" s="5" t="s">
        <v>81</v>
      </c>
      <c r="E441" s="5" t="s">
        <v>1770</v>
      </c>
      <c r="F441" s="5">
        <v>1</v>
      </c>
      <c r="G441" s="5">
        <v>15</v>
      </c>
      <c r="H441" s="5" t="s">
        <v>82</v>
      </c>
      <c r="I441" s="5" t="s">
        <v>83</v>
      </c>
      <c r="J441" s="5"/>
      <c r="K441" s="5">
        <v>5</v>
      </c>
      <c r="L441" s="230" t="s">
        <v>1350</v>
      </c>
      <c r="M441" s="231"/>
      <c r="N441" s="231"/>
      <c r="O441" s="5"/>
      <c r="P441" s="232"/>
      <c r="Q441" s="232">
        <v>0</v>
      </c>
      <c r="R441" s="232" t="s">
        <v>85</v>
      </c>
      <c r="S441" s="5">
        <v>1200002</v>
      </c>
      <c r="T441" s="256"/>
      <c r="U441" s="257" t="s">
        <v>1771</v>
      </c>
      <c r="V441" s="446" t="s">
        <v>1772</v>
      </c>
      <c r="W441" s="565" t="s">
        <v>1777</v>
      </c>
      <c r="X441" s="565" t="s">
        <v>1777</v>
      </c>
      <c r="Y441" s="232"/>
      <c r="Z441" s="232"/>
      <c r="AA441" s="232">
        <v>1</v>
      </c>
      <c r="AB441" s="232" t="s">
        <v>90</v>
      </c>
      <c r="AC441" s="5"/>
      <c r="AD441" s="5"/>
      <c r="AE441" s="5">
        <v>2</v>
      </c>
      <c r="AF441" s="5">
        <v>0</v>
      </c>
      <c r="AG441" s="5">
        <v>4</v>
      </c>
      <c r="AH441" s="5"/>
      <c r="AI441" s="5">
        <v>65</v>
      </c>
      <c r="AJ441" s="5">
        <v>45</v>
      </c>
      <c r="AK441" s="270"/>
      <c r="AL441" s="270"/>
      <c r="AM441" s="270"/>
      <c r="AN441" s="5" t="s">
        <v>1778</v>
      </c>
      <c r="AO441" s="5"/>
      <c r="AP441" s="5"/>
      <c r="AQ441" s="5" t="s">
        <v>1779</v>
      </c>
      <c r="AR441" s="279">
        <v>308</v>
      </c>
    </row>
    <row r="442" spans="1:44" ht="15" customHeight="1">
      <c r="A442" s="5">
        <v>1150101</v>
      </c>
      <c r="B442" s="5" t="s">
        <v>1768</v>
      </c>
      <c r="C442" s="440" t="s">
        <v>1780</v>
      </c>
      <c r="D442" s="5" t="s">
        <v>81</v>
      </c>
      <c r="E442" s="5" t="s">
        <v>1770</v>
      </c>
      <c r="F442" s="5">
        <v>1</v>
      </c>
      <c r="G442" s="5">
        <v>15</v>
      </c>
      <c r="H442" s="5" t="s">
        <v>82</v>
      </c>
      <c r="I442" s="5" t="s">
        <v>101</v>
      </c>
      <c r="J442" s="5"/>
      <c r="K442" s="5">
        <v>1</v>
      </c>
      <c r="L442" s="440" t="s">
        <v>1781</v>
      </c>
      <c r="M442" s="231"/>
      <c r="N442" s="231"/>
      <c r="O442" s="440"/>
      <c r="P442" s="232">
        <v>1</v>
      </c>
      <c r="Q442" s="232">
        <v>0</v>
      </c>
      <c r="R442" s="232" t="s">
        <v>85</v>
      </c>
      <c r="S442" s="5" t="s">
        <v>1782</v>
      </c>
      <c r="T442" s="256"/>
      <c r="U442" s="257" t="s">
        <v>1783</v>
      </c>
      <c r="V442" s="446" t="s">
        <v>1772</v>
      </c>
      <c r="W442" s="592" t="s">
        <v>1784</v>
      </c>
      <c r="X442" s="592" t="s">
        <v>1784</v>
      </c>
      <c r="Y442" s="232"/>
      <c r="Z442" s="232"/>
      <c r="AA442" s="232">
        <v>1</v>
      </c>
      <c r="AB442" s="232" t="s">
        <v>90</v>
      </c>
      <c r="AC442" s="5"/>
      <c r="AD442" s="5"/>
      <c r="AE442" s="5">
        <v>1</v>
      </c>
      <c r="AF442" s="5">
        <v>1</v>
      </c>
      <c r="AG442" s="5">
        <v>6</v>
      </c>
      <c r="AH442" s="5"/>
      <c r="AI442" s="5">
        <v>39</v>
      </c>
      <c r="AJ442" s="5">
        <v>26</v>
      </c>
      <c r="AK442" s="270"/>
      <c r="AL442" s="270"/>
      <c r="AM442" s="270"/>
      <c r="AN442" s="5" t="s">
        <v>1785</v>
      </c>
      <c r="AO442" s="5" t="s">
        <v>1786</v>
      </c>
      <c r="AP442" s="5"/>
      <c r="AQ442" s="5" t="s">
        <v>1787</v>
      </c>
      <c r="AR442" s="279">
        <v>304</v>
      </c>
    </row>
    <row r="443" spans="1:44" ht="15" customHeight="1">
      <c r="A443" s="5">
        <v>1150102</v>
      </c>
      <c r="B443" s="5" t="s">
        <v>1768</v>
      </c>
      <c r="C443" s="440" t="s">
        <v>1788</v>
      </c>
      <c r="D443" s="5" t="s">
        <v>81</v>
      </c>
      <c r="E443" s="5" t="s">
        <v>1770</v>
      </c>
      <c r="F443" s="5">
        <v>1</v>
      </c>
      <c r="G443" s="5">
        <v>15</v>
      </c>
      <c r="H443" s="5" t="s">
        <v>136</v>
      </c>
      <c r="I443" s="5" t="s">
        <v>137</v>
      </c>
      <c r="J443" s="5"/>
      <c r="K443" s="5"/>
      <c r="L443" s="440" t="s">
        <v>1366</v>
      </c>
      <c r="M443" s="231"/>
      <c r="N443" s="231"/>
      <c r="O443" s="440"/>
      <c r="P443" s="232"/>
      <c r="Q443" s="232">
        <v>0</v>
      </c>
      <c r="R443" s="232"/>
      <c r="S443" s="5">
        <v>1200102</v>
      </c>
      <c r="T443" s="256"/>
      <c r="U443" s="447"/>
      <c r="V443" s="446" t="s">
        <v>1772</v>
      </c>
      <c r="W443" s="592" t="s">
        <v>1789</v>
      </c>
      <c r="X443" s="592" t="s">
        <v>1789</v>
      </c>
      <c r="Y443" s="232"/>
      <c r="Z443" s="232"/>
      <c r="AA443" s="232"/>
      <c r="AB443" s="232"/>
      <c r="AC443" s="5"/>
      <c r="AD443" s="5"/>
      <c r="AE443" s="5">
        <v>0</v>
      </c>
      <c r="AF443" s="5">
        <v>0</v>
      </c>
      <c r="AG443" s="5">
        <v>0</v>
      </c>
      <c r="AH443" s="5"/>
      <c r="AI443" s="5">
        <v>0</v>
      </c>
      <c r="AJ443" s="5">
        <v>0</v>
      </c>
      <c r="AK443" s="270"/>
      <c r="AL443" s="270"/>
      <c r="AM443" s="270"/>
      <c r="AN443" s="5"/>
      <c r="AO443" s="5"/>
      <c r="AP443" s="5"/>
      <c r="AQ443" s="5" t="s">
        <v>1790</v>
      </c>
      <c r="AR443" s="279"/>
    </row>
    <row r="444" spans="1:44" ht="15" customHeight="1">
      <c r="A444" s="5">
        <v>1150103</v>
      </c>
      <c r="B444" s="5" t="s">
        <v>1768</v>
      </c>
      <c r="C444" s="440" t="s">
        <v>1791</v>
      </c>
      <c r="D444" s="5" t="s">
        <v>81</v>
      </c>
      <c r="E444" s="5" t="s">
        <v>1770</v>
      </c>
      <c r="F444" s="5">
        <v>1</v>
      </c>
      <c r="G444" s="5">
        <v>15</v>
      </c>
      <c r="H444" s="5" t="s">
        <v>82</v>
      </c>
      <c r="I444" s="5" t="s">
        <v>101</v>
      </c>
      <c r="J444" s="5"/>
      <c r="K444" s="5">
        <v>2</v>
      </c>
      <c r="L444" s="440" t="s">
        <v>1370</v>
      </c>
      <c r="M444" s="231"/>
      <c r="N444" s="231"/>
      <c r="O444" s="440"/>
      <c r="P444" s="232">
        <v>1</v>
      </c>
      <c r="Q444" s="232">
        <v>0</v>
      </c>
      <c r="R444" s="232" t="s">
        <v>85</v>
      </c>
      <c r="S444" s="5">
        <v>1200103</v>
      </c>
      <c r="T444" s="256"/>
      <c r="U444" s="257" t="s">
        <v>1792</v>
      </c>
      <c r="V444" s="446" t="s">
        <v>1772</v>
      </c>
      <c r="W444" s="592" t="s">
        <v>1793</v>
      </c>
      <c r="X444" s="592" t="s">
        <v>1793</v>
      </c>
      <c r="Y444" s="232"/>
      <c r="Z444" s="232"/>
      <c r="AA444" s="232">
        <v>1</v>
      </c>
      <c r="AB444" s="232" t="s">
        <v>90</v>
      </c>
      <c r="AC444" s="5"/>
      <c r="AD444" s="5"/>
      <c r="AE444" s="5">
        <v>1</v>
      </c>
      <c r="AF444" s="5">
        <v>1</v>
      </c>
      <c r="AG444" s="5">
        <v>5</v>
      </c>
      <c r="AH444" s="5"/>
      <c r="AI444" s="5">
        <v>39</v>
      </c>
      <c r="AJ444" s="5">
        <v>26</v>
      </c>
      <c r="AK444" s="270"/>
      <c r="AL444" s="270"/>
      <c r="AM444" s="270"/>
      <c r="AN444" s="5" t="s">
        <v>1794</v>
      </c>
      <c r="AO444" s="5" t="s">
        <v>1795</v>
      </c>
      <c r="AP444" s="5"/>
      <c r="AQ444" s="5" t="s">
        <v>1796</v>
      </c>
      <c r="AR444" s="279">
        <v>305</v>
      </c>
    </row>
    <row r="445" spans="1:44" ht="15" customHeight="1">
      <c r="A445" s="5">
        <v>1150104</v>
      </c>
      <c r="B445" s="5" t="s">
        <v>1768</v>
      </c>
      <c r="C445" s="440" t="s">
        <v>1797</v>
      </c>
      <c r="D445" s="5" t="s">
        <v>81</v>
      </c>
      <c r="E445" s="5" t="s">
        <v>1770</v>
      </c>
      <c r="F445" s="5">
        <v>2</v>
      </c>
      <c r="G445" s="5">
        <v>15</v>
      </c>
      <c r="H445" s="5" t="s">
        <v>136</v>
      </c>
      <c r="I445" s="5" t="s">
        <v>137</v>
      </c>
      <c r="J445" s="5"/>
      <c r="K445" s="5"/>
      <c r="L445" s="440" t="s">
        <v>1379</v>
      </c>
      <c r="M445" s="231"/>
      <c r="N445" s="231"/>
      <c r="O445" s="440"/>
      <c r="P445" s="232"/>
      <c r="Q445" s="232">
        <v>0</v>
      </c>
      <c r="R445" s="232"/>
      <c r="S445" s="5">
        <v>1200104</v>
      </c>
      <c r="T445" s="256"/>
      <c r="U445" s="447"/>
      <c r="V445" s="446" t="s">
        <v>1772</v>
      </c>
      <c r="W445" s="592" t="s">
        <v>1798</v>
      </c>
      <c r="X445" s="592" t="s">
        <v>1798</v>
      </c>
      <c r="Y445" s="232"/>
      <c r="Z445" s="232"/>
      <c r="AA445" s="232"/>
      <c r="AB445" s="232"/>
      <c r="AC445" s="5"/>
      <c r="AD445" s="5"/>
      <c r="AE445" s="5">
        <v>0</v>
      </c>
      <c r="AF445" s="5">
        <v>0</v>
      </c>
      <c r="AG445" s="5">
        <v>0</v>
      </c>
      <c r="AH445" s="5"/>
      <c r="AI445" s="5">
        <v>0</v>
      </c>
      <c r="AJ445" s="5">
        <v>0</v>
      </c>
      <c r="AK445" s="270"/>
      <c r="AL445" s="270"/>
      <c r="AM445" s="270"/>
      <c r="AN445" s="5"/>
      <c r="AO445" s="5"/>
      <c r="AP445" s="5"/>
      <c r="AQ445" s="5" t="s">
        <v>1799</v>
      </c>
      <c r="AR445" s="279"/>
    </row>
    <row r="446" spans="1:44" ht="15" customHeight="1">
      <c r="A446" s="5">
        <v>1150105</v>
      </c>
      <c r="B446" s="5" t="s">
        <v>1768</v>
      </c>
      <c r="C446" s="440" t="s">
        <v>1800</v>
      </c>
      <c r="D446" s="5" t="s">
        <v>81</v>
      </c>
      <c r="E446" s="5" t="s">
        <v>1770</v>
      </c>
      <c r="F446" s="5">
        <v>1</v>
      </c>
      <c r="G446" s="5">
        <v>15</v>
      </c>
      <c r="H446" s="5" t="s">
        <v>82</v>
      </c>
      <c r="I446" s="5" t="s">
        <v>101</v>
      </c>
      <c r="J446" s="5"/>
      <c r="K446" s="5">
        <v>3</v>
      </c>
      <c r="L446" s="440" t="s">
        <v>1383</v>
      </c>
      <c r="M446" s="231"/>
      <c r="N446" s="231"/>
      <c r="O446" s="440"/>
      <c r="P446" s="232">
        <v>1</v>
      </c>
      <c r="Q446" s="232">
        <v>0</v>
      </c>
      <c r="R446" s="232" t="s">
        <v>85</v>
      </c>
      <c r="S446" s="5">
        <v>1200105</v>
      </c>
      <c r="T446" s="256"/>
      <c r="U446" s="257" t="s">
        <v>1801</v>
      </c>
      <c r="V446" s="446" t="s">
        <v>1772</v>
      </c>
      <c r="W446" s="592" t="s">
        <v>1802</v>
      </c>
      <c r="X446" s="592" t="s">
        <v>1802</v>
      </c>
      <c r="Y446" s="232"/>
      <c r="Z446" s="232"/>
      <c r="AA446" s="232">
        <v>1</v>
      </c>
      <c r="AB446" s="232" t="s">
        <v>90</v>
      </c>
      <c r="AC446" s="5"/>
      <c r="AD446" s="5"/>
      <c r="AE446" s="5">
        <v>1</v>
      </c>
      <c r="AF446" s="5">
        <v>1</v>
      </c>
      <c r="AG446" s="5">
        <v>5</v>
      </c>
      <c r="AH446" s="5"/>
      <c r="AI446" s="5">
        <v>39</v>
      </c>
      <c r="AJ446" s="5">
        <v>26</v>
      </c>
      <c r="AK446" s="270"/>
      <c r="AL446" s="270"/>
      <c r="AM446" s="270"/>
      <c r="AN446" s="5" t="s">
        <v>1803</v>
      </c>
      <c r="AO446" s="5" t="s">
        <v>1804</v>
      </c>
      <c r="AP446" s="5" t="s">
        <v>1805</v>
      </c>
      <c r="AQ446" s="5" t="s">
        <v>1806</v>
      </c>
      <c r="AR446" s="279">
        <v>306</v>
      </c>
    </row>
    <row r="447" spans="1:44" ht="15" customHeight="1">
      <c r="A447" s="5">
        <v>1150106</v>
      </c>
      <c r="B447" s="5" t="s">
        <v>1768</v>
      </c>
      <c r="C447" s="440" t="s">
        <v>1807</v>
      </c>
      <c r="D447" s="5" t="s">
        <v>81</v>
      </c>
      <c r="E447" s="5" t="s">
        <v>1770</v>
      </c>
      <c r="F447" s="5">
        <v>3</v>
      </c>
      <c r="G447" s="5">
        <v>15</v>
      </c>
      <c r="H447" s="5" t="s">
        <v>136</v>
      </c>
      <c r="I447" s="5" t="s">
        <v>137</v>
      </c>
      <c r="J447" s="5"/>
      <c r="K447" s="5"/>
      <c r="L447" s="440" t="s">
        <v>1389</v>
      </c>
      <c r="M447" s="231"/>
      <c r="N447" s="231"/>
      <c r="O447" s="440"/>
      <c r="P447" s="232"/>
      <c r="Q447" s="232">
        <v>0</v>
      </c>
      <c r="R447" s="232" t="s">
        <v>153</v>
      </c>
      <c r="S447" s="5">
        <v>1200106</v>
      </c>
      <c r="T447" s="256"/>
      <c r="U447" s="257"/>
      <c r="V447" s="446" t="s">
        <v>1772</v>
      </c>
      <c r="W447" s="592" t="s">
        <v>1808</v>
      </c>
      <c r="X447" s="592" t="s">
        <v>1808</v>
      </c>
      <c r="Y447" s="232"/>
      <c r="Z447" s="232"/>
      <c r="AA447" s="232"/>
      <c r="AB447" s="232"/>
      <c r="AC447" s="5"/>
      <c r="AD447" s="5"/>
      <c r="AE447" s="5">
        <v>0</v>
      </c>
      <c r="AF447" s="5">
        <v>0</v>
      </c>
      <c r="AG447" s="5">
        <v>0</v>
      </c>
      <c r="AH447" s="5"/>
      <c r="AI447" s="5">
        <v>0</v>
      </c>
      <c r="AJ447" s="5">
        <v>0</v>
      </c>
      <c r="AK447" s="270"/>
      <c r="AL447" s="270"/>
      <c r="AM447" s="270"/>
      <c r="AN447" s="5"/>
      <c r="AO447" s="5"/>
      <c r="AP447" s="5"/>
      <c r="AQ447" s="5" t="s">
        <v>1809</v>
      </c>
      <c r="AR447" s="279"/>
    </row>
    <row r="448" spans="1:44" ht="15" customHeight="1">
      <c r="A448" s="5">
        <v>1150107</v>
      </c>
      <c r="B448" s="5" t="s">
        <v>1768</v>
      </c>
      <c r="C448" s="440" t="s">
        <v>1810</v>
      </c>
      <c r="D448" s="5" t="s">
        <v>81</v>
      </c>
      <c r="E448" s="5" t="s">
        <v>1770</v>
      </c>
      <c r="F448" s="5">
        <v>4</v>
      </c>
      <c r="G448" s="5">
        <v>15</v>
      </c>
      <c r="H448" s="5" t="s">
        <v>136</v>
      </c>
      <c r="I448" s="5" t="s">
        <v>137</v>
      </c>
      <c r="J448" s="5"/>
      <c r="K448" s="5"/>
      <c r="L448" s="440" t="s">
        <v>1393</v>
      </c>
      <c r="M448" s="231"/>
      <c r="N448" s="231"/>
      <c r="O448" s="440"/>
      <c r="P448" s="232"/>
      <c r="Q448" s="232">
        <v>0</v>
      </c>
      <c r="R448" s="232" t="s">
        <v>153</v>
      </c>
      <c r="S448" s="5">
        <v>1200107</v>
      </c>
      <c r="T448" s="256"/>
      <c r="U448" s="257"/>
      <c r="V448" s="446" t="s">
        <v>1772</v>
      </c>
      <c r="W448" s="592" t="s">
        <v>1811</v>
      </c>
      <c r="X448" s="592" t="s">
        <v>1811</v>
      </c>
      <c r="Y448" s="232"/>
      <c r="Z448" s="232"/>
      <c r="AA448" s="232"/>
      <c r="AB448" s="232"/>
      <c r="AC448" s="5"/>
      <c r="AD448" s="5"/>
      <c r="AE448" s="5">
        <v>0</v>
      </c>
      <c r="AF448" s="5">
        <v>0</v>
      </c>
      <c r="AG448" s="5">
        <v>0</v>
      </c>
      <c r="AH448" s="5"/>
      <c r="AI448" s="5">
        <v>0</v>
      </c>
      <c r="AJ448" s="5">
        <v>0</v>
      </c>
      <c r="AK448" s="270"/>
      <c r="AL448" s="270"/>
      <c r="AM448" s="270"/>
      <c r="AN448" s="5"/>
      <c r="AO448" s="5"/>
      <c r="AP448" s="5"/>
      <c r="AQ448" s="5" t="s">
        <v>1812</v>
      </c>
      <c r="AR448" s="279"/>
    </row>
    <row r="449" spans="1:44" ht="15" customHeight="1">
      <c r="A449" s="5">
        <v>1150108</v>
      </c>
      <c r="B449" s="5" t="s">
        <v>1768</v>
      </c>
      <c r="C449" s="440" t="s">
        <v>1813</v>
      </c>
      <c r="D449" s="5" t="s">
        <v>81</v>
      </c>
      <c r="E449" s="5" t="s">
        <v>1770</v>
      </c>
      <c r="F449" s="5">
        <v>5</v>
      </c>
      <c r="G449" s="5">
        <v>15</v>
      </c>
      <c r="H449" s="5" t="s">
        <v>136</v>
      </c>
      <c r="I449" s="5" t="s">
        <v>137</v>
      </c>
      <c r="J449" s="5"/>
      <c r="K449" s="5"/>
      <c r="L449" s="440" t="s">
        <v>1397</v>
      </c>
      <c r="M449" s="231"/>
      <c r="N449" s="231"/>
      <c r="O449" s="440"/>
      <c r="P449" s="232"/>
      <c r="Q449" s="232">
        <v>0</v>
      </c>
      <c r="R449" s="232" t="s">
        <v>153</v>
      </c>
      <c r="S449" s="5">
        <v>1200108</v>
      </c>
      <c r="T449" s="256"/>
      <c r="U449" s="257"/>
      <c r="V449" s="446" t="s">
        <v>1772</v>
      </c>
      <c r="W449" s="592" t="s">
        <v>1814</v>
      </c>
      <c r="X449" s="592" t="s">
        <v>1814</v>
      </c>
      <c r="Y449" s="232"/>
      <c r="Z449" s="232"/>
      <c r="AA449" s="232"/>
      <c r="AB449" s="232"/>
      <c r="AC449" s="5"/>
      <c r="AD449" s="5"/>
      <c r="AE449" s="5">
        <v>0</v>
      </c>
      <c r="AF449" s="5">
        <v>0</v>
      </c>
      <c r="AG449" s="5">
        <v>0</v>
      </c>
      <c r="AH449" s="5"/>
      <c r="AI449" s="5">
        <v>0</v>
      </c>
      <c r="AJ449" s="5">
        <v>0</v>
      </c>
      <c r="AK449" s="270"/>
      <c r="AL449" s="270"/>
      <c r="AM449" s="270"/>
      <c r="AN449" s="5"/>
      <c r="AO449" s="5"/>
      <c r="AP449" s="5"/>
      <c r="AQ449" s="5" t="s">
        <v>1815</v>
      </c>
      <c r="AR449" s="279"/>
    </row>
    <row r="450" spans="1:44" ht="15" customHeight="1">
      <c r="A450" s="5">
        <v>1150109</v>
      </c>
      <c r="B450" s="5" t="s">
        <v>1768</v>
      </c>
      <c r="C450" s="440" t="s">
        <v>1816</v>
      </c>
      <c r="D450" s="5" t="s">
        <v>81</v>
      </c>
      <c r="E450" s="5" t="s">
        <v>1770</v>
      </c>
      <c r="F450" s="5">
        <v>6</v>
      </c>
      <c r="G450" s="5">
        <v>15</v>
      </c>
      <c r="H450" s="5" t="s">
        <v>136</v>
      </c>
      <c r="I450" s="5" t="s">
        <v>137</v>
      </c>
      <c r="J450" s="5"/>
      <c r="K450" s="5"/>
      <c r="L450" s="440" t="s">
        <v>1401</v>
      </c>
      <c r="M450" s="231"/>
      <c r="N450" s="231"/>
      <c r="O450" s="440"/>
      <c r="P450" s="232"/>
      <c r="Q450" s="232">
        <v>0</v>
      </c>
      <c r="R450" s="232" t="s">
        <v>153</v>
      </c>
      <c r="S450" s="5">
        <v>1200109</v>
      </c>
      <c r="T450" s="256"/>
      <c r="U450" s="257"/>
      <c r="V450" s="446" t="s">
        <v>1772</v>
      </c>
      <c r="W450" s="592" t="s">
        <v>1817</v>
      </c>
      <c r="X450" s="592" t="s">
        <v>1817</v>
      </c>
      <c r="Y450" s="232"/>
      <c r="Z450" s="232"/>
      <c r="AA450" s="232"/>
      <c r="AB450" s="232"/>
      <c r="AC450" s="5"/>
      <c r="AD450" s="5"/>
      <c r="AE450" s="5">
        <v>0</v>
      </c>
      <c r="AF450" s="5">
        <v>0</v>
      </c>
      <c r="AG450" s="5">
        <v>0</v>
      </c>
      <c r="AH450" s="5"/>
      <c r="AI450" s="5">
        <v>0</v>
      </c>
      <c r="AJ450" s="5">
        <v>0</v>
      </c>
      <c r="AK450" s="270"/>
      <c r="AL450" s="270"/>
      <c r="AM450" s="270"/>
      <c r="AN450" s="5"/>
      <c r="AO450" s="5"/>
      <c r="AP450" s="5"/>
      <c r="AQ450" s="5" t="s">
        <v>1818</v>
      </c>
      <c r="AR450" s="279"/>
    </row>
    <row r="451" spans="1:44" ht="15" customHeight="1">
      <c r="A451" s="5">
        <v>1150110</v>
      </c>
      <c r="B451" s="5" t="s">
        <v>1768</v>
      </c>
      <c r="C451" s="440" t="s">
        <v>1819</v>
      </c>
      <c r="D451" s="5" t="s">
        <v>81</v>
      </c>
      <c r="E451" s="5" t="s">
        <v>1770</v>
      </c>
      <c r="F451" s="5">
        <v>7</v>
      </c>
      <c r="G451" s="5">
        <v>15</v>
      </c>
      <c r="H451" s="5" t="s">
        <v>136</v>
      </c>
      <c r="I451" s="5" t="s">
        <v>137</v>
      </c>
      <c r="J451" s="5"/>
      <c r="K451" s="5"/>
      <c r="L451" s="440" t="s">
        <v>1405</v>
      </c>
      <c r="M451" s="231"/>
      <c r="N451" s="231"/>
      <c r="O451" s="440"/>
      <c r="P451" s="232"/>
      <c r="Q451" s="232">
        <v>0</v>
      </c>
      <c r="R451" s="232" t="s">
        <v>153</v>
      </c>
      <c r="S451" s="5">
        <v>1200110</v>
      </c>
      <c r="T451" s="256"/>
      <c r="U451" s="257"/>
      <c r="V451" s="446" t="s">
        <v>1772</v>
      </c>
      <c r="W451" s="592" t="s">
        <v>1820</v>
      </c>
      <c r="X451" s="592" t="s">
        <v>1820</v>
      </c>
      <c r="Y451" s="232"/>
      <c r="Z451" s="232"/>
      <c r="AA451" s="232"/>
      <c r="AB451" s="232"/>
      <c r="AC451" s="5"/>
      <c r="AD451" s="5"/>
      <c r="AE451" s="5">
        <v>0</v>
      </c>
      <c r="AF451" s="5">
        <v>0</v>
      </c>
      <c r="AG451" s="5">
        <v>0</v>
      </c>
      <c r="AH451" s="5"/>
      <c r="AI451" s="5">
        <v>0</v>
      </c>
      <c r="AJ451" s="5">
        <v>0</v>
      </c>
      <c r="AK451" s="270"/>
      <c r="AL451" s="270"/>
      <c r="AM451" s="270"/>
      <c r="AN451" s="5"/>
      <c r="AO451" s="5"/>
      <c r="AP451" s="5"/>
      <c r="AQ451" s="5" t="s">
        <v>1821</v>
      </c>
      <c r="AR451" s="279"/>
    </row>
    <row r="452" spans="1:44" ht="15" customHeight="1">
      <c r="A452" s="3">
        <v>1150111</v>
      </c>
      <c r="B452" s="3" t="s">
        <v>1768</v>
      </c>
      <c r="C452" s="236" t="s">
        <v>1822</v>
      </c>
      <c r="D452" s="3" t="s">
        <v>81</v>
      </c>
      <c r="E452" s="3" t="s">
        <v>1770</v>
      </c>
      <c r="F452" s="3">
        <v>8</v>
      </c>
      <c r="G452" s="3">
        <v>15</v>
      </c>
      <c r="H452" s="3" t="s">
        <v>136</v>
      </c>
      <c r="I452" s="3" t="s">
        <v>137</v>
      </c>
      <c r="J452" s="3"/>
      <c r="K452" s="3"/>
      <c r="L452" s="236"/>
      <c r="M452" s="99"/>
      <c r="N452" s="99"/>
      <c r="O452" s="236"/>
      <c r="P452" s="22"/>
      <c r="Q452" s="22">
        <v>0</v>
      </c>
      <c r="R452" s="22" t="s">
        <v>153</v>
      </c>
      <c r="S452" s="3"/>
      <c r="T452" s="260"/>
      <c r="U452" s="261"/>
      <c r="V452" s="22"/>
      <c r="W452" s="567" t="s">
        <v>285</v>
      </c>
      <c r="X452" s="567" t="s">
        <v>6732</v>
      </c>
      <c r="Y452" s="22"/>
      <c r="Z452" s="22"/>
      <c r="AA452" s="22"/>
      <c r="AB452" s="22" t="s">
        <v>114</v>
      </c>
      <c r="AC452" s="3"/>
      <c r="AD452" s="3"/>
      <c r="AE452" s="3">
        <v>0</v>
      </c>
      <c r="AF452" s="3">
        <v>0</v>
      </c>
      <c r="AG452" s="3">
        <v>0</v>
      </c>
      <c r="AH452" s="3"/>
      <c r="AI452" s="3">
        <v>0</v>
      </c>
      <c r="AJ452" s="3">
        <v>0</v>
      </c>
      <c r="AK452" s="3">
        <v>0</v>
      </c>
      <c r="AL452" s="3"/>
      <c r="AM452" s="3"/>
      <c r="AN452" s="3"/>
      <c r="AO452" s="3"/>
      <c r="AP452" s="3"/>
      <c r="AQ452" s="3" t="s">
        <v>1806</v>
      </c>
      <c r="AR452" s="281"/>
    </row>
    <row r="453" spans="1:44" ht="15" customHeight="1">
      <c r="A453" s="3">
        <v>1150112</v>
      </c>
      <c r="B453" s="3" t="s">
        <v>1823</v>
      </c>
      <c r="C453" s="236" t="s">
        <v>1824</v>
      </c>
      <c r="D453" s="3" t="s">
        <v>81</v>
      </c>
      <c r="E453" s="3" t="s">
        <v>1770</v>
      </c>
      <c r="F453" s="3">
        <v>9</v>
      </c>
      <c r="G453" s="3">
        <v>15</v>
      </c>
      <c r="H453" s="3" t="s">
        <v>136</v>
      </c>
      <c r="I453" s="3" t="s">
        <v>137</v>
      </c>
      <c r="J453" s="3"/>
      <c r="K453" s="3"/>
      <c r="L453" s="236"/>
      <c r="M453" s="99"/>
      <c r="N453" s="99"/>
      <c r="O453" s="236"/>
      <c r="P453" s="22"/>
      <c r="Q453" s="22">
        <v>0</v>
      </c>
      <c r="R453" s="22" t="s">
        <v>153</v>
      </c>
      <c r="S453" s="3"/>
      <c r="T453" s="260"/>
      <c r="U453" s="261"/>
      <c r="V453" s="22"/>
      <c r="W453" s="567" t="s">
        <v>1825</v>
      </c>
      <c r="X453" s="567" t="s">
        <v>6734</v>
      </c>
      <c r="Y453" s="22"/>
      <c r="Z453" s="22"/>
      <c r="AA453" s="22"/>
      <c r="AB453" s="22" t="s">
        <v>114</v>
      </c>
      <c r="AC453" s="3"/>
      <c r="AD453" s="3"/>
      <c r="AE453" s="3">
        <v>0</v>
      </c>
      <c r="AF453" s="3">
        <v>0</v>
      </c>
      <c r="AG453" s="3">
        <v>0</v>
      </c>
      <c r="AH453" s="3"/>
      <c r="AI453" s="3">
        <v>0</v>
      </c>
      <c r="AJ453" s="3">
        <v>0</v>
      </c>
      <c r="AK453" s="3">
        <v>0</v>
      </c>
      <c r="AL453" s="3"/>
      <c r="AM453" s="3"/>
      <c r="AN453" s="3"/>
      <c r="AO453" s="3"/>
      <c r="AP453" s="3"/>
      <c r="AQ453" s="282" t="str">
        <f>"tricks/"&amp;A453</f>
        <v>tricks/1150112</v>
      </c>
    </row>
    <row r="454" spans="1:44" ht="15" customHeight="1">
      <c r="A454" s="3">
        <v>1150113</v>
      </c>
      <c r="B454" s="3" t="s">
        <v>1823</v>
      </c>
      <c r="C454" s="236" t="s">
        <v>1826</v>
      </c>
      <c r="D454" s="3" t="s">
        <v>81</v>
      </c>
      <c r="E454" s="3" t="s">
        <v>1770</v>
      </c>
      <c r="F454" s="3">
        <v>10</v>
      </c>
      <c r="G454" s="3">
        <v>15</v>
      </c>
      <c r="H454" s="3" t="s">
        <v>136</v>
      </c>
      <c r="I454" s="3" t="s">
        <v>137</v>
      </c>
      <c r="J454" s="3"/>
      <c r="K454" s="3"/>
      <c r="L454" s="236"/>
      <c r="M454" s="99"/>
      <c r="N454" s="99"/>
      <c r="O454" s="236"/>
      <c r="P454" s="22"/>
      <c r="Q454" s="22">
        <v>0</v>
      </c>
      <c r="R454" s="22" t="s">
        <v>153</v>
      </c>
      <c r="S454" s="3"/>
      <c r="T454" s="260"/>
      <c r="U454" s="261"/>
      <c r="V454" s="22"/>
      <c r="W454" s="567" t="s">
        <v>1680</v>
      </c>
      <c r="X454" s="567" t="s">
        <v>6735</v>
      </c>
      <c r="Y454" s="22"/>
      <c r="Z454" s="22"/>
      <c r="AA454" s="22"/>
      <c r="AB454" s="22" t="s">
        <v>114</v>
      </c>
      <c r="AC454" s="3"/>
      <c r="AD454" s="3"/>
      <c r="AE454" s="3">
        <v>0</v>
      </c>
      <c r="AF454" s="3">
        <v>0</v>
      </c>
      <c r="AG454" s="3">
        <v>0</v>
      </c>
      <c r="AH454" s="3"/>
      <c r="AI454" s="3">
        <v>0</v>
      </c>
      <c r="AJ454" s="3">
        <v>0</v>
      </c>
      <c r="AK454" s="3">
        <v>0</v>
      </c>
      <c r="AL454" s="3"/>
      <c r="AM454" s="3"/>
      <c r="AN454" s="3"/>
      <c r="AO454" s="3"/>
      <c r="AP454" s="3"/>
      <c r="AQ454" s="282" t="str">
        <f>"tricks/"&amp;A454</f>
        <v>tricks/1150113</v>
      </c>
    </row>
    <row r="455" spans="1:44" ht="15" customHeight="1">
      <c r="A455" s="33">
        <v>1150201</v>
      </c>
      <c r="B455" s="33" t="s">
        <v>1827</v>
      </c>
      <c r="C455" s="429" t="s">
        <v>1828</v>
      </c>
      <c r="D455" s="33" t="s">
        <v>81</v>
      </c>
      <c r="E455" s="33" t="s">
        <v>1770</v>
      </c>
      <c r="F455" s="33">
        <v>1</v>
      </c>
      <c r="G455" s="33">
        <v>15</v>
      </c>
      <c r="H455" s="33" t="s">
        <v>82</v>
      </c>
      <c r="I455" s="33" t="s">
        <v>101</v>
      </c>
      <c r="J455" s="33"/>
      <c r="K455" s="33">
        <v>1</v>
      </c>
      <c r="L455" s="429"/>
      <c r="M455" s="367"/>
      <c r="N455" s="367"/>
      <c r="O455" s="429"/>
      <c r="P455" s="369">
        <v>1</v>
      </c>
      <c r="Q455" s="369">
        <v>0</v>
      </c>
      <c r="R455" s="369" t="s">
        <v>85</v>
      </c>
      <c r="S455" s="33">
        <v>1100103</v>
      </c>
      <c r="T455" s="380"/>
      <c r="U455" s="381"/>
      <c r="V455" s="369" t="s">
        <v>582</v>
      </c>
      <c r="W455" s="607" t="s">
        <v>1829</v>
      </c>
      <c r="X455" s="607" t="s">
        <v>1829</v>
      </c>
      <c r="Y455" s="369"/>
      <c r="Z455" s="369"/>
      <c r="AA455" s="369">
        <v>1</v>
      </c>
      <c r="AB455" s="369" t="s">
        <v>90</v>
      </c>
      <c r="AC455" s="33"/>
      <c r="AD455" s="33"/>
      <c r="AE455" s="33">
        <v>1</v>
      </c>
      <c r="AF455" s="33">
        <v>2</v>
      </c>
      <c r="AG455" s="33">
        <v>7</v>
      </c>
      <c r="AH455" s="33"/>
      <c r="AI455" s="33">
        <v>39</v>
      </c>
      <c r="AJ455" s="33">
        <v>26</v>
      </c>
      <c r="AK455" s="396"/>
      <c r="AL455" s="396"/>
      <c r="AM455" s="396"/>
      <c r="AN455" s="33" t="s">
        <v>1830</v>
      </c>
      <c r="AO455" s="33" t="s">
        <v>1831</v>
      </c>
      <c r="AP455" s="33"/>
      <c r="AQ455" s="33" t="s">
        <v>1832</v>
      </c>
      <c r="AR455" s="404">
        <v>328</v>
      </c>
    </row>
    <row r="456" spans="1:44" ht="15" customHeight="1">
      <c r="A456" s="33">
        <v>1150202</v>
      </c>
      <c r="B456" s="33" t="s">
        <v>1827</v>
      </c>
      <c r="C456" s="429" t="s">
        <v>1833</v>
      </c>
      <c r="D456" s="33" t="s">
        <v>81</v>
      </c>
      <c r="E456" s="33" t="s">
        <v>1770</v>
      </c>
      <c r="F456" s="33">
        <v>1</v>
      </c>
      <c r="G456" s="33">
        <v>15</v>
      </c>
      <c r="H456" s="33" t="s">
        <v>136</v>
      </c>
      <c r="I456" s="33" t="s">
        <v>137</v>
      </c>
      <c r="J456" s="33"/>
      <c r="K456" s="33"/>
      <c r="L456" s="429"/>
      <c r="M456" s="367"/>
      <c r="N456" s="367"/>
      <c r="O456" s="429"/>
      <c r="P456" s="369"/>
      <c r="Q456" s="369">
        <v>0</v>
      </c>
      <c r="R456" s="369" t="s">
        <v>153</v>
      </c>
      <c r="S456" s="33">
        <v>1100102</v>
      </c>
      <c r="T456" s="380"/>
      <c r="U456" s="381"/>
      <c r="V456" s="369" t="s">
        <v>582</v>
      </c>
      <c r="W456" s="607" t="s">
        <v>1834</v>
      </c>
      <c r="X456" s="607" t="s">
        <v>1834</v>
      </c>
      <c r="Y456" s="369"/>
      <c r="Z456" s="369"/>
      <c r="AA456" s="369"/>
      <c r="AB456" s="369"/>
      <c r="AC456" s="33"/>
      <c r="AD456" s="33"/>
      <c r="AE456" s="33">
        <v>0</v>
      </c>
      <c r="AF456" s="33">
        <v>0</v>
      </c>
      <c r="AG456" s="33">
        <v>0</v>
      </c>
      <c r="AH456" s="33"/>
      <c r="AI456" s="33">
        <v>0</v>
      </c>
      <c r="AJ456" s="33">
        <v>0</v>
      </c>
      <c r="AK456" s="396"/>
      <c r="AL456" s="396"/>
      <c r="AM456" s="396"/>
      <c r="AN456" s="33"/>
      <c r="AO456" s="33"/>
      <c r="AP456" s="33"/>
      <c r="AQ456" s="33" t="s">
        <v>1835</v>
      </c>
      <c r="AR456" s="404"/>
    </row>
    <row r="457" spans="1:44" s="195" customFormat="1" ht="15" customHeight="1">
      <c r="A457" s="33">
        <v>1150203</v>
      </c>
      <c r="B457" s="33" t="s">
        <v>1827</v>
      </c>
      <c r="C457" s="429" t="s">
        <v>1836</v>
      </c>
      <c r="D457" s="33" t="s">
        <v>81</v>
      </c>
      <c r="E457" s="33" t="s">
        <v>1770</v>
      </c>
      <c r="F457" s="33">
        <v>1</v>
      </c>
      <c r="G457" s="33">
        <v>15</v>
      </c>
      <c r="H457" s="33" t="s">
        <v>82</v>
      </c>
      <c r="I457" s="33" t="s">
        <v>101</v>
      </c>
      <c r="J457" s="33"/>
      <c r="K457" s="33">
        <v>3</v>
      </c>
      <c r="L457" s="429"/>
      <c r="M457" s="367"/>
      <c r="N457" s="367"/>
      <c r="O457" s="429"/>
      <c r="P457" s="369">
        <v>1</v>
      </c>
      <c r="Q457" s="369">
        <v>0</v>
      </c>
      <c r="R457" s="369" t="s">
        <v>85</v>
      </c>
      <c r="S457" s="33">
        <v>1100105</v>
      </c>
      <c r="T457" s="380"/>
      <c r="U457" s="381" t="s">
        <v>1837</v>
      </c>
      <c r="V457" s="369" t="s">
        <v>582</v>
      </c>
      <c r="W457" s="607" t="s">
        <v>1838</v>
      </c>
      <c r="X457" s="607" t="s">
        <v>1838</v>
      </c>
      <c r="Y457" s="369"/>
      <c r="Z457" s="369"/>
      <c r="AA457" s="369">
        <v>1</v>
      </c>
      <c r="AB457" s="369" t="s">
        <v>90</v>
      </c>
      <c r="AC457" s="33"/>
      <c r="AD457" s="33"/>
      <c r="AE457" s="33">
        <v>1</v>
      </c>
      <c r="AF457" s="33">
        <v>1</v>
      </c>
      <c r="AG457" s="33">
        <v>6</v>
      </c>
      <c r="AH457" s="33"/>
      <c r="AI457" s="33">
        <v>39</v>
      </c>
      <c r="AJ457" s="33">
        <v>26</v>
      </c>
      <c r="AK457" s="396"/>
      <c r="AL457" s="396"/>
      <c r="AM457" s="396"/>
      <c r="AN457" s="33" t="s">
        <v>1839</v>
      </c>
      <c r="AO457" s="33"/>
      <c r="AP457" s="33"/>
      <c r="AQ457" s="33" t="s">
        <v>1840</v>
      </c>
      <c r="AR457" s="404">
        <v>329</v>
      </c>
    </row>
    <row r="458" spans="1:44" ht="15" customHeight="1">
      <c r="A458" s="33">
        <v>1150204</v>
      </c>
      <c r="B458" s="33" t="s">
        <v>1827</v>
      </c>
      <c r="C458" s="429" t="s">
        <v>1841</v>
      </c>
      <c r="D458" s="33" t="s">
        <v>81</v>
      </c>
      <c r="E458" s="33" t="s">
        <v>1770</v>
      </c>
      <c r="F458" s="33">
        <v>2</v>
      </c>
      <c r="G458" s="33">
        <v>15</v>
      </c>
      <c r="H458" s="33" t="s">
        <v>136</v>
      </c>
      <c r="I458" s="33" t="s">
        <v>137</v>
      </c>
      <c r="J458" s="33"/>
      <c r="K458" s="33"/>
      <c r="L458" s="429"/>
      <c r="M458" s="367"/>
      <c r="N458" s="367"/>
      <c r="O458" s="429"/>
      <c r="P458" s="369"/>
      <c r="Q458" s="369">
        <v>0</v>
      </c>
      <c r="R458" s="369" t="s">
        <v>153</v>
      </c>
      <c r="S458" s="33">
        <v>1100104</v>
      </c>
      <c r="T458" s="380"/>
      <c r="U458" s="434"/>
      <c r="V458" s="369" t="s">
        <v>582</v>
      </c>
      <c r="W458" s="607" t="s">
        <v>1842</v>
      </c>
      <c r="X458" s="607" t="s">
        <v>1843</v>
      </c>
      <c r="Y458" s="369"/>
      <c r="Z458" s="369"/>
      <c r="AA458" s="369"/>
      <c r="AB458" s="369"/>
      <c r="AC458" s="33"/>
      <c r="AD458" s="33"/>
      <c r="AE458" s="33">
        <v>0</v>
      </c>
      <c r="AF458" s="33">
        <v>0</v>
      </c>
      <c r="AG458" s="33">
        <v>0</v>
      </c>
      <c r="AH458" s="33"/>
      <c r="AI458" s="33">
        <v>0</v>
      </c>
      <c r="AJ458" s="33">
        <v>0</v>
      </c>
      <c r="AK458" s="396"/>
      <c r="AL458" s="396"/>
      <c r="AM458" s="396"/>
      <c r="AN458" s="33"/>
      <c r="AO458" s="33"/>
      <c r="AP458" s="33"/>
      <c r="AQ458" s="33" t="s">
        <v>1844</v>
      </c>
      <c r="AR458" s="404"/>
    </row>
    <row r="459" spans="1:44" ht="15" customHeight="1">
      <c r="A459" s="33">
        <v>1150205</v>
      </c>
      <c r="B459" s="33" t="s">
        <v>1827</v>
      </c>
      <c r="C459" s="33" t="s">
        <v>1845</v>
      </c>
      <c r="D459" s="33" t="s">
        <v>81</v>
      </c>
      <c r="E459" s="33" t="s">
        <v>1770</v>
      </c>
      <c r="F459" s="33">
        <v>1</v>
      </c>
      <c r="G459" s="33">
        <v>15</v>
      </c>
      <c r="H459" s="33" t="s">
        <v>82</v>
      </c>
      <c r="I459" s="33" t="s">
        <v>101</v>
      </c>
      <c r="J459" s="33"/>
      <c r="K459" s="33">
        <v>5</v>
      </c>
      <c r="L459" s="430" t="s">
        <v>1350</v>
      </c>
      <c r="M459" s="367"/>
      <c r="N459" s="367"/>
      <c r="O459" s="33"/>
      <c r="P459" s="369"/>
      <c r="Q459" s="369">
        <v>0</v>
      </c>
      <c r="R459" s="369" t="s">
        <v>85</v>
      </c>
      <c r="S459" s="33">
        <v>1100002</v>
      </c>
      <c r="T459" s="380"/>
      <c r="U459" s="381" t="s">
        <v>1846</v>
      </c>
      <c r="V459" s="369" t="s">
        <v>105</v>
      </c>
      <c r="W459" s="597" t="s">
        <v>1847</v>
      </c>
      <c r="X459" s="597" t="s">
        <v>1847</v>
      </c>
      <c r="Y459" s="369"/>
      <c r="Z459" s="369"/>
      <c r="AA459" s="369">
        <v>1</v>
      </c>
      <c r="AB459" s="369" t="s">
        <v>90</v>
      </c>
      <c r="AC459" s="33"/>
      <c r="AD459" s="33"/>
      <c r="AE459" s="33">
        <v>1</v>
      </c>
      <c r="AF459" s="33">
        <v>1</v>
      </c>
      <c r="AG459" s="33">
        <v>5</v>
      </c>
      <c r="AH459" s="33"/>
      <c r="AI459" s="33">
        <v>39</v>
      </c>
      <c r="AJ459" s="33">
        <v>26</v>
      </c>
      <c r="AK459" s="396"/>
      <c r="AL459" s="396"/>
      <c r="AM459" s="396"/>
      <c r="AN459" s="33" t="s">
        <v>1848</v>
      </c>
      <c r="AO459" s="33"/>
      <c r="AP459" s="33"/>
      <c r="AQ459" s="33" t="s">
        <v>1849</v>
      </c>
      <c r="AR459" s="404">
        <v>330</v>
      </c>
    </row>
    <row r="460" spans="1:44" ht="15" customHeight="1">
      <c r="A460" s="33">
        <v>1150206</v>
      </c>
      <c r="B460" s="33" t="s">
        <v>1827</v>
      </c>
      <c r="C460" s="429" t="s">
        <v>1850</v>
      </c>
      <c r="D460" s="33" t="s">
        <v>81</v>
      </c>
      <c r="E460" s="33" t="s">
        <v>1770</v>
      </c>
      <c r="F460" s="33">
        <v>3</v>
      </c>
      <c r="G460" s="33">
        <v>15</v>
      </c>
      <c r="H460" s="33" t="s">
        <v>136</v>
      </c>
      <c r="I460" s="33" t="s">
        <v>137</v>
      </c>
      <c r="J460" s="33"/>
      <c r="K460" s="33"/>
      <c r="L460" s="429"/>
      <c r="M460" s="367"/>
      <c r="N460" s="367"/>
      <c r="O460" s="429"/>
      <c r="P460" s="369"/>
      <c r="Q460" s="369">
        <v>0</v>
      </c>
      <c r="R460" s="369" t="s">
        <v>153</v>
      </c>
      <c r="S460" s="33">
        <v>1100106</v>
      </c>
      <c r="T460" s="380"/>
      <c r="U460" s="434"/>
      <c r="V460" s="369" t="s">
        <v>582</v>
      </c>
      <c r="W460" s="607" t="s">
        <v>1851</v>
      </c>
      <c r="X460" s="607" t="s">
        <v>1852</v>
      </c>
      <c r="Y460" s="369"/>
      <c r="Z460" s="369"/>
      <c r="AA460" s="369"/>
      <c r="AB460" s="369"/>
      <c r="AC460" s="33"/>
      <c r="AD460" s="33"/>
      <c r="AE460" s="33">
        <v>0</v>
      </c>
      <c r="AF460" s="33">
        <v>0</v>
      </c>
      <c r="AG460" s="33">
        <v>0</v>
      </c>
      <c r="AH460" s="33"/>
      <c r="AI460" s="33">
        <v>0</v>
      </c>
      <c r="AJ460" s="33">
        <v>0</v>
      </c>
      <c r="AK460" s="396"/>
      <c r="AL460" s="396"/>
      <c r="AM460" s="396"/>
      <c r="AN460" s="33"/>
      <c r="AO460" s="33"/>
      <c r="AP460" s="33"/>
      <c r="AQ460" s="33" t="s">
        <v>1853</v>
      </c>
      <c r="AR460" s="404"/>
    </row>
    <row r="461" spans="1:44" ht="15" customHeight="1">
      <c r="A461" s="33">
        <v>1150207</v>
      </c>
      <c r="B461" s="33" t="s">
        <v>1827</v>
      </c>
      <c r="C461" s="429" t="s">
        <v>1854</v>
      </c>
      <c r="D461" s="33" t="s">
        <v>81</v>
      </c>
      <c r="E461" s="33" t="s">
        <v>1770</v>
      </c>
      <c r="F461" s="33">
        <v>4</v>
      </c>
      <c r="G461" s="33">
        <v>15</v>
      </c>
      <c r="H461" s="33" t="s">
        <v>136</v>
      </c>
      <c r="I461" s="33" t="s">
        <v>137</v>
      </c>
      <c r="J461" s="33"/>
      <c r="K461" s="33"/>
      <c r="L461" s="429"/>
      <c r="M461" s="367"/>
      <c r="N461" s="367"/>
      <c r="O461" s="429"/>
      <c r="P461" s="369"/>
      <c r="Q461" s="369">
        <v>0</v>
      </c>
      <c r="R461" s="369" t="s">
        <v>153</v>
      </c>
      <c r="S461" s="33">
        <v>1100107</v>
      </c>
      <c r="T461" s="380"/>
      <c r="U461" s="434"/>
      <c r="V461" s="369" t="s">
        <v>582</v>
      </c>
      <c r="W461" s="607" t="s">
        <v>1855</v>
      </c>
      <c r="X461" s="607" t="s">
        <v>1855</v>
      </c>
      <c r="Y461" s="369"/>
      <c r="Z461" s="369"/>
      <c r="AA461" s="369"/>
      <c r="AB461" s="369"/>
      <c r="AC461" s="33"/>
      <c r="AD461" s="33"/>
      <c r="AE461" s="33">
        <v>0</v>
      </c>
      <c r="AF461" s="33">
        <v>0</v>
      </c>
      <c r="AG461" s="33">
        <v>0</v>
      </c>
      <c r="AH461" s="33"/>
      <c r="AI461" s="33">
        <v>0</v>
      </c>
      <c r="AJ461" s="33">
        <v>0</v>
      </c>
      <c r="AK461" s="396"/>
      <c r="AL461" s="396"/>
      <c r="AM461" s="396"/>
      <c r="AN461" s="33"/>
      <c r="AO461" s="33"/>
      <c r="AP461" s="33"/>
      <c r="AQ461" s="33" t="s">
        <v>1856</v>
      </c>
      <c r="AR461" s="404"/>
    </row>
    <row r="462" spans="1:44" ht="15" customHeight="1">
      <c r="A462" s="33">
        <v>1150208</v>
      </c>
      <c r="B462" s="33" t="s">
        <v>1827</v>
      </c>
      <c r="C462" s="429" t="s">
        <v>1857</v>
      </c>
      <c r="D462" s="33" t="s">
        <v>81</v>
      </c>
      <c r="E462" s="33" t="s">
        <v>1770</v>
      </c>
      <c r="F462" s="33">
        <v>5</v>
      </c>
      <c r="G462" s="33">
        <v>15</v>
      </c>
      <c r="H462" s="33" t="s">
        <v>136</v>
      </c>
      <c r="I462" s="33" t="s">
        <v>137</v>
      </c>
      <c r="J462" s="33"/>
      <c r="K462" s="33"/>
      <c r="L462" s="429"/>
      <c r="M462" s="367"/>
      <c r="N462" s="367"/>
      <c r="O462" s="429"/>
      <c r="P462" s="369"/>
      <c r="Q462" s="369">
        <v>0</v>
      </c>
      <c r="R462" s="369" t="s">
        <v>153</v>
      </c>
      <c r="S462" s="33">
        <v>1100108</v>
      </c>
      <c r="T462" s="380"/>
      <c r="U462" s="381"/>
      <c r="V462" s="369" t="s">
        <v>582</v>
      </c>
      <c r="W462" s="607" t="s">
        <v>1858</v>
      </c>
      <c r="X462" s="607" t="s">
        <v>1858</v>
      </c>
      <c r="Y462" s="369"/>
      <c r="Z462" s="369"/>
      <c r="AA462" s="369"/>
      <c r="AB462" s="369"/>
      <c r="AC462" s="33"/>
      <c r="AD462" s="33"/>
      <c r="AE462" s="33">
        <v>0</v>
      </c>
      <c r="AF462" s="33">
        <v>0</v>
      </c>
      <c r="AG462" s="33">
        <v>0</v>
      </c>
      <c r="AH462" s="33"/>
      <c r="AI462" s="33">
        <v>0</v>
      </c>
      <c r="AJ462" s="33">
        <v>0</v>
      </c>
      <c r="AK462" s="396"/>
      <c r="AL462" s="396"/>
      <c r="AM462" s="396"/>
      <c r="AN462" s="33"/>
      <c r="AO462" s="33"/>
      <c r="AP462" s="33"/>
      <c r="AQ462" s="33" t="s">
        <v>1859</v>
      </c>
      <c r="AR462" s="404"/>
    </row>
    <row r="463" spans="1:44" ht="15" customHeight="1">
      <c r="A463" s="33">
        <v>1150209</v>
      </c>
      <c r="B463" s="33" t="s">
        <v>1827</v>
      </c>
      <c r="C463" s="429" t="s">
        <v>1860</v>
      </c>
      <c r="D463" s="33" t="s">
        <v>81</v>
      </c>
      <c r="E463" s="33" t="s">
        <v>1770</v>
      </c>
      <c r="F463" s="33">
        <v>6</v>
      </c>
      <c r="G463" s="33">
        <v>15</v>
      </c>
      <c r="H463" s="33" t="s">
        <v>136</v>
      </c>
      <c r="I463" s="33" t="s">
        <v>137</v>
      </c>
      <c r="J463" s="33"/>
      <c r="K463" s="33"/>
      <c r="L463" s="429"/>
      <c r="M463" s="367"/>
      <c r="N463" s="367"/>
      <c r="O463" s="429"/>
      <c r="P463" s="369"/>
      <c r="Q463" s="369">
        <v>0</v>
      </c>
      <c r="R463" s="369" t="s">
        <v>153</v>
      </c>
      <c r="S463" s="33">
        <v>1100109</v>
      </c>
      <c r="T463" s="380"/>
      <c r="U463" s="381"/>
      <c r="V463" s="369" t="s">
        <v>582</v>
      </c>
      <c r="W463" s="607" t="s">
        <v>1861</v>
      </c>
      <c r="X463" s="607" t="s">
        <v>1861</v>
      </c>
      <c r="Y463" s="369"/>
      <c r="Z463" s="369"/>
      <c r="AA463" s="369"/>
      <c r="AB463" s="369"/>
      <c r="AC463" s="33"/>
      <c r="AD463" s="33"/>
      <c r="AE463" s="33">
        <v>0</v>
      </c>
      <c r="AF463" s="33">
        <v>0</v>
      </c>
      <c r="AG463" s="33">
        <v>0</v>
      </c>
      <c r="AH463" s="33"/>
      <c r="AI463" s="33">
        <v>0</v>
      </c>
      <c r="AJ463" s="33">
        <v>0</v>
      </c>
      <c r="AK463" s="396"/>
      <c r="AL463" s="396"/>
      <c r="AM463" s="396"/>
      <c r="AN463" s="33"/>
      <c r="AO463" s="33"/>
      <c r="AP463" s="33"/>
      <c r="AQ463" s="33" t="s">
        <v>1862</v>
      </c>
      <c r="AR463" s="404"/>
    </row>
    <row r="464" spans="1:44" ht="15" customHeight="1">
      <c r="A464" s="33">
        <v>1150210</v>
      </c>
      <c r="B464" s="33" t="s">
        <v>1827</v>
      </c>
      <c r="C464" s="429" t="s">
        <v>1863</v>
      </c>
      <c r="D464" s="33" t="s">
        <v>81</v>
      </c>
      <c r="E464" s="33" t="s">
        <v>1770</v>
      </c>
      <c r="F464" s="33">
        <v>7</v>
      </c>
      <c r="G464" s="33">
        <v>15</v>
      </c>
      <c r="H464" s="33" t="s">
        <v>136</v>
      </c>
      <c r="I464" s="33" t="s">
        <v>137</v>
      </c>
      <c r="J464" s="33"/>
      <c r="K464" s="33"/>
      <c r="L464" s="429"/>
      <c r="M464" s="367"/>
      <c r="N464" s="367"/>
      <c r="O464" s="429"/>
      <c r="P464" s="369"/>
      <c r="Q464" s="369">
        <v>0</v>
      </c>
      <c r="R464" s="369" t="s">
        <v>153</v>
      </c>
      <c r="S464" s="33">
        <v>1100110</v>
      </c>
      <c r="T464" s="380"/>
      <c r="U464" s="381"/>
      <c r="V464" s="369" t="s">
        <v>582</v>
      </c>
      <c r="W464" s="607" t="s">
        <v>1864</v>
      </c>
      <c r="X464" s="607" t="s">
        <v>1864</v>
      </c>
      <c r="Y464" s="369"/>
      <c r="Z464" s="369"/>
      <c r="AA464" s="369"/>
      <c r="AB464" s="369"/>
      <c r="AC464" s="33"/>
      <c r="AD464" s="33"/>
      <c r="AE464" s="33">
        <v>0</v>
      </c>
      <c r="AF464" s="33">
        <v>0</v>
      </c>
      <c r="AG464" s="33">
        <v>0</v>
      </c>
      <c r="AH464" s="33"/>
      <c r="AI464" s="33">
        <v>0</v>
      </c>
      <c r="AJ464" s="33">
        <v>0</v>
      </c>
      <c r="AK464" s="396"/>
      <c r="AL464" s="396"/>
      <c r="AM464" s="396"/>
      <c r="AN464" s="33"/>
      <c r="AO464" s="33"/>
      <c r="AP464" s="33"/>
      <c r="AQ464" s="33" t="s">
        <v>1865</v>
      </c>
      <c r="AR464" s="404"/>
    </row>
    <row r="465" spans="1:44" ht="15" customHeight="1">
      <c r="A465" s="3">
        <v>1150211</v>
      </c>
      <c r="B465" s="3" t="s">
        <v>1827</v>
      </c>
      <c r="C465" s="236" t="s">
        <v>1866</v>
      </c>
      <c r="D465" s="3" t="s">
        <v>81</v>
      </c>
      <c r="E465" s="3" t="s">
        <v>1770</v>
      </c>
      <c r="F465" s="3">
        <v>8</v>
      </c>
      <c r="G465" s="3">
        <v>15</v>
      </c>
      <c r="H465" s="3" t="s">
        <v>136</v>
      </c>
      <c r="I465" s="3" t="s">
        <v>137</v>
      </c>
      <c r="J465" s="3"/>
      <c r="K465" s="3"/>
      <c r="L465" s="236"/>
      <c r="M465" s="99"/>
      <c r="N465" s="99"/>
      <c r="O465" s="236"/>
      <c r="P465" s="22"/>
      <c r="Q465" s="22">
        <v>0</v>
      </c>
      <c r="R465" s="22" t="s">
        <v>153</v>
      </c>
      <c r="S465" s="3"/>
      <c r="T465" s="260"/>
      <c r="U465" s="261"/>
      <c r="V465" s="22"/>
      <c r="W465" s="567" t="s">
        <v>285</v>
      </c>
      <c r="X465" s="567" t="s">
        <v>6732</v>
      </c>
      <c r="Y465" s="22"/>
      <c r="Z465" s="22"/>
      <c r="AA465" s="22"/>
      <c r="AB465" s="22" t="s">
        <v>114</v>
      </c>
      <c r="AC465" s="3"/>
      <c r="AD465" s="3"/>
      <c r="AE465" s="3">
        <v>0</v>
      </c>
      <c r="AF465" s="3">
        <v>0</v>
      </c>
      <c r="AG465" s="3">
        <v>0</v>
      </c>
      <c r="AH465" s="3"/>
      <c r="AI465" s="3">
        <v>0</v>
      </c>
      <c r="AJ465" s="3">
        <v>0</v>
      </c>
      <c r="AK465" s="3">
        <v>0</v>
      </c>
      <c r="AL465" s="3"/>
      <c r="AM465" s="3"/>
      <c r="AN465" s="3"/>
      <c r="AO465" s="3"/>
      <c r="AP465" s="3"/>
      <c r="AQ465" s="3" t="s">
        <v>1849</v>
      </c>
      <c r="AR465" s="281"/>
    </row>
    <row r="466" spans="1:44" ht="15" customHeight="1">
      <c r="A466" s="3">
        <v>1150212</v>
      </c>
      <c r="B466" s="3" t="s">
        <v>1827</v>
      </c>
      <c r="C466" s="236" t="s">
        <v>1867</v>
      </c>
      <c r="D466" s="3" t="s">
        <v>81</v>
      </c>
      <c r="E466" s="3" t="s">
        <v>1770</v>
      </c>
      <c r="F466" s="3">
        <v>9</v>
      </c>
      <c r="G466" s="3">
        <v>15</v>
      </c>
      <c r="H466" s="3" t="s">
        <v>136</v>
      </c>
      <c r="I466" s="3" t="s">
        <v>137</v>
      </c>
      <c r="J466" s="3"/>
      <c r="K466" s="3"/>
      <c r="L466" s="236"/>
      <c r="M466" s="99"/>
      <c r="N466" s="99"/>
      <c r="O466" s="236"/>
      <c r="P466" s="22"/>
      <c r="Q466" s="22">
        <v>0</v>
      </c>
      <c r="R466" s="22" t="s">
        <v>153</v>
      </c>
      <c r="S466" s="3"/>
      <c r="T466" s="260"/>
      <c r="U466" s="261"/>
      <c r="V466" s="22"/>
      <c r="W466" s="567" t="s">
        <v>1868</v>
      </c>
      <c r="X466" s="567" t="s">
        <v>6733</v>
      </c>
      <c r="Y466" s="22"/>
      <c r="Z466" s="22"/>
      <c r="AA466" s="22"/>
      <c r="AB466" s="22" t="s">
        <v>114</v>
      </c>
      <c r="AC466" s="3"/>
      <c r="AD466" s="3"/>
      <c r="AE466" s="3">
        <v>0</v>
      </c>
      <c r="AF466" s="3">
        <v>0</v>
      </c>
      <c r="AG466" s="3">
        <v>0</v>
      </c>
      <c r="AH466" s="3"/>
      <c r="AI466" s="3">
        <v>0</v>
      </c>
      <c r="AJ466" s="3">
        <v>0</v>
      </c>
      <c r="AK466" s="3">
        <v>0</v>
      </c>
      <c r="AL466" s="3"/>
      <c r="AM466" s="3"/>
      <c r="AN466" s="3"/>
      <c r="AO466" s="3"/>
      <c r="AP466" s="3"/>
      <c r="AQ466" s="282" t="str">
        <f>"tricks/"&amp;A466</f>
        <v>tricks/1150212</v>
      </c>
    </row>
    <row r="467" spans="1:44" ht="15" customHeight="1">
      <c r="A467" s="3">
        <v>1150213</v>
      </c>
      <c r="B467" s="3" t="s">
        <v>1827</v>
      </c>
      <c r="C467" s="236" t="s">
        <v>1869</v>
      </c>
      <c r="D467" s="3" t="s">
        <v>81</v>
      </c>
      <c r="E467" s="3" t="s">
        <v>1770</v>
      </c>
      <c r="F467" s="3">
        <v>10</v>
      </c>
      <c r="G467" s="3">
        <v>15</v>
      </c>
      <c r="H467" s="3" t="s">
        <v>136</v>
      </c>
      <c r="I467" s="3" t="s">
        <v>137</v>
      </c>
      <c r="J467" s="3"/>
      <c r="K467" s="3"/>
      <c r="L467" s="236"/>
      <c r="M467" s="99"/>
      <c r="N467" s="99"/>
      <c r="O467" s="236"/>
      <c r="P467" s="22"/>
      <c r="Q467" s="22">
        <v>0</v>
      </c>
      <c r="R467" s="22" t="s">
        <v>153</v>
      </c>
      <c r="S467" s="3"/>
      <c r="T467" s="260"/>
      <c r="U467" s="261"/>
      <c r="V467" s="22"/>
      <c r="W467" s="567" t="s">
        <v>1870</v>
      </c>
      <c r="X467" s="567" t="s">
        <v>1871</v>
      </c>
      <c r="Y467" s="22"/>
      <c r="Z467" s="22"/>
      <c r="AA467" s="22"/>
      <c r="AB467" s="22" t="s">
        <v>114</v>
      </c>
      <c r="AC467" s="3"/>
      <c r="AD467" s="3"/>
      <c r="AE467" s="3">
        <v>0</v>
      </c>
      <c r="AF467" s="3">
        <v>0</v>
      </c>
      <c r="AG467" s="3">
        <v>0</v>
      </c>
      <c r="AH467" s="3"/>
      <c r="AI467" s="3">
        <v>0</v>
      </c>
      <c r="AJ467" s="3">
        <v>0</v>
      </c>
      <c r="AK467" s="3">
        <v>0</v>
      </c>
      <c r="AL467" s="3"/>
      <c r="AM467" s="3"/>
      <c r="AN467" s="3"/>
      <c r="AO467" s="3"/>
      <c r="AP467" s="3"/>
      <c r="AQ467" s="282" t="str">
        <f>"tricks/"&amp;A467</f>
        <v>tricks/1150213</v>
      </c>
    </row>
    <row r="468" spans="1:44" ht="15" customHeight="1">
      <c r="A468" s="39">
        <v>1999999</v>
      </c>
      <c r="B468" s="39" t="s">
        <v>1872</v>
      </c>
      <c r="C468" s="450" t="s">
        <v>1872</v>
      </c>
      <c r="D468" s="39" t="s">
        <v>81</v>
      </c>
      <c r="E468" s="39" t="s">
        <v>325</v>
      </c>
      <c r="F468" s="39">
        <v>1</v>
      </c>
      <c r="G468" s="39">
        <v>2</v>
      </c>
      <c r="H468" s="39" t="s">
        <v>82</v>
      </c>
      <c r="I468" s="39" t="s">
        <v>101</v>
      </c>
      <c r="J468" s="39"/>
      <c r="K468" s="39"/>
      <c r="L468" s="450"/>
      <c r="M468" s="451"/>
      <c r="N468" s="451"/>
      <c r="O468" s="450"/>
      <c r="P468" s="452"/>
      <c r="Q468" s="452">
        <v>0</v>
      </c>
      <c r="R468" s="452" t="s">
        <v>85</v>
      </c>
      <c r="S468" s="39"/>
      <c r="T468" s="461"/>
      <c r="U468" s="462"/>
      <c r="V468" s="452"/>
      <c r="W468" s="618" t="s">
        <v>1873</v>
      </c>
      <c r="X468" s="618" t="s">
        <v>1873</v>
      </c>
      <c r="Y468" s="452"/>
      <c r="Z468" s="452"/>
      <c r="AA468" s="452"/>
      <c r="AB468" s="452" t="s">
        <v>114</v>
      </c>
      <c r="AC468" s="39"/>
      <c r="AD468" s="39"/>
      <c r="AE468" s="39">
        <v>0</v>
      </c>
      <c r="AF468" s="39">
        <v>0</v>
      </c>
      <c r="AG468" s="39">
        <v>0</v>
      </c>
      <c r="AH468" s="39"/>
      <c r="AI468" s="39">
        <v>0</v>
      </c>
      <c r="AJ468" s="39">
        <v>0</v>
      </c>
      <c r="AK468" s="39">
        <v>0</v>
      </c>
      <c r="AL468" s="39"/>
      <c r="AM468" s="39"/>
      <c r="AN468" s="39"/>
      <c r="AO468" s="39"/>
      <c r="AP468" s="39"/>
      <c r="AQ468" s="39" t="s">
        <v>1853</v>
      </c>
      <c r="AR468" s="470"/>
    </row>
    <row r="469" spans="1:44" ht="15" customHeight="1">
      <c r="A469" s="43">
        <v>2010101</v>
      </c>
      <c r="B469" s="43" t="s">
        <v>1874</v>
      </c>
      <c r="C469" s="454" t="s">
        <v>1875</v>
      </c>
      <c r="D469" s="43" t="s">
        <v>1876</v>
      </c>
      <c r="E469" s="36"/>
      <c r="F469" s="36">
        <v>1</v>
      </c>
      <c r="G469" s="36">
        <v>7</v>
      </c>
      <c r="H469" s="43" t="s">
        <v>82</v>
      </c>
      <c r="I469" s="43" t="s">
        <v>101</v>
      </c>
      <c r="J469" s="43"/>
      <c r="K469" s="36"/>
      <c r="L469" s="453" t="s">
        <v>1877</v>
      </c>
      <c r="M469" s="378"/>
      <c r="N469" s="378">
        <v>1</v>
      </c>
      <c r="O469" s="454"/>
      <c r="P469" s="379"/>
      <c r="Q469" s="379">
        <v>0</v>
      </c>
      <c r="R469" s="463"/>
      <c r="S469" s="36"/>
      <c r="T469" s="390"/>
      <c r="U469" s="391"/>
      <c r="V469" s="464"/>
      <c r="W469" s="619" t="s">
        <v>1878</v>
      </c>
      <c r="X469" s="619" t="s">
        <v>1878</v>
      </c>
      <c r="Y469" s="379">
        <v>0</v>
      </c>
      <c r="Z469" s="379">
        <v>0</v>
      </c>
      <c r="AA469" s="379"/>
      <c r="AB469" s="379"/>
      <c r="AC469" s="36"/>
      <c r="AD469" s="43"/>
      <c r="AE469" s="43">
        <v>1</v>
      </c>
      <c r="AF469" s="43">
        <v>1</v>
      </c>
      <c r="AG469" s="43">
        <v>20</v>
      </c>
      <c r="AH469" s="43"/>
      <c r="AI469" s="43"/>
      <c r="AJ469" s="43"/>
      <c r="AK469" s="401"/>
      <c r="AL469" s="401"/>
      <c r="AM469" s="401"/>
      <c r="AN469" s="43" t="s">
        <v>1879</v>
      </c>
      <c r="AO469" s="43"/>
      <c r="AP469" s="43"/>
      <c r="AQ469" s="36" t="s">
        <v>1880</v>
      </c>
      <c r="AR469" s="407"/>
    </row>
    <row r="470" spans="1:44" ht="15" customHeight="1">
      <c r="A470" s="43">
        <v>2010102</v>
      </c>
      <c r="B470" s="43" t="s">
        <v>1874</v>
      </c>
      <c r="C470" s="454" t="s">
        <v>1881</v>
      </c>
      <c r="D470" s="43" t="s">
        <v>1876</v>
      </c>
      <c r="E470" s="36"/>
      <c r="F470" s="36">
        <v>1</v>
      </c>
      <c r="G470" s="36">
        <v>7</v>
      </c>
      <c r="H470" s="36" t="s">
        <v>136</v>
      </c>
      <c r="I470" s="36" t="s">
        <v>137</v>
      </c>
      <c r="J470" s="36"/>
      <c r="K470" s="36"/>
      <c r="L470" s="455" t="s">
        <v>1882</v>
      </c>
      <c r="M470" s="378"/>
      <c r="N470" s="378"/>
      <c r="O470" s="454"/>
      <c r="P470" s="379"/>
      <c r="Q470" s="379">
        <v>0</v>
      </c>
      <c r="R470" s="463"/>
      <c r="S470" s="36"/>
      <c r="T470" s="465"/>
      <c r="U470" s="391"/>
      <c r="V470" s="464"/>
      <c r="W470" s="619" t="s">
        <v>1883</v>
      </c>
      <c r="X470" s="619" t="s">
        <v>1883</v>
      </c>
      <c r="Y470" s="379">
        <v>0</v>
      </c>
      <c r="Z470" s="379">
        <v>0</v>
      </c>
      <c r="AA470" s="379"/>
      <c r="AB470" s="379"/>
      <c r="AC470" s="36"/>
      <c r="AD470" s="43"/>
      <c r="AE470" s="43">
        <v>0</v>
      </c>
      <c r="AF470" s="43">
        <v>0</v>
      </c>
      <c r="AG470" s="43">
        <v>0</v>
      </c>
      <c r="AH470" s="43"/>
      <c r="AI470" s="43">
        <v>0</v>
      </c>
      <c r="AJ470" s="43">
        <v>0</v>
      </c>
      <c r="AK470" s="401"/>
      <c r="AL470" s="401"/>
      <c r="AM470" s="401"/>
      <c r="AN470" s="36"/>
      <c r="AO470" s="36"/>
      <c r="AP470" s="36"/>
      <c r="AQ470" s="43" t="s">
        <v>1884</v>
      </c>
      <c r="AR470" s="407"/>
    </row>
    <row r="471" spans="1:44" ht="15" customHeight="1">
      <c r="A471" s="43">
        <v>2010103</v>
      </c>
      <c r="B471" s="43" t="s">
        <v>1874</v>
      </c>
      <c r="C471" s="454" t="s">
        <v>1885</v>
      </c>
      <c r="D471" s="43" t="s">
        <v>1876</v>
      </c>
      <c r="E471" s="36"/>
      <c r="F471" s="36">
        <v>2</v>
      </c>
      <c r="G471" s="36">
        <v>7</v>
      </c>
      <c r="H471" s="36" t="s">
        <v>136</v>
      </c>
      <c r="I471" s="36" t="s">
        <v>137</v>
      </c>
      <c r="J471" s="36"/>
      <c r="K471" s="36"/>
      <c r="L471" s="455" t="s">
        <v>1886</v>
      </c>
      <c r="M471" s="378"/>
      <c r="N471" s="378"/>
      <c r="O471" s="454"/>
      <c r="P471" s="379"/>
      <c r="Q471" s="379">
        <v>0</v>
      </c>
      <c r="R471" s="463"/>
      <c r="S471" s="36"/>
      <c r="T471" s="465"/>
      <c r="U471" s="391"/>
      <c r="V471" s="464"/>
      <c r="W471" s="619" t="s">
        <v>1887</v>
      </c>
      <c r="X471" s="619" t="s">
        <v>1887</v>
      </c>
      <c r="Y471" s="379">
        <v>0</v>
      </c>
      <c r="Z471" s="379">
        <v>0</v>
      </c>
      <c r="AA471" s="379"/>
      <c r="AB471" s="379"/>
      <c r="AC471" s="36"/>
      <c r="AD471" s="43"/>
      <c r="AE471" s="43">
        <v>0</v>
      </c>
      <c r="AF471" s="43">
        <v>0</v>
      </c>
      <c r="AG471" s="43">
        <v>0</v>
      </c>
      <c r="AH471" s="43"/>
      <c r="AI471" s="43">
        <v>0</v>
      </c>
      <c r="AJ471" s="43">
        <v>0</v>
      </c>
      <c r="AK471" s="401"/>
      <c r="AL471" s="401"/>
      <c r="AM471" s="401"/>
      <c r="AN471" s="36"/>
      <c r="AO471" s="36"/>
      <c r="AP471" s="36"/>
      <c r="AQ471" s="43" t="s">
        <v>1888</v>
      </c>
      <c r="AR471" s="407"/>
    </row>
    <row r="472" spans="1:44" ht="15" customHeight="1">
      <c r="A472" s="43">
        <v>2010104</v>
      </c>
      <c r="B472" s="36" t="s">
        <v>1874</v>
      </c>
      <c r="C472" s="36" t="s">
        <v>1889</v>
      </c>
      <c r="D472" s="36" t="s">
        <v>1876</v>
      </c>
      <c r="E472" s="36"/>
      <c r="F472" s="36">
        <v>3</v>
      </c>
      <c r="G472" s="36">
        <v>7</v>
      </c>
      <c r="H472" s="36" t="s">
        <v>136</v>
      </c>
      <c r="I472" s="43" t="s">
        <v>101</v>
      </c>
      <c r="J472" s="43"/>
      <c r="K472" s="36"/>
      <c r="L472" s="454" t="s">
        <v>1890</v>
      </c>
      <c r="M472" s="378"/>
      <c r="N472" s="378"/>
      <c r="O472" s="36"/>
      <c r="P472" s="379"/>
      <c r="Q472" s="379">
        <v>0</v>
      </c>
      <c r="R472" s="379"/>
      <c r="S472" s="36">
        <v>2010105</v>
      </c>
      <c r="T472" s="390"/>
      <c r="U472" s="466"/>
      <c r="V472" s="379" t="s">
        <v>582</v>
      </c>
      <c r="W472" s="619" t="s">
        <v>1891</v>
      </c>
      <c r="X472" s="619" t="s">
        <v>1891</v>
      </c>
      <c r="Y472" s="379">
        <v>0</v>
      </c>
      <c r="Z472" s="379">
        <v>0</v>
      </c>
      <c r="AA472" s="379"/>
      <c r="AB472" s="379"/>
      <c r="AC472" s="36"/>
      <c r="AD472" s="36"/>
      <c r="AE472" s="36">
        <v>0</v>
      </c>
      <c r="AF472" s="36">
        <v>0</v>
      </c>
      <c r="AG472" s="36">
        <v>15</v>
      </c>
      <c r="AH472" s="36"/>
      <c r="AI472" s="36">
        <v>0</v>
      </c>
      <c r="AJ472" s="36">
        <v>0</v>
      </c>
      <c r="AK472" s="401"/>
      <c r="AL472" s="401"/>
      <c r="AM472" s="401"/>
      <c r="AN472" s="36"/>
      <c r="AO472" s="36"/>
      <c r="AP472" s="36"/>
      <c r="AQ472" s="36" t="s">
        <v>1892</v>
      </c>
      <c r="AR472" s="407"/>
    </row>
    <row r="473" spans="1:44" ht="15" customHeight="1">
      <c r="A473" s="43">
        <v>2010105</v>
      </c>
      <c r="B473" s="36" t="s">
        <v>1874</v>
      </c>
      <c r="C473" s="36" t="s">
        <v>1893</v>
      </c>
      <c r="D473" s="36" t="s">
        <v>1876</v>
      </c>
      <c r="E473" s="36"/>
      <c r="F473" s="36">
        <v>4</v>
      </c>
      <c r="G473" s="36">
        <v>7</v>
      </c>
      <c r="H473" s="36" t="s">
        <v>136</v>
      </c>
      <c r="I473" s="36" t="s">
        <v>137</v>
      </c>
      <c r="J473" s="36"/>
      <c r="K473" s="36"/>
      <c r="L473" s="456" t="s">
        <v>1894</v>
      </c>
      <c r="M473" s="378"/>
      <c r="N473" s="378"/>
      <c r="O473" s="36"/>
      <c r="P473" s="379"/>
      <c r="Q473" s="379">
        <v>0</v>
      </c>
      <c r="R473" s="379"/>
      <c r="S473" s="36">
        <v>2010106</v>
      </c>
      <c r="T473" s="390"/>
      <c r="U473" s="466"/>
      <c r="V473" s="379" t="s">
        <v>582</v>
      </c>
      <c r="W473" s="619" t="s">
        <v>1895</v>
      </c>
      <c r="X473" s="619" t="s">
        <v>1895</v>
      </c>
      <c r="Y473" s="379">
        <v>0</v>
      </c>
      <c r="Z473" s="379">
        <v>0</v>
      </c>
      <c r="AA473" s="379"/>
      <c r="AB473" s="379"/>
      <c r="AC473" s="36"/>
      <c r="AD473" s="36"/>
      <c r="AE473" s="36">
        <v>0</v>
      </c>
      <c r="AF473" s="36">
        <v>0</v>
      </c>
      <c r="AG473" s="36">
        <v>0</v>
      </c>
      <c r="AH473" s="36"/>
      <c r="AI473" s="36">
        <v>0</v>
      </c>
      <c r="AJ473" s="36">
        <v>0</v>
      </c>
      <c r="AK473" s="401"/>
      <c r="AL473" s="401"/>
      <c r="AM473" s="401"/>
      <c r="AN473" s="36"/>
      <c r="AO473" s="36"/>
      <c r="AP473" s="36"/>
      <c r="AQ473" s="36" t="s">
        <v>1896</v>
      </c>
      <c r="AR473" s="407"/>
    </row>
    <row r="474" spans="1:44" ht="15" customHeight="1">
      <c r="A474" s="43">
        <v>2010106</v>
      </c>
      <c r="B474" s="36" t="s">
        <v>1874</v>
      </c>
      <c r="C474" s="36" t="s">
        <v>1897</v>
      </c>
      <c r="D474" s="36" t="s">
        <v>1876</v>
      </c>
      <c r="E474" s="36"/>
      <c r="F474" s="36">
        <v>5</v>
      </c>
      <c r="G474" s="36">
        <v>7</v>
      </c>
      <c r="H474" s="36" t="s">
        <v>136</v>
      </c>
      <c r="I474" s="36" t="s">
        <v>137</v>
      </c>
      <c r="J474" s="36"/>
      <c r="K474" s="36"/>
      <c r="L474" s="456" t="s">
        <v>1898</v>
      </c>
      <c r="M474" s="378"/>
      <c r="N474" s="378"/>
      <c r="O474" s="36"/>
      <c r="P474" s="379"/>
      <c r="Q474" s="379">
        <v>0</v>
      </c>
      <c r="R474" s="379"/>
      <c r="S474" s="36">
        <v>2010107</v>
      </c>
      <c r="T474" s="390"/>
      <c r="U474" s="466"/>
      <c r="V474" s="379" t="s">
        <v>582</v>
      </c>
      <c r="W474" s="619" t="s">
        <v>1899</v>
      </c>
      <c r="X474" s="619" t="s">
        <v>1899</v>
      </c>
      <c r="Y474" s="379">
        <v>0</v>
      </c>
      <c r="Z474" s="379">
        <v>0</v>
      </c>
      <c r="AA474" s="379"/>
      <c r="AB474" s="379"/>
      <c r="AC474" s="36"/>
      <c r="AD474" s="36"/>
      <c r="AE474" s="36">
        <v>0</v>
      </c>
      <c r="AF474" s="36">
        <v>0</v>
      </c>
      <c r="AG474" s="36">
        <v>0</v>
      </c>
      <c r="AH474" s="36"/>
      <c r="AI474" s="36">
        <v>0</v>
      </c>
      <c r="AJ474" s="36">
        <v>0</v>
      </c>
      <c r="AK474" s="401"/>
      <c r="AL474" s="401"/>
      <c r="AM474" s="401"/>
      <c r="AN474" s="36"/>
      <c r="AO474" s="36"/>
      <c r="AP474" s="36"/>
      <c r="AQ474" s="36" t="s">
        <v>1900</v>
      </c>
      <c r="AR474" s="407"/>
    </row>
    <row r="475" spans="1:44" ht="15" customHeight="1">
      <c r="A475" s="43">
        <v>2010107</v>
      </c>
      <c r="B475" s="36" t="s">
        <v>1874</v>
      </c>
      <c r="C475" s="36" t="s">
        <v>1901</v>
      </c>
      <c r="D475" s="36" t="s">
        <v>1876</v>
      </c>
      <c r="E475" s="36"/>
      <c r="F475" s="36">
        <v>6</v>
      </c>
      <c r="G475" s="36">
        <v>7</v>
      </c>
      <c r="H475" s="36" t="s">
        <v>136</v>
      </c>
      <c r="I475" s="43" t="s">
        <v>101</v>
      </c>
      <c r="J475" s="43"/>
      <c r="K475" s="36"/>
      <c r="L475" s="456" t="s">
        <v>1902</v>
      </c>
      <c r="M475" s="378"/>
      <c r="N475" s="378"/>
      <c r="O475" s="36"/>
      <c r="P475" s="379"/>
      <c r="Q475" s="379">
        <v>0</v>
      </c>
      <c r="R475" s="379"/>
      <c r="S475" s="36">
        <v>2010109</v>
      </c>
      <c r="T475" s="390"/>
      <c r="U475" s="466"/>
      <c r="V475" s="379" t="s">
        <v>582</v>
      </c>
      <c r="W475" s="619" t="s">
        <v>1903</v>
      </c>
      <c r="X475" s="619" t="s">
        <v>1903</v>
      </c>
      <c r="Y475" s="379">
        <v>0</v>
      </c>
      <c r="Z475" s="379">
        <v>0</v>
      </c>
      <c r="AA475" s="379"/>
      <c r="AB475" s="379"/>
      <c r="AC475" s="36"/>
      <c r="AD475" s="36"/>
      <c r="AE475" s="36">
        <v>0</v>
      </c>
      <c r="AF475" s="36">
        <v>0</v>
      </c>
      <c r="AG475" s="36">
        <v>10</v>
      </c>
      <c r="AH475" s="36"/>
      <c r="AI475" s="36">
        <v>0</v>
      </c>
      <c r="AJ475" s="36">
        <v>0</v>
      </c>
      <c r="AK475" s="401"/>
      <c r="AL475" s="401"/>
      <c r="AM475" s="401"/>
      <c r="AN475" s="36"/>
      <c r="AO475" s="36"/>
      <c r="AP475" s="36"/>
      <c r="AQ475" s="36" t="s">
        <v>1904</v>
      </c>
      <c r="AR475" s="407"/>
    </row>
    <row r="476" spans="1:44" ht="15" customHeight="1">
      <c r="A476" s="43">
        <v>2010108</v>
      </c>
      <c r="B476" s="36" t="s">
        <v>1874</v>
      </c>
      <c r="C476" s="36" t="s">
        <v>1905</v>
      </c>
      <c r="D476" s="36" t="s">
        <v>1876</v>
      </c>
      <c r="E476" s="36"/>
      <c r="F476" s="36">
        <v>7</v>
      </c>
      <c r="G476" s="36">
        <v>7</v>
      </c>
      <c r="H476" s="36" t="s">
        <v>136</v>
      </c>
      <c r="I476" s="36" t="s">
        <v>137</v>
      </c>
      <c r="J476" s="36"/>
      <c r="K476" s="36"/>
      <c r="L476" s="456" t="s">
        <v>1906</v>
      </c>
      <c r="M476" s="378"/>
      <c r="N476" s="378"/>
      <c r="O476" s="36"/>
      <c r="P476" s="379"/>
      <c r="Q476" s="379">
        <v>0</v>
      </c>
      <c r="R476" s="379"/>
      <c r="S476" s="36">
        <v>2010110</v>
      </c>
      <c r="T476" s="390"/>
      <c r="U476" s="466"/>
      <c r="V476" s="379" t="s">
        <v>582</v>
      </c>
      <c r="W476" s="619" t="s">
        <v>1907</v>
      </c>
      <c r="X476" s="619" t="s">
        <v>1907</v>
      </c>
      <c r="Y476" s="456"/>
      <c r="Z476" s="456"/>
      <c r="AA476" s="379"/>
      <c r="AB476" s="379"/>
      <c r="AC476" s="36"/>
      <c r="AD476" s="36"/>
      <c r="AE476" s="36">
        <v>0</v>
      </c>
      <c r="AF476" s="36">
        <v>0</v>
      </c>
      <c r="AG476" s="36">
        <v>0</v>
      </c>
      <c r="AH476" s="36"/>
      <c r="AI476" s="36">
        <v>0</v>
      </c>
      <c r="AJ476" s="36">
        <v>0</v>
      </c>
      <c r="AK476" s="401"/>
      <c r="AL476" s="401"/>
      <c r="AM476" s="401"/>
      <c r="AN476" s="36"/>
      <c r="AO476" s="36"/>
      <c r="AP476" s="36"/>
      <c r="AQ476" s="36" t="s">
        <v>1908</v>
      </c>
      <c r="AR476" s="407"/>
    </row>
    <row r="477" spans="1:44" ht="15" customHeight="1">
      <c r="A477" s="3">
        <v>2010109</v>
      </c>
      <c r="B477" s="3" t="s">
        <v>1874</v>
      </c>
      <c r="C477" s="236" t="s">
        <v>1909</v>
      </c>
      <c r="D477" s="44" t="s">
        <v>1876</v>
      </c>
      <c r="E477" s="41"/>
      <c r="F477" s="3">
        <v>8</v>
      </c>
      <c r="G477" s="36">
        <v>7</v>
      </c>
      <c r="H477" s="3" t="s">
        <v>136</v>
      </c>
      <c r="I477" s="3" t="s">
        <v>137</v>
      </c>
      <c r="J477" s="3"/>
      <c r="K477" s="3"/>
      <c r="L477" s="236"/>
      <c r="M477" s="99"/>
      <c r="N477" s="99"/>
      <c r="O477" s="236"/>
      <c r="P477" s="22"/>
      <c r="Q477" s="22">
        <v>0</v>
      </c>
      <c r="R477" s="22" t="s">
        <v>153</v>
      </c>
      <c r="S477" s="3"/>
      <c r="T477" s="260"/>
      <c r="U477" s="261"/>
      <c r="V477" s="22"/>
      <c r="W477" s="567" t="s">
        <v>1910</v>
      </c>
      <c r="X477" s="567" t="s">
        <v>6696</v>
      </c>
      <c r="Y477" s="22"/>
      <c r="Z477" s="22"/>
      <c r="AA477" s="22"/>
      <c r="AB477" s="22" t="s">
        <v>114</v>
      </c>
      <c r="AC477" s="3"/>
      <c r="AD477" s="3"/>
      <c r="AE477" s="3">
        <v>0</v>
      </c>
      <c r="AF477" s="3">
        <v>0</v>
      </c>
      <c r="AG477" s="3">
        <v>0</v>
      </c>
      <c r="AH477" s="3"/>
      <c r="AI477" s="3">
        <v>0</v>
      </c>
      <c r="AJ477" s="3">
        <v>0</v>
      </c>
      <c r="AK477" s="3">
        <v>0</v>
      </c>
      <c r="AL477" s="3"/>
      <c r="AM477" s="3"/>
      <c r="AN477" s="3"/>
      <c r="AO477" s="3"/>
      <c r="AP477" s="3"/>
      <c r="AQ477" s="3" t="s">
        <v>1888</v>
      </c>
      <c r="AR477" s="281"/>
    </row>
    <row r="478" spans="1:44" ht="15" customHeight="1">
      <c r="A478" s="3">
        <v>2010110</v>
      </c>
      <c r="B478" s="3" t="s">
        <v>1874</v>
      </c>
      <c r="C478" s="236" t="s">
        <v>1911</v>
      </c>
      <c r="D478" s="3" t="s">
        <v>1876</v>
      </c>
      <c r="F478" s="3">
        <v>9</v>
      </c>
      <c r="G478" s="36">
        <v>7</v>
      </c>
      <c r="H478" s="3" t="s">
        <v>136</v>
      </c>
      <c r="I478" s="3" t="s">
        <v>137</v>
      </c>
      <c r="J478" s="3"/>
      <c r="K478" s="3"/>
      <c r="L478" s="236"/>
      <c r="M478" s="99"/>
      <c r="N478" s="99"/>
      <c r="O478" s="236"/>
      <c r="P478" s="22"/>
      <c r="Q478" s="22">
        <v>0</v>
      </c>
      <c r="R478" s="22" t="s">
        <v>153</v>
      </c>
      <c r="S478" s="3"/>
      <c r="T478" s="260"/>
      <c r="U478" s="261"/>
      <c r="V478" s="22"/>
      <c r="W478" s="567" t="s">
        <v>1912</v>
      </c>
      <c r="X478" s="567" t="s">
        <v>6730</v>
      </c>
      <c r="Y478" s="22"/>
      <c r="Z478" s="22"/>
      <c r="AA478" s="22"/>
      <c r="AB478" s="22" t="s">
        <v>114</v>
      </c>
      <c r="AC478" s="3"/>
      <c r="AD478" s="3"/>
      <c r="AE478" s="3">
        <v>0</v>
      </c>
      <c r="AF478" s="3">
        <v>0</v>
      </c>
      <c r="AG478" s="3">
        <v>0</v>
      </c>
      <c r="AH478" s="3"/>
      <c r="AI478" s="3">
        <v>0</v>
      </c>
      <c r="AJ478" s="3">
        <v>0</v>
      </c>
      <c r="AK478" s="3">
        <v>0</v>
      </c>
      <c r="AL478" s="3"/>
      <c r="AM478" s="3"/>
      <c r="AN478" s="3"/>
      <c r="AO478" s="3"/>
      <c r="AP478" s="3"/>
      <c r="AQ478" s="282" t="str">
        <f>"tricks/"&amp;A478</f>
        <v>tricks/2010110</v>
      </c>
    </row>
    <row r="479" spans="1:44" ht="15" customHeight="1">
      <c r="A479" s="3">
        <v>2010111</v>
      </c>
      <c r="B479" s="3" t="s">
        <v>1874</v>
      </c>
      <c r="C479" s="236" t="s">
        <v>1913</v>
      </c>
      <c r="D479" s="3" t="s">
        <v>1876</v>
      </c>
      <c r="F479" s="3">
        <v>10</v>
      </c>
      <c r="G479" s="36">
        <v>7</v>
      </c>
      <c r="H479" s="3" t="s">
        <v>136</v>
      </c>
      <c r="I479" s="3" t="s">
        <v>137</v>
      </c>
      <c r="J479" s="3"/>
      <c r="K479" s="3"/>
      <c r="L479" s="236"/>
      <c r="M479" s="99"/>
      <c r="N479" s="99"/>
      <c r="O479" s="236"/>
      <c r="P479" s="22"/>
      <c r="Q479" s="22">
        <v>0</v>
      </c>
      <c r="R479" s="22" t="s">
        <v>153</v>
      </c>
      <c r="S479" s="3"/>
      <c r="T479" s="260"/>
      <c r="U479" s="261"/>
      <c r="V479" s="22"/>
      <c r="W479" s="567" t="s">
        <v>1914</v>
      </c>
      <c r="X479" s="567" t="s">
        <v>6731</v>
      </c>
      <c r="Y479" s="22"/>
      <c r="Z479" s="22"/>
      <c r="AA479" s="22"/>
      <c r="AB479" s="22" t="s">
        <v>114</v>
      </c>
      <c r="AC479" s="3"/>
      <c r="AD479" s="3"/>
      <c r="AE479" s="3">
        <v>0</v>
      </c>
      <c r="AF479" s="3">
        <v>0</v>
      </c>
      <c r="AG479" s="3">
        <v>0</v>
      </c>
      <c r="AH479" s="3"/>
      <c r="AI479" s="3">
        <v>0</v>
      </c>
      <c r="AJ479" s="3">
        <v>0</v>
      </c>
      <c r="AK479" s="3">
        <v>0</v>
      </c>
      <c r="AL479" s="3"/>
      <c r="AM479" s="3"/>
      <c r="AN479" s="3"/>
      <c r="AO479" s="3"/>
      <c r="AP479" s="3"/>
      <c r="AQ479" s="282" t="str">
        <f>"tricks/"&amp;A479</f>
        <v>tricks/2010111</v>
      </c>
    </row>
    <row r="480" spans="1:44" ht="15" customHeight="1">
      <c r="A480" s="37">
        <v>2010201</v>
      </c>
      <c r="B480" s="37" t="s">
        <v>1915</v>
      </c>
      <c r="C480" s="37" t="s">
        <v>1916</v>
      </c>
      <c r="D480" s="37" t="s">
        <v>1876</v>
      </c>
      <c r="E480" s="37"/>
      <c r="F480" s="36">
        <v>1</v>
      </c>
      <c r="G480" s="36">
        <v>7</v>
      </c>
      <c r="H480" s="37" t="s">
        <v>82</v>
      </c>
      <c r="I480" s="37" t="s">
        <v>101</v>
      </c>
      <c r="J480" s="37"/>
      <c r="K480" s="37"/>
      <c r="L480" s="457" t="s">
        <v>1917</v>
      </c>
      <c r="M480" s="409"/>
      <c r="N480" s="409"/>
      <c r="O480" s="37"/>
      <c r="P480" s="410"/>
      <c r="Q480" s="410">
        <v>0</v>
      </c>
      <c r="R480" s="410" t="s">
        <v>85</v>
      </c>
      <c r="S480" s="37">
        <v>2010201</v>
      </c>
      <c r="T480" s="415"/>
      <c r="U480" s="416"/>
      <c r="V480" s="410" t="s">
        <v>582</v>
      </c>
      <c r="W480" s="619" t="s">
        <v>1918</v>
      </c>
      <c r="X480" s="619" t="s">
        <v>1918</v>
      </c>
      <c r="Y480" s="457">
        <v>0</v>
      </c>
      <c r="Z480" s="457">
        <v>0</v>
      </c>
      <c r="AA480" s="410"/>
      <c r="AB480" s="410"/>
      <c r="AC480" s="37"/>
      <c r="AD480" s="37"/>
      <c r="AE480" s="37"/>
      <c r="AF480" s="37"/>
      <c r="AG480" s="37"/>
      <c r="AH480" s="37"/>
      <c r="AI480" s="37"/>
      <c r="AJ480" s="37"/>
      <c r="AK480" s="420"/>
      <c r="AL480" s="420"/>
      <c r="AM480" s="420"/>
      <c r="AN480" s="43"/>
      <c r="AO480" s="37"/>
      <c r="AP480" s="37"/>
      <c r="AQ480" s="37" t="s">
        <v>1919</v>
      </c>
      <c r="AR480" s="423"/>
    </row>
    <row r="481" spans="1:44" ht="15" customHeight="1">
      <c r="A481" s="37">
        <v>2010202</v>
      </c>
      <c r="B481" s="37" t="s">
        <v>1915</v>
      </c>
      <c r="C481" s="37" t="s">
        <v>1920</v>
      </c>
      <c r="D481" s="37" t="s">
        <v>1876</v>
      </c>
      <c r="E481" s="37"/>
      <c r="F481" s="36">
        <v>1</v>
      </c>
      <c r="G481" s="36">
        <v>7</v>
      </c>
      <c r="H481" s="37" t="s">
        <v>136</v>
      </c>
      <c r="I481" s="37" t="s">
        <v>137</v>
      </c>
      <c r="J481" s="37"/>
      <c r="K481" s="37"/>
      <c r="L481" s="457" t="s">
        <v>1921</v>
      </c>
      <c r="M481" s="409"/>
      <c r="N481" s="409"/>
      <c r="O481" s="37"/>
      <c r="P481" s="410"/>
      <c r="Q481" s="410">
        <v>0</v>
      </c>
      <c r="R481" s="410" t="s">
        <v>85</v>
      </c>
      <c r="S481" s="37">
        <v>2010204</v>
      </c>
      <c r="T481" s="415"/>
      <c r="U481" s="416"/>
      <c r="V481" s="410" t="s">
        <v>582</v>
      </c>
      <c r="W481" s="619" t="s">
        <v>1922</v>
      </c>
      <c r="X481" s="619" t="s">
        <v>1922</v>
      </c>
      <c r="Y481" s="457">
        <v>0</v>
      </c>
      <c r="Z481" s="457">
        <v>0</v>
      </c>
      <c r="AA481" s="410"/>
      <c r="AB481" s="410"/>
      <c r="AC481" s="37"/>
      <c r="AD481" s="37"/>
      <c r="AE481" s="37">
        <v>0</v>
      </c>
      <c r="AF481" s="37">
        <v>0</v>
      </c>
      <c r="AG481" s="37">
        <v>11</v>
      </c>
      <c r="AH481" s="37"/>
      <c r="AI481" s="37">
        <v>0</v>
      </c>
      <c r="AJ481" s="37">
        <v>0</v>
      </c>
      <c r="AK481" s="420"/>
      <c r="AL481" s="420"/>
      <c r="AM481" s="420"/>
      <c r="AN481" s="37"/>
      <c r="AO481" s="37"/>
      <c r="AP481" s="37"/>
      <c r="AQ481" s="37" t="s">
        <v>1923</v>
      </c>
      <c r="AR481" s="423"/>
    </row>
    <row r="482" spans="1:44" ht="15" customHeight="1">
      <c r="A482" s="37">
        <v>2010203</v>
      </c>
      <c r="B482" s="37" t="s">
        <v>1915</v>
      </c>
      <c r="C482" s="37" t="s">
        <v>1924</v>
      </c>
      <c r="D482" s="37" t="s">
        <v>1876</v>
      </c>
      <c r="E482" s="37"/>
      <c r="F482" s="36">
        <v>2</v>
      </c>
      <c r="G482" s="36">
        <v>7</v>
      </c>
      <c r="H482" s="37" t="s">
        <v>136</v>
      </c>
      <c r="I482" s="37" t="s">
        <v>137</v>
      </c>
      <c r="J482" s="37"/>
      <c r="K482" s="457"/>
      <c r="L482" s="408" t="s">
        <v>1925</v>
      </c>
      <c r="M482" s="409"/>
      <c r="N482" s="409"/>
      <c r="O482" s="37"/>
      <c r="P482" s="410"/>
      <c r="Q482" s="410">
        <v>0</v>
      </c>
      <c r="R482" s="410" t="s">
        <v>153</v>
      </c>
      <c r="S482" s="37">
        <v>2010205</v>
      </c>
      <c r="T482" s="415"/>
      <c r="U482" s="416"/>
      <c r="V482" s="410" t="s">
        <v>582</v>
      </c>
      <c r="W482" s="619" t="s">
        <v>1926</v>
      </c>
      <c r="X482" s="619" t="s">
        <v>1926</v>
      </c>
      <c r="Y482" s="410">
        <v>0</v>
      </c>
      <c r="Z482" s="410">
        <v>0</v>
      </c>
      <c r="AA482" s="410"/>
      <c r="AB482" s="410"/>
      <c r="AC482" s="37" t="s">
        <v>1927</v>
      </c>
      <c r="AD482" s="37"/>
      <c r="AE482" s="37">
        <v>0</v>
      </c>
      <c r="AF482" s="37">
        <v>0</v>
      </c>
      <c r="AG482" s="37">
        <v>0</v>
      </c>
      <c r="AH482" s="37"/>
      <c r="AI482" s="37">
        <v>0</v>
      </c>
      <c r="AJ482" s="37">
        <v>0</v>
      </c>
      <c r="AK482" s="420"/>
      <c r="AL482" s="420"/>
      <c r="AM482" s="420"/>
      <c r="AN482" s="37"/>
      <c r="AO482" s="37"/>
      <c r="AP482" s="37"/>
      <c r="AQ482" s="37" t="s">
        <v>1928</v>
      </c>
      <c r="AR482" s="423"/>
    </row>
    <row r="483" spans="1:44" ht="15" customHeight="1">
      <c r="A483" s="37">
        <v>2010204</v>
      </c>
      <c r="B483" s="37" t="s">
        <v>1915</v>
      </c>
      <c r="C483" s="37" t="s">
        <v>1929</v>
      </c>
      <c r="D483" s="37" t="s">
        <v>1876</v>
      </c>
      <c r="E483" s="37"/>
      <c r="F483" s="36">
        <v>3</v>
      </c>
      <c r="G483" s="36">
        <v>7</v>
      </c>
      <c r="H483" s="37" t="s">
        <v>136</v>
      </c>
      <c r="I483" s="37" t="s">
        <v>137</v>
      </c>
      <c r="J483" s="37"/>
      <c r="K483" s="37"/>
      <c r="L483" s="457" t="s">
        <v>1930</v>
      </c>
      <c r="M483" s="409"/>
      <c r="N483" s="409"/>
      <c r="O483" s="37"/>
      <c r="P483" s="410"/>
      <c r="Q483" s="410">
        <v>0</v>
      </c>
      <c r="R483" s="410" t="s">
        <v>153</v>
      </c>
      <c r="S483" s="37">
        <v>2010203</v>
      </c>
      <c r="T483" s="415"/>
      <c r="U483" s="416"/>
      <c r="V483" s="410" t="s">
        <v>582</v>
      </c>
      <c r="W483" s="619" t="s">
        <v>1931</v>
      </c>
      <c r="X483" s="619" t="s">
        <v>1931</v>
      </c>
      <c r="Y483" s="457">
        <v>0</v>
      </c>
      <c r="Z483" s="457">
        <v>0</v>
      </c>
      <c r="AA483" s="410"/>
      <c r="AB483" s="410"/>
      <c r="AC483" s="37" t="s">
        <v>1932</v>
      </c>
      <c r="AD483" s="37"/>
      <c r="AE483" s="37">
        <v>0</v>
      </c>
      <c r="AF483" s="37">
        <v>0</v>
      </c>
      <c r="AG483" s="37">
        <v>0</v>
      </c>
      <c r="AH483" s="37"/>
      <c r="AI483" s="37">
        <v>0</v>
      </c>
      <c r="AJ483" s="37">
        <v>0</v>
      </c>
      <c r="AK483" s="420"/>
      <c r="AL483" s="420"/>
      <c r="AM483" s="420"/>
      <c r="AN483" s="37"/>
      <c r="AO483" s="37"/>
      <c r="AP483" s="37"/>
      <c r="AQ483" s="37" t="s">
        <v>1933</v>
      </c>
      <c r="AR483" s="423"/>
    </row>
    <row r="484" spans="1:44" ht="15" customHeight="1">
      <c r="A484" s="37">
        <v>2010205</v>
      </c>
      <c r="B484" s="37" t="s">
        <v>1915</v>
      </c>
      <c r="C484" s="37" t="s">
        <v>1934</v>
      </c>
      <c r="D484" s="37" t="s">
        <v>1876</v>
      </c>
      <c r="E484" s="37"/>
      <c r="F484" s="36">
        <v>4</v>
      </c>
      <c r="G484" s="36">
        <v>7</v>
      </c>
      <c r="H484" s="37" t="s">
        <v>136</v>
      </c>
      <c r="I484" s="37" t="s">
        <v>137</v>
      </c>
      <c r="J484" s="37"/>
      <c r="K484" s="457"/>
      <c r="L484" s="408" t="s">
        <v>1935</v>
      </c>
      <c r="M484" s="409"/>
      <c r="N484" s="409"/>
      <c r="O484" s="37"/>
      <c r="P484" s="410"/>
      <c r="Q484" s="410">
        <v>0</v>
      </c>
      <c r="R484" s="410" t="s">
        <v>1936</v>
      </c>
      <c r="S484" s="37">
        <v>2010206</v>
      </c>
      <c r="T484" s="415"/>
      <c r="U484" s="416"/>
      <c r="V484" s="410" t="s">
        <v>582</v>
      </c>
      <c r="W484" s="619" t="s">
        <v>1937</v>
      </c>
      <c r="X484" s="619" t="s">
        <v>1937</v>
      </c>
      <c r="Y484" s="432">
        <v>0</v>
      </c>
      <c r="Z484" s="432">
        <v>0</v>
      </c>
      <c r="AA484" s="410"/>
      <c r="AB484" s="410"/>
      <c r="AC484" s="37"/>
      <c r="AD484" s="37"/>
      <c r="AE484" s="37">
        <v>0</v>
      </c>
      <c r="AF484" s="37">
        <v>0</v>
      </c>
      <c r="AG484" s="37">
        <v>0</v>
      </c>
      <c r="AH484" s="37"/>
      <c r="AI484" s="37">
        <v>0</v>
      </c>
      <c r="AJ484" s="37">
        <v>0</v>
      </c>
      <c r="AK484" s="420"/>
      <c r="AL484" s="420"/>
      <c r="AM484" s="420"/>
      <c r="AN484" s="37"/>
      <c r="AO484" s="37"/>
      <c r="AP484" s="37"/>
      <c r="AQ484" s="37" t="s">
        <v>1938</v>
      </c>
      <c r="AR484" s="423"/>
    </row>
    <row r="485" spans="1:44" ht="15" customHeight="1">
      <c r="A485" s="37">
        <v>2010206</v>
      </c>
      <c r="B485" s="37" t="s">
        <v>1915</v>
      </c>
      <c r="C485" s="37" t="s">
        <v>1939</v>
      </c>
      <c r="D485" s="37" t="s">
        <v>1876</v>
      </c>
      <c r="E485" s="37"/>
      <c r="F485" s="36">
        <v>5</v>
      </c>
      <c r="G485" s="36">
        <v>7</v>
      </c>
      <c r="H485" s="37" t="s">
        <v>136</v>
      </c>
      <c r="I485" s="37" t="s">
        <v>137</v>
      </c>
      <c r="J485" s="37"/>
      <c r="K485" s="457"/>
      <c r="L485" s="408" t="s">
        <v>1940</v>
      </c>
      <c r="M485" s="409"/>
      <c r="N485" s="409"/>
      <c r="O485" s="37"/>
      <c r="P485" s="410"/>
      <c r="Q485" s="410">
        <v>0</v>
      </c>
      <c r="R485" s="410" t="s">
        <v>1936</v>
      </c>
      <c r="S485" s="37">
        <v>2010208</v>
      </c>
      <c r="T485" s="415"/>
      <c r="U485" s="416"/>
      <c r="V485" s="410" t="s">
        <v>582</v>
      </c>
      <c r="W485" s="619" t="s">
        <v>1941</v>
      </c>
      <c r="X485" s="619" t="s">
        <v>1941</v>
      </c>
      <c r="Y485" s="410">
        <v>0</v>
      </c>
      <c r="Z485" s="410">
        <v>0</v>
      </c>
      <c r="AA485" s="410"/>
      <c r="AB485" s="410"/>
      <c r="AC485" s="37"/>
      <c r="AD485" s="37"/>
      <c r="AE485" s="37">
        <v>0</v>
      </c>
      <c r="AF485" s="37">
        <v>0</v>
      </c>
      <c r="AG485" s="37">
        <v>0</v>
      </c>
      <c r="AH485" s="37"/>
      <c r="AI485" s="37">
        <v>0</v>
      </c>
      <c r="AJ485" s="37">
        <v>0</v>
      </c>
      <c r="AK485" s="420"/>
      <c r="AL485" s="420"/>
      <c r="AM485" s="420"/>
      <c r="AN485" s="37"/>
      <c r="AO485" s="37"/>
      <c r="AP485" s="37"/>
      <c r="AQ485" s="37" t="s">
        <v>1942</v>
      </c>
      <c r="AR485" s="423"/>
    </row>
    <row r="486" spans="1:44" ht="15" customHeight="1">
      <c r="A486" s="37">
        <v>2010207</v>
      </c>
      <c r="B486" s="37" t="s">
        <v>1915</v>
      </c>
      <c r="C486" s="37" t="s">
        <v>1943</v>
      </c>
      <c r="D486" s="37" t="s">
        <v>1876</v>
      </c>
      <c r="E486" s="37"/>
      <c r="F486" s="36">
        <v>6</v>
      </c>
      <c r="G486" s="36">
        <v>7</v>
      </c>
      <c r="H486" s="37" t="s">
        <v>136</v>
      </c>
      <c r="I486" s="37" t="s">
        <v>137</v>
      </c>
      <c r="J486" s="37"/>
      <c r="K486" s="457"/>
      <c r="L486" s="408" t="s">
        <v>1944</v>
      </c>
      <c r="M486" s="409"/>
      <c r="N486" s="409"/>
      <c r="O486" s="37"/>
      <c r="P486" s="410"/>
      <c r="Q486" s="410">
        <v>0</v>
      </c>
      <c r="R486" s="410" t="s">
        <v>85</v>
      </c>
      <c r="S486" s="37">
        <v>2010209</v>
      </c>
      <c r="T486" s="415"/>
      <c r="U486" s="416"/>
      <c r="V486" s="410" t="s">
        <v>582</v>
      </c>
      <c r="W486" s="619" t="s">
        <v>1945</v>
      </c>
      <c r="X486" s="619" t="s">
        <v>1945</v>
      </c>
      <c r="Y486" s="410">
        <v>0</v>
      </c>
      <c r="Z486" s="410">
        <v>0</v>
      </c>
      <c r="AA486" s="410"/>
      <c r="AB486" s="410"/>
      <c r="AC486" s="37"/>
      <c r="AD486" s="37"/>
      <c r="AE486" s="37">
        <v>0</v>
      </c>
      <c r="AF486" s="37">
        <v>0</v>
      </c>
      <c r="AG486" s="37">
        <v>8</v>
      </c>
      <c r="AH486" s="37"/>
      <c r="AI486" s="37">
        <v>0</v>
      </c>
      <c r="AJ486" s="37">
        <v>0</v>
      </c>
      <c r="AK486" s="420"/>
      <c r="AL486" s="420"/>
      <c r="AM486" s="420"/>
      <c r="AN486" s="37"/>
      <c r="AO486" s="37"/>
      <c r="AP486" s="37"/>
      <c r="AQ486" s="37" t="s">
        <v>1946</v>
      </c>
      <c r="AR486" s="423"/>
    </row>
    <row r="487" spans="1:44" ht="15" customHeight="1">
      <c r="A487" s="37">
        <v>2010208</v>
      </c>
      <c r="B487" s="37" t="s">
        <v>1915</v>
      </c>
      <c r="C487" s="37" t="s">
        <v>1947</v>
      </c>
      <c r="D487" s="37" t="s">
        <v>1876</v>
      </c>
      <c r="E487" s="37"/>
      <c r="F487" s="36">
        <v>7</v>
      </c>
      <c r="G487" s="36">
        <v>7</v>
      </c>
      <c r="H487" s="37" t="s">
        <v>136</v>
      </c>
      <c r="I487" s="37" t="s">
        <v>137</v>
      </c>
      <c r="J487" s="37"/>
      <c r="K487" s="457"/>
      <c r="L487" s="408" t="s">
        <v>1948</v>
      </c>
      <c r="M487" s="409"/>
      <c r="N487" s="409"/>
      <c r="O487" s="37"/>
      <c r="P487" s="410"/>
      <c r="Q487" s="410">
        <v>0</v>
      </c>
      <c r="R487" s="410" t="s">
        <v>1936</v>
      </c>
      <c r="S487" s="37">
        <v>2010210</v>
      </c>
      <c r="T487" s="415"/>
      <c r="U487" s="416"/>
      <c r="V487" s="410" t="s">
        <v>582</v>
      </c>
      <c r="W487" s="619" t="s">
        <v>1949</v>
      </c>
      <c r="X487" s="619" t="s">
        <v>1949</v>
      </c>
      <c r="Y487" s="410">
        <v>0</v>
      </c>
      <c r="Z487" s="410">
        <v>0</v>
      </c>
      <c r="AA487" s="410"/>
      <c r="AB487" s="410"/>
      <c r="AC487" s="37"/>
      <c r="AD487" s="37"/>
      <c r="AE487" s="37">
        <v>0</v>
      </c>
      <c r="AF487" s="37">
        <v>0</v>
      </c>
      <c r="AG487" s="37">
        <v>0</v>
      </c>
      <c r="AH487" s="37"/>
      <c r="AI487" s="37">
        <v>0</v>
      </c>
      <c r="AJ487" s="37">
        <v>0</v>
      </c>
      <c r="AK487" s="420"/>
      <c r="AL487" s="420"/>
      <c r="AM487" s="420"/>
      <c r="AN487" s="37"/>
      <c r="AO487" s="37"/>
      <c r="AP487" s="37"/>
      <c r="AQ487" s="37" t="s">
        <v>1950</v>
      </c>
      <c r="AR487" s="423"/>
    </row>
    <row r="488" spans="1:44" ht="15" customHeight="1">
      <c r="A488" s="3">
        <v>2010209</v>
      </c>
      <c r="B488" s="3" t="s">
        <v>1915</v>
      </c>
      <c r="C488" s="236" t="s">
        <v>1951</v>
      </c>
      <c r="D488" s="44" t="s">
        <v>1876</v>
      </c>
      <c r="E488" s="41"/>
      <c r="F488" s="3">
        <v>8</v>
      </c>
      <c r="G488" s="36">
        <v>7</v>
      </c>
      <c r="H488" s="3" t="s">
        <v>136</v>
      </c>
      <c r="I488" s="3" t="s">
        <v>137</v>
      </c>
      <c r="J488" s="3"/>
      <c r="K488" s="3"/>
      <c r="L488" s="236"/>
      <c r="M488" s="99"/>
      <c r="N488" s="99"/>
      <c r="O488" s="236"/>
      <c r="P488" s="22"/>
      <c r="Q488" s="22">
        <v>0</v>
      </c>
      <c r="R488" s="22" t="s">
        <v>153</v>
      </c>
      <c r="S488" s="3"/>
      <c r="T488" s="260"/>
      <c r="U488" s="261"/>
      <c r="V488" s="22"/>
      <c r="W488" s="567" t="s">
        <v>1952</v>
      </c>
      <c r="X488" s="567" t="s">
        <v>6700</v>
      </c>
      <c r="Y488" s="22"/>
      <c r="Z488" s="22"/>
      <c r="AA488" s="22"/>
      <c r="AB488" s="22" t="s">
        <v>114</v>
      </c>
      <c r="AC488" s="3"/>
      <c r="AD488" s="3"/>
      <c r="AE488" s="3">
        <v>0</v>
      </c>
      <c r="AF488" s="3">
        <v>0</v>
      </c>
      <c r="AG488" s="3">
        <v>0</v>
      </c>
      <c r="AH488" s="3"/>
      <c r="AI488" s="3">
        <v>0</v>
      </c>
      <c r="AJ488" s="3">
        <v>0</v>
      </c>
      <c r="AK488" s="3">
        <v>0</v>
      </c>
      <c r="AL488" s="3"/>
      <c r="AM488" s="3"/>
      <c r="AN488" s="3"/>
      <c r="AO488" s="3"/>
      <c r="AP488" s="3"/>
      <c r="AQ488" s="3" t="s">
        <v>1928</v>
      </c>
      <c r="AR488" s="281"/>
    </row>
    <row r="489" spans="1:44" ht="15" customHeight="1">
      <c r="A489" s="3">
        <v>2010210</v>
      </c>
      <c r="B489" s="3" t="s">
        <v>1915</v>
      </c>
      <c r="C489" s="236" t="s">
        <v>1953</v>
      </c>
      <c r="D489" s="3" t="s">
        <v>1876</v>
      </c>
      <c r="F489" s="3">
        <v>9</v>
      </c>
      <c r="G489" s="36">
        <v>7</v>
      </c>
      <c r="H489" s="3" t="s">
        <v>136</v>
      </c>
      <c r="I489" s="3" t="s">
        <v>137</v>
      </c>
      <c r="J489" s="3"/>
      <c r="K489" s="3"/>
      <c r="L489" s="236"/>
      <c r="M489" s="99"/>
      <c r="N489" s="99"/>
      <c r="O489" s="236"/>
      <c r="P489" s="22"/>
      <c r="Q489" s="22">
        <v>0</v>
      </c>
      <c r="R489" s="22" t="s">
        <v>153</v>
      </c>
      <c r="S489" s="3"/>
      <c r="T489" s="260"/>
      <c r="U489" s="261"/>
      <c r="V489" s="22"/>
      <c r="W489" s="567" t="s">
        <v>1954</v>
      </c>
      <c r="X489" s="567" t="s">
        <v>6727</v>
      </c>
      <c r="Y489" s="22"/>
      <c r="Z489" s="22"/>
      <c r="AA489" s="22"/>
      <c r="AB489" s="22" t="s">
        <v>114</v>
      </c>
      <c r="AC489" s="3"/>
      <c r="AD489" s="3"/>
      <c r="AE489" s="3">
        <v>0</v>
      </c>
      <c r="AF489" s="3">
        <v>0</v>
      </c>
      <c r="AG489" s="3">
        <v>0</v>
      </c>
      <c r="AH489" s="3"/>
      <c r="AI489" s="3">
        <v>0</v>
      </c>
      <c r="AJ489" s="3">
        <v>0</v>
      </c>
      <c r="AK489" s="3">
        <v>0</v>
      </c>
      <c r="AL489" s="3"/>
      <c r="AM489" s="3"/>
      <c r="AN489" s="3"/>
      <c r="AO489" s="3"/>
      <c r="AP489" s="3"/>
      <c r="AQ489" s="282" t="str">
        <f>"tricks/"&amp;A489</f>
        <v>tricks/2010210</v>
      </c>
    </row>
    <row r="490" spans="1:44" ht="15" customHeight="1">
      <c r="A490" s="3">
        <v>2010211</v>
      </c>
      <c r="B490" s="3" t="s">
        <v>1915</v>
      </c>
      <c r="C490" s="236" t="s">
        <v>1955</v>
      </c>
      <c r="D490" s="3" t="s">
        <v>1876</v>
      </c>
      <c r="F490" s="3">
        <v>10</v>
      </c>
      <c r="G490" s="36">
        <v>7</v>
      </c>
      <c r="H490" s="3" t="s">
        <v>136</v>
      </c>
      <c r="I490" s="3" t="s">
        <v>137</v>
      </c>
      <c r="J490" s="3"/>
      <c r="K490" s="3"/>
      <c r="L490" s="236"/>
      <c r="M490" s="99"/>
      <c r="N490" s="99"/>
      <c r="O490" s="236"/>
      <c r="P490" s="22"/>
      <c r="Q490" s="22">
        <v>0</v>
      </c>
      <c r="R490" s="22" t="s">
        <v>153</v>
      </c>
      <c r="S490" s="3"/>
      <c r="T490" s="260"/>
      <c r="U490" s="261"/>
      <c r="V490" s="22"/>
      <c r="W490" s="567" t="s">
        <v>1956</v>
      </c>
      <c r="X490" s="567" t="s">
        <v>6729</v>
      </c>
      <c r="Y490" s="22"/>
      <c r="Z490" s="22"/>
      <c r="AA490" s="22"/>
      <c r="AB490" s="22" t="s">
        <v>114</v>
      </c>
      <c r="AC490" s="3"/>
      <c r="AD490" s="3"/>
      <c r="AE490" s="3">
        <v>0</v>
      </c>
      <c r="AF490" s="3">
        <v>0</v>
      </c>
      <c r="AG490" s="3">
        <v>0</v>
      </c>
      <c r="AH490" s="3"/>
      <c r="AI490" s="3">
        <v>0</v>
      </c>
      <c r="AJ490" s="3">
        <v>0</v>
      </c>
      <c r="AK490" s="3">
        <v>0</v>
      </c>
      <c r="AL490" s="3"/>
      <c r="AM490" s="3"/>
      <c r="AN490" s="3"/>
      <c r="AO490" s="3"/>
      <c r="AP490" s="3"/>
      <c r="AQ490" s="282" t="str">
        <f>"tricks/"&amp;A490</f>
        <v>tricks/2010211</v>
      </c>
    </row>
    <row r="491" spans="1:44" ht="15" customHeight="1">
      <c r="A491" s="6">
        <v>2010301</v>
      </c>
      <c r="B491" s="6" t="s">
        <v>1957</v>
      </c>
      <c r="C491" s="6" t="s">
        <v>1958</v>
      </c>
      <c r="D491" s="6" t="s">
        <v>1876</v>
      </c>
      <c r="E491" s="6"/>
      <c r="F491" s="36">
        <v>1</v>
      </c>
      <c r="G491" s="36">
        <v>7</v>
      </c>
      <c r="H491" s="6" t="s">
        <v>82</v>
      </c>
      <c r="I491" s="6" t="s">
        <v>101</v>
      </c>
      <c r="J491" s="6">
        <v>1</v>
      </c>
      <c r="K491" s="458"/>
      <c r="L491" s="459" t="s">
        <v>1959</v>
      </c>
      <c r="M491" s="235"/>
      <c r="N491" s="235"/>
      <c r="O491" s="6"/>
      <c r="P491" s="40"/>
      <c r="Q491" s="40">
        <v>0</v>
      </c>
      <c r="R491" s="40" t="s">
        <v>153</v>
      </c>
      <c r="S491" s="6">
        <v>2010301</v>
      </c>
      <c r="T491" s="258"/>
      <c r="U491" s="259"/>
      <c r="V491" s="40" t="s">
        <v>582</v>
      </c>
      <c r="W491" s="619" t="s">
        <v>1960</v>
      </c>
      <c r="X491" s="619" t="s">
        <v>1960</v>
      </c>
      <c r="Y491" s="6">
        <v>0</v>
      </c>
      <c r="Z491" s="6">
        <v>0</v>
      </c>
      <c r="AA491" s="40"/>
      <c r="AB491" s="40"/>
      <c r="AC491" s="6"/>
      <c r="AD491" s="6"/>
      <c r="AE491" s="6">
        <v>0</v>
      </c>
      <c r="AF491" s="6">
        <v>0</v>
      </c>
      <c r="AG491" s="6">
        <v>0</v>
      </c>
      <c r="AH491" s="6"/>
      <c r="AI491" s="6">
        <v>0</v>
      </c>
      <c r="AJ491" s="6">
        <v>0</v>
      </c>
      <c r="AK491" s="272"/>
      <c r="AL491" s="272"/>
      <c r="AM491" s="272"/>
      <c r="AN491" s="43"/>
      <c r="AO491" s="6"/>
      <c r="AP491" s="6"/>
      <c r="AQ491" s="6" t="s">
        <v>1961</v>
      </c>
      <c r="AR491" s="280"/>
    </row>
    <row r="492" spans="1:44" ht="15" customHeight="1">
      <c r="A492" s="6">
        <v>2010302</v>
      </c>
      <c r="B492" s="6" t="s">
        <v>1957</v>
      </c>
      <c r="C492" s="6" t="s">
        <v>1962</v>
      </c>
      <c r="D492" s="6" t="s">
        <v>1876</v>
      </c>
      <c r="E492" s="6"/>
      <c r="F492" s="36">
        <v>1</v>
      </c>
      <c r="G492" s="36">
        <v>7</v>
      </c>
      <c r="H492" s="6" t="s">
        <v>136</v>
      </c>
      <c r="I492" s="6" t="s">
        <v>137</v>
      </c>
      <c r="J492" s="6"/>
      <c r="K492" s="458"/>
      <c r="L492" s="459" t="s">
        <v>1963</v>
      </c>
      <c r="M492" s="235"/>
      <c r="N492" s="235"/>
      <c r="O492" s="6"/>
      <c r="P492" s="40"/>
      <c r="Q492" s="40">
        <v>0</v>
      </c>
      <c r="R492" s="40" t="s">
        <v>153</v>
      </c>
      <c r="S492" s="6">
        <v>2010302</v>
      </c>
      <c r="T492" s="258"/>
      <c r="U492" s="259"/>
      <c r="V492" s="40" t="s">
        <v>582</v>
      </c>
      <c r="W492" s="619" t="s">
        <v>1964</v>
      </c>
      <c r="X492" s="619" t="s">
        <v>1964</v>
      </c>
      <c r="Y492" s="40">
        <v>0</v>
      </c>
      <c r="Z492" s="40">
        <v>0</v>
      </c>
      <c r="AA492" s="40"/>
      <c r="AB492" s="40"/>
      <c r="AC492" s="6"/>
      <c r="AD492" s="6"/>
      <c r="AE492" s="6">
        <v>0</v>
      </c>
      <c r="AF492" s="6">
        <v>0</v>
      </c>
      <c r="AG492" s="6">
        <v>0</v>
      </c>
      <c r="AH492" s="6"/>
      <c r="AI492" s="6">
        <v>0</v>
      </c>
      <c r="AJ492" s="6">
        <v>0</v>
      </c>
      <c r="AK492" s="272"/>
      <c r="AL492" s="272"/>
      <c r="AM492" s="272"/>
      <c r="AN492" s="6"/>
      <c r="AO492" s="6"/>
      <c r="AP492" s="6"/>
      <c r="AQ492" s="6" t="s">
        <v>1965</v>
      </c>
      <c r="AR492" s="280"/>
    </row>
    <row r="493" spans="1:44" ht="15" customHeight="1">
      <c r="A493" s="6">
        <v>2010303</v>
      </c>
      <c r="B493" s="6" t="s">
        <v>1957</v>
      </c>
      <c r="C493" s="6" t="s">
        <v>1966</v>
      </c>
      <c r="D493" s="6" t="s">
        <v>1876</v>
      </c>
      <c r="E493" s="6"/>
      <c r="F493" s="36">
        <v>2</v>
      </c>
      <c r="G493" s="36">
        <v>7</v>
      </c>
      <c r="H493" s="6" t="s">
        <v>136</v>
      </c>
      <c r="I493" s="6" t="s">
        <v>137</v>
      </c>
      <c r="J493" s="6"/>
      <c r="K493" s="458"/>
      <c r="L493" s="459" t="s">
        <v>1967</v>
      </c>
      <c r="M493" s="235"/>
      <c r="N493" s="235"/>
      <c r="O493" s="6"/>
      <c r="P493" s="40"/>
      <c r="Q493" s="40">
        <v>0</v>
      </c>
      <c r="R493" s="40" t="s">
        <v>153</v>
      </c>
      <c r="S493" s="6">
        <v>2010303</v>
      </c>
      <c r="T493" s="258"/>
      <c r="U493" s="259"/>
      <c r="V493" s="40" t="s">
        <v>582</v>
      </c>
      <c r="W493" s="619" t="s">
        <v>1968</v>
      </c>
      <c r="X493" s="619" t="s">
        <v>1968</v>
      </c>
      <c r="Y493" s="40">
        <v>0</v>
      </c>
      <c r="Z493" s="40">
        <v>0</v>
      </c>
      <c r="AA493" s="40"/>
      <c r="AB493" s="40"/>
      <c r="AC493" s="6"/>
      <c r="AD493" s="6"/>
      <c r="AE493" s="6">
        <v>0</v>
      </c>
      <c r="AF493" s="6">
        <v>0</v>
      </c>
      <c r="AG493" s="6">
        <v>0</v>
      </c>
      <c r="AH493" s="6"/>
      <c r="AI493" s="6">
        <v>0</v>
      </c>
      <c r="AJ493" s="6">
        <v>0</v>
      </c>
      <c r="AK493" s="272"/>
      <c r="AL493" s="272"/>
      <c r="AM493" s="272"/>
      <c r="AN493" s="6"/>
      <c r="AO493" s="6"/>
      <c r="AP493" s="6"/>
      <c r="AQ493" s="6" t="s">
        <v>1969</v>
      </c>
      <c r="AR493" s="280"/>
    </row>
    <row r="494" spans="1:44" ht="15" customHeight="1">
      <c r="A494" s="6">
        <v>2010304</v>
      </c>
      <c r="B494" s="6" t="s">
        <v>1957</v>
      </c>
      <c r="C494" s="394" t="s">
        <v>1970</v>
      </c>
      <c r="D494" s="6" t="s">
        <v>1876</v>
      </c>
      <c r="E494" s="6"/>
      <c r="F494" s="36">
        <v>3</v>
      </c>
      <c r="G494" s="36">
        <v>7</v>
      </c>
      <c r="H494" s="6" t="s">
        <v>136</v>
      </c>
      <c r="I494" s="6" t="s">
        <v>101</v>
      </c>
      <c r="J494" s="6"/>
      <c r="K494" s="458"/>
      <c r="L494" s="234" t="s">
        <v>1971</v>
      </c>
      <c r="M494" s="235"/>
      <c r="N494" s="235"/>
      <c r="O494" s="234"/>
      <c r="P494" s="40"/>
      <c r="Q494" s="40">
        <v>0</v>
      </c>
      <c r="R494" s="40" t="s">
        <v>153</v>
      </c>
      <c r="S494" s="6">
        <v>2010305</v>
      </c>
      <c r="T494" s="258"/>
      <c r="U494" s="259"/>
      <c r="V494" s="40" t="s">
        <v>582</v>
      </c>
      <c r="W494" s="619" t="s">
        <v>1972</v>
      </c>
      <c r="X494" s="619" t="s">
        <v>1972</v>
      </c>
      <c r="Y494" s="40">
        <v>0</v>
      </c>
      <c r="Z494" s="40">
        <v>0</v>
      </c>
      <c r="AA494" s="40"/>
      <c r="AB494" s="40"/>
      <c r="AC494" s="6"/>
      <c r="AD494" s="6"/>
      <c r="AE494" s="6">
        <v>0</v>
      </c>
      <c r="AF494" s="6">
        <v>0</v>
      </c>
      <c r="AG494" s="6">
        <v>0</v>
      </c>
      <c r="AH494" s="6"/>
      <c r="AI494" s="6">
        <v>0</v>
      </c>
      <c r="AJ494" s="6">
        <v>0</v>
      </c>
      <c r="AK494" s="272"/>
      <c r="AL494" s="272"/>
      <c r="AM494" s="272"/>
      <c r="AN494" s="6"/>
      <c r="AO494" s="6"/>
      <c r="AP494" s="6"/>
      <c r="AQ494" s="6" t="s">
        <v>1973</v>
      </c>
      <c r="AR494" s="280"/>
    </row>
    <row r="495" spans="1:44" ht="15" customHeight="1">
      <c r="A495" s="6">
        <v>2010305</v>
      </c>
      <c r="B495" s="6" t="s">
        <v>1957</v>
      </c>
      <c r="C495" s="394" t="s">
        <v>1974</v>
      </c>
      <c r="D495" s="6" t="s">
        <v>1876</v>
      </c>
      <c r="E495" s="6"/>
      <c r="F495" s="36">
        <v>4</v>
      </c>
      <c r="G495" s="36">
        <v>7</v>
      </c>
      <c r="H495" s="6" t="s">
        <v>136</v>
      </c>
      <c r="I495" s="6" t="s">
        <v>137</v>
      </c>
      <c r="J495" s="6"/>
      <c r="K495" s="458"/>
      <c r="L495" s="234" t="s">
        <v>1975</v>
      </c>
      <c r="M495" s="235"/>
      <c r="N495" s="235"/>
      <c r="O495" s="234"/>
      <c r="P495" s="40"/>
      <c r="Q495" s="40">
        <v>0</v>
      </c>
      <c r="R495" s="40" t="s">
        <v>153</v>
      </c>
      <c r="S495" s="6">
        <v>2010304</v>
      </c>
      <c r="T495" s="258"/>
      <c r="U495" s="259"/>
      <c r="V495" s="40" t="s">
        <v>582</v>
      </c>
      <c r="W495" s="619" t="s">
        <v>1976</v>
      </c>
      <c r="X495" s="619" t="s">
        <v>1976</v>
      </c>
      <c r="Y495" s="40">
        <v>0</v>
      </c>
      <c r="Z495" s="40">
        <v>0</v>
      </c>
      <c r="AA495" s="40"/>
      <c r="AB495" s="40"/>
      <c r="AC495" s="6"/>
      <c r="AD495" s="6"/>
      <c r="AE495" s="6">
        <v>0</v>
      </c>
      <c r="AF495" s="6">
        <v>0</v>
      </c>
      <c r="AG495" s="6">
        <v>0</v>
      </c>
      <c r="AH495" s="6"/>
      <c r="AI495" s="6">
        <v>0</v>
      </c>
      <c r="AJ495" s="6">
        <v>0</v>
      </c>
      <c r="AK495" s="272"/>
      <c r="AL495" s="272"/>
      <c r="AM495" s="272"/>
      <c r="AN495" s="6"/>
      <c r="AO495" s="6"/>
      <c r="AP495" s="6"/>
      <c r="AQ495" s="6" t="s">
        <v>1977</v>
      </c>
      <c r="AR495" s="280"/>
    </row>
    <row r="496" spans="1:44" ht="15" customHeight="1">
      <c r="A496" s="6">
        <v>2010306</v>
      </c>
      <c r="B496" s="6" t="s">
        <v>1957</v>
      </c>
      <c r="C496" s="394" t="s">
        <v>1978</v>
      </c>
      <c r="D496" s="6" t="s">
        <v>1876</v>
      </c>
      <c r="E496" s="6"/>
      <c r="F496" s="36">
        <v>5</v>
      </c>
      <c r="G496" s="36">
        <v>7</v>
      </c>
      <c r="H496" s="6" t="s">
        <v>136</v>
      </c>
      <c r="I496" s="6" t="s">
        <v>137</v>
      </c>
      <c r="J496" s="6"/>
      <c r="K496" s="6"/>
      <c r="L496" s="234" t="s">
        <v>1979</v>
      </c>
      <c r="M496" s="235"/>
      <c r="N496" s="235"/>
      <c r="O496" s="234"/>
      <c r="P496" s="40"/>
      <c r="Q496" s="40">
        <v>0</v>
      </c>
      <c r="R496" s="40" t="s">
        <v>153</v>
      </c>
      <c r="S496" s="6">
        <v>2010306</v>
      </c>
      <c r="T496" s="258"/>
      <c r="U496" s="259"/>
      <c r="V496" s="40" t="s">
        <v>582</v>
      </c>
      <c r="W496" s="619" t="s">
        <v>1980</v>
      </c>
      <c r="X496" s="619" t="s">
        <v>1980</v>
      </c>
      <c r="Y496" s="40">
        <v>0</v>
      </c>
      <c r="Z496" s="40">
        <v>0</v>
      </c>
      <c r="AA496" s="40"/>
      <c r="AB496" s="40"/>
      <c r="AC496" s="6"/>
      <c r="AD496" s="6"/>
      <c r="AE496" s="6">
        <v>0</v>
      </c>
      <c r="AF496" s="6">
        <v>0</v>
      </c>
      <c r="AG496" s="6">
        <v>0</v>
      </c>
      <c r="AH496" s="6"/>
      <c r="AI496" s="6">
        <v>0</v>
      </c>
      <c r="AJ496" s="6">
        <v>0</v>
      </c>
      <c r="AK496" s="272"/>
      <c r="AL496" s="272"/>
      <c r="AM496" s="272"/>
      <c r="AN496" s="6"/>
      <c r="AO496" s="6"/>
      <c r="AP496" s="6"/>
      <c r="AQ496" s="6" t="s">
        <v>1981</v>
      </c>
      <c r="AR496" s="280"/>
    </row>
    <row r="497" spans="1:44" ht="15" customHeight="1">
      <c r="A497" s="6">
        <v>2010307</v>
      </c>
      <c r="B497" s="6" t="s">
        <v>1957</v>
      </c>
      <c r="C497" s="394" t="s">
        <v>1982</v>
      </c>
      <c r="D497" s="6" t="s">
        <v>1876</v>
      </c>
      <c r="E497" s="6"/>
      <c r="F497" s="36">
        <v>6</v>
      </c>
      <c r="G497" s="36">
        <v>7</v>
      </c>
      <c r="H497" s="6" t="s">
        <v>136</v>
      </c>
      <c r="I497" s="6" t="s">
        <v>101</v>
      </c>
      <c r="J497" s="6"/>
      <c r="K497" s="6"/>
      <c r="L497" s="234" t="s">
        <v>1983</v>
      </c>
      <c r="M497" s="235"/>
      <c r="N497" s="235"/>
      <c r="O497" s="234"/>
      <c r="P497" s="40"/>
      <c r="Q497" s="40">
        <v>0</v>
      </c>
      <c r="R497" s="40" t="s">
        <v>153</v>
      </c>
      <c r="S497" s="6">
        <v>2010307</v>
      </c>
      <c r="T497" s="258"/>
      <c r="U497" s="259"/>
      <c r="V497" s="40" t="s">
        <v>582</v>
      </c>
      <c r="W497" s="619" t="s">
        <v>1972</v>
      </c>
      <c r="X497" s="619" t="s">
        <v>1972</v>
      </c>
      <c r="Y497" s="40">
        <v>0</v>
      </c>
      <c r="Z497" s="40">
        <v>0</v>
      </c>
      <c r="AA497" s="40"/>
      <c r="AB497" s="40"/>
      <c r="AC497" s="6"/>
      <c r="AD497" s="6"/>
      <c r="AE497" s="6">
        <v>0</v>
      </c>
      <c r="AF497" s="6">
        <v>0</v>
      </c>
      <c r="AG497" s="6">
        <v>0</v>
      </c>
      <c r="AH497" s="6"/>
      <c r="AI497" s="6">
        <v>0</v>
      </c>
      <c r="AJ497" s="6">
        <v>0</v>
      </c>
      <c r="AK497" s="272"/>
      <c r="AL497" s="272"/>
      <c r="AM497" s="272"/>
      <c r="AN497" s="6"/>
      <c r="AO497" s="6"/>
      <c r="AP497" s="6"/>
      <c r="AQ497" s="6" t="s">
        <v>1984</v>
      </c>
      <c r="AR497" s="280"/>
    </row>
    <row r="498" spans="1:44" ht="15" customHeight="1">
      <c r="A498" s="40">
        <v>2010308</v>
      </c>
      <c r="B498" s="40" t="s">
        <v>1957</v>
      </c>
      <c r="C498" s="617" t="s">
        <v>1985</v>
      </c>
      <c r="D498" s="40" t="s">
        <v>1876</v>
      </c>
      <c r="E498" s="40"/>
      <c r="F498" s="36">
        <v>7</v>
      </c>
      <c r="G498" s="36">
        <v>7</v>
      </c>
      <c r="H498" s="40" t="s">
        <v>136</v>
      </c>
      <c r="I498" s="40" t="s">
        <v>137</v>
      </c>
      <c r="J498" s="40"/>
      <c r="K498" s="40"/>
      <c r="L498" s="460" t="s">
        <v>1986</v>
      </c>
      <c r="M498" s="40"/>
      <c r="N498" s="40"/>
      <c r="O498" s="460"/>
      <c r="P498" s="40"/>
      <c r="Q498" s="40">
        <v>0</v>
      </c>
      <c r="R498" s="40" t="s">
        <v>153</v>
      </c>
      <c r="S498" s="40">
        <v>2010308</v>
      </c>
      <c r="T498" s="258"/>
      <c r="U498" s="259"/>
      <c r="V498" s="40" t="s">
        <v>582</v>
      </c>
      <c r="W498" s="619" t="s">
        <v>1987</v>
      </c>
      <c r="X498" s="619" t="s">
        <v>1987</v>
      </c>
      <c r="Y498" s="40">
        <v>0</v>
      </c>
      <c r="Z498" s="40">
        <v>0</v>
      </c>
      <c r="AA498" s="40"/>
      <c r="AB498" s="40"/>
      <c r="AC498" s="40"/>
      <c r="AD498" s="40"/>
      <c r="AE498" s="40">
        <v>0</v>
      </c>
      <c r="AF498" s="40">
        <v>0</v>
      </c>
      <c r="AG498" s="40">
        <v>0</v>
      </c>
      <c r="AH498" s="40"/>
      <c r="AI498" s="40">
        <v>0</v>
      </c>
      <c r="AJ498" s="40">
        <v>0</v>
      </c>
      <c r="AK498" s="469"/>
      <c r="AL498" s="469"/>
      <c r="AM498" s="469"/>
      <c r="AN498" s="40"/>
      <c r="AO498" s="40"/>
      <c r="AP498" s="40"/>
      <c r="AQ498" s="40" t="s">
        <v>1988</v>
      </c>
      <c r="AR498" s="471"/>
    </row>
    <row r="499" spans="1:44" ht="15" customHeight="1">
      <c r="A499" s="3">
        <v>2010309</v>
      </c>
      <c r="B499" s="3" t="s">
        <v>1957</v>
      </c>
      <c r="C499" s="236" t="s">
        <v>1989</v>
      </c>
      <c r="D499" s="44" t="s">
        <v>1876</v>
      </c>
      <c r="E499" s="41"/>
      <c r="F499" s="3">
        <v>8</v>
      </c>
      <c r="G499" s="36">
        <v>7</v>
      </c>
      <c r="H499" s="3" t="s">
        <v>136</v>
      </c>
      <c r="I499" s="3" t="s">
        <v>137</v>
      </c>
      <c r="J499" s="3"/>
      <c r="K499" s="3"/>
      <c r="L499" s="236"/>
      <c r="M499" s="99"/>
      <c r="N499" s="99"/>
      <c r="O499" s="236"/>
      <c r="P499" s="22"/>
      <c r="Q499" s="22">
        <v>0</v>
      </c>
      <c r="R499" s="22" t="s">
        <v>153</v>
      </c>
      <c r="S499" s="3"/>
      <c r="T499" s="260"/>
      <c r="U499" s="261"/>
      <c r="V499" s="22"/>
      <c r="W499" s="567" t="s">
        <v>1990</v>
      </c>
      <c r="X499" s="567" t="s">
        <v>6706</v>
      </c>
      <c r="Y499" s="22"/>
      <c r="Z499" s="22"/>
      <c r="AA499" s="22"/>
      <c r="AB499" s="22" t="s">
        <v>114</v>
      </c>
      <c r="AC499" s="3"/>
      <c r="AD499" s="3"/>
      <c r="AE499" s="3">
        <v>0</v>
      </c>
      <c r="AF499" s="3">
        <v>0</v>
      </c>
      <c r="AG499" s="3">
        <v>0</v>
      </c>
      <c r="AH499" s="3"/>
      <c r="AI499" s="3">
        <v>0</v>
      </c>
      <c r="AJ499" s="3">
        <v>0</v>
      </c>
      <c r="AK499" s="3">
        <v>0</v>
      </c>
      <c r="AL499" s="3"/>
      <c r="AM499" s="3"/>
      <c r="AN499" s="3"/>
      <c r="AO499" s="3"/>
      <c r="AP499" s="3"/>
      <c r="AQ499" s="3" t="s">
        <v>1969</v>
      </c>
      <c r="AR499" s="281"/>
    </row>
    <row r="500" spans="1:44" ht="15" customHeight="1">
      <c r="A500" s="3">
        <v>2010310</v>
      </c>
      <c r="B500" s="3" t="s">
        <v>1957</v>
      </c>
      <c r="C500" s="236" t="s">
        <v>1991</v>
      </c>
      <c r="D500" s="3" t="s">
        <v>1876</v>
      </c>
      <c r="F500" s="3">
        <v>9</v>
      </c>
      <c r="G500" s="36">
        <v>7</v>
      </c>
      <c r="H500" s="3" t="s">
        <v>136</v>
      </c>
      <c r="I500" s="3" t="s">
        <v>137</v>
      </c>
      <c r="J500" s="3"/>
      <c r="K500" s="3"/>
      <c r="L500" s="236"/>
      <c r="M500" s="99"/>
      <c r="N500" s="99"/>
      <c r="O500" s="236"/>
      <c r="P500" s="22"/>
      <c r="Q500" s="22">
        <v>0</v>
      </c>
      <c r="R500" s="22" t="s">
        <v>153</v>
      </c>
      <c r="S500" s="3"/>
      <c r="T500" s="260"/>
      <c r="U500" s="261"/>
      <c r="V500" s="22"/>
      <c r="W500" s="567" t="s">
        <v>1954</v>
      </c>
      <c r="X500" s="567" t="s">
        <v>6727</v>
      </c>
      <c r="Y500" s="22"/>
      <c r="Z500" s="22"/>
      <c r="AA500" s="22"/>
      <c r="AB500" s="22" t="s">
        <v>114</v>
      </c>
      <c r="AC500" s="3"/>
      <c r="AD500" s="3"/>
      <c r="AE500" s="3">
        <v>0</v>
      </c>
      <c r="AF500" s="3">
        <v>0</v>
      </c>
      <c r="AG500" s="3">
        <v>0</v>
      </c>
      <c r="AH500" s="3"/>
      <c r="AI500" s="3">
        <v>0</v>
      </c>
      <c r="AJ500" s="3">
        <v>0</v>
      </c>
      <c r="AK500" s="3">
        <v>0</v>
      </c>
      <c r="AL500" s="3"/>
      <c r="AM500" s="3"/>
      <c r="AN500" s="3"/>
      <c r="AO500" s="3"/>
      <c r="AP500" s="3"/>
      <c r="AQ500" s="282" t="str">
        <f>"tricks/"&amp;A500</f>
        <v>tricks/2010310</v>
      </c>
    </row>
    <row r="501" spans="1:44" ht="15" customHeight="1">
      <c r="A501" s="3">
        <v>2010311</v>
      </c>
      <c r="B501" s="3" t="s">
        <v>1957</v>
      </c>
      <c r="C501" s="236" t="s">
        <v>1992</v>
      </c>
      <c r="D501" s="3" t="s">
        <v>1876</v>
      </c>
      <c r="F501" s="3">
        <v>10</v>
      </c>
      <c r="G501" s="36">
        <v>7</v>
      </c>
      <c r="H501" s="3" t="s">
        <v>136</v>
      </c>
      <c r="I501" s="3" t="s">
        <v>137</v>
      </c>
      <c r="J501" s="3"/>
      <c r="K501" s="3"/>
      <c r="L501" s="236"/>
      <c r="M501" s="99"/>
      <c r="N501" s="99"/>
      <c r="O501" s="236"/>
      <c r="P501" s="22"/>
      <c r="Q501" s="22">
        <v>0</v>
      </c>
      <c r="R501" s="22" t="s">
        <v>153</v>
      </c>
      <c r="S501" s="3"/>
      <c r="T501" s="260"/>
      <c r="U501" s="261"/>
      <c r="V501" s="22"/>
      <c r="W501" s="567" t="s">
        <v>1993</v>
      </c>
      <c r="X501" s="567" t="s">
        <v>6728</v>
      </c>
      <c r="Y501" s="22"/>
      <c r="Z501" s="22"/>
      <c r="AA501" s="22"/>
      <c r="AB501" s="22" t="s">
        <v>114</v>
      </c>
      <c r="AC501" s="3"/>
      <c r="AD501" s="3"/>
      <c r="AE501" s="3">
        <v>0</v>
      </c>
      <c r="AF501" s="3">
        <v>0</v>
      </c>
      <c r="AG501" s="3">
        <v>0</v>
      </c>
      <c r="AH501" s="3"/>
      <c r="AI501" s="3">
        <v>0</v>
      </c>
      <c r="AJ501" s="3">
        <v>0</v>
      </c>
      <c r="AK501" s="3">
        <v>0</v>
      </c>
      <c r="AL501" s="3"/>
      <c r="AM501" s="3"/>
      <c r="AN501" s="3"/>
      <c r="AO501" s="3"/>
      <c r="AP501" s="3"/>
      <c r="AQ501" s="282" t="str">
        <f>"tricks/"&amp;A501</f>
        <v>tricks/2010311</v>
      </c>
    </row>
    <row r="502" spans="1:44" ht="15" customHeight="1">
      <c r="A502" s="41">
        <v>2010401</v>
      </c>
      <c r="B502" s="41" t="s">
        <v>1994</v>
      </c>
      <c r="C502" s="71" t="s">
        <v>1995</v>
      </c>
      <c r="D502" s="41" t="s">
        <v>1876</v>
      </c>
      <c r="E502" s="41"/>
      <c r="F502" s="36">
        <v>1</v>
      </c>
      <c r="G502" s="36">
        <v>7</v>
      </c>
      <c r="H502" s="6" t="s">
        <v>82</v>
      </c>
      <c r="I502" s="41" t="s">
        <v>101</v>
      </c>
      <c r="J502" s="41">
        <v>1</v>
      </c>
      <c r="K502" s="41"/>
      <c r="L502" s="438" t="s">
        <v>1996</v>
      </c>
      <c r="M502" s="438"/>
      <c r="N502" s="438"/>
      <c r="O502" s="174"/>
      <c r="P502" s="137"/>
      <c r="Q502" s="137">
        <v>0</v>
      </c>
      <c r="R502" s="137" t="s">
        <v>153</v>
      </c>
      <c r="S502" s="41">
        <v>2010401</v>
      </c>
      <c r="T502" s="467"/>
      <c r="U502" s="468"/>
      <c r="V502" s="137" t="s">
        <v>582</v>
      </c>
      <c r="W502" s="619" t="s">
        <v>1997</v>
      </c>
      <c r="X502" s="619" t="s">
        <v>1997</v>
      </c>
      <c r="Y502" s="137">
        <v>0</v>
      </c>
      <c r="Z502" s="137">
        <v>0</v>
      </c>
      <c r="AA502" s="137"/>
      <c r="AB502" s="137"/>
      <c r="AC502" s="41"/>
      <c r="AD502" s="41"/>
      <c r="AE502" s="41"/>
      <c r="AF502" s="41"/>
      <c r="AG502" s="41"/>
      <c r="AH502" s="41"/>
      <c r="AI502" s="41"/>
      <c r="AJ502" s="41"/>
      <c r="AK502" s="139"/>
      <c r="AL502" s="139"/>
      <c r="AM502" s="139"/>
      <c r="AN502" s="43"/>
      <c r="AO502" s="41"/>
      <c r="AP502" s="41"/>
      <c r="AQ502" s="41" t="s">
        <v>1998</v>
      </c>
      <c r="AR502" s="472"/>
    </row>
    <row r="503" spans="1:44" ht="15" customHeight="1">
      <c r="A503" s="41">
        <v>2010402</v>
      </c>
      <c r="B503" s="41" t="s">
        <v>1994</v>
      </c>
      <c r="C503" s="71" t="s">
        <v>1999</v>
      </c>
      <c r="D503" s="41" t="s">
        <v>1876</v>
      </c>
      <c r="E503" s="41"/>
      <c r="F503" s="36">
        <v>1</v>
      </c>
      <c r="G503" s="36">
        <v>7</v>
      </c>
      <c r="H503" s="41" t="s">
        <v>136</v>
      </c>
      <c r="I503" s="41" t="s">
        <v>137</v>
      </c>
      <c r="J503" s="41"/>
      <c r="K503" s="41"/>
      <c r="L503" s="174" t="s">
        <v>2000</v>
      </c>
      <c r="M503" s="438"/>
      <c r="N503" s="438"/>
      <c r="O503" s="174"/>
      <c r="P503" s="137"/>
      <c r="Q503" s="137">
        <v>0</v>
      </c>
      <c r="R503" s="137" t="s">
        <v>153</v>
      </c>
      <c r="S503" s="41">
        <v>2010402</v>
      </c>
      <c r="T503" s="467"/>
      <c r="U503" s="468"/>
      <c r="V503" s="137" t="s">
        <v>582</v>
      </c>
      <c r="W503" s="619" t="s">
        <v>2001</v>
      </c>
      <c r="X503" s="619" t="s">
        <v>2001</v>
      </c>
      <c r="Y503" s="137">
        <v>0</v>
      </c>
      <c r="Z503" s="137">
        <v>0</v>
      </c>
      <c r="AA503" s="137"/>
      <c r="AB503" s="137"/>
      <c r="AC503" s="41"/>
      <c r="AD503" s="41"/>
      <c r="AE503" s="41">
        <v>0</v>
      </c>
      <c r="AF503" s="41">
        <v>0</v>
      </c>
      <c r="AG503" s="41">
        <v>0</v>
      </c>
      <c r="AH503" s="41"/>
      <c r="AI503" s="41">
        <v>0</v>
      </c>
      <c r="AJ503" s="41">
        <v>0</v>
      </c>
      <c r="AK503" s="139"/>
      <c r="AL503" s="139"/>
      <c r="AM503" s="139"/>
      <c r="AN503" s="41"/>
      <c r="AO503" s="41"/>
      <c r="AP503" s="41"/>
      <c r="AQ503" s="41" t="s">
        <v>2002</v>
      </c>
      <c r="AR503" s="472"/>
    </row>
    <row r="504" spans="1:44" ht="16.2" customHeight="1">
      <c r="A504" s="41">
        <v>2010403</v>
      </c>
      <c r="B504" s="41" t="s">
        <v>1994</v>
      </c>
      <c r="C504" s="71" t="s">
        <v>2003</v>
      </c>
      <c r="D504" s="41" t="s">
        <v>1876</v>
      </c>
      <c r="E504" s="41"/>
      <c r="F504" s="36">
        <v>2</v>
      </c>
      <c r="G504" s="36">
        <v>7</v>
      </c>
      <c r="H504" s="41" t="s">
        <v>136</v>
      </c>
      <c r="I504" s="41" t="s">
        <v>137</v>
      </c>
      <c r="J504" s="41"/>
      <c r="K504" s="41"/>
      <c r="L504" s="174" t="s">
        <v>2004</v>
      </c>
      <c r="M504" s="438"/>
      <c r="N504" s="438"/>
      <c r="O504" s="174"/>
      <c r="P504" s="137"/>
      <c r="Q504" s="137">
        <v>0</v>
      </c>
      <c r="R504" s="137" t="s">
        <v>153</v>
      </c>
      <c r="S504" s="41">
        <v>2010403</v>
      </c>
      <c r="T504" s="467"/>
      <c r="U504" s="468"/>
      <c r="V504" s="137" t="s">
        <v>582</v>
      </c>
      <c r="W504" s="619" t="s">
        <v>2005</v>
      </c>
      <c r="X504" s="619" t="s">
        <v>2005</v>
      </c>
      <c r="Y504" s="137">
        <v>0</v>
      </c>
      <c r="Z504" s="137">
        <v>0</v>
      </c>
      <c r="AA504" s="137"/>
      <c r="AB504" s="137"/>
      <c r="AC504" s="41"/>
      <c r="AD504" s="41"/>
      <c r="AE504" s="41">
        <v>0</v>
      </c>
      <c r="AF504" s="41">
        <v>0</v>
      </c>
      <c r="AG504" s="41">
        <v>0</v>
      </c>
      <c r="AH504" s="41"/>
      <c r="AI504" s="41">
        <v>0</v>
      </c>
      <c r="AJ504" s="41">
        <v>0</v>
      </c>
      <c r="AK504" s="139"/>
      <c r="AL504" s="139"/>
      <c r="AM504" s="139"/>
      <c r="AN504" s="41"/>
      <c r="AO504" s="41"/>
      <c r="AP504" s="41"/>
      <c r="AQ504" s="41" t="s">
        <v>2006</v>
      </c>
      <c r="AR504" s="472"/>
    </row>
    <row r="505" spans="1:44" ht="15" customHeight="1">
      <c r="A505" s="41">
        <v>2010404</v>
      </c>
      <c r="B505" s="71" t="s">
        <v>1994</v>
      </c>
      <c r="C505" s="71" t="s">
        <v>2007</v>
      </c>
      <c r="D505" s="41" t="s">
        <v>1876</v>
      </c>
      <c r="E505" s="41"/>
      <c r="F505" s="36">
        <v>3</v>
      </c>
      <c r="G505" s="36">
        <v>7</v>
      </c>
      <c r="H505" s="41" t="s">
        <v>136</v>
      </c>
      <c r="I505" s="41" t="s">
        <v>137</v>
      </c>
      <c r="J505" s="41"/>
      <c r="K505" s="41"/>
      <c r="L505" s="174" t="s">
        <v>2008</v>
      </c>
      <c r="M505" s="438"/>
      <c r="N505" s="438"/>
      <c r="O505" s="174"/>
      <c r="P505" s="137"/>
      <c r="Q505" s="137">
        <v>0</v>
      </c>
      <c r="R505" s="137" t="s">
        <v>153</v>
      </c>
      <c r="S505" s="41">
        <v>2010404</v>
      </c>
      <c r="T505" s="467"/>
      <c r="U505" s="468"/>
      <c r="V505" s="137" t="s">
        <v>582</v>
      </c>
      <c r="W505" s="619" t="s">
        <v>2009</v>
      </c>
      <c r="X505" s="619" t="s">
        <v>2009</v>
      </c>
      <c r="Y505" s="137">
        <v>0</v>
      </c>
      <c r="Z505" s="137">
        <v>0</v>
      </c>
      <c r="AA505" s="137"/>
      <c r="AB505" s="137"/>
      <c r="AC505" s="41"/>
      <c r="AD505" s="41"/>
      <c r="AE505" s="41">
        <v>0</v>
      </c>
      <c r="AF505" s="41">
        <v>0</v>
      </c>
      <c r="AG505" s="41">
        <v>0</v>
      </c>
      <c r="AH505" s="41"/>
      <c r="AI505" s="41">
        <v>0</v>
      </c>
      <c r="AJ505" s="41">
        <v>0</v>
      </c>
      <c r="AK505" s="139"/>
      <c r="AL505" s="139"/>
      <c r="AM505" s="139"/>
      <c r="AN505" s="41"/>
      <c r="AO505" s="41"/>
      <c r="AP505" s="41"/>
      <c r="AQ505" s="41" t="s">
        <v>2010</v>
      </c>
      <c r="AR505" s="472"/>
    </row>
    <row r="506" spans="1:44" ht="15" customHeight="1">
      <c r="A506" s="41">
        <v>2010405</v>
      </c>
      <c r="B506" s="71" t="s">
        <v>1994</v>
      </c>
      <c r="C506" s="71" t="s">
        <v>2011</v>
      </c>
      <c r="D506" s="41" t="s">
        <v>1876</v>
      </c>
      <c r="E506" s="41"/>
      <c r="F506" s="36">
        <v>4</v>
      </c>
      <c r="G506" s="36">
        <v>7</v>
      </c>
      <c r="H506" s="41" t="s">
        <v>136</v>
      </c>
      <c r="I506" s="41" t="s">
        <v>137</v>
      </c>
      <c r="J506" s="41"/>
      <c r="K506" s="41"/>
      <c r="L506" s="174" t="s">
        <v>2012</v>
      </c>
      <c r="M506" s="438"/>
      <c r="N506" s="438"/>
      <c r="O506" s="174"/>
      <c r="P506" s="137"/>
      <c r="Q506" s="137">
        <v>0</v>
      </c>
      <c r="R506" s="137" t="s">
        <v>153</v>
      </c>
      <c r="S506" s="41">
        <v>2010405</v>
      </c>
      <c r="T506" s="467"/>
      <c r="U506" s="468"/>
      <c r="V506" s="137" t="s">
        <v>582</v>
      </c>
      <c r="W506" s="619" t="s">
        <v>2013</v>
      </c>
      <c r="X506" s="619" t="s">
        <v>2013</v>
      </c>
      <c r="Y506" s="137">
        <v>0</v>
      </c>
      <c r="Z506" s="137">
        <v>0</v>
      </c>
      <c r="AA506" s="137"/>
      <c r="AB506" s="137"/>
      <c r="AC506" s="41"/>
      <c r="AD506" s="41"/>
      <c r="AE506" s="41">
        <v>0</v>
      </c>
      <c r="AF506" s="41">
        <v>0</v>
      </c>
      <c r="AG506" s="41">
        <v>0</v>
      </c>
      <c r="AH506" s="41"/>
      <c r="AI506" s="41">
        <v>0</v>
      </c>
      <c r="AJ506" s="41">
        <v>0</v>
      </c>
      <c r="AK506" s="139"/>
      <c r="AL506" s="139"/>
      <c r="AM506" s="139"/>
      <c r="AN506" s="41"/>
      <c r="AO506" s="41"/>
      <c r="AP506" s="41"/>
      <c r="AQ506" s="41" t="s">
        <v>2014</v>
      </c>
      <c r="AR506" s="472"/>
    </row>
    <row r="507" spans="1:44" ht="15" customHeight="1">
      <c r="A507" s="41">
        <v>2010406</v>
      </c>
      <c r="B507" s="71" t="s">
        <v>1994</v>
      </c>
      <c r="C507" s="71" t="s">
        <v>2015</v>
      </c>
      <c r="D507" s="41" t="s">
        <v>1876</v>
      </c>
      <c r="E507" s="41"/>
      <c r="F507" s="36">
        <v>5</v>
      </c>
      <c r="G507" s="36">
        <v>7</v>
      </c>
      <c r="H507" s="41" t="s">
        <v>136</v>
      </c>
      <c r="I507" s="41" t="s">
        <v>137</v>
      </c>
      <c r="J507" s="41"/>
      <c r="K507" s="41"/>
      <c r="L507" s="174" t="s">
        <v>2016</v>
      </c>
      <c r="M507" s="438"/>
      <c r="N507" s="438"/>
      <c r="O507" s="174"/>
      <c r="P507" s="137"/>
      <c r="Q507" s="137">
        <v>0</v>
      </c>
      <c r="R507" s="137" t="s">
        <v>153</v>
      </c>
      <c r="S507" s="41">
        <v>2010406</v>
      </c>
      <c r="T507" s="467"/>
      <c r="U507" s="468"/>
      <c r="V507" s="137" t="s">
        <v>582</v>
      </c>
      <c r="W507" s="619" t="s">
        <v>2017</v>
      </c>
      <c r="X507" s="619" t="s">
        <v>2017</v>
      </c>
      <c r="Y507" s="137">
        <v>0</v>
      </c>
      <c r="Z507" s="137">
        <v>0</v>
      </c>
      <c r="AA507" s="137"/>
      <c r="AB507" s="137"/>
      <c r="AC507" s="41"/>
      <c r="AD507" s="41"/>
      <c r="AE507" s="41">
        <v>0</v>
      </c>
      <c r="AF507" s="41">
        <v>0</v>
      </c>
      <c r="AG507" s="41">
        <v>0</v>
      </c>
      <c r="AH507" s="41"/>
      <c r="AI507" s="41">
        <v>0</v>
      </c>
      <c r="AJ507" s="41">
        <v>0</v>
      </c>
      <c r="AK507" s="139"/>
      <c r="AL507" s="139"/>
      <c r="AM507" s="139"/>
      <c r="AN507" s="41"/>
      <c r="AO507" s="41"/>
      <c r="AP507" s="41"/>
      <c r="AQ507" s="41" t="s">
        <v>2018</v>
      </c>
      <c r="AR507" s="472"/>
    </row>
    <row r="508" spans="1:44" ht="15" customHeight="1">
      <c r="A508" s="41">
        <v>2010407</v>
      </c>
      <c r="B508" s="71" t="s">
        <v>1994</v>
      </c>
      <c r="C508" s="71" t="s">
        <v>2019</v>
      </c>
      <c r="D508" s="41" t="s">
        <v>1876</v>
      </c>
      <c r="E508" s="41"/>
      <c r="F508" s="36">
        <v>6</v>
      </c>
      <c r="G508" s="36">
        <v>7</v>
      </c>
      <c r="H508" s="41" t="s">
        <v>136</v>
      </c>
      <c r="I508" s="41" t="s">
        <v>137</v>
      </c>
      <c r="J508" s="41"/>
      <c r="K508" s="41"/>
      <c r="L508" s="174" t="s">
        <v>2020</v>
      </c>
      <c r="M508" s="438"/>
      <c r="N508" s="438"/>
      <c r="O508" s="174"/>
      <c r="P508" s="137"/>
      <c r="Q508" s="137">
        <v>0</v>
      </c>
      <c r="R508" s="137" t="s">
        <v>153</v>
      </c>
      <c r="S508" s="41">
        <v>2010407</v>
      </c>
      <c r="T508" s="467"/>
      <c r="U508" s="468"/>
      <c r="V508" s="137" t="s">
        <v>582</v>
      </c>
      <c r="W508" s="619" t="s">
        <v>2009</v>
      </c>
      <c r="X508" s="619" t="s">
        <v>2009</v>
      </c>
      <c r="Y508" s="137">
        <v>0</v>
      </c>
      <c r="Z508" s="137">
        <v>0</v>
      </c>
      <c r="AA508" s="137"/>
      <c r="AB508" s="137"/>
      <c r="AC508" s="41"/>
      <c r="AD508" s="41"/>
      <c r="AE508" s="41">
        <v>0</v>
      </c>
      <c r="AF508" s="41">
        <v>0</v>
      </c>
      <c r="AG508" s="41">
        <v>0</v>
      </c>
      <c r="AH508" s="41"/>
      <c r="AI508" s="41">
        <v>0</v>
      </c>
      <c r="AJ508" s="41">
        <v>0</v>
      </c>
      <c r="AK508" s="139"/>
      <c r="AL508" s="139"/>
      <c r="AM508" s="139"/>
      <c r="AN508" s="41"/>
      <c r="AO508" s="41"/>
      <c r="AP508" s="41"/>
      <c r="AQ508" s="41" t="s">
        <v>2021</v>
      </c>
      <c r="AR508" s="472"/>
    </row>
    <row r="509" spans="1:44" ht="15" customHeight="1">
      <c r="A509" s="41">
        <v>2010408</v>
      </c>
      <c r="B509" s="71" t="s">
        <v>1994</v>
      </c>
      <c r="C509" s="71" t="s">
        <v>2022</v>
      </c>
      <c r="D509" s="41" t="s">
        <v>1876</v>
      </c>
      <c r="E509" s="41"/>
      <c r="F509" s="36">
        <v>7</v>
      </c>
      <c r="G509" s="36">
        <v>7</v>
      </c>
      <c r="H509" s="41" t="s">
        <v>136</v>
      </c>
      <c r="I509" s="41" t="s">
        <v>137</v>
      </c>
      <c r="J509" s="41"/>
      <c r="K509" s="41"/>
      <c r="L509" s="174" t="s">
        <v>2023</v>
      </c>
      <c r="M509" s="438"/>
      <c r="N509" s="438"/>
      <c r="O509" s="174"/>
      <c r="P509" s="137"/>
      <c r="Q509" s="137">
        <v>0</v>
      </c>
      <c r="R509" s="137" t="s">
        <v>153</v>
      </c>
      <c r="S509" s="41">
        <v>2010408</v>
      </c>
      <c r="T509" s="467"/>
      <c r="U509" s="468"/>
      <c r="V509" s="137" t="s">
        <v>582</v>
      </c>
      <c r="W509" s="619" t="s">
        <v>2024</v>
      </c>
      <c r="X509" s="619" t="s">
        <v>2024</v>
      </c>
      <c r="Y509" s="137">
        <v>0</v>
      </c>
      <c r="Z509" s="137">
        <v>0</v>
      </c>
      <c r="AA509" s="137"/>
      <c r="AB509" s="137"/>
      <c r="AC509" s="41"/>
      <c r="AD509" s="41"/>
      <c r="AE509" s="41">
        <v>0</v>
      </c>
      <c r="AF509" s="41">
        <v>0</v>
      </c>
      <c r="AG509" s="41">
        <v>0</v>
      </c>
      <c r="AH509" s="41"/>
      <c r="AI509" s="41">
        <v>0</v>
      </c>
      <c r="AJ509" s="41">
        <v>0</v>
      </c>
      <c r="AK509" s="139"/>
      <c r="AL509" s="139"/>
      <c r="AM509" s="139"/>
      <c r="AN509" s="41"/>
      <c r="AO509" s="41"/>
      <c r="AP509" s="41"/>
      <c r="AQ509" s="41" t="s">
        <v>2025</v>
      </c>
      <c r="AR509" s="472"/>
    </row>
    <row r="510" spans="1:44" ht="15" customHeight="1">
      <c r="A510" s="3">
        <v>2010409</v>
      </c>
      <c r="B510" s="3" t="s">
        <v>1994</v>
      </c>
      <c r="C510" s="236" t="s">
        <v>2026</v>
      </c>
      <c r="D510" s="44" t="s">
        <v>1876</v>
      </c>
      <c r="E510" s="41"/>
      <c r="F510" s="3">
        <v>8</v>
      </c>
      <c r="G510" s="36">
        <v>7</v>
      </c>
      <c r="H510" s="3" t="s">
        <v>136</v>
      </c>
      <c r="I510" s="3" t="s">
        <v>137</v>
      </c>
      <c r="J510" s="3"/>
      <c r="K510" s="3"/>
      <c r="L510" s="236"/>
      <c r="M510" s="99"/>
      <c r="N510" s="99"/>
      <c r="O510" s="236"/>
      <c r="P510" s="22"/>
      <c r="Q510" s="22">
        <v>0</v>
      </c>
      <c r="R510" s="22" t="s">
        <v>153</v>
      </c>
      <c r="S510" s="3"/>
      <c r="T510" s="260"/>
      <c r="U510" s="261"/>
      <c r="V510" s="22"/>
      <c r="W510" s="567" t="s">
        <v>1952</v>
      </c>
      <c r="X510" s="567" t="s">
        <v>6700</v>
      </c>
      <c r="Y510" s="22"/>
      <c r="Z510" s="22"/>
      <c r="AA510" s="22"/>
      <c r="AB510" s="22" t="s">
        <v>114</v>
      </c>
      <c r="AC510" s="3"/>
      <c r="AD510" s="3"/>
      <c r="AE510" s="3">
        <v>0</v>
      </c>
      <c r="AF510" s="3">
        <v>0</v>
      </c>
      <c r="AG510" s="3">
        <v>0</v>
      </c>
      <c r="AH510" s="3"/>
      <c r="AI510" s="3">
        <v>0</v>
      </c>
      <c r="AJ510" s="3">
        <v>0</v>
      </c>
      <c r="AK510" s="3">
        <v>0</v>
      </c>
      <c r="AL510" s="3"/>
      <c r="AM510" s="3"/>
      <c r="AN510" s="3"/>
      <c r="AO510" s="3"/>
      <c r="AP510" s="3"/>
      <c r="AQ510" s="3" t="s">
        <v>2006</v>
      </c>
      <c r="AR510" s="281"/>
    </row>
    <row r="511" spans="1:44" ht="15" customHeight="1">
      <c r="A511" s="3">
        <v>2010410</v>
      </c>
      <c r="B511" s="3" t="s">
        <v>1994</v>
      </c>
      <c r="C511" s="236" t="s">
        <v>2027</v>
      </c>
      <c r="D511" s="3" t="s">
        <v>1876</v>
      </c>
      <c r="F511" s="3">
        <v>9</v>
      </c>
      <c r="G511" s="36">
        <v>7</v>
      </c>
      <c r="H511" s="3" t="s">
        <v>136</v>
      </c>
      <c r="I511" s="3" t="s">
        <v>137</v>
      </c>
      <c r="J511" s="3"/>
      <c r="K511" s="3"/>
      <c r="L511" s="236"/>
      <c r="M511" s="99"/>
      <c r="N511" s="99"/>
      <c r="O511" s="236"/>
      <c r="P511" s="22"/>
      <c r="Q511" s="22">
        <v>0</v>
      </c>
      <c r="R511" s="22" t="s">
        <v>153</v>
      </c>
      <c r="S511" s="3"/>
      <c r="T511" s="260"/>
      <c r="U511" s="261"/>
      <c r="V511" s="22"/>
      <c r="W511" s="585" t="s">
        <v>2028</v>
      </c>
      <c r="X511" s="585" t="s">
        <v>6725</v>
      </c>
      <c r="Y511" s="22"/>
      <c r="Z511" s="22"/>
      <c r="AA511" s="22"/>
      <c r="AB511" s="22" t="s">
        <v>114</v>
      </c>
      <c r="AC511" s="3"/>
      <c r="AD511" s="3"/>
      <c r="AE511" s="3">
        <v>0</v>
      </c>
      <c r="AF511" s="3">
        <v>0</v>
      </c>
      <c r="AG511" s="3">
        <v>0</v>
      </c>
      <c r="AH511" s="3"/>
      <c r="AI511" s="3">
        <v>0</v>
      </c>
      <c r="AJ511" s="3">
        <v>0</v>
      </c>
      <c r="AK511" s="3">
        <v>0</v>
      </c>
      <c r="AL511" s="3"/>
      <c r="AM511" s="3"/>
      <c r="AN511" s="3"/>
      <c r="AO511" s="3"/>
      <c r="AP511" s="3"/>
      <c r="AQ511" s="282" t="str">
        <f>"tricks/"&amp;A511</f>
        <v>tricks/2010410</v>
      </c>
    </row>
    <row r="512" spans="1:44" ht="15" customHeight="1">
      <c r="A512" s="3">
        <v>2010411</v>
      </c>
      <c r="B512" s="3" t="s">
        <v>1994</v>
      </c>
      <c r="C512" s="236" t="s">
        <v>2029</v>
      </c>
      <c r="D512" s="3" t="s">
        <v>1876</v>
      </c>
      <c r="F512" s="3">
        <v>10</v>
      </c>
      <c r="G512" s="36">
        <v>7</v>
      </c>
      <c r="H512" s="3" t="s">
        <v>136</v>
      </c>
      <c r="I512" s="3" t="s">
        <v>137</v>
      </c>
      <c r="J512" s="3"/>
      <c r="K512" s="3"/>
      <c r="L512" s="236"/>
      <c r="M512" s="99"/>
      <c r="N512" s="99"/>
      <c r="O512" s="236"/>
      <c r="P512" s="22"/>
      <c r="Q512" s="22">
        <v>0</v>
      </c>
      <c r="R512" s="22" t="s">
        <v>153</v>
      </c>
      <c r="S512" s="3"/>
      <c r="T512" s="260"/>
      <c r="U512" s="261"/>
      <c r="V512" s="22"/>
      <c r="W512" s="567" t="s">
        <v>2030</v>
      </c>
      <c r="X512" s="567" t="s">
        <v>6726</v>
      </c>
      <c r="Y512" s="22"/>
      <c r="Z512" s="22"/>
      <c r="AA512" s="22"/>
      <c r="AB512" s="22" t="s">
        <v>114</v>
      </c>
      <c r="AC512" s="3"/>
      <c r="AD512" s="3"/>
      <c r="AE512" s="3">
        <v>0</v>
      </c>
      <c r="AF512" s="3">
        <v>0</v>
      </c>
      <c r="AG512" s="3">
        <v>0</v>
      </c>
      <c r="AH512" s="3"/>
      <c r="AI512" s="3">
        <v>0</v>
      </c>
      <c r="AJ512" s="3">
        <v>0</v>
      </c>
      <c r="AK512" s="3">
        <v>0</v>
      </c>
      <c r="AL512" s="3"/>
      <c r="AM512" s="3"/>
      <c r="AN512" s="3"/>
      <c r="AO512" s="3"/>
      <c r="AP512" s="3"/>
      <c r="AQ512" s="282" t="str">
        <f>"tricks/"&amp;A512</f>
        <v>tricks/2010411</v>
      </c>
    </row>
    <row r="513" spans="1:44" ht="15" customHeight="1">
      <c r="A513" s="6">
        <v>2010501</v>
      </c>
      <c r="B513" s="394" t="s">
        <v>2031</v>
      </c>
      <c r="C513" s="394" t="s">
        <v>2032</v>
      </c>
      <c r="D513" s="6" t="s">
        <v>1876</v>
      </c>
      <c r="E513" s="6"/>
      <c r="F513" s="36">
        <v>1</v>
      </c>
      <c r="G513" s="36">
        <v>7</v>
      </c>
      <c r="H513" s="6" t="s">
        <v>82</v>
      </c>
      <c r="I513" s="6" t="s">
        <v>101</v>
      </c>
      <c r="J513" s="6">
        <v>1</v>
      </c>
      <c r="K513" s="6"/>
      <c r="L513" s="234" t="s">
        <v>2033</v>
      </c>
      <c r="M513" s="235"/>
      <c r="N513" s="235">
        <v>23</v>
      </c>
      <c r="O513" s="234"/>
      <c r="P513" s="40"/>
      <c r="Q513" s="40">
        <v>0</v>
      </c>
      <c r="R513" s="40" t="s">
        <v>153</v>
      </c>
      <c r="S513" s="6">
        <v>2010501</v>
      </c>
      <c r="T513" s="258"/>
      <c r="U513" s="259"/>
      <c r="V513" s="40" t="s">
        <v>582</v>
      </c>
      <c r="W513" s="619" t="s">
        <v>2034</v>
      </c>
      <c r="X513" s="619" t="s">
        <v>2034</v>
      </c>
      <c r="Y513" s="40">
        <v>0</v>
      </c>
      <c r="Z513" s="40">
        <v>0</v>
      </c>
      <c r="AA513" s="40"/>
      <c r="AB513" s="40"/>
      <c r="AC513" s="6"/>
      <c r="AD513" s="6"/>
      <c r="AE513" s="6">
        <v>0</v>
      </c>
      <c r="AF513" s="6">
        <v>0</v>
      </c>
      <c r="AG513" s="6">
        <v>0</v>
      </c>
      <c r="AH513" s="6"/>
      <c r="AI513" s="6"/>
      <c r="AJ513" s="6"/>
      <c r="AK513" s="272"/>
      <c r="AL513" s="272"/>
      <c r="AM513" s="272"/>
      <c r="AN513" s="43"/>
      <c r="AO513" s="6"/>
      <c r="AP513" s="6"/>
      <c r="AQ513" s="6" t="s">
        <v>2035</v>
      </c>
      <c r="AR513" s="280"/>
    </row>
    <row r="514" spans="1:44" ht="15" customHeight="1">
      <c r="A514" s="6">
        <v>2010502</v>
      </c>
      <c r="B514" s="394" t="s">
        <v>2031</v>
      </c>
      <c r="C514" s="394" t="s">
        <v>2036</v>
      </c>
      <c r="D514" s="6" t="s">
        <v>1876</v>
      </c>
      <c r="E514" s="6"/>
      <c r="F514" s="36">
        <v>1</v>
      </c>
      <c r="G514" s="36">
        <v>7</v>
      </c>
      <c r="H514" s="6" t="s">
        <v>136</v>
      </c>
      <c r="I514" s="6" t="s">
        <v>137</v>
      </c>
      <c r="J514" s="6"/>
      <c r="K514" s="6"/>
      <c r="L514" s="234" t="s">
        <v>2037</v>
      </c>
      <c r="M514" s="235"/>
      <c r="N514" s="235"/>
      <c r="O514" s="234"/>
      <c r="P514" s="40"/>
      <c r="Q514" s="40">
        <v>0</v>
      </c>
      <c r="R514" s="40" t="s">
        <v>153</v>
      </c>
      <c r="S514" s="6">
        <v>2010503</v>
      </c>
      <c r="T514" s="258"/>
      <c r="U514" s="259"/>
      <c r="V514" s="40" t="s">
        <v>582</v>
      </c>
      <c r="W514" s="619" t="s">
        <v>2038</v>
      </c>
      <c r="X514" s="619" t="s">
        <v>2038</v>
      </c>
      <c r="Y514" s="40">
        <v>0</v>
      </c>
      <c r="Z514" s="40">
        <v>0</v>
      </c>
      <c r="AA514" s="40"/>
      <c r="AB514" s="40"/>
      <c r="AC514" s="6"/>
      <c r="AD514" s="6"/>
      <c r="AE514" s="6">
        <v>0</v>
      </c>
      <c r="AF514" s="6">
        <v>0</v>
      </c>
      <c r="AG514" s="6">
        <v>0</v>
      </c>
      <c r="AH514" s="6"/>
      <c r="AI514" s="6">
        <v>0</v>
      </c>
      <c r="AJ514" s="6">
        <v>0</v>
      </c>
      <c r="AK514" s="272"/>
      <c r="AL514" s="272"/>
      <c r="AM514" s="272"/>
      <c r="AN514" s="6"/>
      <c r="AO514" s="6"/>
      <c r="AP514" s="6"/>
      <c r="AQ514" s="6" t="s">
        <v>2039</v>
      </c>
      <c r="AR514" s="280"/>
    </row>
    <row r="515" spans="1:44" ht="15" customHeight="1">
      <c r="A515" s="6">
        <v>2010503</v>
      </c>
      <c r="B515" s="394" t="s">
        <v>2031</v>
      </c>
      <c r="C515" s="394" t="s">
        <v>2040</v>
      </c>
      <c r="D515" s="6" t="s">
        <v>1876</v>
      </c>
      <c r="E515" s="6"/>
      <c r="F515" s="36">
        <v>2</v>
      </c>
      <c r="G515" s="36">
        <v>7</v>
      </c>
      <c r="H515" s="6" t="s">
        <v>136</v>
      </c>
      <c r="I515" s="6" t="s">
        <v>137</v>
      </c>
      <c r="J515" s="6"/>
      <c r="K515" s="6"/>
      <c r="L515" s="234" t="s">
        <v>2041</v>
      </c>
      <c r="M515" s="235"/>
      <c r="N515" s="235"/>
      <c r="O515" s="234"/>
      <c r="P515" s="40"/>
      <c r="Q515" s="40">
        <v>0</v>
      </c>
      <c r="R515" s="40" t="s">
        <v>153</v>
      </c>
      <c r="S515" s="6">
        <v>2010504</v>
      </c>
      <c r="T515" s="258"/>
      <c r="U515" s="259"/>
      <c r="V515" s="40" t="s">
        <v>582</v>
      </c>
      <c r="W515" s="619" t="s">
        <v>2042</v>
      </c>
      <c r="X515" s="619" t="s">
        <v>2042</v>
      </c>
      <c r="Y515" s="40">
        <v>0</v>
      </c>
      <c r="Z515" s="40">
        <v>0</v>
      </c>
      <c r="AA515" s="40"/>
      <c r="AB515" s="40"/>
      <c r="AC515" s="6"/>
      <c r="AD515" s="6"/>
      <c r="AE515" s="6">
        <v>0</v>
      </c>
      <c r="AF515" s="6">
        <v>0</v>
      </c>
      <c r="AG515" s="6">
        <v>0</v>
      </c>
      <c r="AH515" s="6"/>
      <c r="AI515" s="6">
        <v>0</v>
      </c>
      <c r="AJ515" s="6">
        <v>0</v>
      </c>
      <c r="AK515" s="272"/>
      <c r="AL515" s="272"/>
      <c r="AM515" s="272"/>
      <c r="AN515" s="6"/>
      <c r="AO515" s="6"/>
      <c r="AP515" s="6"/>
      <c r="AQ515" s="6" t="s">
        <v>2043</v>
      </c>
      <c r="AR515" s="280"/>
    </row>
    <row r="516" spans="1:44" ht="15" customHeight="1">
      <c r="A516" s="6">
        <v>2010504</v>
      </c>
      <c r="B516" s="6" t="s">
        <v>2031</v>
      </c>
      <c r="C516" s="234" t="s">
        <v>2044</v>
      </c>
      <c r="D516" s="6" t="s">
        <v>1876</v>
      </c>
      <c r="E516" s="6"/>
      <c r="F516" s="36">
        <v>3</v>
      </c>
      <c r="G516" s="36">
        <v>7</v>
      </c>
      <c r="H516" s="6" t="s">
        <v>136</v>
      </c>
      <c r="I516" s="6" t="s">
        <v>137</v>
      </c>
      <c r="J516" s="6"/>
      <c r="K516" s="6"/>
      <c r="L516" s="459" t="s">
        <v>2045</v>
      </c>
      <c r="M516" s="235"/>
      <c r="N516" s="235"/>
      <c r="O516" s="234"/>
      <c r="P516" s="40"/>
      <c r="Q516" s="40">
        <v>0</v>
      </c>
      <c r="R516" s="40" t="s">
        <v>153</v>
      </c>
      <c r="S516" s="6">
        <v>2010506</v>
      </c>
      <c r="T516" s="258"/>
      <c r="U516" s="259"/>
      <c r="V516" s="40" t="s">
        <v>582</v>
      </c>
      <c r="W516" s="619" t="s">
        <v>2046</v>
      </c>
      <c r="X516" s="619" t="s">
        <v>2046</v>
      </c>
      <c r="Y516" s="40">
        <v>0</v>
      </c>
      <c r="Z516" s="40">
        <v>0</v>
      </c>
      <c r="AA516" s="40"/>
      <c r="AB516" s="40"/>
      <c r="AC516" s="6"/>
      <c r="AD516" s="6"/>
      <c r="AE516" s="6">
        <v>0</v>
      </c>
      <c r="AF516" s="6">
        <v>0</v>
      </c>
      <c r="AG516" s="6">
        <v>0</v>
      </c>
      <c r="AH516" s="6"/>
      <c r="AI516" s="6">
        <v>0</v>
      </c>
      <c r="AJ516" s="6">
        <v>0</v>
      </c>
      <c r="AK516" s="272"/>
      <c r="AL516" s="272"/>
      <c r="AM516" s="272"/>
      <c r="AN516" s="6"/>
      <c r="AO516" s="6"/>
      <c r="AP516" s="6"/>
      <c r="AQ516" s="6" t="s">
        <v>2047</v>
      </c>
      <c r="AR516" s="280"/>
    </row>
    <row r="517" spans="1:44" ht="15" customHeight="1">
      <c r="A517" s="6">
        <v>2010505</v>
      </c>
      <c r="B517" s="6" t="s">
        <v>2031</v>
      </c>
      <c r="C517" s="234" t="s">
        <v>2048</v>
      </c>
      <c r="D517" s="6" t="s">
        <v>1876</v>
      </c>
      <c r="E517" s="6"/>
      <c r="F517" s="36">
        <v>4</v>
      </c>
      <c r="G517" s="36">
        <v>7</v>
      </c>
      <c r="H517" s="6" t="s">
        <v>136</v>
      </c>
      <c r="I517" s="6" t="s">
        <v>137</v>
      </c>
      <c r="J517" s="6"/>
      <c r="K517" s="6"/>
      <c r="L517" s="459" t="s">
        <v>2049</v>
      </c>
      <c r="M517" s="235"/>
      <c r="N517" s="235"/>
      <c r="O517" s="234"/>
      <c r="P517" s="40"/>
      <c r="Q517" s="40">
        <v>0</v>
      </c>
      <c r="R517" s="40" t="s">
        <v>153</v>
      </c>
      <c r="S517" s="6">
        <v>2010507</v>
      </c>
      <c r="T517" s="258"/>
      <c r="U517" s="259"/>
      <c r="V517" s="40" t="s">
        <v>582</v>
      </c>
      <c r="W517" s="619" t="s">
        <v>2050</v>
      </c>
      <c r="X517" s="619" t="s">
        <v>2050</v>
      </c>
      <c r="Y517" s="40">
        <v>0</v>
      </c>
      <c r="Z517" s="40">
        <v>0</v>
      </c>
      <c r="AA517" s="40"/>
      <c r="AB517" s="40"/>
      <c r="AC517" s="6"/>
      <c r="AD517" s="6"/>
      <c r="AE517" s="6">
        <v>0</v>
      </c>
      <c r="AF517" s="6">
        <v>0</v>
      </c>
      <c r="AG517" s="6">
        <v>0</v>
      </c>
      <c r="AH517" s="6"/>
      <c r="AI517" s="6">
        <v>0</v>
      </c>
      <c r="AJ517" s="6">
        <v>0</v>
      </c>
      <c r="AK517" s="272"/>
      <c r="AL517" s="272"/>
      <c r="AM517" s="272"/>
      <c r="AN517" s="6"/>
      <c r="AO517" s="6"/>
      <c r="AP517" s="6"/>
      <c r="AQ517" s="6" t="s">
        <v>2051</v>
      </c>
      <c r="AR517" s="280"/>
    </row>
    <row r="518" spans="1:44" ht="15" customHeight="1">
      <c r="A518" s="6">
        <v>2010506</v>
      </c>
      <c r="B518" s="6" t="s">
        <v>2031</v>
      </c>
      <c r="C518" s="234" t="s">
        <v>2052</v>
      </c>
      <c r="D518" s="6" t="s">
        <v>1876</v>
      </c>
      <c r="E518" s="6"/>
      <c r="F518" s="36">
        <v>5</v>
      </c>
      <c r="G518" s="36">
        <v>7</v>
      </c>
      <c r="H518" s="6" t="s">
        <v>136</v>
      </c>
      <c r="I518" s="6" t="s">
        <v>137</v>
      </c>
      <c r="J518" s="6"/>
      <c r="K518" s="6"/>
      <c r="L518" s="459" t="s">
        <v>2053</v>
      </c>
      <c r="M518" s="235"/>
      <c r="N518" s="235"/>
      <c r="O518" s="234"/>
      <c r="P518" s="40"/>
      <c r="Q518" s="40">
        <v>0</v>
      </c>
      <c r="R518" s="40" t="s">
        <v>153</v>
      </c>
      <c r="S518" s="6">
        <v>2010508</v>
      </c>
      <c r="T518" s="258"/>
      <c r="U518" s="259"/>
      <c r="V518" s="40" t="s">
        <v>582</v>
      </c>
      <c r="W518" s="619" t="s">
        <v>2054</v>
      </c>
      <c r="X518" s="619" t="s">
        <v>2054</v>
      </c>
      <c r="Y518" s="40">
        <v>0</v>
      </c>
      <c r="Z518" s="40">
        <v>0</v>
      </c>
      <c r="AA518" s="40"/>
      <c r="AB518" s="40"/>
      <c r="AC518" s="6"/>
      <c r="AD518" s="6"/>
      <c r="AE518" s="6">
        <v>0</v>
      </c>
      <c r="AF518" s="6">
        <v>0</v>
      </c>
      <c r="AG518" s="6">
        <v>0</v>
      </c>
      <c r="AH518" s="6"/>
      <c r="AI518" s="6">
        <v>0</v>
      </c>
      <c r="AJ518" s="6">
        <v>0</v>
      </c>
      <c r="AK518" s="272"/>
      <c r="AL518" s="272"/>
      <c r="AM518" s="272"/>
      <c r="AN518" s="6"/>
      <c r="AO518" s="6"/>
      <c r="AP518" s="6"/>
      <c r="AQ518" s="6" t="s">
        <v>2055</v>
      </c>
      <c r="AR518" s="280"/>
    </row>
    <row r="519" spans="1:44" ht="15" customHeight="1">
      <c r="A519" s="6">
        <v>2010507</v>
      </c>
      <c r="B519" s="6" t="s">
        <v>2031</v>
      </c>
      <c r="C519" s="234" t="s">
        <v>2056</v>
      </c>
      <c r="D519" s="6" t="s">
        <v>1876</v>
      </c>
      <c r="E519" s="6"/>
      <c r="F519" s="36">
        <v>6</v>
      </c>
      <c r="G519" s="36">
        <v>7</v>
      </c>
      <c r="H519" s="6" t="s">
        <v>136</v>
      </c>
      <c r="I519" s="6" t="s">
        <v>137</v>
      </c>
      <c r="J519" s="6"/>
      <c r="K519" s="6"/>
      <c r="L519" s="459" t="s">
        <v>2057</v>
      </c>
      <c r="M519" s="235"/>
      <c r="N519" s="235"/>
      <c r="O519" s="234"/>
      <c r="P519" s="40"/>
      <c r="Q519" s="40">
        <v>0</v>
      </c>
      <c r="R519" s="40" t="s">
        <v>153</v>
      </c>
      <c r="S519" s="6">
        <v>2010509</v>
      </c>
      <c r="T519" s="258"/>
      <c r="U519" s="259"/>
      <c r="V519" s="40" t="s">
        <v>582</v>
      </c>
      <c r="W519" s="619" t="s">
        <v>2058</v>
      </c>
      <c r="X519" s="619" t="s">
        <v>2058</v>
      </c>
      <c r="Y519" s="40">
        <v>0</v>
      </c>
      <c r="Z519" s="40">
        <v>0</v>
      </c>
      <c r="AA519" s="40"/>
      <c r="AB519" s="40"/>
      <c r="AC519" s="6"/>
      <c r="AD519" s="6"/>
      <c r="AE519" s="6">
        <v>0</v>
      </c>
      <c r="AF519" s="6">
        <v>0</v>
      </c>
      <c r="AG519" s="6">
        <v>0</v>
      </c>
      <c r="AH519" s="6"/>
      <c r="AI519" s="6">
        <v>0</v>
      </c>
      <c r="AJ519" s="6">
        <v>0</v>
      </c>
      <c r="AK519" s="272"/>
      <c r="AL519" s="272"/>
      <c r="AM519" s="272"/>
      <c r="AN519" s="6"/>
      <c r="AO519" s="6"/>
      <c r="AP519" s="6"/>
      <c r="AQ519" s="6" t="s">
        <v>2059</v>
      </c>
      <c r="AR519" s="280"/>
    </row>
    <row r="520" spans="1:44" ht="15" customHeight="1">
      <c r="A520" s="6">
        <v>2010508</v>
      </c>
      <c r="B520" s="6" t="s">
        <v>2031</v>
      </c>
      <c r="C520" s="234" t="s">
        <v>2060</v>
      </c>
      <c r="D520" s="6" t="s">
        <v>1876</v>
      </c>
      <c r="E520" s="6"/>
      <c r="F520" s="36">
        <v>7</v>
      </c>
      <c r="G520" s="36">
        <v>7</v>
      </c>
      <c r="H520" s="6" t="s">
        <v>136</v>
      </c>
      <c r="I520" s="6" t="s">
        <v>137</v>
      </c>
      <c r="J520" s="6"/>
      <c r="K520" s="6"/>
      <c r="L520" s="459" t="s">
        <v>2061</v>
      </c>
      <c r="M520" s="235"/>
      <c r="N520" s="235"/>
      <c r="O520" s="234"/>
      <c r="P520" s="40"/>
      <c r="Q520" s="40">
        <v>0</v>
      </c>
      <c r="R520" s="40" t="s">
        <v>153</v>
      </c>
      <c r="S520" s="6">
        <v>2010510</v>
      </c>
      <c r="T520" s="258"/>
      <c r="U520" s="259"/>
      <c r="V520" s="40" t="s">
        <v>582</v>
      </c>
      <c r="W520" s="619" t="s">
        <v>2062</v>
      </c>
      <c r="X520" s="619" t="s">
        <v>2062</v>
      </c>
      <c r="Y520" s="40">
        <v>0</v>
      </c>
      <c r="Z520" s="40">
        <v>0</v>
      </c>
      <c r="AA520" s="40"/>
      <c r="AB520" s="40"/>
      <c r="AC520" s="6"/>
      <c r="AD520" s="6"/>
      <c r="AE520" s="6">
        <v>0</v>
      </c>
      <c r="AF520" s="6">
        <v>0</v>
      </c>
      <c r="AG520" s="6">
        <v>0</v>
      </c>
      <c r="AH520" s="6"/>
      <c r="AI520" s="6">
        <v>0</v>
      </c>
      <c r="AJ520" s="6">
        <v>0</v>
      </c>
      <c r="AK520" s="272"/>
      <c r="AL520" s="272"/>
      <c r="AM520" s="272"/>
      <c r="AN520" s="6"/>
      <c r="AO520" s="6"/>
      <c r="AP520" s="6"/>
      <c r="AQ520" s="6" t="s">
        <v>2063</v>
      </c>
      <c r="AR520" s="280"/>
    </row>
    <row r="521" spans="1:44" ht="15" customHeight="1">
      <c r="A521" s="3">
        <v>2010509</v>
      </c>
      <c r="B521" s="3" t="s">
        <v>2031</v>
      </c>
      <c r="C521" s="236" t="s">
        <v>2064</v>
      </c>
      <c r="D521" s="44" t="s">
        <v>1876</v>
      </c>
      <c r="E521" s="41"/>
      <c r="F521" s="3">
        <v>8</v>
      </c>
      <c r="G521" s="36">
        <v>7</v>
      </c>
      <c r="H521" s="3" t="s">
        <v>136</v>
      </c>
      <c r="I521" s="3" t="s">
        <v>137</v>
      </c>
      <c r="J521" s="3"/>
      <c r="K521" s="3"/>
      <c r="L521" s="236"/>
      <c r="M521" s="99"/>
      <c r="N521" s="99"/>
      <c r="O521" s="236"/>
      <c r="P521" s="22"/>
      <c r="Q521" s="22">
        <v>0</v>
      </c>
      <c r="R521" s="22" t="s">
        <v>153</v>
      </c>
      <c r="S521" s="3"/>
      <c r="T521" s="260"/>
      <c r="U521" s="261"/>
      <c r="V521" s="22"/>
      <c r="W521" s="567" t="s">
        <v>1910</v>
      </c>
      <c r="X521" s="567" t="s">
        <v>6696</v>
      </c>
      <c r="Y521" s="22"/>
      <c r="Z521" s="22"/>
      <c r="AA521" s="22"/>
      <c r="AB521" s="22" t="s">
        <v>114</v>
      </c>
      <c r="AC521" s="3"/>
      <c r="AD521" s="3"/>
      <c r="AE521" s="3">
        <v>0</v>
      </c>
      <c r="AF521" s="3">
        <v>0</v>
      </c>
      <c r="AG521" s="3">
        <v>0</v>
      </c>
      <c r="AH521" s="3"/>
      <c r="AI521" s="3">
        <v>0</v>
      </c>
      <c r="AJ521" s="3">
        <v>0</v>
      </c>
      <c r="AK521" s="3">
        <v>0</v>
      </c>
      <c r="AL521" s="3"/>
      <c r="AM521" s="3"/>
      <c r="AN521" s="3"/>
      <c r="AO521" s="3"/>
      <c r="AP521" s="3"/>
      <c r="AQ521" s="3" t="s">
        <v>2043</v>
      </c>
      <c r="AR521" s="281"/>
    </row>
    <row r="522" spans="1:44" ht="15" customHeight="1">
      <c r="A522" s="3">
        <v>2010510</v>
      </c>
      <c r="B522" s="3" t="s">
        <v>2031</v>
      </c>
      <c r="C522" s="236" t="s">
        <v>2065</v>
      </c>
      <c r="D522" s="3" t="s">
        <v>1876</v>
      </c>
      <c r="F522" s="3">
        <v>9</v>
      </c>
      <c r="G522" s="36">
        <v>7</v>
      </c>
      <c r="H522" s="3" t="s">
        <v>136</v>
      </c>
      <c r="I522" s="3" t="s">
        <v>137</v>
      </c>
      <c r="J522" s="3"/>
      <c r="K522" s="3"/>
      <c r="L522" s="236"/>
      <c r="M522" s="99"/>
      <c r="N522" s="99"/>
      <c r="O522" s="236"/>
      <c r="P522" s="22"/>
      <c r="Q522" s="22">
        <v>0</v>
      </c>
      <c r="R522" s="22" t="s">
        <v>153</v>
      </c>
      <c r="S522" s="3"/>
      <c r="T522" s="260"/>
      <c r="U522" s="261"/>
      <c r="V522" s="22"/>
      <c r="W522" s="567" t="s">
        <v>2066</v>
      </c>
      <c r="X522" s="567" t="s">
        <v>6723</v>
      </c>
      <c r="Y522" s="22"/>
      <c r="Z522" s="22"/>
      <c r="AA522" s="22"/>
      <c r="AB522" s="22" t="s">
        <v>114</v>
      </c>
      <c r="AC522" s="3"/>
      <c r="AD522" s="3"/>
      <c r="AE522" s="3">
        <v>0</v>
      </c>
      <c r="AF522" s="3">
        <v>0</v>
      </c>
      <c r="AG522" s="3">
        <v>0</v>
      </c>
      <c r="AH522" s="3"/>
      <c r="AI522" s="3">
        <v>0</v>
      </c>
      <c r="AJ522" s="3">
        <v>0</v>
      </c>
      <c r="AK522" s="3">
        <v>0</v>
      </c>
      <c r="AL522" s="3"/>
      <c r="AM522" s="3"/>
      <c r="AN522" s="3"/>
      <c r="AO522" s="3"/>
      <c r="AP522" s="3"/>
      <c r="AQ522" s="282" t="str">
        <f>"tricks/"&amp;A522</f>
        <v>tricks/2010510</v>
      </c>
    </row>
    <row r="523" spans="1:44" ht="15" customHeight="1">
      <c r="A523" s="3">
        <v>2010511</v>
      </c>
      <c r="B523" s="3" t="s">
        <v>2031</v>
      </c>
      <c r="C523" s="236" t="s">
        <v>2067</v>
      </c>
      <c r="D523" s="3" t="s">
        <v>1876</v>
      </c>
      <c r="F523" s="3">
        <v>10</v>
      </c>
      <c r="G523" s="36">
        <v>7</v>
      </c>
      <c r="H523" s="3" t="s">
        <v>136</v>
      </c>
      <c r="I523" s="3" t="s">
        <v>137</v>
      </c>
      <c r="J523" s="3"/>
      <c r="K523" s="3"/>
      <c r="L523" s="236"/>
      <c r="M523" s="99"/>
      <c r="N523" s="99"/>
      <c r="O523" s="236"/>
      <c r="P523" s="22"/>
      <c r="Q523" s="22">
        <v>0</v>
      </c>
      <c r="R523" s="22" t="s">
        <v>153</v>
      </c>
      <c r="S523" s="3"/>
      <c r="T523" s="260"/>
      <c r="U523" s="261"/>
      <c r="V523" s="22"/>
      <c r="W523" s="567" t="s">
        <v>2068</v>
      </c>
      <c r="X523" s="567" t="s">
        <v>6724</v>
      </c>
      <c r="Y523" s="22"/>
      <c r="Z523" s="22"/>
      <c r="AA523" s="22"/>
      <c r="AB523" s="22" t="s">
        <v>114</v>
      </c>
      <c r="AC523" s="3"/>
      <c r="AD523" s="3"/>
      <c r="AE523" s="3">
        <v>0</v>
      </c>
      <c r="AF523" s="3">
        <v>0</v>
      </c>
      <c r="AG523" s="3">
        <v>0</v>
      </c>
      <c r="AH523" s="3"/>
      <c r="AI523" s="3">
        <v>0</v>
      </c>
      <c r="AJ523" s="3">
        <v>0</v>
      </c>
      <c r="AK523" s="3">
        <v>0</v>
      </c>
      <c r="AL523" s="3"/>
      <c r="AM523" s="3"/>
      <c r="AN523" s="3"/>
      <c r="AO523" s="3"/>
      <c r="AP523" s="3"/>
      <c r="AQ523" s="282" t="str">
        <f>"tricks/"&amp;A523</f>
        <v>tricks/2010511</v>
      </c>
    </row>
    <row r="524" spans="1:44" ht="15" customHeight="1">
      <c r="A524" s="28">
        <v>2010601</v>
      </c>
      <c r="B524" s="28" t="s">
        <v>2069</v>
      </c>
      <c r="C524" s="303" t="s">
        <v>2070</v>
      </c>
      <c r="D524" s="28" t="s">
        <v>1876</v>
      </c>
      <c r="E524" s="28"/>
      <c r="F524" s="36">
        <v>1</v>
      </c>
      <c r="G524" s="36">
        <v>7</v>
      </c>
      <c r="H524" s="28" t="s">
        <v>82</v>
      </c>
      <c r="I524" s="28" t="s">
        <v>101</v>
      </c>
      <c r="J524" s="28"/>
      <c r="K524" s="28"/>
      <c r="L524" s="473" t="s">
        <v>2071</v>
      </c>
      <c r="M524" s="301"/>
      <c r="N524" s="378">
        <v>2</v>
      </c>
      <c r="O524" s="303"/>
      <c r="P524" s="302"/>
      <c r="Q524" s="302">
        <v>0</v>
      </c>
      <c r="R524" s="302" t="s">
        <v>153</v>
      </c>
      <c r="S524" s="28">
        <v>2010601</v>
      </c>
      <c r="T524" s="319"/>
      <c r="U524" s="320"/>
      <c r="V524" s="302" t="s">
        <v>582</v>
      </c>
      <c r="W524" s="619" t="s">
        <v>2072</v>
      </c>
      <c r="X524" s="619" t="s">
        <v>2072</v>
      </c>
      <c r="Y524" s="302">
        <v>0</v>
      </c>
      <c r="Z524" s="302">
        <v>0</v>
      </c>
      <c r="AA524" s="302"/>
      <c r="AB524" s="302"/>
      <c r="AC524" s="28"/>
      <c r="AD524" s="28"/>
      <c r="AE524" s="28">
        <v>1</v>
      </c>
      <c r="AF524" s="28">
        <v>2</v>
      </c>
      <c r="AG524" s="28">
        <v>35</v>
      </c>
      <c r="AH524" s="28"/>
      <c r="AI524" s="28"/>
      <c r="AJ524" s="28"/>
      <c r="AK524" s="328"/>
      <c r="AL524" s="328"/>
      <c r="AM524" s="328"/>
      <c r="AN524" s="43" t="s">
        <v>2073</v>
      </c>
      <c r="AO524" s="28"/>
      <c r="AP524" s="28"/>
      <c r="AQ524" s="28" t="s">
        <v>2074</v>
      </c>
      <c r="AR524" s="332"/>
    </row>
    <row r="525" spans="1:44" ht="15" customHeight="1">
      <c r="A525" s="28">
        <v>2010602</v>
      </c>
      <c r="B525" s="28" t="s">
        <v>2069</v>
      </c>
      <c r="C525" s="303" t="s">
        <v>2075</v>
      </c>
      <c r="D525" s="28" t="s">
        <v>1876</v>
      </c>
      <c r="E525" s="28"/>
      <c r="F525" s="36">
        <v>1</v>
      </c>
      <c r="G525" s="36">
        <v>7</v>
      </c>
      <c r="H525" s="28" t="s">
        <v>136</v>
      </c>
      <c r="I525" s="28" t="s">
        <v>137</v>
      </c>
      <c r="J525" s="28"/>
      <c r="K525" s="28"/>
      <c r="L525" s="473" t="s">
        <v>2000</v>
      </c>
      <c r="M525" s="301"/>
      <c r="N525" s="301"/>
      <c r="O525" s="303"/>
      <c r="P525" s="302"/>
      <c r="Q525" s="302">
        <v>0</v>
      </c>
      <c r="R525" s="302" t="s">
        <v>153</v>
      </c>
      <c r="S525" s="28">
        <v>2010603</v>
      </c>
      <c r="T525" s="319"/>
      <c r="U525" s="320"/>
      <c r="V525" s="302" t="s">
        <v>582</v>
      </c>
      <c r="W525" s="619" t="s">
        <v>2076</v>
      </c>
      <c r="X525" s="619" t="s">
        <v>2076</v>
      </c>
      <c r="Y525" s="302">
        <v>0</v>
      </c>
      <c r="Z525" s="302">
        <v>0</v>
      </c>
      <c r="AA525" s="302"/>
      <c r="AB525" s="302"/>
      <c r="AC525" s="28"/>
      <c r="AD525" s="28"/>
      <c r="AE525" s="28">
        <v>0</v>
      </c>
      <c r="AF525" s="28">
        <v>0</v>
      </c>
      <c r="AG525" s="28">
        <v>0</v>
      </c>
      <c r="AH525" s="28"/>
      <c r="AI525" s="28">
        <v>0</v>
      </c>
      <c r="AJ525" s="28">
        <v>0</v>
      </c>
      <c r="AK525" s="328"/>
      <c r="AL525" s="328"/>
      <c r="AM525" s="328"/>
      <c r="AN525" s="28"/>
      <c r="AO525" s="28"/>
      <c r="AP525" s="28"/>
      <c r="AQ525" s="28" t="s">
        <v>2077</v>
      </c>
      <c r="AR525" s="332"/>
    </row>
    <row r="526" spans="1:44" ht="15" customHeight="1">
      <c r="A526" s="28">
        <v>2010603</v>
      </c>
      <c r="B526" s="28" t="s">
        <v>2069</v>
      </c>
      <c r="C526" s="303" t="s">
        <v>2078</v>
      </c>
      <c r="D526" s="28" t="s">
        <v>1876</v>
      </c>
      <c r="E526" s="28"/>
      <c r="F526" s="36">
        <v>2</v>
      </c>
      <c r="G526" s="36">
        <v>7</v>
      </c>
      <c r="H526" s="28" t="s">
        <v>136</v>
      </c>
      <c r="I526" s="28" t="s">
        <v>137</v>
      </c>
      <c r="J526" s="28"/>
      <c r="K526" s="28"/>
      <c r="L526" s="303" t="s">
        <v>2079</v>
      </c>
      <c r="M526" s="301"/>
      <c r="N526" s="301"/>
      <c r="O526" s="303"/>
      <c r="P526" s="302"/>
      <c r="Q526" s="302">
        <v>0</v>
      </c>
      <c r="R526" s="302" t="s">
        <v>153</v>
      </c>
      <c r="S526" s="28">
        <v>2010604</v>
      </c>
      <c r="T526" s="319"/>
      <c r="U526" s="320"/>
      <c r="V526" s="302" t="s">
        <v>582</v>
      </c>
      <c r="W526" s="619" t="s">
        <v>2080</v>
      </c>
      <c r="X526" s="619" t="s">
        <v>2080</v>
      </c>
      <c r="Y526" s="302">
        <v>0</v>
      </c>
      <c r="Z526" s="302">
        <v>0</v>
      </c>
      <c r="AA526" s="302"/>
      <c r="AB526" s="302"/>
      <c r="AC526" s="28"/>
      <c r="AD526" s="28"/>
      <c r="AE526" s="28">
        <v>0</v>
      </c>
      <c r="AF526" s="28">
        <v>0</v>
      </c>
      <c r="AG526" s="28">
        <v>0</v>
      </c>
      <c r="AH526" s="28"/>
      <c r="AI526" s="28">
        <v>0</v>
      </c>
      <c r="AJ526" s="28">
        <v>0</v>
      </c>
      <c r="AK526" s="328"/>
      <c r="AL526" s="328"/>
      <c r="AM526" s="328"/>
      <c r="AN526" s="28"/>
      <c r="AO526" s="28"/>
      <c r="AP526" s="28"/>
      <c r="AQ526" s="28" t="s">
        <v>2081</v>
      </c>
      <c r="AR526" s="332"/>
    </row>
    <row r="527" spans="1:44" ht="15" customHeight="1">
      <c r="A527" s="28">
        <v>2010604</v>
      </c>
      <c r="B527" s="28" t="s">
        <v>2069</v>
      </c>
      <c r="C527" s="303" t="s">
        <v>2082</v>
      </c>
      <c r="D527" s="28" t="s">
        <v>1876</v>
      </c>
      <c r="E527" s="28"/>
      <c r="F527" s="36">
        <v>3</v>
      </c>
      <c r="G527" s="36">
        <v>7</v>
      </c>
      <c r="H527" s="28" t="s">
        <v>136</v>
      </c>
      <c r="I527" s="28" t="s">
        <v>137</v>
      </c>
      <c r="J527" s="28"/>
      <c r="K527" s="28"/>
      <c r="L527" s="473" t="s">
        <v>2083</v>
      </c>
      <c r="M527" s="301"/>
      <c r="N527" s="301"/>
      <c r="O527" s="303"/>
      <c r="P527" s="302"/>
      <c r="Q527" s="302">
        <v>0</v>
      </c>
      <c r="R527" s="302" t="s">
        <v>153</v>
      </c>
      <c r="S527" s="28">
        <v>2010602</v>
      </c>
      <c r="T527" s="319"/>
      <c r="U527" s="320"/>
      <c r="V527" s="302" t="s">
        <v>582</v>
      </c>
      <c r="W527" s="619" t="s">
        <v>2084</v>
      </c>
      <c r="X527" s="619" t="s">
        <v>2084</v>
      </c>
      <c r="Y527" s="302">
        <v>0</v>
      </c>
      <c r="Z527" s="302">
        <v>0</v>
      </c>
      <c r="AA527" s="302"/>
      <c r="AB527" s="302"/>
      <c r="AC527" s="28"/>
      <c r="AD527" s="28"/>
      <c r="AE527" s="28">
        <v>0</v>
      </c>
      <c r="AF527" s="28">
        <v>0</v>
      </c>
      <c r="AG527" s="28">
        <v>0</v>
      </c>
      <c r="AH527" s="28"/>
      <c r="AI527" s="28">
        <v>0</v>
      </c>
      <c r="AJ527" s="28">
        <v>0</v>
      </c>
      <c r="AK527" s="328"/>
      <c r="AL527" s="328"/>
      <c r="AM527" s="328"/>
      <c r="AN527" s="28"/>
      <c r="AO527" s="28"/>
      <c r="AP527" s="28"/>
      <c r="AQ527" s="28" t="s">
        <v>2085</v>
      </c>
      <c r="AR527" s="332"/>
    </row>
    <row r="528" spans="1:44" ht="15" customHeight="1">
      <c r="A528" s="28">
        <v>2010605</v>
      </c>
      <c r="B528" s="28" t="s">
        <v>2069</v>
      </c>
      <c r="C528" s="303" t="s">
        <v>2086</v>
      </c>
      <c r="D528" s="28" t="s">
        <v>1876</v>
      </c>
      <c r="E528" s="28"/>
      <c r="F528" s="36">
        <v>4</v>
      </c>
      <c r="G528" s="36">
        <v>7</v>
      </c>
      <c r="H528" s="28" t="s">
        <v>136</v>
      </c>
      <c r="I528" s="28" t="s">
        <v>137</v>
      </c>
      <c r="J528" s="28"/>
      <c r="K528" s="28"/>
      <c r="L528" s="303" t="s">
        <v>2087</v>
      </c>
      <c r="M528" s="301"/>
      <c r="N528" s="301"/>
      <c r="O528" s="303"/>
      <c r="P528" s="302"/>
      <c r="Q528" s="302">
        <v>0</v>
      </c>
      <c r="R528" s="302" t="s">
        <v>153</v>
      </c>
      <c r="S528" s="28">
        <v>2010606</v>
      </c>
      <c r="T528" s="319"/>
      <c r="U528" s="320"/>
      <c r="V528" s="302" t="s">
        <v>582</v>
      </c>
      <c r="W528" s="619" t="s">
        <v>2088</v>
      </c>
      <c r="X528" s="619" t="s">
        <v>2088</v>
      </c>
      <c r="Y528" s="302">
        <v>0</v>
      </c>
      <c r="Z528" s="302">
        <v>0</v>
      </c>
      <c r="AA528" s="302"/>
      <c r="AB528" s="302"/>
      <c r="AC528" s="28"/>
      <c r="AD528" s="28"/>
      <c r="AE528" s="28">
        <v>0</v>
      </c>
      <c r="AF528" s="28">
        <v>0</v>
      </c>
      <c r="AG528" s="28">
        <v>0</v>
      </c>
      <c r="AH528" s="28"/>
      <c r="AI528" s="28">
        <v>0</v>
      </c>
      <c r="AJ528" s="28">
        <v>0</v>
      </c>
      <c r="AK528" s="328"/>
      <c r="AL528" s="328"/>
      <c r="AM528" s="328"/>
      <c r="AN528" s="28"/>
      <c r="AO528" s="28"/>
      <c r="AP528" s="28"/>
      <c r="AQ528" s="28" t="s">
        <v>2089</v>
      </c>
      <c r="AR528" s="332"/>
    </row>
    <row r="529" spans="1:44" ht="15" customHeight="1">
      <c r="A529" s="28">
        <v>2010606</v>
      </c>
      <c r="B529" s="28" t="s">
        <v>2069</v>
      </c>
      <c r="C529" s="303" t="s">
        <v>2090</v>
      </c>
      <c r="D529" s="28" t="s">
        <v>1876</v>
      </c>
      <c r="E529" s="28"/>
      <c r="F529" s="36">
        <v>5</v>
      </c>
      <c r="G529" s="36">
        <v>7</v>
      </c>
      <c r="H529" s="28" t="s">
        <v>136</v>
      </c>
      <c r="I529" s="28" t="s">
        <v>137</v>
      </c>
      <c r="J529" s="28"/>
      <c r="K529" s="28"/>
      <c r="L529" s="303" t="s">
        <v>2091</v>
      </c>
      <c r="M529" s="301"/>
      <c r="N529" s="301"/>
      <c r="O529" s="303"/>
      <c r="P529" s="302"/>
      <c r="Q529" s="302">
        <v>0</v>
      </c>
      <c r="R529" s="302" t="s">
        <v>153</v>
      </c>
      <c r="S529" s="28">
        <v>2010608</v>
      </c>
      <c r="T529" s="319"/>
      <c r="U529" s="320"/>
      <c r="V529" s="302" t="s">
        <v>582</v>
      </c>
      <c r="W529" s="619" t="s">
        <v>2092</v>
      </c>
      <c r="X529" s="619" t="s">
        <v>2092</v>
      </c>
      <c r="Y529" s="302">
        <v>0</v>
      </c>
      <c r="Z529" s="302">
        <v>0</v>
      </c>
      <c r="AA529" s="302"/>
      <c r="AB529" s="302"/>
      <c r="AC529" s="28"/>
      <c r="AD529" s="28"/>
      <c r="AE529" s="28">
        <v>0</v>
      </c>
      <c r="AF529" s="28">
        <v>0</v>
      </c>
      <c r="AG529" s="28">
        <v>0</v>
      </c>
      <c r="AH529" s="28"/>
      <c r="AI529" s="28">
        <v>0</v>
      </c>
      <c r="AJ529" s="28">
        <v>0</v>
      </c>
      <c r="AK529" s="328"/>
      <c r="AL529" s="328"/>
      <c r="AM529" s="328"/>
      <c r="AN529" s="28"/>
      <c r="AO529" s="28"/>
      <c r="AP529" s="28"/>
      <c r="AQ529" s="28" t="s">
        <v>2093</v>
      </c>
      <c r="AR529" s="332"/>
    </row>
    <row r="530" spans="1:44" ht="15" customHeight="1">
      <c r="A530" s="28">
        <v>2010607</v>
      </c>
      <c r="B530" s="28" t="s">
        <v>2069</v>
      </c>
      <c r="C530" s="303" t="s">
        <v>2094</v>
      </c>
      <c r="D530" s="28" t="s">
        <v>1876</v>
      </c>
      <c r="E530" s="28"/>
      <c r="F530" s="36">
        <v>6</v>
      </c>
      <c r="G530" s="36">
        <v>7</v>
      </c>
      <c r="H530" s="28" t="s">
        <v>136</v>
      </c>
      <c r="I530" s="28" t="s">
        <v>137</v>
      </c>
      <c r="J530" s="28"/>
      <c r="K530" s="28"/>
      <c r="L530" s="303" t="s">
        <v>2095</v>
      </c>
      <c r="M530" s="301"/>
      <c r="N530" s="301"/>
      <c r="O530" s="303"/>
      <c r="P530" s="302"/>
      <c r="Q530" s="302">
        <v>0</v>
      </c>
      <c r="R530" s="302" t="s">
        <v>153</v>
      </c>
      <c r="S530" s="28">
        <v>2010609</v>
      </c>
      <c r="T530" s="319"/>
      <c r="U530" s="320"/>
      <c r="V530" s="302" t="s">
        <v>582</v>
      </c>
      <c r="W530" s="619" t="s">
        <v>2096</v>
      </c>
      <c r="X530" s="619" t="s">
        <v>2096</v>
      </c>
      <c r="Y530" s="302">
        <v>0</v>
      </c>
      <c r="Z530" s="302">
        <v>0</v>
      </c>
      <c r="AA530" s="302"/>
      <c r="AB530" s="302"/>
      <c r="AC530" s="28"/>
      <c r="AD530" s="28"/>
      <c r="AE530" s="28">
        <v>0</v>
      </c>
      <c r="AF530" s="28">
        <v>0</v>
      </c>
      <c r="AG530" s="28">
        <v>20</v>
      </c>
      <c r="AH530" s="28"/>
      <c r="AI530" s="28">
        <v>0</v>
      </c>
      <c r="AJ530" s="28">
        <v>0</v>
      </c>
      <c r="AK530" s="328"/>
      <c r="AL530" s="328"/>
      <c r="AM530" s="328"/>
      <c r="AN530" s="28"/>
      <c r="AO530" s="28"/>
      <c r="AP530" s="28"/>
      <c r="AQ530" s="28" t="s">
        <v>2097</v>
      </c>
      <c r="AR530" s="332"/>
    </row>
    <row r="531" spans="1:44" ht="15" customHeight="1">
      <c r="A531" s="28">
        <v>2010608</v>
      </c>
      <c r="B531" s="28" t="s">
        <v>2069</v>
      </c>
      <c r="C531" s="303" t="s">
        <v>2098</v>
      </c>
      <c r="D531" s="28" t="s">
        <v>1876</v>
      </c>
      <c r="E531" s="28"/>
      <c r="F531" s="36">
        <v>7</v>
      </c>
      <c r="G531" s="36">
        <v>7</v>
      </c>
      <c r="H531" s="28" t="s">
        <v>136</v>
      </c>
      <c r="I531" s="28" t="s">
        <v>137</v>
      </c>
      <c r="J531" s="28"/>
      <c r="K531" s="28"/>
      <c r="L531" s="303" t="s">
        <v>2099</v>
      </c>
      <c r="M531" s="301"/>
      <c r="N531" s="301"/>
      <c r="O531" s="303"/>
      <c r="P531" s="302"/>
      <c r="Q531" s="302">
        <v>0</v>
      </c>
      <c r="R531" s="302" t="s">
        <v>153</v>
      </c>
      <c r="S531" s="28">
        <v>2010610</v>
      </c>
      <c r="T531" s="319"/>
      <c r="U531" s="320"/>
      <c r="V531" s="302" t="s">
        <v>582</v>
      </c>
      <c r="W531" s="619" t="s">
        <v>2100</v>
      </c>
      <c r="X531" s="619" t="s">
        <v>2100</v>
      </c>
      <c r="Y531" s="302">
        <v>0</v>
      </c>
      <c r="Z531" s="302">
        <v>0</v>
      </c>
      <c r="AA531" s="302"/>
      <c r="AB531" s="302"/>
      <c r="AC531" s="28"/>
      <c r="AD531" s="28"/>
      <c r="AE531" s="28">
        <v>0</v>
      </c>
      <c r="AF531" s="28">
        <v>0</v>
      </c>
      <c r="AG531" s="28">
        <v>20</v>
      </c>
      <c r="AH531" s="28"/>
      <c r="AI531" s="28">
        <v>0</v>
      </c>
      <c r="AJ531" s="28">
        <v>0</v>
      </c>
      <c r="AK531" s="328"/>
      <c r="AL531" s="328"/>
      <c r="AM531" s="328"/>
      <c r="AN531" s="28"/>
      <c r="AO531" s="28"/>
      <c r="AP531" s="28"/>
      <c r="AQ531" s="28" t="s">
        <v>2101</v>
      </c>
      <c r="AR531" s="332"/>
    </row>
    <row r="532" spans="1:44" ht="15" customHeight="1">
      <c r="A532" s="3">
        <v>2010609</v>
      </c>
      <c r="B532" s="3" t="s">
        <v>2069</v>
      </c>
      <c r="C532" s="236" t="s">
        <v>2102</v>
      </c>
      <c r="D532" s="44" t="s">
        <v>1876</v>
      </c>
      <c r="E532" s="41"/>
      <c r="F532" s="3">
        <v>8</v>
      </c>
      <c r="G532" s="36">
        <v>7</v>
      </c>
      <c r="H532" s="3" t="s">
        <v>136</v>
      </c>
      <c r="I532" s="3" t="s">
        <v>137</v>
      </c>
      <c r="J532" s="3"/>
      <c r="K532" s="3"/>
      <c r="L532" s="236"/>
      <c r="M532" s="99"/>
      <c r="N532" s="99"/>
      <c r="O532" s="236"/>
      <c r="P532" s="22"/>
      <c r="Q532" s="22">
        <v>0</v>
      </c>
      <c r="R532" s="22" t="s">
        <v>153</v>
      </c>
      <c r="S532" s="3"/>
      <c r="T532" s="260"/>
      <c r="U532" s="261"/>
      <c r="V532" s="22"/>
      <c r="W532" s="567" t="s">
        <v>1952</v>
      </c>
      <c r="X532" s="567" t="s">
        <v>6700</v>
      </c>
      <c r="Y532" s="22"/>
      <c r="Z532" s="22"/>
      <c r="AA532" s="22"/>
      <c r="AB532" s="22" t="s">
        <v>114</v>
      </c>
      <c r="AC532" s="3"/>
      <c r="AD532" s="3"/>
      <c r="AE532" s="3">
        <v>0</v>
      </c>
      <c r="AF532" s="3">
        <v>0</v>
      </c>
      <c r="AG532" s="3">
        <v>0</v>
      </c>
      <c r="AH532" s="3"/>
      <c r="AI532" s="3">
        <v>0</v>
      </c>
      <c r="AJ532" s="3">
        <v>0</v>
      </c>
      <c r="AK532" s="3">
        <v>0</v>
      </c>
      <c r="AL532" s="3"/>
      <c r="AM532" s="3"/>
      <c r="AN532" s="3"/>
      <c r="AO532" s="3"/>
      <c r="AP532" s="3"/>
      <c r="AQ532" s="3" t="s">
        <v>2081</v>
      </c>
      <c r="AR532" s="281"/>
    </row>
    <row r="533" spans="1:44" ht="15" customHeight="1">
      <c r="A533" s="3">
        <v>2010610</v>
      </c>
      <c r="B533" s="3" t="s">
        <v>2069</v>
      </c>
      <c r="C533" s="236" t="s">
        <v>2103</v>
      </c>
      <c r="D533" s="3" t="s">
        <v>1876</v>
      </c>
      <c r="F533" s="3">
        <v>9</v>
      </c>
      <c r="G533" s="36">
        <v>7</v>
      </c>
      <c r="H533" s="3" t="s">
        <v>136</v>
      </c>
      <c r="I533" s="3" t="s">
        <v>137</v>
      </c>
      <c r="J533" s="3"/>
      <c r="K533" s="3"/>
      <c r="L533" s="236"/>
      <c r="M533" s="99"/>
      <c r="N533" s="99"/>
      <c r="O533" s="236"/>
      <c r="P533" s="22"/>
      <c r="Q533" s="22">
        <v>0</v>
      </c>
      <c r="R533" s="22" t="s">
        <v>153</v>
      </c>
      <c r="S533" s="3"/>
      <c r="T533" s="260"/>
      <c r="U533" s="261"/>
      <c r="V533" s="22"/>
      <c r="W533" s="567" t="s">
        <v>2104</v>
      </c>
      <c r="X533" s="567" t="s">
        <v>6721</v>
      </c>
      <c r="Y533" s="22"/>
      <c r="Z533" s="22"/>
      <c r="AA533" s="22"/>
      <c r="AB533" s="22" t="s">
        <v>114</v>
      </c>
      <c r="AC533" s="3"/>
      <c r="AD533" s="3"/>
      <c r="AE533" s="3">
        <v>0</v>
      </c>
      <c r="AF533" s="3">
        <v>0</v>
      </c>
      <c r="AG533" s="3">
        <v>0</v>
      </c>
      <c r="AH533" s="3"/>
      <c r="AI533" s="3">
        <v>0</v>
      </c>
      <c r="AJ533" s="3">
        <v>0</v>
      </c>
      <c r="AK533" s="3">
        <v>0</v>
      </c>
      <c r="AL533" s="3"/>
      <c r="AM533" s="3"/>
      <c r="AN533" s="3"/>
      <c r="AO533" s="3"/>
      <c r="AP533" s="3"/>
      <c r="AQ533" s="282" t="str">
        <f>"tricks/"&amp;A533</f>
        <v>tricks/2010610</v>
      </c>
    </row>
    <row r="534" spans="1:44" s="216" customFormat="1" ht="15" customHeight="1">
      <c r="A534" s="3">
        <v>2010611</v>
      </c>
      <c r="B534" s="3" t="s">
        <v>2069</v>
      </c>
      <c r="C534" s="236" t="s">
        <v>2105</v>
      </c>
      <c r="D534" s="3" t="s">
        <v>1876</v>
      </c>
      <c r="E534" s="1"/>
      <c r="F534" s="3">
        <v>10</v>
      </c>
      <c r="G534" s="36">
        <v>7</v>
      </c>
      <c r="H534" s="3" t="s">
        <v>136</v>
      </c>
      <c r="I534" s="3" t="s">
        <v>137</v>
      </c>
      <c r="J534" s="3"/>
      <c r="K534" s="3"/>
      <c r="L534" s="236"/>
      <c r="M534" s="99"/>
      <c r="N534" s="99"/>
      <c r="O534" s="236"/>
      <c r="P534" s="22"/>
      <c r="Q534" s="22">
        <v>0</v>
      </c>
      <c r="R534" s="22" t="s">
        <v>153</v>
      </c>
      <c r="S534" s="3"/>
      <c r="T534" s="260"/>
      <c r="U534" s="261"/>
      <c r="V534" s="22"/>
      <c r="W534" s="567" t="s">
        <v>2106</v>
      </c>
      <c r="X534" s="567" t="s">
        <v>6722</v>
      </c>
      <c r="Y534" s="22"/>
      <c r="Z534" s="22"/>
      <c r="AA534" s="22"/>
      <c r="AB534" s="22" t="s">
        <v>114</v>
      </c>
      <c r="AC534" s="3"/>
      <c r="AD534" s="3"/>
      <c r="AE534" s="3">
        <v>0</v>
      </c>
      <c r="AF534" s="3">
        <v>0</v>
      </c>
      <c r="AG534" s="3">
        <v>0</v>
      </c>
      <c r="AH534" s="3"/>
      <c r="AI534" s="3">
        <v>0</v>
      </c>
      <c r="AJ534" s="3">
        <v>0</v>
      </c>
      <c r="AK534" s="3">
        <v>0</v>
      </c>
      <c r="AL534" s="3"/>
      <c r="AM534" s="3"/>
      <c r="AN534" s="3"/>
      <c r="AO534" s="3"/>
      <c r="AP534" s="3"/>
      <c r="AQ534" s="282" t="str">
        <f>"tricks/"&amp;A534</f>
        <v>tricks/2010611</v>
      </c>
      <c r="AR534" s="222"/>
    </row>
    <row r="535" spans="1:44" s="216" customFormat="1" ht="15" customHeight="1">
      <c r="A535" s="34">
        <v>2010701</v>
      </c>
      <c r="B535" s="34" t="s">
        <v>2107</v>
      </c>
      <c r="C535" s="412" t="s">
        <v>2108</v>
      </c>
      <c r="D535" s="34" t="s">
        <v>1876</v>
      </c>
      <c r="E535" s="34"/>
      <c r="F535" s="36">
        <v>1</v>
      </c>
      <c r="G535" s="36">
        <v>7</v>
      </c>
      <c r="H535" s="34" t="s">
        <v>82</v>
      </c>
      <c r="I535" s="34" t="s">
        <v>101</v>
      </c>
      <c r="J535" s="34"/>
      <c r="K535" s="34"/>
      <c r="L535" s="412" t="s">
        <v>2109</v>
      </c>
      <c r="M535" s="371"/>
      <c r="N535" s="378">
        <v>3</v>
      </c>
      <c r="O535" s="412"/>
      <c r="P535" s="130"/>
      <c r="Q535" s="130">
        <v>0</v>
      </c>
      <c r="R535" s="130" t="s">
        <v>153</v>
      </c>
      <c r="S535" s="34">
        <v>2010701</v>
      </c>
      <c r="T535" s="382" t="s">
        <v>2110</v>
      </c>
      <c r="U535" s="383"/>
      <c r="V535" s="130" t="s">
        <v>582</v>
      </c>
      <c r="W535" s="619" t="s">
        <v>2111</v>
      </c>
      <c r="X535" s="619" t="s">
        <v>2112</v>
      </c>
      <c r="Y535" s="130">
        <v>0</v>
      </c>
      <c r="Z535" s="130">
        <v>0</v>
      </c>
      <c r="AA535" s="130"/>
      <c r="AB535" s="130"/>
      <c r="AC535" s="34"/>
      <c r="AD535" s="34"/>
      <c r="AE535" s="34">
        <v>1</v>
      </c>
      <c r="AF535" s="34">
        <v>2</v>
      </c>
      <c r="AG535" s="34">
        <v>20</v>
      </c>
      <c r="AH535" s="34"/>
      <c r="AI535" s="34"/>
      <c r="AJ535" s="34"/>
      <c r="AK535" s="131"/>
      <c r="AL535" s="131"/>
      <c r="AM535" s="131"/>
      <c r="AN535" s="43" t="s">
        <v>2113</v>
      </c>
      <c r="AO535" s="34"/>
      <c r="AP535" s="34"/>
      <c r="AQ535" s="34" t="s">
        <v>2114</v>
      </c>
      <c r="AR535" s="405"/>
    </row>
    <row r="536" spans="1:44" s="216" customFormat="1" ht="15" customHeight="1">
      <c r="A536" s="34">
        <v>2010702</v>
      </c>
      <c r="B536" s="34" t="s">
        <v>2107</v>
      </c>
      <c r="C536" s="412" t="s">
        <v>2115</v>
      </c>
      <c r="D536" s="34" t="s">
        <v>1876</v>
      </c>
      <c r="E536" s="34"/>
      <c r="F536" s="36">
        <v>1</v>
      </c>
      <c r="G536" s="36">
        <v>7</v>
      </c>
      <c r="H536" s="34" t="s">
        <v>136</v>
      </c>
      <c r="I536" s="34" t="s">
        <v>137</v>
      </c>
      <c r="J536" s="34"/>
      <c r="K536" s="34"/>
      <c r="L536" s="412" t="s">
        <v>2116</v>
      </c>
      <c r="M536" s="371"/>
      <c r="N536" s="371"/>
      <c r="O536" s="412"/>
      <c r="P536" s="130"/>
      <c r="Q536" s="130">
        <v>0</v>
      </c>
      <c r="R536" s="130" t="s">
        <v>153</v>
      </c>
      <c r="S536" s="34">
        <v>2010703</v>
      </c>
      <c r="T536" s="382"/>
      <c r="U536" s="383"/>
      <c r="V536" s="130" t="s">
        <v>582</v>
      </c>
      <c r="W536" s="619" t="s">
        <v>2117</v>
      </c>
      <c r="X536" s="619" t="s">
        <v>2117</v>
      </c>
      <c r="Y536" s="130">
        <v>0</v>
      </c>
      <c r="Z536" s="130">
        <v>0</v>
      </c>
      <c r="AA536" s="130"/>
      <c r="AB536" s="130"/>
      <c r="AC536" s="34"/>
      <c r="AD536" s="34"/>
      <c r="AE536" s="34">
        <v>0</v>
      </c>
      <c r="AF536" s="34">
        <v>0</v>
      </c>
      <c r="AG536" s="34">
        <v>0</v>
      </c>
      <c r="AH536" s="34"/>
      <c r="AI536" s="34">
        <v>0</v>
      </c>
      <c r="AJ536" s="34">
        <v>0</v>
      </c>
      <c r="AK536" s="131"/>
      <c r="AL536" s="131"/>
      <c r="AM536" s="131"/>
      <c r="AN536" s="34"/>
      <c r="AO536" s="34"/>
      <c r="AP536" s="34"/>
      <c r="AQ536" s="34" t="s">
        <v>2118</v>
      </c>
      <c r="AR536" s="405"/>
    </row>
    <row r="537" spans="1:44" s="216" customFormat="1" ht="15" customHeight="1">
      <c r="A537" s="34">
        <v>2010703</v>
      </c>
      <c r="B537" s="620" t="s">
        <v>2107</v>
      </c>
      <c r="C537" s="412" t="s">
        <v>2119</v>
      </c>
      <c r="D537" s="34" t="s">
        <v>1876</v>
      </c>
      <c r="E537" s="34"/>
      <c r="F537" s="36">
        <v>2</v>
      </c>
      <c r="G537" s="36">
        <v>7</v>
      </c>
      <c r="H537" s="34" t="s">
        <v>136</v>
      </c>
      <c r="I537" s="34" t="s">
        <v>137</v>
      </c>
      <c r="J537" s="34"/>
      <c r="K537" s="34"/>
      <c r="L537" s="412" t="s">
        <v>2120</v>
      </c>
      <c r="M537" s="371"/>
      <c r="N537" s="371"/>
      <c r="O537" s="412"/>
      <c r="P537" s="130"/>
      <c r="Q537" s="130">
        <v>0</v>
      </c>
      <c r="R537" s="130" t="s">
        <v>153</v>
      </c>
      <c r="S537" s="34">
        <v>2010706</v>
      </c>
      <c r="T537" s="382"/>
      <c r="U537" s="383"/>
      <c r="V537" s="130" t="s">
        <v>582</v>
      </c>
      <c r="W537" s="619" t="s">
        <v>2121</v>
      </c>
      <c r="X537" s="619" t="s">
        <v>2121</v>
      </c>
      <c r="Y537" s="130">
        <v>0</v>
      </c>
      <c r="Z537" s="130">
        <v>0</v>
      </c>
      <c r="AA537" s="130"/>
      <c r="AB537" s="130"/>
      <c r="AC537" s="34"/>
      <c r="AD537" s="34"/>
      <c r="AE537" s="34">
        <v>0</v>
      </c>
      <c r="AF537" s="34">
        <v>0</v>
      </c>
      <c r="AG537" s="34">
        <v>0</v>
      </c>
      <c r="AH537" s="34"/>
      <c r="AI537" s="34">
        <v>0</v>
      </c>
      <c r="AJ537" s="34">
        <v>0</v>
      </c>
      <c r="AK537" s="131"/>
      <c r="AL537" s="131"/>
      <c r="AM537" s="131"/>
      <c r="AN537" s="34"/>
      <c r="AO537" s="34"/>
      <c r="AP537" s="34"/>
      <c r="AQ537" s="34" t="s">
        <v>2122</v>
      </c>
      <c r="AR537" s="405"/>
    </row>
    <row r="538" spans="1:44" s="216" customFormat="1" ht="15" customHeight="1">
      <c r="A538" s="34">
        <v>2010704</v>
      </c>
      <c r="B538" s="34" t="s">
        <v>2107</v>
      </c>
      <c r="C538" s="412" t="s">
        <v>2123</v>
      </c>
      <c r="D538" s="34" t="s">
        <v>1876</v>
      </c>
      <c r="E538" s="34"/>
      <c r="F538" s="36">
        <v>3</v>
      </c>
      <c r="G538" s="36">
        <v>7</v>
      </c>
      <c r="H538" s="34" t="s">
        <v>136</v>
      </c>
      <c r="I538" s="34" t="s">
        <v>137</v>
      </c>
      <c r="J538" s="34"/>
      <c r="K538" s="34"/>
      <c r="L538" s="412" t="s">
        <v>2124</v>
      </c>
      <c r="M538" s="371"/>
      <c r="N538" s="371"/>
      <c r="O538" s="412"/>
      <c r="P538" s="130"/>
      <c r="Q538" s="130">
        <v>0</v>
      </c>
      <c r="R538" s="130" t="s">
        <v>153</v>
      </c>
      <c r="S538" s="34">
        <v>2010705</v>
      </c>
      <c r="T538" s="382"/>
      <c r="U538" s="383"/>
      <c r="V538" s="130" t="s">
        <v>582</v>
      </c>
      <c r="W538" s="619" t="s">
        <v>2125</v>
      </c>
      <c r="X538" s="619" t="s">
        <v>2125</v>
      </c>
      <c r="Y538" s="130">
        <v>0</v>
      </c>
      <c r="Z538" s="130">
        <v>0</v>
      </c>
      <c r="AA538" s="130"/>
      <c r="AB538" s="130"/>
      <c r="AC538" s="34"/>
      <c r="AD538" s="34"/>
      <c r="AE538" s="34">
        <v>0</v>
      </c>
      <c r="AF538" s="34">
        <v>0</v>
      </c>
      <c r="AG538" s="34">
        <v>0</v>
      </c>
      <c r="AH538" s="34"/>
      <c r="AI538" s="34">
        <v>0</v>
      </c>
      <c r="AJ538" s="34">
        <v>0</v>
      </c>
      <c r="AK538" s="131"/>
      <c r="AL538" s="131"/>
      <c r="AM538" s="131"/>
      <c r="AN538" s="34"/>
      <c r="AO538" s="34"/>
      <c r="AP538" s="34"/>
      <c r="AQ538" s="34" t="s">
        <v>2126</v>
      </c>
      <c r="AR538" s="405"/>
    </row>
    <row r="539" spans="1:44" ht="15" customHeight="1">
      <c r="A539" s="34">
        <v>2010705</v>
      </c>
      <c r="B539" s="620" t="s">
        <v>2107</v>
      </c>
      <c r="C539" s="412" t="s">
        <v>2127</v>
      </c>
      <c r="D539" s="34" t="s">
        <v>1876</v>
      </c>
      <c r="E539" s="34"/>
      <c r="F539" s="36">
        <v>4</v>
      </c>
      <c r="G539" s="36">
        <v>7</v>
      </c>
      <c r="H539" s="34" t="s">
        <v>136</v>
      </c>
      <c r="I539" s="34" t="s">
        <v>137</v>
      </c>
      <c r="J539" s="34"/>
      <c r="K539" s="34"/>
      <c r="L539" s="412" t="s">
        <v>2128</v>
      </c>
      <c r="M539" s="371"/>
      <c r="N539" s="371"/>
      <c r="O539" s="412"/>
      <c r="P539" s="130"/>
      <c r="Q539" s="130">
        <v>0</v>
      </c>
      <c r="R539" s="130" t="s">
        <v>153</v>
      </c>
      <c r="S539" s="34">
        <v>2010707</v>
      </c>
      <c r="T539" s="382"/>
      <c r="U539" s="383"/>
      <c r="V539" s="130" t="s">
        <v>582</v>
      </c>
      <c r="W539" s="619" t="s">
        <v>2129</v>
      </c>
      <c r="X539" s="619" t="s">
        <v>2129</v>
      </c>
      <c r="Y539" s="130">
        <v>0</v>
      </c>
      <c r="Z539" s="130">
        <v>0</v>
      </c>
      <c r="AA539" s="130"/>
      <c r="AB539" s="130"/>
      <c r="AC539" s="34"/>
      <c r="AD539" s="34"/>
      <c r="AE539" s="34">
        <v>0</v>
      </c>
      <c r="AF539" s="34">
        <v>0</v>
      </c>
      <c r="AG539" s="34">
        <v>0</v>
      </c>
      <c r="AH539" s="34"/>
      <c r="AI539" s="34">
        <v>0</v>
      </c>
      <c r="AJ539" s="34">
        <v>0</v>
      </c>
      <c r="AK539" s="131"/>
      <c r="AL539" s="131"/>
      <c r="AM539" s="131"/>
      <c r="AN539" s="34"/>
      <c r="AO539" s="34"/>
      <c r="AP539" s="34"/>
      <c r="AQ539" s="34" t="s">
        <v>2130</v>
      </c>
      <c r="AR539" s="405"/>
    </row>
    <row r="540" spans="1:44" s="216" customFormat="1" ht="15" customHeight="1">
      <c r="A540" s="34">
        <v>2010706</v>
      </c>
      <c r="B540" s="620" t="s">
        <v>2107</v>
      </c>
      <c r="C540" s="412" t="s">
        <v>2131</v>
      </c>
      <c r="D540" s="34" t="s">
        <v>1876</v>
      </c>
      <c r="E540" s="34"/>
      <c r="F540" s="36">
        <v>5</v>
      </c>
      <c r="G540" s="36">
        <v>7</v>
      </c>
      <c r="H540" s="34" t="s">
        <v>136</v>
      </c>
      <c r="I540" s="34" t="s">
        <v>137</v>
      </c>
      <c r="J540" s="34"/>
      <c r="K540" s="34"/>
      <c r="L540" s="412" t="s">
        <v>2132</v>
      </c>
      <c r="M540" s="371"/>
      <c r="N540" s="371"/>
      <c r="O540" s="412"/>
      <c r="P540" s="130"/>
      <c r="Q540" s="130">
        <v>0</v>
      </c>
      <c r="R540" s="130" t="s">
        <v>153</v>
      </c>
      <c r="S540" s="34">
        <v>2010708</v>
      </c>
      <c r="T540" s="382"/>
      <c r="U540" s="383"/>
      <c r="V540" s="130" t="s">
        <v>582</v>
      </c>
      <c r="W540" s="619" t="s">
        <v>2133</v>
      </c>
      <c r="X540" s="619" t="s">
        <v>2133</v>
      </c>
      <c r="Y540" s="130">
        <v>0</v>
      </c>
      <c r="Z540" s="130">
        <v>0</v>
      </c>
      <c r="AA540" s="130"/>
      <c r="AB540" s="130"/>
      <c r="AC540" s="34"/>
      <c r="AD540" s="34"/>
      <c r="AE540" s="34">
        <v>0</v>
      </c>
      <c r="AF540" s="34">
        <v>0</v>
      </c>
      <c r="AG540" s="34">
        <v>0</v>
      </c>
      <c r="AH540" s="34"/>
      <c r="AI540" s="34">
        <v>0</v>
      </c>
      <c r="AJ540" s="34">
        <v>0</v>
      </c>
      <c r="AK540" s="131"/>
      <c r="AL540" s="131"/>
      <c r="AM540" s="131"/>
      <c r="AN540" s="34"/>
      <c r="AO540" s="34"/>
      <c r="AP540" s="34"/>
      <c r="AQ540" s="34" t="s">
        <v>2134</v>
      </c>
      <c r="AR540" s="405"/>
    </row>
    <row r="541" spans="1:44" s="216" customFormat="1" ht="15" customHeight="1">
      <c r="A541" s="34">
        <v>2010707</v>
      </c>
      <c r="B541" s="620" t="s">
        <v>2107</v>
      </c>
      <c r="C541" s="412" t="s">
        <v>2135</v>
      </c>
      <c r="D541" s="34" t="s">
        <v>1876</v>
      </c>
      <c r="E541" s="34"/>
      <c r="F541" s="36">
        <v>6</v>
      </c>
      <c r="G541" s="36">
        <v>7</v>
      </c>
      <c r="H541" s="34" t="s">
        <v>136</v>
      </c>
      <c r="I541" s="34" t="s">
        <v>137</v>
      </c>
      <c r="J541" s="34"/>
      <c r="K541" s="34"/>
      <c r="L541" s="412" t="s">
        <v>2136</v>
      </c>
      <c r="M541" s="371"/>
      <c r="N541" s="371"/>
      <c r="O541" s="412"/>
      <c r="P541" s="130"/>
      <c r="Q541" s="130">
        <v>0</v>
      </c>
      <c r="R541" s="130" t="s">
        <v>153</v>
      </c>
      <c r="S541" s="34">
        <v>2010709</v>
      </c>
      <c r="T541" s="382"/>
      <c r="U541" s="383"/>
      <c r="V541" s="130" t="s">
        <v>582</v>
      </c>
      <c r="W541" s="619" t="s">
        <v>2125</v>
      </c>
      <c r="X541" s="619" t="s">
        <v>2125</v>
      </c>
      <c r="Y541" s="130">
        <v>0</v>
      </c>
      <c r="Z541" s="130">
        <v>0</v>
      </c>
      <c r="AA541" s="130"/>
      <c r="AB541" s="130"/>
      <c r="AC541" s="34"/>
      <c r="AD541" s="34"/>
      <c r="AE541" s="34">
        <v>0</v>
      </c>
      <c r="AF541" s="34">
        <v>0</v>
      </c>
      <c r="AG541" s="34">
        <v>0</v>
      </c>
      <c r="AH541" s="34"/>
      <c r="AI541" s="34">
        <v>0</v>
      </c>
      <c r="AJ541" s="34">
        <v>0</v>
      </c>
      <c r="AK541" s="131"/>
      <c r="AL541" s="131"/>
      <c r="AM541" s="131"/>
      <c r="AN541" s="34"/>
      <c r="AO541" s="34"/>
      <c r="AP541" s="34"/>
      <c r="AQ541" s="34" t="s">
        <v>2137</v>
      </c>
      <c r="AR541" s="405"/>
    </row>
    <row r="542" spans="1:44" s="216" customFormat="1" ht="15" customHeight="1">
      <c r="A542" s="34">
        <v>2010708</v>
      </c>
      <c r="B542" s="620" t="s">
        <v>2107</v>
      </c>
      <c r="C542" s="412" t="s">
        <v>2138</v>
      </c>
      <c r="D542" s="34" t="s">
        <v>1876</v>
      </c>
      <c r="E542" s="34"/>
      <c r="F542" s="36">
        <v>7</v>
      </c>
      <c r="G542" s="36">
        <v>7</v>
      </c>
      <c r="H542" s="34" t="s">
        <v>136</v>
      </c>
      <c r="I542" s="34" t="s">
        <v>137</v>
      </c>
      <c r="J542" s="34"/>
      <c r="K542" s="34"/>
      <c r="L542" s="412" t="s">
        <v>2139</v>
      </c>
      <c r="M542" s="371"/>
      <c r="N542" s="371"/>
      <c r="O542" s="412"/>
      <c r="P542" s="130"/>
      <c r="Q542" s="130">
        <v>0</v>
      </c>
      <c r="R542" s="130" t="s">
        <v>153</v>
      </c>
      <c r="S542" s="34">
        <v>2010710</v>
      </c>
      <c r="T542" s="382"/>
      <c r="U542" s="383"/>
      <c r="V542" s="130" t="s">
        <v>582</v>
      </c>
      <c r="W542" s="619" t="s">
        <v>2140</v>
      </c>
      <c r="X542" s="619" t="s">
        <v>2140</v>
      </c>
      <c r="Y542" s="130">
        <v>0</v>
      </c>
      <c r="Z542" s="130">
        <v>0</v>
      </c>
      <c r="AA542" s="130"/>
      <c r="AB542" s="130"/>
      <c r="AC542" s="34"/>
      <c r="AD542" s="34"/>
      <c r="AE542" s="34">
        <v>0</v>
      </c>
      <c r="AF542" s="34">
        <v>0</v>
      </c>
      <c r="AG542" s="34">
        <v>0</v>
      </c>
      <c r="AH542" s="34"/>
      <c r="AI542" s="34">
        <v>0</v>
      </c>
      <c r="AJ542" s="34">
        <v>0</v>
      </c>
      <c r="AK542" s="131"/>
      <c r="AL542" s="131"/>
      <c r="AM542" s="131"/>
      <c r="AN542" s="34"/>
      <c r="AO542" s="34"/>
      <c r="AP542" s="34"/>
      <c r="AQ542" s="34" t="s">
        <v>2141</v>
      </c>
      <c r="AR542" s="405"/>
    </row>
    <row r="543" spans="1:44" s="216" customFormat="1" ht="15" customHeight="1">
      <c r="A543" s="3">
        <v>2010709</v>
      </c>
      <c r="B543" s="3" t="s">
        <v>2107</v>
      </c>
      <c r="C543" s="236" t="s">
        <v>2142</v>
      </c>
      <c r="D543" s="44" t="s">
        <v>1876</v>
      </c>
      <c r="E543" s="41"/>
      <c r="F543" s="3">
        <v>8</v>
      </c>
      <c r="G543" s="36">
        <v>7</v>
      </c>
      <c r="H543" s="3" t="s">
        <v>136</v>
      </c>
      <c r="I543" s="3" t="s">
        <v>137</v>
      </c>
      <c r="J543" s="3"/>
      <c r="K543" s="3"/>
      <c r="L543" s="236"/>
      <c r="M543" s="99"/>
      <c r="N543" s="99"/>
      <c r="O543" s="236"/>
      <c r="P543" s="22"/>
      <c r="Q543" s="22">
        <v>0</v>
      </c>
      <c r="R543" s="22" t="s">
        <v>153</v>
      </c>
      <c r="S543" s="3"/>
      <c r="T543" s="260"/>
      <c r="U543" s="261"/>
      <c r="V543" s="22"/>
      <c r="W543" s="567" t="s">
        <v>1952</v>
      </c>
      <c r="X543" s="567" t="s">
        <v>6700</v>
      </c>
      <c r="Y543" s="22"/>
      <c r="Z543" s="22"/>
      <c r="AA543" s="22"/>
      <c r="AB543" s="22" t="s">
        <v>114</v>
      </c>
      <c r="AC543" s="3"/>
      <c r="AD543" s="3"/>
      <c r="AE543" s="3">
        <v>0</v>
      </c>
      <c r="AF543" s="3">
        <v>0</v>
      </c>
      <c r="AG543" s="3">
        <v>0</v>
      </c>
      <c r="AH543" s="3"/>
      <c r="AI543" s="3">
        <v>0</v>
      </c>
      <c r="AJ543" s="3">
        <v>0</v>
      </c>
      <c r="AK543" s="3">
        <v>0</v>
      </c>
      <c r="AL543" s="3"/>
      <c r="AM543" s="3"/>
      <c r="AN543" s="3"/>
      <c r="AO543" s="3"/>
      <c r="AP543" s="3"/>
      <c r="AQ543" s="3" t="s">
        <v>2122</v>
      </c>
      <c r="AR543" s="281"/>
    </row>
    <row r="544" spans="1:44" s="216" customFormat="1" ht="15" customHeight="1">
      <c r="A544" s="3">
        <v>2010710</v>
      </c>
      <c r="B544" s="3" t="s">
        <v>2107</v>
      </c>
      <c r="C544" s="236" t="s">
        <v>2143</v>
      </c>
      <c r="D544" s="3" t="s">
        <v>1876</v>
      </c>
      <c r="E544" s="1"/>
      <c r="F544" s="3">
        <v>9</v>
      </c>
      <c r="G544" s="36">
        <v>7</v>
      </c>
      <c r="H544" s="3" t="s">
        <v>136</v>
      </c>
      <c r="I544" s="3" t="s">
        <v>137</v>
      </c>
      <c r="J544" s="3"/>
      <c r="K544" s="3"/>
      <c r="L544" s="236"/>
      <c r="M544" s="99"/>
      <c r="N544" s="99"/>
      <c r="O544" s="236"/>
      <c r="P544" s="22"/>
      <c r="Q544" s="22">
        <v>0</v>
      </c>
      <c r="R544" s="22" t="s">
        <v>153</v>
      </c>
      <c r="S544" s="3"/>
      <c r="T544" s="260"/>
      <c r="U544" s="261"/>
      <c r="V544" s="22"/>
      <c r="W544" s="567" t="s">
        <v>2144</v>
      </c>
      <c r="X544" s="567" t="s">
        <v>6719</v>
      </c>
      <c r="Y544" s="22"/>
      <c r="Z544" s="22"/>
      <c r="AA544" s="22"/>
      <c r="AB544" s="22" t="s">
        <v>114</v>
      </c>
      <c r="AC544" s="3"/>
      <c r="AD544" s="3"/>
      <c r="AE544" s="3">
        <v>0</v>
      </c>
      <c r="AF544" s="3">
        <v>0</v>
      </c>
      <c r="AG544" s="3">
        <v>0</v>
      </c>
      <c r="AH544" s="3"/>
      <c r="AI544" s="3">
        <v>0</v>
      </c>
      <c r="AJ544" s="3">
        <v>0</v>
      </c>
      <c r="AK544" s="3">
        <v>0</v>
      </c>
      <c r="AL544" s="3"/>
      <c r="AM544" s="3"/>
      <c r="AN544" s="3"/>
      <c r="AO544" s="3"/>
      <c r="AP544" s="3"/>
      <c r="AQ544" s="282" t="str">
        <f>"tricks/"&amp;A544</f>
        <v>tricks/2010710</v>
      </c>
      <c r="AR544" s="222"/>
    </row>
    <row r="545" spans="1:44" s="216" customFormat="1" ht="15" customHeight="1">
      <c r="A545" s="3">
        <v>2010711</v>
      </c>
      <c r="B545" s="3" t="s">
        <v>2107</v>
      </c>
      <c r="C545" s="236" t="s">
        <v>2145</v>
      </c>
      <c r="D545" s="3" t="s">
        <v>1876</v>
      </c>
      <c r="E545" s="1"/>
      <c r="F545" s="3">
        <v>10</v>
      </c>
      <c r="G545" s="36">
        <v>7</v>
      </c>
      <c r="H545" s="3" t="s">
        <v>136</v>
      </c>
      <c r="I545" s="3" t="s">
        <v>137</v>
      </c>
      <c r="J545" s="3"/>
      <c r="K545" s="3"/>
      <c r="L545" s="236"/>
      <c r="M545" s="99"/>
      <c r="N545" s="99"/>
      <c r="O545" s="236"/>
      <c r="P545" s="22"/>
      <c r="Q545" s="22">
        <v>0</v>
      </c>
      <c r="R545" s="22" t="s">
        <v>153</v>
      </c>
      <c r="S545" s="3"/>
      <c r="T545" s="260"/>
      <c r="U545" s="261"/>
      <c r="V545" s="22"/>
      <c r="W545" s="567" t="s">
        <v>2125</v>
      </c>
      <c r="X545" s="567" t="s">
        <v>6720</v>
      </c>
      <c r="Y545" s="22"/>
      <c r="Z545" s="22"/>
      <c r="AA545" s="22"/>
      <c r="AB545" s="22" t="s">
        <v>114</v>
      </c>
      <c r="AC545" s="3"/>
      <c r="AD545" s="3"/>
      <c r="AE545" s="3">
        <v>0</v>
      </c>
      <c r="AF545" s="3">
        <v>0</v>
      </c>
      <c r="AG545" s="3">
        <v>0</v>
      </c>
      <c r="AH545" s="3"/>
      <c r="AI545" s="3">
        <v>0</v>
      </c>
      <c r="AJ545" s="3">
        <v>0</v>
      </c>
      <c r="AK545" s="3">
        <v>0</v>
      </c>
      <c r="AL545" s="3"/>
      <c r="AM545" s="3"/>
      <c r="AN545" s="3"/>
      <c r="AO545" s="3"/>
      <c r="AP545" s="3"/>
      <c r="AQ545" s="282" t="str">
        <f>"tricks/"&amp;A545</f>
        <v>tricks/2010711</v>
      </c>
      <c r="AR545" s="222"/>
    </row>
    <row r="546" spans="1:44" s="216" customFormat="1" ht="15" customHeight="1">
      <c r="A546" s="36">
        <v>2010801</v>
      </c>
      <c r="B546" s="525" t="s">
        <v>2146</v>
      </c>
      <c r="C546" s="454" t="s">
        <v>2147</v>
      </c>
      <c r="D546" s="36" t="s">
        <v>1876</v>
      </c>
      <c r="E546" s="36"/>
      <c r="F546" s="36">
        <v>1</v>
      </c>
      <c r="G546" s="36">
        <v>7</v>
      </c>
      <c r="H546" s="36" t="s">
        <v>82</v>
      </c>
      <c r="I546" s="36" t="s">
        <v>101</v>
      </c>
      <c r="J546" s="36"/>
      <c r="K546" s="36"/>
      <c r="L546" s="454" t="s">
        <v>2148</v>
      </c>
      <c r="M546" s="378"/>
      <c r="N546" s="378">
        <v>4</v>
      </c>
      <c r="O546" s="454"/>
      <c r="P546" s="379"/>
      <c r="Q546" s="379">
        <v>0</v>
      </c>
      <c r="R546" s="379" t="s">
        <v>153</v>
      </c>
      <c r="S546" s="36">
        <v>2010801</v>
      </c>
      <c r="T546" s="390"/>
      <c r="U546" s="391"/>
      <c r="V546" s="379" t="s">
        <v>582</v>
      </c>
      <c r="W546" s="619" t="s">
        <v>2149</v>
      </c>
      <c r="X546" s="619" t="s">
        <v>2149</v>
      </c>
      <c r="Y546" s="379">
        <v>0</v>
      </c>
      <c r="Z546" s="379">
        <v>0</v>
      </c>
      <c r="AA546" s="379"/>
      <c r="AB546" s="379"/>
      <c r="AC546" s="36"/>
      <c r="AD546" s="36"/>
      <c r="AE546" s="36">
        <v>1</v>
      </c>
      <c r="AF546" s="36">
        <v>0</v>
      </c>
      <c r="AG546" s="36">
        <v>35</v>
      </c>
      <c r="AH546" s="36"/>
      <c r="AI546" s="36"/>
      <c r="AJ546" s="36"/>
      <c r="AK546" s="401"/>
      <c r="AL546" s="401"/>
      <c r="AM546" s="401"/>
      <c r="AN546" s="43" t="s">
        <v>2150</v>
      </c>
      <c r="AO546" s="36"/>
      <c r="AP546" s="36"/>
      <c r="AQ546" s="36" t="s">
        <v>2151</v>
      </c>
      <c r="AR546" s="407"/>
    </row>
    <row r="547" spans="1:44" s="216" customFormat="1" ht="15" customHeight="1">
      <c r="A547" s="36">
        <v>2010802</v>
      </c>
      <c r="B547" s="525" t="s">
        <v>2146</v>
      </c>
      <c r="C547" s="454" t="s">
        <v>2152</v>
      </c>
      <c r="D547" s="36" t="s">
        <v>1876</v>
      </c>
      <c r="E547" s="36"/>
      <c r="F547" s="36">
        <v>1</v>
      </c>
      <c r="G547" s="36">
        <v>7</v>
      </c>
      <c r="H547" s="36" t="s">
        <v>136</v>
      </c>
      <c r="I547" s="36" t="s">
        <v>137</v>
      </c>
      <c r="J547" s="36"/>
      <c r="K547" s="36"/>
      <c r="L547" s="454" t="s">
        <v>2153</v>
      </c>
      <c r="M547" s="378"/>
      <c r="N547" s="378"/>
      <c r="O547" s="454"/>
      <c r="P547" s="379"/>
      <c r="Q547" s="379">
        <v>0</v>
      </c>
      <c r="R547" s="379" t="s">
        <v>153</v>
      </c>
      <c r="S547" s="36">
        <v>2010802</v>
      </c>
      <c r="T547" s="390"/>
      <c r="U547" s="391"/>
      <c r="V547" s="379" t="s">
        <v>582</v>
      </c>
      <c r="W547" s="619" t="s">
        <v>2154</v>
      </c>
      <c r="X547" s="619" t="s">
        <v>2154</v>
      </c>
      <c r="Y547" s="379">
        <v>0</v>
      </c>
      <c r="Z547" s="379">
        <v>0</v>
      </c>
      <c r="AA547" s="379"/>
      <c r="AB547" s="379"/>
      <c r="AC547" s="36"/>
      <c r="AD547" s="36"/>
      <c r="AE547" s="36">
        <v>0</v>
      </c>
      <c r="AF547" s="36">
        <v>0</v>
      </c>
      <c r="AG547" s="36">
        <v>0</v>
      </c>
      <c r="AH547" s="36"/>
      <c r="AI547" s="36">
        <v>0</v>
      </c>
      <c r="AJ547" s="36">
        <v>0</v>
      </c>
      <c r="AK547" s="401"/>
      <c r="AL547" s="401"/>
      <c r="AM547" s="401"/>
      <c r="AN547" s="36"/>
      <c r="AO547" s="36"/>
      <c r="AP547" s="36"/>
      <c r="AQ547" s="36" t="s">
        <v>2155</v>
      </c>
      <c r="AR547" s="407"/>
    </row>
    <row r="548" spans="1:44" ht="15" customHeight="1">
      <c r="A548" s="36">
        <v>2010803</v>
      </c>
      <c r="B548" s="525" t="s">
        <v>2146</v>
      </c>
      <c r="C548" s="454" t="s">
        <v>2156</v>
      </c>
      <c r="D548" s="36" t="s">
        <v>1876</v>
      </c>
      <c r="E548" s="36"/>
      <c r="F548" s="36">
        <v>2</v>
      </c>
      <c r="G548" s="36">
        <v>7</v>
      </c>
      <c r="H548" s="36" t="s">
        <v>136</v>
      </c>
      <c r="I548" s="36" t="s">
        <v>137</v>
      </c>
      <c r="J548" s="36"/>
      <c r="K548" s="36"/>
      <c r="L548" s="454" t="s">
        <v>2157</v>
      </c>
      <c r="M548" s="378"/>
      <c r="N548" s="378"/>
      <c r="O548" s="454"/>
      <c r="P548" s="379"/>
      <c r="Q548" s="379">
        <v>0</v>
      </c>
      <c r="R548" s="379" t="s">
        <v>153</v>
      </c>
      <c r="S548" s="36">
        <v>2010804</v>
      </c>
      <c r="T548" s="390"/>
      <c r="U548" s="391"/>
      <c r="V548" s="379" t="s">
        <v>582</v>
      </c>
      <c r="W548" s="619" t="s">
        <v>2158</v>
      </c>
      <c r="X548" s="619" t="s">
        <v>2158</v>
      </c>
      <c r="Y548" s="379">
        <v>0</v>
      </c>
      <c r="Z548" s="379">
        <v>0</v>
      </c>
      <c r="AA548" s="379"/>
      <c r="AB548" s="379"/>
      <c r="AC548" s="36"/>
      <c r="AD548" s="36"/>
      <c r="AE548" s="36">
        <v>0</v>
      </c>
      <c r="AF548" s="36">
        <v>0</v>
      </c>
      <c r="AG548" s="36">
        <v>0</v>
      </c>
      <c r="AH548" s="36"/>
      <c r="AI548" s="36">
        <v>0</v>
      </c>
      <c r="AJ548" s="36">
        <v>0</v>
      </c>
      <c r="AK548" s="401"/>
      <c r="AL548" s="401"/>
      <c r="AM548" s="401"/>
      <c r="AN548" s="36"/>
      <c r="AO548" s="36"/>
      <c r="AP548" s="36"/>
      <c r="AQ548" s="36" t="s">
        <v>2159</v>
      </c>
      <c r="AR548" s="407"/>
    </row>
    <row r="549" spans="1:44" s="216" customFormat="1" ht="15" customHeight="1">
      <c r="A549" s="36">
        <v>2010804</v>
      </c>
      <c r="B549" s="36" t="s">
        <v>2146</v>
      </c>
      <c r="C549" s="454" t="s">
        <v>2160</v>
      </c>
      <c r="D549" s="36" t="s">
        <v>1876</v>
      </c>
      <c r="E549" s="36"/>
      <c r="F549" s="36">
        <v>3</v>
      </c>
      <c r="G549" s="36">
        <v>7</v>
      </c>
      <c r="H549" s="36" t="s">
        <v>136</v>
      </c>
      <c r="I549" s="36" t="s">
        <v>137</v>
      </c>
      <c r="J549" s="36"/>
      <c r="K549" s="36"/>
      <c r="L549" s="454" t="s">
        <v>2161</v>
      </c>
      <c r="M549" s="378"/>
      <c r="N549" s="378"/>
      <c r="O549" s="454"/>
      <c r="P549" s="379"/>
      <c r="Q549" s="379">
        <v>0</v>
      </c>
      <c r="R549" s="379" t="s">
        <v>153</v>
      </c>
      <c r="S549" s="36">
        <v>2010809</v>
      </c>
      <c r="T549" s="390"/>
      <c r="U549" s="391"/>
      <c r="V549" s="379" t="s">
        <v>582</v>
      </c>
      <c r="W549" s="619" t="s">
        <v>2162</v>
      </c>
      <c r="X549" s="619" t="s">
        <v>2162</v>
      </c>
      <c r="Y549" s="379">
        <v>0</v>
      </c>
      <c r="Z549" s="379">
        <v>0</v>
      </c>
      <c r="AA549" s="379"/>
      <c r="AB549" s="379"/>
      <c r="AC549" s="36"/>
      <c r="AD549" s="36"/>
      <c r="AE549" s="36">
        <v>0</v>
      </c>
      <c r="AF549" s="36">
        <v>0</v>
      </c>
      <c r="AG549" s="36">
        <v>0</v>
      </c>
      <c r="AH549" s="36"/>
      <c r="AI549" s="36">
        <v>0</v>
      </c>
      <c r="AJ549" s="36">
        <v>0</v>
      </c>
      <c r="AK549" s="401"/>
      <c r="AL549" s="401"/>
      <c r="AM549" s="401"/>
      <c r="AN549" s="36"/>
      <c r="AO549" s="36"/>
      <c r="AP549" s="36"/>
      <c r="AQ549" s="36" t="s">
        <v>2163</v>
      </c>
      <c r="AR549" s="407"/>
    </row>
    <row r="550" spans="1:44" s="216" customFormat="1" ht="15" customHeight="1">
      <c r="A550" s="36">
        <v>2010805</v>
      </c>
      <c r="B550" s="36" t="s">
        <v>2146</v>
      </c>
      <c r="C550" s="454" t="s">
        <v>2164</v>
      </c>
      <c r="D550" s="36" t="s">
        <v>1876</v>
      </c>
      <c r="E550" s="36"/>
      <c r="F550" s="36">
        <v>4</v>
      </c>
      <c r="G550" s="36">
        <v>7</v>
      </c>
      <c r="H550" s="36" t="s">
        <v>136</v>
      </c>
      <c r="I550" s="36" t="s">
        <v>137</v>
      </c>
      <c r="J550" s="36"/>
      <c r="K550" s="36"/>
      <c r="L550" s="454" t="s">
        <v>2165</v>
      </c>
      <c r="M550" s="378"/>
      <c r="N550" s="378"/>
      <c r="O550" s="454"/>
      <c r="P550" s="379"/>
      <c r="Q550" s="379">
        <v>0</v>
      </c>
      <c r="R550" s="379" t="s">
        <v>153</v>
      </c>
      <c r="S550" s="36">
        <v>2010806</v>
      </c>
      <c r="T550" s="390"/>
      <c r="U550" s="391"/>
      <c r="V550" s="379" t="s">
        <v>582</v>
      </c>
      <c r="W550" s="619" t="s">
        <v>2166</v>
      </c>
      <c r="X550" s="619" t="s">
        <v>2166</v>
      </c>
      <c r="Y550" s="379">
        <v>0</v>
      </c>
      <c r="Z550" s="379">
        <v>0</v>
      </c>
      <c r="AA550" s="379"/>
      <c r="AB550" s="379"/>
      <c r="AC550" s="36"/>
      <c r="AD550" s="36"/>
      <c r="AE550" s="36">
        <v>0</v>
      </c>
      <c r="AF550" s="36">
        <v>0</v>
      </c>
      <c r="AG550" s="36">
        <v>0</v>
      </c>
      <c r="AH550" s="36"/>
      <c r="AI550" s="36">
        <v>0</v>
      </c>
      <c r="AJ550" s="36">
        <v>0</v>
      </c>
      <c r="AK550" s="401"/>
      <c r="AL550" s="401"/>
      <c r="AM550" s="401"/>
      <c r="AN550" s="36"/>
      <c r="AO550" s="36"/>
      <c r="AP550" s="36"/>
      <c r="AQ550" s="36" t="s">
        <v>2167</v>
      </c>
      <c r="AR550" s="407"/>
    </row>
    <row r="551" spans="1:44" s="216" customFormat="1" ht="15" customHeight="1">
      <c r="A551" s="36">
        <v>2010806</v>
      </c>
      <c r="B551" s="36" t="s">
        <v>2146</v>
      </c>
      <c r="C551" s="454" t="s">
        <v>2168</v>
      </c>
      <c r="D551" s="36" t="s">
        <v>1876</v>
      </c>
      <c r="E551" s="36"/>
      <c r="F551" s="36">
        <v>5</v>
      </c>
      <c r="G551" s="36">
        <v>7</v>
      </c>
      <c r="H551" s="36" t="s">
        <v>136</v>
      </c>
      <c r="I551" s="36" t="s">
        <v>137</v>
      </c>
      <c r="J551" s="36"/>
      <c r="K551" s="36"/>
      <c r="L551" s="454" t="s">
        <v>2169</v>
      </c>
      <c r="M551" s="378"/>
      <c r="N551" s="378"/>
      <c r="O551" s="454"/>
      <c r="P551" s="379"/>
      <c r="Q551" s="379">
        <v>0</v>
      </c>
      <c r="R551" s="379" t="s">
        <v>153</v>
      </c>
      <c r="S551" s="36">
        <v>2010807</v>
      </c>
      <c r="T551" s="390"/>
      <c r="U551" s="391"/>
      <c r="V551" s="379" t="s">
        <v>582</v>
      </c>
      <c r="W551" s="619" t="s">
        <v>2170</v>
      </c>
      <c r="X551" s="619" t="s">
        <v>2170</v>
      </c>
      <c r="Y551" s="379">
        <v>0</v>
      </c>
      <c r="Z551" s="379">
        <v>0</v>
      </c>
      <c r="AA551" s="379"/>
      <c r="AB551" s="379"/>
      <c r="AC551" s="36"/>
      <c r="AD551" s="36"/>
      <c r="AE551" s="36">
        <v>0</v>
      </c>
      <c r="AF551" s="36">
        <v>0</v>
      </c>
      <c r="AG551" s="36">
        <v>0</v>
      </c>
      <c r="AH551" s="36"/>
      <c r="AI551" s="36">
        <v>0</v>
      </c>
      <c r="AJ551" s="36">
        <v>0</v>
      </c>
      <c r="AK551" s="401"/>
      <c r="AL551" s="401"/>
      <c r="AM551" s="401"/>
      <c r="AN551" s="36"/>
      <c r="AO551" s="36"/>
      <c r="AP551" s="36"/>
      <c r="AQ551" s="36" t="s">
        <v>2171</v>
      </c>
      <c r="AR551" s="407"/>
    </row>
    <row r="552" spans="1:44" s="216" customFormat="1" ht="15" customHeight="1">
      <c r="A552" s="36">
        <v>2010807</v>
      </c>
      <c r="B552" s="36" t="s">
        <v>2146</v>
      </c>
      <c r="C552" s="454" t="s">
        <v>2172</v>
      </c>
      <c r="D552" s="36" t="s">
        <v>1876</v>
      </c>
      <c r="E552" s="36"/>
      <c r="F552" s="36">
        <v>6</v>
      </c>
      <c r="G552" s="36">
        <v>7</v>
      </c>
      <c r="H552" s="36" t="s">
        <v>136</v>
      </c>
      <c r="I552" s="36" t="s">
        <v>137</v>
      </c>
      <c r="J552" s="36"/>
      <c r="K552" s="36"/>
      <c r="L552" s="454" t="s">
        <v>2173</v>
      </c>
      <c r="M552" s="378"/>
      <c r="N552" s="378"/>
      <c r="O552" s="454"/>
      <c r="P552" s="379"/>
      <c r="Q552" s="379">
        <v>0</v>
      </c>
      <c r="R552" s="379" t="s">
        <v>153</v>
      </c>
      <c r="S552" s="36">
        <v>2010808</v>
      </c>
      <c r="T552" s="390"/>
      <c r="U552" s="391"/>
      <c r="V552" s="379" t="s">
        <v>582</v>
      </c>
      <c r="W552" s="619" t="s">
        <v>2174</v>
      </c>
      <c r="X552" s="619" t="s">
        <v>2174</v>
      </c>
      <c r="Y552" s="379">
        <v>0</v>
      </c>
      <c r="Z552" s="379">
        <v>0</v>
      </c>
      <c r="AA552" s="379"/>
      <c r="AB552" s="379"/>
      <c r="AC552" s="36"/>
      <c r="AD552" s="36"/>
      <c r="AE552" s="36">
        <v>0</v>
      </c>
      <c r="AF552" s="36">
        <v>0</v>
      </c>
      <c r="AG552" s="36">
        <v>0</v>
      </c>
      <c r="AH552" s="36"/>
      <c r="AI552" s="36">
        <v>0</v>
      </c>
      <c r="AJ552" s="36">
        <v>0</v>
      </c>
      <c r="AK552" s="401"/>
      <c r="AL552" s="401"/>
      <c r="AM552" s="401"/>
      <c r="AN552" s="36"/>
      <c r="AO552" s="36"/>
      <c r="AP552" s="36"/>
      <c r="AQ552" s="36" t="s">
        <v>2175</v>
      </c>
      <c r="AR552" s="407"/>
    </row>
    <row r="553" spans="1:44" s="216" customFormat="1" ht="15" customHeight="1">
      <c r="A553" s="36">
        <v>2010808</v>
      </c>
      <c r="B553" s="36" t="s">
        <v>2146</v>
      </c>
      <c r="C553" s="454" t="s">
        <v>2176</v>
      </c>
      <c r="D553" s="36" t="s">
        <v>1876</v>
      </c>
      <c r="E553" s="36"/>
      <c r="F553" s="36">
        <v>7</v>
      </c>
      <c r="G553" s="36">
        <v>7</v>
      </c>
      <c r="H553" s="36" t="s">
        <v>136</v>
      </c>
      <c r="I553" s="36" t="s">
        <v>137</v>
      </c>
      <c r="J553" s="36"/>
      <c r="K553" s="36"/>
      <c r="L553" s="454" t="s">
        <v>2177</v>
      </c>
      <c r="M553" s="378"/>
      <c r="N553" s="378"/>
      <c r="O553" s="454"/>
      <c r="P553" s="379"/>
      <c r="Q553" s="379">
        <v>0</v>
      </c>
      <c r="R553" s="379" t="s">
        <v>153</v>
      </c>
      <c r="S553" s="36">
        <v>2010810</v>
      </c>
      <c r="T553" s="390"/>
      <c r="U553" s="391"/>
      <c r="V553" s="379" t="s">
        <v>582</v>
      </c>
      <c r="W553" s="619" t="s">
        <v>2178</v>
      </c>
      <c r="X553" s="619" t="s">
        <v>2178</v>
      </c>
      <c r="Y553" s="379">
        <v>0</v>
      </c>
      <c r="Z553" s="379">
        <v>0</v>
      </c>
      <c r="AA553" s="379"/>
      <c r="AB553" s="379"/>
      <c r="AC553" s="36"/>
      <c r="AD553" s="36"/>
      <c r="AE553" s="36">
        <v>0</v>
      </c>
      <c r="AF553" s="36">
        <v>0</v>
      </c>
      <c r="AG553" s="36">
        <v>0</v>
      </c>
      <c r="AH553" s="36"/>
      <c r="AI553" s="36">
        <v>0</v>
      </c>
      <c r="AJ553" s="36">
        <v>0</v>
      </c>
      <c r="AK553" s="401"/>
      <c r="AL553" s="401"/>
      <c r="AM553" s="401"/>
      <c r="AN553" s="36"/>
      <c r="AO553" s="36"/>
      <c r="AP553" s="36"/>
      <c r="AQ553" s="36" t="s">
        <v>2179</v>
      </c>
      <c r="AR553" s="407"/>
    </row>
    <row r="554" spans="1:44" s="216" customFormat="1" ht="15" customHeight="1">
      <c r="A554" s="3">
        <v>2010809</v>
      </c>
      <c r="B554" s="3" t="s">
        <v>2146</v>
      </c>
      <c r="C554" s="236" t="s">
        <v>2180</v>
      </c>
      <c r="D554" s="44" t="s">
        <v>1876</v>
      </c>
      <c r="E554" s="41"/>
      <c r="F554" s="3">
        <v>8</v>
      </c>
      <c r="G554" s="36">
        <v>7</v>
      </c>
      <c r="H554" s="3" t="s">
        <v>136</v>
      </c>
      <c r="I554" s="3" t="s">
        <v>137</v>
      </c>
      <c r="J554" s="3"/>
      <c r="K554" s="3"/>
      <c r="L554" s="236"/>
      <c r="M554" s="99"/>
      <c r="N554" s="99"/>
      <c r="O554" s="236"/>
      <c r="P554" s="22"/>
      <c r="Q554" s="22">
        <v>0</v>
      </c>
      <c r="R554" s="22" t="s">
        <v>153</v>
      </c>
      <c r="S554" s="3"/>
      <c r="T554" s="260"/>
      <c r="U554" s="261"/>
      <c r="V554" s="22"/>
      <c r="W554" s="567" t="s">
        <v>1952</v>
      </c>
      <c r="X554" s="567" t="s">
        <v>6700</v>
      </c>
      <c r="Y554" s="22"/>
      <c r="Z554" s="22"/>
      <c r="AA554" s="22"/>
      <c r="AB554" s="22" t="s">
        <v>114</v>
      </c>
      <c r="AC554" s="3"/>
      <c r="AD554" s="3"/>
      <c r="AE554" s="3">
        <v>0</v>
      </c>
      <c r="AF554" s="3">
        <v>0</v>
      </c>
      <c r="AG554" s="3">
        <v>0</v>
      </c>
      <c r="AH554" s="3"/>
      <c r="AI554" s="3">
        <v>0</v>
      </c>
      <c r="AJ554" s="3">
        <v>0</v>
      </c>
      <c r="AK554" s="3">
        <v>0</v>
      </c>
      <c r="AL554" s="3"/>
      <c r="AM554" s="3"/>
      <c r="AN554" s="3"/>
      <c r="AO554" s="3"/>
      <c r="AP554" s="3"/>
      <c r="AQ554" s="3" t="s">
        <v>2159</v>
      </c>
      <c r="AR554" s="281"/>
    </row>
    <row r="555" spans="1:44" s="216" customFormat="1" ht="15" customHeight="1">
      <c r="A555" s="3">
        <v>2010810</v>
      </c>
      <c r="B555" s="3" t="s">
        <v>2146</v>
      </c>
      <c r="C555" s="236" t="s">
        <v>2181</v>
      </c>
      <c r="D555" s="3" t="s">
        <v>1876</v>
      </c>
      <c r="E555" s="1"/>
      <c r="F555" s="3">
        <v>9</v>
      </c>
      <c r="G555" s="36">
        <v>7</v>
      </c>
      <c r="H555" s="3" t="s">
        <v>136</v>
      </c>
      <c r="I555" s="3" t="s">
        <v>137</v>
      </c>
      <c r="J555" s="3"/>
      <c r="K555" s="3"/>
      <c r="L555" s="236"/>
      <c r="M555" s="99"/>
      <c r="N555" s="99"/>
      <c r="O555" s="236"/>
      <c r="P555" s="22"/>
      <c r="Q555" s="22">
        <v>0</v>
      </c>
      <c r="R555" s="22" t="s">
        <v>153</v>
      </c>
      <c r="S555" s="3"/>
      <c r="T555" s="260"/>
      <c r="U555" s="261"/>
      <c r="V555" s="22"/>
      <c r="W555" s="567" t="s">
        <v>2182</v>
      </c>
      <c r="X555" s="567" t="s">
        <v>6717</v>
      </c>
      <c r="Y555" s="22"/>
      <c r="Z555" s="22"/>
      <c r="AA555" s="22"/>
      <c r="AB555" s="22" t="s">
        <v>114</v>
      </c>
      <c r="AC555" s="3"/>
      <c r="AD555" s="3"/>
      <c r="AE555" s="3">
        <v>0</v>
      </c>
      <c r="AF555" s="3">
        <v>0</v>
      </c>
      <c r="AG555" s="3">
        <v>0</v>
      </c>
      <c r="AH555" s="3"/>
      <c r="AI555" s="3">
        <v>0</v>
      </c>
      <c r="AJ555" s="3">
        <v>0</v>
      </c>
      <c r="AK555" s="3">
        <v>0</v>
      </c>
      <c r="AL555" s="3"/>
      <c r="AM555" s="3"/>
      <c r="AN555" s="3"/>
      <c r="AO555" s="3"/>
      <c r="AP555" s="3"/>
      <c r="AQ555" s="282" t="str">
        <f>"tricks/"&amp;A555</f>
        <v>tricks/2010810</v>
      </c>
      <c r="AR555" s="222"/>
    </row>
    <row r="556" spans="1:44" s="216" customFormat="1" ht="15" customHeight="1">
      <c r="A556" s="3">
        <v>2010811</v>
      </c>
      <c r="B556" s="3" t="s">
        <v>2146</v>
      </c>
      <c r="C556" s="236" t="s">
        <v>2183</v>
      </c>
      <c r="D556" s="3" t="s">
        <v>1876</v>
      </c>
      <c r="E556" s="1"/>
      <c r="F556" s="3">
        <v>10</v>
      </c>
      <c r="G556" s="36">
        <v>7</v>
      </c>
      <c r="H556" s="3" t="s">
        <v>136</v>
      </c>
      <c r="I556" s="3" t="s">
        <v>137</v>
      </c>
      <c r="J556" s="3"/>
      <c r="K556" s="3"/>
      <c r="L556" s="236"/>
      <c r="M556" s="99"/>
      <c r="N556" s="99"/>
      <c r="O556" s="236"/>
      <c r="P556" s="22"/>
      <c r="Q556" s="22">
        <v>0</v>
      </c>
      <c r="R556" s="22" t="s">
        <v>153</v>
      </c>
      <c r="S556" s="3"/>
      <c r="T556" s="260"/>
      <c r="U556" s="261"/>
      <c r="V556" s="22"/>
      <c r="W556" s="567" t="s">
        <v>2184</v>
      </c>
      <c r="X556" s="567" t="s">
        <v>6718</v>
      </c>
      <c r="Y556" s="22"/>
      <c r="Z556" s="22"/>
      <c r="AA556" s="22"/>
      <c r="AB556" s="22" t="s">
        <v>114</v>
      </c>
      <c r="AC556" s="3"/>
      <c r="AD556" s="3"/>
      <c r="AE556" s="3">
        <v>0</v>
      </c>
      <c r="AF556" s="3">
        <v>0</v>
      </c>
      <c r="AG556" s="3">
        <v>0</v>
      </c>
      <c r="AH556" s="3"/>
      <c r="AI556" s="3">
        <v>0</v>
      </c>
      <c r="AJ556" s="3">
        <v>0</v>
      </c>
      <c r="AK556" s="3">
        <v>0</v>
      </c>
      <c r="AL556" s="3"/>
      <c r="AM556" s="3"/>
      <c r="AN556" s="3"/>
      <c r="AO556" s="3"/>
      <c r="AP556" s="3"/>
      <c r="AQ556" s="282" t="str">
        <f>"tricks/"&amp;A556</f>
        <v>tricks/2010811</v>
      </c>
      <c r="AR556" s="222"/>
    </row>
    <row r="557" spans="1:44" ht="15" customHeight="1">
      <c r="A557" s="7">
        <v>2010901</v>
      </c>
      <c r="B557" s="7" t="s">
        <v>2185</v>
      </c>
      <c r="C557" s="474" t="s">
        <v>2186</v>
      </c>
      <c r="D557" s="7" t="s">
        <v>1876</v>
      </c>
      <c r="E557" s="7"/>
      <c r="F557" s="36">
        <v>1</v>
      </c>
      <c r="G557" s="36">
        <v>7</v>
      </c>
      <c r="H557" s="7" t="s">
        <v>82</v>
      </c>
      <c r="I557" s="7" t="s">
        <v>101</v>
      </c>
      <c r="J557" s="7"/>
      <c r="K557" s="7"/>
      <c r="L557" s="350" t="s">
        <v>2187</v>
      </c>
      <c r="M557" s="238"/>
      <c r="N557" s="378">
        <v>5</v>
      </c>
      <c r="O557" s="474"/>
      <c r="P557" s="239"/>
      <c r="Q557" s="239">
        <v>0</v>
      </c>
      <c r="R557" s="239" t="s">
        <v>153</v>
      </c>
      <c r="S557" s="7">
        <v>2010901</v>
      </c>
      <c r="T557" s="262"/>
      <c r="U557" s="263" t="s">
        <v>1138</v>
      </c>
      <c r="V557" s="239" t="s">
        <v>582</v>
      </c>
      <c r="W557" s="619" t="s">
        <v>2188</v>
      </c>
      <c r="X557" s="619" t="s">
        <v>2188</v>
      </c>
      <c r="Y557" s="239">
        <v>0</v>
      </c>
      <c r="Z557" s="239">
        <v>0</v>
      </c>
      <c r="AA557" s="239"/>
      <c r="AB557" s="239"/>
      <c r="AC557" s="7"/>
      <c r="AD557" s="7"/>
      <c r="AE557" s="7">
        <v>1</v>
      </c>
      <c r="AF557" s="7">
        <v>2</v>
      </c>
      <c r="AG557" s="7">
        <v>30</v>
      </c>
      <c r="AH557" s="7"/>
      <c r="AI557" s="7"/>
      <c r="AJ557" s="7"/>
      <c r="AK557" s="273"/>
      <c r="AL557" s="273"/>
      <c r="AM557" s="273"/>
      <c r="AN557" s="43" t="s">
        <v>2189</v>
      </c>
      <c r="AO557" s="7" t="s">
        <v>2190</v>
      </c>
      <c r="AP557" s="7"/>
      <c r="AQ557" s="7" t="s">
        <v>2191</v>
      </c>
      <c r="AR557" s="283"/>
    </row>
    <row r="558" spans="1:44" s="216" customFormat="1" ht="15" customHeight="1">
      <c r="A558" s="7">
        <v>2010902</v>
      </c>
      <c r="B558" s="7" t="s">
        <v>2185</v>
      </c>
      <c r="C558" s="350" t="s">
        <v>2192</v>
      </c>
      <c r="D558" s="7" t="s">
        <v>1876</v>
      </c>
      <c r="E558" s="7"/>
      <c r="F558" s="36">
        <v>1</v>
      </c>
      <c r="G558" s="36">
        <v>7</v>
      </c>
      <c r="H558" s="7" t="s">
        <v>136</v>
      </c>
      <c r="I558" s="7" t="s">
        <v>137</v>
      </c>
      <c r="J558" s="7"/>
      <c r="K558" s="7"/>
      <c r="L558" s="350" t="s">
        <v>2193</v>
      </c>
      <c r="M558" s="238"/>
      <c r="N558" s="238"/>
      <c r="O558" s="350"/>
      <c r="P558" s="239"/>
      <c r="Q558" s="239">
        <v>0</v>
      </c>
      <c r="R558" s="239" t="s">
        <v>153</v>
      </c>
      <c r="S558" s="7">
        <v>2010903</v>
      </c>
      <c r="T558" s="262"/>
      <c r="U558" s="263"/>
      <c r="V558" s="239" t="s">
        <v>582</v>
      </c>
      <c r="W558" s="619" t="s">
        <v>2194</v>
      </c>
      <c r="X558" s="619" t="s">
        <v>2194</v>
      </c>
      <c r="Y558" s="239">
        <v>0</v>
      </c>
      <c r="Z558" s="239">
        <v>0</v>
      </c>
      <c r="AA558" s="239"/>
      <c r="AB558" s="239"/>
      <c r="AC558" s="7"/>
      <c r="AD558" s="7"/>
      <c r="AE558" s="7">
        <v>0</v>
      </c>
      <c r="AF558" s="7">
        <v>0</v>
      </c>
      <c r="AG558" s="7">
        <v>0</v>
      </c>
      <c r="AH558" s="7"/>
      <c r="AI558" s="7">
        <v>0</v>
      </c>
      <c r="AJ558" s="7">
        <v>0</v>
      </c>
      <c r="AK558" s="273"/>
      <c r="AL558" s="273"/>
      <c r="AM558" s="273"/>
      <c r="AN558" s="7"/>
      <c r="AO558" s="7"/>
      <c r="AP558" s="7"/>
      <c r="AQ558" s="7" t="s">
        <v>2195</v>
      </c>
      <c r="AR558" s="283"/>
    </row>
    <row r="559" spans="1:44" s="216" customFormat="1" ht="15" customHeight="1">
      <c r="A559" s="7">
        <v>2010903</v>
      </c>
      <c r="B559" s="7" t="s">
        <v>2185</v>
      </c>
      <c r="C559" s="350" t="s">
        <v>2196</v>
      </c>
      <c r="D559" s="7" t="s">
        <v>1876</v>
      </c>
      <c r="E559" s="7"/>
      <c r="F559" s="36">
        <v>2</v>
      </c>
      <c r="G559" s="36">
        <v>7</v>
      </c>
      <c r="H559" s="7" t="s">
        <v>136</v>
      </c>
      <c r="I559" s="7" t="s">
        <v>137</v>
      </c>
      <c r="J559" s="7"/>
      <c r="K559" s="7"/>
      <c r="L559" s="350" t="s">
        <v>2197</v>
      </c>
      <c r="M559" s="238"/>
      <c r="N559" s="238"/>
      <c r="O559" s="350"/>
      <c r="P559" s="239"/>
      <c r="Q559" s="239">
        <v>0</v>
      </c>
      <c r="R559" s="239" t="s">
        <v>153</v>
      </c>
      <c r="S559" s="7">
        <v>2010904</v>
      </c>
      <c r="T559" s="262"/>
      <c r="U559" s="263"/>
      <c r="V559" s="239" t="s">
        <v>582</v>
      </c>
      <c r="W559" s="619" t="s">
        <v>2198</v>
      </c>
      <c r="X559" s="619" t="s">
        <v>2198</v>
      </c>
      <c r="Y559" s="239">
        <v>0</v>
      </c>
      <c r="Z559" s="239">
        <v>0</v>
      </c>
      <c r="AA559" s="239"/>
      <c r="AB559" s="239"/>
      <c r="AC559" s="7"/>
      <c r="AD559" s="7"/>
      <c r="AE559" s="7">
        <v>0</v>
      </c>
      <c r="AF559" s="7">
        <v>0</v>
      </c>
      <c r="AG559" s="7">
        <v>0</v>
      </c>
      <c r="AH559" s="7"/>
      <c r="AI559" s="7">
        <v>0</v>
      </c>
      <c r="AJ559" s="7">
        <v>0</v>
      </c>
      <c r="AK559" s="273"/>
      <c r="AL559" s="273"/>
      <c r="AM559" s="273"/>
      <c r="AN559" s="7"/>
      <c r="AO559" s="7"/>
      <c r="AP559" s="7"/>
      <c r="AQ559" s="7" t="s">
        <v>2199</v>
      </c>
      <c r="AR559" s="283"/>
    </row>
    <row r="560" spans="1:44" s="216" customFormat="1" ht="15" customHeight="1">
      <c r="A560" s="7">
        <v>2010904</v>
      </c>
      <c r="B560" s="7" t="s">
        <v>2185</v>
      </c>
      <c r="C560" s="350" t="s">
        <v>2200</v>
      </c>
      <c r="D560" s="7" t="s">
        <v>1876</v>
      </c>
      <c r="E560" s="7"/>
      <c r="F560" s="36">
        <v>3</v>
      </c>
      <c r="G560" s="36">
        <v>7</v>
      </c>
      <c r="H560" s="7" t="s">
        <v>136</v>
      </c>
      <c r="I560" s="7" t="s">
        <v>137</v>
      </c>
      <c r="J560" s="7"/>
      <c r="K560" s="7"/>
      <c r="L560" s="350" t="s">
        <v>2201</v>
      </c>
      <c r="M560" s="238"/>
      <c r="N560" s="238"/>
      <c r="O560" s="350"/>
      <c r="P560" s="239"/>
      <c r="Q560" s="239">
        <v>0</v>
      </c>
      <c r="R560" s="239" t="s">
        <v>153</v>
      </c>
      <c r="S560" s="7">
        <v>2010905</v>
      </c>
      <c r="T560" s="262"/>
      <c r="U560" s="263"/>
      <c r="V560" s="239" t="s">
        <v>582</v>
      </c>
      <c r="W560" s="619" t="s">
        <v>2202</v>
      </c>
      <c r="X560" s="619" t="s">
        <v>2202</v>
      </c>
      <c r="Y560" s="239">
        <v>0</v>
      </c>
      <c r="Z560" s="239">
        <v>0</v>
      </c>
      <c r="AA560" s="239"/>
      <c r="AB560" s="239"/>
      <c r="AC560" s="7"/>
      <c r="AD560" s="7"/>
      <c r="AE560" s="7">
        <v>0</v>
      </c>
      <c r="AF560" s="7">
        <v>0</v>
      </c>
      <c r="AG560" s="7">
        <v>0</v>
      </c>
      <c r="AH560" s="7"/>
      <c r="AI560" s="7">
        <v>0</v>
      </c>
      <c r="AJ560" s="7">
        <v>0</v>
      </c>
      <c r="AK560" s="273"/>
      <c r="AL560" s="273"/>
      <c r="AM560" s="273"/>
      <c r="AN560" s="7"/>
      <c r="AO560" s="7"/>
      <c r="AP560" s="7"/>
      <c r="AQ560" s="7" t="s">
        <v>2203</v>
      </c>
      <c r="AR560" s="283"/>
    </row>
    <row r="561" spans="1:44" s="216" customFormat="1" ht="15" customHeight="1">
      <c r="A561" s="7">
        <v>2010905</v>
      </c>
      <c r="B561" s="7" t="s">
        <v>2185</v>
      </c>
      <c r="C561" s="350" t="s">
        <v>2204</v>
      </c>
      <c r="D561" s="7" t="s">
        <v>1876</v>
      </c>
      <c r="E561" s="7"/>
      <c r="F561" s="36">
        <v>4</v>
      </c>
      <c r="G561" s="36">
        <v>7</v>
      </c>
      <c r="H561" s="7" t="s">
        <v>136</v>
      </c>
      <c r="I561" s="7" t="s">
        <v>137</v>
      </c>
      <c r="J561" s="7"/>
      <c r="K561" s="7"/>
      <c r="L561" s="350" t="s">
        <v>2205</v>
      </c>
      <c r="M561" s="238"/>
      <c r="N561" s="238"/>
      <c r="O561" s="350"/>
      <c r="P561" s="239"/>
      <c r="Q561" s="239">
        <v>0</v>
      </c>
      <c r="R561" s="239" t="s">
        <v>153</v>
      </c>
      <c r="S561" s="7">
        <v>2010906</v>
      </c>
      <c r="T561" s="262"/>
      <c r="U561" s="263"/>
      <c r="V561" s="239" t="s">
        <v>582</v>
      </c>
      <c r="W561" s="619" t="s">
        <v>2206</v>
      </c>
      <c r="X561" s="619" t="s">
        <v>2206</v>
      </c>
      <c r="Y561" s="239">
        <v>0</v>
      </c>
      <c r="Z561" s="239">
        <v>0</v>
      </c>
      <c r="AA561" s="239"/>
      <c r="AB561" s="239"/>
      <c r="AC561" s="7"/>
      <c r="AD561" s="7"/>
      <c r="AE561" s="7">
        <v>0</v>
      </c>
      <c r="AF561" s="7">
        <v>0</v>
      </c>
      <c r="AG561" s="7">
        <v>0</v>
      </c>
      <c r="AH561" s="7"/>
      <c r="AI561" s="7">
        <v>0</v>
      </c>
      <c r="AJ561" s="7">
        <v>0</v>
      </c>
      <c r="AK561" s="273"/>
      <c r="AL561" s="273"/>
      <c r="AM561" s="273"/>
      <c r="AN561" s="7"/>
      <c r="AO561" s="7"/>
      <c r="AP561" s="7"/>
      <c r="AQ561" s="7" t="s">
        <v>2207</v>
      </c>
      <c r="AR561" s="283"/>
    </row>
    <row r="562" spans="1:44" s="216" customFormat="1" ht="15" customHeight="1">
      <c r="A562" s="7">
        <v>2010906</v>
      </c>
      <c r="B562" s="7" t="s">
        <v>2185</v>
      </c>
      <c r="C562" s="350" t="s">
        <v>2208</v>
      </c>
      <c r="D562" s="7" t="s">
        <v>1876</v>
      </c>
      <c r="E562" s="7"/>
      <c r="F562" s="36">
        <v>5</v>
      </c>
      <c r="G562" s="36">
        <v>7</v>
      </c>
      <c r="H562" s="7" t="s">
        <v>136</v>
      </c>
      <c r="I562" s="7" t="s">
        <v>137</v>
      </c>
      <c r="J562" s="7"/>
      <c r="K562" s="7"/>
      <c r="L562" s="350" t="s">
        <v>2209</v>
      </c>
      <c r="M562" s="238"/>
      <c r="N562" s="238"/>
      <c r="O562" s="350"/>
      <c r="P562" s="239"/>
      <c r="Q562" s="239">
        <v>0</v>
      </c>
      <c r="R562" s="239" t="s">
        <v>153</v>
      </c>
      <c r="S562" s="7">
        <v>2010908</v>
      </c>
      <c r="T562" s="262"/>
      <c r="U562" s="263"/>
      <c r="V562" s="239" t="s">
        <v>582</v>
      </c>
      <c r="W562" s="619" t="s">
        <v>2210</v>
      </c>
      <c r="X562" s="619" t="s">
        <v>2210</v>
      </c>
      <c r="Y562" s="239">
        <v>0</v>
      </c>
      <c r="Z562" s="239">
        <v>0</v>
      </c>
      <c r="AA562" s="239"/>
      <c r="AB562" s="239"/>
      <c r="AC562" s="7"/>
      <c r="AD562" s="7"/>
      <c r="AE562" s="7">
        <v>0</v>
      </c>
      <c r="AF562" s="7">
        <v>0</v>
      </c>
      <c r="AG562" s="7">
        <v>0</v>
      </c>
      <c r="AH562" s="7"/>
      <c r="AI562" s="7">
        <v>0</v>
      </c>
      <c r="AJ562" s="7">
        <v>0</v>
      </c>
      <c r="AK562" s="273"/>
      <c r="AL562" s="273"/>
      <c r="AM562" s="273"/>
      <c r="AN562" s="7"/>
      <c r="AO562" s="7"/>
      <c r="AP562" s="7"/>
      <c r="AQ562" s="7" t="s">
        <v>2211</v>
      </c>
      <c r="AR562" s="283"/>
    </row>
    <row r="563" spans="1:44" s="216" customFormat="1" ht="15" customHeight="1">
      <c r="A563" s="7">
        <v>2010907</v>
      </c>
      <c r="B563" s="7" t="s">
        <v>2185</v>
      </c>
      <c r="C563" s="350" t="s">
        <v>2212</v>
      </c>
      <c r="D563" s="7" t="s">
        <v>1876</v>
      </c>
      <c r="E563" s="7"/>
      <c r="F563" s="36">
        <v>6</v>
      </c>
      <c r="G563" s="36">
        <v>7</v>
      </c>
      <c r="H563" s="7" t="s">
        <v>136</v>
      </c>
      <c r="I563" s="7" t="s">
        <v>137</v>
      </c>
      <c r="J563" s="7"/>
      <c r="K563" s="7"/>
      <c r="L563" s="350" t="s">
        <v>2213</v>
      </c>
      <c r="M563" s="238"/>
      <c r="N563" s="238"/>
      <c r="O563" s="350"/>
      <c r="P563" s="239"/>
      <c r="Q563" s="239">
        <v>0</v>
      </c>
      <c r="R563" s="239" t="s">
        <v>153</v>
      </c>
      <c r="S563" s="7">
        <v>2010909</v>
      </c>
      <c r="T563" s="262"/>
      <c r="U563" s="263"/>
      <c r="V563" s="239" t="s">
        <v>582</v>
      </c>
      <c r="W563" s="619" t="s">
        <v>2202</v>
      </c>
      <c r="X563" s="619" t="s">
        <v>2202</v>
      </c>
      <c r="Y563" s="239">
        <v>0</v>
      </c>
      <c r="Z563" s="239">
        <v>0</v>
      </c>
      <c r="AA563" s="239"/>
      <c r="AB563" s="239"/>
      <c r="AC563" s="7"/>
      <c r="AD563" s="7"/>
      <c r="AE563" s="7">
        <v>0</v>
      </c>
      <c r="AF563" s="7">
        <v>0</v>
      </c>
      <c r="AG563" s="7">
        <v>0</v>
      </c>
      <c r="AH563" s="7"/>
      <c r="AI563" s="7">
        <v>0</v>
      </c>
      <c r="AJ563" s="7">
        <v>0</v>
      </c>
      <c r="AK563" s="273"/>
      <c r="AL563" s="273"/>
      <c r="AM563" s="273"/>
      <c r="AN563" s="7"/>
      <c r="AO563" s="7"/>
      <c r="AP563" s="7"/>
      <c r="AQ563" s="7" t="s">
        <v>2214</v>
      </c>
      <c r="AR563" s="283"/>
    </row>
    <row r="564" spans="1:44" s="216" customFormat="1" ht="15" customHeight="1">
      <c r="A564" s="7">
        <v>2010908</v>
      </c>
      <c r="B564" s="7" t="s">
        <v>2185</v>
      </c>
      <c r="C564" s="350" t="s">
        <v>2215</v>
      </c>
      <c r="D564" s="7" t="s">
        <v>1876</v>
      </c>
      <c r="E564" s="7"/>
      <c r="F564" s="36">
        <v>7</v>
      </c>
      <c r="G564" s="36">
        <v>7</v>
      </c>
      <c r="H564" s="7" t="s">
        <v>136</v>
      </c>
      <c r="I564" s="7" t="s">
        <v>137</v>
      </c>
      <c r="J564" s="7"/>
      <c r="K564" s="7"/>
      <c r="L564" s="350" t="s">
        <v>2216</v>
      </c>
      <c r="M564" s="238"/>
      <c r="N564" s="238"/>
      <c r="O564" s="350"/>
      <c r="P564" s="239"/>
      <c r="Q564" s="239">
        <v>0</v>
      </c>
      <c r="R564" s="239" t="s">
        <v>153</v>
      </c>
      <c r="S564" s="7">
        <v>2010910</v>
      </c>
      <c r="T564" s="262"/>
      <c r="U564" s="263"/>
      <c r="V564" s="239" t="s">
        <v>582</v>
      </c>
      <c r="W564" s="619" t="s">
        <v>2217</v>
      </c>
      <c r="X564" s="619" t="s">
        <v>2217</v>
      </c>
      <c r="Y564" s="239">
        <v>0</v>
      </c>
      <c r="Z564" s="239">
        <v>0</v>
      </c>
      <c r="AA564" s="239"/>
      <c r="AB564" s="239"/>
      <c r="AC564" s="7"/>
      <c r="AD564" s="7"/>
      <c r="AE564" s="7">
        <v>0</v>
      </c>
      <c r="AF564" s="7">
        <v>0</v>
      </c>
      <c r="AG564" s="7">
        <v>0</v>
      </c>
      <c r="AH564" s="7"/>
      <c r="AI564" s="7">
        <v>0</v>
      </c>
      <c r="AJ564" s="7">
        <v>0</v>
      </c>
      <c r="AK564" s="273"/>
      <c r="AL564" s="273"/>
      <c r="AM564" s="273"/>
      <c r="AN564" s="7"/>
      <c r="AO564" s="7"/>
      <c r="AP564" s="7"/>
      <c r="AQ564" s="7" t="s">
        <v>2218</v>
      </c>
      <c r="AR564" s="283"/>
    </row>
    <row r="565" spans="1:44" s="216" customFormat="1" ht="15" customHeight="1">
      <c r="A565" s="3">
        <v>2010909</v>
      </c>
      <c r="B565" s="3" t="s">
        <v>2185</v>
      </c>
      <c r="C565" s="236" t="s">
        <v>2219</v>
      </c>
      <c r="D565" s="44" t="s">
        <v>1876</v>
      </c>
      <c r="E565" s="41"/>
      <c r="F565" s="3">
        <v>8</v>
      </c>
      <c r="G565" s="36">
        <v>7</v>
      </c>
      <c r="H565" s="3" t="s">
        <v>136</v>
      </c>
      <c r="I565" s="3" t="s">
        <v>137</v>
      </c>
      <c r="J565" s="3"/>
      <c r="K565" s="3"/>
      <c r="L565" s="236"/>
      <c r="M565" s="99"/>
      <c r="N565" s="99"/>
      <c r="O565" s="236"/>
      <c r="P565" s="22"/>
      <c r="Q565" s="22">
        <v>0</v>
      </c>
      <c r="R565" s="22" t="s">
        <v>153</v>
      </c>
      <c r="S565" s="3"/>
      <c r="T565" s="260"/>
      <c r="U565" s="261"/>
      <c r="V565" s="22"/>
      <c r="W565" s="567" t="s">
        <v>1952</v>
      </c>
      <c r="X565" s="567" t="s">
        <v>6700</v>
      </c>
      <c r="Y565" s="22"/>
      <c r="Z565" s="22"/>
      <c r="AA565" s="22"/>
      <c r="AB565" s="22" t="s">
        <v>114</v>
      </c>
      <c r="AC565" s="3"/>
      <c r="AD565" s="3"/>
      <c r="AE565" s="3">
        <v>0</v>
      </c>
      <c r="AF565" s="3">
        <v>0</v>
      </c>
      <c r="AG565" s="3">
        <v>0</v>
      </c>
      <c r="AH565" s="3"/>
      <c r="AI565" s="3">
        <v>0</v>
      </c>
      <c r="AJ565" s="3">
        <v>0</v>
      </c>
      <c r="AK565" s="3">
        <v>0</v>
      </c>
      <c r="AL565" s="3"/>
      <c r="AM565" s="3"/>
      <c r="AN565" s="3"/>
      <c r="AO565" s="3"/>
      <c r="AP565" s="3"/>
      <c r="AQ565" s="3" t="s">
        <v>2199</v>
      </c>
      <c r="AR565" s="281"/>
    </row>
    <row r="566" spans="1:44" ht="15" customHeight="1">
      <c r="A566" s="3">
        <v>2010910</v>
      </c>
      <c r="B566" s="3" t="s">
        <v>2185</v>
      </c>
      <c r="C566" s="236" t="s">
        <v>2220</v>
      </c>
      <c r="D566" s="3" t="s">
        <v>1876</v>
      </c>
      <c r="F566" s="3">
        <v>9</v>
      </c>
      <c r="G566" s="36">
        <v>7</v>
      </c>
      <c r="H566" s="3" t="s">
        <v>136</v>
      </c>
      <c r="I566" s="3" t="s">
        <v>137</v>
      </c>
      <c r="J566" s="3"/>
      <c r="K566" s="3"/>
      <c r="L566" s="236"/>
      <c r="M566" s="99"/>
      <c r="N566" s="99"/>
      <c r="O566" s="236"/>
      <c r="P566" s="22"/>
      <c r="Q566" s="22">
        <v>0</v>
      </c>
      <c r="R566" s="22" t="s">
        <v>153</v>
      </c>
      <c r="S566" s="3"/>
      <c r="T566" s="260"/>
      <c r="U566" s="261"/>
      <c r="V566" s="22"/>
      <c r="W566" s="567" t="s">
        <v>2221</v>
      </c>
      <c r="X566" s="567" t="s">
        <v>6713</v>
      </c>
      <c r="Y566" s="22"/>
      <c r="Z566" s="22"/>
      <c r="AA566" s="22"/>
      <c r="AB566" s="22" t="s">
        <v>114</v>
      </c>
      <c r="AC566" s="3"/>
      <c r="AD566" s="3"/>
      <c r="AE566" s="3">
        <v>0</v>
      </c>
      <c r="AF566" s="3">
        <v>0</v>
      </c>
      <c r="AG566" s="3">
        <v>0</v>
      </c>
      <c r="AH566" s="3"/>
      <c r="AI566" s="3">
        <v>0</v>
      </c>
      <c r="AJ566" s="3">
        <v>0</v>
      </c>
      <c r="AK566" s="3">
        <v>0</v>
      </c>
      <c r="AL566" s="3"/>
      <c r="AM566" s="3"/>
      <c r="AN566" s="3"/>
      <c r="AO566" s="3"/>
      <c r="AP566" s="3"/>
      <c r="AQ566" s="282" t="str">
        <f>"tricks/"&amp;A566</f>
        <v>tricks/2010910</v>
      </c>
    </row>
    <row r="567" spans="1:44" s="216" customFormat="1" ht="15" customHeight="1">
      <c r="A567" s="3">
        <v>2010911</v>
      </c>
      <c r="B567" s="3" t="s">
        <v>2185</v>
      </c>
      <c r="C567" s="236" t="s">
        <v>2222</v>
      </c>
      <c r="D567" s="3" t="s">
        <v>1876</v>
      </c>
      <c r="E567" s="1"/>
      <c r="F567" s="3">
        <v>10</v>
      </c>
      <c r="G567" s="36">
        <v>7</v>
      </c>
      <c r="H567" s="3" t="s">
        <v>136</v>
      </c>
      <c r="I567" s="3" t="s">
        <v>137</v>
      </c>
      <c r="J567" s="3"/>
      <c r="K567" s="3"/>
      <c r="L567" s="236"/>
      <c r="M567" s="99"/>
      <c r="N567" s="99"/>
      <c r="O567" s="236"/>
      <c r="P567" s="22"/>
      <c r="Q567" s="22">
        <v>0</v>
      </c>
      <c r="R567" s="22" t="s">
        <v>153</v>
      </c>
      <c r="S567" s="3"/>
      <c r="T567" s="260"/>
      <c r="U567" s="261"/>
      <c r="V567" s="22"/>
      <c r="W567" s="567" t="s">
        <v>2223</v>
      </c>
      <c r="X567" s="567" t="s">
        <v>6714</v>
      </c>
      <c r="Y567" s="22"/>
      <c r="Z567" s="22"/>
      <c r="AA567" s="22"/>
      <c r="AB567" s="22" t="s">
        <v>114</v>
      </c>
      <c r="AC567" s="3"/>
      <c r="AD567" s="3"/>
      <c r="AE567" s="3">
        <v>0</v>
      </c>
      <c r="AF567" s="3">
        <v>0</v>
      </c>
      <c r="AG567" s="3">
        <v>0</v>
      </c>
      <c r="AH567" s="3"/>
      <c r="AI567" s="3">
        <v>0</v>
      </c>
      <c r="AJ567" s="3">
        <v>0</v>
      </c>
      <c r="AK567" s="3">
        <v>0</v>
      </c>
      <c r="AL567" s="3"/>
      <c r="AM567" s="3"/>
      <c r="AN567" s="3"/>
      <c r="AO567" s="3"/>
      <c r="AP567" s="3"/>
      <c r="AQ567" s="282" t="str">
        <f>"tricks/"&amp;A567</f>
        <v>tricks/2010911</v>
      </c>
      <c r="AR567" s="222"/>
    </row>
    <row r="568" spans="1:44" s="216" customFormat="1" ht="15" customHeight="1">
      <c r="A568" s="41">
        <v>2011001</v>
      </c>
      <c r="B568" s="41" t="s">
        <v>2224</v>
      </c>
      <c r="C568" s="174" t="s">
        <v>2225</v>
      </c>
      <c r="D568" s="41" t="s">
        <v>1876</v>
      </c>
      <c r="E568" s="41"/>
      <c r="F568" s="36">
        <v>1</v>
      </c>
      <c r="G568" s="36">
        <v>7</v>
      </c>
      <c r="H568" s="41" t="s">
        <v>82</v>
      </c>
      <c r="I568" s="41" t="s">
        <v>101</v>
      </c>
      <c r="J568" s="41"/>
      <c r="K568" s="41"/>
      <c r="L568" s="174" t="s">
        <v>2226</v>
      </c>
      <c r="M568" s="438"/>
      <c r="N568" s="378">
        <v>6</v>
      </c>
      <c r="O568" s="174"/>
      <c r="P568" s="137"/>
      <c r="Q568" s="137">
        <v>0</v>
      </c>
      <c r="R568" s="137" t="s">
        <v>153</v>
      </c>
      <c r="S568" s="41">
        <v>2011001</v>
      </c>
      <c r="T568" s="467"/>
      <c r="U568" s="468"/>
      <c r="V568" s="137" t="s">
        <v>582</v>
      </c>
      <c r="W568" s="619" t="s">
        <v>2227</v>
      </c>
      <c r="X568" s="619" t="s">
        <v>2227</v>
      </c>
      <c r="Y568" s="137">
        <v>0</v>
      </c>
      <c r="Z568" s="137">
        <v>0</v>
      </c>
      <c r="AA568" s="137"/>
      <c r="AB568" s="137"/>
      <c r="AC568" s="41"/>
      <c r="AD568" s="41"/>
      <c r="AE568" s="41">
        <v>1</v>
      </c>
      <c r="AF568" s="41">
        <v>1</v>
      </c>
      <c r="AG568" s="41">
        <v>30</v>
      </c>
      <c r="AH568" s="41"/>
      <c r="AI568" s="41"/>
      <c r="AJ568" s="41"/>
      <c r="AK568" s="139"/>
      <c r="AL568" s="139" t="s">
        <v>2228</v>
      </c>
      <c r="AM568" s="139" t="s">
        <v>2229</v>
      </c>
      <c r="AN568" s="43" t="s">
        <v>2230</v>
      </c>
      <c r="AO568" s="41"/>
      <c r="AP568" s="41"/>
      <c r="AQ568" s="41" t="s">
        <v>2231</v>
      </c>
      <c r="AR568" s="472"/>
    </row>
    <row r="569" spans="1:44" s="216" customFormat="1" ht="15" customHeight="1">
      <c r="A569" s="41">
        <v>2011002</v>
      </c>
      <c r="B569" s="41" t="s">
        <v>2224</v>
      </c>
      <c r="C569" s="174" t="s">
        <v>2232</v>
      </c>
      <c r="D569" s="41" t="s">
        <v>1876</v>
      </c>
      <c r="E569" s="41"/>
      <c r="F569" s="36">
        <v>1</v>
      </c>
      <c r="G569" s="36">
        <v>7</v>
      </c>
      <c r="H569" s="41" t="s">
        <v>136</v>
      </c>
      <c r="I569" s="41" t="s">
        <v>137</v>
      </c>
      <c r="J569" s="41"/>
      <c r="K569" s="41"/>
      <c r="L569" s="174" t="s">
        <v>2233</v>
      </c>
      <c r="M569" s="438"/>
      <c r="N569" s="438"/>
      <c r="O569" s="174"/>
      <c r="P569" s="137"/>
      <c r="Q569" s="137">
        <v>0</v>
      </c>
      <c r="R569" s="137" t="s">
        <v>153</v>
      </c>
      <c r="S569" s="41">
        <v>2011002</v>
      </c>
      <c r="T569" s="467"/>
      <c r="U569" s="468"/>
      <c r="V569" s="137" t="s">
        <v>582</v>
      </c>
      <c r="W569" s="619" t="s">
        <v>2234</v>
      </c>
      <c r="X569" s="619" t="s">
        <v>2234</v>
      </c>
      <c r="Y569" s="137">
        <v>0</v>
      </c>
      <c r="Z569" s="137">
        <v>0</v>
      </c>
      <c r="AA569" s="137"/>
      <c r="AB569" s="137"/>
      <c r="AC569" s="41"/>
      <c r="AD569" s="41"/>
      <c r="AE569" s="41">
        <v>0</v>
      </c>
      <c r="AF569" s="41">
        <v>0</v>
      </c>
      <c r="AG569" s="41">
        <v>0</v>
      </c>
      <c r="AH569" s="41"/>
      <c r="AI569" s="41">
        <v>0</v>
      </c>
      <c r="AJ569" s="41">
        <v>0</v>
      </c>
      <c r="AK569" s="139"/>
      <c r="AL569" s="139"/>
      <c r="AM569" s="139"/>
      <c r="AN569" s="41"/>
      <c r="AO569" s="41"/>
      <c r="AP569" s="41"/>
      <c r="AQ569" s="41" t="s">
        <v>2235</v>
      </c>
      <c r="AR569" s="472"/>
    </row>
    <row r="570" spans="1:44" s="216" customFormat="1" ht="15" customHeight="1">
      <c r="A570" s="41">
        <v>2011003</v>
      </c>
      <c r="B570" s="41" t="s">
        <v>2224</v>
      </c>
      <c r="C570" s="174" t="s">
        <v>2236</v>
      </c>
      <c r="D570" s="41" t="s">
        <v>1876</v>
      </c>
      <c r="E570" s="41"/>
      <c r="F570" s="36">
        <v>2</v>
      </c>
      <c r="G570" s="36">
        <v>7</v>
      </c>
      <c r="H570" s="41" t="s">
        <v>136</v>
      </c>
      <c r="I570" s="41" t="s">
        <v>137</v>
      </c>
      <c r="J570" s="41"/>
      <c r="K570" s="41"/>
      <c r="L570" s="174" t="s">
        <v>2237</v>
      </c>
      <c r="M570" s="438"/>
      <c r="N570" s="438"/>
      <c r="O570" s="174"/>
      <c r="P570" s="137"/>
      <c r="Q570" s="137">
        <v>0</v>
      </c>
      <c r="R570" s="137" t="s">
        <v>153</v>
      </c>
      <c r="S570" s="41">
        <v>2011003</v>
      </c>
      <c r="T570" s="467"/>
      <c r="U570" s="468"/>
      <c r="V570" s="137" t="s">
        <v>582</v>
      </c>
      <c r="W570" s="619" t="s">
        <v>2238</v>
      </c>
      <c r="X570" s="619" t="s">
        <v>2238</v>
      </c>
      <c r="Y570" s="137">
        <v>0</v>
      </c>
      <c r="Z570" s="137">
        <v>0</v>
      </c>
      <c r="AA570" s="137"/>
      <c r="AB570" s="137"/>
      <c r="AC570" s="41"/>
      <c r="AD570" s="41"/>
      <c r="AE570" s="41">
        <v>0</v>
      </c>
      <c r="AF570" s="41">
        <v>0</v>
      </c>
      <c r="AG570" s="41">
        <v>0</v>
      </c>
      <c r="AH570" s="41"/>
      <c r="AI570" s="41">
        <v>0</v>
      </c>
      <c r="AJ570" s="41">
        <v>0</v>
      </c>
      <c r="AK570" s="139"/>
      <c r="AL570" s="139"/>
      <c r="AM570" s="139"/>
      <c r="AN570" s="41"/>
      <c r="AO570" s="41"/>
      <c r="AP570" s="41"/>
      <c r="AQ570" s="41" t="s">
        <v>2239</v>
      </c>
      <c r="AR570" s="472"/>
    </row>
    <row r="571" spans="1:44" s="216" customFormat="1" ht="15" customHeight="1">
      <c r="A571" s="41">
        <v>2011004</v>
      </c>
      <c r="B571" s="41" t="s">
        <v>2224</v>
      </c>
      <c r="C571" s="174" t="s">
        <v>2240</v>
      </c>
      <c r="D571" s="41" t="s">
        <v>1876</v>
      </c>
      <c r="E571" s="41"/>
      <c r="F571" s="36">
        <v>3</v>
      </c>
      <c r="G571" s="36">
        <v>7</v>
      </c>
      <c r="H571" s="41" t="s">
        <v>136</v>
      </c>
      <c r="I571" s="41" t="s">
        <v>137</v>
      </c>
      <c r="J571" s="41"/>
      <c r="K571" s="41"/>
      <c r="L571" s="174" t="s">
        <v>2241</v>
      </c>
      <c r="M571" s="438"/>
      <c r="N571" s="438"/>
      <c r="O571" s="174"/>
      <c r="P571" s="137"/>
      <c r="Q571" s="137">
        <v>0</v>
      </c>
      <c r="R571" s="137" t="s">
        <v>153</v>
      </c>
      <c r="S571" s="41">
        <v>2011005</v>
      </c>
      <c r="T571" s="467"/>
      <c r="U571" s="468"/>
      <c r="V571" s="137" t="s">
        <v>582</v>
      </c>
      <c r="W571" s="619" t="s">
        <v>2242</v>
      </c>
      <c r="X571" s="619" t="s">
        <v>2242</v>
      </c>
      <c r="Y571" s="137">
        <v>0</v>
      </c>
      <c r="Z571" s="137">
        <v>0</v>
      </c>
      <c r="AA571" s="137"/>
      <c r="AB571" s="137"/>
      <c r="AC571" s="41"/>
      <c r="AD571" s="41"/>
      <c r="AE571" s="41">
        <v>0</v>
      </c>
      <c r="AF571" s="41">
        <v>0</v>
      </c>
      <c r="AG571" s="41">
        <v>0</v>
      </c>
      <c r="AH571" s="41"/>
      <c r="AI571" s="41">
        <v>0</v>
      </c>
      <c r="AJ571" s="41">
        <v>0</v>
      </c>
      <c r="AK571" s="139"/>
      <c r="AL571" s="139"/>
      <c r="AM571" s="139"/>
      <c r="AN571" s="41"/>
      <c r="AO571" s="41"/>
      <c r="AP571" s="41"/>
      <c r="AQ571" s="41" t="s">
        <v>2243</v>
      </c>
      <c r="AR571" s="472"/>
    </row>
    <row r="572" spans="1:44" s="216" customFormat="1" ht="15" customHeight="1">
      <c r="A572" s="41">
        <v>2011005</v>
      </c>
      <c r="B572" s="41" t="s">
        <v>2224</v>
      </c>
      <c r="C572" s="174" t="s">
        <v>2244</v>
      </c>
      <c r="D572" s="41" t="s">
        <v>1876</v>
      </c>
      <c r="E572" s="41"/>
      <c r="F572" s="36">
        <v>4</v>
      </c>
      <c r="G572" s="36">
        <v>7</v>
      </c>
      <c r="H572" s="41" t="s">
        <v>136</v>
      </c>
      <c r="I572" s="41" t="s">
        <v>137</v>
      </c>
      <c r="J572" s="41"/>
      <c r="K572" s="41"/>
      <c r="L572" s="174" t="s">
        <v>2245</v>
      </c>
      <c r="M572" s="438"/>
      <c r="N572" s="438"/>
      <c r="O572" s="174"/>
      <c r="P572" s="137"/>
      <c r="Q572" s="137">
        <v>0</v>
      </c>
      <c r="R572" s="137" t="s">
        <v>153</v>
      </c>
      <c r="S572" s="41">
        <v>2011007</v>
      </c>
      <c r="T572" s="467"/>
      <c r="U572" s="468"/>
      <c r="V572" s="137" t="s">
        <v>582</v>
      </c>
      <c r="W572" s="619" t="s">
        <v>2246</v>
      </c>
      <c r="X572" s="619" t="s">
        <v>2246</v>
      </c>
      <c r="Y572" s="137">
        <v>0</v>
      </c>
      <c r="Z572" s="137">
        <v>0</v>
      </c>
      <c r="AA572" s="137"/>
      <c r="AB572" s="137"/>
      <c r="AC572" s="41"/>
      <c r="AD572" s="41"/>
      <c r="AE572" s="41">
        <v>0</v>
      </c>
      <c r="AF572" s="41">
        <v>0</v>
      </c>
      <c r="AG572" s="41">
        <v>0</v>
      </c>
      <c r="AH572" s="41"/>
      <c r="AI572" s="41">
        <v>0</v>
      </c>
      <c r="AJ572" s="41">
        <v>0</v>
      </c>
      <c r="AK572" s="139"/>
      <c r="AL572" s="139"/>
      <c r="AM572" s="139"/>
      <c r="AN572" s="41"/>
      <c r="AO572" s="41"/>
      <c r="AP572" s="41"/>
      <c r="AQ572" s="41" t="s">
        <v>2247</v>
      </c>
      <c r="AR572" s="472"/>
    </row>
    <row r="573" spans="1:44" s="216" customFormat="1" ht="15" customHeight="1">
      <c r="A573" s="41">
        <v>2011006</v>
      </c>
      <c r="B573" s="41" t="s">
        <v>2224</v>
      </c>
      <c r="C573" s="174" t="s">
        <v>2248</v>
      </c>
      <c r="D573" s="41" t="s">
        <v>1876</v>
      </c>
      <c r="E573" s="41"/>
      <c r="F573" s="36">
        <v>5</v>
      </c>
      <c r="G573" s="36">
        <v>7</v>
      </c>
      <c r="H573" s="41" t="s">
        <v>136</v>
      </c>
      <c r="I573" s="41" t="s">
        <v>137</v>
      </c>
      <c r="J573" s="41"/>
      <c r="K573" s="41"/>
      <c r="L573" s="174" t="s">
        <v>2249</v>
      </c>
      <c r="M573" s="438"/>
      <c r="N573" s="438"/>
      <c r="O573" s="174"/>
      <c r="P573" s="137"/>
      <c r="Q573" s="137">
        <v>0</v>
      </c>
      <c r="R573" s="137" t="s">
        <v>153</v>
      </c>
      <c r="S573" s="41">
        <v>2011008</v>
      </c>
      <c r="T573" s="467"/>
      <c r="U573" s="468"/>
      <c r="V573" s="137" t="s">
        <v>582</v>
      </c>
      <c r="W573" s="619" t="s">
        <v>2250</v>
      </c>
      <c r="X573" s="619" t="s">
        <v>2250</v>
      </c>
      <c r="Y573" s="137">
        <v>0</v>
      </c>
      <c r="Z573" s="137">
        <v>0</v>
      </c>
      <c r="AA573" s="137"/>
      <c r="AB573" s="137"/>
      <c r="AC573" s="41"/>
      <c r="AD573" s="41"/>
      <c r="AE573" s="41">
        <v>0</v>
      </c>
      <c r="AF573" s="41">
        <v>0</v>
      </c>
      <c r="AG573" s="41">
        <v>0</v>
      </c>
      <c r="AH573" s="41"/>
      <c r="AI573" s="41">
        <v>0</v>
      </c>
      <c r="AJ573" s="41">
        <v>0</v>
      </c>
      <c r="AK573" s="139"/>
      <c r="AL573" s="139"/>
      <c r="AM573" s="139"/>
      <c r="AN573" s="41"/>
      <c r="AO573" s="41"/>
      <c r="AP573" s="41"/>
      <c r="AQ573" s="41" t="s">
        <v>2251</v>
      </c>
      <c r="AR573" s="472"/>
    </row>
    <row r="574" spans="1:44" s="216" customFormat="1" ht="15" customHeight="1">
      <c r="A574" s="41">
        <v>2011007</v>
      </c>
      <c r="B574" s="41" t="s">
        <v>2224</v>
      </c>
      <c r="C574" s="174" t="s">
        <v>2252</v>
      </c>
      <c r="D574" s="41" t="s">
        <v>1876</v>
      </c>
      <c r="E574" s="41"/>
      <c r="F574" s="36">
        <v>6</v>
      </c>
      <c r="G574" s="36">
        <v>7</v>
      </c>
      <c r="H574" s="41" t="s">
        <v>136</v>
      </c>
      <c r="I574" s="41" t="s">
        <v>137</v>
      </c>
      <c r="J574" s="41"/>
      <c r="K574" s="41"/>
      <c r="L574" s="174" t="s">
        <v>2253</v>
      </c>
      <c r="M574" s="438"/>
      <c r="N574" s="438"/>
      <c r="O574" s="174"/>
      <c r="P574" s="137"/>
      <c r="Q574" s="137">
        <v>0</v>
      </c>
      <c r="R574" s="137" t="s">
        <v>153</v>
      </c>
      <c r="S574" s="41">
        <v>2011009</v>
      </c>
      <c r="T574" s="467"/>
      <c r="U574" s="468"/>
      <c r="V574" s="137" t="s">
        <v>582</v>
      </c>
      <c r="W574" s="619" t="s">
        <v>2242</v>
      </c>
      <c r="X574" s="619" t="s">
        <v>2242</v>
      </c>
      <c r="Y574" s="137">
        <v>0</v>
      </c>
      <c r="Z574" s="137">
        <v>0</v>
      </c>
      <c r="AA574" s="137"/>
      <c r="AB574" s="137"/>
      <c r="AC574" s="41"/>
      <c r="AD574" s="41"/>
      <c r="AE574" s="41">
        <v>0</v>
      </c>
      <c r="AF574" s="41">
        <v>0</v>
      </c>
      <c r="AG574" s="41">
        <v>0</v>
      </c>
      <c r="AH574" s="41"/>
      <c r="AI574" s="41">
        <v>0</v>
      </c>
      <c r="AJ574" s="41">
        <v>0</v>
      </c>
      <c r="AK574" s="139"/>
      <c r="AL574" s="139"/>
      <c r="AM574" s="139"/>
      <c r="AN574" s="41"/>
      <c r="AO574" s="41"/>
      <c r="AP574" s="41"/>
      <c r="AQ574" s="41" t="s">
        <v>2254</v>
      </c>
      <c r="AR574" s="472"/>
    </row>
    <row r="575" spans="1:44" ht="15" customHeight="1">
      <c r="A575" s="41">
        <v>2011008</v>
      </c>
      <c r="B575" s="41" t="s">
        <v>2224</v>
      </c>
      <c r="C575" s="174" t="s">
        <v>2255</v>
      </c>
      <c r="D575" s="41" t="s">
        <v>1876</v>
      </c>
      <c r="E575" s="41"/>
      <c r="F575" s="36">
        <v>7</v>
      </c>
      <c r="G575" s="36">
        <v>7</v>
      </c>
      <c r="H575" s="41" t="s">
        <v>136</v>
      </c>
      <c r="I575" s="41" t="s">
        <v>137</v>
      </c>
      <c r="J575" s="41"/>
      <c r="K575" s="41"/>
      <c r="L575" s="174" t="s">
        <v>2256</v>
      </c>
      <c r="M575" s="438"/>
      <c r="N575" s="438"/>
      <c r="O575" s="174"/>
      <c r="P575" s="137"/>
      <c r="Q575" s="137">
        <v>0</v>
      </c>
      <c r="R575" s="137" t="s">
        <v>153</v>
      </c>
      <c r="S575" s="41">
        <v>2011010</v>
      </c>
      <c r="T575" s="467"/>
      <c r="U575" s="468"/>
      <c r="V575" s="137" t="s">
        <v>582</v>
      </c>
      <c r="W575" s="619" t="s">
        <v>2257</v>
      </c>
      <c r="X575" s="619" t="s">
        <v>2257</v>
      </c>
      <c r="Y575" s="137">
        <v>0</v>
      </c>
      <c r="Z575" s="137">
        <v>0</v>
      </c>
      <c r="AA575" s="137"/>
      <c r="AB575" s="137"/>
      <c r="AC575" s="41"/>
      <c r="AD575" s="41"/>
      <c r="AE575" s="41">
        <v>0</v>
      </c>
      <c r="AF575" s="41">
        <v>0</v>
      </c>
      <c r="AG575" s="41">
        <v>0</v>
      </c>
      <c r="AH575" s="41"/>
      <c r="AI575" s="41">
        <v>0</v>
      </c>
      <c r="AJ575" s="41">
        <v>0</v>
      </c>
      <c r="AK575" s="139"/>
      <c r="AL575" s="139"/>
      <c r="AM575" s="139"/>
      <c r="AN575" s="41"/>
      <c r="AO575" s="41"/>
      <c r="AP575" s="41"/>
      <c r="AQ575" s="41" t="s">
        <v>2258</v>
      </c>
      <c r="AR575" s="472"/>
    </row>
    <row r="576" spans="1:44" s="217" customFormat="1" ht="15" customHeight="1">
      <c r="A576" s="3">
        <v>2011009</v>
      </c>
      <c r="B576" s="3" t="s">
        <v>2224</v>
      </c>
      <c r="C576" s="236" t="s">
        <v>2259</v>
      </c>
      <c r="D576" s="44" t="s">
        <v>1876</v>
      </c>
      <c r="E576" s="41"/>
      <c r="F576" s="3">
        <v>8</v>
      </c>
      <c r="G576" s="36">
        <v>7</v>
      </c>
      <c r="H576" s="3" t="s">
        <v>136</v>
      </c>
      <c r="I576" s="3" t="s">
        <v>137</v>
      </c>
      <c r="J576" s="3"/>
      <c r="K576" s="3"/>
      <c r="L576" s="236"/>
      <c r="M576" s="99"/>
      <c r="N576" s="99"/>
      <c r="O576" s="236"/>
      <c r="P576" s="22"/>
      <c r="Q576" s="22">
        <v>0</v>
      </c>
      <c r="R576" s="22" t="s">
        <v>153</v>
      </c>
      <c r="S576" s="3"/>
      <c r="T576" s="260"/>
      <c r="U576" s="261"/>
      <c r="V576" s="22"/>
      <c r="W576" s="567" t="s">
        <v>1952</v>
      </c>
      <c r="X576" s="567" t="s">
        <v>6700</v>
      </c>
      <c r="Y576" s="22"/>
      <c r="Z576" s="22"/>
      <c r="AA576" s="22"/>
      <c r="AB576" s="22" t="s">
        <v>114</v>
      </c>
      <c r="AC576" s="3"/>
      <c r="AD576" s="3"/>
      <c r="AE576" s="3">
        <v>0</v>
      </c>
      <c r="AF576" s="3">
        <v>0</v>
      </c>
      <c r="AG576" s="3">
        <v>0</v>
      </c>
      <c r="AH576" s="3"/>
      <c r="AI576" s="3">
        <v>0</v>
      </c>
      <c r="AJ576" s="3">
        <v>0</v>
      </c>
      <c r="AK576" s="3">
        <v>0</v>
      </c>
      <c r="AL576" s="3"/>
      <c r="AM576" s="3"/>
      <c r="AN576" s="3"/>
      <c r="AO576" s="3"/>
      <c r="AP576" s="3"/>
      <c r="AQ576" s="3" t="s">
        <v>2239</v>
      </c>
      <c r="AR576" s="281"/>
    </row>
    <row r="577" spans="1:44" s="217" customFormat="1" ht="15" customHeight="1">
      <c r="A577" s="3">
        <v>2011010</v>
      </c>
      <c r="B577" s="3" t="s">
        <v>2224</v>
      </c>
      <c r="C577" s="236" t="s">
        <v>2260</v>
      </c>
      <c r="D577" s="3" t="s">
        <v>1876</v>
      </c>
      <c r="E577" s="1"/>
      <c r="F577" s="3">
        <v>9</v>
      </c>
      <c r="G577" s="36">
        <v>7</v>
      </c>
      <c r="H577" s="3" t="s">
        <v>136</v>
      </c>
      <c r="I577" s="3" t="s">
        <v>137</v>
      </c>
      <c r="J577" s="3"/>
      <c r="K577" s="3"/>
      <c r="L577" s="236"/>
      <c r="M577" s="99"/>
      <c r="N577" s="99"/>
      <c r="O577" s="236"/>
      <c r="P577" s="22"/>
      <c r="Q577" s="22">
        <v>0</v>
      </c>
      <c r="R577" s="22" t="s">
        <v>153</v>
      </c>
      <c r="S577" s="3"/>
      <c r="T577" s="260"/>
      <c r="U577" s="261"/>
      <c r="V577" s="22"/>
      <c r="W577" s="567" t="s">
        <v>2261</v>
      </c>
      <c r="X577" s="567" t="s">
        <v>6715</v>
      </c>
      <c r="Y577" s="22"/>
      <c r="Z577" s="22"/>
      <c r="AA577" s="22"/>
      <c r="AB577" s="22" t="s">
        <v>114</v>
      </c>
      <c r="AC577" s="3"/>
      <c r="AD577" s="3"/>
      <c r="AE577" s="3">
        <v>0</v>
      </c>
      <c r="AF577" s="3">
        <v>0</v>
      </c>
      <c r="AG577" s="3">
        <v>0</v>
      </c>
      <c r="AH577" s="3"/>
      <c r="AI577" s="3">
        <v>0</v>
      </c>
      <c r="AJ577" s="3">
        <v>0</v>
      </c>
      <c r="AK577" s="3">
        <v>0</v>
      </c>
      <c r="AL577" s="3"/>
      <c r="AM577" s="3"/>
      <c r="AN577" s="3"/>
      <c r="AO577" s="3"/>
      <c r="AP577" s="3"/>
      <c r="AQ577" s="282" t="str">
        <f>"tricks/"&amp;A577</f>
        <v>tricks/2011010</v>
      </c>
      <c r="AR577" s="222"/>
    </row>
    <row r="578" spans="1:44" s="217" customFormat="1" ht="15" customHeight="1">
      <c r="A578" s="3">
        <v>2011011</v>
      </c>
      <c r="B578" s="3" t="s">
        <v>2224</v>
      </c>
      <c r="C578" s="236" t="s">
        <v>2262</v>
      </c>
      <c r="D578" s="3" t="s">
        <v>1876</v>
      </c>
      <c r="E578" s="1"/>
      <c r="F578" s="3">
        <v>10</v>
      </c>
      <c r="G578" s="36">
        <v>7</v>
      </c>
      <c r="H578" s="3" t="s">
        <v>136</v>
      </c>
      <c r="I578" s="3" t="s">
        <v>137</v>
      </c>
      <c r="J578" s="3"/>
      <c r="K578" s="3"/>
      <c r="L578" s="236"/>
      <c r="M578" s="99"/>
      <c r="N578" s="99"/>
      <c r="O578" s="236"/>
      <c r="P578" s="22"/>
      <c r="Q578" s="22">
        <v>0</v>
      </c>
      <c r="R578" s="22" t="s">
        <v>153</v>
      </c>
      <c r="S578" s="3"/>
      <c r="T578" s="260"/>
      <c r="U578" s="261"/>
      <c r="V578" s="22"/>
      <c r="W578" s="567" t="s">
        <v>2263</v>
      </c>
      <c r="X578" s="567" t="s">
        <v>6716</v>
      </c>
      <c r="Y578" s="22"/>
      <c r="Z578" s="22"/>
      <c r="AA578" s="22"/>
      <c r="AB578" s="22" t="s">
        <v>114</v>
      </c>
      <c r="AC578" s="3"/>
      <c r="AD578" s="3"/>
      <c r="AE578" s="3">
        <v>0</v>
      </c>
      <c r="AF578" s="3">
        <v>0</v>
      </c>
      <c r="AG578" s="3">
        <v>0</v>
      </c>
      <c r="AH578" s="3"/>
      <c r="AI578" s="3">
        <v>0</v>
      </c>
      <c r="AJ578" s="3">
        <v>0</v>
      </c>
      <c r="AK578" s="3">
        <v>0</v>
      </c>
      <c r="AL578" s="3"/>
      <c r="AM578" s="3"/>
      <c r="AN578" s="3"/>
      <c r="AO578" s="3"/>
      <c r="AP578" s="3"/>
      <c r="AQ578" s="282" t="str">
        <f>"tricks/"&amp;A578</f>
        <v>tricks/2011011</v>
      </c>
      <c r="AR578" s="222"/>
    </row>
    <row r="579" spans="1:44" s="217" customFormat="1" ht="15" customHeight="1">
      <c r="A579" s="31">
        <v>2011101</v>
      </c>
      <c r="B579" s="31" t="s">
        <v>2264</v>
      </c>
      <c r="C579" s="414" t="s">
        <v>2265</v>
      </c>
      <c r="D579" s="31" t="s">
        <v>1876</v>
      </c>
      <c r="E579" s="31"/>
      <c r="F579" s="36">
        <v>1</v>
      </c>
      <c r="G579" s="36">
        <v>7</v>
      </c>
      <c r="H579" s="31" t="s">
        <v>82</v>
      </c>
      <c r="I579" s="31" t="s">
        <v>101</v>
      </c>
      <c r="J579" s="31"/>
      <c r="K579" s="31"/>
      <c r="L579" s="414" t="s">
        <v>2266</v>
      </c>
      <c r="M579" s="343"/>
      <c r="N579" s="378">
        <v>7</v>
      </c>
      <c r="O579" s="414"/>
      <c r="P579" s="344"/>
      <c r="Q579" s="344">
        <v>0</v>
      </c>
      <c r="R579" s="344" t="s">
        <v>153</v>
      </c>
      <c r="S579" s="31">
        <v>2011101</v>
      </c>
      <c r="T579" s="417"/>
      <c r="U579" s="418"/>
      <c r="V579" s="344" t="s">
        <v>582</v>
      </c>
      <c r="W579" s="619" t="s">
        <v>2267</v>
      </c>
      <c r="X579" s="619" t="s">
        <v>2267</v>
      </c>
      <c r="Y579" s="344">
        <v>0</v>
      </c>
      <c r="Z579" s="344">
        <v>0</v>
      </c>
      <c r="AA579" s="344"/>
      <c r="AB579" s="344"/>
      <c r="AC579" s="31"/>
      <c r="AD579" s="31"/>
      <c r="AE579" s="31">
        <v>1</v>
      </c>
      <c r="AF579" s="31">
        <v>1</v>
      </c>
      <c r="AG579" s="31">
        <v>30</v>
      </c>
      <c r="AH579" s="31"/>
      <c r="AI579" s="31"/>
      <c r="AJ579" s="31"/>
      <c r="AK579" s="359"/>
      <c r="AL579" s="359"/>
      <c r="AM579" s="359"/>
      <c r="AN579" s="43" t="s">
        <v>2268</v>
      </c>
      <c r="AO579" s="31"/>
      <c r="AP579" s="31"/>
      <c r="AQ579" s="31" t="s">
        <v>2269</v>
      </c>
      <c r="AR579" s="424"/>
    </row>
    <row r="580" spans="1:44" s="217" customFormat="1" ht="15" customHeight="1">
      <c r="A580" s="31">
        <v>2011102</v>
      </c>
      <c r="B580" s="31" t="s">
        <v>2264</v>
      </c>
      <c r="C580" s="414" t="s">
        <v>2270</v>
      </c>
      <c r="D580" s="31" t="s">
        <v>1876</v>
      </c>
      <c r="E580" s="31"/>
      <c r="F580" s="36">
        <v>1</v>
      </c>
      <c r="G580" s="36">
        <v>7</v>
      </c>
      <c r="H580" s="31" t="s">
        <v>136</v>
      </c>
      <c r="I580" s="31" t="s">
        <v>137</v>
      </c>
      <c r="J580" s="31"/>
      <c r="K580" s="31"/>
      <c r="L580" s="414" t="s">
        <v>2271</v>
      </c>
      <c r="M580" s="343"/>
      <c r="N580" s="343"/>
      <c r="O580" s="414"/>
      <c r="P580" s="344"/>
      <c r="Q580" s="344">
        <v>0</v>
      </c>
      <c r="R580" s="344" t="s">
        <v>153</v>
      </c>
      <c r="S580" s="31">
        <v>2011102</v>
      </c>
      <c r="T580" s="417"/>
      <c r="U580" s="418"/>
      <c r="V580" s="344" t="s">
        <v>582</v>
      </c>
      <c r="W580" s="619" t="s">
        <v>2272</v>
      </c>
      <c r="X580" s="619" t="s">
        <v>2272</v>
      </c>
      <c r="Y580" s="344">
        <v>0</v>
      </c>
      <c r="Z580" s="344">
        <v>0</v>
      </c>
      <c r="AA580" s="344"/>
      <c r="AB580" s="344"/>
      <c r="AC580" s="31"/>
      <c r="AD580" s="31"/>
      <c r="AE580" s="31">
        <v>0</v>
      </c>
      <c r="AF580" s="31">
        <v>0</v>
      </c>
      <c r="AG580" s="31">
        <v>0</v>
      </c>
      <c r="AH580" s="31"/>
      <c r="AI580" s="31">
        <v>0</v>
      </c>
      <c r="AJ580" s="31">
        <v>0</v>
      </c>
      <c r="AK580" s="359"/>
      <c r="AL580" s="359"/>
      <c r="AM580" s="359"/>
      <c r="AN580" s="31"/>
      <c r="AO580" s="31"/>
      <c r="AP580" s="31"/>
      <c r="AQ580" s="31" t="s">
        <v>2273</v>
      </c>
      <c r="AR580" s="424"/>
    </row>
    <row r="581" spans="1:44" s="217" customFormat="1" ht="15" customHeight="1">
      <c r="A581" s="31">
        <v>2011103</v>
      </c>
      <c r="B581" s="31" t="s">
        <v>2264</v>
      </c>
      <c r="C581" s="414" t="s">
        <v>2274</v>
      </c>
      <c r="D581" s="31" t="s">
        <v>1876</v>
      </c>
      <c r="E581" s="31"/>
      <c r="F581" s="36">
        <v>2</v>
      </c>
      <c r="G581" s="36">
        <v>7</v>
      </c>
      <c r="H581" s="31" t="s">
        <v>136</v>
      </c>
      <c r="I581" s="31" t="s">
        <v>137</v>
      </c>
      <c r="J581" s="31"/>
      <c r="K581" s="31"/>
      <c r="L581" s="414" t="s">
        <v>2275</v>
      </c>
      <c r="M581" s="343"/>
      <c r="N581" s="343"/>
      <c r="O581" s="414"/>
      <c r="P581" s="344"/>
      <c r="Q581" s="344">
        <v>0</v>
      </c>
      <c r="R581" s="344" t="s">
        <v>153</v>
      </c>
      <c r="S581" s="31">
        <v>2011104</v>
      </c>
      <c r="T581" s="417"/>
      <c r="U581" s="418"/>
      <c r="V581" s="344" t="s">
        <v>582</v>
      </c>
      <c r="W581" s="619" t="s">
        <v>2276</v>
      </c>
      <c r="X581" s="619" t="s">
        <v>2276</v>
      </c>
      <c r="Y581" s="344">
        <v>0</v>
      </c>
      <c r="Z581" s="344">
        <v>0</v>
      </c>
      <c r="AA581" s="344"/>
      <c r="AB581" s="344"/>
      <c r="AC581" s="31"/>
      <c r="AD581" s="31"/>
      <c r="AE581" s="31">
        <v>0</v>
      </c>
      <c r="AF581" s="31">
        <v>0</v>
      </c>
      <c r="AG581" s="31">
        <v>0</v>
      </c>
      <c r="AH581" s="31"/>
      <c r="AI581" s="31">
        <v>0</v>
      </c>
      <c r="AJ581" s="31">
        <v>0</v>
      </c>
      <c r="AK581" s="359"/>
      <c r="AL581" s="359"/>
      <c r="AM581" s="359"/>
      <c r="AN581" s="31"/>
      <c r="AO581" s="31"/>
      <c r="AP581" s="31"/>
      <c r="AQ581" s="31" t="s">
        <v>2277</v>
      </c>
      <c r="AR581" s="424"/>
    </row>
    <row r="582" spans="1:44" s="217" customFormat="1" ht="15" customHeight="1">
      <c r="A582" s="31">
        <v>2011104</v>
      </c>
      <c r="B582" s="31" t="s">
        <v>2264</v>
      </c>
      <c r="C582" s="414" t="s">
        <v>2278</v>
      </c>
      <c r="D582" s="31" t="s">
        <v>1876</v>
      </c>
      <c r="E582" s="31"/>
      <c r="F582" s="36">
        <v>3</v>
      </c>
      <c r="G582" s="36">
        <v>7</v>
      </c>
      <c r="H582" s="31" t="s">
        <v>136</v>
      </c>
      <c r="I582" s="31" t="s">
        <v>137</v>
      </c>
      <c r="J582" s="31"/>
      <c r="K582" s="345"/>
      <c r="L582" s="414" t="s">
        <v>2279</v>
      </c>
      <c r="M582" s="343"/>
      <c r="N582" s="343"/>
      <c r="O582" s="414"/>
      <c r="P582" s="344"/>
      <c r="Q582" s="344">
        <v>0</v>
      </c>
      <c r="R582" s="344" t="s">
        <v>153</v>
      </c>
      <c r="S582" s="31">
        <v>2011105</v>
      </c>
      <c r="T582" s="417"/>
      <c r="U582" s="418"/>
      <c r="V582" s="344" t="s">
        <v>582</v>
      </c>
      <c r="W582" s="619" t="s">
        <v>2280</v>
      </c>
      <c r="X582" s="619" t="s">
        <v>2280</v>
      </c>
      <c r="Y582" s="344">
        <v>0</v>
      </c>
      <c r="Z582" s="344">
        <v>0</v>
      </c>
      <c r="AA582" s="344"/>
      <c r="AB582" s="344"/>
      <c r="AC582" s="31"/>
      <c r="AD582" s="31"/>
      <c r="AE582" s="31">
        <v>0</v>
      </c>
      <c r="AF582" s="31">
        <v>0</v>
      </c>
      <c r="AG582" s="31">
        <v>0</v>
      </c>
      <c r="AH582" s="31"/>
      <c r="AI582" s="31">
        <v>0</v>
      </c>
      <c r="AJ582" s="31">
        <v>0</v>
      </c>
      <c r="AK582" s="359"/>
      <c r="AL582" s="359"/>
      <c r="AM582" s="359"/>
      <c r="AN582" s="31"/>
      <c r="AO582" s="31"/>
      <c r="AP582" s="31"/>
      <c r="AQ582" s="31" t="s">
        <v>2281</v>
      </c>
      <c r="AR582" s="424"/>
    </row>
    <row r="583" spans="1:44" s="217" customFormat="1" ht="15" customHeight="1">
      <c r="A583" s="31">
        <v>2011105</v>
      </c>
      <c r="B583" s="31" t="s">
        <v>2264</v>
      </c>
      <c r="C583" s="414" t="s">
        <v>2282</v>
      </c>
      <c r="D583" s="31" t="s">
        <v>1876</v>
      </c>
      <c r="E583" s="31"/>
      <c r="F583" s="36">
        <v>4</v>
      </c>
      <c r="G583" s="36">
        <v>7</v>
      </c>
      <c r="H583" s="31" t="s">
        <v>136</v>
      </c>
      <c r="I583" s="31" t="s">
        <v>137</v>
      </c>
      <c r="J583" s="31"/>
      <c r="K583" s="345"/>
      <c r="L583" s="414" t="s">
        <v>2283</v>
      </c>
      <c r="M583" s="343"/>
      <c r="N583" s="343"/>
      <c r="O583" s="414"/>
      <c r="P583" s="344"/>
      <c r="Q583" s="344">
        <v>0</v>
      </c>
      <c r="R583" s="344" t="s">
        <v>153</v>
      </c>
      <c r="S583" s="31">
        <v>2011106</v>
      </c>
      <c r="T583" s="417"/>
      <c r="U583" s="418"/>
      <c r="V583" s="344" t="s">
        <v>582</v>
      </c>
      <c r="W583" s="619" t="s">
        <v>2284</v>
      </c>
      <c r="X583" s="619" t="s">
        <v>2284</v>
      </c>
      <c r="Y583" s="344">
        <v>0</v>
      </c>
      <c r="Z583" s="344">
        <v>0</v>
      </c>
      <c r="AA583" s="344"/>
      <c r="AB583" s="344"/>
      <c r="AC583" s="31"/>
      <c r="AD583" s="31"/>
      <c r="AE583" s="31">
        <v>0</v>
      </c>
      <c r="AF583" s="31">
        <v>0</v>
      </c>
      <c r="AG583" s="31">
        <v>0</v>
      </c>
      <c r="AH583" s="31"/>
      <c r="AI583" s="31">
        <v>0</v>
      </c>
      <c r="AJ583" s="31">
        <v>0</v>
      </c>
      <c r="AK583" s="359"/>
      <c r="AL583" s="359"/>
      <c r="AM583" s="359"/>
      <c r="AN583" s="31"/>
      <c r="AO583" s="31"/>
      <c r="AP583" s="31"/>
      <c r="AQ583" s="31" t="s">
        <v>2285</v>
      </c>
      <c r="AR583" s="424"/>
    </row>
    <row r="584" spans="1:44" ht="15" customHeight="1">
      <c r="A584" s="31">
        <v>2011106</v>
      </c>
      <c r="B584" s="31" t="s">
        <v>2264</v>
      </c>
      <c r="C584" s="414" t="s">
        <v>2286</v>
      </c>
      <c r="D584" s="31" t="s">
        <v>1876</v>
      </c>
      <c r="E584" s="31"/>
      <c r="F584" s="36">
        <v>5</v>
      </c>
      <c r="G584" s="36">
        <v>7</v>
      </c>
      <c r="H584" s="31" t="s">
        <v>136</v>
      </c>
      <c r="I584" s="31" t="s">
        <v>137</v>
      </c>
      <c r="J584" s="31"/>
      <c r="K584" s="345"/>
      <c r="L584" s="414" t="s">
        <v>2287</v>
      </c>
      <c r="M584" s="343"/>
      <c r="N584" s="343"/>
      <c r="O584" s="414"/>
      <c r="P584" s="344"/>
      <c r="Q584" s="344">
        <v>0</v>
      </c>
      <c r="R584" s="344" t="s">
        <v>153</v>
      </c>
      <c r="S584" s="31">
        <v>2011107</v>
      </c>
      <c r="T584" s="417"/>
      <c r="U584" s="418"/>
      <c r="V584" s="344" t="s">
        <v>582</v>
      </c>
      <c r="W584" s="619" t="s">
        <v>2288</v>
      </c>
      <c r="X584" s="619" t="s">
        <v>2288</v>
      </c>
      <c r="Y584" s="344">
        <v>0</v>
      </c>
      <c r="Z584" s="344">
        <v>0</v>
      </c>
      <c r="AA584" s="344"/>
      <c r="AB584" s="344"/>
      <c r="AC584" s="31"/>
      <c r="AD584" s="31"/>
      <c r="AE584" s="31">
        <v>0</v>
      </c>
      <c r="AF584" s="31">
        <v>0</v>
      </c>
      <c r="AG584" s="31">
        <v>0</v>
      </c>
      <c r="AH584" s="31"/>
      <c r="AI584" s="31">
        <v>0</v>
      </c>
      <c r="AJ584" s="31">
        <v>0</v>
      </c>
      <c r="AK584" s="359"/>
      <c r="AL584" s="359"/>
      <c r="AM584" s="359"/>
      <c r="AN584" s="31"/>
      <c r="AO584" s="31"/>
      <c r="AP584" s="31"/>
      <c r="AQ584" s="31" t="s">
        <v>2289</v>
      </c>
      <c r="AR584" s="424"/>
    </row>
    <row r="585" spans="1:44" s="216" customFormat="1" ht="15" customHeight="1">
      <c r="A585" s="31">
        <v>2011107</v>
      </c>
      <c r="B585" s="31" t="s">
        <v>2264</v>
      </c>
      <c r="C585" s="414" t="s">
        <v>2290</v>
      </c>
      <c r="D585" s="31" t="s">
        <v>1876</v>
      </c>
      <c r="E585" s="31"/>
      <c r="F585" s="36">
        <v>6</v>
      </c>
      <c r="G585" s="36">
        <v>7</v>
      </c>
      <c r="H585" s="31" t="s">
        <v>136</v>
      </c>
      <c r="I585" s="31" t="s">
        <v>137</v>
      </c>
      <c r="J585" s="31"/>
      <c r="K585" s="345"/>
      <c r="L585" s="414" t="s">
        <v>2291</v>
      </c>
      <c r="M585" s="343"/>
      <c r="N585" s="343"/>
      <c r="O585" s="414"/>
      <c r="P585" s="344"/>
      <c r="Q585" s="344">
        <v>0</v>
      </c>
      <c r="R585" s="344" t="s">
        <v>153</v>
      </c>
      <c r="S585" s="31">
        <v>2011108</v>
      </c>
      <c r="T585" s="417"/>
      <c r="U585" s="418"/>
      <c r="V585" s="344" t="s">
        <v>582</v>
      </c>
      <c r="W585" s="619" t="s">
        <v>2280</v>
      </c>
      <c r="X585" s="619" t="s">
        <v>2280</v>
      </c>
      <c r="Y585" s="344">
        <v>0</v>
      </c>
      <c r="Z585" s="344">
        <v>0</v>
      </c>
      <c r="AA585" s="344"/>
      <c r="AB585" s="344"/>
      <c r="AC585" s="31"/>
      <c r="AD585" s="31"/>
      <c r="AE585" s="31">
        <v>0</v>
      </c>
      <c r="AF585" s="31">
        <v>0</v>
      </c>
      <c r="AG585" s="31">
        <v>0</v>
      </c>
      <c r="AH585" s="31"/>
      <c r="AI585" s="31">
        <v>0</v>
      </c>
      <c r="AJ585" s="31">
        <v>0</v>
      </c>
      <c r="AK585" s="359"/>
      <c r="AL585" s="359"/>
      <c r="AM585" s="359"/>
      <c r="AN585" s="31"/>
      <c r="AO585" s="31"/>
      <c r="AP585" s="31"/>
      <c r="AQ585" s="31" t="s">
        <v>2292</v>
      </c>
      <c r="AR585" s="424"/>
    </row>
    <row r="586" spans="1:44" s="216" customFormat="1" ht="15" customHeight="1">
      <c r="A586" s="31">
        <v>2011108</v>
      </c>
      <c r="B586" s="31" t="s">
        <v>2264</v>
      </c>
      <c r="C586" s="414" t="s">
        <v>2293</v>
      </c>
      <c r="D586" s="31" t="s">
        <v>1876</v>
      </c>
      <c r="E586" s="31"/>
      <c r="F586" s="36">
        <v>7</v>
      </c>
      <c r="G586" s="36">
        <v>7</v>
      </c>
      <c r="H586" s="31" t="s">
        <v>136</v>
      </c>
      <c r="I586" s="31" t="s">
        <v>137</v>
      </c>
      <c r="J586" s="31"/>
      <c r="K586" s="345"/>
      <c r="L586" s="414" t="s">
        <v>2294</v>
      </c>
      <c r="M586" s="343"/>
      <c r="N586" s="343"/>
      <c r="O586" s="414"/>
      <c r="P586" s="344"/>
      <c r="Q586" s="344">
        <v>0</v>
      </c>
      <c r="R586" s="344" t="s">
        <v>153</v>
      </c>
      <c r="S586" s="31">
        <v>2011110</v>
      </c>
      <c r="T586" s="417"/>
      <c r="U586" s="418"/>
      <c r="V586" s="344" t="s">
        <v>582</v>
      </c>
      <c r="W586" s="619" t="s">
        <v>2295</v>
      </c>
      <c r="X586" s="619" t="s">
        <v>2295</v>
      </c>
      <c r="Y586" s="344">
        <v>0</v>
      </c>
      <c r="Z586" s="344">
        <v>0</v>
      </c>
      <c r="AA586" s="344"/>
      <c r="AB586" s="344"/>
      <c r="AC586" s="31"/>
      <c r="AD586" s="31"/>
      <c r="AE586" s="31">
        <v>0</v>
      </c>
      <c r="AF586" s="31">
        <v>0</v>
      </c>
      <c r="AG586" s="31">
        <v>0</v>
      </c>
      <c r="AH586" s="31"/>
      <c r="AI586" s="31">
        <v>0</v>
      </c>
      <c r="AJ586" s="31">
        <v>0</v>
      </c>
      <c r="AK586" s="359"/>
      <c r="AL586" s="359"/>
      <c r="AM586" s="359"/>
      <c r="AN586" s="31"/>
      <c r="AO586" s="31"/>
      <c r="AP586" s="31"/>
      <c r="AQ586" s="31" t="s">
        <v>2296</v>
      </c>
      <c r="AR586" s="424"/>
    </row>
    <row r="587" spans="1:44" s="216" customFormat="1" ht="15" customHeight="1">
      <c r="A587" s="3">
        <v>2011109</v>
      </c>
      <c r="B587" s="3" t="s">
        <v>2264</v>
      </c>
      <c r="C587" s="236" t="s">
        <v>2297</v>
      </c>
      <c r="D587" s="44" t="s">
        <v>1876</v>
      </c>
      <c r="E587" s="41"/>
      <c r="F587" s="3">
        <v>8</v>
      </c>
      <c r="G587" s="36">
        <v>7</v>
      </c>
      <c r="H587" s="3" t="s">
        <v>136</v>
      </c>
      <c r="I587" s="3" t="s">
        <v>137</v>
      </c>
      <c r="J587" s="3"/>
      <c r="K587" s="3"/>
      <c r="L587" s="236"/>
      <c r="M587" s="99"/>
      <c r="N587" s="99"/>
      <c r="O587" s="236"/>
      <c r="P587" s="22"/>
      <c r="Q587" s="22">
        <v>0</v>
      </c>
      <c r="R587" s="22" t="s">
        <v>153</v>
      </c>
      <c r="S587" s="3"/>
      <c r="T587" s="260"/>
      <c r="U587" s="261"/>
      <c r="V587" s="22"/>
      <c r="W587" s="567" t="s">
        <v>1910</v>
      </c>
      <c r="X587" s="567" t="s">
        <v>6696</v>
      </c>
      <c r="Y587" s="22"/>
      <c r="Z587" s="22"/>
      <c r="AA587" s="22"/>
      <c r="AB587" s="22" t="s">
        <v>114</v>
      </c>
      <c r="AC587" s="3"/>
      <c r="AD587" s="3"/>
      <c r="AE587" s="3">
        <v>0</v>
      </c>
      <c r="AF587" s="3">
        <v>0</v>
      </c>
      <c r="AG587" s="3">
        <v>0</v>
      </c>
      <c r="AH587" s="3"/>
      <c r="AI587" s="3">
        <v>0</v>
      </c>
      <c r="AJ587" s="3">
        <v>0</v>
      </c>
      <c r="AK587" s="3">
        <v>0</v>
      </c>
      <c r="AL587" s="3"/>
      <c r="AM587" s="3"/>
      <c r="AN587" s="3"/>
      <c r="AO587" s="3"/>
      <c r="AP587" s="3"/>
      <c r="AQ587" s="3" t="s">
        <v>2277</v>
      </c>
      <c r="AR587" s="281"/>
    </row>
    <row r="588" spans="1:44" s="216" customFormat="1" ht="15" customHeight="1">
      <c r="A588" s="3">
        <v>2011110</v>
      </c>
      <c r="B588" s="3" t="s">
        <v>2264</v>
      </c>
      <c r="C588" s="236" t="s">
        <v>2298</v>
      </c>
      <c r="D588" s="3" t="s">
        <v>1876</v>
      </c>
      <c r="E588" s="1"/>
      <c r="F588" s="3">
        <v>9</v>
      </c>
      <c r="G588" s="36">
        <v>7</v>
      </c>
      <c r="H588" s="3" t="s">
        <v>136</v>
      </c>
      <c r="I588" s="3" t="s">
        <v>137</v>
      </c>
      <c r="J588" s="3"/>
      <c r="K588" s="3"/>
      <c r="L588" s="236"/>
      <c r="M588" s="99"/>
      <c r="N588" s="99"/>
      <c r="O588" s="236"/>
      <c r="P588" s="22"/>
      <c r="Q588" s="22">
        <v>0</v>
      </c>
      <c r="R588" s="22" t="s">
        <v>153</v>
      </c>
      <c r="S588" s="3"/>
      <c r="T588" s="260"/>
      <c r="U588" s="261"/>
      <c r="V588" s="22"/>
      <c r="W588" s="567" t="s">
        <v>2299</v>
      </c>
      <c r="X588" s="567" t="s">
        <v>6711</v>
      </c>
      <c r="Y588" s="22"/>
      <c r="Z588" s="22"/>
      <c r="AA588" s="22"/>
      <c r="AB588" s="22" t="s">
        <v>114</v>
      </c>
      <c r="AC588" s="3"/>
      <c r="AD588" s="3"/>
      <c r="AE588" s="3">
        <v>0</v>
      </c>
      <c r="AF588" s="3">
        <v>0</v>
      </c>
      <c r="AG588" s="3">
        <v>0</v>
      </c>
      <c r="AH588" s="3"/>
      <c r="AI588" s="3">
        <v>0</v>
      </c>
      <c r="AJ588" s="3">
        <v>0</v>
      </c>
      <c r="AK588" s="3">
        <v>0</v>
      </c>
      <c r="AL588" s="3"/>
      <c r="AM588" s="3"/>
      <c r="AN588" s="3"/>
      <c r="AO588" s="3"/>
      <c r="AP588" s="3"/>
      <c r="AQ588" s="282" t="str">
        <f>"tricks/"&amp;A588</f>
        <v>tricks/2011110</v>
      </c>
      <c r="AR588" s="222"/>
    </row>
    <row r="589" spans="1:44" s="216" customFormat="1" ht="15" customHeight="1">
      <c r="A589" s="3">
        <v>2011111</v>
      </c>
      <c r="B589" s="3" t="s">
        <v>2264</v>
      </c>
      <c r="C589" s="236" t="s">
        <v>2300</v>
      </c>
      <c r="D589" s="3" t="s">
        <v>1876</v>
      </c>
      <c r="E589" s="1"/>
      <c r="F589" s="3">
        <v>10</v>
      </c>
      <c r="G589" s="36">
        <v>7</v>
      </c>
      <c r="H589" s="3" t="s">
        <v>136</v>
      </c>
      <c r="I589" s="3" t="s">
        <v>137</v>
      </c>
      <c r="J589" s="3"/>
      <c r="K589" s="3"/>
      <c r="L589" s="236"/>
      <c r="M589" s="99"/>
      <c r="N589" s="99"/>
      <c r="O589" s="236"/>
      <c r="P589" s="22"/>
      <c r="Q589" s="22">
        <v>0</v>
      </c>
      <c r="R589" s="22" t="s">
        <v>153</v>
      </c>
      <c r="S589" s="3"/>
      <c r="T589" s="260"/>
      <c r="U589" s="261"/>
      <c r="V589" s="22"/>
      <c r="W589" s="567" t="s">
        <v>2301</v>
      </c>
      <c r="X589" s="567" t="s">
        <v>6712</v>
      </c>
      <c r="Y589" s="22"/>
      <c r="Z589" s="22"/>
      <c r="AA589" s="22"/>
      <c r="AB589" s="22" t="s">
        <v>114</v>
      </c>
      <c r="AC589" s="3"/>
      <c r="AD589" s="3"/>
      <c r="AE589" s="3">
        <v>0</v>
      </c>
      <c r="AF589" s="3">
        <v>0</v>
      </c>
      <c r="AG589" s="3">
        <v>0</v>
      </c>
      <c r="AH589" s="3"/>
      <c r="AI589" s="3">
        <v>0</v>
      </c>
      <c r="AJ589" s="3">
        <v>0</v>
      </c>
      <c r="AK589" s="3">
        <v>0</v>
      </c>
      <c r="AL589" s="3"/>
      <c r="AM589" s="3"/>
      <c r="AN589" s="3"/>
      <c r="AO589" s="3"/>
      <c r="AP589" s="3"/>
      <c r="AQ589" s="282" t="str">
        <f>"tricks/"&amp;A589</f>
        <v>tricks/2011111</v>
      </c>
      <c r="AR589" s="222"/>
    </row>
    <row r="590" spans="1:44" s="216" customFormat="1" ht="15" customHeight="1">
      <c r="A590" s="6">
        <v>2011201</v>
      </c>
      <c r="B590" s="6" t="s">
        <v>2302</v>
      </c>
      <c r="C590" s="234" t="s">
        <v>2303</v>
      </c>
      <c r="D590" s="6" t="s">
        <v>1876</v>
      </c>
      <c r="E590" s="6"/>
      <c r="F590" s="36">
        <v>1</v>
      </c>
      <c r="G590" s="36">
        <v>7</v>
      </c>
      <c r="H590" s="6" t="s">
        <v>82</v>
      </c>
      <c r="I590" s="6" t="s">
        <v>101</v>
      </c>
      <c r="J590" s="6"/>
      <c r="K590" s="394"/>
      <c r="L590" s="234" t="s">
        <v>2304</v>
      </c>
      <c r="M590" s="235"/>
      <c r="N590" s="378">
        <v>8</v>
      </c>
      <c r="O590" s="234"/>
      <c r="P590" s="40"/>
      <c r="Q590" s="40">
        <v>0</v>
      </c>
      <c r="R590" s="40" t="s">
        <v>85</v>
      </c>
      <c r="S590" s="6"/>
      <c r="T590" s="258" t="s">
        <v>86</v>
      </c>
      <c r="U590" s="259" t="s">
        <v>87</v>
      </c>
      <c r="V590" s="40"/>
      <c r="W590" s="619" t="s">
        <v>2305</v>
      </c>
      <c r="X590" s="619" t="s">
        <v>2305</v>
      </c>
      <c r="Y590" s="40">
        <v>0</v>
      </c>
      <c r="Z590" s="40">
        <v>0</v>
      </c>
      <c r="AA590" s="40"/>
      <c r="AB590" s="40"/>
      <c r="AC590" s="6"/>
      <c r="AD590" s="6"/>
      <c r="AE590" s="6">
        <v>1</v>
      </c>
      <c r="AF590" s="6">
        <v>1</v>
      </c>
      <c r="AG590" s="6">
        <v>25</v>
      </c>
      <c r="AH590" s="6"/>
      <c r="AI590" s="6"/>
      <c r="AJ590" s="6"/>
      <c r="AK590" s="272"/>
      <c r="AL590" s="272"/>
      <c r="AM590" s="272"/>
      <c r="AN590" s="43" t="s">
        <v>2306</v>
      </c>
      <c r="AO590" s="6"/>
      <c r="AP590" s="6"/>
      <c r="AQ590" s="6" t="s">
        <v>2307</v>
      </c>
      <c r="AR590" s="280"/>
    </row>
    <row r="591" spans="1:44" s="216" customFormat="1" ht="15" customHeight="1">
      <c r="A591" s="6">
        <v>2011202</v>
      </c>
      <c r="B591" s="6" t="s">
        <v>2302</v>
      </c>
      <c r="C591" s="234" t="s">
        <v>2308</v>
      </c>
      <c r="D591" s="6" t="s">
        <v>1876</v>
      </c>
      <c r="E591" s="6"/>
      <c r="F591" s="36">
        <v>1</v>
      </c>
      <c r="G591" s="36">
        <v>7</v>
      </c>
      <c r="H591" s="6" t="s">
        <v>136</v>
      </c>
      <c r="I591" s="6" t="s">
        <v>137</v>
      </c>
      <c r="J591" s="6"/>
      <c r="K591" s="394"/>
      <c r="L591" s="234" t="s">
        <v>2309</v>
      </c>
      <c r="M591" s="235"/>
      <c r="N591" s="235"/>
      <c r="O591" s="234"/>
      <c r="P591" s="40"/>
      <c r="Q591" s="40">
        <v>0</v>
      </c>
      <c r="R591" s="40" t="s">
        <v>153</v>
      </c>
      <c r="S591" s="6"/>
      <c r="T591" s="258"/>
      <c r="U591" s="259"/>
      <c r="V591" s="40"/>
      <c r="W591" s="619" t="s">
        <v>2310</v>
      </c>
      <c r="X591" s="619" t="s">
        <v>2310</v>
      </c>
      <c r="Y591" s="40">
        <v>0</v>
      </c>
      <c r="Z591" s="40">
        <v>0</v>
      </c>
      <c r="AA591" s="40"/>
      <c r="AB591" s="40"/>
      <c r="AC591" s="6"/>
      <c r="AD591" s="6"/>
      <c r="AE591" s="6">
        <v>0</v>
      </c>
      <c r="AF591" s="6">
        <v>0</v>
      </c>
      <c r="AG591" s="6">
        <v>0</v>
      </c>
      <c r="AH591" s="6"/>
      <c r="AI591" s="6">
        <v>0</v>
      </c>
      <c r="AJ591" s="6">
        <v>0</v>
      </c>
      <c r="AK591" s="272"/>
      <c r="AL591" s="272"/>
      <c r="AM591" s="272"/>
      <c r="AN591" s="6"/>
      <c r="AO591" s="6"/>
      <c r="AP591" s="6"/>
      <c r="AQ591" s="6" t="s">
        <v>2311</v>
      </c>
      <c r="AR591" s="280"/>
    </row>
    <row r="592" spans="1:44" s="216" customFormat="1" ht="15" customHeight="1">
      <c r="A592" s="6">
        <v>2011203</v>
      </c>
      <c r="B592" s="6" t="s">
        <v>2302</v>
      </c>
      <c r="C592" s="234" t="s">
        <v>2312</v>
      </c>
      <c r="D592" s="6" t="s">
        <v>1876</v>
      </c>
      <c r="E592" s="6"/>
      <c r="F592" s="36">
        <v>2</v>
      </c>
      <c r="G592" s="36">
        <v>7</v>
      </c>
      <c r="H592" s="6" t="s">
        <v>136</v>
      </c>
      <c r="I592" s="6" t="s">
        <v>137</v>
      </c>
      <c r="J592" s="6"/>
      <c r="K592" s="394"/>
      <c r="L592" s="234" t="s">
        <v>2000</v>
      </c>
      <c r="M592" s="235"/>
      <c r="N592" s="235"/>
      <c r="O592" s="234"/>
      <c r="P592" s="40"/>
      <c r="Q592" s="40">
        <v>0</v>
      </c>
      <c r="R592" s="40" t="s">
        <v>153</v>
      </c>
      <c r="S592" s="6"/>
      <c r="T592" s="258"/>
      <c r="U592" s="259"/>
      <c r="V592" s="40"/>
      <c r="W592" s="619" t="s">
        <v>2313</v>
      </c>
      <c r="X592" s="619" t="s">
        <v>2313</v>
      </c>
      <c r="Y592" s="40">
        <v>0</v>
      </c>
      <c r="Z592" s="40">
        <v>0</v>
      </c>
      <c r="AA592" s="40"/>
      <c r="AB592" s="40"/>
      <c r="AC592" s="6"/>
      <c r="AD592" s="6"/>
      <c r="AE592" s="6">
        <v>0</v>
      </c>
      <c r="AF592" s="6">
        <v>0</v>
      </c>
      <c r="AG592" s="6">
        <v>0</v>
      </c>
      <c r="AH592" s="6"/>
      <c r="AI592" s="6">
        <v>0</v>
      </c>
      <c r="AJ592" s="6">
        <v>0</v>
      </c>
      <c r="AK592" s="272"/>
      <c r="AL592" s="272"/>
      <c r="AM592" s="272"/>
      <c r="AN592" s="6"/>
      <c r="AO592" s="6"/>
      <c r="AP592" s="6"/>
      <c r="AQ592" s="6" t="s">
        <v>2314</v>
      </c>
      <c r="AR592" s="280"/>
    </row>
    <row r="593" spans="1:44" ht="15" customHeight="1">
      <c r="A593" s="6">
        <v>2011204</v>
      </c>
      <c r="B593" s="42" t="s">
        <v>2302</v>
      </c>
      <c r="C593" s="476" t="s">
        <v>2315</v>
      </c>
      <c r="D593" s="42" t="s">
        <v>1876</v>
      </c>
      <c r="E593" s="42"/>
      <c r="F593" s="36">
        <v>3</v>
      </c>
      <c r="G593" s="36">
        <v>7</v>
      </c>
      <c r="H593" s="42" t="s">
        <v>136</v>
      </c>
      <c r="I593" s="42" t="s">
        <v>137</v>
      </c>
      <c r="J593" s="42"/>
      <c r="K593" s="475"/>
      <c r="L593" s="476" t="s">
        <v>2316</v>
      </c>
      <c r="M593" s="477"/>
      <c r="N593" s="477"/>
      <c r="O593" s="476"/>
      <c r="P593" s="478"/>
      <c r="Q593" s="478">
        <v>0</v>
      </c>
      <c r="R593" s="478" t="s">
        <v>153</v>
      </c>
      <c r="S593" s="42"/>
      <c r="T593" s="258"/>
      <c r="U593" s="259"/>
      <c r="V593" s="478"/>
      <c r="W593" s="619" t="s">
        <v>2317</v>
      </c>
      <c r="X593" s="619" t="s">
        <v>2317</v>
      </c>
      <c r="Y593" s="40">
        <v>0</v>
      </c>
      <c r="Z593" s="40">
        <v>0</v>
      </c>
      <c r="AA593" s="478"/>
      <c r="AB593" s="478"/>
      <c r="AC593" s="42"/>
      <c r="AD593" s="42"/>
      <c r="AE593" s="42">
        <v>0</v>
      </c>
      <c r="AF593" s="42">
        <v>0</v>
      </c>
      <c r="AG593" s="42">
        <v>0</v>
      </c>
      <c r="AH593" s="42"/>
      <c r="AI593" s="42">
        <v>0</v>
      </c>
      <c r="AJ593" s="42">
        <v>0</v>
      </c>
      <c r="AK593" s="491"/>
      <c r="AL593" s="491"/>
      <c r="AM593" s="491"/>
      <c r="AN593" s="42"/>
      <c r="AO593" s="42"/>
      <c r="AP593" s="42"/>
      <c r="AQ593" s="42" t="s">
        <v>2318</v>
      </c>
      <c r="AR593" s="280"/>
    </row>
    <row r="594" spans="1:44" s="218" customFormat="1" ht="15" customHeight="1">
      <c r="A594" s="6">
        <v>2011205</v>
      </c>
      <c r="B594" s="42" t="s">
        <v>2302</v>
      </c>
      <c r="C594" s="476" t="s">
        <v>2319</v>
      </c>
      <c r="D594" s="42" t="s">
        <v>1876</v>
      </c>
      <c r="E594" s="42"/>
      <c r="F594" s="36">
        <v>4</v>
      </c>
      <c r="G594" s="36">
        <v>7</v>
      </c>
      <c r="H594" s="42" t="s">
        <v>136</v>
      </c>
      <c r="I594" s="42" t="s">
        <v>137</v>
      </c>
      <c r="J594" s="42"/>
      <c r="K594" s="475"/>
      <c r="L594" s="476" t="s">
        <v>2320</v>
      </c>
      <c r="M594" s="477"/>
      <c r="N594" s="477"/>
      <c r="O594" s="476"/>
      <c r="P594" s="478"/>
      <c r="Q594" s="478">
        <v>0</v>
      </c>
      <c r="R594" s="478" t="s">
        <v>153</v>
      </c>
      <c r="S594" s="42"/>
      <c r="T594" s="258"/>
      <c r="U594" s="259"/>
      <c r="V594" s="478"/>
      <c r="W594" s="619" t="s">
        <v>2321</v>
      </c>
      <c r="X594" s="619" t="s">
        <v>2321</v>
      </c>
      <c r="Y594" s="40">
        <v>0</v>
      </c>
      <c r="Z594" s="40">
        <v>0</v>
      </c>
      <c r="AA594" s="478"/>
      <c r="AB594" s="478"/>
      <c r="AC594" s="42"/>
      <c r="AD594" s="42"/>
      <c r="AE594" s="42">
        <v>0</v>
      </c>
      <c r="AF594" s="42">
        <v>0</v>
      </c>
      <c r="AG594" s="42">
        <v>0</v>
      </c>
      <c r="AH594" s="42"/>
      <c r="AI594" s="42">
        <v>0</v>
      </c>
      <c r="AJ594" s="42">
        <v>0</v>
      </c>
      <c r="AK594" s="491"/>
      <c r="AL594" s="491"/>
      <c r="AM594" s="491"/>
      <c r="AN594" s="42"/>
      <c r="AO594" s="42"/>
      <c r="AP594" s="42"/>
      <c r="AQ594" s="42" t="s">
        <v>2322</v>
      </c>
      <c r="AR594" s="280"/>
    </row>
    <row r="595" spans="1:44" s="218" customFormat="1" ht="15" customHeight="1">
      <c r="A595" s="6">
        <v>2011206</v>
      </c>
      <c r="B595" s="42" t="s">
        <v>2302</v>
      </c>
      <c r="C595" s="476" t="s">
        <v>2323</v>
      </c>
      <c r="D595" s="42" t="s">
        <v>1876</v>
      </c>
      <c r="E595" s="42"/>
      <c r="F595" s="36">
        <v>5</v>
      </c>
      <c r="G595" s="36">
        <v>7</v>
      </c>
      <c r="H595" s="42" t="s">
        <v>136</v>
      </c>
      <c r="I595" s="42" t="s">
        <v>137</v>
      </c>
      <c r="J595" s="42"/>
      <c r="K595" s="475"/>
      <c r="L595" s="476" t="s">
        <v>2324</v>
      </c>
      <c r="M595" s="477"/>
      <c r="N595" s="477"/>
      <c r="O595" s="476"/>
      <c r="P595" s="478"/>
      <c r="Q595" s="478">
        <v>0</v>
      </c>
      <c r="R595" s="478" t="s">
        <v>153</v>
      </c>
      <c r="S595" s="42"/>
      <c r="T595" s="258"/>
      <c r="U595" s="259"/>
      <c r="V595" s="478"/>
      <c r="W595" s="619" t="s">
        <v>2325</v>
      </c>
      <c r="X595" s="619" t="s">
        <v>2325</v>
      </c>
      <c r="Y595" s="40">
        <v>0</v>
      </c>
      <c r="Z595" s="40">
        <v>0</v>
      </c>
      <c r="AA595" s="478"/>
      <c r="AB595" s="478"/>
      <c r="AC595" s="42"/>
      <c r="AD595" s="42"/>
      <c r="AE595" s="42">
        <v>0</v>
      </c>
      <c r="AF595" s="42">
        <v>0</v>
      </c>
      <c r="AG595" s="42">
        <v>0</v>
      </c>
      <c r="AH595" s="42"/>
      <c r="AI595" s="42">
        <v>0</v>
      </c>
      <c r="AJ595" s="42">
        <v>0</v>
      </c>
      <c r="AK595" s="491"/>
      <c r="AL595" s="491"/>
      <c r="AM595" s="491"/>
      <c r="AN595" s="42"/>
      <c r="AO595" s="42"/>
      <c r="AP595" s="42"/>
      <c r="AQ595" s="42" t="s">
        <v>2326</v>
      </c>
      <c r="AR595" s="280"/>
    </row>
    <row r="596" spans="1:44" s="218" customFormat="1" ht="15" customHeight="1">
      <c r="A596" s="6">
        <v>2011207</v>
      </c>
      <c r="B596" s="42" t="s">
        <v>2302</v>
      </c>
      <c r="C596" s="476" t="s">
        <v>2327</v>
      </c>
      <c r="D596" s="42" t="s">
        <v>1876</v>
      </c>
      <c r="E596" s="42"/>
      <c r="F596" s="36">
        <v>6</v>
      </c>
      <c r="G596" s="36">
        <v>7</v>
      </c>
      <c r="H596" s="42" t="s">
        <v>136</v>
      </c>
      <c r="I596" s="42" t="s">
        <v>137</v>
      </c>
      <c r="J596" s="42"/>
      <c r="K596" s="475"/>
      <c r="L596" s="476" t="s">
        <v>2328</v>
      </c>
      <c r="M596" s="477"/>
      <c r="N596" s="477"/>
      <c r="O596" s="476"/>
      <c r="P596" s="478"/>
      <c r="Q596" s="478">
        <v>0</v>
      </c>
      <c r="R596" s="478" t="s">
        <v>153</v>
      </c>
      <c r="S596" s="42"/>
      <c r="T596" s="258"/>
      <c r="U596" s="259"/>
      <c r="V596" s="478"/>
      <c r="W596" s="619" t="s">
        <v>2329</v>
      </c>
      <c r="X596" s="619" t="s">
        <v>2329</v>
      </c>
      <c r="Y596" s="40">
        <v>0</v>
      </c>
      <c r="Z596" s="40">
        <v>0</v>
      </c>
      <c r="AA596" s="478"/>
      <c r="AB596" s="478"/>
      <c r="AC596" s="42"/>
      <c r="AD596" s="42"/>
      <c r="AE596" s="42">
        <v>0</v>
      </c>
      <c r="AF596" s="42">
        <v>0</v>
      </c>
      <c r="AG596" s="42">
        <v>0</v>
      </c>
      <c r="AH596" s="42"/>
      <c r="AI596" s="42">
        <v>0</v>
      </c>
      <c r="AJ596" s="42">
        <v>0</v>
      </c>
      <c r="AK596" s="491"/>
      <c r="AL596" s="491"/>
      <c r="AM596" s="491"/>
      <c r="AN596" s="42"/>
      <c r="AO596" s="42"/>
      <c r="AP596" s="42"/>
      <c r="AQ596" s="42" t="s">
        <v>2330</v>
      </c>
      <c r="AR596" s="280"/>
    </row>
    <row r="597" spans="1:44" s="218" customFormat="1" ht="15" customHeight="1">
      <c r="A597" s="6">
        <v>2011208</v>
      </c>
      <c r="B597" s="42" t="s">
        <v>2302</v>
      </c>
      <c r="C597" s="476" t="s">
        <v>2331</v>
      </c>
      <c r="D597" s="42" t="s">
        <v>1876</v>
      </c>
      <c r="E597" s="42"/>
      <c r="F597" s="36">
        <v>7</v>
      </c>
      <c r="G597" s="36">
        <v>7</v>
      </c>
      <c r="H597" s="42" t="s">
        <v>136</v>
      </c>
      <c r="I597" s="42" t="s">
        <v>137</v>
      </c>
      <c r="J597" s="42"/>
      <c r="K597" s="475"/>
      <c r="L597" s="476" t="s">
        <v>2332</v>
      </c>
      <c r="M597" s="477"/>
      <c r="N597" s="477"/>
      <c r="O597" s="476"/>
      <c r="P597" s="478"/>
      <c r="Q597" s="478">
        <v>0</v>
      </c>
      <c r="R597" s="478" t="s">
        <v>153</v>
      </c>
      <c r="S597" s="42"/>
      <c r="T597" s="258"/>
      <c r="U597" s="259"/>
      <c r="V597" s="478"/>
      <c r="W597" s="621" t="s">
        <v>2333</v>
      </c>
      <c r="X597" s="621" t="s">
        <v>2333</v>
      </c>
      <c r="Y597" s="40">
        <v>0</v>
      </c>
      <c r="Z597" s="40">
        <v>0</v>
      </c>
      <c r="AA597" s="478"/>
      <c r="AB597" s="478"/>
      <c r="AC597" s="42"/>
      <c r="AD597" s="42"/>
      <c r="AE597" s="42">
        <v>0</v>
      </c>
      <c r="AF597" s="42">
        <v>0</v>
      </c>
      <c r="AG597" s="42">
        <v>0</v>
      </c>
      <c r="AH597" s="42"/>
      <c r="AI597" s="42">
        <v>0</v>
      </c>
      <c r="AJ597" s="42">
        <v>0</v>
      </c>
      <c r="AK597" s="491"/>
      <c r="AL597" s="491"/>
      <c r="AM597" s="491"/>
      <c r="AN597" s="42"/>
      <c r="AO597" s="42"/>
      <c r="AP597" s="42"/>
      <c r="AQ597" s="42" t="s">
        <v>2334</v>
      </c>
      <c r="AR597" s="280"/>
    </row>
    <row r="598" spans="1:44" s="218" customFormat="1" ht="15" customHeight="1">
      <c r="A598" s="3">
        <v>2011209</v>
      </c>
      <c r="B598" s="3" t="s">
        <v>2302</v>
      </c>
      <c r="C598" s="236" t="s">
        <v>2335</v>
      </c>
      <c r="D598" s="44" t="s">
        <v>1876</v>
      </c>
      <c r="E598" s="41"/>
      <c r="F598" s="3">
        <v>8</v>
      </c>
      <c r="G598" s="36">
        <v>7</v>
      </c>
      <c r="H598" s="3" t="s">
        <v>136</v>
      </c>
      <c r="I598" s="3" t="s">
        <v>137</v>
      </c>
      <c r="J598" s="3"/>
      <c r="K598" s="3"/>
      <c r="L598" s="236"/>
      <c r="M598" s="99"/>
      <c r="N598" s="99"/>
      <c r="O598" s="236"/>
      <c r="P598" s="22"/>
      <c r="Q598" s="22">
        <v>0</v>
      </c>
      <c r="R598" s="22" t="s">
        <v>153</v>
      </c>
      <c r="S598" s="3"/>
      <c r="T598" s="260"/>
      <c r="U598" s="261"/>
      <c r="V598" s="22"/>
      <c r="W598" s="567" t="s">
        <v>1910</v>
      </c>
      <c r="X598" s="567" t="s">
        <v>6696</v>
      </c>
      <c r="Y598" s="22"/>
      <c r="Z598" s="22"/>
      <c r="AA598" s="22"/>
      <c r="AB598" s="22" t="s">
        <v>114</v>
      </c>
      <c r="AC598" s="3"/>
      <c r="AD598" s="3"/>
      <c r="AE598" s="3">
        <v>0</v>
      </c>
      <c r="AF598" s="3">
        <v>0</v>
      </c>
      <c r="AG598" s="3">
        <v>0</v>
      </c>
      <c r="AH598" s="3"/>
      <c r="AI598" s="3">
        <v>0</v>
      </c>
      <c r="AJ598" s="3">
        <v>0</v>
      </c>
      <c r="AK598" s="3">
        <v>0</v>
      </c>
      <c r="AL598" s="3"/>
      <c r="AM598" s="3"/>
      <c r="AN598" s="3"/>
      <c r="AO598" s="3"/>
      <c r="AP598" s="3"/>
      <c r="AQ598" s="3" t="s">
        <v>2314</v>
      </c>
      <c r="AR598" s="281"/>
    </row>
    <row r="599" spans="1:44" s="218" customFormat="1" ht="15" customHeight="1">
      <c r="A599" s="3">
        <v>2011210</v>
      </c>
      <c r="B599" s="3" t="s">
        <v>2302</v>
      </c>
      <c r="C599" s="236" t="s">
        <v>2336</v>
      </c>
      <c r="D599" s="3" t="s">
        <v>1876</v>
      </c>
      <c r="E599" s="1"/>
      <c r="F599" s="3">
        <v>9</v>
      </c>
      <c r="G599" s="36">
        <v>7</v>
      </c>
      <c r="H599" s="3" t="s">
        <v>136</v>
      </c>
      <c r="I599" s="3" t="s">
        <v>137</v>
      </c>
      <c r="J599" s="3"/>
      <c r="K599" s="3"/>
      <c r="L599" s="236"/>
      <c r="M599" s="99"/>
      <c r="N599" s="99"/>
      <c r="O599" s="236"/>
      <c r="P599" s="22"/>
      <c r="Q599" s="22">
        <v>0</v>
      </c>
      <c r="R599" s="22" t="s">
        <v>153</v>
      </c>
      <c r="S599" s="3"/>
      <c r="T599" s="260"/>
      <c r="U599" s="261"/>
      <c r="V599" s="22"/>
      <c r="W599" s="567" t="s">
        <v>2337</v>
      </c>
      <c r="X599" s="567" t="s">
        <v>6709</v>
      </c>
      <c r="Y599" s="22"/>
      <c r="Z599" s="22"/>
      <c r="AA599" s="22"/>
      <c r="AB599" s="22" t="s">
        <v>114</v>
      </c>
      <c r="AC599" s="3"/>
      <c r="AD599" s="3"/>
      <c r="AE599" s="3">
        <v>0</v>
      </c>
      <c r="AF599" s="3">
        <v>0</v>
      </c>
      <c r="AG599" s="3">
        <v>0</v>
      </c>
      <c r="AH599" s="3"/>
      <c r="AI599" s="3">
        <v>0</v>
      </c>
      <c r="AJ599" s="3">
        <v>0</v>
      </c>
      <c r="AK599" s="3">
        <v>0</v>
      </c>
      <c r="AL599" s="3"/>
      <c r="AM599" s="3"/>
      <c r="AN599" s="3"/>
      <c r="AO599" s="3"/>
      <c r="AP599" s="3"/>
      <c r="AQ599" s="282" t="str">
        <f>"tricks/"&amp;A599</f>
        <v>tricks/2011210</v>
      </c>
      <c r="AR599" s="222"/>
    </row>
    <row r="600" spans="1:44" s="218" customFormat="1" ht="15" customHeight="1">
      <c r="A600" s="3">
        <v>2011211</v>
      </c>
      <c r="B600" s="3" t="s">
        <v>2302</v>
      </c>
      <c r="C600" s="236" t="s">
        <v>2338</v>
      </c>
      <c r="D600" s="3" t="s">
        <v>1876</v>
      </c>
      <c r="E600" s="1"/>
      <c r="F600" s="3">
        <v>10</v>
      </c>
      <c r="G600" s="36">
        <v>7</v>
      </c>
      <c r="H600" s="3" t="s">
        <v>136</v>
      </c>
      <c r="I600" s="3" t="s">
        <v>137</v>
      </c>
      <c r="J600" s="3"/>
      <c r="K600" s="3"/>
      <c r="L600" s="236"/>
      <c r="M600" s="99"/>
      <c r="N600" s="99"/>
      <c r="O600" s="236"/>
      <c r="P600" s="22"/>
      <c r="Q600" s="22">
        <v>0</v>
      </c>
      <c r="R600" s="22" t="s">
        <v>153</v>
      </c>
      <c r="S600" s="3"/>
      <c r="T600" s="260"/>
      <c r="U600" s="261"/>
      <c r="V600" s="22"/>
      <c r="W600" s="567" t="s">
        <v>2339</v>
      </c>
      <c r="X600" s="567" t="s">
        <v>6710</v>
      </c>
      <c r="Y600" s="22"/>
      <c r="Z600" s="22"/>
      <c r="AA600" s="22"/>
      <c r="AB600" s="22" t="s">
        <v>114</v>
      </c>
      <c r="AC600" s="3"/>
      <c r="AD600" s="3"/>
      <c r="AE600" s="3">
        <v>0</v>
      </c>
      <c r="AF600" s="3">
        <v>0</v>
      </c>
      <c r="AG600" s="3">
        <v>0</v>
      </c>
      <c r="AH600" s="3"/>
      <c r="AI600" s="3">
        <v>0</v>
      </c>
      <c r="AJ600" s="3">
        <v>0</v>
      </c>
      <c r="AK600" s="3">
        <v>0</v>
      </c>
      <c r="AL600" s="3"/>
      <c r="AM600" s="3"/>
      <c r="AN600" s="3"/>
      <c r="AO600" s="3"/>
      <c r="AP600" s="3"/>
      <c r="AQ600" s="282" t="str">
        <f>"tricks/"&amp;A600</f>
        <v>tricks/2011211</v>
      </c>
      <c r="AR600" s="222"/>
    </row>
    <row r="601" spans="1:44" s="218" customFormat="1" ht="15" customHeight="1">
      <c r="A601" s="43">
        <v>2011301</v>
      </c>
      <c r="B601" s="43" t="s">
        <v>2340</v>
      </c>
      <c r="C601" s="480" t="s">
        <v>2341</v>
      </c>
      <c r="D601" s="43" t="s">
        <v>1876</v>
      </c>
      <c r="E601" s="43"/>
      <c r="F601" s="36">
        <v>1</v>
      </c>
      <c r="G601" s="36">
        <v>7</v>
      </c>
      <c r="H601" s="43" t="s">
        <v>82</v>
      </c>
      <c r="I601" s="43" t="s">
        <v>101</v>
      </c>
      <c r="J601" s="43"/>
      <c r="K601" s="479"/>
      <c r="L601" s="480" t="s">
        <v>2342</v>
      </c>
      <c r="M601" s="481"/>
      <c r="N601" s="378">
        <v>9</v>
      </c>
      <c r="O601" s="480"/>
      <c r="P601" s="463"/>
      <c r="Q601" s="463">
        <v>0</v>
      </c>
      <c r="R601" s="463" t="s">
        <v>153</v>
      </c>
      <c r="S601" s="43"/>
      <c r="T601" s="390"/>
      <c r="U601" s="391"/>
      <c r="V601" s="463"/>
      <c r="W601" s="619" t="s">
        <v>2343</v>
      </c>
      <c r="X601" s="619" t="s">
        <v>2343</v>
      </c>
      <c r="Y601" s="463">
        <v>0</v>
      </c>
      <c r="Z601" s="463">
        <v>0</v>
      </c>
      <c r="AA601" s="463"/>
      <c r="AB601" s="463"/>
      <c r="AC601" s="43"/>
      <c r="AD601" s="43"/>
      <c r="AE601" s="43">
        <v>1</v>
      </c>
      <c r="AF601" s="43">
        <v>2</v>
      </c>
      <c r="AG601" s="43">
        <v>40</v>
      </c>
      <c r="AH601" s="43"/>
      <c r="AI601" s="43"/>
      <c r="AJ601" s="43"/>
      <c r="AK601" s="492"/>
      <c r="AL601" s="492"/>
      <c r="AM601" s="492"/>
      <c r="AN601" s="43" t="s">
        <v>2344</v>
      </c>
      <c r="AO601" s="43"/>
      <c r="AP601" s="43"/>
      <c r="AQ601" s="43" t="s">
        <v>2345</v>
      </c>
      <c r="AR601" s="407"/>
    </row>
    <row r="602" spans="1:44" s="52" customFormat="1" ht="15" customHeight="1">
      <c r="A602" s="43">
        <v>2011302</v>
      </c>
      <c r="B602" s="43" t="s">
        <v>2340</v>
      </c>
      <c r="C602" s="480" t="s">
        <v>2346</v>
      </c>
      <c r="D602" s="43" t="s">
        <v>1876</v>
      </c>
      <c r="E602" s="43"/>
      <c r="F602" s="36">
        <v>1</v>
      </c>
      <c r="G602" s="36">
        <v>7</v>
      </c>
      <c r="H602" s="43" t="s">
        <v>136</v>
      </c>
      <c r="I602" s="43" t="s">
        <v>137</v>
      </c>
      <c r="J602" s="43"/>
      <c r="K602" s="479"/>
      <c r="L602" s="480" t="s">
        <v>2347</v>
      </c>
      <c r="M602" s="481"/>
      <c r="N602" s="481"/>
      <c r="O602" s="480"/>
      <c r="P602" s="463"/>
      <c r="Q602" s="463">
        <v>0</v>
      </c>
      <c r="R602" s="463" t="s">
        <v>153</v>
      </c>
      <c r="S602" s="43"/>
      <c r="T602" s="390"/>
      <c r="U602" s="391"/>
      <c r="V602" s="463"/>
      <c r="W602" s="619" t="s">
        <v>2348</v>
      </c>
      <c r="X602" s="619" t="s">
        <v>2348</v>
      </c>
      <c r="Y602" s="463">
        <v>0</v>
      </c>
      <c r="Z602" s="463">
        <v>0</v>
      </c>
      <c r="AA602" s="463"/>
      <c r="AB602" s="463"/>
      <c r="AC602" s="43"/>
      <c r="AD602" s="43"/>
      <c r="AE602" s="43">
        <v>0</v>
      </c>
      <c r="AF602" s="43">
        <v>0</v>
      </c>
      <c r="AG602" s="43">
        <v>0</v>
      </c>
      <c r="AH602" s="43"/>
      <c r="AI602" s="43">
        <v>0</v>
      </c>
      <c r="AJ602" s="43">
        <v>0</v>
      </c>
      <c r="AK602" s="492"/>
      <c r="AL602" s="492"/>
      <c r="AM602" s="492"/>
      <c r="AN602" s="43"/>
      <c r="AO602" s="43"/>
      <c r="AP602" s="43"/>
      <c r="AQ602" s="43" t="s">
        <v>2349</v>
      </c>
      <c r="AR602" s="407"/>
    </row>
    <row r="603" spans="1:44" s="216" customFormat="1" ht="15" customHeight="1">
      <c r="A603" s="43">
        <v>2011303</v>
      </c>
      <c r="B603" s="43" t="s">
        <v>2340</v>
      </c>
      <c r="C603" s="480" t="s">
        <v>2350</v>
      </c>
      <c r="D603" s="43" t="s">
        <v>1876</v>
      </c>
      <c r="E603" s="43"/>
      <c r="F603" s="36">
        <v>2</v>
      </c>
      <c r="G603" s="36">
        <v>7</v>
      </c>
      <c r="H603" s="43" t="s">
        <v>136</v>
      </c>
      <c r="I603" s="43" t="s">
        <v>137</v>
      </c>
      <c r="J603" s="43"/>
      <c r="K603" s="479"/>
      <c r="L603" s="480" t="s">
        <v>2351</v>
      </c>
      <c r="M603" s="481"/>
      <c r="N603" s="481"/>
      <c r="O603" s="480"/>
      <c r="P603" s="463"/>
      <c r="Q603" s="463">
        <v>0</v>
      </c>
      <c r="R603" s="463" t="s">
        <v>153</v>
      </c>
      <c r="S603" s="43"/>
      <c r="T603" s="390"/>
      <c r="U603" s="391"/>
      <c r="V603" s="463"/>
      <c r="W603" s="619" t="s">
        <v>2352</v>
      </c>
      <c r="X603" s="619" t="s">
        <v>2352</v>
      </c>
      <c r="Y603" s="463">
        <v>0</v>
      </c>
      <c r="Z603" s="463">
        <v>0</v>
      </c>
      <c r="AA603" s="463"/>
      <c r="AB603" s="463"/>
      <c r="AC603" s="43"/>
      <c r="AD603" s="43"/>
      <c r="AE603" s="43">
        <v>0</v>
      </c>
      <c r="AF603" s="43">
        <v>0</v>
      </c>
      <c r="AG603" s="43">
        <v>0</v>
      </c>
      <c r="AH603" s="43"/>
      <c r="AI603" s="43">
        <v>0</v>
      </c>
      <c r="AJ603" s="43">
        <v>0</v>
      </c>
      <c r="AK603" s="492"/>
      <c r="AL603" s="492"/>
      <c r="AM603" s="492"/>
      <c r="AN603" s="43"/>
      <c r="AO603" s="43"/>
      <c r="AP603" s="43"/>
      <c r="AQ603" s="43" t="s">
        <v>2353</v>
      </c>
      <c r="AR603" s="407"/>
    </row>
    <row r="604" spans="1:44" s="219" customFormat="1" ht="15" customHeight="1">
      <c r="A604" s="43">
        <v>2011304</v>
      </c>
      <c r="B604" s="43" t="s">
        <v>2340</v>
      </c>
      <c r="C604" s="480" t="s">
        <v>2354</v>
      </c>
      <c r="D604" s="43" t="s">
        <v>1876</v>
      </c>
      <c r="E604" s="43"/>
      <c r="F604" s="36">
        <v>3</v>
      </c>
      <c r="G604" s="36">
        <v>7</v>
      </c>
      <c r="H604" s="43" t="s">
        <v>136</v>
      </c>
      <c r="I604" s="43" t="s">
        <v>137</v>
      </c>
      <c r="J604" s="43"/>
      <c r="K604" s="479"/>
      <c r="L604" s="480" t="s">
        <v>2355</v>
      </c>
      <c r="M604" s="481"/>
      <c r="N604" s="481"/>
      <c r="O604" s="480"/>
      <c r="P604" s="463"/>
      <c r="Q604" s="463">
        <v>0</v>
      </c>
      <c r="R604" s="463" t="s">
        <v>153</v>
      </c>
      <c r="S604" s="43"/>
      <c r="T604" s="390"/>
      <c r="U604" s="391"/>
      <c r="V604" s="463"/>
      <c r="W604" s="619" t="s">
        <v>2356</v>
      </c>
      <c r="X604" s="619" t="s">
        <v>2356</v>
      </c>
      <c r="Y604" s="463">
        <v>0</v>
      </c>
      <c r="Z604" s="463">
        <v>0</v>
      </c>
      <c r="AA604" s="463"/>
      <c r="AB604" s="463"/>
      <c r="AC604" s="43"/>
      <c r="AD604" s="43"/>
      <c r="AE604" s="43">
        <v>0</v>
      </c>
      <c r="AF604" s="43">
        <v>0</v>
      </c>
      <c r="AG604" s="43">
        <v>0</v>
      </c>
      <c r="AH604" s="43"/>
      <c r="AI604" s="43">
        <v>0</v>
      </c>
      <c r="AJ604" s="43">
        <v>0</v>
      </c>
      <c r="AK604" s="492"/>
      <c r="AL604" s="492"/>
      <c r="AM604" s="492"/>
      <c r="AN604" s="43"/>
      <c r="AO604" s="43"/>
      <c r="AP604" s="43"/>
      <c r="AQ604" s="43" t="s">
        <v>2357</v>
      </c>
      <c r="AR604" s="407"/>
    </row>
    <row r="605" spans="1:44" s="216" customFormat="1" ht="15" customHeight="1">
      <c r="A605" s="43">
        <v>2011305</v>
      </c>
      <c r="B605" s="43" t="s">
        <v>2340</v>
      </c>
      <c r="C605" s="480" t="s">
        <v>2358</v>
      </c>
      <c r="D605" s="43" t="s">
        <v>1876</v>
      </c>
      <c r="E605" s="43"/>
      <c r="F605" s="36">
        <v>4</v>
      </c>
      <c r="G605" s="36">
        <v>7</v>
      </c>
      <c r="H605" s="43" t="s">
        <v>136</v>
      </c>
      <c r="I605" s="43" t="s">
        <v>137</v>
      </c>
      <c r="J605" s="43"/>
      <c r="K605" s="479"/>
      <c r="L605" s="480" t="s">
        <v>2359</v>
      </c>
      <c r="M605" s="481"/>
      <c r="N605" s="481"/>
      <c r="O605" s="480"/>
      <c r="P605" s="463"/>
      <c r="Q605" s="463">
        <v>0</v>
      </c>
      <c r="R605" s="463" t="s">
        <v>153</v>
      </c>
      <c r="S605" s="43"/>
      <c r="T605" s="390"/>
      <c r="U605" s="391"/>
      <c r="V605" s="463"/>
      <c r="W605" s="619" t="s">
        <v>2360</v>
      </c>
      <c r="X605" s="619" t="s">
        <v>2360</v>
      </c>
      <c r="Y605" s="463">
        <v>0</v>
      </c>
      <c r="Z605" s="463">
        <v>0</v>
      </c>
      <c r="AA605" s="463"/>
      <c r="AB605" s="463"/>
      <c r="AC605" s="43"/>
      <c r="AD605" s="43"/>
      <c r="AE605" s="43">
        <v>0</v>
      </c>
      <c r="AF605" s="43">
        <v>0</v>
      </c>
      <c r="AG605" s="43">
        <v>0</v>
      </c>
      <c r="AH605" s="43"/>
      <c r="AI605" s="43">
        <v>0</v>
      </c>
      <c r="AJ605" s="43">
        <v>0</v>
      </c>
      <c r="AK605" s="492"/>
      <c r="AL605" s="492"/>
      <c r="AM605" s="492"/>
      <c r="AN605" s="43"/>
      <c r="AO605" s="43"/>
      <c r="AP605" s="43"/>
      <c r="AQ605" s="43" t="s">
        <v>2361</v>
      </c>
      <c r="AR605" s="407"/>
    </row>
    <row r="606" spans="1:44" s="216" customFormat="1" ht="15" customHeight="1">
      <c r="A606" s="43">
        <v>2011306</v>
      </c>
      <c r="B606" s="43" t="s">
        <v>2340</v>
      </c>
      <c r="C606" s="480" t="s">
        <v>2362</v>
      </c>
      <c r="D606" s="43" t="s">
        <v>1876</v>
      </c>
      <c r="E606" s="43"/>
      <c r="F606" s="36">
        <v>5</v>
      </c>
      <c r="G606" s="36">
        <v>7</v>
      </c>
      <c r="H606" s="43" t="s">
        <v>136</v>
      </c>
      <c r="I606" s="43" t="s">
        <v>137</v>
      </c>
      <c r="J606" s="43"/>
      <c r="K606" s="479"/>
      <c r="L606" s="480" t="s">
        <v>2363</v>
      </c>
      <c r="M606" s="481"/>
      <c r="N606" s="481"/>
      <c r="O606" s="480"/>
      <c r="P606" s="463"/>
      <c r="Q606" s="463">
        <v>0</v>
      </c>
      <c r="R606" s="463" t="s">
        <v>153</v>
      </c>
      <c r="S606" s="43"/>
      <c r="T606" s="390"/>
      <c r="U606" s="391"/>
      <c r="V606" s="463"/>
      <c r="W606" s="619" t="s">
        <v>2364</v>
      </c>
      <c r="X606" s="619" t="s">
        <v>2364</v>
      </c>
      <c r="Y606" s="463">
        <v>0</v>
      </c>
      <c r="Z606" s="463">
        <v>0</v>
      </c>
      <c r="AA606" s="463"/>
      <c r="AB606" s="463"/>
      <c r="AC606" s="43"/>
      <c r="AD606" s="43"/>
      <c r="AE606" s="43">
        <v>0</v>
      </c>
      <c r="AF606" s="43">
        <v>0</v>
      </c>
      <c r="AG606" s="43">
        <v>0</v>
      </c>
      <c r="AH606" s="43"/>
      <c r="AI606" s="43">
        <v>0</v>
      </c>
      <c r="AJ606" s="43">
        <v>0</v>
      </c>
      <c r="AK606" s="492"/>
      <c r="AL606" s="492"/>
      <c r="AM606" s="492"/>
      <c r="AN606" s="43"/>
      <c r="AO606" s="43"/>
      <c r="AP606" s="43"/>
      <c r="AQ606" s="43" t="s">
        <v>2365</v>
      </c>
      <c r="AR606" s="407"/>
    </row>
    <row r="607" spans="1:44" s="219" customFormat="1" ht="15" customHeight="1">
      <c r="A607" s="43">
        <v>2011307</v>
      </c>
      <c r="B607" s="43" t="s">
        <v>2340</v>
      </c>
      <c r="C607" s="480" t="s">
        <v>2366</v>
      </c>
      <c r="D607" s="43" t="s">
        <v>1876</v>
      </c>
      <c r="E607" s="43"/>
      <c r="F607" s="36">
        <v>6</v>
      </c>
      <c r="G607" s="36">
        <v>7</v>
      </c>
      <c r="H607" s="43" t="s">
        <v>136</v>
      </c>
      <c r="I607" s="43" t="s">
        <v>137</v>
      </c>
      <c r="J607" s="43"/>
      <c r="K607" s="479"/>
      <c r="L607" s="480" t="s">
        <v>2367</v>
      </c>
      <c r="M607" s="481"/>
      <c r="N607" s="481"/>
      <c r="O607" s="480"/>
      <c r="P607" s="463"/>
      <c r="Q607" s="463">
        <v>0</v>
      </c>
      <c r="R607" s="463" t="s">
        <v>153</v>
      </c>
      <c r="S607" s="43"/>
      <c r="T607" s="390"/>
      <c r="U607" s="391"/>
      <c r="V607" s="463"/>
      <c r="W607" s="619" t="s">
        <v>2368</v>
      </c>
      <c r="X607" s="619" t="s">
        <v>2368</v>
      </c>
      <c r="Y607" s="463">
        <v>0</v>
      </c>
      <c r="Z607" s="463">
        <v>0</v>
      </c>
      <c r="AA607" s="463"/>
      <c r="AB607" s="463"/>
      <c r="AC607" s="43"/>
      <c r="AD607" s="43"/>
      <c r="AE607" s="43">
        <v>0</v>
      </c>
      <c r="AF607" s="43">
        <v>0</v>
      </c>
      <c r="AG607" s="43">
        <v>0</v>
      </c>
      <c r="AH607" s="43"/>
      <c r="AI607" s="43">
        <v>0</v>
      </c>
      <c r="AJ607" s="43">
        <v>0</v>
      </c>
      <c r="AK607" s="492"/>
      <c r="AL607" s="492"/>
      <c r="AM607" s="492"/>
      <c r="AN607" s="43"/>
      <c r="AO607" s="43"/>
      <c r="AP607" s="43"/>
      <c r="AQ607" s="43" t="s">
        <v>2369</v>
      </c>
      <c r="AR607" s="407"/>
    </row>
    <row r="608" spans="1:44" s="216" customFormat="1" ht="15" customHeight="1">
      <c r="A608" s="43">
        <v>2011308</v>
      </c>
      <c r="B608" s="43" t="s">
        <v>2340</v>
      </c>
      <c r="C608" s="480" t="s">
        <v>2370</v>
      </c>
      <c r="D608" s="43" t="s">
        <v>1876</v>
      </c>
      <c r="E608" s="43"/>
      <c r="F608" s="36">
        <v>7</v>
      </c>
      <c r="G608" s="36">
        <v>7</v>
      </c>
      <c r="H608" s="43" t="s">
        <v>136</v>
      </c>
      <c r="I608" s="43" t="s">
        <v>137</v>
      </c>
      <c r="J608" s="43"/>
      <c r="K608" s="479"/>
      <c r="L608" s="480" t="s">
        <v>2371</v>
      </c>
      <c r="M608" s="481"/>
      <c r="N608" s="481"/>
      <c r="O608" s="480"/>
      <c r="P608" s="463"/>
      <c r="Q608" s="463">
        <v>0</v>
      </c>
      <c r="R608" s="463" t="s">
        <v>153</v>
      </c>
      <c r="S608" s="43"/>
      <c r="T608" s="390"/>
      <c r="U608" s="391"/>
      <c r="V608" s="463"/>
      <c r="W608" s="619" t="s">
        <v>2372</v>
      </c>
      <c r="X608" s="619" t="s">
        <v>2372</v>
      </c>
      <c r="Y608" s="463">
        <v>0</v>
      </c>
      <c r="Z608" s="463">
        <v>0</v>
      </c>
      <c r="AA608" s="463"/>
      <c r="AB608" s="463"/>
      <c r="AC608" s="43"/>
      <c r="AD608" s="43"/>
      <c r="AE608" s="43">
        <v>0</v>
      </c>
      <c r="AF608" s="43">
        <v>0</v>
      </c>
      <c r="AG608" s="43">
        <v>0</v>
      </c>
      <c r="AH608" s="43"/>
      <c r="AI608" s="43">
        <v>0</v>
      </c>
      <c r="AJ608" s="43">
        <v>0</v>
      </c>
      <c r="AK608" s="492"/>
      <c r="AL608" s="492"/>
      <c r="AM608" s="492"/>
      <c r="AN608" s="43"/>
      <c r="AO608" s="43"/>
      <c r="AP608" s="43"/>
      <c r="AQ608" s="43" t="s">
        <v>2373</v>
      </c>
      <c r="AR608" s="407"/>
    </row>
    <row r="609" spans="1:44" s="216" customFormat="1" ht="15" customHeight="1">
      <c r="A609" s="3">
        <v>2011309</v>
      </c>
      <c r="B609" s="3" t="s">
        <v>2340</v>
      </c>
      <c r="C609" s="236" t="s">
        <v>2374</v>
      </c>
      <c r="D609" s="44" t="s">
        <v>1876</v>
      </c>
      <c r="E609" s="41"/>
      <c r="F609" s="3">
        <v>8</v>
      </c>
      <c r="G609" s="36">
        <v>7</v>
      </c>
      <c r="H609" s="3" t="s">
        <v>136</v>
      </c>
      <c r="I609" s="3" t="s">
        <v>137</v>
      </c>
      <c r="J609" s="3"/>
      <c r="K609" s="3"/>
      <c r="L609" s="236"/>
      <c r="M609" s="99"/>
      <c r="N609" s="99"/>
      <c r="O609" s="236"/>
      <c r="P609" s="22"/>
      <c r="Q609" s="22">
        <v>0</v>
      </c>
      <c r="R609" s="22" t="s">
        <v>153</v>
      </c>
      <c r="S609" s="3"/>
      <c r="T609" s="260"/>
      <c r="U609" s="261"/>
      <c r="V609" s="22"/>
      <c r="W609" s="567" t="s">
        <v>1990</v>
      </c>
      <c r="X609" s="567" t="s">
        <v>6706</v>
      </c>
      <c r="Y609" s="22"/>
      <c r="Z609" s="22"/>
      <c r="AA609" s="22"/>
      <c r="AB609" s="22" t="s">
        <v>114</v>
      </c>
      <c r="AC609" s="3"/>
      <c r="AD609" s="3"/>
      <c r="AE609" s="3">
        <v>0</v>
      </c>
      <c r="AF609" s="3">
        <v>0</v>
      </c>
      <c r="AG609" s="3">
        <v>0</v>
      </c>
      <c r="AH609" s="3"/>
      <c r="AI609" s="3">
        <v>0</v>
      </c>
      <c r="AJ609" s="3">
        <v>0</v>
      </c>
      <c r="AK609" s="3">
        <v>0</v>
      </c>
      <c r="AL609" s="3"/>
      <c r="AM609" s="3"/>
      <c r="AN609" s="3"/>
      <c r="AO609" s="3"/>
      <c r="AP609" s="3"/>
      <c r="AQ609" s="3" t="s">
        <v>2353</v>
      </c>
      <c r="AR609" s="281"/>
    </row>
    <row r="610" spans="1:44" s="216" customFormat="1" ht="15" customHeight="1">
      <c r="A610" s="3">
        <v>2011310</v>
      </c>
      <c r="B610" s="3" t="s">
        <v>2340</v>
      </c>
      <c r="C610" s="236" t="s">
        <v>2375</v>
      </c>
      <c r="D610" s="3" t="s">
        <v>1876</v>
      </c>
      <c r="E610" s="1"/>
      <c r="F610" s="3">
        <v>9</v>
      </c>
      <c r="G610" s="36">
        <v>7</v>
      </c>
      <c r="H610" s="3" t="s">
        <v>136</v>
      </c>
      <c r="I610" s="3" t="s">
        <v>137</v>
      </c>
      <c r="J610" s="3"/>
      <c r="K610" s="3"/>
      <c r="L610" s="236"/>
      <c r="M610" s="99"/>
      <c r="N610" s="99"/>
      <c r="O610" s="236"/>
      <c r="P610" s="22"/>
      <c r="Q610" s="22">
        <v>0</v>
      </c>
      <c r="R610" s="22" t="s">
        <v>153</v>
      </c>
      <c r="S610" s="3"/>
      <c r="T610" s="260"/>
      <c r="U610" s="261"/>
      <c r="V610" s="22"/>
      <c r="W610" s="567" t="s">
        <v>2376</v>
      </c>
      <c r="X610" s="567" t="s">
        <v>6707</v>
      </c>
      <c r="Y610" s="22"/>
      <c r="Z610" s="22"/>
      <c r="AA610" s="22"/>
      <c r="AB610" s="22" t="s">
        <v>114</v>
      </c>
      <c r="AC610" s="3"/>
      <c r="AD610" s="3"/>
      <c r="AE610" s="3">
        <v>0</v>
      </c>
      <c r="AF610" s="3">
        <v>0</v>
      </c>
      <c r="AG610" s="3">
        <v>0</v>
      </c>
      <c r="AH610" s="3"/>
      <c r="AI610" s="3">
        <v>0</v>
      </c>
      <c r="AJ610" s="3">
        <v>0</v>
      </c>
      <c r="AK610" s="3">
        <v>0</v>
      </c>
      <c r="AL610" s="3"/>
      <c r="AM610" s="3"/>
      <c r="AN610" s="3"/>
      <c r="AO610" s="3"/>
      <c r="AP610" s="3"/>
      <c r="AQ610" s="282" t="str">
        <f>"tricks/"&amp;A610</f>
        <v>tricks/2011310</v>
      </c>
      <c r="AR610" s="222"/>
    </row>
    <row r="611" spans="1:44" ht="15" customHeight="1">
      <c r="A611" s="3">
        <v>2011311</v>
      </c>
      <c r="B611" s="3" t="s">
        <v>2340</v>
      </c>
      <c r="C611" s="236" t="s">
        <v>2377</v>
      </c>
      <c r="D611" s="3" t="s">
        <v>1876</v>
      </c>
      <c r="F611" s="3">
        <v>10</v>
      </c>
      <c r="G611" s="36">
        <v>7</v>
      </c>
      <c r="H611" s="3" t="s">
        <v>136</v>
      </c>
      <c r="I611" s="3" t="s">
        <v>137</v>
      </c>
      <c r="J611" s="3"/>
      <c r="K611" s="3"/>
      <c r="L611" s="236"/>
      <c r="M611" s="99"/>
      <c r="N611" s="99"/>
      <c r="O611" s="236"/>
      <c r="P611" s="22"/>
      <c r="Q611" s="22">
        <v>0</v>
      </c>
      <c r="R611" s="22" t="s">
        <v>153</v>
      </c>
      <c r="S611" s="3"/>
      <c r="T611" s="260"/>
      <c r="U611" s="261"/>
      <c r="V611" s="22"/>
      <c r="W611" s="567" t="s">
        <v>2378</v>
      </c>
      <c r="X611" s="567" t="s">
        <v>6708</v>
      </c>
      <c r="Y611" s="22"/>
      <c r="Z611" s="22"/>
      <c r="AA611" s="22"/>
      <c r="AB611" s="22" t="s">
        <v>114</v>
      </c>
      <c r="AC611" s="3"/>
      <c r="AD611" s="3"/>
      <c r="AE611" s="3">
        <v>0</v>
      </c>
      <c r="AF611" s="3">
        <v>0</v>
      </c>
      <c r="AG611" s="3">
        <v>0</v>
      </c>
      <c r="AH611" s="3"/>
      <c r="AI611" s="3">
        <v>0</v>
      </c>
      <c r="AJ611" s="3">
        <v>0</v>
      </c>
      <c r="AK611" s="3">
        <v>0</v>
      </c>
      <c r="AL611" s="3"/>
      <c r="AM611" s="3"/>
      <c r="AN611" s="3"/>
      <c r="AO611" s="3"/>
      <c r="AP611" s="3"/>
      <c r="AQ611" s="282" t="str">
        <f>"tricks/"&amp;A611</f>
        <v>tricks/2011311</v>
      </c>
    </row>
    <row r="612" spans="1:44" s="216" customFormat="1" ht="15" customHeight="1">
      <c r="A612" s="44">
        <v>2011401</v>
      </c>
      <c r="B612" s="44" t="s">
        <v>2379</v>
      </c>
      <c r="C612" s="483" t="s">
        <v>2380</v>
      </c>
      <c r="D612" s="44" t="s">
        <v>1876</v>
      </c>
      <c r="E612" s="44"/>
      <c r="F612" s="36">
        <v>1</v>
      </c>
      <c r="G612" s="36">
        <v>7</v>
      </c>
      <c r="H612" s="44" t="s">
        <v>82</v>
      </c>
      <c r="I612" s="44" t="s">
        <v>101</v>
      </c>
      <c r="J612" s="44"/>
      <c r="K612" s="482"/>
      <c r="L612" s="483" t="s">
        <v>2381</v>
      </c>
      <c r="M612" s="484"/>
      <c r="N612" s="378">
        <v>10</v>
      </c>
      <c r="O612" s="483"/>
      <c r="P612" s="485"/>
      <c r="Q612" s="485">
        <v>0</v>
      </c>
      <c r="R612" s="485" t="s">
        <v>153</v>
      </c>
      <c r="S612" s="44"/>
      <c r="T612" s="467">
        <v>2</v>
      </c>
      <c r="U612" s="468"/>
      <c r="V612" s="485"/>
      <c r="W612" s="619" t="s">
        <v>2382</v>
      </c>
      <c r="X612" s="619" t="s">
        <v>2382</v>
      </c>
      <c r="Y612" s="485">
        <v>0</v>
      </c>
      <c r="Z612" s="485">
        <v>0</v>
      </c>
      <c r="AA612" s="485"/>
      <c r="AB612" s="485"/>
      <c r="AC612" s="44"/>
      <c r="AD612" s="44"/>
      <c r="AE612" s="44">
        <v>1</v>
      </c>
      <c r="AF612" s="44">
        <v>1</v>
      </c>
      <c r="AG612" s="44">
        <v>30</v>
      </c>
      <c r="AH612" s="44"/>
      <c r="AI612" s="44"/>
      <c r="AJ612" s="44"/>
      <c r="AK612" s="493"/>
      <c r="AL612" s="493"/>
      <c r="AM612" s="493"/>
      <c r="AN612" s="43" t="s">
        <v>2383</v>
      </c>
      <c r="AO612" s="44"/>
      <c r="AP612" s="44"/>
      <c r="AQ612" s="44" t="s">
        <v>2384</v>
      </c>
      <c r="AR612" s="472"/>
    </row>
    <row r="613" spans="1:44" s="216" customFormat="1" ht="36" customHeight="1">
      <c r="A613" s="44">
        <v>2011402</v>
      </c>
      <c r="B613" s="44" t="s">
        <v>2379</v>
      </c>
      <c r="C613" s="483" t="s">
        <v>2385</v>
      </c>
      <c r="D613" s="44" t="s">
        <v>1876</v>
      </c>
      <c r="E613" s="44"/>
      <c r="F613" s="36">
        <v>1</v>
      </c>
      <c r="G613" s="36">
        <v>7</v>
      </c>
      <c r="H613" s="44" t="s">
        <v>136</v>
      </c>
      <c r="I613" s="44" t="s">
        <v>137</v>
      </c>
      <c r="J613" s="44"/>
      <c r="K613" s="482"/>
      <c r="L613" s="483" t="s">
        <v>2386</v>
      </c>
      <c r="M613" s="484"/>
      <c r="N613" s="484"/>
      <c r="O613" s="483"/>
      <c r="P613" s="485"/>
      <c r="Q613" s="485">
        <v>0</v>
      </c>
      <c r="R613" s="485" t="s">
        <v>153</v>
      </c>
      <c r="S613" s="44"/>
      <c r="T613" s="467"/>
      <c r="U613" s="468"/>
      <c r="V613" s="485"/>
      <c r="W613" s="619" t="s">
        <v>2387</v>
      </c>
      <c r="X613" s="619" t="s">
        <v>2387</v>
      </c>
      <c r="Y613" s="485">
        <v>0</v>
      </c>
      <c r="Z613" s="485">
        <v>0</v>
      </c>
      <c r="AA613" s="485"/>
      <c r="AB613" s="485"/>
      <c r="AC613" s="44"/>
      <c r="AD613" s="44"/>
      <c r="AE613" s="44">
        <v>0</v>
      </c>
      <c r="AF613" s="44">
        <v>0</v>
      </c>
      <c r="AG613" s="44">
        <v>0</v>
      </c>
      <c r="AH613" s="44"/>
      <c r="AI613" s="44">
        <v>0</v>
      </c>
      <c r="AJ613" s="44">
        <v>0</v>
      </c>
      <c r="AK613" s="493"/>
      <c r="AL613" s="493"/>
      <c r="AM613" s="493"/>
      <c r="AN613" s="44"/>
      <c r="AO613" s="44"/>
      <c r="AP613" s="44"/>
      <c r="AQ613" s="44" t="s">
        <v>2388</v>
      </c>
      <c r="AR613" s="472"/>
    </row>
    <row r="614" spans="1:44" s="216" customFormat="1" ht="15" customHeight="1">
      <c r="A614" s="44">
        <v>2011403</v>
      </c>
      <c r="B614" s="44" t="s">
        <v>2379</v>
      </c>
      <c r="C614" s="483" t="s">
        <v>2389</v>
      </c>
      <c r="D614" s="44" t="s">
        <v>1876</v>
      </c>
      <c r="E614" s="44"/>
      <c r="F614" s="36">
        <v>2</v>
      </c>
      <c r="G614" s="36">
        <v>7</v>
      </c>
      <c r="H614" s="44" t="s">
        <v>136</v>
      </c>
      <c r="I614" s="44" t="s">
        <v>137</v>
      </c>
      <c r="J614" s="44"/>
      <c r="K614" s="482"/>
      <c r="L614" s="483" t="s">
        <v>2390</v>
      </c>
      <c r="M614" s="484"/>
      <c r="N614" s="484"/>
      <c r="O614" s="483"/>
      <c r="P614" s="485"/>
      <c r="Q614" s="485">
        <v>0</v>
      </c>
      <c r="R614" s="485" t="s">
        <v>153</v>
      </c>
      <c r="S614" s="44"/>
      <c r="T614" s="467"/>
      <c r="U614" s="468"/>
      <c r="V614" s="485"/>
      <c r="W614" s="619" t="s">
        <v>2391</v>
      </c>
      <c r="X614" s="619" t="s">
        <v>2391</v>
      </c>
      <c r="Y614" s="485">
        <v>0</v>
      </c>
      <c r="Z614" s="485">
        <v>0</v>
      </c>
      <c r="AA614" s="485"/>
      <c r="AB614" s="485"/>
      <c r="AC614" s="44"/>
      <c r="AD614" s="44"/>
      <c r="AE614" s="44">
        <v>0</v>
      </c>
      <c r="AF614" s="44">
        <v>0</v>
      </c>
      <c r="AG614" s="44">
        <v>0</v>
      </c>
      <c r="AH614" s="44"/>
      <c r="AI614" s="44">
        <v>0</v>
      </c>
      <c r="AJ614" s="44">
        <v>0</v>
      </c>
      <c r="AK614" s="493"/>
      <c r="AL614" s="493"/>
      <c r="AM614" s="493"/>
      <c r="AN614" s="44"/>
      <c r="AO614" s="44"/>
      <c r="AP614" s="44"/>
      <c r="AQ614" s="44" t="s">
        <v>2392</v>
      </c>
      <c r="AR614" s="472"/>
    </row>
    <row r="615" spans="1:44" ht="15" customHeight="1">
      <c r="A615" s="44">
        <v>2011404</v>
      </c>
      <c r="B615" s="44" t="s">
        <v>2379</v>
      </c>
      <c r="C615" s="483" t="s">
        <v>2393</v>
      </c>
      <c r="D615" s="44" t="s">
        <v>1876</v>
      </c>
      <c r="E615" s="44"/>
      <c r="F615" s="36">
        <v>3</v>
      </c>
      <c r="G615" s="36">
        <v>7</v>
      </c>
      <c r="H615" s="44" t="s">
        <v>136</v>
      </c>
      <c r="I615" s="44" t="s">
        <v>137</v>
      </c>
      <c r="J615" s="44"/>
      <c r="K615" s="482"/>
      <c r="L615" s="486" t="s">
        <v>2394</v>
      </c>
      <c r="M615" s="484"/>
      <c r="N615" s="484"/>
      <c r="O615" s="483"/>
      <c r="P615" s="485"/>
      <c r="Q615" s="485">
        <v>0</v>
      </c>
      <c r="R615" s="485" t="s">
        <v>153</v>
      </c>
      <c r="S615" s="44"/>
      <c r="T615" s="467"/>
      <c r="U615" s="468"/>
      <c r="V615" s="485"/>
      <c r="W615" s="619" t="s">
        <v>2395</v>
      </c>
      <c r="X615" s="619" t="s">
        <v>2395</v>
      </c>
      <c r="Y615" s="485">
        <v>0</v>
      </c>
      <c r="Z615" s="485">
        <v>0</v>
      </c>
      <c r="AA615" s="485"/>
      <c r="AB615" s="485"/>
      <c r="AC615" s="44"/>
      <c r="AD615" s="44"/>
      <c r="AE615" s="44">
        <v>0</v>
      </c>
      <c r="AF615" s="44">
        <v>0</v>
      </c>
      <c r="AG615" s="44">
        <v>0</v>
      </c>
      <c r="AH615" s="44"/>
      <c r="AI615" s="44">
        <v>0</v>
      </c>
      <c r="AJ615" s="44">
        <v>0</v>
      </c>
      <c r="AK615" s="493"/>
      <c r="AL615" s="493"/>
      <c r="AM615" s="493"/>
      <c r="AN615" s="44"/>
      <c r="AO615" s="44"/>
      <c r="AP615" s="44"/>
      <c r="AQ615" s="44" t="s">
        <v>2396</v>
      </c>
      <c r="AR615" s="472"/>
    </row>
    <row r="616" spans="1:44" ht="15" customHeight="1">
      <c r="A616" s="44">
        <v>2011405</v>
      </c>
      <c r="B616" s="44" t="s">
        <v>2379</v>
      </c>
      <c r="C616" s="483" t="s">
        <v>2397</v>
      </c>
      <c r="D616" s="44" t="s">
        <v>1876</v>
      </c>
      <c r="E616" s="44"/>
      <c r="F616" s="36">
        <v>4</v>
      </c>
      <c r="G616" s="36">
        <v>7</v>
      </c>
      <c r="H616" s="44" t="s">
        <v>136</v>
      </c>
      <c r="I616" s="44" t="s">
        <v>137</v>
      </c>
      <c r="J616" s="44"/>
      <c r="K616" s="482"/>
      <c r="L616" s="483" t="s">
        <v>2398</v>
      </c>
      <c r="M616" s="484"/>
      <c r="N616" s="484"/>
      <c r="O616" s="483"/>
      <c r="P616" s="485"/>
      <c r="Q616" s="485">
        <v>0</v>
      </c>
      <c r="R616" s="485" t="s">
        <v>153</v>
      </c>
      <c r="S616" s="44"/>
      <c r="T616" s="467"/>
      <c r="U616" s="468"/>
      <c r="V616" s="485"/>
      <c r="W616" s="619" t="s">
        <v>2399</v>
      </c>
      <c r="X616" s="619" t="s">
        <v>2399</v>
      </c>
      <c r="Y616" s="485">
        <v>0</v>
      </c>
      <c r="Z616" s="485">
        <v>0</v>
      </c>
      <c r="AA616" s="485"/>
      <c r="AB616" s="485"/>
      <c r="AC616" s="44"/>
      <c r="AD616" s="44"/>
      <c r="AE616" s="44">
        <v>0</v>
      </c>
      <c r="AF616" s="44">
        <v>0</v>
      </c>
      <c r="AG616" s="44">
        <v>0</v>
      </c>
      <c r="AH616" s="44"/>
      <c r="AI616" s="44">
        <v>0</v>
      </c>
      <c r="AJ616" s="44">
        <v>0</v>
      </c>
      <c r="AK616" s="493"/>
      <c r="AL616" s="493"/>
      <c r="AM616" s="493"/>
      <c r="AN616" s="44"/>
      <c r="AO616" s="44"/>
      <c r="AP616" s="44"/>
      <c r="AQ616" s="44" t="s">
        <v>2400</v>
      </c>
      <c r="AR616" s="472"/>
    </row>
    <row r="617" spans="1:44" ht="15" customHeight="1">
      <c r="A617" s="44">
        <v>2011406</v>
      </c>
      <c r="B617" s="44" t="s">
        <v>2379</v>
      </c>
      <c r="C617" s="483" t="s">
        <v>2401</v>
      </c>
      <c r="D617" s="44" t="s">
        <v>1876</v>
      </c>
      <c r="E617" s="44"/>
      <c r="F617" s="36">
        <v>5</v>
      </c>
      <c r="G617" s="36">
        <v>7</v>
      </c>
      <c r="H617" s="44" t="s">
        <v>136</v>
      </c>
      <c r="I617" s="44" t="s">
        <v>137</v>
      </c>
      <c r="J617" s="44"/>
      <c r="K617" s="482"/>
      <c r="L617" s="483" t="s">
        <v>2402</v>
      </c>
      <c r="M617" s="484"/>
      <c r="N617" s="484"/>
      <c r="O617" s="483"/>
      <c r="P617" s="485"/>
      <c r="Q617" s="485">
        <v>0</v>
      </c>
      <c r="R617" s="485" t="s">
        <v>153</v>
      </c>
      <c r="S617" s="44"/>
      <c r="T617" s="467"/>
      <c r="U617" s="468"/>
      <c r="V617" s="485"/>
      <c r="W617" s="619" t="s">
        <v>2403</v>
      </c>
      <c r="X617" s="619" t="s">
        <v>2403</v>
      </c>
      <c r="Y617" s="485">
        <v>0</v>
      </c>
      <c r="Z617" s="485">
        <v>0</v>
      </c>
      <c r="AA617" s="485"/>
      <c r="AB617" s="485"/>
      <c r="AC617" s="44"/>
      <c r="AD617" s="44"/>
      <c r="AE617" s="44">
        <v>0</v>
      </c>
      <c r="AF617" s="44">
        <v>0</v>
      </c>
      <c r="AG617" s="44">
        <v>0</v>
      </c>
      <c r="AH617" s="44"/>
      <c r="AI617" s="44">
        <v>0</v>
      </c>
      <c r="AJ617" s="44">
        <v>0</v>
      </c>
      <c r="AK617" s="493"/>
      <c r="AL617" s="493"/>
      <c r="AM617" s="493"/>
      <c r="AN617" s="44"/>
      <c r="AO617" s="44"/>
      <c r="AP617" s="44"/>
      <c r="AQ617" s="44" t="s">
        <v>2404</v>
      </c>
      <c r="AR617" s="472"/>
    </row>
    <row r="618" spans="1:44" ht="15" customHeight="1">
      <c r="A618" s="44">
        <v>2011407</v>
      </c>
      <c r="B618" s="44" t="s">
        <v>2379</v>
      </c>
      <c r="C618" s="483" t="s">
        <v>2405</v>
      </c>
      <c r="D618" s="44" t="s">
        <v>1876</v>
      </c>
      <c r="E618" s="44"/>
      <c r="F618" s="36">
        <v>6</v>
      </c>
      <c r="G618" s="36">
        <v>7</v>
      </c>
      <c r="H618" s="44" t="s">
        <v>136</v>
      </c>
      <c r="I618" s="44" t="s">
        <v>137</v>
      </c>
      <c r="J618" s="44"/>
      <c r="K618" s="482"/>
      <c r="L618" s="483" t="s">
        <v>2406</v>
      </c>
      <c r="M618" s="484"/>
      <c r="N618" s="484"/>
      <c r="O618" s="483"/>
      <c r="P618" s="485"/>
      <c r="Q618" s="485">
        <v>0</v>
      </c>
      <c r="R618" s="485" t="s">
        <v>153</v>
      </c>
      <c r="S618" s="44"/>
      <c r="T618" s="467"/>
      <c r="U618" s="468"/>
      <c r="V618" s="485"/>
      <c r="W618" s="619" t="s">
        <v>2407</v>
      </c>
      <c r="X618" s="619" t="s">
        <v>2407</v>
      </c>
      <c r="Y618" s="485">
        <v>0</v>
      </c>
      <c r="Z618" s="485">
        <v>0</v>
      </c>
      <c r="AA618" s="485"/>
      <c r="AB618" s="485"/>
      <c r="AC618" s="44"/>
      <c r="AD618" s="44"/>
      <c r="AE618" s="44">
        <v>0</v>
      </c>
      <c r="AF618" s="44">
        <v>0</v>
      </c>
      <c r="AG618" s="44">
        <v>0</v>
      </c>
      <c r="AH618" s="44"/>
      <c r="AI618" s="44">
        <v>0</v>
      </c>
      <c r="AJ618" s="44">
        <v>0</v>
      </c>
      <c r="AK618" s="493"/>
      <c r="AL618" s="493"/>
      <c r="AM618" s="493"/>
      <c r="AN618" s="44"/>
      <c r="AO618" s="44"/>
      <c r="AP618" s="44"/>
      <c r="AQ618" s="44" t="s">
        <v>2408</v>
      </c>
      <c r="AR618" s="472"/>
    </row>
    <row r="619" spans="1:44" ht="15" customHeight="1">
      <c r="A619" s="44">
        <v>2011408</v>
      </c>
      <c r="B619" s="44" t="s">
        <v>2379</v>
      </c>
      <c r="C619" s="483" t="s">
        <v>2409</v>
      </c>
      <c r="D619" s="44" t="s">
        <v>1876</v>
      </c>
      <c r="E619" s="44"/>
      <c r="F619" s="36">
        <v>7</v>
      </c>
      <c r="G619" s="36">
        <v>7</v>
      </c>
      <c r="H619" s="44" t="s">
        <v>136</v>
      </c>
      <c r="I619" s="44" t="s">
        <v>137</v>
      </c>
      <c r="J619" s="44"/>
      <c r="K619" s="482"/>
      <c r="L619" s="483" t="s">
        <v>2410</v>
      </c>
      <c r="M619" s="484"/>
      <c r="N619" s="484"/>
      <c r="O619" s="483"/>
      <c r="P619" s="485"/>
      <c r="Q619" s="485">
        <v>0</v>
      </c>
      <c r="R619" s="485" t="s">
        <v>153</v>
      </c>
      <c r="S619" s="44"/>
      <c r="T619" s="467"/>
      <c r="U619" s="468"/>
      <c r="V619" s="485"/>
      <c r="W619" s="619" t="s">
        <v>2411</v>
      </c>
      <c r="X619" s="619" t="s">
        <v>6703</v>
      </c>
      <c r="Y619" s="485">
        <v>0</v>
      </c>
      <c r="Z619" s="485">
        <v>0</v>
      </c>
      <c r="AA619" s="485"/>
      <c r="AB619" s="485"/>
      <c r="AC619" s="44"/>
      <c r="AD619" s="44"/>
      <c r="AE619" s="44">
        <v>0</v>
      </c>
      <c r="AF619" s="44">
        <v>0</v>
      </c>
      <c r="AG619" s="44">
        <v>0</v>
      </c>
      <c r="AH619" s="44"/>
      <c r="AI619" s="44">
        <v>0</v>
      </c>
      <c r="AJ619" s="44">
        <v>0</v>
      </c>
      <c r="AK619" s="493"/>
      <c r="AL619" s="493"/>
      <c r="AM619" s="493"/>
      <c r="AN619" s="44"/>
      <c r="AO619" s="44"/>
      <c r="AP619" s="44"/>
      <c r="AQ619" s="44" t="s">
        <v>2412</v>
      </c>
      <c r="AR619" s="472"/>
    </row>
    <row r="620" spans="1:44" ht="15" customHeight="1">
      <c r="A620" s="3">
        <v>2011409</v>
      </c>
      <c r="B620" s="3" t="s">
        <v>2379</v>
      </c>
      <c r="C620" s="236" t="s">
        <v>2413</v>
      </c>
      <c r="D620" s="44" t="s">
        <v>1876</v>
      </c>
      <c r="E620" s="41"/>
      <c r="F620" s="3">
        <v>8</v>
      </c>
      <c r="G620" s="36">
        <v>7</v>
      </c>
      <c r="H620" s="3" t="s">
        <v>136</v>
      </c>
      <c r="I620" s="3" t="s">
        <v>137</v>
      </c>
      <c r="J620" s="3"/>
      <c r="K620" s="3"/>
      <c r="L620" s="236"/>
      <c r="M620" s="99"/>
      <c r="N620" s="99"/>
      <c r="O620" s="236"/>
      <c r="P620" s="22"/>
      <c r="Q620" s="22">
        <v>0</v>
      </c>
      <c r="R620" s="22" t="s">
        <v>153</v>
      </c>
      <c r="S620" s="3"/>
      <c r="T620" s="260"/>
      <c r="U620" s="261"/>
      <c r="V620" s="22"/>
      <c r="W620" s="567" t="s">
        <v>1952</v>
      </c>
      <c r="X620" s="567" t="s">
        <v>6700</v>
      </c>
      <c r="Y620" s="22"/>
      <c r="Z620" s="22"/>
      <c r="AA620" s="22"/>
      <c r="AB620" s="22" t="s">
        <v>114</v>
      </c>
      <c r="AC620" s="3"/>
      <c r="AD620" s="3"/>
      <c r="AE620" s="3">
        <v>0</v>
      </c>
      <c r="AF620" s="3">
        <v>0</v>
      </c>
      <c r="AG620" s="3">
        <v>0</v>
      </c>
      <c r="AH620" s="3"/>
      <c r="AI620" s="3">
        <v>0</v>
      </c>
      <c r="AJ620" s="3">
        <v>0</v>
      </c>
      <c r="AK620" s="3">
        <v>0</v>
      </c>
      <c r="AL620" s="3"/>
      <c r="AM620" s="3"/>
      <c r="AN620" s="3"/>
      <c r="AO620" s="3"/>
      <c r="AP620" s="3"/>
      <c r="AQ620" s="3" t="s">
        <v>2392</v>
      </c>
      <c r="AR620" s="281"/>
    </row>
    <row r="621" spans="1:44" ht="15" customHeight="1">
      <c r="A621" s="3">
        <v>2011410</v>
      </c>
      <c r="B621" s="3" t="s">
        <v>2379</v>
      </c>
      <c r="C621" s="236" t="s">
        <v>2414</v>
      </c>
      <c r="D621" s="3" t="s">
        <v>1876</v>
      </c>
      <c r="F621" s="3">
        <v>9</v>
      </c>
      <c r="G621" s="36">
        <v>7</v>
      </c>
      <c r="H621" s="3" t="s">
        <v>136</v>
      </c>
      <c r="I621" s="3" t="s">
        <v>137</v>
      </c>
      <c r="J621" s="3"/>
      <c r="K621" s="3"/>
      <c r="L621" s="236"/>
      <c r="M621" s="99"/>
      <c r="N621" s="99"/>
      <c r="O621" s="236"/>
      <c r="P621" s="22"/>
      <c r="Q621" s="22">
        <v>0</v>
      </c>
      <c r="R621" s="22" t="s">
        <v>153</v>
      </c>
      <c r="S621" s="3"/>
      <c r="T621" s="260"/>
      <c r="U621" s="261"/>
      <c r="V621" s="22"/>
      <c r="W621" s="567" t="s">
        <v>2415</v>
      </c>
      <c r="X621" s="567" t="s">
        <v>6704</v>
      </c>
      <c r="Y621" s="22"/>
      <c r="Z621" s="22"/>
      <c r="AA621" s="22"/>
      <c r="AB621" s="22" t="s">
        <v>114</v>
      </c>
      <c r="AC621" s="3"/>
      <c r="AD621" s="3"/>
      <c r="AE621" s="3">
        <v>0</v>
      </c>
      <c r="AF621" s="3">
        <v>0</v>
      </c>
      <c r="AG621" s="3">
        <v>0</v>
      </c>
      <c r="AH621" s="3"/>
      <c r="AI621" s="3">
        <v>0</v>
      </c>
      <c r="AJ621" s="3">
        <v>0</v>
      </c>
      <c r="AK621" s="3">
        <v>0</v>
      </c>
      <c r="AL621" s="3"/>
      <c r="AM621" s="3"/>
      <c r="AN621" s="3"/>
      <c r="AO621" s="3"/>
      <c r="AP621" s="3"/>
      <c r="AQ621" s="282" t="str">
        <f>"tricks/"&amp;A621</f>
        <v>tricks/2011410</v>
      </c>
    </row>
    <row r="622" spans="1:44" ht="15" customHeight="1">
      <c r="A622" s="3">
        <v>2011411</v>
      </c>
      <c r="B622" s="3" t="s">
        <v>2379</v>
      </c>
      <c r="C622" s="236" t="s">
        <v>2416</v>
      </c>
      <c r="D622" s="3" t="s">
        <v>1876</v>
      </c>
      <c r="F622" s="3">
        <v>10</v>
      </c>
      <c r="G622" s="36">
        <v>7</v>
      </c>
      <c r="H622" s="3" t="s">
        <v>136</v>
      </c>
      <c r="I622" s="3" t="s">
        <v>137</v>
      </c>
      <c r="J622" s="3"/>
      <c r="K622" s="3"/>
      <c r="L622" s="236"/>
      <c r="M622" s="99"/>
      <c r="N622" s="99"/>
      <c r="O622" s="236"/>
      <c r="P622" s="22"/>
      <c r="Q622" s="22">
        <v>0</v>
      </c>
      <c r="R622" s="22" t="s">
        <v>153</v>
      </c>
      <c r="S622" s="3"/>
      <c r="T622" s="260"/>
      <c r="U622" s="261"/>
      <c r="V622" s="22"/>
      <c r="W622" s="567" t="s">
        <v>2417</v>
      </c>
      <c r="X622" s="567" t="s">
        <v>6705</v>
      </c>
      <c r="Y622" s="22"/>
      <c r="Z622" s="22"/>
      <c r="AA622" s="22"/>
      <c r="AB622" s="22" t="s">
        <v>114</v>
      </c>
      <c r="AC622" s="3"/>
      <c r="AD622" s="3"/>
      <c r="AE622" s="3">
        <v>0</v>
      </c>
      <c r="AF622" s="3">
        <v>0</v>
      </c>
      <c r="AG622" s="3">
        <v>0</v>
      </c>
      <c r="AH622" s="3"/>
      <c r="AI622" s="3">
        <v>0</v>
      </c>
      <c r="AJ622" s="3">
        <v>0</v>
      </c>
      <c r="AK622" s="3">
        <v>0</v>
      </c>
      <c r="AL622" s="3"/>
      <c r="AM622" s="3"/>
      <c r="AN622" s="3"/>
      <c r="AO622" s="3"/>
      <c r="AP622" s="3"/>
      <c r="AQ622" s="282" t="str">
        <f>"tricks/"&amp;A622</f>
        <v>tricks/2011411</v>
      </c>
    </row>
    <row r="623" spans="1:44" ht="15" customHeight="1">
      <c r="A623" s="45">
        <v>2011501</v>
      </c>
      <c r="B623" s="45" t="s">
        <v>2418</v>
      </c>
      <c r="C623" s="488" t="s">
        <v>2419</v>
      </c>
      <c r="D623" s="45" t="s">
        <v>1876</v>
      </c>
      <c r="E623" s="45"/>
      <c r="F623" s="36">
        <v>1</v>
      </c>
      <c r="G623" s="36">
        <v>7</v>
      </c>
      <c r="H623" s="42" t="s">
        <v>82</v>
      </c>
      <c r="I623" s="45" t="s">
        <v>101</v>
      </c>
      <c r="J623" s="45">
        <v>1</v>
      </c>
      <c r="K623" s="487"/>
      <c r="L623" s="488" t="s">
        <v>2420</v>
      </c>
      <c r="M623" s="489"/>
      <c r="N623" s="489"/>
      <c r="O623" s="488"/>
      <c r="P623" s="490"/>
      <c r="Q623" s="490">
        <v>0</v>
      </c>
      <c r="R623" s="490" t="s">
        <v>153</v>
      </c>
      <c r="S623" s="45"/>
      <c r="T623" s="417"/>
      <c r="U623" s="418"/>
      <c r="V623" s="490"/>
      <c r="W623" s="619" t="s">
        <v>2421</v>
      </c>
      <c r="X623" s="619" t="s">
        <v>2421</v>
      </c>
      <c r="Y623" s="490">
        <v>0</v>
      </c>
      <c r="Z623" s="490">
        <v>0</v>
      </c>
      <c r="AA623" s="490"/>
      <c r="AB623" s="490"/>
      <c r="AC623" s="45"/>
      <c r="AD623" s="45"/>
      <c r="AE623" s="45">
        <v>0</v>
      </c>
      <c r="AF623" s="45">
        <v>0</v>
      </c>
      <c r="AG623" s="45">
        <v>0</v>
      </c>
      <c r="AH623" s="45"/>
      <c r="AI623" s="45"/>
      <c r="AJ623" s="45"/>
      <c r="AK623" s="494"/>
      <c r="AL623" s="494"/>
      <c r="AM623" s="494"/>
      <c r="AN623" s="43"/>
      <c r="AO623" s="45"/>
      <c r="AP623" s="45"/>
      <c r="AQ623" s="45" t="s">
        <v>2422</v>
      </c>
      <c r="AR623" s="424"/>
    </row>
    <row r="624" spans="1:44" ht="15" customHeight="1">
      <c r="A624" s="45">
        <v>2011502</v>
      </c>
      <c r="B624" s="45" t="s">
        <v>2418</v>
      </c>
      <c r="C624" s="488" t="s">
        <v>2423</v>
      </c>
      <c r="D624" s="45" t="s">
        <v>1876</v>
      </c>
      <c r="E624" s="45"/>
      <c r="F624" s="36">
        <v>1</v>
      </c>
      <c r="G624" s="36">
        <v>7</v>
      </c>
      <c r="H624" s="45" t="s">
        <v>136</v>
      </c>
      <c r="I624" s="45" t="s">
        <v>137</v>
      </c>
      <c r="J624" s="45"/>
      <c r="K624" s="487"/>
      <c r="L624" s="488" t="s">
        <v>2424</v>
      </c>
      <c r="M624" s="489"/>
      <c r="N624" s="489"/>
      <c r="O624" s="488"/>
      <c r="P624" s="490"/>
      <c r="Q624" s="490">
        <v>0</v>
      </c>
      <c r="R624" s="490" t="s">
        <v>153</v>
      </c>
      <c r="S624" s="45"/>
      <c r="T624" s="417"/>
      <c r="U624" s="418"/>
      <c r="V624" s="490"/>
      <c r="W624" s="619" t="s">
        <v>2425</v>
      </c>
      <c r="X624" s="619" t="s">
        <v>2425</v>
      </c>
      <c r="Y624" s="490">
        <v>0</v>
      </c>
      <c r="Z624" s="490">
        <v>0</v>
      </c>
      <c r="AA624" s="490"/>
      <c r="AB624" s="490"/>
      <c r="AC624" s="45"/>
      <c r="AD624" s="45"/>
      <c r="AE624" s="45">
        <v>0</v>
      </c>
      <c r="AF624" s="45">
        <v>0</v>
      </c>
      <c r="AG624" s="45">
        <v>0</v>
      </c>
      <c r="AH624" s="45"/>
      <c r="AI624" s="45">
        <v>0</v>
      </c>
      <c r="AJ624" s="45">
        <v>0</v>
      </c>
      <c r="AK624" s="494"/>
      <c r="AL624" s="494"/>
      <c r="AM624" s="494"/>
      <c r="AN624" s="45"/>
      <c r="AO624" s="45"/>
      <c r="AP624" s="45"/>
      <c r="AQ624" s="45" t="s">
        <v>2426</v>
      </c>
      <c r="AR624" s="424"/>
    </row>
    <row r="625" spans="1:44" ht="15" customHeight="1">
      <c r="A625" s="45">
        <v>2011503</v>
      </c>
      <c r="B625" s="45" t="s">
        <v>2418</v>
      </c>
      <c r="C625" s="488" t="s">
        <v>2427</v>
      </c>
      <c r="D625" s="45" t="s">
        <v>1876</v>
      </c>
      <c r="E625" s="45"/>
      <c r="F625" s="36">
        <v>2</v>
      </c>
      <c r="G625" s="36">
        <v>7</v>
      </c>
      <c r="H625" s="45" t="s">
        <v>136</v>
      </c>
      <c r="I625" s="45" t="s">
        <v>137</v>
      </c>
      <c r="J625" s="45"/>
      <c r="K625" s="487"/>
      <c r="L625" s="488" t="s">
        <v>2428</v>
      </c>
      <c r="M625" s="489"/>
      <c r="N625" s="489"/>
      <c r="O625" s="488"/>
      <c r="P625" s="490"/>
      <c r="Q625" s="490">
        <v>0</v>
      </c>
      <c r="R625" s="490" t="s">
        <v>153</v>
      </c>
      <c r="S625" s="45"/>
      <c r="T625" s="417"/>
      <c r="U625" s="418"/>
      <c r="V625" s="490"/>
      <c r="W625" s="619" t="s">
        <v>2429</v>
      </c>
      <c r="X625" s="619" t="s">
        <v>2429</v>
      </c>
      <c r="Y625" s="490">
        <v>0</v>
      </c>
      <c r="Z625" s="490">
        <v>0</v>
      </c>
      <c r="AA625" s="490"/>
      <c r="AB625" s="490"/>
      <c r="AC625" s="45"/>
      <c r="AD625" s="45"/>
      <c r="AE625" s="45">
        <v>0</v>
      </c>
      <c r="AF625" s="45">
        <v>0</v>
      </c>
      <c r="AG625" s="45">
        <v>0</v>
      </c>
      <c r="AH625" s="45"/>
      <c r="AI625" s="45">
        <v>0</v>
      </c>
      <c r="AJ625" s="45">
        <v>0</v>
      </c>
      <c r="AK625" s="494"/>
      <c r="AL625" s="494"/>
      <c r="AM625" s="494"/>
      <c r="AN625" s="45"/>
      <c r="AO625" s="45"/>
      <c r="AP625" s="45"/>
      <c r="AQ625" s="45" t="s">
        <v>2430</v>
      </c>
      <c r="AR625" s="424"/>
    </row>
    <row r="626" spans="1:44" ht="15" customHeight="1">
      <c r="A626" s="45">
        <v>2011504</v>
      </c>
      <c r="B626" s="45" t="s">
        <v>2418</v>
      </c>
      <c r="C626" s="488" t="s">
        <v>2431</v>
      </c>
      <c r="D626" s="45" t="s">
        <v>1876</v>
      </c>
      <c r="E626" s="45"/>
      <c r="F626" s="36">
        <v>3</v>
      </c>
      <c r="G626" s="36">
        <v>7</v>
      </c>
      <c r="H626" s="45" t="s">
        <v>136</v>
      </c>
      <c r="I626" s="45" t="s">
        <v>137</v>
      </c>
      <c r="J626" s="45"/>
      <c r="K626" s="487"/>
      <c r="L626" s="488" t="s">
        <v>2432</v>
      </c>
      <c r="M626" s="489"/>
      <c r="N626" s="489"/>
      <c r="O626" s="488"/>
      <c r="P626" s="490"/>
      <c r="Q626" s="490">
        <v>0</v>
      </c>
      <c r="R626" s="490" t="s">
        <v>153</v>
      </c>
      <c r="S626" s="45"/>
      <c r="T626" s="417"/>
      <c r="U626" s="418"/>
      <c r="V626" s="490"/>
      <c r="W626" s="619" t="s">
        <v>2421</v>
      </c>
      <c r="X626" s="619" t="s">
        <v>2421</v>
      </c>
      <c r="Y626" s="490">
        <v>0</v>
      </c>
      <c r="Z626" s="490">
        <v>0</v>
      </c>
      <c r="AA626" s="490"/>
      <c r="AB626" s="490"/>
      <c r="AC626" s="45"/>
      <c r="AD626" s="45"/>
      <c r="AE626" s="45">
        <v>0</v>
      </c>
      <c r="AF626" s="45">
        <v>0</v>
      </c>
      <c r="AG626" s="45">
        <v>0</v>
      </c>
      <c r="AH626" s="45"/>
      <c r="AI626" s="45">
        <v>0</v>
      </c>
      <c r="AJ626" s="45">
        <v>0</v>
      </c>
      <c r="AK626" s="494"/>
      <c r="AL626" s="494"/>
      <c r="AM626" s="494"/>
      <c r="AN626" s="45"/>
      <c r="AO626" s="45"/>
      <c r="AP626" s="45"/>
      <c r="AQ626" s="45" t="s">
        <v>2433</v>
      </c>
      <c r="AR626" s="424"/>
    </row>
    <row r="627" spans="1:44" ht="15" customHeight="1">
      <c r="A627" s="45">
        <v>2011505</v>
      </c>
      <c r="B627" s="45" t="s">
        <v>2418</v>
      </c>
      <c r="C627" s="488" t="s">
        <v>2434</v>
      </c>
      <c r="D627" s="45" t="s">
        <v>1876</v>
      </c>
      <c r="E627" s="45"/>
      <c r="F627" s="36">
        <v>4</v>
      </c>
      <c r="G627" s="36">
        <v>7</v>
      </c>
      <c r="H627" s="45" t="s">
        <v>136</v>
      </c>
      <c r="I627" s="45" t="s">
        <v>137</v>
      </c>
      <c r="J627" s="45"/>
      <c r="K627" s="487"/>
      <c r="L627" s="488" t="s">
        <v>2435</v>
      </c>
      <c r="M627" s="489"/>
      <c r="N627" s="489"/>
      <c r="O627" s="488"/>
      <c r="P627" s="490"/>
      <c r="Q627" s="490">
        <v>0</v>
      </c>
      <c r="R627" s="490" t="s">
        <v>153</v>
      </c>
      <c r="S627" s="45"/>
      <c r="T627" s="417"/>
      <c r="U627" s="418"/>
      <c r="V627" s="490"/>
      <c r="W627" s="619" t="s">
        <v>2436</v>
      </c>
      <c r="X627" s="619" t="s">
        <v>2436</v>
      </c>
      <c r="Y627" s="490">
        <v>0</v>
      </c>
      <c r="Z627" s="490">
        <v>0</v>
      </c>
      <c r="AA627" s="490"/>
      <c r="AB627" s="490"/>
      <c r="AC627" s="45"/>
      <c r="AD627" s="45"/>
      <c r="AE627" s="45">
        <v>0</v>
      </c>
      <c r="AF627" s="45">
        <v>0</v>
      </c>
      <c r="AG627" s="45">
        <v>0</v>
      </c>
      <c r="AH627" s="45"/>
      <c r="AI627" s="45">
        <v>0</v>
      </c>
      <c r="AJ627" s="45">
        <v>0</v>
      </c>
      <c r="AK627" s="494"/>
      <c r="AL627" s="494"/>
      <c r="AM627" s="494"/>
      <c r="AN627" s="45"/>
      <c r="AO627" s="45"/>
      <c r="AP627" s="45"/>
      <c r="AQ627" s="45" t="s">
        <v>2437</v>
      </c>
      <c r="AR627" s="424"/>
    </row>
    <row r="628" spans="1:44" ht="15" customHeight="1">
      <c r="A628" s="45">
        <v>2011506</v>
      </c>
      <c r="B628" s="45" t="s">
        <v>2418</v>
      </c>
      <c r="C628" s="488" t="s">
        <v>2438</v>
      </c>
      <c r="D628" s="45" t="s">
        <v>1876</v>
      </c>
      <c r="E628" s="45"/>
      <c r="F628" s="36">
        <v>5</v>
      </c>
      <c r="G628" s="36">
        <v>7</v>
      </c>
      <c r="H628" s="45" t="s">
        <v>136</v>
      </c>
      <c r="I628" s="45" t="s">
        <v>137</v>
      </c>
      <c r="J628" s="45"/>
      <c r="K628" s="487"/>
      <c r="L628" s="488" t="s">
        <v>2439</v>
      </c>
      <c r="M628" s="489"/>
      <c r="N628" s="489"/>
      <c r="O628" s="488"/>
      <c r="P628" s="490"/>
      <c r="Q628" s="490">
        <v>0</v>
      </c>
      <c r="R628" s="490" t="s">
        <v>153</v>
      </c>
      <c r="S628" s="45"/>
      <c r="T628" s="417"/>
      <c r="U628" s="418"/>
      <c r="V628" s="490"/>
      <c r="W628" s="619" t="s">
        <v>2440</v>
      </c>
      <c r="X628" s="619" t="s">
        <v>2440</v>
      </c>
      <c r="Y628" s="490">
        <v>0</v>
      </c>
      <c r="Z628" s="490">
        <v>0</v>
      </c>
      <c r="AA628" s="490"/>
      <c r="AB628" s="490"/>
      <c r="AC628" s="45"/>
      <c r="AD628" s="45"/>
      <c r="AE628" s="45">
        <v>0</v>
      </c>
      <c r="AF628" s="45">
        <v>0</v>
      </c>
      <c r="AG628" s="45">
        <v>0</v>
      </c>
      <c r="AH628" s="45"/>
      <c r="AI628" s="45">
        <v>0</v>
      </c>
      <c r="AJ628" s="45">
        <v>0</v>
      </c>
      <c r="AK628" s="494"/>
      <c r="AL628" s="494"/>
      <c r="AM628" s="494"/>
      <c r="AN628" s="45"/>
      <c r="AO628" s="45"/>
      <c r="AP628" s="45"/>
      <c r="AQ628" s="45" t="s">
        <v>2441</v>
      </c>
      <c r="AR628" s="424"/>
    </row>
    <row r="629" spans="1:44" ht="15" customHeight="1">
      <c r="A629" s="45">
        <v>2011507</v>
      </c>
      <c r="B629" s="45" t="s">
        <v>2418</v>
      </c>
      <c r="C629" s="488" t="s">
        <v>2442</v>
      </c>
      <c r="D629" s="45" t="s">
        <v>1876</v>
      </c>
      <c r="E629" s="45"/>
      <c r="F629" s="36">
        <v>6</v>
      </c>
      <c r="G629" s="36">
        <v>7</v>
      </c>
      <c r="H629" s="45" t="s">
        <v>136</v>
      </c>
      <c r="I629" s="45" t="s">
        <v>137</v>
      </c>
      <c r="J629" s="45"/>
      <c r="K629" s="487"/>
      <c r="L629" s="488" t="s">
        <v>2443</v>
      </c>
      <c r="M629" s="489"/>
      <c r="N629" s="489"/>
      <c r="O629" s="488"/>
      <c r="P629" s="490"/>
      <c r="Q629" s="490">
        <v>0</v>
      </c>
      <c r="R629" s="490" t="s">
        <v>153</v>
      </c>
      <c r="S629" s="45"/>
      <c r="T629" s="417"/>
      <c r="U629" s="418"/>
      <c r="V629" s="490"/>
      <c r="W629" s="619" t="s">
        <v>2421</v>
      </c>
      <c r="X629" s="619" t="s">
        <v>2421</v>
      </c>
      <c r="Y629" s="490">
        <v>0</v>
      </c>
      <c r="Z629" s="490">
        <v>0</v>
      </c>
      <c r="AA629" s="490"/>
      <c r="AB629" s="490"/>
      <c r="AC629" s="45"/>
      <c r="AD629" s="45"/>
      <c r="AE629" s="45">
        <v>0</v>
      </c>
      <c r="AF629" s="45">
        <v>0</v>
      </c>
      <c r="AG629" s="45">
        <v>0</v>
      </c>
      <c r="AH629" s="45"/>
      <c r="AI629" s="45">
        <v>0</v>
      </c>
      <c r="AJ629" s="45">
        <v>0</v>
      </c>
      <c r="AK629" s="494"/>
      <c r="AL629" s="494"/>
      <c r="AM629" s="494"/>
      <c r="AN629" s="45"/>
      <c r="AO629" s="45"/>
      <c r="AP629" s="45"/>
      <c r="AQ629" s="45" t="s">
        <v>2444</v>
      </c>
      <c r="AR629" s="424"/>
    </row>
    <row r="630" spans="1:44" ht="15" customHeight="1">
      <c r="A630" s="45">
        <v>2011508</v>
      </c>
      <c r="B630" s="45" t="s">
        <v>2418</v>
      </c>
      <c r="C630" s="488" t="s">
        <v>2445</v>
      </c>
      <c r="D630" s="45" t="s">
        <v>1876</v>
      </c>
      <c r="E630" s="45"/>
      <c r="F630" s="36">
        <v>7</v>
      </c>
      <c r="G630" s="36">
        <v>7</v>
      </c>
      <c r="H630" s="45" t="s">
        <v>136</v>
      </c>
      <c r="I630" s="45" t="s">
        <v>137</v>
      </c>
      <c r="J630" s="45"/>
      <c r="K630" s="487"/>
      <c r="L630" s="488" t="s">
        <v>2446</v>
      </c>
      <c r="M630" s="489"/>
      <c r="N630" s="489"/>
      <c r="O630" s="488"/>
      <c r="P630" s="490"/>
      <c r="Q630" s="490">
        <v>0</v>
      </c>
      <c r="R630" s="490" t="s">
        <v>153</v>
      </c>
      <c r="S630" s="45"/>
      <c r="T630" s="417"/>
      <c r="U630" s="418"/>
      <c r="V630" s="490"/>
      <c r="W630" s="619" t="s">
        <v>2447</v>
      </c>
      <c r="X630" s="619" t="s">
        <v>2447</v>
      </c>
      <c r="Y630" s="490">
        <v>0</v>
      </c>
      <c r="Z630" s="490">
        <v>0</v>
      </c>
      <c r="AA630" s="490"/>
      <c r="AB630" s="490"/>
      <c r="AC630" s="45"/>
      <c r="AD630" s="45"/>
      <c r="AE630" s="45">
        <v>0</v>
      </c>
      <c r="AF630" s="45">
        <v>0</v>
      </c>
      <c r="AG630" s="45">
        <v>0</v>
      </c>
      <c r="AH630" s="45"/>
      <c r="AI630" s="45">
        <v>0</v>
      </c>
      <c r="AJ630" s="45">
        <v>0</v>
      </c>
      <c r="AK630" s="494"/>
      <c r="AL630" s="494"/>
      <c r="AM630" s="494"/>
      <c r="AN630" s="45"/>
      <c r="AO630" s="45"/>
      <c r="AP630" s="45"/>
      <c r="AQ630" s="45" t="s">
        <v>2448</v>
      </c>
      <c r="AR630" s="424"/>
    </row>
    <row r="631" spans="1:44" ht="15" customHeight="1">
      <c r="A631" s="3">
        <v>2011509</v>
      </c>
      <c r="B631" s="3" t="s">
        <v>2418</v>
      </c>
      <c r="C631" s="236" t="s">
        <v>2449</v>
      </c>
      <c r="D631" s="44" t="s">
        <v>1876</v>
      </c>
      <c r="E631" s="41"/>
      <c r="F631" s="3">
        <v>8</v>
      </c>
      <c r="G631" s="36">
        <v>7</v>
      </c>
      <c r="H631" s="3" t="s">
        <v>136</v>
      </c>
      <c r="I631" s="3" t="s">
        <v>137</v>
      </c>
      <c r="J631" s="3"/>
      <c r="K631" s="3"/>
      <c r="L631" s="236"/>
      <c r="M631" s="99"/>
      <c r="N631" s="99"/>
      <c r="O631" s="236"/>
      <c r="P631" s="22"/>
      <c r="Q631" s="22">
        <v>0</v>
      </c>
      <c r="R631" s="22" t="s">
        <v>153</v>
      </c>
      <c r="S631" s="3"/>
      <c r="T631" s="260"/>
      <c r="U631" s="261"/>
      <c r="V631" s="22"/>
      <c r="W631" s="567" t="s">
        <v>1990</v>
      </c>
      <c r="X631" s="567" t="s">
        <v>1990</v>
      </c>
      <c r="Y631" s="22"/>
      <c r="Z631" s="22"/>
      <c r="AA631" s="22"/>
      <c r="AB631" s="22" t="s">
        <v>114</v>
      </c>
      <c r="AC631" s="3"/>
      <c r="AD631" s="3"/>
      <c r="AE631" s="3">
        <v>0</v>
      </c>
      <c r="AF631" s="3">
        <v>0</v>
      </c>
      <c r="AG631" s="3">
        <v>0</v>
      </c>
      <c r="AH631" s="3"/>
      <c r="AI631" s="3">
        <v>0</v>
      </c>
      <c r="AJ631" s="3">
        <v>0</v>
      </c>
      <c r="AK631" s="3">
        <v>0</v>
      </c>
      <c r="AL631" s="3"/>
      <c r="AM631" s="3"/>
      <c r="AN631" s="3"/>
      <c r="AO631" s="3"/>
      <c r="AP631" s="3"/>
      <c r="AQ631" s="3" t="s">
        <v>2430</v>
      </c>
      <c r="AR631" s="281"/>
    </row>
    <row r="632" spans="1:44" ht="15" customHeight="1">
      <c r="A632" s="3">
        <v>2011510</v>
      </c>
      <c r="B632" s="3" t="s">
        <v>2418</v>
      </c>
      <c r="C632" s="236" t="s">
        <v>2450</v>
      </c>
      <c r="D632" s="3" t="s">
        <v>1876</v>
      </c>
      <c r="F632" s="3">
        <v>9</v>
      </c>
      <c r="G632" s="36">
        <v>7</v>
      </c>
      <c r="H632" s="3" t="s">
        <v>136</v>
      </c>
      <c r="I632" s="3" t="s">
        <v>137</v>
      </c>
      <c r="J632" s="3"/>
      <c r="K632" s="3"/>
      <c r="L632" s="236"/>
      <c r="M632" s="99"/>
      <c r="N632" s="99"/>
      <c r="O632" s="236"/>
      <c r="P632" s="22"/>
      <c r="Q632" s="22">
        <v>0</v>
      </c>
      <c r="R632" s="22" t="s">
        <v>153</v>
      </c>
      <c r="S632" s="3"/>
      <c r="T632" s="260"/>
      <c r="U632" s="261"/>
      <c r="V632" s="22"/>
      <c r="W632" s="567" t="s">
        <v>2451</v>
      </c>
      <c r="X632" s="567" t="s">
        <v>2451</v>
      </c>
      <c r="Y632" s="22"/>
      <c r="Z632" s="22"/>
      <c r="AA632" s="22"/>
      <c r="AB632" s="22" t="s">
        <v>114</v>
      </c>
      <c r="AC632" s="3"/>
      <c r="AD632" s="3"/>
      <c r="AE632" s="3">
        <v>0</v>
      </c>
      <c r="AF632" s="3">
        <v>0</v>
      </c>
      <c r="AG632" s="3">
        <v>0</v>
      </c>
      <c r="AH632" s="3"/>
      <c r="AI632" s="3">
        <v>0</v>
      </c>
      <c r="AJ632" s="3">
        <v>0</v>
      </c>
      <c r="AK632" s="3">
        <v>0</v>
      </c>
      <c r="AL632" s="3"/>
      <c r="AM632" s="3"/>
      <c r="AN632" s="3"/>
      <c r="AO632" s="3"/>
      <c r="AP632" s="3"/>
      <c r="AQ632" s="282" t="str">
        <f>"tricks/"&amp;A632</f>
        <v>tricks/2011510</v>
      </c>
    </row>
    <row r="633" spans="1:44" ht="15" customHeight="1">
      <c r="A633" s="3">
        <v>2011511</v>
      </c>
      <c r="B633" s="3" t="s">
        <v>2418</v>
      </c>
      <c r="C633" s="236" t="s">
        <v>2452</v>
      </c>
      <c r="D633" s="3" t="s">
        <v>1876</v>
      </c>
      <c r="F633" s="3">
        <v>10</v>
      </c>
      <c r="G633" s="36">
        <v>7</v>
      </c>
      <c r="H633" s="3" t="s">
        <v>136</v>
      </c>
      <c r="I633" s="3" t="s">
        <v>137</v>
      </c>
      <c r="J633" s="3"/>
      <c r="K633" s="3"/>
      <c r="L633" s="236"/>
      <c r="M633" s="99"/>
      <c r="N633" s="99"/>
      <c r="O633" s="236"/>
      <c r="P633" s="22"/>
      <c r="Q633" s="22">
        <v>0</v>
      </c>
      <c r="R633" s="22" t="s">
        <v>153</v>
      </c>
      <c r="S633" s="3"/>
      <c r="T633" s="260"/>
      <c r="U633" s="261"/>
      <c r="V633" s="22"/>
      <c r="W633" s="567" t="s">
        <v>2453</v>
      </c>
      <c r="X633" s="567" t="s">
        <v>2453</v>
      </c>
      <c r="Y633" s="22"/>
      <c r="Z633" s="22"/>
      <c r="AA633" s="22"/>
      <c r="AB633" s="22" t="s">
        <v>114</v>
      </c>
      <c r="AC633" s="3"/>
      <c r="AD633" s="3"/>
      <c r="AE633" s="3">
        <v>0</v>
      </c>
      <c r="AF633" s="3">
        <v>0</v>
      </c>
      <c r="AG633" s="3">
        <v>0</v>
      </c>
      <c r="AH633" s="3"/>
      <c r="AI633" s="3">
        <v>0</v>
      </c>
      <c r="AJ633" s="3">
        <v>0</v>
      </c>
      <c r="AK633" s="3">
        <v>0</v>
      </c>
      <c r="AL633" s="3"/>
      <c r="AM633" s="3"/>
      <c r="AN633" s="3"/>
      <c r="AO633" s="3"/>
      <c r="AP633" s="3"/>
      <c r="AQ633" s="282" t="str">
        <f>"tricks/"&amp;A633</f>
        <v>tricks/2011511</v>
      </c>
    </row>
    <row r="634" spans="1:44" ht="15" customHeight="1">
      <c r="A634" s="42">
        <v>2011601</v>
      </c>
      <c r="B634" s="42" t="s">
        <v>2454</v>
      </c>
      <c r="C634" s="476" t="s">
        <v>2455</v>
      </c>
      <c r="D634" s="42" t="s">
        <v>1876</v>
      </c>
      <c r="E634" s="42"/>
      <c r="F634" s="36">
        <v>1</v>
      </c>
      <c r="G634" s="36">
        <v>7</v>
      </c>
      <c r="H634" s="42" t="s">
        <v>82</v>
      </c>
      <c r="I634" s="42" t="s">
        <v>101</v>
      </c>
      <c r="J634" s="42"/>
      <c r="K634" s="475"/>
      <c r="L634" s="476" t="s">
        <v>2456</v>
      </c>
      <c r="M634" s="477"/>
      <c r="N634" s="378">
        <v>11</v>
      </c>
      <c r="O634" s="476"/>
      <c r="P634" s="478"/>
      <c r="Q634" s="478">
        <v>0</v>
      </c>
      <c r="R634" s="478" t="s">
        <v>153</v>
      </c>
      <c r="S634" s="42"/>
      <c r="T634" s="258" t="s">
        <v>2457</v>
      </c>
      <c r="U634" s="259"/>
      <c r="V634" s="478"/>
      <c r="W634" s="619" t="s">
        <v>2458</v>
      </c>
      <c r="X634" s="619" t="s">
        <v>2458</v>
      </c>
      <c r="Y634" s="478">
        <v>0</v>
      </c>
      <c r="Z634" s="478">
        <v>0</v>
      </c>
      <c r="AA634" s="478"/>
      <c r="AB634" s="478"/>
      <c r="AC634" s="42"/>
      <c r="AD634" s="42"/>
      <c r="AE634" s="42">
        <v>1</v>
      </c>
      <c r="AF634" s="42">
        <v>2</v>
      </c>
      <c r="AG634" s="42">
        <v>35</v>
      </c>
      <c r="AH634" s="42"/>
      <c r="AI634" s="42"/>
      <c r="AJ634" s="42"/>
      <c r="AK634" s="491"/>
      <c r="AL634" s="491"/>
      <c r="AM634" s="491"/>
      <c r="AN634" s="43" t="s">
        <v>2459</v>
      </c>
      <c r="AO634" s="42"/>
      <c r="AP634" s="42"/>
      <c r="AQ634" s="42" t="s">
        <v>2460</v>
      </c>
      <c r="AR634" s="280"/>
    </row>
    <row r="635" spans="1:44" ht="15" customHeight="1">
      <c r="A635" s="42">
        <v>2011602</v>
      </c>
      <c r="B635" s="42" t="s">
        <v>2454</v>
      </c>
      <c r="C635" s="476" t="s">
        <v>2461</v>
      </c>
      <c r="D635" s="42" t="s">
        <v>1876</v>
      </c>
      <c r="E635" s="42"/>
      <c r="F635" s="36">
        <v>1</v>
      </c>
      <c r="G635" s="36">
        <v>7</v>
      </c>
      <c r="H635" s="42" t="s">
        <v>136</v>
      </c>
      <c r="I635" s="42" t="s">
        <v>137</v>
      </c>
      <c r="J635" s="42"/>
      <c r="K635" s="475"/>
      <c r="L635" s="476" t="s">
        <v>2462</v>
      </c>
      <c r="M635" s="477"/>
      <c r="N635" s="477"/>
      <c r="O635" s="476"/>
      <c r="P635" s="478"/>
      <c r="Q635" s="478">
        <v>0</v>
      </c>
      <c r="R635" s="478" t="s">
        <v>153</v>
      </c>
      <c r="S635" s="42"/>
      <c r="T635" s="258"/>
      <c r="U635" s="259"/>
      <c r="V635" s="478"/>
      <c r="W635" s="619" t="s">
        <v>2463</v>
      </c>
      <c r="X635" s="619" t="s">
        <v>2463</v>
      </c>
      <c r="Y635" s="478">
        <v>0</v>
      </c>
      <c r="Z635" s="478">
        <v>0</v>
      </c>
      <c r="AA635" s="478"/>
      <c r="AB635" s="478"/>
      <c r="AC635" s="42"/>
      <c r="AD635" s="42"/>
      <c r="AE635" s="42">
        <v>0</v>
      </c>
      <c r="AF635" s="42">
        <v>0</v>
      </c>
      <c r="AG635" s="42">
        <v>0</v>
      </c>
      <c r="AH635" s="42"/>
      <c r="AI635" s="42">
        <v>0</v>
      </c>
      <c r="AJ635" s="42">
        <v>0</v>
      </c>
      <c r="AK635" s="491"/>
      <c r="AL635" s="491"/>
      <c r="AM635" s="491"/>
      <c r="AN635" s="42"/>
      <c r="AO635" s="42"/>
      <c r="AP635" s="42"/>
      <c r="AQ635" s="42" t="s">
        <v>2464</v>
      </c>
      <c r="AR635" s="280"/>
    </row>
    <row r="636" spans="1:44" ht="15" customHeight="1">
      <c r="A636" s="42">
        <v>2011603</v>
      </c>
      <c r="B636" s="42" t="s">
        <v>2454</v>
      </c>
      <c r="C636" s="476" t="s">
        <v>2465</v>
      </c>
      <c r="D636" s="42" t="s">
        <v>1876</v>
      </c>
      <c r="E636" s="42"/>
      <c r="F636" s="36">
        <v>2</v>
      </c>
      <c r="G636" s="36">
        <v>7</v>
      </c>
      <c r="H636" s="42" t="s">
        <v>136</v>
      </c>
      <c r="I636" s="42" t="s">
        <v>137</v>
      </c>
      <c r="J636" s="42"/>
      <c r="K636" s="475"/>
      <c r="L636" s="476" t="s">
        <v>2466</v>
      </c>
      <c r="M636" s="477"/>
      <c r="N636" s="477"/>
      <c r="O636" s="476"/>
      <c r="P636" s="478"/>
      <c r="Q636" s="478">
        <v>0</v>
      </c>
      <c r="R636" s="478" t="s">
        <v>153</v>
      </c>
      <c r="S636" s="42"/>
      <c r="T636" s="258"/>
      <c r="U636" s="259"/>
      <c r="V636" s="478"/>
      <c r="W636" s="619" t="s">
        <v>2467</v>
      </c>
      <c r="X636" s="619" t="s">
        <v>2467</v>
      </c>
      <c r="Y636" s="478">
        <v>0</v>
      </c>
      <c r="Z636" s="478">
        <v>0</v>
      </c>
      <c r="AA636" s="478"/>
      <c r="AB636" s="478"/>
      <c r="AC636" s="42"/>
      <c r="AD636" s="42"/>
      <c r="AE636" s="42">
        <v>0</v>
      </c>
      <c r="AF636" s="42">
        <v>0</v>
      </c>
      <c r="AG636" s="42">
        <v>0</v>
      </c>
      <c r="AH636" s="42"/>
      <c r="AI636" s="42">
        <v>0</v>
      </c>
      <c r="AJ636" s="42">
        <v>0</v>
      </c>
      <c r="AK636" s="491"/>
      <c r="AL636" s="491"/>
      <c r="AM636" s="491"/>
      <c r="AN636" s="42"/>
      <c r="AO636" s="42"/>
      <c r="AP636" s="42"/>
      <c r="AQ636" s="42" t="s">
        <v>2468</v>
      </c>
      <c r="AR636" s="280"/>
    </row>
    <row r="637" spans="1:44" ht="15" customHeight="1">
      <c r="A637" s="42">
        <v>2011604</v>
      </c>
      <c r="B637" s="42" t="s">
        <v>2454</v>
      </c>
      <c r="C637" s="476" t="s">
        <v>2469</v>
      </c>
      <c r="D637" s="42" t="s">
        <v>1876</v>
      </c>
      <c r="E637" s="42"/>
      <c r="F637" s="36">
        <v>3</v>
      </c>
      <c r="G637" s="36">
        <v>7</v>
      </c>
      <c r="H637" s="42" t="s">
        <v>136</v>
      </c>
      <c r="I637" s="42" t="s">
        <v>137</v>
      </c>
      <c r="J637" s="42"/>
      <c r="K637" s="475"/>
      <c r="L637" s="476" t="s">
        <v>2470</v>
      </c>
      <c r="M637" s="477"/>
      <c r="N637" s="477"/>
      <c r="O637" s="476"/>
      <c r="P637" s="478"/>
      <c r="Q637" s="478">
        <v>0</v>
      </c>
      <c r="R637" s="478" t="s">
        <v>153</v>
      </c>
      <c r="S637" s="42"/>
      <c r="T637" s="258"/>
      <c r="U637" s="259"/>
      <c r="V637" s="478"/>
      <c r="W637" s="619" t="s">
        <v>2471</v>
      </c>
      <c r="X637" s="619" t="s">
        <v>2471</v>
      </c>
      <c r="Y637" s="478">
        <v>0</v>
      </c>
      <c r="Z637" s="478">
        <v>0</v>
      </c>
      <c r="AA637" s="478"/>
      <c r="AB637" s="478"/>
      <c r="AC637" s="42"/>
      <c r="AD637" s="42"/>
      <c r="AE637" s="42">
        <v>0</v>
      </c>
      <c r="AF637" s="42">
        <v>0</v>
      </c>
      <c r="AG637" s="42">
        <v>0</v>
      </c>
      <c r="AH637" s="42"/>
      <c r="AI637" s="42">
        <v>0</v>
      </c>
      <c r="AJ637" s="42">
        <v>0</v>
      </c>
      <c r="AK637" s="491"/>
      <c r="AL637" s="491"/>
      <c r="AM637" s="491"/>
      <c r="AN637" s="42"/>
      <c r="AO637" s="42"/>
      <c r="AP637" s="42"/>
      <c r="AQ637" s="42" t="s">
        <v>2472</v>
      </c>
      <c r="AR637" s="280"/>
    </row>
    <row r="638" spans="1:44" ht="15" customHeight="1">
      <c r="A638" s="42">
        <v>2011605</v>
      </c>
      <c r="B638" s="42" t="s">
        <v>2454</v>
      </c>
      <c r="C638" s="476" t="s">
        <v>2473</v>
      </c>
      <c r="D638" s="42" t="s">
        <v>1876</v>
      </c>
      <c r="E638" s="42"/>
      <c r="F638" s="36">
        <v>4</v>
      </c>
      <c r="G638" s="36">
        <v>7</v>
      </c>
      <c r="H638" s="42" t="s">
        <v>136</v>
      </c>
      <c r="I638" s="42" t="s">
        <v>137</v>
      </c>
      <c r="J638" s="42"/>
      <c r="K638" s="475"/>
      <c r="L638" s="476" t="s">
        <v>2474</v>
      </c>
      <c r="M638" s="477"/>
      <c r="N638" s="477"/>
      <c r="O638" s="476"/>
      <c r="P638" s="478"/>
      <c r="Q638" s="478">
        <v>0</v>
      </c>
      <c r="R638" s="478" t="s">
        <v>153</v>
      </c>
      <c r="S638" s="42"/>
      <c r="T638" s="258"/>
      <c r="U638" s="259"/>
      <c r="V638" s="478"/>
      <c r="W638" s="619" t="s">
        <v>2475</v>
      </c>
      <c r="X638" s="619" t="s">
        <v>2475</v>
      </c>
      <c r="Y638" s="478">
        <v>0</v>
      </c>
      <c r="Z638" s="478">
        <v>0</v>
      </c>
      <c r="AA638" s="478"/>
      <c r="AB638" s="478"/>
      <c r="AC638" s="42"/>
      <c r="AD638" s="42"/>
      <c r="AE638" s="42">
        <v>0</v>
      </c>
      <c r="AF638" s="42">
        <v>0</v>
      </c>
      <c r="AG638" s="42">
        <v>0</v>
      </c>
      <c r="AH638" s="42"/>
      <c r="AI638" s="42">
        <v>0</v>
      </c>
      <c r="AJ638" s="42">
        <v>0</v>
      </c>
      <c r="AK638" s="491"/>
      <c r="AL638" s="491"/>
      <c r="AM638" s="491"/>
      <c r="AN638" s="42"/>
      <c r="AO638" s="42"/>
      <c r="AP638" s="42"/>
      <c r="AQ638" s="42" t="s">
        <v>2476</v>
      </c>
      <c r="AR638" s="280"/>
    </row>
    <row r="639" spans="1:44" ht="15" customHeight="1">
      <c r="A639" s="42">
        <v>2011606</v>
      </c>
      <c r="B639" s="42" t="s">
        <v>2454</v>
      </c>
      <c r="C639" s="476" t="s">
        <v>2477</v>
      </c>
      <c r="D639" s="42" t="s">
        <v>1876</v>
      </c>
      <c r="E639" s="42"/>
      <c r="F639" s="36">
        <v>5</v>
      </c>
      <c r="G639" s="36">
        <v>7</v>
      </c>
      <c r="H639" s="42" t="s">
        <v>136</v>
      </c>
      <c r="I639" s="42" t="s">
        <v>137</v>
      </c>
      <c r="J639" s="42"/>
      <c r="K639" s="475"/>
      <c r="L639" s="476" t="s">
        <v>2478</v>
      </c>
      <c r="M639" s="477"/>
      <c r="N639" s="477"/>
      <c r="O639" s="476"/>
      <c r="P639" s="478"/>
      <c r="Q639" s="478">
        <v>0</v>
      </c>
      <c r="R639" s="478" t="s">
        <v>153</v>
      </c>
      <c r="S639" s="42"/>
      <c r="T639" s="258"/>
      <c r="U639" s="259"/>
      <c r="V639" s="478"/>
      <c r="W639" s="619" t="s">
        <v>2479</v>
      </c>
      <c r="X639" s="619" t="s">
        <v>2479</v>
      </c>
      <c r="Y639" s="478">
        <v>0</v>
      </c>
      <c r="Z639" s="478">
        <v>0</v>
      </c>
      <c r="AA639" s="478"/>
      <c r="AB639" s="478"/>
      <c r="AC639" s="42"/>
      <c r="AD639" s="42"/>
      <c r="AE639" s="42">
        <v>0</v>
      </c>
      <c r="AF639" s="42">
        <v>0</v>
      </c>
      <c r="AG639" s="42">
        <v>0</v>
      </c>
      <c r="AH639" s="42"/>
      <c r="AI639" s="42">
        <v>0</v>
      </c>
      <c r="AJ639" s="42">
        <v>0</v>
      </c>
      <c r="AK639" s="491"/>
      <c r="AL639" s="491"/>
      <c r="AM639" s="491"/>
      <c r="AN639" s="42"/>
      <c r="AO639" s="42"/>
      <c r="AP639" s="42"/>
      <c r="AQ639" s="42" t="s">
        <v>2480</v>
      </c>
      <c r="AR639" s="280"/>
    </row>
    <row r="640" spans="1:44" ht="15" customHeight="1">
      <c r="A640" s="42">
        <v>2011607</v>
      </c>
      <c r="B640" s="42" t="s">
        <v>2454</v>
      </c>
      <c r="C640" s="476" t="s">
        <v>2481</v>
      </c>
      <c r="D640" s="42" t="s">
        <v>1876</v>
      </c>
      <c r="E640" s="42"/>
      <c r="F640" s="36">
        <v>6</v>
      </c>
      <c r="G640" s="36">
        <v>7</v>
      </c>
      <c r="H640" s="42" t="s">
        <v>136</v>
      </c>
      <c r="I640" s="42" t="s">
        <v>137</v>
      </c>
      <c r="J640" s="42"/>
      <c r="K640" s="475"/>
      <c r="L640" s="476" t="s">
        <v>2482</v>
      </c>
      <c r="M640" s="477"/>
      <c r="N640" s="477"/>
      <c r="O640" s="476"/>
      <c r="P640" s="478"/>
      <c r="Q640" s="478">
        <v>0</v>
      </c>
      <c r="R640" s="478" t="s">
        <v>153</v>
      </c>
      <c r="S640" s="42"/>
      <c r="T640" s="258"/>
      <c r="U640" s="259"/>
      <c r="V640" s="478"/>
      <c r="W640" s="619" t="s">
        <v>2483</v>
      </c>
      <c r="X640" s="619" t="s">
        <v>2483</v>
      </c>
      <c r="Y640" s="478">
        <v>0</v>
      </c>
      <c r="Z640" s="478">
        <v>0</v>
      </c>
      <c r="AA640" s="478"/>
      <c r="AB640" s="478"/>
      <c r="AC640" s="42"/>
      <c r="AD640" s="42"/>
      <c r="AE640" s="42">
        <v>0</v>
      </c>
      <c r="AF640" s="42">
        <v>0</v>
      </c>
      <c r="AG640" s="42">
        <v>0</v>
      </c>
      <c r="AH640" s="42"/>
      <c r="AI640" s="42">
        <v>0</v>
      </c>
      <c r="AJ640" s="42">
        <v>0</v>
      </c>
      <c r="AK640" s="491"/>
      <c r="AL640" s="491"/>
      <c r="AM640" s="491"/>
      <c r="AN640" s="42"/>
      <c r="AO640" s="42"/>
      <c r="AP640" s="42"/>
      <c r="AQ640" s="42" t="s">
        <v>2484</v>
      </c>
      <c r="AR640" s="280"/>
    </row>
    <row r="641" spans="1:44" ht="15" customHeight="1">
      <c r="A641" s="42">
        <v>2011608</v>
      </c>
      <c r="B641" s="42" t="s">
        <v>2454</v>
      </c>
      <c r="C641" s="476" t="s">
        <v>2485</v>
      </c>
      <c r="D641" s="42" t="s">
        <v>1876</v>
      </c>
      <c r="E641" s="42"/>
      <c r="F641" s="36">
        <v>7</v>
      </c>
      <c r="G641" s="36">
        <v>7</v>
      </c>
      <c r="H641" s="42" t="s">
        <v>136</v>
      </c>
      <c r="I641" s="42" t="s">
        <v>137</v>
      </c>
      <c r="J641" s="42"/>
      <c r="K641" s="475"/>
      <c r="L641" s="476" t="s">
        <v>2486</v>
      </c>
      <c r="M641" s="477"/>
      <c r="N641" s="477"/>
      <c r="O641" s="476"/>
      <c r="P641" s="478"/>
      <c r="Q641" s="478">
        <v>0</v>
      </c>
      <c r="R641" s="478" t="s">
        <v>153</v>
      </c>
      <c r="S641" s="42"/>
      <c r="T641" s="258"/>
      <c r="U641" s="259"/>
      <c r="V641" s="478"/>
      <c r="W641" s="619" t="s">
        <v>2487</v>
      </c>
      <c r="X641" s="619" t="s">
        <v>2487</v>
      </c>
      <c r="Y641" s="478">
        <v>0</v>
      </c>
      <c r="Z641" s="478">
        <v>0</v>
      </c>
      <c r="AA641" s="478"/>
      <c r="AB641" s="478"/>
      <c r="AC641" s="42"/>
      <c r="AD641" s="42"/>
      <c r="AE641" s="42">
        <v>0</v>
      </c>
      <c r="AF641" s="42">
        <v>0</v>
      </c>
      <c r="AG641" s="42">
        <v>0</v>
      </c>
      <c r="AH641" s="42"/>
      <c r="AI641" s="42">
        <v>0</v>
      </c>
      <c r="AJ641" s="42">
        <v>0</v>
      </c>
      <c r="AK641" s="491"/>
      <c r="AL641" s="491"/>
      <c r="AM641" s="491"/>
      <c r="AN641" s="42"/>
      <c r="AO641" s="42"/>
      <c r="AP641" s="42"/>
      <c r="AQ641" s="42" t="s">
        <v>2488</v>
      </c>
      <c r="AR641" s="280"/>
    </row>
    <row r="642" spans="1:44" ht="15" customHeight="1">
      <c r="A642" s="3">
        <v>2011609</v>
      </c>
      <c r="B642" s="3" t="s">
        <v>2454</v>
      </c>
      <c r="C642" s="236" t="s">
        <v>2489</v>
      </c>
      <c r="D642" s="44" t="s">
        <v>1876</v>
      </c>
      <c r="E642" s="41"/>
      <c r="F642" s="3">
        <v>8</v>
      </c>
      <c r="G642" s="36">
        <v>7</v>
      </c>
      <c r="H642" s="3" t="s">
        <v>136</v>
      </c>
      <c r="I642" s="3" t="s">
        <v>137</v>
      </c>
      <c r="J642" s="3"/>
      <c r="K642" s="3"/>
      <c r="L642" s="236"/>
      <c r="M642" s="99"/>
      <c r="N642" s="99"/>
      <c r="O642" s="236"/>
      <c r="P642" s="22"/>
      <c r="Q642" s="22">
        <v>0</v>
      </c>
      <c r="R642" s="22" t="s">
        <v>153</v>
      </c>
      <c r="S642" s="3"/>
      <c r="T642" s="260"/>
      <c r="U642" s="261"/>
      <c r="V642" s="22"/>
      <c r="W642" s="567" t="s">
        <v>1952</v>
      </c>
      <c r="X642" s="567" t="s">
        <v>6700</v>
      </c>
      <c r="Y642" s="22"/>
      <c r="Z642" s="22"/>
      <c r="AA642" s="22"/>
      <c r="AB642" s="22" t="s">
        <v>114</v>
      </c>
      <c r="AC642" s="3"/>
      <c r="AD642" s="3"/>
      <c r="AE642" s="3">
        <v>0</v>
      </c>
      <c r="AF642" s="3">
        <v>0</v>
      </c>
      <c r="AG642" s="3">
        <v>0</v>
      </c>
      <c r="AH642" s="3"/>
      <c r="AI642" s="3">
        <v>0</v>
      </c>
      <c r="AJ642" s="3">
        <v>0</v>
      </c>
      <c r="AK642" s="3">
        <v>0</v>
      </c>
      <c r="AL642" s="3"/>
      <c r="AM642" s="3"/>
      <c r="AN642" s="3"/>
      <c r="AO642" s="3"/>
      <c r="AP642" s="3"/>
      <c r="AQ642" s="3" t="s">
        <v>2468</v>
      </c>
      <c r="AR642" s="281"/>
    </row>
    <row r="643" spans="1:44" ht="15" customHeight="1">
      <c r="A643" s="3">
        <v>2011610</v>
      </c>
      <c r="B643" s="3" t="s">
        <v>2454</v>
      </c>
      <c r="C643" s="236" t="s">
        <v>2490</v>
      </c>
      <c r="D643" s="3" t="s">
        <v>1876</v>
      </c>
      <c r="F643" s="3">
        <v>9</v>
      </c>
      <c r="G643" s="36">
        <v>7</v>
      </c>
      <c r="H643" s="3" t="s">
        <v>136</v>
      </c>
      <c r="I643" s="3" t="s">
        <v>137</v>
      </c>
      <c r="J643" s="3"/>
      <c r="K643" s="3"/>
      <c r="L643" s="236"/>
      <c r="M643" s="99"/>
      <c r="N643" s="99"/>
      <c r="O643" s="236"/>
      <c r="P643" s="22"/>
      <c r="Q643" s="22">
        <v>0</v>
      </c>
      <c r="R643" s="22" t="s">
        <v>153</v>
      </c>
      <c r="S643" s="3"/>
      <c r="T643" s="260"/>
      <c r="U643" s="261"/>
      <c r="V643" s="22"/>
      <c r="W643" s="567" t="s">
        <v>2491</v>
      </c>
      <c r="X643" s="567" t="s">
        <v>6701</v>
      </c>
      <c r="Y643" s="22"/>
      <c r="Z643" s="22"/>
      <c r="AA643" s="22"/>
      <c r="AB643" s="22" t="s">
        <v>114</v>
      </c>
      <c r="AC643" s="3"/>
      <c r="AD643" s="3"/>
      <c r="AE643" s="3">
        <v>0</v>
      </c>
      <c r="AF643" s="3">
        <v>0</v>
      </c>
      <c r="AG643" s="3">
        <v>0</v>
      </c>
      <c r="AH643" s="3"/>
      <c r="AI643" s="3">
        <v>0</v>
      </c>
      <c r="AJ643" s="3">
        <v>0</v>
      </c>
      <c r="AK643" s="3">
        <v>0</v>
      </c>
      <c r="AL643" s="3"/>
      <c r="AM643" s="3"/>
      <c r="AN643" s="3"/>
      <c r="AO643" s="3"/>
      <c r="AP643" s="3"/>
      <c r="AQ643" s="282" t="str">
        <f>"tricks/"&amp;A643</f>
        <v>tricks/2011610</v>
      </c>
    </row>
    <row r="644" spans="1:44" ht="15" customHeight="1">
      <c r="A644" s="3">
        <v>2011611</v>
      </c>
      <c r="B644" s="3" t="s">
        <v>2454</v>
      </c>
      <c r="C644" s="236" t="s">
        <v>2492</v>
      </c>
      <c r="D644" s="3" t="s">
        <v>1876</v>
      </c>
      <c r="F644" s="3">
        <v>10</v>
      </c>
      <c r="G644" s="36">
        <v>7</v>
      </c>
      <c r="H644" s="3" t="s">
        <v>136</v>
      </c>
      <c r="I644" s="3" t="s">
        <v>137</v>
      </c>
      <c r="J644" s="3"/>
      <c r="K644" s="3"/>
      <c r="L644" s="236"/>
      <c r="M644" s="99"/>
      <c r="N644" s="99"/>
      <c r="O644" s="236"/>
      <c r="P644" s="22"/>
      <c r="Q644" s="22">
        <v>0</v>
      </c>
      <c r="R644" s="22" t="s">
        <v>153</v>
      </c>
      <c r="S644" s="3"/>
      <c r="T644" s="260"/>
      <c r="U644" s="261"/>
      <c r="V644" s="22"/>
      <c r="W644" s="567" t="s">
        <v>2493</v>
      </c>
      <c r="X644" s="567" t="s">
        <v>6702</v>
      </c>
      <c r="Y644" s="22"/>
      <c r="Z644" s="22"/>
      <c r="AA644" s="22"/>
      <c r="AB644" s="22" t="s">
        <v>114</v>
      </c>
      <c r="AC644" s="3"/>
      <c r="AD644" s="3"/>
      <c r="AE644" s="3">
        <v>0</v>
      </c>
      <c r="AF644" s="3">
        <v>0</v>
      </c>
      <c r="AG644" s="3">
        <v>0</v>
      </c>
      <c r="AH644" s="3"/>
      <c r="AI644" s="3">
        <v>0</v>
      </c>
      <c r="AJ644" s="3">
        <v>0</v>
      </c>
      <c r="AK644" s="3">
        <v>0</v>
      </c>
      <c r="AL644" s="3"/>
      <c r="AM644" s="3"/>
      <c r="AN644" s="3"/>
      <c r="AO644" s="3"/>
      <c r="AP644" s="3"/>
      <c r="AQ644" s="282" t="str">
        <f>"tricks/"&amp;A644</f>
        <v>tricks/2011611</v>
      </c>
    </row>
    <row r="645" spans="1:44" ht="15" customHeight="1">
      <c r="A645" s="46">
        <v>2011701</v>
      </c>
      <c r="B645" s="46" t="s">
        <v>2494</v>
      </c>
      <c r="C645" s="324" t="s">
        <v>2495</v>
      </c>
      <c r="D645" s="46" t="s">
        <v>1876</v>
      </c>
      <c r="E645" s="46"/>
      <c r="F645" s="36">
        <v>1</v>
      </c>
      <c r="G645" s="36">
        <v>7</v>
      </c>
      <c r="H645" s="46" t="s">
        <v>82</v>
      </c>
      <c r="I645" s="46" t="s">
        <v>101</v>
      </c>
      <c r="J645" s="46">
        <v>1</v>
      </c>
      <c r="K645" s="496"/>
      <c r="L645" s="497" t="s">
        <v>2456</v>
      </c>
      <c r="M645" s="498"/>
      <c r="N645" s="498">
        <v>24</v>
      </c>
      <c r="O645" s="497"/>
      <c r="P645" s="499"/>
      <c r="Q645" s="499">
        <v>0</v>
      </c>
      <c r="R645" s="499" t="s">
        <v>153</v>
      </c>
      <c r="S645" s="46"/>
      <c r="T645" s="510"/>
      <c r="U645" s="511"/>
      <c r="V645" s="499"/>
      <c r="W645" s="623" t="s">
        <v>2496</v>
      </c>
      <c r="X645" s="623" t="s">
        <v>2496</v>
      </c>
      <c r="Y645" s="499">
        <v>0</v>
      </c>
      <c r="Z645" s="499">
        <v>0</v>
      </c>
      <c r="AA645" s="499"/>
      <c r="AB645" s="499"/>
      <c r="AC645" s="46"/>
      <c r="AD645" s="46"/>
      <c r="AE645" s="46">
        <v>0</v>
      </c>
      <c r="AF645" s="46">
        <v>0</v>
      </c>
      <c r="AG645" s="46">
        <v>0</v>
      </c>
      <c r="AH645" s="46"/>
      <c r="AI645" s="46"/>
      <c r="AJ645" s="46"/>
      <c r="AK645" s="516"/>
      <c r="AL645" s="516"/>
      <c r="AM645" s="516"/>
      <c r="AN645" s="46"/>
      <c r="AO645" s="46"/>
      <c r="AP645" s="46"/>
      <c r="AQ645" s="46" t="s">
        <v>2497</v>
      </c>
      <c r="AR645" s="521"/>
    </row>
    <row r="646" spans="1:44" ht="15" customHeight="1">
      <c r="A646" s="46">
        <v>2011702</v>
      </c>
      <c r="B646" s="46" t="s">
        <v>2494</v>
      </c>
      <c r="C646" s="324" t="s">
        <v>2498</v>
      </c>
      <c r="D646" s="46" t="s">
        <v>1876</v>
      </c>
      <c r="E646" s="46"/>
      <c r="F646" s="36">
        <v>1</v>
      </c>
      <c r="G646" s="36">
        <v>7</v>
      </c>
      <c r="H646" s="46" t="s">
        <v>136</v>
      </c>
      <c r="I646" s="46" t="s">
        <v>137</v>
      </c>
      <c r="J646" s="46"/>
      <c r="K646" s="496"/>
      <c r="L646" s="497" t="s">
        <v>2482</v>
      </c>
      <c r="M646" s="498"/>
      <c r="N646" s="498"/>
      <c r="O646" s="497"/>
      <c r="P646" s="499"/>
      <c r="Q646" s="499">
        <v>0</v>
      </c>
      <c r="R646" s="499" t="s">
        <v>153</v>
      </c>
      <c r="S646" s="46"/>
      <c r="T646" s="510"/>
      <c r="U646" s="511"/>
      <c r="V646" s="499"/>
      <c r="W646" s="623" t="s">
        <v>2499</v>
      </c>
      <c r="X646" s="623" t="s">
        <v>2499</v>
      </c>
      <c r="Y646" s="499">
        <v>0</v>
      </c>
      <c r="Z646" s="499">
        <v>0</v>
      </c>
      <c r="AA646" s="499"/>
      <c r="AB646" s="499"/>
      <c r="AC646" s="46"/>
      <c r="AD646" s="46"/>
      <c r="AE646" s="46">
        <v>0</v>
      </c>
      <c r="AF646" s="46">
        <v>0</v>
      </c>
      <c r="AG646" s="46">
        <v>0</v>
      </c>
      <c r="AH646" s="46"/>
      <c r="AI646" s="46">
        <v>0</v>
      </c>
      <c r="AJ646" s="46">
        <v>0</v>
      </c>
      <c r="AK646" s="516"/>
      <c r="AL646" s="516"/>
      <c r="AM646" s="516"/>
      <c r="AN646" s="46"/>
      <c r="AO646" s="46"/>
      <c r="AP646" s="46"/>
      <c r="AQ646" s="46" t="s">
        <v>2500</v>
      </c>
      <c r="AR646" s="521"/>
    </row>
    <row r="647" spans="1:44" ht="15" customHeight="1">
      <c r="A647" s="46">
        <v>2011703</v>
      </c>
      <c r="B647" s="46" t="s">
        <v>2494</v>
      </c>
      <c r="C647" s="324" t="s">
        <v>2501</v>
      </c>
      <c r="D647" s="46" t="s">
        <v>1876</v>
      </c>
      <c r="E647" s="46"/>
      <c r="F647" s="36">
        <v>2</v>
      </c>
      <c r="G647" s="36">
        <v>7</v>
      </c>
      <c r="H647" s="46" t="s">
        <v>136</v>
      </c>
      <c r="I647" s="46" t="s">
        <v>137</v>
      </c>
      <c r="J647" s="46"/>
      <c r="K647" s="496"/>
      <c r="L647" s="497" t="s">
        <v>2462</v>
      </c>
      <c r="M647" s="498"/>
      <c r="N647" s="498"/>
      <c r="O647" s="497"/>
      <c r="P647" s="499"/>
      <c r="Q647" s="499">
        <v>0</v>
      </c>
      <c r="R647" s="499" t="s">
        <v>153</v>
      </c>
      <c r="S647" s="46"/>
      <c r="T647" s="510"/>
      <c r="U647" s="511"/>
      <c r="V647" s="499"/>
      <c r="W647" s="623" t="s">
        <v>2502</v>
      </c>
      <c r="X647" s="623" t="s">
        <v>2502</v>
      </c>
      <c r="Y647" s="499">
        <v>0</v>
      </c>
      <c r="Z647" s="499">
        <v>0</v>
      </c>
      <c r="AA647" s="499"/>
      <c r="AB647" s="499"/>
      <c r="AC647" s="46"/>
      <c r="AD647" s="46"/>
      <c r="AE647" s="46">
        <v>0</v>
      </c>
      <c r="AF647" s="46">
        <v>0</v>
      </c>
      <c r="AG647" s="46">
        <v>0</v>
      </c>
      <c r="AH647" s="46"/>
      <c r="AI647" s="46">
        <v>0</v>
      </c>
      <c r="AJ647" s="46">
        <v>0</v>
      </c>
      <c r="AK647" s="516"/>
      <c r="AL647" s="516"/>
      <c r="AM647" s="516"/>
      <c r="AN647" s="46"/>
      <c r="AO647" s="46"/>
      <c r="AP647" s="46"/>
      <c r="AQ647" s="46" t="s">
        <v>2503</v>
      </c>
      <c r="AR647" s="521"/>
    </row>
    <row r="648" spans="1:44" ht="15" customHeight="1">
      <c r="A648" s="46">
        <v>2011704</v>
      </c>
      <c r="B648" s="46" t="s">
        <v>2494</v>
      </c>
      <c r="C648" s="324" t="s">
        <v>2504</v>
      </c>
      <c r="D648" s="46" t="s">
        <v>1876</v>
      </c>
      <c r="E648" s="46"/>
      <c r="F648" s="36">
        <v>3</v>
      </c>
      <c r="G648" s="36">
        <v>7</v>
      </c>
      <c r="H648" s="46" t="s">
        <v>136</v>
      </c>
      <c r="I648" s="46" t="s">
        <v>137</v>
      </c>
      <c r="J648" s="46"/>
      <c r="K648" s="496"/>
      <c r="L648" s="497" t="s">
        <v>2478</v>
      </c>
      <c r="M648" s="498"/>
      <c r="N648" s="498"/>
      <c r="O648" s="497"/>
      <c r="P648" s="499"/>
      <c r="Q648" s="499">
        <v>0</v>
      </c>
      <c r="R648" s="499" t="s">
        <v>153</v>
      </c>
      <c r="S648" s="46"/>
      <c r="T648" s="510"/>
      <c r="U648" s="511"/>
      <c r="V648" s="499"/>
      <c r="W648" s="623" t="s">
        <v>2505</v>
      </c>
      <c r="X648" s="623" t="s">
        <v>2505</v>
      </c>
      <c r="Y648" s="499">
        <v>0</v>
      </c>
      <c r="Z648" s="499">
        <v>0</v>
      </c>
      <c r="AA648" s="499"/>
      <c r="AB648" s="499"/>
      <c r="AC648" s="46"/>
      <c r="AD648" s="46"/>
      <c r="AE648" s="46">
        <v>0</v>
      </c>
      <c r="AF648" s="46">
        <v>0</v>
      </c>
      <c r="AG648" s="46">
        <v>0</v>
      </c>
      <c r="AH648" s="46"/>
      <c r="AI648" s="46">
        <v>0</v>
      </c>
      <c r="AJ648" s="46">
        <v>0</v>
      </c>
      <c r="AK648" s="516"/>
      <c r="AL648" s="516"/>
      <c r="AM648" s="516"/>
      <c r="AN648" s="46"/>
      <c r="AO648" s="46"/>
      <c r="AP648" s="46"/>
      <c r="AQ648" s="46" t="s">
        <v>2506</v>
      </c>
      <c r="AR648" s="521"/>
    </row>
    <row r="649" spans="1:44" ht="15" customHeight="1">
      <c r="A649" s="46">
        <v>2011705</v>
      </c>
      <c r="B649" s="46" t="s">
        <v>2494</v>
      </c>
      <c r="C649" s="324" t="s">
        <v>2507</v>
      </c>
      <c r="D649" s="46" t="s">
        <v>1876</v>
      </c>
      <c r="E649" s="46"/>
      <c r="F649" s="36">
        <v>4</v>
      </c>
      <c r="G649" s="36">
        <v>7</v>
      </c>
      <c r="H649" s="46" t="s">
        <v>136</v>
      </c>
      <c r="I649" s="46" t="s">
        <v>137</v>
      </c>
      <c r="J649" s="46"/>
      <c r="K649" s="496"/>
      <c r="L649" s="497" t="s">
        <v>2470</v>
      </c>
      <c r="M649" s="498"/>
      <c r="N649" s="498"/>
      <c r="O649" s="497"/>
      <c r="P649" s="499"/>
      <c r="Q649" s="499">
        <v>0</v>
      </c>
      <c r="R649" s="499" t="s">
        <v>153</v>
      </c>
      <c r="S649" s="46"/>
      <c r="T649" s="510"/>
      <c r="U649" s="511"/>
      <c r="V649" s="499"/>
      <c r="W649" s="623" t="s">
        <v>2508</v>
      </c>
      <c r="X649" s="623" t="s">
        <v>2508</v>
      </c>
      <c r="Y649" s="499">
        <v>0</v>
      </c>
      <c r="Z649" s="499">
        <v>0</v>
      </c>
      <c r="AA649" s="499"/>
      <c r="AB649" s="499"/>
      <c r="AC649" s="46"/>
      <c r="AD649" s="46"/>
      <c r="AE649" s="46">
        <v>0</v>
      </c>
      <c r="AF649" s="46">
        <v>0</v>
      </c>
      <c r="AG649" s="46">
        <v>0</v>
      </c>
      <c r="AH649" s="46"/>
      <c r="AI649" s="46">
        <v>0</v>
      </c>
      <c r="AJ649" s="46">
        <v>0</v>
      </c>
      <c r="AK649" s="516"/>
      <c r="AL649" s="516"/>
      <c r="AM649" s="516"/>
      <c r="AN649" s="46"/>
      <c r="AO649" s="46"/>
      <c r="AP649" s="46"/>
      <c r="AQ649" s="46" t="s">
        <v>2509</v>
      </c>
      <c r="AR649" s="521"/>
    </row>
    <row r="650" spans="1:44" ht="15" customHeight="1">
      <c r="A650" s="46">
        <v>2011706</v>
      </c>
      <c r="B650" s="46" t="s">
        <v>2494</v>
      </c>
      <c r="C650" s="324" t="s">
        <v>2510</v>
      </c>
      <c r="D650" s="46" t="s">
        <v>1876</v>
      </c>
      <c r="E650" s="46"/>
      <c r="F650" s="36">
        <v>5</v>
      </c>
      <c r="G650" s="36">
        <v>7</v>
      </c>
      <c r="H650" s="46" t="s">
        <v>136</v>
      </c>
      <c r="I650" s="46" t="s">
        <v>137</v>
      </c>
      <c r="J650" s="46"/>
      <c r="K650" s="496"/>
      <c r="L650" s="497" t="s">
        <v>2466</v>
      </c>
      <c r="M650" s="498"/>
      <c r="N650" s="498"/>
      <c r="O650" s="497"/>
      <c r="P650" s="499"/>
      <c r="Q650" s="499">
        <v>0</v>
      </c>
      <c r="R650" s="499" t="s">
        <v>153</v>
      </c>
      <c r="S650" s="46"/>
      <c r="T650" s="510"/>
      <c r="U650" s="511"/>
      <c r="V650" s="499"/>
      <c r="W650" s="623" t="s">
        <v>2511</v>
      </c>
      <c r="X650" s="623" t="s">
        <v>2511</v>
      </c>
      <c r="Y650" s="499">
        <v>0</v>
      </c>
      <c r="Z650" s="499">
        <v>0</v>
      </c>
      <c r="AA650" s="499"/>
      <c r="AB650" s="499"/>
      <c r="AC650" s="46"/>
      <c r="AD650" s="46"/>
      <c r="AE650" s="46">
        <v>0</v>
      </c>
      <c r="AF650" s="46">
        <v>0</v>
      </c>
      <c r="AG650" s="46">
        <v>0</v>
      </c>
      <c r="AH650" s="46"/>
      <c r="AI650" s="46">
        <v>0</v>
      </c>
      <c r="AJ650" s="46">
        <v>0</v>
      </c>
      <c r="AK650" s="516"/>
      <c r="AL650" s="516"/>
      <c r="AM650" s="516"/>
      <c r="AN650" s="46"/>
      <c r="AO650" s="46"/>
      <c r="AP650" s="46"/>
      <c r="AQ650" s="46" t="s">
        <v>2512</v>
      </c>
      <c r="AR650" s="521"/>
    </row>
    <row r="651" spans="1:44" ht="15" customHeight="1">
      <c r="A651" s="46">
        <v>2011707</v>
      </c>
      <c r="B651" s="46" t="s">
        <v>2494</v>
      </c>
      <c r="C651" s="324" t="s">
        <v>2513</v>
      </c>
      <c r="D651" s="46" t="s">
        <v>1876</v>
      </c>
      <c r="E651" s="46"/>
      <c r="F651" s="36">
        <v>6</v>
      </c>
      <c r="G651" s="36">
        <v>7</v>
      </c>
      <c r="H651" s="46" t="s">
        <v>136</v>
      </c>
      <c r="I651" s="46" t="s">
        <v>137</v>
      </c>
      <c r="J651" s="46"/>
      <c r="K651" s="496"/>
      <c r="L651" s="497" t="s">
        <v>2474</v>
      </c>
      <c r="M651" s="498"/>
      <c r="N651" s="498"/>
      <c r="O651" s="497"/>
      <c r="P651" s="499"/>
      <c r="Q651" s="499">
        <v>0</v>
      </c>
      <c r="R651" s="499" t="s">
        <v>153</v>
      </c>
      <c r="S651" s="46"/>
      <c r="T651" s="510"/>
      <c r="U651" s="511"/>
      <c r="V651" s="499"/>
      <c r="W651" s="623" t="s">
        <v>2514</v>
      </c>
      <c r="X651" s="623" t="s">
        <v>2514</v>
      </c>
      <c r="Y651" s="499">
        <v>0</v>
      </c>
      <c r="Z651" s="499">
        <v>0</v>
      </c>
      <c r="AA651" s="499"/>
      <c r="AB651" s="499"/>
      <c r="AC651" s="46"/>
      <c r="AD651" s="46"/>
      <c r="AE651" s="46">
        <v>0</v>
      </c>
      <c r="AF651" s="46">
        <v>0</v>
      </c>
      <c r="AG651" s="46">
        <v>0</v>
      </c>
      <c r="AH651" s="46"/>
      <c r="AI651" s="46">
        <v>0</v>
      </c>
      <c r="AJ651" s="46">
        <v>0</v>
      </c>
      <c r="AK651" s="516"/>
      <c r="AL651" s="516"/>
      <c r="AM651" s="516"/>
      <c r="AN651" s="46"/>
      <c r="AO651" s="46"/>
      <c r="AP651" s="46"/>
      <c r="AQ651" s="46" t="s">
        <v>2515</v>
      </c>
      <c r="AR651" s="521"/>
    </row>
    <row r="652" spans="1:44" ht="15" customHeight="1">
      <c r="A652" s="46">
        <v>2011708</v>
      </c>
      <c r="B652" s="46" t="s">
        <v>2494</v>
      </c>
      <c r="C652" s="324" t="s">
        <v>2516</v>
      </c>
      <c r="D652" s="46" t="s">
        <v>1876</v>
      </c>
      <c r="E652" s="46"/>
      <c r="F652" s="36">
        <v>7</v>
      </c>
      <c r="G652" s="36">
        <v>7</v>
      </c>
      <c r="H652" s="46" t="s">
        <v>136</v>
      </c>
      <c r="I652" s="46" t="s">
        <v>137</v>
      </c>
      <c r="J652" s="46"/>
      <c r="K652" s="496"/>
      <c r="L652" s="497" t="s">
        <v>2486</v>
      </c>
      <c r="M652" s="498"/>
      <c r="N652" s="498"/>
      <c r="O652" s="497"/>
      <c r="P652" s="499"/>
      <c r="Q652" s="499">
        <v>0</v>
      </c>
      <c r="R652" s="499" t="s">
        <v>153</v>
      </c>
      <c r="S652" s="46"/>
      <c r="T652" s="510"/>
      <c r="U652" s="511"/>
      <c r="V652" s="499"/>
      <c r="W652" s="623" t="s">
        <v>2517</v>
      </c>
      <c r="X652" s="623" t="s">
        <v>2517</v>
      </c>
      <c r="Y652" s="499">
        <v>0</v>
      </c>
      <c r="Z652" s="499">
        <v>0</v>
      </c>
      <c r="AA652" s="499"/>
      <c r="AB652" s="499"/>
      <c r="AC652" s="46"/>
      <c r="AD652" s="46"/>
      <c r="AE652" s="46">
        <v>0</v>
      </c>
      <c r="AF652" s="46">
        <v>0</v>
      </c>
      <c r="AG652" s="46">
        <v>0</v>
      </c>
      <c r="AH652" s="46"/>
      <c r="AI652" s="46">
        <v>0</v>
      </c>
      <c r="AJ652" s="46">
        <v>0</v>
      </c>
      <c r="AK652" s="516"/>
      <c r="AL652" s="516"/>
      <c r="AM652" s="516"/>
      <c r="AN652" s="46"/>
      <c r="AO652" s="46"/>
      <c r="AP652" s="46"/>
      <c r="AQ652" s="46" t="s">
        <v>2518</v>
      </c>
      <c r="AR652" s="521"/>
    </row>
    <row r="653" spans="1:44" ht="15" customHeight="1">
      <c r="A653" s="495">
        <v>2011709</v>
      </c>
      <c r="B653" s="495" t="s">
        <v>2494</v>
      </c>
      <c r="C653" s="622" t="s">
        <v>2519</v>
      </c>
      <c r="D653" s="44" t="s">
        <v>1876</v>
      </c>
      <c r="E653" s="41"/>
      <c r="F653" s="3">
        <v>8</v>
      </c>
      <c r="G653" s="36">
        <v>7</v>
      </c>
      <c r="H653" s="3" t="s">
        <v>136</v>
      </c>
      <c r="I653" s="3" t="s">
        <v>137</v>
      </c>
      <c r="J653" s="3"/>
      <c r="K653" s="3"/>
      <c r="L653" s="236"/>
      <c r="M653" s="99"/>
      <c r="N653" s="99"/>
      <c r="O653" s="236"/>
      <c r="P653" s="22"/>
      <c r="Q653" s="22">
        <v>0</v>
      </c>
      <c r="R653" s="22" t="s">
        <v>153</v>
      </c>
      <c r="S653" s="3"/>
      <c r="T653" s="260"/>
      <c r="U653" s="261"/>
      <c r="V653" s="22"/>
      <c r="W653" s="567" t="s">
        <v>1952</v>
      </c>
      <c r="X653" s="567" t="s">
        <v>1952</v>
      </c>
      <c r="Y653" s="22"/>
      <c r="Z653" s="22"/>
      <c r="AA653" s="22"/>
      <c r="AB653" s="22" t="s">
        <v>114</v>
      </c>
      <c r="AC653" s="3"/>
      <c r="AD653" s="3"/>
      <c r="AE653" s="3">
        <v>0</v>
      </c>
      <c r="AF653" s="3">
        <v>0</v>
      </c>
      <c r="AG653" s="3">
        <v>0</v>
      </c>
      <c r="AH653" s="3"/>
      <c r="AI653" s="3">
        <v>0</v>
      </c>
      <c r="AJ653" s="3">
        <v>0</v>
      </c>
      <c r="AK653" s="3">
        <v>0</v>
      </c>
      <c r="AL653" s="3"/>
      <c r="AM653" s="3"/>
      <c r="AN653" s="3"/>
      <c r="AO653" s="3"/>
      <c r="AP653" s="3"/>
      <c r="AQ653" s="3" t="s">
        <v>2503</v>
      </c>
      <c r="AR653" s="281"/>
    </row>
    <row r="654" spans="1:44" ht="15" customHeight="1">
      <c r="A654" s="3">
        <v>2011710</v>
      </c>
      <c r="B654" s="3" t="s">
        <v>2494</v>
      </c>
      <c r="C654" s="236" t="s">
        <v>2520</v>
      </c>
      <c r="D654" s="3" t="s">
        <v>1876</v>
      </c>
      <c r="F654" s="3">
        <v>9</v>
      </c>
      <c r="G654" s="36">
        <v>7</v>
      </c>
      <c r="H654" s="3" t="s">
        <v>136</v>
      </c>
      <c r="I654" s="3" t="s">
        <v>137</v>
      </c>
      <c r="J654" s="3"/>
      <c r="K654" s="3"/>
      <c r="L654" s="236"/>
      <c r="M654" s="99"/>
      <c r="N654" s="99"/>
      <c r="O654" s="236"/>
      <c r="P654" s="22"/>
      <c r="Q654" s="22">
        <v>0</v>
      </c>
      <c r="R654" s="22" t="s">
        <v>153</v>
      </c>
      <c r="S654" s="3"/>
      <c r="T654" s="260"/>
      <c r="U654" s="261"/>
      <c r="V654" s="22"/>
      <c r="W654" s="567" t="s">
        <v>2521</v>
      </c>
      <c r="X654" s="567" t="s">
        <v>6692</v>
      </c>
      <c r="Y654" s="22"/>
      <c r="Z654" s="22"/>
      <c r="AA654" s="22"/>
      <c r="AB654" s="22" t="s">
        <v>114</v>
      </c>
      <c r="AC654" s="3"/>
      <c r="AD654" s="3"/>
      <c r="AE654" s="3">
        <v>0</v>
      </c>
      <c r="AF654" s="3">
        <v>0</v>
      </c>
      <c r="AG654" s="3">
        <v>0</v>
      </c>
      <c r="AH654" s="3"/>
      <c r="AI654" s="3">
        <v>0</v>
      </c>
      <c r="AJ654" s="3">
        <v>0</v>
      </c>
      <c r="AK654" s="3">
        <v>0</v>
      </c>
      <c r="AL654" s="3"/>
      <c r="AM654" s="3"/>
      <c r="AN654" s="3"/>
      <c r="AO654" s="3"/>
      <c r="AP654" s="3"/>
      <c r="AQ654" s="282" t="str">
        <f>"tricks/"&amp;A654</f>
        <v>tricks/2011710</v>
      </c>
    </row>
    <row r="655" spans="1:44" ht="15" customHeight="1">
      <c r="A655" s="3">
        <v>2011711</v>
      </c>
      <c r="B655" s="3" t="s">
        <v>2494</v>
      </c>
      <c r="C655" s="236" t="s">
        <v>2522</v>
      </c>
      <c r="D655" s="3" t="s">
        <v>1876</v>
      </c>
      <c r="F655" s="3">
        <v>10</v>
      </c>
      <c r="G655" s="36">
        <v>7</v>
      </c>
      <c r="H655" s="3" t="s">
        <v>136</v>
      </c>
      <c r="I655" s="3" t="s">
        <v>137</v>
      </c>
      <c r="J655" s="3"/>
      <c r="K655" s="3"/>
      <c r="L655" s="236"/>
      <c r="M655" s="99"/>
      <c r="N655" s="99"/>
      <c r="O655" s="236"/>
      <c r="P655" s="22"/>
      <c r="Q655" s="22">
        <v>0</v>
      </c>
      <c r="R655" s="22" t="s">
        <v>153</v>
      </c>
      <c r="S655" s="3"/>
      <c r="T655" s="260"/>
      <c r="U655" s="261"/>
      <c r="V655" s="22"/>
      <c r="W655" s="567" t="s">
        <v>2523</v>
      </c>
      <c r="X655" s="567" t="s">
        <v>6693</v>
      </c>
      <c r="Y655" s="22"/>
      <c r="Z655" s="22"/>
      <c r="AA655" s="22"/>
      <c r="AB655" s="22" t="s">
        <v>114</v>
      </c>
      <c r="AC655" s="3"/>
      <c r="AD655" s="3"/>
      <c r="AE655" s="3">
        <v>0</v>
      </c>
      <c r="AF655" s="3">
        <v>0</v>
      </c>
      <c r="AG655" s="3">
        <v>0</v>
      </c>
      <c r="AH655" s="3"/>
      <c r="AI655" s="3">
        <v>0</v>
      </c>
      <c r="AJ655" s="3">
        <v>0</v>
      </c>
      <c r="AK655" s="3">
        <v>0</v>
      </c>
      <c r="AL655" s="3"/>
      <c r="AM655" s="3"/>
      <c r="AN655" s="3"/>
      <c r="AO655" s="3"/>
      <c r="AP655" s="3"/>
      <c r="AQ655" s="282" t="str">
        <f>"tricks/"&amp;A655</f>
        <v>tricks/2011711</v>
      </c>
    </row>
    <row r="656" spans="1:44" ht="15" customHeight="1">
      <c r="A656" s="42">
        <v>2011801</v>
      </c>
      <c r="B656" s="42" t="s">
        <v>2524</v>
      </c>
      <c r="C656" s="476" t="s">
        <v>2525</v>
      </c>
      <c r="D656" s="42" t="s">
        <v>1876</v>
      </c>
      <c r="E656" s="42"/>
      <c r="F656" s="36">
        <v>1</v>
      </c>
      <c r="G656" s="36">
        <v>7</v>
      </c>
      <c r="H656" s="42" t="s">
        <v>82</v>
      </c>
      <c r="I656" s="42" t="s">
        <v>101</v>
      </c>
      <c r="J656" s="42"/>
      <c r="K656" s="475"/>
      <c r="L656" s="476"/>
      <c r="M656" s="477"/>
      <c r="N656" s="378">
        <v>25</v>
      </c>
      <c r="O656" s="476"/>
      <c r="P656" s="478"/>
      <c r="Q656" s="478">
        <v>0</v>
      </c>
      <c r="R656" s="478" t="s">
        <v>153</v>
      </c>
      <c r="S656" s="42"/>
      <c r="T656" s="258"/>
      <c r="U656" s="259"/>
      <c r="V656" s="478"/>
      <c r="W656" s="619" t="s">
        <v>2526</v>
      </c>
      <c r="X656" s="619" t="s">
        <v>6694</v>
      </c>
      <c r="Y656" s="478">
        <v>0</v>
      </c>
      <c r="Z656" s="478">
        <v>0</v>
      </c>
      <c r="AA656" s="478"/>
      <c r="AB656" s="478"/>
      <c r="AC656" s="42"/>
      <c r="AD656" s="42"/>
      <c r="AE656" s="42">
        <v>1</v>
      </c>
      <c r="AF656" s="42">
        <v>2</v>
      </c>
      <c r="AG656" s="42">
        <v>35</v>
      </c>
      <c r="AH656" s="42"/>
      <c r="AI656" s="42"/>
      <c r="AJ656" s="42"/>
      <c r="AK656" s="491"/>
      <c r="AL656" s="491"/>
      <c r="AM656" s="491"/>
      <c r="AN656" s="43" t="s">
        <v>2527</v>
      </c>
      <c r="AO656" s="42"/>
      <c r="AP656" s="42"/>
      <c r="AQ656" s="42" t="s">
        <v>2528</v>
      </c>
      <c r="AR656" s="280"/>
    </row>
    <row r="657" spans="1:44" ht="15" customHeight="1">
      <c r="A657" s="42">
        <v>2011802</v>
      </c>
      <c r="B657" s="42" t="s">
        <v>2524</v>
      </c>
      <c r="C657" s="476" t="s">
        <v>2529</v>
      </c>
      <c r="D657" s="42" t="s">
        <v>1876</v>
      </c>
      <c r="E657" s="42"/>
      <c r="F657" s="36">
        <v>1</v>
      </c>
      <c r="G657" s="36">
        <v>7</v>
      </c>
      <c r="H657" s="42" t="s">
        <v>136</v>
      </c>
      <c r="I657" s="42" t="s">
        <v>137</v>
      </c>
      <c r="J657" s="42"/>
      <c r="K657" s="475"/>
      <c r="L657" s="476"/>
      <c r="M657" s="477"/>
      <c r="N657" s="477"/>
      <c r="O657" s="476"/>
      <c r="P657" s="478"/>
      <c r="Q657" s="478">
        <v>0</v>
      </c>
      <c r="R657" s="478" t="s">
        <v>153</v>
      </c>
      <c r="S657" s="42"/>
      <c r="T657" s="258"/>
      <c r="U657" s="259"/>
      <c r="V657" s="478"/>
      <c r="W657" s="619" t="s">
        <v>2530</v>
      </c>
      <c r="X657" s="619" t="s">
        <v>2530</v>
      </c>
      <c r="Y657" s="478">
        <v>0</v>
      </c>
      <c r="Z657" s="478">
        <v>0</v>
      </c>
      <c r="AA657" s="478"/>
      <c r="AB657" s="478"/>
      <c r="AC657" s="42"/>
      <c r="AD657" s="42"/>
      <c r="AE657" s="42">
        <v>0</v>
      </c>
      <c r="AF657" s="42">
        <v>0</v>
      </c>
      <c r="AG657" s="42">
        <v>0</v>
      </c>
      <c r="AH657" s="42"/>
      <c r="AI657" s="42">
        <v>0</v>
      </c>
      <c r="AJ657" s="42">
        <v>0</v>
      </c>
      <c r="AK657" s="491"/>
      <c r="AL657" s="491"/>
      <c r="AM657" s="491"/>
      <c r="AN657" s="42"/>
      <c r="AO657" s="42"/>
      <c r="AP657" s="42"/>
      <c r="AQ657" s="42" t="s">
        <v>2531</v>
      </c>
      <c r="AR657" s="280"/>
    </row>
    <row r="658" spans="1:44" ht="15" customHeight="1">
      <c r="A658" s="42">
        <v>2011803</v>
      </c>
      <c r="B658" s="42" t="s">
        <v>2524</v>
      </c>
      <c r="C658" s="476" t="s">
        <v>2532</v>
      </c>
      <c r="D658" s="42" t="s">
        <v>1876</v>
      </c>
      <c r="E658" s="42"/>
      <c r="F658" s="36">
        <v>2</v>
      </c>
      <c r="G658" s="36">
        <v>7</v>
      </c>
      <c r="H658" s="42" t="s">
        <v>136</v>
      </c>
      <c r="I658" s="42" t="s">
        <v>137</v>
      </c>
      <c r="J658" s="42"/>
      <c r="K658" s="475"/>
      <c r="L658" s="476"/>
      <c r="M658" s="477"/>
      <c r="N658" s="477"/>
      <c r="O658" s="476"/>
      <c r="P658" s="478"/>
      <c r="Q658" s="478">
        <v>0</v>
      </c>
      <c r="R658" s="478" t="s">
        <v>153</v>
      </c>
      <c r="S658" s="42"/>
      <c r="T658" s="258"/>
      <c r="U658" s="259"/>
      <c r="V658" s="478"/>
      <c r="W658" s="619" t="s">
        <v>2533</v>
      </c>
      <c r="X658" s="619" t="s">
        <v>2533</v>
      </c>
      <c r="Y658" s="478">
        <v>0</v>
      </c>
      <c r="Z658" s="478">
        <v>0</v>
      </c>
      <c r="AA658" s="478"/>
      <c r="AB658" s="478"/>
      <c r="AC658" s="42"/>
      <c r="AD658" s="42"/>
      <c r="AE658" s="42">
        <v>0</v>
      </c>
      <c r="AF658" s="42">
        <v>0</v>
      </c>
      <c r="AG658" s="42">
        <v>0</v>
      </c>
      <c r="AH658" s="42"/>
      <c r="AI658" s="42">
        <v>0</v>
      </c>
      <c r="AJ658" s="42">
        <v>0</v>
      </c>
      <c r="AK658" s="491"/>
      <c r="AL658" s="491"/>
      <c r="AM658" s="491"/>
      <c r="AN658" s="42"/>
      <c r="AO658" s="42"/>
      <c r="AP658" s="42"/>
      <c r="AQ658" s="42" t="s">
        <v>2534</v>
      </c>
      <c r="AR658" s="280"/>
    </row>
    <row r="659" spans="1:44" ht="15" customHeight="1">
      <c r="A659" s="42">
        <v>2011804</v>
      </c>
      <c r="B659" s="42" t="s">
        <v>2524</v>
      </c>
      <c r="C659" s="476" t="s">
        <v>2535</v>
      </c>
      <c r="D659" s="42" t="s">
        <v>1876</v>
      </c>
      <c r="E659" s="42"/>
      <c r="F659" s="36">
        <v>3</v>
      </c>
      <c r="G659" s="36">
        <v>7</v>
      </c>
      <c r="H659" s="42" t="s">
        <v>136</v>
      </c>
      <c r="I659" s="42" t="s">
        <v>137</v>
      </c>
      <c r="J659" s="42"/>
      <c r="K659" s="475"/>
      <c r="L659" s="476"/>
      <c r="M659" s="477"/>
      <c r="N659" s="477"/>
      <c r="O659" s="476"/>
      <c r="P659" s="478"/>
      <c r="Q659" s="478">
        <v>0</v>
      </c>
      <c r="R659" s="478" t="s">
        <v>153</v>
      </c>
      <c r="S659" s="42"/>
      <c r="T659" s="258"/>
      <c r="U659" s="259"/>
      <c r="V659" s="478"/>
      <c r="W659" s="619" t="s">
        <v>2536</v>
      </c>
      <c r="X659" s="619" t="s">
        <v>6695</v>
      </c>
      <c r="Y659" s="478">
        <v>0</v>
      </c>
      <c r="Z659" s="478">
        <v>0</v>
      </c>
      <c r="AA659" s="478"/>
      <c r="AB659" s="478"/>
      <c r="AC659" s="42"/>
      <c r="AD659" s="42"/>
      <c r="AE659" s="42">
        <v>0</v>
      </c>
      <c r="AF659" s="42">
        <v>0</v>
      </c>
      <c r="AG659" s="42">
        <v>0</v>
      </c>
      <c r="AH659" s="42"/>
      <c r="AI659" s="42">
        <v>0</v>
      </c>
      <c r="AJ659" s="42">
        <v>0</v>
      </c>
      <c r="AK659" s="491"/>
      <c r="AL659" s="491"/>
      <c r="AM659" s="491"/>
      <c r="AN659" s="42"/>
      <c r="AO659" s="42"/>
      <c r="AP659" s="42"/>
      <c r="AQ659" s="42" t="s">
        <v>2537</v>
      </c>
      <c r="AR659" s="280"/>
    </row>
    <row r="660" spans="1:44" ht="15" customHeight="1">
      <c r="A660" s="42">
        <v>2011805</v>
      </c>
      <c r="B660" s="42" t="s">
        <v>2524</v>
      </c>
      <c r="C660" s="476" t="s">
        <v>2538</v>
      </c>
      <c r="D660" s="42" t="s">
        <v>1876</v>
      </c>
      <c r="E660" s="42"/>
      <c r="F660" s="36">
        <v>4</v>
      </c>
      <c r="G660" s="36">
        <v>7</v>
      </c>
      <c r="H660" s="42" t="s">
        <v>136</v>
      </c>
      <c r="I660" s="42" t="s">
        <v>137</v>
      </c>
      <c r="J660" s="42"/>
      <c r="K660" s="475"/>
      <c r="L660" s="476"/>
      <c r="M660" s="477"/>
      <c r="N660" s="477"/>
      <c r="O660" s="476"/>
      <c r="P660" s="478"/>
      <c r="Q660" s="478">
        <v>0</v>
      </c>
      <c r="R660" s="478" t="s">
        <v>153</v>
      </c>
      <c r="S660" s="42"/>
      <c r="T660" s="258"/>
      <c r="U660" s="259"/>
      <c r="V660" s="478"/>
      <c r="W660" s="619" t="s">
        <v>2080</v>
      </c>
      <c r="X660" s="619" t="s">
        <v>2080</v>
      </c>
      <c r="Y660" s="478">
        <v>0</v>
      </c>
      <c r="Z660" s="478">
        <v>0</v>
      </c>
      <c r="AA660" s="478"/>
      <c r="AB660" s="478"/>
      <c r="AC660" s="42"/>
      <c r="AD660" s="42"/>
      <c r="AE660" s="42">
        <v>0</v>
      </c>
      <c r="AF660" s="42">
        <v>0</v>
      </c>
      <c r="AG660" s="42">
        <v>0</v>
      </c>
      <c r="AH660" s="42"/>
      <c r="AI660" s="42">
        <v>0</v>
      </c>
      <c r="AJ660" s="42">
        <v>0</v>
      </c>
      <c r="AK660" s="491"/>
      <c r="AL660" s="491"/>
      <c r="AM660" s="491"/>
      <c r="AN660" s="42"/>
      <c r="AO660" s="42"/>
      <c r="AP660" s="42"/>
      <c r="AQ660" s="42" t="s">
        <v>2539</v>
      </c>
      <c r="AR660" s="280"/>
    </row>
    <row r="661" spans="1:44" ht="15" customHeight="1">
      <c r="A661" s="42">
        <v>2011806</v>
      </c>
      <c r="B661" s="42" t="s">
        <v>2524</v>
      </c>
      <c r="C661" s="476" t="s">
        <v>2540</v>
      </c>
      <c r="D661" s="42" t="s">
        <v>1876</v>
      </c>
      <c r="E661" s="42"/>
      <c r="F661" s="36">
        <v>5</v>
      </c>
      <c r="G661" s="36">
        <v>7</v>
      </c>
      <c r="H661" s="42" t="s">
        <v>136</v>
      </c>
      <c r="I661" s="42" t="s">
        <v>137</v>
      </c>
      <c r="J661" s="42"/>
      <c r="K661" s="475"/>
      <c r="L661" s="476"/>
      <c r="M661" s="477"/>
      <c r="N661" s="477"/>
      <c r="O661" s="476"/>
      <c r="P661" s="478"/>
      <c r="Q661" s="478">
        <v>0</v>
      </c>
      <c r="R661" s="478" t="s">
        <v>153</v>
      </c>
      <c r="S661" s="42"/>
      <c r="T661" s="258"/>
      <c r="U661" s="259"/>
      <c r="V661" s="478"/>
      <c r="W661" s="619" t="s">
        <v>2541</v>
      </c>
      <c r="X661" s="619" t="s">
        <v>2541</v>
      </c>
      <c r="Y661" s="478">
        <v>0</v>
      </c>
      <c r="Z661" s="478">
        <v>0</v>
      </c>
      <c r="AA661" s="478"/>
      <c r="AB661" s="478"/>
      <c r="AC661" s="42"/>
      <c r="AD661" s="42"/>
      <c r="AE661" s="42">
        <v>0</v>
      </c>
      <c r="AF661" s="42">
        <v>0</v>
      </c>
      <c r="AG661" s="42">
        <v>0</v>
      </c>
      <c r="AH661" s="42"/>
      <c r="AI661" s="42">
        <v>0</v>
      </c>
      <c r="AJ661" s="42">
        <v>0</v>
      </c>
      <c r="AK661" s="491"/>
      <c r="AL661" s="491"/>
      <c r="AM661" s="491"/>
      <c r="AN661" s="42"/>
      <c r="AO661" s="42"/>
      <c r="AP661" s="42"/>
      <c r="AQ661" s="42" t="s">
        <v>2542</v>
      </c>
      <c r="AR661" s="280"/>
    </row>
    <row r="662" spans="1:44" ht="15" customHeight="1">
      <c r="A662" s="42">
        <v>2011807</v>
      </c>
      <c r="B662" s="42" t="s">
        <v>2524</v>
      </c>
      <c r="C662" s="476" t="s">
        <v>2543</v>
      </c>
      <c r="D662" s="42" t="s">
        <v>1876</v>
      </c>
      <c r="E662" s="42"/>
      <c r="F662" s="36">
        <v>6</v>
      </c>
      <c r="G662" s="36">
        <v>7</v>
      </c>
      <c r="H662" s="42" t="s">
        <v>136</v>
      </c>
      <c r="I662" s="42" t="s">
        <v>137</v>
      </c>
      <c r="J662" s="42"/>
      <c r="K662" s="475"/>
      <c r="L662" s="476"/>
      <c r="M662" s="477"/>
      <c r="N662" s="477"/>
      <c r="O662" s="476"/>
      <c r="P662" s="478"/>
      <c r="Q662" s="478">
        <v>0</v>
      </c>
      <c r="R662" s="478" t="s">
        <v>153</v>
      </c>
      <c r="S662" s="42"/>
      <c r="T662" s="258"/>
      <c r="U662" s="259"/>
      <c r="V662" s="478"/>
      <c r="W662" s="619" t="s">
        <v>2544</v>
      </c>
      <c r="X662" s="619" t="s">
        <v>2544</v>
      </c>
      <c r="Y662" s="478">
        <v>0</v>
      </c>
      <c r="Z662" s="478">
        <v>0</v>
      </c>
      <c r="AA662" s="478"/>
      <c r="AB662" s="478"/>
      <c r="AC662" s="42"/>
      <c r="AD662" s="42"/>
      <c r="AE662" s="42">
        <v>0</v>
      </c>
      <c r="AF662" s="42">
        <v>0</v>
      </c>
      <c r="AG662" s="42">
        <v>0</v>
      </c>
      <c r="AH662" s="42"/>
      <c r="AI662" s="42">
        <v>0</v>
      </c>
      <c r="AJ662" s="42">
        <v>0</v>
      </c>
      <c r="AK662" s="491"/>
      <c r="AL662" s="491"/>
      <c r="AM662" s="491"/>
      <c r="AN662" s="42"/>
      <c r="AO662" s="42"/>
      <c r="AP662" s="42"/>
      <c r="AQ662" s="42" t="s">
        <v>2545</v>
      </c>
      <c r="AR662" s="280"/>
    </row>
    <row r="663" spans="1:44" ht="15" customHeight="1">
      <c r="A663" s="42">
        <v>2011808</v>
      </c>
      <c r="B663" s="42" t="s">
        <v>2524</v>
      </c>
      <c r="C663" s="476" t="s">
        <v>2546</v>
      </c>
      <c r="D663" s="42" t="s">
        <v>1876</v>
      </c>
      <c r="E663" s="42"/>
      <c r="F663" s="36">
        <v>7</v>
      </c>
      <c r="G663" s="36">
        <v>7</v>
      </c>
      <c r="H663" s="42" t="s">
        <v>136</v>
      </c>
      <c r="I663" s="42" t="s">
        <v>137</v>
      </c>
      <c r="J663" s="42"/>
      <c r="K663" s="475"/>
      <c r="L663" s="476"/>
      <c r="M663" s="477"/>
      <c r="N663" s="477"/>
      <c r="O663" s="476"/>
      <c r="P663" s="478"/>
      <c r="Q663" s="478">
        <v>0</v>
      </c>
      <c r="R663" s="478" t="s">
        <v>153</v>
      </c>
      <c r="S663" s="42"/>
      <c r="T663" s="258"/>
      <c r="U663" s="259"/>
      <c r="V663" s="478"/>
      <c r="W663" s="619" t="s">
        <v>2547</v>
      </c>
      <c r="X663" s="619" t="s">
        <v>2547</v>
      </c>
      <c r="Y663" s="478">
        <v>0</v>
      </c>
      <c r="Z663" s="478">
        <v>0</v>
      </c>
      <c r="AA663" s="478"/>
      <c r="AB663" s="478"/>
      <c r="AC663" s="42"/>
      <c r="AD663" s="42"/>
      <c r="AE663" s="42">
        <v>0</v>
      </c>
      <c r="AF663" s="42">
        <v>0</v>
      </c>
      <c r="AG663" s="42">
        <v>0</v>
      </c>
      <c r="AH663" s="42"/>
      <c r="AI663" s="42">
        <v>0</v>
      </c>
      <c r="AJ663" s="42">
        <v>0</v>
      </c>
      <c r="AK663" s="491"/>
      <c r="AL663" s="491"/>
      <c r="AM663" s="491"/>
      <c r="AN663" s="42"/>
      <c r="AO663" s="42"/>
      <c r="AP663" s="42"/>
      <c r="AQ663" s="42" t="s">
        <v>2548</v>
      </c>
      <c r="AR663" s="280"/>
    </row>
    <row r="664" spans="1:44" ht="15" customHeight="1">
      <c r="A664" s="3">
        <v>2011809</v>
      </c>
      <c r="B664" s="3" t="s">
        <v>2524</v>
      </c>
      <c r="C664" s="236" t="s">
        <v>2549</v>
      </c>
      <c r="D664" s="44" t="s">
        <v>1876</v>
      </c>
      <c r="E664" s="41"/>
      <c r="F664" s="3">
        <v>8</v>
      </c>
      <c r="G664" s="36">
        <v>7</v>
      </c>
      <c r="H664" s="3" t="s">
        <v>136</v>
      </c>
      <c r="I664" s="3" t="s">
        <v>137</v>
      </c>
      <c r="J664" s="3"/>
      <c r="K664" s="3"/>
      <c r="L664" s="236"/>
      <c r="M664" s="99"/>
      <c r="N664" s="99"/>
      <c r="O664" s="236"/>
      <c r="P664" s="22"/>
      <c r="Q664" s="22">
        <v>0</v>
      </c>
      <c r="R664" s="22" t="s">
        <v>153</v>
      </c>
      <c r="S664" s="3"/>
      <c r="T664" s="260"/>
      <c r="U664" s="261"/>
      <c r="V664" s="22"/>
      <c r="W664" s="567" t="s">
        <v>1910</v>
      </c>
      <c r="X664" s="567" t="s">
        <v>6696</v>
      </c>
      <c r="Y664" s="22"/>
      <c r="Z664" s="22"/>
      <c r="AA664" s="22"/>
      <c r="AB664" s="22" t="s">
        <v>114</v>
      </c>
      <c r="AC664" s="3"/>
      <c r="AD664" s="3"/>
      <c r="AE664" s="3">
        <v>0</v>
      </c>
      <c r="AF664" s="3">
        <v>0</v>
      </c>
      <c r="AG664" s="3">
        <v>0</v>
      </c>
      <c r="AH664" s="3"/>
      <c r="AI664" s="3">
        <v>0</v>
      </c>
      <c r="AJ664" s="3">
        <v>0</v>
      </c>
      <c r="AK664" s="3">
        <v>0</v>
      </c>
      <c r="AL664" s="3"/>
      <c r="AM664" s="3"/>
      <c r="AN664" s="3"/>
      <c r="AO664" s="3"/>
      <c r="AP664" s="3"/>
      <c r="AQ664" s="3" t="s">
        <v>2534</v>
      </c>
      <c r="AR664" s="281"/>
    </row>
    <row r="665" spans="1:44" ht="15" customHeight="1">
      <c r="A665" s="3">
        <v>2011810</v>
      </c>
      <c r="B665" s="3" t="s">
        <v>2524</v>
      </c>
      <c r="C665" s="236" t="s">
        <v>2550</v>
      </c>
      <c r="D665" s="3" t="s">
        <v>1876</v>
      </c>
      <c r="F665" s="3">
        <v>9</v>
      </c>
      <c r="G665" s="36">
        <v>7</v>
      </c>
      <c r="H665" s="3" t="s">
        <v>136</v>
      </c>
      <c r="I665" s="3" t="s">
        <v>137</v>
      </c>
      <c r="J665" s="3"/>
      <c r="K665" s="3"/>
      <c r="L665" s="236"/>
      <c r="M665" s="99"/>
      <c r="N665" s="99"/>
      <c r="O665" s="236"/>
      <c r="P665" s="22"/>
      <c r="Q665" s="22">
        <v>0</v>
      </c>
      <c r="R665" s="22" t="s">
        <v>153</v>
      </c>
      <c r="S665" s="3"/>
      <c r="T665" s="260"/>
      <c r="U665" s="261"/>
      <c r="V665" s="22"/>
      <c r="W665" s="567" t="s">
        <v>2551</v>
      </c>
      <c r="X665" s="567" t="s">
        <v>6697</v>
      </c>
      <c r="Y665" s="22"/>
      <c r="Z665" s="22"/>
      <c r="AA665" s="22"/>
      <c r="AB665" s="22" t="s">
        <v>114</v>
      </c>
      <c r="AC665" s="3"/>
      <c r="AD665" s="3"/>
      <c r="AE665" s="3">
        <v>0</v>
      </c>
      <c r="AF665" s="3">
        <v>0</v>
      </c>
      <c r="AG665" s="3">
        <v>0</v>
      </c>
      <c r="AH665" s="3"/>
      <c r="AI665" s="3">
        <v>0</v>
      </c>
      <c r="AJ665" s="3">
        <v>0</v>
      </c>
      <c r="AK665" s="3">
        <v>0</v>
      </c>
      <c r="AL665" s="3"/>
      <c r="AM665" s="3"/>
      <c r="AN665" s="3"/>
      <c r="AO665" s="3"/>
      <c r="AP665" s="3"/>
      <c r="AQ665" s="282" t="str">
        <f>"tricks/"&amp;A665</f>
        <v>tricks/2011810</v>
      </c>
    </row>
    <row r="666" spans="1:44" ht="15" customHeight="1">
      <c r="A666" s="3">
        <v>2011811</v>
      </c>
      <c r="B666" s="3" t="s">
        <v>2524</v>
      </c>
      <c r="C666" s="236" t="s">
        <v>2552</v>
      </c>
      <c r="D666" s="3" t="s">
        <v>1876</v>
      </c>
      <c r="F666" s="3">
        <v>10</v>
      </c>
      <c r="G666" s="36">
        <v>7</v>
      </c>
      <c r="H666" s="3" t="s">
        <v>136</v>
      </c>
      <c r="I666" s="3" t="s">
        <v>137</v>
      </c>
      <c r="J666" s="3"/>
      <c r="K666" s="3"/>
      <c r="L666" s="236"/>
      <c r="M666" s="99"/>
      <c r="N666" s="99"/>
      <c r="O666" s="236"/>
      <c r="P666" s="22"/>
      <c r="Q666" s="22">
        <v>0</v>
      </c>
      <c r="R666" s="22" t="s">
        <v>153</v>
      </c>
      <c r="S666" s="3"/>
      <c r="T666" s="260"/>
      <c r="U666" s="261"/>
      <c r="V666" s="22"/>
      <c r="W666" s="567" t="s">
        <v>2553</v>
      </c>
      <c r="X666" s="567" t="s">
        <v>6698</v>
      </c>
      <c r="Y666" s="22"/>
      <c r="Z666" s="22"/>
      <c r="AA666" s="22"/>
      <c r="AB666" s="22" t="s">
        <v>114</v>
      </c>
      <c r="AC666" s="3"/>
      <c r="AD666" s="3"/>
      <c r="AE666" s="3">
        <v>0</v>
      </c>
      <c r="AF666" s="3">
        <v>0</v>
      </c>
      <c r="AG666" s="3">
        <v>0</v>
      </c>
      <c r="AH666" s="3"/>
      <c r="AI666" s="3">
        <v>0</v>
      </c>
      <c r="AJ666" s="3">
        <v>0</v>
      </c>
      <c r="AK666" s="3">
        <v>0</v>
      </c>
      <c r="AL666" s="3"/>
      <c r="AM666" s="3"/>
      <c r="AN666" s="3"/>
      <c r="AO666" s="3"/>
      <c r="AP666" s="3"/>
      <c r="AQ666" s="282" t="str">
        <f>"tricks/"&amp;A666</f>
        <v>tricks/2011811</v>
      </c>
    </row>
    <row r="667" spans="1:44" ht="15" customHeight="1">
      <c r="A667" s="41">
        <v>2011901</v>
      </c>
      <c r="B667" s="41" t="s">
        <v>2554</v>
      </c>
      <c r="C667" s="483" t="s">
        <v>2555</v>
      </c>
      <c r="D667" s="44" t="s">
        <v>1876</v>
      </c>
      <c r="E667" s="44"/>
      <c r="F667" s="36">
        <v>1</v>
      </c>
      <c r="G667" s="36">
        <v>7</v>
      </c>
      <c r="H667" s="44" t="s">
        <v>82</v>
      </c>
      <c r="I667" s="44" t="s">
        <v>101</v>
      </c>
      <c r="J667" s="44">
        <v>1</v>
      </c>
      <c r="K667" s="482"/>
      <c r="L667" s="483"/>
      <c r="M667" s="484"/>
      <c r="N667" s="438">
        <v>26</v>
      </c>
      <c r="O667" s="483"/>
      <c r="P667" s="485"/>
      <c r="Q667" s="485">
        <v>0</v>
      </c>
      <c r="R667" s="485" t="s">
        <v>153</v>
      </c>
      <c r="S667" s="44"/>
      <c r="T667" s="441"/>
      <c r="U667" s="443"/>
      <c r="V667" s="485"/>
      <c r="W667" s="624" t="s">
        <v>6686</v>
      </c>
      <c r="X667" s="624" t="s">
        <v>6686</v>
      </c>
      <c r="Y667" s="485">
        <v>0</v>
      </c>
      <c r="Z667" s="485">
        <v>0</v>
      </c>
      <c r="AA667" s="485"/>
      <c r="AB667" s="485"/>
      <c r="AC667" s="44"/>
      <c r="AD667" s="44"/>
      <c r="AE667" s="44">
        <v>0</v>
      </c>
      <c r="AF667" s="44">
        <v>0</v>
      </c>
      <c r="AG667" s="44">
        <v>0</v>
      </c>
      <c r="AH667" s="44"/>
      <c r="AI667" s="44"/>
      <c r="AJ667" s="44"/>
      <c r="AK667" s="493"/>
      <c r="AL667" s="493"/>
      <c r="AM667" s="493"/>
      <c r="AN667" s="44"/>
      <c r="AO667" s="44"/>
      <c r="AP667" s="44"/>
      <c r="AQ667" s="44" t="s">
        <v>2556</v>
      </c>
      <c r="AR667" s="449"/>
    </row>
    <row r="668" spans="1:44" ht="15" customHeight="1">
      <c r="A668" s="44">
        <v>2011902</v>
      </c>
      <c r="B668" s="41" t="s">
        <v>2554</v>
      </c>
      <c r="C668" s="483" t="s">
        <v>2557</v>
      </c>
      <c r="D668" s="44" t="s">
        <v>1876</v>
      </c>
      <c r="E668" s="44"/>
      <c r="F668" s="36">
        <v>1</v>
      </c>
      <c r="G668" s="36">
        <v>7</v>
      </c>
      <c r="H668" s="44" t="s">
        <v>136</v>
      </c>
      <c r="I668" s="44" t="s">
        <v>137</v>
      </c>
      <c r="J668" s="44"/>
      <c r="K668" s="482"/>
      <c r="L668" s="483"/>
      <c r="M668" s="484"/>
      <c r="N668" s="484"/>
      <c r="O668" s="483"/>
      <c r="P668" s="485"/>
      <c r="Q668" s="485">
        <v>0</v>
      </c>
      <c r="R668" s="485" t="s">
        <v>153</v>
      </c>
      <c r="S668" s="44"/>
      <c r="T668" s="441"/>
      <c r="U668" s="443"/>
      <c r="V668" s="485"/>
      <c r="W668" s="624" t="s">
        <v>2558</v>
      </c>
      <c r="X668" s="624" t="s">
        <v>2558</v>
      </c>
      <c r="Y668" s="485">
        <v>0</v>
      </c>
      <c r="Z668" s="485">
        <v>0</v>
      </c>
      <c r="AA668" s="485"/>
      <c r="AB668" s="485"/>
      <c r="AC668" s="44"/>
      <c r="AD668" s="44"/>
      <c r="AE668" s="44">
        <v>0</v>
      </c>
      <c r="AF668" s="44">
        <v>0</v>
      </c>
      <c r="AG668" s="44">
        <v>0</v>
      </c>
      <c r="AH668" s="44"/>
      <c r="AI668" s="44">
        <v>0</v>
      </c>
      <c r="AJ668" s="44">
        <v>0</v>
      </c>
      <c r="AK668" s="493"/>
      <c r="AL668" s="493"/>
      <c r="AM668" s="493"/>
      <c r="AN668" s="44"/>
      <c r="AO668" s="44"/>
      <c r="AP668" s="44"/>
      <c r="AQ668" s="44" t="s">
        <v>2559</v>
      </c>
      <c r="AR668" s="449"/>
    </row>
    <row r="669" spans="1:44" ht="15" customHeight="1">
      <c r="A669" s="41">
        <v>2011903</v>
      </c>
      <c r="B669" s="41" t="s">
        <v>2554</v>
      </c>
      <c r="C669" s="483" t="s">
        <v>2560</v>
      </c>
      <c r="D669" s="44" t="s">
        <v>1876</v>
      </c>
      <c r="E669" s="44"/>
      <c r="F669" s="36">
        <v>2</v>
      </c>
      <c r="G669" s="36">
        <v>7</v>
      </c>
      <c r="H669" s="44" t="s">
        <v>136</v>
      </c>
      <c r="I669" s="44" t="s">
        <v>137</v>
      </c>
      <c r="J669" s="44"/>
      <c r="K669" s="482"/>
      <c r="L669" s="483"/>
      <c r="M669" s="484"/>
      <c r="N669" s="484"/>
      <c r="O669" s="483"/>
      <c r="P669" s="485"/>
      <c r="Q669" s="485">
        <v>0</v>
      </c>
      <c r="R669" s="485" t="s">
        <v>153</v>
      </c>
      <c r="S669" s="44"/>
      <c r="T669" s="441"/>
      <c r="U669" s="443"/>
      <c r="V669" s="485"/>
      <c r="W669" s="624" t="s">
        <v>1883</v>
      </c>
      <c r="X669" s="624" t="s">
        <v>1883</v>
      </c>
      <c r="Y669" s="485">
        <v>0</v>
      </c>
      <c r="Z669" s="485">
        <v>0</v>
      </c>
      <c r="AA669" s="485"/>
      <c r="AB669" s="485"/>
      <c r="AC669" s="44"/>
      <c r="AD669" s="44"/>
      <c r="AE669" s="44">
        <v>0</v>
      </c>
      <c r="AF669" s="44">
        <v>0</v>
      </c>
      <c r="AG669" s="44">
        <v>0</v>
      </c>
      <c r="AH669" s="44"/>
      <c r="AI669" s="44">
        <v>0</v>
      </c>
      <c r="AJ669" s="44">
        <v>0</v>
      </c>
      <c r="AK669" s="493"/>
      <c r="AL669" s="493"/>
      <c r="AM669" s="493"/>
      <c r="AN669" s="44"/>
      <c r="AO669" s="44"/>
      <c r="AP669" s="44"/>
      <c r="AQ669" s="44" t="s">
        <v>2561</v>
      </c>
      <c r="AR669" s="449"/>
    </row>
    <row r="670" spans="1:44" ht="15" customHeight="1">
      <c r="A670" s="44">
        <v>2011904</v>
      </c>
      <c r="B670" s="41" t="s">
        <v>2554</v>
      </c>
      <c r="C670" s="483" t="s">
        <v>2562</v>
      </c>
      <c r="D670" s="44" t="s">
        <v>1876</v>
      </c>
      <c r="E670" s="44"/>
      <c r="F670" s="36">
        <v>3</v>
      </c>
      <c r="G670" s="36">
        <v>7</v>
      </c>
      <c r="H670" s="44" t="s">
        <v>136</v>
      </c>
      <c r="I670" s="44" t="s">
        <v>137</v>
      </c>
      <c r="J670" s="44"/>
      <c r="K670" s="482"/>
      <c r="L670" s="483"/>
      <c r="M670" s="484"/>
      <c r="N670" s="484"/>
      <c r="O670" s="483"/>
      <c r="P670" s="485"/>
      <c r="Q670" s="485">
        <v>0</v>
      </c>
      <c r="R670" s="485" t="s">
        <v>153</v>
      </c>
      <c r="S670" s="44"/>
      <c r="T670" s="441"/>
      <c r="U670" s="443"/>
      <c r="V670" s="485"/>
      <c r="W670" s="625" t="s">
        <v>6689</v>
      </c>
      <c r="X670" s="625" t="s">
        <v>6689</v>
      </c>
      <c r="Y670" s="485">
        <v>0</v>
      </c>
      <c r="Z670" s="485">
        <v>0</v>
      </c>
      <c r="AA670" s="485"/>
      <c r="AB670" s="485"/>
      <c r="AC670" s="44"/>
      <c r="AD670" s="44"/>
      <c r="AE670" s="44">
        <v>0</v>
      </c>
      <c r="AF670" s="44">
        <v>0</v>
      </c>
      <c r="AG670" s="44">
        <v>0</v>
      </c>
      <c r="AH670" s="44"/>
      <c r="AI670" s="44">
        <v>0</v>
      </c>
      <c r="AJ670" s="44">
        <v>0</v>
      </c>
      <c r="AK670" s="493"/>
      <c r="AL670" s="493"/>
      <c r="AM670" s="493"/>
      <c r="AN670" s="44"/>
      <c r="AO670" s="44"/>
      <c r="AP670" s="44"/>
      <c r="AQ670" s="44" t="s">
        <v>2563</v>
      </c>
      <c r="AR670" s="449"/>
    </row>
    <row r="671" spans="1:44" ht="58.8" customHeight="1">
      <c r="A671" s="41">
        <v>2011905</v>
      </c>
      <c r="B671" s="41" t="s">
        <v>2554</v>
      </c>
      <c r="C671" s="483" t="s">
        <v>2564</v>
      </c>
      <c r="D671" s="44" t="s">
        <v>1876</v>
      </c>
      <c r="E671" s="44"/>
      <c r="F671" s="36">
        <v>4</v>
      </c>
      <c r="G671" s="36">
        <v>7</v>
      </c>
      <c r="H671" s="44" t="s">
        <v>136</v>
      </c>
      <c r="I671" s="44" t="s">
        <v>137</v>
      </c>
      <c r="J671" s="44"/>
      <c r="K671" s="482"/>
      <c r="L671" s="483"/>
      <c r="M671" s="484"/>
      <c r="N671" s="484"/>
      <c r="O671" s="483"/>
      <c r="P671" s="485"/>
      <c r="Q671" s="485">
        <v>0</v>
      </c>
      <c r="R671" s="485" t="s">
        <v>153</v>
      </c>
      <c r="S671" s="44"/>
      <c r="T671" s="441"/>
      <c r="U671" s="443"/>
      <c r="V671" s="485"/>
      <c r="W671" s="624" t="s">
        <v>2360</v>
      </c>
      <c r="X671" s="624" t="s">
        <v>2360</v>
      </c>
      <c r="Y671" s="485">
        <v>0</v>
      </c>
      <c r="Z671" s="485">
        <v>0</v>
      </c>
      <c r="AA671" s="485"/>
      <c r="AB671" s="485"/>
      <c r="AC671" s="44"/>
      <c r="AD671" s="44"/>
      <c r="AE671" s="44">
        <v>0</v>
      </c>
      <c r="AF671" s="44">
        <v>0</v>
      </c>
      <c r="AG671" s="44">
        <v>0</v>
      </c>
      <c r="AH671" s="44"/>
      <c r="AI671" s="44">
        <v>0</v>
      </c>
      <c r="AJ671" s="44">
        <v>0</v>
      </c>
      <c r="AK671" s="493"/>
      <c r="AL671" s="493"/>
      <c r="AM671" s="493"/>
      <c r="AN671" s="44"/>
      <c r="AO671" s="44"/>
      <c r="AP671" s="44"/>
      <c r="AQ671" s="44" t="s">
        <v>2565</v>
      </c>
      <c r="AR671" s="449"/>
    </row>
    <row r="672" spans="1:44" ht="15" customHeight="1">
      <c r="A672" s="44">
        <v>2011906</v>
      </c>
      <c r="B672" s="41" t="s">
        <v>2554</v>
      </c>
      <c r="C672" s="483" t="s">
        <v>2566</v>
      </c>
      <c r="D672" s="44" t="s">
        <v>1876</v>
      </c>
      <c r="E672" s="44"/>
      <c r="F672" s="36">
        <v>5</v>
      </c>
      <c r="G672" s="36">
        <v>7</v>
      </c>
      <c r="H672" s="44" t="s">
        <v>136</v>
      </c>
      <c r="I672" s="44" t="s">
        <v>137</v>
      </c>
      <c r="J672" s="44"/>
      <c r="K672" s="482"/>
      <c r="L672" s="483"/>
      <c r="M672" s="484"/>
      <c r="N672" s="484"/>
      <c r="O672" s="483"/>
      <c r="P672" s="485"/>
      <c r="Q672" s="485">
        <v>0</v>
      </c>
      <c r="R672" s="485" t="s">
        <v>153</v>
      </c>
      <c r="S672" s="44"/>
      <c r="T672" s="441"/>
      <c r="U672" s="443"/>
      <c r="V672" s="485"/>
      <c r="W672" s="624" t="s">
        <v>6690</v>
      </c>
      <c r="X672" s="624" t="s">
        <v>6690</v>
      </c>
      <c r="Y672" s="485">
        <v>0</v>
      </c>
      <c r="Z672" s="485">
        <v>0</v>
      </c>
      <c r="AA672" s="485"/>
      <c r="AB672" s="485"/>
      <c r="AC672" s="44"/>
      <c r="AD672" s="44"/>
      <c r="AE672" s="44">
        <v>0</v>
      </c>
      <c r="AF672" s="44">
        <v>0</v>
      </c>
      <c r="AG672" s="44">
        <v>0</v>
      </c>
      <c r="AH672" s="44"/>
      <c r="AI672" s="44">
        <v>0</v>
      </c>
      <c r="AJ672" s="44">
        <v>0</v>
      </c>
      <c r="AK672" s="493"/>
      <c r="AL672" s="493"/>
      <c r="AM672" s="493"/>
      <c r="AN672" s="44"/>
      <c r="AO672" s="44"/>
      <c r="AP672" s="44"/>
      <c r="AQ672" s="44" t="s">
        <v>2567</v>
      </c>
      <c r="AR672" s="449"/>
    </row>
    <row r="673" spans="1:44" ht="15" customHeight="1">
      <c r="A673" s="41">
        <v>2011907</v>
      </c>
      <c r="B673" s="41" t="s">
        <v>2554</v>
      </c>
      <c r="C673" s="483" t="s">
        <v>2568</v>
      </c>
      <c r="D673" s="44" t="s">
        <v>1876</v>
      </c>
      <c r="E673" s="44"/>
      <c r="F673" s="36">
        <v>6</v>
      </c>
      <c r="G673" s="36">
        <v>7</v>
      </c>
      <c r="H673" s="44" t="s">
        <v>136</v>
      </c>
      <c r="I673" s="44" t="s">
        <v>137</v>
      </c>
      <c r="J673" s="44"/>
      <c r="K673" s="482"/>
      <c r="L673" s="483"/>
      <c r="M673" s="484"/>
      <c r="N673" s="484"/>
      <c r="O673" s="483"/>
      <c r="P673" s="485"/>
      <c r="Q673" s="485">
        <v>0</v>
      </c>
      <c r="R673" s="485" t="s">
        <v>153</v>
      </c>
      <c r="S673" s="44"/>
      <c r="T673" s="441"/>
      <c r="U673" s="443"/>
      <c r="V673" s="485"/>
      <c r="W673" s="624" t="s">
        <v>6687</v>
      </c>
      <c r="X673" s="624" t="s">
        <v>6687</v>
      </c>
      <c r="Y673" s="485">
        <v>0</v>
      </c>
      <c r="Z673" s="485">
        <v>0</v>
      </c>
      <c r="AA673" s="485"/>
      <c r="AB673" s="485"/>
      <c r="AC673" s="44"/>
      <c r="AD673" s="44"/>
      <c r="AE673" s="44">
        <v>0</v>
      </c>
      <c r="AF673" s="44">
        <v>0</v>
      </c>
      <c r="AG673" s="44">
        <v>0</v>
      </c>
      <c r="AH673" s="44"/>
      <c r="AI673" s="44">
        <v>0</v>
      </c>
      <c r="AJ673" s="44">
        <v>0</v>
      </c>
      <c r="AK673" s="493"/>
      <c r="AL673" s="493"/>
      <c r="AM673" s="493"/>
      <c r="AN673" s="44"/>
      <c r="AO673" s="44"/>
      <c r="AP673" s="44"/>
      <c r="AQ673" s="44" t="s">
        <v>2569</v>
      </c>
      <c r="AR673" s="449"/>
    </row>
    <row r="674" spans="1:44" ht="15" customHeight="1">
      <c r="A674" s="44">
        <v>2011908</v>
      </c>
      <c r="B674" s="41" t="s">
        <v>2554</v>
      </c>
      <c r="C674" s="483" t="s">
        <v>2570</v>
      </c>
      <c r="D674" s="44" t="s">
        <v>1876</v>
      </c>
      <c r="E674" s="44"/>
      <c r="F674" s="36">
        <v>7</v>
      </c>
      <c r="G674" s="36">
        <v>7</v>
      </c>
      <c r="H674" s="44" t="s">
        <v>136</v>
      </c>
      <c r="I674" s="44" t="s">
        <v>137</v>
      </c>
      <c r="J674" s="44"/>
      <c r="K674" s="482"/>
      <c r="L674" s="483"/>
      <c r="M674" s="484"/>
      <c r="N674" s="484"/>
      <c r="O674" s="483"/>
      <c r="P674" s="485"/>
      <c r="Q674" s="485">
        <v>0</v>
      </c>
      <c r="R674" s="485" t="s">
        <v>153</v>
      </c>
      <c r="S674" s="44"/>
      <c r="T674" s="441"/>
      <c r="U674" s="443"/>
      <c r="V674" s="485"/>
      <c r="W674" s="624" t="s">
        <v>2571</v>
      </c>
      <c r="X674" s="624" t="s">
        <v>2571</v>
      </c>
      <c r="Y674" s="485">
        <v>0</v>
      </c>
      <c r="Z674" s="485">
        <v>0</v>
      </c>
      <c r="AA674" s="485"/>
      <c r="AB674" s="485"/>
      <c r="AC674" s="44"/>
      <c r="AD674" s="44"/>
      <c r="AE674" s="44">
        <v>0</v>
      </c>
      <c r="AF674" s="44">
        <v>0</v>
      </c>
      <c r="AG674" s="44">
        <v>0</v>
      </c>
      <c r="AH674" s="44"/>
      <c r="AI674" s="44">
        <v>0</v>
      </c>
      <c r="AJ674" s="44">
        <v>0</v>
      </c>
      <c r="AK674" s="493"/>
      <c r="AL674" s="493"/>
      <c r="AM674" s="493"/>
      <c r="AN674" s="44"/>
      <c r="AO674" s="44"/>
      <c r="AP674" s="44"/>
      <c r="AQ674" s="44" t="s">
        <v>2572</v>
      </c>
      <c r="AR674" s="449"/>
    </row>
    <row r="675" spans="1:44" ht="15" customHeight="1">
      <c r="A675" s="41">
        <v>2011909</v>
      </c>
      <c r="B675" s="41" t="s">
        <v>2554</v>
      </c>
      <c r="C675" s="174" t="s">
        <v>2573</v>
      </c>
      <c r="D675" s="44" t="s">
        <v>1876</v>
      </c>
      <c r="E675" s="41"/>
      <c r="F675" s="3">
        <v>8</v>
      </c>
      <c r="G675" s="36">
        <v>7</v>
      </c>
      <c r="H675" s="41" t="s">
        <v>136</v>
      </c>
      <c r="I675" s="41" t="s">
        <v>137</v>
      </c>
      <c r="J675" s="41"/>
      <c r="K675" s="41"/>
      <c r="L675" s="174"/>
      <c r="M675" s="438"/>
      <c r="N675" s="438"/>
      <c r="O675" s="174"/>
      <c r="P675" s="137"/>
      <c r="Q675" s="137">
        <v>0</v>
      </c>
      <c r="R675" s="137" t="s">
        <v>153</v>
      </c>
      <c r="S675" s="41"/>
      <c r="T675" s="441"/>
      <c r="U675" s="443"/>
      <c r="V675" s="137"/>
      <c r="W675" s="624" t="s">
        <v>2574</v>
      </c>
      <c r="X675" s="624" t="s">
        <v>2574</v>
      </c>
      <c r="Y675" s="137"/>
      <c r="Z675" s="137"/>
      <c r="AA675" s="137"/>
      <c r="AB675" s="137" t="s">
        <v>114</v>
      </c>
      <c r="AC675" s="41"/>
      <c r="AD675" s="41"/>
      <c r="AE675" s="41">
        <v>0</v>
      </c>
      <c r="AF675" s="41">
        <v>0</v>
      </c>
      <c r="AG675" s="41">
        <v>0</v>
      </c>
      <c r="AH675" s="41"/>
      <c r="AI675" s="41">
        <v>0</v>
      </c>
      <c r="AJ675" s="41">
        <v>0</v>
      </c>
      <c r="AK675" s="41">
        <v>0</v>
      </c>
      <c r="AL675" s="41"/>
      <c r="AM675" s="41"/>
      <c r="AN675" s="41"/>
      <c r="AO675" s="41"/>
      <c r="AP675" s="41"/>
      <c r="AQ675" s="41" t="s">
        <v>2561</v>
      </c>
      <c r="AR675" s="449"/>
    </row>
    <row r="676" spans="1:44" ht="15" customHeight="1">
      <c r="A676" s="3">
        <v>2011910</v>
      </c>
      <c r="B676" s="3" t="s">
        <v>2554</v>
      </c>
      <c r="C676" s="236" t="s">
        <v>2575</v>
      </c>
      <c r="D676" s="3" t="s">
        <v>1876</v>
      </c>
      <c r="F676" s="3">
        <v>9</v>
      </c>
      <c r="G676" s="36">
        <v>7</v>
      </c>
      <c r="H676" s="3" t="s">
        <v>136</v>
      </c>
      <c r="I676" s="3" t="s">
        <v>137</v>
      </c>
      <c r="J676" s="3"/>
      <c r="K676" s="3"/>
      <c r="L676" s="236"/>
      <c r="M676" s="99"/>
      <c r="N676" s="99"/>
      <c r="O676" s="236"/>
      <c r="P676" s="22"/>
      <c r="Q676" s="22">
        <v>0</v>
      </c>
      <c r="R676" s="22" t="s">
        <v>153</v>
      </c>
      <c r="S676" s="3"/>
      <c r="T676" s="260"/>
      <c r="U676" s="261"/>
      <c r="V676" s="22"/>
      <c r="W676" s="567" t="s">
        <v>6691</v>
      </c>
      <c r="X676" s="567" t="s">
        <v>6691</v>
      </c>
      <c r="Y676" s="22"/>
      <c r="Z676" s="22"/>
      <c r="AA676" s="22"/>
      <c r="AB676" s="22" t="s">
        <v>114</v>
      </c>
      <c r="AC676" s="3"/>
      <c r="AD676" s="3"/>
      <c r="AE676" s="3">
        <v>0</v>
      </c>
      <c r="AF676" s="3">
        <v>0</v>
      </c>
      <c r="AG676" s="3">
        <v>0</v>
      </c>
      <c r="AH676" s="3"/>
      <c r="AI676" s="3">
        <v>0</v>
      </c>
      <c r="AJ676" s="3">
        <v>0</v>
      </c>
      <c r="AK676" s="3">
        <v>0</v>
      </c>
      <c r="AL676" s="3"/>
      <c r="AM676" s="3"/>
      <c r="AN676" s="3"/>
      <c r="AO676" s="3"/>
      <c r="AP676" s="3"/>
      <c r="AQ676" s="282" t="str">
        <f>"tricks/"&amp;A676</f>
        <v>tricks/2011910</v>
      </c>
    </row>
    <row r="677" spans="1:44" ht="15" customHeight="1">
      <c r="A677" s="3">
        <v>2011911</v>
      </c>
      <c r="B677" s="3" t="s">
        <v>2554</v>
      </c>
      <c r="C677" s="236" t="s">
        <v>2576</v>
      </c>
      <c r="D677" s="3" t="s">
        <v>1876</v>
      </c>
      <c r="F677" s="3">
        <v>10</v>
      </c>
      <c r="G677" s="36">
        <v>7</v>
      </c>
      <c r="H677" s="3" t="s">
        <v>136</v>
      </c>
      <c r="I677" s="3" t="s">
        <v>137</v>
      </c>
      <c r="J677" s="3"/>
      <c r="K677" s="3"/>
      <c r="L677" s="236"/>
      <c r="M677" s="99"/>
      <c r="N677" s="99"/>
      <c r="O677" s="236"/>
      <c r="P677" s="22"/>
      <c r="Q677" s="22">
        <v>0</v>
      </c>
      <c r="R677" s="22" t="s">
        <v>153</v>
      </c>
      <c r="S677" s="3"/>
      <c r="T677" s="260"/>
      <c r="U677" s="261"/>
      <c r="V677" s="22"/>
      <c r="W677" s="567" t="s">
        <v>6688</v>
      </c>
      <c r="X677" s="567" t="s">
        <v>6688</v>
      </c>
      <c r="Y677" s="22"/>
      <c r="Z677" s="22"/>
      <c r="AA677" s="22"/>
      <c r="AB677" s="22" t="s">
        <v>114</v>
      </c>
      <c r="AC677" s="3"/>
      <c r="AD677" s="3"/>
      <c r="AE677" s="3">
        <v>0</v>
      </c>
      <c r="AF677" s="3">
        <v>0</v>
      </c>
      <c r="AG677" s="3">
        <v>0</v>
      </c>
      <c r="AH677" s="3"/>
      <c r="AI677" s="3">
        <v>0</v>
      </c>
      <c r="AJ677" s="3">
        <v>0</v>
      </c>
      <c r="AK677" s="3">
        <v>0</v>
      </c>
      <c r="AL677" s="3"/>
      <c r="AM677" s="3"/>
      <c r="AN677" s="3"/>
      <c r="AO677" s="3"/>
      <c r="AP677" s="3"/>
      <c r="AQ677" s="282" t="str">
        <f>"tricks/"&amp;A677</f>
        <v>tricks/2011911</v>
      </c>
    </row>
    <row r="678" spans="1:44" ht="15" customHeight="1">
      <c r="A678" s="42">
        <v>2012001</v>
      </c>
      <c r="B678" s="42" t="s">
        <v>2577</v>
      </c>
      <c r="C678" s="476" t="s">
        <v>2578</v>
      </c>
      <c r="D678" s="42" t="s">
        <v>1876</v>
      </c>
      <c r="E678" s="42"/>
      <c r="F678" s="36">
        <v>1</v>
      </c>
      <c r="G678" s="36">
        <v>7</v>
      </c>
      <c r="H678" s="42" t="s">
        <v>82</v>
      </c>
      <c r="I678" s="42" t="s">
        <v>101</v>
      </c>
      <c r="J678" s="42">
        <v>1</v>
      </c>
      <c r="K678" s="475"/>
      <c r="L678" s="476"/>
      <c r="M678" s="477"/>
      <c r="N678" s="378"/>
      <c r="O678" s="476"/>
      <c r="P678" s="478"/>
      <c r="Q678" s="478">
        <v>0</v>
      </c>
      <c r="R678" s="478" t="s">
        <v>153</v>
      </c>
      <c r="S678" s="42"/>
      <c r="T678" s="258"/>
      <c r="U678" s="259"/>
      <c r="V678" s="478"/>
      <c r="W678" s="619" t="s">
        <v>2579</v>
      </c>
      <c r="X678" s="619" t="s">
        <v>2579</v>
      </c>
      <c r="Y678" s="478">
        <v>0</v>
      </c>
      <c r="Z678" s="478">
        <v>0</v>
      </c>
      <c r="AA678" s="478"/>
      <c r="AB678" s="478"/>
      <c r="AC678" s="42"/>
      <c r="AD678" s="42"/>
      <c r="AE678" s="42">
        <v>0</v>
      </c>
      <c r="AF678" s="42">
        <v>0</v>
      </c>
      <c r="AG678" s="42">
        <v>0</v>
      </c>
      <c r="AH678" s="42"/>
      <c r="AI678" s="42"/>
      <c r="AJ678" s="42"/>
      <c r="AK678" s="491"/>
      <c r="AL678" s="491"/>
      <c r="AM678" s="491"/>
      <c r="AN678" s="43"/>
      <c r="AO678" s="42"/>
      <c r="AP678" s="42"/>
      <c r="AQ678" s="8" t="str">
        <f>"tricks/"&amp;A678</f>
        <v>tricks/2012001</v>
      </c>
      <c r="AR678" s="280"/>
    </row>
    <row r="679" spans="1:44" ht="15" customHeight="1">
      <c r="A679" s="42">
        <v>2012002</v>
      </c>
      <c r="B679" s="42" t="s">
        <v>2577</v>
      </c>
      <c r="C679" s="476" t="s">
        <v>2580</v>
      </c>
      <c r="D679" s="42" t="s">
        <v>1876</v>
      </c>
      <c r="E679" s="42"/>
      <c r="F679" s="36">
        <v>1</v>
      </c>
      <c r="G679" s="36">
        <v>7</v>
      </c>
      <c r="H679" s="42" t="s">
        <v>136</v>
      </c>
      <c r="I679" s="42" t="s">
        <v>137</v>
      </c>
      <c r="J679" s="42"/>
      <c r="K679" s="475"/>
      <c r="L679" s="476"/>
      <c r="M679" s="477"/>
      <c r="N679" s="477"/>
      <c r="O679" s="476"/>
      <c r="P679" s="478"/>
      <c r="Q679" s="478">
        <v>0</v>
      </c>
      <c r="R679" s="478" t="s">
        <v>153</v>
      </c>
      <c r="S679" s="42"/>
      <c r="T679" s="258"/>
      <c r="U679" s="259"/>
      <c r="V679" s="478"/>
      <c r="W679" s="619" t="s">
        <v>2581</v>
      </c>
      <c r="X679" s="619" t="s">
        <v>6699</v>
      </c>
      <c r="Y679" s="478">
        <v>0</v>
      </c>
      <c r="Z679" s="478">
        <v>0</v>
      </c>
      <c r="AA679" s="478"/>
      <c r="AB679" s="478"/>
      <c r="AC679" s="42"/>
      <c r="AD679" s="42"/>
      <c r="AE679" s="42">
        <v>0</v>
      </c>
      <c r="AF679" s="42">
        <v>0</v>
      </c>
      <c r="AG679" s="42">
        <v>0</v>
      </c>
      <c r="AH679" s="42"/>
      <c r="AI679" s="42">
        <v>0</v>
      </c>
      <c r="AJ679" s="42">
        <v>0</v>
      </c>
      <c r="AK679" s="491"/>
      <c r="AL679" s="491"/>
      <c r="AM679" s="491"/>
      <c r="AN679" s="42"/>
      <c r="AO679" s="42"/>
      <c r="AP679" s="42"/>
      <c r="AQ679" s="8" t="str">
        <f t="shared" ref="AQ679:AQ688" si="7">"tricks/"&amp;A679</f>
        <v>tricks/2012002</v>
      </c>
      <c r="AR679" s="280"/>
    </row>
    <row r="680" spans="1:44" ht="15" customHeight="1">
      <c r="A680" s="42">
        <v>2012003</v>
      </c>
      <c r="B680" s="42" t="s">
        <v>2577</v>
      </c>
      <c r="C680" s="476" t="s">
        <v>2582</v>
      </c>
      <c r="D680" s="42" t="s">
        <v>1876</v>
      </c>
      <c r="E680" s="42"/>
      <c r="F680" s="36">
        <v>2</v>
      </c>
      <c r="G680" s="36">
        <v>7</v>
      </c>
      <c r="H680" s="42" t="s">
        <v>136</v>
      </c>
      <c r="I680" s="42" t="s">
        <v>137</v>
      </c>
      <c r="J680" s="42"/>
      <c r="K680" s="475"/>
      <c r="L680" s="476"/>
      <c r="M680" s="477"/>
      <c r="N680" s="477"/>
      <c r="O680" s="476"/>
      <c r="P680" s="478"/>
      <c r="Q680" s="478">
        <v>0</v>
      </c>
      <c r="R680" s="478" t="s">
        <v>153</v>
      </c>
      <c r="S680" s="42"/>
      <c r="T680" s="258"/>
      <c r="U680" s="259"/>
      <c r="V680" s="478"/>
      <c r="W680" s="619" t="s">
        <v>2583</v>
      </c>
      <c r="X680" s="619" t="s">
        <v>2583</v>
      </c>
      <c r="Y680" s="478">
        <v>0</v>
      </c>
      <c r="Z680" s="478">
        <v>0</v>
      </c>
      <c r="AA680" s="478"/>
      <c r="AB680" s="478"/>
      <c r="AC680" s="42"/>
      <c r="AD680" s="42"/>
      <c r="AE680" s="42">
        <v>0</v>
      </c>
      <c r="AF680" s="42">
        <v>0</v>
      </c>
      <c r="AG680" s="42">
        <v>0</v>
      </c>
      <c r="AH680" s="42"/>
      <c r="AI680" s="42">
        <v>0</v>
      </c>
      <c r="AJ680" s="42">
        <v>0</v>
      </c>
      <c r="AK680" s="491"/>
      <c r="AL680" s="491"/>
      <c r="AM680" s="491"/>
      <c r="AN680" s="42"/>
      <c r="AO680" s="42"/>
      <c r="AP680" s="42"/>
      <c r="AQ680" s="8" t="str">
        <f t="shared" si="7"/>
        <v>tricks/2012003</v>
      </c>
      <c r="AR680" s="280"/>
    </row>
    <row r="681" spans="1:44" ht="15" customHeight="1">
      <c r="A681" s="42">
        <v>2012004</v>
      </c>
      <c r="B681" s="42" t="s">
        <v>2577</v>
      </c>
      <c r="C681" s="476" t="s">
        <v>2584</v>
      </c>
      <c r="D681" s="42" t="s">
        <v>1876</v>
      </c>
      <c r="E681" s="42"/>
      <c r="F681" s="36">
        <v>3</v>
      </c>
      <c r="G681" s="36">
        <v>7</v>
      </c>
      <c r="H681" s="42" t="s">
        <v>136</v>
      </c>
      <c r="I681" s="42" t="s">
        <v>137</v>
      </c>
      <c r="J681" s="42"/>
      <c r="K681" s="475"/>
      <c r="L681" s="476"/>
      <c r="M681" s="477"/>
      <c r="N681" s="477"/>
      <c r="O681" s="476"/>
      <c r="P681" s="478"/>
      <c r="Q681" s="478">
        <v>0</v>
      </c>
      <c r="R681" s="478" t="s">
        <v>153</v>
      </c>
      <c r="S681" s="42"/>
      <c r="T681" s="258"/>
      <c r="U681" s="259"/>
      <c r="V681" s="478"/>
      <c r="W681" s="619" t="s">
        <v>2585</v>
      </c>
      <c r="X681" s="619" t="s">
        <v>2585</v>
      </c>
      <c r="Y681" s="478">
        <v>0</v>
      </c>
      <c r="Z681" s="478">
        <v>0</v>
      </c>
      <c r="AA681" s="478"/>
      <c r="AB681" s="478"/>
      <c r="AC681" s="42"/>
      <c r="AD681" s="42"/>
      <c r="AE681" s="42">
        <v>0</v>
      </c>
      <c r="AF681" s="42">
        <v>0</v>
      </c>
      <c r="AG681" s="42">
        <v>0</v>
      </c>
      <c r="AH681" s="42"/>
      <c r="AI681" s="42">
        <v>0</v>
      </c>
      <c r="AJ681" s="42">
        <v>0</v>
      </c>
      <c r="AK681" s="491"/>
      <c r="AL681" s="491"/>
      <c r="AM681" s="491"/>
      <c r="AN681" s="42"/>
      <c r="AO681" s="42"/>
      <c r="AP681" s="42"/>
      <c r="AQ681" s="8" t="str">
        <f t="shared" si="7"/>
        <v>tricks/2012004</v>
      </c>
      <c r="AR681" s="280"/>
    </row>
    <row r="682" spans="1:44" ht="15" customHeight="1">
      <c r="A682" s="42">
        <v>2012005</v>
      </c>
      <c r="B682" s="42" t="s">
        <v>2577</v>
      </c>
      <c r="C682" s="476" t="s">
        <v>2586</v>
      </c>
      <c r="D682" s="42" t="s">
        <v>1876</v>
      </c>
      <c r="E682" s="42"/>
      <c r="F682" s="36">
        <v>4</v>
      </c>
      <c r="G682" s="36">
        <v>7</v>
      </c>
      <c r="H682" s="42" t="s">
        <v>136</v>
      </c>
      <c r="I682" s="42" t="s">
        <v>137</v>
      </c>
      <c r="J682" s="42"/>
      <c r="K682" s="475"/>
      <c r="L682" s="476"/>
      <c r="M682" s="477"/>
      <c r="N682" s="477"/>
      <c r="O682" s="476"/>
      <c r="P682" s="478"/>
      <c r="Q682" s="478">
        <v>0</v>
      </c>
      <c r="R682" s="478" t="s">
        <v>153</v>
      </c>
      <c r="S682" s="42"/>
      <c r="T682" s="258"/>
      <c r="U682" s="259"/>
      <c r="V682" s="478"/>
      <c r="W682" s="619" t="s">
        <v>2587</v>
      </c>
      <c r="X682" s="619" t="s">
        <v>2587</v>
      </c>
      <c r="Y682" s="478">
        <v>0</v>
      </c>
      <c r="Z682" s="478">
        <v>0</v>
      </c>
      <c r="AA682" s="478"/>
      <c r="AB682" s="478"/>
      <c r="AC682" s="42"/>
      <c r="AD682" s="42"/>
      <c r="AE682" s="42">
        <v>0</v>
      </c>
      <c r="AF682" s="42">
        <v>0</v>
      </c>
      <c r="AG682" s="42">
        <v>0</v>
      </c>
      <c r="AH682" s="42"/>
      <c r="AI682" s="42">
        <v>0</v>
      </c>
      <c r="AJ682" s="42">
        <v>0</v>
      </c>
      <c r="AK682" s="491"/>
      <c r="AL682" s="491"/>
      <c r="AM682" s="491"/>
      <c r="AN682" s="42"/>
      <c r="AO682" s="42"/>
      <c r="AP682" s="42"/>
      <c r="AQ682" s="8" t="str">
        <f t="shared" si="7"/>
        <v>tricks/2012005</v>
      </c>
      <c r="AR682" s="280"/>
    </row>
    <row r="683" spans="1:44" ht="15" customHeight="1">
      <c r="A683" s="42">
        <v>2012006</v>
      </c>
      <c r="B683" s="42" t="s">
        <v>2577</v>
      </c>
      <c r="C683" s="476" t="s">
        <v>2588</v>
      </c>
      <c r="D683" s="42" t="s">
        <v>1876</v>
      </c>
      <c r="E683" s="42"/>
      <c r="F683" s="36">
        <v>5</v>
      </c>
      <c r="G683" s="36">
        <v>7</v>
      </c>
      <c r="H683" s="42" t="s">
        <v>136</v>
      </c>
      <c r="I683" s="42" t="s">
        <v>137</v>
      </c>
      <c r="J683" s="42"/>
      <c r="K683" s="475"/>
      <c r="L683" s="476"/>
      <c r="M683" s="477"/>
      <c r="N683" s="477"/>
      <c r="O683" s="476"/>
      <c r="P683" s="478"/>
      <c r="Q683" s="478">
        <v>0</v>
      </c>
      <c r="R683" s="478" t="s">
        <v>153</v>
      </c>
      <c r="S683" s="42"/>
      <c r="T683" s="258"/>
      <c r="U683" s="259"/>
      <c r="V683" s="478"/>
      <c r="W683" s="619" t="s">
        <v>2589</v>
      </c>
      <c r="X683" s="619" t="s">
        <v>2589</v>
      </c>
      <c r="Y683" s="478">
        <v>0</v>
      </c>
      <c r="Z683" s="478">
        <v>0</v>
      </c>
      <c r="AA683" s="478"/>
      <c r="AB683" s="478"/>
      <c r="AC683" s="42"/>
      <c r="AD683" s="42"/>
      <c r="AE683" s="42">
        <v>0</v>
      </c>
      <c r="AF683" s="42">
        <v>0</v>
      </c>
      <c r="AG683" s="42">
        <v>0</v>
      </c>
      <c r="AH683" s="42"/>
      <c r="AI683" s="42">
        <v>0</v>
      </c>
      <c r="AJ683" s="42">
        <v>0</v>
      </c>
      <c r="AK683" s="491"/>
      <c r="AL683" s="491"/>
      <c r="AM683" s="491"/>
      <c r="AN683" s="42"/>
      <c r="AO683" s="42"/>
      <c r="AP683" s="42"/>
      <c r="AQ683" s="8" t="str">
        <f t="shared" si="7"/>
        <v>tricks/2012006</v>
      </c>
      <c r="AR683" s="280"/>
    </row>
    <row r="684" spans="1:44" ht="15" customHeight="1">
      <c r="A684" s="42">
        <v>2012007</v>
      </c>
      <c r="B684" s="42" t="s">
        <v>2577</v>
      </c>
      <c r="C684" s="476" t="s">
        <v>2590</v>
      </c>
      <c r="D684" s="42" t="s">
        <v>1876</v>
      </c>
      <c r="E684" s="42"/>
      <c r="F684" s="36">
        <v>6</v>
      </c>
      <c r="G684" s="36">
        <v>7</v>
      </c>
      <c r="H684" s="42" t="s">
        <v>136</v>
      </c>
      <c r="I684" s="42" t="s">
        <v>137</v>
      </c>
      <c r="J684" s="42"/>
      <c r="K684" s="475"/>
      <c r="L684" s="476"/>
      <c r="M684" s="477"/>
      <c r="N684" s="477"/>
      <c r="O684" s="476"/>
      <c r="P684" s="478"/>
      <c r="Q684" s="478">
        <v>0</v>
      </c>
      <c r="R684" s="478" t="s">
        <v>153</v>
      </c>
      <c r="S684" s="42"/>
      <c r="T684" s="258"/>
      <c r="U684" s="259"/>
      <c r="V684" s="478"/>
      <c r="W684" s="619" t="s">
        <v>2589</v>
      </c>
      <c r="X684" s="619" t="s">
        <v>2591</v>
      </c>
      <c r="Y684" s="478">
        <v>0</v>
      </c>
      <c r="Z684" s="478">
        <v>0</v>
      </c>
      <c r="AA684" s="478"/>
      <c r="AB684" s="478"/>
      <c r="AC684" s="42"/>
      <c r="AD684" s="42"/>
      <c r="AE684" s="42">
        <v>0</v>
      </c>
      <c r="AF684" s="42">
        <v>0</v>
      </c>
      <c r="AG684" s="42">
        <v>0</v>
      </c>
      <c r="AH684" s="42"/>
      <c r="AI684" s="42">
        <v>0</v>
      </c>
      <c r="AJ684" s="42">
        <v>0</v>
      </c>
      <c r="AK684" s="491"/>
      <c r="AL684" s="491"/>
      <c r="AM684" s="491"/>
      <c r="AN684" s="42"/>
      <c r="AO684" s="42"/>
      <c r="AP684" s="42"/>
      <c r="AQ684" s="8" t="str">
        <f t="shared" si="7"/>
        <v>tricks/2012007</v>
      </c>
      <c r="AR684" s="280"/>
    </row>
    <row r="685" spans="1:44" ht="15" customHeight="1">
      <c r="A685" s="42">
        <v>2012008</v>
      </c>
      <c r="B685" s="42" t="s">
        <v>2577</v>
      </c>
      <c r="C685" s="476" t="s">
        <v>2592</v>
      </c>
      <c r="D685" s="42" t="s">
        <v>1876</v>
      </c>
      <c r="E685" s="42"/>
      <c r="F685" s="36">
        <v>7</v>
      </c>
      <c r="G685" s="36">
        <v>7</v>
      </c>
      <c r="H685" s="42" t="s">
        <v>136</v>
      </c>
      <c r="I685" s="42" t="s">
        <v>137</v>
      </c>
      <c r="J685" s="42"/>
      <c r="K685" s="475"/>
      <c r="L685" s="476"/>
      <c r="M685" s="477"/>
      <c r="N685" s="477"/>
      <c r="O685" s="476"/>
      <c r="P685" s="478"/>
      <c r="Q685" s="478">
        <v>0</v>
      </c>
      <c r="R685" s="478" t="s">
        <v>153</v>
      </c>
      <c r="S685" s="42"/>
      <c r="T685" s="258"/>
      <c r="U685" s="259"/>
      <c r="V685" s="478"/>
      <c r="W685" s="619" t="s">
        <v>2593</v>
      </c>
      <c r="X685" s="619" t="s">
        <v>2593</v>
      </c>
      <c r="Y685" s="478">
        <v>0</v>
      </c>
      <c r="Z685" s="478">
        <v>0</v>
      </c>
      <c r="AA685" s="478"/>
      <c r="AB685" s="478"/>
      <c r="AC685" s="42"/>
      <c r="AD685" s="42"/>
      <c r="AE685" s="42">
        <v>0</v>
      </c>
      <c r="AF685" s="42">
        <v>0</v>
      </c>
      <c r="AG685" s="42">
        <v>0</v>
      </c>
      <c r="AH685" s="42"/>
      <c r="AI685" s="42">
        <v>0</v>
      </c>
      <c r="AJ685" s="42">
        <v>0</v>
      </c>
      <c r="AK685" s="491"/>
      <c r="AL685" s="491"/>
      <c r="AM685" s="491"/>
      <c r="AN685" s="42"/>
      <c r="AO685" s="42"/>
      <c r="AP685" s="42"/>
      <c r="AQ685" s="8" t="str">
        <f t="shared" si="7"/>
        <v>tricks/2012008</v>
      </c>
      <c r="AR685" s="280"/>
    </row>
    <row r="686" spans="1:44" ht="15" customHeight="1">
      <c r="A686" s="3">
        <v>2012009</v>
      </c>
      <c r="B686" s="3" t="s">
        <v>2577</v>
      </c>
      <c r="C686" s="236" t="s">
        <v>2594</v>
      </c>
      <c r="D686" s="44" t="s">
        <v>1876</v>
      </c>
      <c r="E686" s="41"/>
      <c r="F686" s="3">
        <v>8</v>
      </c>
      <c r="G686" s="36">
        <v>7</v>
      </c>
      <c r="H686" s="3" t="s">
        <v>136</v>
      </c>
      <c r="I686" s="3" t="s">
        <v>137</v>
      </c>
      <c r="J686" s="3"/>
      <c r="K686" s="3"/>
      <c r="L686" s="236"/>
      <c r="M686" s="99"/>
      <c r="N686" s="99"/>
      <c r="O686" s="236"/>
      <c r="P686" s="22"/>
      <c r="Q686" s="22">
        <v>0</v>
      </c>
      <c r="R686" s="22" t="s">
        <v>153</v>
      </c>
      <c r="S686" s="3"/>
      <c r="T686" s="260"/>
      <c r="U686" s="261"/>
      <c r="V686" s="22"/>
      <c r="W686" s="567" t="s">
        <v>2595</v>
      </c>
      <c r="X686" s="567" t="s">
        <v>2595</v>
      </c>
      <c r="Y686" s="22"/>
      <c r="Z686" s="22"/>
      <c r="AA686" s="22"/>
      <c r="AB686" s="22" t="s">
        <v>114</v>
      </c>
      <c r="AC686" s="3"/>
      <c r="AD686" s="3"/>
      <c r="AE686" s="3">
        <v>0</v>
      </c>
      <c r="AF686" s="3">
        <v>0</v>
      </c>
      <c r="AG686" s="3">
        <v>0</v>
      </c>
      <c r="AH686" s="3"/>
      <c r="AI686" s="3">
        <v>0</v>
      </c>
      <c r="AJ686" s="3">
        <v>0</v>
      </c>
      <c r="AK686" s="3">
        <v>0</v>
      </c>
      <c r="AL686" s="3"/>
      <c r="AM686" s="3"/>
      <c r="AN686" s="3"/>
      <c r="AO686" s="3"/>
      <c r="AP686" s="3"/>
      <c r="AQ686" s="8" t="str">
        <f t="shared" si="7"/>
        <v>tricks/2012009</v>
      </c>
      <c r="AR686" s="281"/>
    </row>
    <row r="687" spans="1:44" ht="15" customHeight="1">
      <c r="A687" s="3">
        <v>2012010</v>
      </c>
      <c r="B687" s="3" t="s">
        <v>2577</v>
      </c>
      <c r="C687" s="236" t="s">
        <v>2596</v>
      </c>
      <c r="D687" s="3" t="s">
        <v>1876</v>
      </c>
      <c r="F687" s="3">
        <v>9</v>
      </c>
      <c r="G687" s="36">
        <v>7</v>
      </c>
      <c r="H687" s="3" t="s">
        <v>136</v>
      </c>
      <c r="I687" s="3" t="s">
        <v>137</v>
      </c>
      <c r="J687" s="3"/>
      <c r="K687" s="3"/>
      <c r="L687" s="236"/>
      <c r="M687" s="99"/>
      <c r="N687" s="99"/>
      <c r="O687" s="236"/>
      <c r="P687" s="22"/>
      <c r="Q687" s="22">
        <v>0</v>
      </c>
      <c r="R687" s="22" t="s">
        <v>153</v>
      </c>
      <c r="S687" s="3"/>
      <c r="T687" s="260"/>
      <c r="U687" s="261"/>
      <c r="V687" s="22"/>
      <c r="W687" s="567" t="s">
        <v>2080</v>
      </c>
      <c r="X687" s="567" t="s">
        <v>2080</v>
      </c>
      <c r="Y687" s="22"/>
      <c r="Z687" s="22"/>
      <c r="AA687" s="22"/>
      <c r="AB687" s="22" t="s">
        <v>114</v>
      </c>
      <c r="AC687" s="3"/>
      <c r="AD687" s="3"/>
      <c r="AE687" s="3">
        <v>0</v>
      </c>
      <c r="AF687" s="3">
        <v>0</v>
      </c>
      <c r="AG687" s="3">
        <v>0</v>
      </c>
      <c r="AH687" s="3"/>
      <c r="AI687" s="3">
        <v>0</v>
      </c>
      <c r="AJ687" s="3">
        <v>0</v>
      </c>
      <c r="AK687" s="3">
        <v>0</v>
      </c>
      <c r="AL687" s="3"/>
      <c r="AM687" s="3"/>
      <c r="AN687" s="3"/>
      <c r="AO687" s="3"/>
      <c r="AP687" s="3"/>
      <c r="AQ687" s="8" t="str">
        <f t="shared" si="7"/>
        <v>tricks/2012010</v>
      </c>
    </row>
    <row r="688" spans="1:44" ht="15" customHeight="1">
      <c r="A688" s="3">
        <v>2012011</v>
      </c>
      <c r="B688" s="3" t="s">
        <v>2577</v>
      </c>
      <c r="C688" s="236" t="s">
        <v>2597</v>
      </c>
      <c r="D688" s="3" t="s">
        <v>1876</v>
      </c>
      <c r="F688" s="3">
        <v>10</v>
      </c>
      <c r="G688" s="36">
        <v>7</v>
      </c>
      <c r="H688" s="3" t="s">
        <v>136</v>
      </c>
      <c r="I688" s="3" t="s">
        <v>137</v>
      </c>
      <c r="J688" s="3"/>
      <c r="K688" s="3"/>
      <c r="L688" s="236"/>
      <c r="M688" s="99"/>
      <c r="N688" s="99"/>
      <c r="O688" s="236"/>
      <c r="P688" s="22"/>
      <c r="Q688" s="22">
        <v>0</v>
      </c>
      <c r="R688" s="22" t="s">
        <v>153</v>
      </c>
      <c r="S688" s="3"/>
      <c r="T688" s="260"/>
      <c r="U688" s="261"/>
      <c r="V688" s="22"/>
      <c r="W688" s="567" t="s">
        <v>2598</v>
      </c>
      <c r="X688" s="567" t="s">
        <v>2598</v>
      </c>
      <c r="Y688" s="22"/>
      <c r="Z688" s="22"/>
      <c r="AA688" s="22"/>
      <c r="AB688" s="22" t="s">
        <v>114</v>
      </c>
      <c r="AC688" s="3"/>
      <c r="AD688" s="3"/>
      <c r="AE688" s="3">
        <v>0</v>
      </c>
      <c r="AF688" s="3">
        <v>0</v>
      </c>
      <c r="AG688" s="3">
        <v>0</v>
      </c>
      <c r="AH688" s="3"/>
      <c r="AI688" s="3">
        <v>0</v>
      </c>
      <c r="AJ688" s="3">
        <v>0</v>
      </c>
      <c r="AK688" s="3">
        <v>0</v>
      </c>
      <c r="AL688" s="3"/>
      <c r="AM688" s="3"/>
      <c r="AN688" s="3"/>
      <c r="AO688" s="3"/>
      <c r="AP688" s="3"/>
      <c r="AQ688" s="8" t="str">
        <f t="shared" si="7"/>
        <v>tricks/2012011</v>
      </c>
    </row>
    <row r="689" spans="1:44" ht="15" customHeight="1">
      <c r="A689" s="47">
        <v>3010101</v>
      </c>
      <c r="B689" s="47" t="s">
        <v>2599</v>
      </c>
      <c r="C689" s="501" t="s">
        <v>2600</v>
      </c>
      <c r="D689" s="47" t="s">
        <v>2601</v>
      </c>
      <c r="E689" s="47"/>
      <c r="F689" s="36">
        <v>1</v>
      </c>
      <c r="G689" s="47">
        <v>8</v>
      </c>
      <c r="H689" s="47" t="s">
        <v>82</v>
      </c>
      <c r="I689" s="47" t="s">
        <v>101</v>
      </c>
      <c r="J689" s="47"/>
      <c r="K689" s="500"/>
      <c r="L689" s="501" t="s">
        <v>2602</v>
      </c>
      <c r="M689" s="502"/>
      <c r="N689" s="378">
        <v>12</v>
      </c>
      <c r="O689" s="501"/>
      <c r="P689" s="48"/>
      <c r="Q689" s="48">
        <v>0</v>
      </c>
      <c r="R689" s="48" t="s">
        <v>153</v>
      </c>
      <c r="S689" s="47">
        <v>3010101</v>
      </c>
      <c r="T689" s="319"/>
      <c r="U689" s="320"/>
      <c r="V689" s="48" t="s">
        <v>582</v>
      </c>
      <c r="W689" s="626" t="s">
        <v>2603</v>
      </c>
      <c r="X689" s="626" t="s">
        <v>2603</v>
      </c>
      <c r="Y689" s="48">
        <v>0</v>
      </c>
      <c r="Z689" s="48">
        <v>0</v>
      </c>
      <c r="AA689" s="48"/>
      <c r="AB689" s="48"/>
      <c r="AC689" s="47"/>
      <c r="AD689" s="47"/>
      <c r="AE689" s="47">
        <v>2</v>
      </c>
      <c r="AF689" s="47"/>
      <c r="AG689" s="47">
        <v>30</v>
      </c>
      <c r="AH689" s="47"/>
      <c r="AI689" s="47"/>
      <c r="AJ689" s="47"/>
      <c r="AK689" s="517"/>
      <c r="AL689" s="517"/>
      <c r="AM689" s="517"/>
      <c r="AN689" s="43" t="s">
        <v>2604</v>
      </c>
      <c r="AO689" s="47"/>
      <c r="AP689" s="47"/>
      <c r="AQ689" s="47" t="s">
        <v>2605</v>
      </c>
      <c r="AR689" s="332"/>
    </row>
    <row r="690" spans="1:44" ht="15" customHeight="1">
      <c r="A690" s="48">
        <v>3010102</v>
      </c>
      <c r="B690" s="48" t="s">
        <v>2599</v>
      </c>
      <c r="C690" s="504" t="s">
        <v>2606</v>
      </c>
      <c r="D690" s="48" t="s">
        <v>2601</v>
      </c>
      <c r="E690" s="48"/>
      <c r="F690" s="36">
        <v>1</v>
      </c>
      <c r="G690" s="48">
        <v>8</v>
      </c>
      <c r="H690" s="48" t="s">
        <v>136</v>
      </c>
      <c r="I690" s="48" t="s">
        <v>137</v>
      </c>
      <c r="J690" s="48"/>
      <c r="K690" s="503"/>
      <c r="L690" s="504" t="s">
        <v>2607</v>
      </c>
      <c r="M690" s="48"/>
      <c r="N690" s="48"/>
      <c r="O690" s="504"/>
      <c r="P690" s="48"/>
      <c r="Q690" s="48">
        <v>0</v>
      </c>
      <c r="R690" s="48" t="s">
        <v>153</v>
      </c>
      <c r="S690" s="48">
        <v>3010102</v>
      </c>
      <c r="T690" s="319"/>
      <c r="U690" s="320"/>
      <c r="V690" s="48" t="s">
        <v>582</v>
      </c>
      <c r="W690" s="589" t="s">
        <v>2608</v>
      </c>
      <c r="X690" s="589" t="s">
        <v>2608</v>
      </c>
      <c r="Y690" s="48">
        <v>0</v>
      </c>
      <c r="Z690" s="48">
        <v>0</v>
      </c>
      <c r="AA690" s="48"/>
      <c r="AB690" s="48"/>
      <c r="AC690" s="48"/>
      <c r="AD690" s="48"/>
      <c r="AE690" s="48">
        <v>0</v>
      </c>
      <c r="AF690" s="48"/>
      <c r="AG690" s="48">
        <v>0</v>
      </c>
      <c r="AH690" s="48"/>
      <c r="AI690" s="48">
        <v>0</v>
      </c>
      <c r="AJ690" s="48">
        <v>0</v>
      </c>
      <c r="AK690" s="518"/>
      <c r="AL690" s="518"/>
      <c r="AM690" s="518"/>
      <c r="AN690" s="48"/>
      <c r="AO690" s="48"/>
      <c r="AP690" s="48"/>
      <c r="AQ690" s="48" t="s">
        <v>2609</v>
      </c>
      <c r="AR690" s="522"/>
    </row>
    <row r="691" spans="1:44" ht="15" customHeight="1">
      <c r="A691" s="47">
        <v>3010103</v>
      </c>
      <c r="B691" s="47" t="s">
        <v>2599</v>
      </c>
      <c r="C691" s="501" t="s">
        <v>2610</v>
      </c>
      <c r="D691" s="47" t="s">
        <v>2601</v>
      </c>
      <c r="E691" s="47"/>
      <c r="F691" s="36">
        <v>2</v>
      </c>
      <c r="G691" s="47">
        <v>8</v>
      </c>
      <c r="H691" s="47" t="s">
        <v>136</v>
      </c>
      <c r="I691" s="47" t="s">
        <v>137</v>
      </c>
      <c r="J691" s="47"/>
      <c r="K691" s="500"/>
      <c r="L691" s="501" t="s">
        <v>2611</v>
      </c>
      <c r="M691" s="502"/>
      <c r="N691" s="502"/>
      <c r="O691" s="501"/>
      <c r="P691" s="48"/>
      <c r="Q691" s="48">
        <v>0</v>
      </c>
      <c r="R691" s="48" t="s">
        <v>153</v>
      </c>
      <c r="S691" s="47">
        <v>3010104</v>
      </c>
      <c r="T691" s="319"/>
      <c r="U691" s="320"/>
      <c r="V691" s="48" t="s">
        <v>582</v>
      </c>
      <c r="W691" s="589" t="s">
        <v>2612</v>
      </c>
      <c r="X691" s="589" t="s">
        <v>2612</v>
      </c>
      <c r="Y691" s="48">
        <v>0</v>
      </c>
      <c r="Z691" s="48">
        <v>0</v>
      </c>
      <c r="AA691" s="48"/>
      <c r="AB691" s="48"/>
      <c r="AC691" s="47"/>
      <c r="AD691" s="47"/>
      <c r="AE691" s="47">
        <v>0</v>
      </c>
      <c r="AF691" s="47"/>
      <c r="AG691" s="47">
        <v>0</v>
      </c>
      <c r="AH691" s="47"/>
      <c r="AI691" s="47">
        <v>0</v>
      </c>
      <c r="AJ691" s="47">
        <v>0</v>
      </c>
      <c r="AK691" s="517"/>
      <c r="AL691" s="517"/>
      <c r="AM691" s="517"/>
      <c r="AN691" s="47"/>
      <c r="AO691" s="47"/>
      <c r="AP691" s="47"/>
      <c r="AQ691" s="47" t="s">
        <v>2613</v>
      </c>
      <c r="AR691" s="332"/>
    </row>
    <row r="692" spans="1:44" ht="14.4" customHeight="1">
      <c r="A692" s="47">
        <v>3010104</v>
      </c>
      <c r="B692" s="47" t="s">
        <v>2599</v>
      </c>
      <c r="C692" s="501" t="s">
        <v>2614</v>
      </c>
      <c r="D692" s="47" t="s">
        <v>2601</v>
      </c>
      <c r="E692" s="47"/>
      <c r="F692" s="36">
        <v>3</v>
      </c>
      <c r="G692" s="48">
        <v>8</v>
      </c>
      <c r="H692" s="47" t="s">
        <v>136</v>
      </c>
      <c r="I692" s="47" t="s">
        <v>137</v>
      </c>
      <c r="J692" s="47"/>
      <c r="K692" s="500"/>
      <c r="L692" s="501" t="s">
        <v>2615</v>
      </c>
      <c r="M692" s="502"/>
      <c r="N692" s="502"/>
      <c r="O692" s="501"/>
      <c r="P692" s="48"/>
      <c r="Q692" s="48">
        <v>0</v>
      </c>
      <c r="R692" s="48" t="s">
        <v>153</v>
      </c>
      <c r="S692" s="47">
        <v>3010103</v>
      </c>
      <c r="T692" s="319"/>
      <c r="U692" s="320"/>
      <c r="V692" s="48" t="s">
        <v>582</v>
      </c>
      <c r="W692" s="589" t="s">
        <v>2616</v>
      </c>
      <c r="X692" s="589" t="s">
        <v>2616</v>
      </c>
      <c r="Y692" s="48">
        <v>0</v>
      </c>
      <c r="Z692" s="48">
        <v>0</v>
      </c>
      <c r="AA692" s="48"/>
      <c r="AB692" s="48"/>
      <c r="AC692" s="47"/>
      <c r="AD692" s="47"/>
      <c r="AE692" s="47">
        <v>0</v>
      </c>
      <c r="AF692" s="47"/>
      <c r="AG692" s="47">
        <v>0</v>
      </c>
      <c r="AH692" s="47"/>
      <c r="AI692" s="47">
        <v>0</v>
      </c>
      <c r="AJ692" s="47">
        <v>0</v>
      </c>
      <c r="AK692" s="517"/>
      <c r="AL692" s="517"/>
      <c r="AM692" s="517"/>
      <c r="AN692" s="47"/>
      <c r="AO692" s="47"/>
      <c r="AP692" s="47"/>
      <c r="AQ692" s="47" t="s">
        <v>2617</v>
      </c>
      <c r="AR692" s="332"/>
    </row>
    <row r="693" spans="1:44" ht="15" customHeight="1">
      <c r="A693" s="48">
        <v>3010105</v>
      </c>
      <c r="B693" s="48" t="s">
        <v>2599</v>
      </c>
      <c r="C693" s="504" t="s">
        <v>2618</v>
      </c>
      <c r="D693" s="48" t="s">
        <v>2601</v>
      </c>
      <c r="E693" s="48"/>
      <c r="F693" s="36">
        <v>4</v>
      </c>
      <c r="G693" s="47">
        <v>8</v>
      </c>
      <c r="H693" s="48" t="s">
        <v>136</v>
      </c>
      <c r="I693" s="48" t="s">
        <v>137</v>
      </c>
      <c r="J693" s="48"/>
      <c r="K693" s="503"/>
      <c r="L693" s="504" t="s">
        <v>2619</v>
      </c>
      <c r="M693" s="48"/>
      <c r="N693" s="48"/>
      <c r="O693" s="504"/>
      <c r="P693" s="48"/>
      <c r="Q693" s="48">
        <v>0</v>
      </c>
      <c r="R693" s="48" t="s">
        <v>153</v>
      </c>
      <c r="S693" s="48"/>
      <c r="T693" s="319"/>
      <c r="U693" s="320"/>
      <c r="V693" s="48"/>
      <c r="W693" s="589" t="s">
        <v>1883</v>
      </c>
      <c r="X693" s="589" t="s">
        <v>1883</v>
      </c>
      <c r="Y693" s="48">
        <v>0</v>
      </c>
      <c r="Z693" s="48">
        <v>0</v>
      </c>
      <c r="AA693" s="48"/>
      <c r="AB693" s="48"/>
      <c r="AC693" s="48"/>
      <c r="AD693" s="48"/>
      <c r="AE693" s="48">
        <v>0</v>
      </c>
      <c r="AF693" s="48"/>
      <c r="AG693" s="48">
        <v>0</v>
      </c>
      <c r="AH693" s="48"/>
      <c r="AI693" s="48">
        <v>0</v>
      </c>
      <c r="AJ693" s="48">
        <v>0</v>
      </c>
      <c r="AK693" s="518"/>
      <c r="AL693" s="518"/>
      <c r="AM693" s="518"/>
      <c r="AN693" s="48"/>
      <c r="AO693" s="48"/>
      <c r="AP693" s="48"/>
      <c r="AQ693" s="48" t="s">
        <v>2620</v>
      </c>
      <c r="AR693" s="522"/>
    </row>
    <row r="694" spans="1:44" ht="15" customHeight="1">
      <c r="A694" s="47">
        <v>3010106</v>
      </c>
      <c r="B694" s="47" t="s">
        <v>2599</v>
      </c>
      <c r="C694" s="501" t="s">
        <v>2621</v>
      </c>
      <c r="D694" s="47" t="s">
        <v>2601</v>
      </c>
      <c r="E694" s="47"/>
      <c r="F694" s="36">
        <v>5</v>
      </c>
      <c r="G694" s="48">
        <v>8</v>
      </c>
      <c r="H694" s="47" t="s">
        <v>136</v>
      </c>
      <c r="I694" s="47" t="s">
        <v>137</v>
      </c>
      <c r="J694" s="47"/>
      <c r="K694" s="500"/>
      <c r="L694" s="501" t="s">
        <v>2622</v>
      </c>
      <c r="M694" s="502"/>
      <c r="N694" s="502"/>
      <c r="O694" s="501"/>
      <c r="P694" s="48"/>
      <c r="Q694" s="48">
        <v>0</v>
      </c>
      <c r="R694" s="48" t="s">
        <v>153</v>
      </c>
      <c r="S694" s="47"/>
      <c r="T694" s="319"/>
      <c r="U694" s="320"/>
      <c r="V694" s="48"/>
      <c r="W694" s="589" t="s">
        <v>2623</v>
      </c>
      <c r="X694" s="589" t="s">
        <v>2623</v>
      </c>
      <c r="Y694" s="48">
        <v>0</v>
      </c>
      <c r="Z694" s="48">
        <v>0</v>
      </c>
      <c r="AA694" s="48"/>
      <c r="AB694" s="48"/>
      <c r="AC694" s="47"/>
      <c r="AD694" s="47"/>
      <c r="AE694" s="47">
        <v>0</v>
      </c>
      <c r="AF694" s="47"/>
      <c r="AG694" s="47">
        <v>0</v>
      </c>
      <c r="AH694" s="47"/>
      <c r="AI694" s="47">
        <v>0</v>
      </c>
      <c r="AJ694" s="47">
        <v>0</v>
      </c>
      <c r="AK694" s="517"/>
      <c r="AL694" s="517"/>
      <c r="AM694" s="517"/>
      <c r="AN694" s="47"/>
      <c r="AO694" s="47"/>
      <c r="AP694" s="47"/>
      <c r="AQ694" s="47" t="s">
        <v>2624</v>
      </c>
      <c r="AR694" s="332"/>
    </row>
    <row r="695" spans="1:44" ht="15" customHeight="1">
      <c r="A695" s="47">
        <v>3010107</v>
      </c>
      <c r="B695" s="47" t="s">
        <v>2599</v>
      </c>
      <c r="C695" s="501" t="s">
        <v>2625</v>
      </c>
      <c r="D695" s="47" t="s">
        <v>2601</v>
      </c>
      <c r="E695" s="47"/>
      <c r="F695" s="36">
        <v>6</v>
      </c>
      <c r="G695" s="47">
        <v>8</v>
      </c>
      <c r="H695" s="47" t="s">
        <v>136</v>
      </c>
      <c r="I695" s="47" t="s">
        <v>137</v>
      </c>
      <c r="J695" s="47"/>
      <c r="K695" s="500"/>
      <c r="L695" s="501" t="s">
        <v>2626</v>
      </c>
      <c r="M695" s="502"/>
      <c r="N695" s="502"/>
      <c r="O695" s="501"/>
      <c r="P695" s="48"/>
      <c r="Q695" s="48">
        <v>0</v>
      </c>
      <c r="R695" s="48" t="s">
        <v>153</v>
      </c>
      <c r="S695" s="47">
        <v>3010105</v>
      </c>
      <c r="T695" s="319"/>
      <c r="U695" s="320"/>
      <c r="V695" s="48" t="s">
        <v>582</v>
      </c>
      <c r="W695" s="589" t="s">
        <v>2627</v>
      </c>
      <c r="X695" s="589" t="s">
        <v>2627</v>
      </c>
      <c r="Y695" s="48">
        <v>0</v>
      </c>
      <c r="Z695" s="48">
        <v>0</v>
      </c>
      <c r="AA695" s="48"/>
      <c r="AB695" s="48"/>
      <c r="AC695" s="47"/>
      <c r="AD695" s="47"/>
      <c r="AE695" s="47">
        <v>0</v>
      </c>
      <c r="AF695" s="47"/>
      <c r="AG695" s="47">
        <v>0</v>
      </c>
      <c r="AH695" s="47"/>
      <c r="AI695" s="47">
        <v>0</v>
      </c>
      <c r="AJ695" s="47">
        <v>0</v>
      </c>
      <c r="AK695" s="517"/>
      <c r="AL695" s="517"/>
      <c r="AM695" s="517"/>
      <c r="AN695" s="47"/>
      <c r="AO695" s="47"/>
      <c r="AP695" s="47"/>
      <c r="AQ695" s="47" t="s">
        <v>2628</v>
      </c>
      <c r="AR695" s="332"/>
    </row>
    <row r="696" spans="1:44" ht="15" customHeight="1">
      <c r="A696" s="47">
        <v>3010108</v>
      </c>
      <c r="B696" s="47" t="s">
        <v>2599</v>
      </c>
      <c r="C696" s="501" t="s">
        <v>2629</v>
      </c>
      <c r="D696" s="47" t="s">
        <v>2601</v>
      </c>
      <c r="E696" s="47"/>
      <c r="F696" s="36">
        <v>7</v>
      </c>
      <c r="G696" s="48">
        <v>8</v>
      </c>
      <c r="H696" s="47" t="s">
        <v>136</v>
      </c>
      <c r="I696" s="47" t="s">
        <v>137</v>
      </c>
      <c r="J696" s="47"/>
      <c r="K696" s="500"/>
      <c r="L696" s="501" t="s">
        <v>2630</v>
      </c>
      <c r="M696" s="502"/>
      <c r="N696" s="502"/>
      <c r="O696" s="501"/>
      <c r="P696" s="48"/>
      <c r="Q696" s="48">
        <v>0</v>
      </c>
      <c r="R696" s="48" t="s">
        <v>153</v>
      </c>
      <c r="S696" s="47">
        <v>3010106</v>
      </c>
      <c r="T696" s="319"/>
      <c r="U696" s="320"/>
      <c r="V696" s="48" t="s">
        <v>582</v>
      </c>
      <c r="W696" s="589" t="s">
        <v>2631</v>
      </c>
      <c r="X696" s="589" t="s">
        <v>2631</v>
      </c>
      <c r="Y696" s="48">
        <v>0</v>
      </c>
      <c r="Z696" s="48">
        <v>0</v>
      </c>
      <c r="AA696" s="48"/>
      <c r="AB696" s="48"/>
      <c r="AC696" s="47"/>
      <c r="AD696" s="47"/>
      <c r="AE696" s="47">
        <v>0</v>
      </c>
      <c r="AF696" s="47"/>
      <c r="AG696" s="47">
        <v>0</v>
      </c>
      <c r="AH696" s="47"/>
      <c r="AI696" s="47">
        <v>0</v>
      </c>
      <c r="AJ696" s="47">
        <v>0</v>
      </c>
      <c r="AK696" s="517"/>
      <c r="AL696" s="517"/>
      <c r="AM696" s="517"/>
      <c r="AN696" s="47"/>
      <c r="AO696" s="47"/>
      <c r="AP696" s="47"/>
      <c r="AQ696" s="47" t="s">
        <v>2632</v>
      </c>
      <c r="AR696" s="332"/>
    </row>
    <row r="697" spans="1:44" ht="15" customHeight="1">
      <c r="A697" s="3">
        <v>3010109</v>
      </c>
      <c r="B697" s="3" t="s">
        <v>2599</v>
      </c>
      <c r="C697" s="236" t="s">
        <v>2633</v>
      </c>
      <c r="D697" s="3" t="s">
        <v>2601</v>
      </c>
      <c r="E697" s="3"/>
      <c r="F697" s="3">
        <v>8</v>
      </c>
      <c r="G697" s="47">
        <v>8</v>
      </c>
      <c r="H697" s="3" t="s">
        <v>136</v>
      </c>
      <c r="I697" s="3" t="s">
        <v>137</v>
      </c>
      <c r="J697" s="3"/>
      <c r="K697" s="3"/>
      <c r="L697" s="236"/>
      <c r="M697" s="99"/>
      <c r="N697" s="99"/>
      <c r="O697" s="236"/>
      <c r="P697" s="22"/>
      <c r="Q697" s="22">
        <v>0</v>
      </c>
      <c r="R697" s="22" t="s">
        <v>153</v>
      </c>
      <c r="S697" s="3"/>
      <c r="T697" s="260"/>
      <c r="U697" s="261"/>
      <c r="V697" s="22"/>
      <c r="W697" s="567" t="s">
        <v>2634</v>
      </c>
      <c r="X697" s="567" t="s">
        <v>2634</v>
      </c>
      <c r="Y697" s="22"/>
      <c r="Z697" s="22"/>
      <c r="AA697" s="22"/>
      <c r="AB697" s="22" t="s">
        <v>114</v>
      </c>
      <c r="AC697" s="3"/>
      <c r="AD697" s="3"/>
      <c r="AE697" s="3">
        <v>0</v>
      </c>
      <c r="AF697" s="3">
        <v>0</v>
      </c>
      <c r="AG697" s="3">
        <v>0</v>
      </c>
      <c r="AH697" s="3"/>
      <c r="AI697" s="3">
        <v>0</v>
      </c>
      <c r="AJ697" s="3">
        <v>0</v>
      </c>
      <c r="AK697" s="3">
        <v>0</v>
      </c>
      <c r="AL697" s="3"/>
      <c r="AM697" s="3"/>
      <c r="AN697" s="3"/>
      <c r="AO697" s="3"/>
      <c r="AP697" s="3"/>
      <c r="AQ697" s="3" t="s">
        <v>2613</v>
      </c>
      <c r="AR697" s="281"/>
    </row>
    <row r="698" spans="1:44" ht="15" customHeight="1">
      <c r="A698" s="3">
        <v>3010110</v>
      </c>
      <c r="B698" s="3" t="s">
        <v>2599</v>
      </c>
      <c r="C698" s="236" t="s">
        <v>2635</v>
      </c>
      <c r="D698" s="3" t="s">
        <v>2601</v>
      </c>
      <c r="E698" s="3"/>
      <c r="F698" s="3">
        <v>9</v>
      </c>
      <c r="G698" s="48">
        <v>8</v>
      </c>
      <c r="H698" s="3" t="s">
        <v>136</v>
      </c>
      <c r="I698" s="3" t="s">
        <v>137</v>
      </c>
      <c r="J698" s="3"/>
      <c r="K698" s="3"/>
      <c r="L698" s="236"/>
      <c r="M698" s="99"/>
      <c r="N698" s="99"/>
      <c r="O698" s="236"/>
      <c r="P698" s="22"/>
      <c r="Q698" s="22">
        <v>0</v>
      </c>
      <c r="R698" s="22" t="s">
        <v>153</v>
      </c>
      <c r="S698" s="3"/>
      <c r="T698" s="260"/>
      <c r="U698" s="261"/>
      <c r="V698" s="22"/>
      <c r="W698" s="567" t="s">
        <v>2636</v>
      </c>
      <c r="X698" s="567" t="s">
        <v>2636</v>
      </c>
      <c r="Y698" s="22"/>
      <c r="Z698" s="22"/>
      <c r="AA698" s="22"/>
      <c r="AB698" s="22" t="s">
        <v>114</v>
      </c>
      <c r="AC698" s="3"/>
      <c r="AD698" s="3"/>
      <c r="AE698" s="3">
        <v>0</v>
      </c>
      <c r="AF698" s="3">
        <v>0</v>
      </c>
      <c r="AG698" s="3">
        <v>0</v>
      </c>
      <c r="AH698" s="3"/>
      <c r="AI698" s="3">
        <v>0</v>
      </c>
      <c r="AJ698" s="3">
        <v>0</v>
      </c>
      <c r="AK698" s="3">
        <v>0</v>
      </c>
      <c r="AL698" s="3"/>
      <c r="AM698" s="3"/>
      <c r="AN698" s="3"/>
      <c r="AO698" s="3"/>
      <c r="AP698" s="3"/>
      <c r="AQ698" s="282" t="str">
        <f>"tricks/"&amp;A698</f>
        <v>tricks/3010110</v>
      </c>
    </row>
    <row r="699" spans="1:44" ht="15" customHeight="1">
      <c r="A699" s="3">
        <v>3010111</v>
      </c>
      <c r="B699" s="3" t="s">
        <v>2599</v>
      </c>
      <c r="C699" s="236" t="s">
        <v>2637</v>
      </c>
      <c r="D699" s="3" t="s">
        <v>2601</v>
      </c>
      <c r="E699" s="3"/>
      <c r="F699" s="3">
        <v>10</v>
      </c>
      <c r="G699" s="47">
        <v>8</v>
      </c>
      <c r="H699" s="3" t="s">
        <v>136</v>
      </c>
      <c r="I699" s="3" t="s">
        <v>137</v>
      </c>
      <c r="J699" s="3"/>
      <c r="K699" s="3"/>
      <c r="L699" s="236"/>
      <c r="M699" s="99"/>
      <c r="N699" s="99"/>
      <c r="O699" s="236"/>
      <c r="P699" s="22"/>
      <c r="Q699" s="22">
        <v>0</v>
      </c>
      <c r="R699" s="22" t="s">
        <v>153</v>
      </c>
      <c r="S699" s="3"/>
      <c r="T699" s="260"/>
      <c r="U699" s="261"/>
      <c r="V699" s="22"/>
      <c r="W699" s="567" t="s">
        <v>2638</v>
      </c>
      <c r="X699" s="567" t="s">
        <v>2638</v>
      </c>
      <c r="Y699" s="22"/>
      <c r="Z699" s="22"/>
      <c r="AA699" s="22"/>
      <c r="AB699" s="22" t="s">
        <v>114</v>
      </c>
      <c r="AC699" s="3"/>
      <c r="AD699" s="3"/>
      <c r="AE699" s="3">
        <v>0</v>
      </c>
      <c r="AF699" s="3">
        <v>0</v>
      </c>
      <c r="AG699" s="3">
        <v>0</v>
      </c>
      <c r="AH699" s="3"/>
      <c r="AI699" s="3">
        <v>0</v>
      </c>
      <c r="AJ699" s="3">
        <v>0</v>
      </c>
      <c r="AK699" s="3">
        <v>0</v>
      </c>
      <c r="AL699" s="3"/>
      <c r="AM699" s="3"/>
      <c r="AN699" s="3"/>
      <c r="AO699" s="3"/>
      <c r="AP699" s="3"/>
      <c r="AQ699" s="282" t="str">
        <f>"tricks/"&amp;A699</f>
        <v>tricks/3010111</v>
      </c>
    </row>
    <row r="700" spans="1:44" ht="15" customHeight="1">
      <c r="A700" s="49">
        <v>3010201</v>
      </c>
      <c r="B700" s="49" t="s">
        <v>2639</v>
      </c>
      <c r="C700" s="506" t="s">
        <v>2640</v>
      </c>
      <c r="D700" s="49" t="s">
        <v>2601</v>
      </c>
      <c r="E700" s="49"/>
      <c r="F700" s="36">
        <v>1</v>
      </c>
      <c r="G700" s="48">
        <v>8</v>
      </c>
      <c r="H700" s="49" t="s">
        <v>82</v>
      </c>
      <c r="I700" s="49" t="s">
        <v>101</v>
      </c>
      <c r="J700" s="49"/>
      <c r="K700" s="505"/>
      <c r="L700" s="506" t="s">
        <v>2641</v>
      </c>
      <c r="M700" s="507"/>
      <c r="N700" s="378">
        <v>13</v>
      </c>
      <c r="O700" s="506"/>
      <c r="P700" s="508"/>
      <c r="Q700" s="508">
        <v>0</v>
      </c>
      <c r="R700" s="508" t="s">
        <v>153</v>
      </c>
      <c r="S700" s="49">
        <v>3010201</v>
      </c>
      <c r="T700" s="415"/>
      <c r="U700" s="416"/>
      <c r="V700" s="508" t="s">
        <v>582</v>
      </c>
      <c r="W700" s="603" t="s">
        <v>2642</v>
      </c>
      <c r="X700" s="603" t="s">
        <v>2642</v>
      </c>
      <c r="Y700" s="508">
        <v>0</v>
      </c>
      <c r="Z700" s="508">
        <v>0</v>
      </c>
      <c r="AA700" s="508"/>
      <c r="AB700" s="508"/>
      <c r="AC700" s="49"/>
      <c r="AD700" s="49"/>
      <c r="AE700" s="49">
        <v>2</v>
      </c>
      <c r="AF700" s="49"/>
      <c r="AG700" s="49">
        <v>30</v>
      </c>
      <c r="AH700" s="49"/>
      <c r="AI700" s="49"/>
      <c r="AJ700" s="49"/>
      <c r="AK700" s="519"/>
      <c r="AL700" s="519"/>
      <c r="AM700" s="519"/>
      <c r="AN700" s="43" t="s">
        <v>2643</v>
      </c>
      <c r="AO700" s="49"/>
      <c r="AP700" s="49"/>
      <c r="AQ700" s="49" t="s">
        <v>2644</v>
      </c>
      <c r="AR700" s="423"/>
    </row>
    <row r="701" spans="1:44" ht="15" customHeight="1">
      <c r="A701" s="49">
        <v>3010202</v>
      </c>
      <c r="B701" s="49" t="s">
        <v>2639</v>
      </c>
      <c r="C701" s="506" t="s">
        <v>2645</v>
      </c>
      <c r="D701" s="49" t="s">
        <v>2601</v>
      </c>
      <c r="E701" s="49"/>
      <c r="F701" s="36">
        <v>1</v>
      </c>
      <c r="G701" s="47">
        <v>8</v>
      </c>
      <c r="H701" s="49" t="s">
        <v>136</v>
      </c>
      <c r="I701" s="49" t="s">
        <v>137</v>
      </c>
      <c r="J701" s="49"/>
      <c r="K701" s="505"/>
      <c r="L701" s="506" t="s">
        <v>2646</v>
      </c>
      <c r="M701" s="507"/>
      <c r="N701" s="507"/>
      <c r="O701" s="506"/>
      <c r="P701" s="508"/>
      <c r="Q701" s="508">
        <v>0</v>
      </c>
      <c r="R701" s="508" t="s">
        <v>153</v>
      </c>
      <c r="S701" s="49"/>
      <c r="T701" s="415"/>
      <c r="U701" s="416"/>
      <c r="V701" s="508"/>
      <c r="W701" s="603" t="s">
        <v>2647</v>
      </c>
      <c r="X701" s="603" t="s">
        <v>2647</v>
      </c>
      <c r="Y701" s="508">
        <v>0</v>
      </c>
      <c r="Z701" s="508">
        <v>0</v>
      </c>
      <c r="AA701" s="508"/>
      <c r="AB701" s="508"/>
      <c r="AC701" s="49"/>
      <c r="AD701" s="49"/>
      <c r="AE701" s="49">
        <v>0</v>
      </c>
      <c r="AF701" s="49"/>
      <c r="AG701" s="49"/>
      <c r="AH701" s="49"/>
      <c r="AI701" s="49"/>
      <c r="AJ701" s="49"/>
      <c r="AK701" s="519"/>
      <c r="AL701" s="519"/>
      <c r="AM701" s="519"/>
      <c r="AN701" s="49"/>
      <c r="AO701" s="49"/>
      <c r="AP701" s="49"/>
      <c r="AQ701" s="49" t="s">
        <v>2648</v>
      </c>
      <c r="AR701" s="423"/>
    </row>
    <row r="702" spans="1:44" ht="15" customHeight="1">
      <c r="A702" s="49">
        <v>3010203</v>
      </c>
      <c r="B702" s="49" t="s">
        <v>2639</v>
      </c>
      <c r="C702" s="506" t="s">
        <v>2649</v>
      </c>
      <c r="D702" s="49" t="s">
        <v>2601</v>
      </c>
      <c r="E702" s="49"/>
      <c r="F702" s="36">
        <v>2</v>
      </c>
      <c r="G702" s="48">
        <v>8</v>
      </c>
      <c r="H702" s="49" t="s">
        <v>136</v>
      </c>
      <c r="I702" s="49" t="s">
        <v>137</v>
      </c>
      <c r="J702" s="49"/>
      <c r="K702" s="505"/>
      <c r="L702" s="506" t="s">
        <v>2650</v>
      </c>
      <c r="M702" s="507"/>
      <c r="N702" s="507"/>
      <c r="O702" s="506"/>
      <c r="P702" s="508"/>
      <c r="Q702" s="508">
        <v>0</v>
      </c>
      <c r="R702" s="508" t="s">
        <v>153</v>
      </c>
      <c r="S702" s="49">
        <v>3010202</v>
      </c>
      <c r="T702" s="415"/>
      <c r="U702" s="416"/>
      <c r="V702" s="508" t="s">
        <v>582</v>
      </c>
      <c r="W702" s="603" t="s">
        <v>2651</v>
      </c>
      <c r="X702" s="603" t="s">
        <v>2651</v>
      </c>
      <c r="Y702" s="508">
        <v>0</v>
      </c>
      <c r="Z702" s="508">
        <v>0</v>
      </c>
      <c r="AA702" s="508"/>
      <c r="AB702" s="508"/>
      <c r="AC702" s="49"/>
      <c r="AD702" s="49"/>
      <c r="AE702" s="49">
        <v>0</v>
      </c>
      <c r="AF702" s="49"/>
      <c r="AG702" s="49"/>
      <c r="AH702" s="49"/>
      <c r="AI702" s="49"/>
      <c r="AJ702" s="49"/>
      <c r="AK702" s="519"/>
      <c r="AL702" s="519"/>
      <c r="AM702" s="519"/>
      <c r="AN702" s="49"/>
      <c r="AO702" s="49"/>
      <c r="AP702" s="49"/>
      <c r="AQ702" s="49" t="s">
        <v>2652</v>
      </c>
      <c r="AR702" s="423"/>
    </row>
    <row r="703" spans="1:44" ht="15" customHeight="1">
      <c r="A703" s="49">
        <v>3010204</v>
      </c>
      <c r="B703" s="37" t="s">
        <v>2639</v>
      </c>
      <c r="C703" s="37" t="s">
        <v>2653</v>
      </c>
      <c r="D703" s="37" t="s">
        <v>2601</v>
      </c>
      <c r="E703" s="37"/>
      <c r="F703" s="36">
        <v>3</v>
      </c>
      <c r="G703" s="47">
        <v>8</v>
      </c>
      <c r="H703" s="37" t="s">
        <v>136</v>
      </c>
      <c r="I703" s="37" t="s">
        <v>137</v>
      </c>
      <c r="J703" s="37"/>
      <c r="K703" s="509"/>
      <c r="L703" s="408" t="s">
        <v>2654</v>
      </c>
      <c r="M703" s="409"/>
      <c r="N703" s="409"/>
      <c r="O703" s="37"/>
      <c r="P703" s="410"/>
      <c r="Q703" s="410">
        <v>0</v>
      </c>
      <c r="R703" s="410" t="s">
        <v>153</v>
      </c>
      <c r="S703" s="37">
        <v>3010203</v>
      </c>
      <c r="T703" s="512"/>
      <c r="U703" s="513"/>
      <c r="V703" s="410" t="s">
        <v>582</v>
      </c>
      <c r="W703" s="603" t="s">
        <v>2655</v>
      </c>
      <c r="X703" s="603" t="s">
        <v>2655</v>
      </c>
      <c r="Y703" s="432">
        <v>0</v>
      </c>
      <c r="Z703" s="432">
        <v>0</v>
      </c>
      <c r="AA703" s="410"/>
      <c r="AB703" s="410"/>
      <c r="AC703" s="37"/>
      <c r="AD703" s="37"/>
      <c r="AE703" s="37">
        <v>0</v>
      </c>
      <c r="AF703" s="37"/>
      <c r="AG703" s="37"/>
      <c r="AH703" s="37"/>
      <c r="AI703" s="37"/>
      <c r="AJ703" s="37"/>
      <c r="AK703" s="420"/>
      <c r="AL703" s="420"/>
      <c r="AM703" s="420"/>
      <c r="AN703" s="520"/>
      <c r="AO703" s="37"/>
      <c r="AP703" s="37"/>
      <c r="AQ703" s="37" t="s">
        <v>2656</v>
      </c>
      <c r="AR703" s="423"/>
    </row>
    <row r="704" spans="1:44" ht="15" customHeight="1">
      <c r="A704" s="49">
        <v>3010205</v>
      </c>
      <c r="B704" s="37" t="s">
        <v>2639</v>
      </c>
      <c r="C704" s="37" t="s">
        <v>2657</v>
      </c>
      <c r="D704" s="37" t="s">
        <v>2601</v>
      </c>
      <c r="E704" s="37"/>
      <c r="F704" s="36">
        <v>4</v>
      </c>
      <c r="G704" s="48">
        <v>8</v>
      </c>
      <c r="H704" s="37" t="s">
        <v>136</v>
      </c>
      <c r="I704" s="37" t="s">
        <v>137</v>
      </c>
      <c r="J704" s="37"/>
      <c r="K704" s="509"/>
      <c r="L704" s="408" t="s">
        <v>2658</v>
      </c>
      <c r="M704" s="409"/>
      <c r="N704" s="409"/>
      <c r="O704" s="37"/>
      <c r="P704" s="410"/>
      <c r="Q704" s="410">
        <v>0</v>
      </c>
      <c r="R704" s="410" t="s">
        <v>153</v>
      </c>
      <c r="S704" s="37">
        <v>3010204</v>
      </c>
      <c r="T704" s="514"/>
      <c r="U704" s="515"/>
      <c r="V704" s="410" t="s">
        <v>582</v>
      </c>
      <c r="W704" s="415" t="s">
        <v>2659</v>
      </c>
      <c r="X704" s="415" t="s">
        <v>2659</v>
      </c>
      <c r="Y704" s="457">
        <v>0</v>
      </c>
      <c r="Z704" s="457">
        <v>0</v>
      </c>
      <c r="AA704" s="410"/>
      <c r="AB704" s="410"/>
      <c r="AC704" s="37"/>
      <c r="AD704" s="37"/>
      <c r="AE704" s="37">
        <v>0</v>
      </c>
      <c r="AF704" s="37"/>
      <c r="AG704" s="37"/>
      <c r="AH704" s="37"/>
      <c r="AI704" s="37"/>
      <c r="AJ704" s="37"/>
      <c r="AK704" s="420"/>
      <c r="AL704" s="420"/>
      <c r="AM704" s="420"/>
      <c r="AN704" s="37"/>
      <c r="AO704" s="37"/>
      <c r="AP704" s="37"/>
      <c r="AQ704" s="37" t="s">
        <v>2660</v>
      </c>
      <c r="AR704" s="423"/>
    </row>
    <row r="705" spans="1:44" ht="15" customHeight="1">
      <c r="A705" s="49">
        <v>3010206</v>
      </c>
      <c r="B705" s="37" t="s">
        <v>2639</v>
      </c>
      <c r="C705" s="37" t="s">
        <v>2661</v>
      </c>
      <c r="D705" s="37" t="s">
        <v>2601</v>
      </c>
      <c r="E705" s="37"/>
      <c r="F705" s="36">
        <v>5</v>
      </c>
      <c r="G705" s="47">
        <v>8</v>
      </c>
      <c r="H705" s="37" t="s">
        <v>136</v>
      </c>
      <c r="I705" s="37" t="s">
        <v>137</v>
      </c>
      <c r="J705" s="37"/>
      <c r="K705" s="509"/>
      <c r="L705" s="408" t="s">
        <v>2662</v>
      </c>
      <c r="M705" s="409"/>
      <c r="N705" s="409"/>
      <c r="O705" s="37"/>
      <c r="P705" s="410"/>
      <c r="Q705" s="410">
        <v>0</v>
      </c>
      <c r="R705" s="410" t="s">
        <v>153</v>
      </c>
      <c r="S705" s="37"/>
      <c r="T705" s="512"/>
      <c r="U705" s="513"/>
      <c r="V705" s="410"/>
      <c r="W705" s="415" t="s">
        <v>2663</v>
      </c>
      <c r="X705" s="415" t="s">
        <v>2663</v>
      </c>
      <c r="Y705" s="432">
        <v>0</v>
      </c>
      <c r="Z705" s="432">
        <v>0</v>
      </c>
      <c r="AA705" s="410"/>
      <c r="AB705" s="410"/>
      <c r="AC705" s="37"/>
      <c r="AD705" s="37"/>
      <c r="AE705" s="37">
        <v>0</v>
      </c>
      <c r="AF705" s="37"/>
      <c r="AG705" s="37"/>
      <c r="AH705" s="37"/>
      <c r="AI705" s="37"/>
      <c r="AJ705" s="37"/>
      <c r="AK705" s="420"/>
      <c r="AL705" s="420"/>
      <c r="AM705" s="420"/>
      <c r="AN705" s="37"/>
      <c r="AO705" s="37"/>
      <c r="AP705" s="37"/>
      <c r="AQ705" s="37" t="s">
        <v>2664</v>
      </c>
      <c r="AR705" s="423"/>
    </row>
    <row r="706" spans="1:44" ht="15" customHeight="1">
      <c r="A706" s="49">
        <v>3010207</v>
      </c>
      <c r="B706" s="37" t="s">
        <v>2639</v>
      </c>
      <c r="C706" s="37" t="s">
        <v>2665</v>
      </c>
      <c r="D706" s="37" t="s">
        <v>2601</v>
      </c>
      <c r="E706" s="37"/>
      <c r="F706" s="36">
        <v>6</v>
      </c>
      <c r="G706" s="48">
        <v>8</v>
      </c>
      <c r="H706" s="37" t="s">
        <v>136</v>
      </c>
      <c r="I706" s="37" t="s">
        <v>137</v>
      </c>
      <c r="J706" s="37"/>
      <c r="K706" s="509"/>
      <c r="L706" s="408" t="s">
        <v>2666</v>
      </c>
      <c r="M706" s="409"/>
      <c r="N706" s="409"/>
      <c r="O706" s="37"/>
      <c r="P706" s="410"/>
      <c r="Q706" s="410">
        <v>0</v>
      </c>
      <c r="R706" s="410" t="s">
        <v>153</v>
      </c>
      <c r="S706" s="37">
        <v>3010205</v>
      </c>
      <c r="T706" s="514"/>
      <c r="U706" s="515"/>
      <c r="V706" s="410" t="s">
        <v>582</v>
      </c>
      <c r="W706" s="415" t="s">
        <v>2655</v>
      </c>
      <c r="X706" s="415" t="s">
        <v>2655</v>
      </c>
      <c r="Y706" s="457">
        <v>0</v>
      </c>
      <c r="Z706" s="457">
        <v>0</v>
      </c>
      <c r="AA706" s="410"/>
      <c r="AB706" s="410"/>
      <c r="AC706" s="37"/>
      <c r="AD706" s="37"/>
      <c r="AE706" s="37">
        <v>0</v>
      </c>
      <c r="AF706" s="37"/>
      <c r="AG706" s="37"/>
      <c r="AH706" s="37"/>
      <c r="AI706" s="37"/>
      <c r="AJ706" s="37"/>
      <c r="AK706" s="420"/>
      <c r="AL706" s="420"/>
      <c r="AM706" s="420"/>
      <c r="AN706" s="37"/>
      <c r="AO706" s="37"/>
      <c r="AP706" s="37"/>
      <c r="AQ706" s="37" t="s">
        <v>2667</v>
      </c>
      <c r="AR706" s="423"/>
    </row>
    <row r="707" spans="1:44" ht="15" customHeight="1">
      <c r="A707" s="49">
        <v>3010208</v>
      </c>
      <c r="B707" s="37" t="s">
        <v>2639</v>
      </c>
      <c r="C707" s="37" t="s">
        <v>2668</v>
      </c>
      <c r="D707" s="37" t="s">
        <v>2601</v>
      </c>
      <c r="E707" s="37"/>
      <c r="F707" s="36">
        <v>7</v>
      </c>
      <c r="G707" s="47">
        <v>8</v>
      </c>
      <c r="H707" s="37" t="s">
        <v>136</v>
      </c>
      <c r="I707" s="37" t="s">
        <v>137</v>
      </c>
      <c r="J707" s="37"/>
      <c r="K707" s="509"/>
      <c r="L707" s="408" t="s">
        <v>2669</v>
      </c>
      <c r="M707" s="409"/>
      <c r="N707" s="409"/>
      <c r="O707" s="37"/>
      <c r="P707" s="410"/>
      <c r="Q707" s="410">
        <v>0</v>
      </c>
      <c r="R707" s="410" t="s">
        <v>153</v>
      </c>
      <c r="S707" s="37">
        <v>3010206</v>
      </c>
      <c r="T707" s="514"/>
      <c r="U707" s="515"/>
      <c r="V707" s="410" t="s">
        <v>582</v>
      </c>
      <c r="W707" s="415" t="s">
        <v>2670</v>
      </c>
      <c r="X707" s="415" t="s">
        <v>2670</v>
      </c>
      <c r="Y707" s="457">
        <v>0</v>
      </c>
      <c r="Z707" s="457">
        <v>0</v>
      </c>
      <c r="AA707" s="410"/>
      <c r="AB707" s="410"/>
      <c r="AC707" s="37"/>
      <c r="AD707" s="37"/>
      <c r="AE707" s="37">
        <v>0</v>
      </c>
      <c r="AF707" s="37"/>
      <c r="AG707" s="37"/>
      <c r="AH707" s="37"/>
      <c r="AI707" s="37"/>
      <c r="AJ707" s="37"/>
      <c r="AK707" s="420"/>
      <c r="AL707" s="420"/>
      <c r="AM707" s="420"/>
      <c r="AN707" s="37"/>
      <c r="AO707" s="37"/>
      <c r="AP707" s="37"/>
      <c r="AQ707" s="37" t="s">
        <v>2671</v>
      </c>
      <c r="AR707" s="423"/>
    </row>
    <row r="708" spans="1:44" ht="15" customHeight="1">
      <c r="A708" s="3">
        <v>3010209</v>
      </c>
      <c r="B708" s="3" t="s">
        <v>2639</v>
      </c>
      <c r="C708" s="236" t="s">
        <v>2672</v>
      </c>
      <c r="D708" s="3" t="s">
        <v>2601</v>
      </c>
      <c r="E708" s="3"/>
      <c r="F708" s="3">
        <v>8</v>
      </c>
      <c r="G708" s="48">
        <v>8</v>
      </c>
      <c r="H708" s="3" t="s">
        <v>136</v>
      </c>
      <c r="I708" s="3" t="s">
        <v>137</v>
      </c>
      <c r="J708" s="3"/>
      <c r="K708" s="3"/>
      <c r="L708" s="236"/>
      <c r="M708" s="99"/>
      <c r="N708" s="99"/>
      <c r="O708" s="236"/>
      <c r="P708" s="22"/>
      <c r="Q708" s="22">
        <v>0</v>
      </c>
      <c r="R708" s="22" t="s">
        <v>153</v>
      </c>
      <c r="S708" s="3"/>
      <c r="T708" s="260"/>
      <c r="U708" s="261"/>
      <c r="V708" s="22"/>
      <c r="W708" s="567" t="s">
        <v>2634</v>
      </c>
      <c r="X708" s="567" t="s">
        <v>2634</v>
      </c>
      <c r="Y708" s="22"/>
      <c r="Z708" s="22"/>
      <c r="AA708" s="22"/>
      <c r="AB708" s="22" t="s">
        <v>114</v>
      </c>
      <c r="AC708" s="3"/>
      <c r="AD708" s="3"/>
      <c r="AE708" s="3">
        <v>0</v>
      </c>
      <c r="AF708" s="3">
        <v>0</v>
      </c>
      <c r="AG708" s="3">
        <v>0</v>
      </c>
      <c r="AH708" s="3"/>
      <c r="AI708" s="3">
        <v>0</v>
      </c>
      <c r="AJ708" s="3">
        <v>0</v>
      </c>
      <c r="AK708" s="3">
        <v>0</v>
      </c>
      <c r="AL708" s="3"/>
      <c r="AM708" s="3"/>
      <c r="AN708" s="3"/>
      <c r="AO708" s="3"/>
      <c r="AP708" s="3"/>
      <c r="AQ708" s="3" t="s">
        <v>2652</v>
      </c>
      <c r="AR708" s="281"/>
    </row>
    <row r="709" spans="1:44" ht="15" customHeight="1">
      <c r="A709" s="3">
        <v>3010210</v>
      </c>
      <c r="B709" s="3" t="s">
        <v>2639</v>
      </c>
      <c r="C709" s="236" t="s">
        <v>2673</v>
      </c>
      <c r="D709" s="3" t="s">
        <v>2601</v>
      </c>
      <c r="E709" s="3"/>
      <c r="F709" s="3">
        <v>9</v>
      </c>
      <c r="G709" s="47">
        <v>8</v>
      </c>
      <c r="H709" s="3" t="s">
        <v>136</v>
      </c>
      <c r="I709" s="3" t="s">
        <v>137</v>
      </c>
      <c r="J709" s="3"/>
      <c r="K709" s="3"/>
      <c r="L709" s="236"/>
      <c r="M709" s="99"/>
      <c r="N709" s="99"/>
      <c r="O709" s="236"/>
      <c r="P709" s="22"/>
      <c r="Q709" s="22">
        <v>0</v>
      </c>
      <c r="R709" s="22" t="s">
        <v>153</v>
      </c>
      <c r="S709" s="3"/>
      <c r="T709" s="260"/>
      <c r="U709" s="261"/>
      <c r="V709" s="22"/>
      <c r="W709" s="567" t="s">
        <v>2636</v>
      </c>
      <c r="X709" s="567" t="s">
        <v>2636</v>
      </c>
      <c r="Y709" s="22"/>
      <c r="Z709" s="22"/>
      <c r="AA709" s="22"/>
      <c r="AB709" s="22" t="s">
        <v>114</v>
      </c>
      <c r="AC709" s="3"/>
      <c r="AD709" s="3"/>
      <c r="AE709" s="3">
        <v>0</v>
      </c>
      <c r="AF709" s="3">
        <v>0</v>
      </c>
      <c r="AG709" s="3">
        <v>0</v>
      </c>
      <c r="AH709" s="3"/>
      <c r="AI709" s="3">
        <v>0</v>
      </c>
      <c r="AJ709" s="3">
        <v>0</v>
      </c>
      <c r="AK709" s="3">
        <v>0</v>
      </c>
      <c r="AL709" s="3"/>
      <c r="AM709" s="3"/>
      <c r="AN709" s="3"/>
      <c r="AO709" s="3"/>
      <c r="AP709" s="3"/>
      <c r="AQ709" s="282" t="str">
        <f>"tricks/"&amp;A709</f>
        <v>tricks/3010210</v>
      </c>
    </row>
    <row r="710" spans="1:44" ht="15" customHeight="1">
      <c r="A710" s="3">
        <v>3010211</v>
      </c>
      <c r="B710" s="3" t="s">
        <v>2639</v>
      </c>
      <c r="C710" s="236" t="s">
        <v>2674</v>
      </c>
      <c r="D710" s="3" t="s">
        <v>2601</v>
      </c>
      <c r="E710" s="3"/>
      <c r="F710" s="3">
        <v>10</v>
      </c>
      <c r="G710" s="48">
        <v>8</v>
      </c>
      <c r="H710" s="3" t="s">
        <v>136</v>
      </c>
      <c r="I710" s="3" t="s">
        <v>137</v>
      </c>
      <c r="J710" s="3"/>
      <c r="K710" s="3"/>
      <c r="L710" s="236"/>
      <c r="M710" s="99"/>
      <c r="N710" s="99"/>
      <c r="O710" s="236"/>
      <c r="P710" s="22"/>
      <c r="Q710" s="22">
        <v>0</v>
      </c>
      <c r="R710" s="22" t="s">
        <v>153</v>
      </c>
      <c r="S710" s="3"/>
      <c r="T710" s="260"/>
      <c r="U710" s="261"/>
      <c r="V710" s="22"/>
      <c r="W710" s="567" t="s">
        <v>2675</v>
      </c>
      <c r="X710" s="567" t="s">
        <v>2675</v>
      </c>
      <c r="Y710" s="22"/>
      <c r="Z710" s="22"/>
      <c r="AA710" s="22"/>
      <c r="AB710" s="22" t="s">
        <v>114</v>
      </c>
      <c r="AC710" s="3"/>
      <c r="AD710" s="3"/>
      <c r="AE710" s="3">
        <v>0</v>
      </c>
      <c r="AF710" s="3">
        <v>0</v>
      </c>
      <c r="AG710" s="3">
        <v>0</v>
      </c>
      <c r="AH710" s="3"/>
      <c r="AI710" s="3">
        <v>0</v>
      </c>
      <c r="AJ710" s="3">
        <v>0</v>
      </c>
      <c r="AK710" s="3">
        <v>0</v>
      </c>
      <c r="AL710" s="3"/>
      <c r="AM710" s="3"/>
      <c r="AN710" s="3"/>
      <c r="AO710" s="3"/>
      <c r="AP710" s="3"/>
      <c r="AQ710" s="282" t="str">
        <f>"tricks/"&amp;A710</f>
        <v>tricks/3010211</v>
      </c>
    </row>
    <row r="711" spans="1:44" ht="15" customHeight="1">
      <c r="A711" s="28">
        <v>3010301</v>
      </c>
      <c r="B711" s="28" t="s">
        <v>2676</v>
      </c>
      <c r="C711" s="28" t="s">
        <v>2677</v>
      </c>
      <c r="D711" s="28" t="s">
        <v>2601</v>
      </c>
      <c r="E711" s="28"/>
      <c r="F711" s="36">
        <v>1</v>
      </c>
      <c r="G711" s="47">
        <v>8</v>
      </c>
      <c r="H711" s="28" t="s">
        <v>82</v>
      </c>
      <c r="I711" s="28" t="s">
        <v>101</v>
      </c>
      <c r="J711" s="28"/>
      <c r="K711" s="300"/>
      <c r="L711" s="473" t="s">
        <v>2678</v>
      </c>
      <c r="M711" s="301"/>
      <c r="N711" s="301"/>
      <c r="O711" s="28"/>
      <c r="P711" s="302"/>
      <c r="Q711" s="302">
        <v>0</v>
      </c>
      <c r="R711" s="302" t="s">
        <v>153</v>
      </c>
      <c r="S711" s="28">
        <v>3010301</v>
      </c>
      <c r="T711" s="526"/>
      <c r="U711" s="527"/>
      <c r="V711" s="302" t="s">
        <v>582</v>
      </c>
      <c r="W711" s="589" t="s">
        <v>2679</v>
      </c>
      <c r="X711" s="589" t="s">
        <v>2679</v>
      </c>
      <c r="Y711" s="528">
        <v>0</v>
      </c>
      <c r="Z711" s="528">
        <v>0</v>
      </c>
      <c r="AA711" s="302"/>
      <c r="AB711" s="302"/>
      <c r="AC711" s="28"/>
      <c r="AD711" s="28"/>
      <c r="AE711" s="28">
        <v>0</v>
      </c>
      <c r="AF711" s="28"/>
      <c r="AG711" s="28"/>
      <c r="AH711" s="28"/>
      <c r="AI711" s="28"/>
      <c r="AJ711" s="28"/>
      <c r="AK711" s="328"/>
      <c r="AL711" s="328"/>
      <c r="AM711" s="328"/>
      <c r="AN711" s="43"/>
      <c r="AO711" s="28"/>
      <c r="AP711" s="28"/>
      <c r="AQ711" s="28" t="s">
        <v>2680</v>
      </c>
      <c r="AR711" s="332"/>
    </row>
    <row r="712" spans="1:44" ht="15" customHeight="1">
      <c r="A712" s="28">
        <v>3010302</v>
      </c>
      <c r="B712" s="528" t="s">
        <v>2676</v>
      </c>
      <c r="C712" s="303" t="s">
        <v>2681</v>
      </c>
      <c r="D712" s="28" t="s">
        <v>2601</v>
      </c>
      <c r="E712" s="28"/>
      <c r="F712" s="36">
        <v>1</v>
      </c>
      <c r="G712" s="48">
        <v>8</v>
      </c>
      <c r="H712" s="28" t="s">
        <v>136</v>
      </c>
      <c r="I712" s="28" t="s">
        <v>137</v>
      </c>
      <c r="J712" s="28"/>
      <c r="K712" s="28"/>
      <c r="L712" s="473" t="s">
        <v>2650</v>
      </c>
      <c r="M712" s="301"/>
      <c r="N712" s="301"/>
      <c r="O712" s="303"/>
      <c r="P712" s="302"/>
      <c r="Q712" s="302">
        <v>0</v>
      </c>
      <c r="R712" s="302" t="s">
        <v>153</v>
      </c>
      <c r="S712" s="28">
        <v>3010302</v>
      </c>
      <c r="T712" s="319"/>
      <c r="U712" s="320"/>
      <c r="V712" s="302" t="s">
        <v>582</v>
      </c>
      <c r="W712" s="589" t="s">
        <v>2682</v>
      </c>
      <c r="X712" s="589" t="s">
        <v>2682</v>
      </c>
      <c r="Y712" s="302">
        <v>0</v>
      </c>
      <c r="Z712" s="302">
        <v>0</v>
      </c>
      <c r="AA712" s="302"/>
      <c r="AB712" s="302"/>
      <c r="AC712" s="28"/>
      <c r="AD712" s="28"/>
      <c r="AE712" s="28"/>
      <c r="AF712" s="28"/>
      <c r="AG712" s="28"/>
      <c r="AH712" s="28"/>
      <c r="AI712" s="28"/>
      <c r="AJ712" s="28"/>
      <c r="AK712" s="328"/>
      <c r="AL712" s="328"/>
      <c r="AM712" s="328"/>
      <c r="AN712" s="28"/>
      <c r="AO712" s="28"/>
      <c r="AP712" s="28"/>
      <c r="AQ712" s="28" t="s">
        <v>2683</v>
      </c>
      <c r="AR712" s="332"/>
    </row>
    <row r="713" spans="1:44" ht="15" customHeight="1">
      <c r="A713" s="28">
        <v>3010303</v>
      </c>
      <c r="B713" s="528" t="s">
        <v>2676</v>
      </c>
      <c r="C713" s="303" t="s">
        <v>2684</v>
      </c>
      <c r="D713" s="28" t="s">
        <v>2601</v>
      </c>
      <c r="E713" s="28"/>
      <c r="F713" s="36">
        <v>2</v>
      </c>
      <c r="G713" s="47">
        <v>8</v>
      </c>
      <c r="H713" s="28" t="s">
        <v>136</v>
      </c>
      <c r="I713" s="28" t="s">
        <v>137</v>
      </c>
      <c r="J713" s="28"/>
      <c r="K713" s="28"/>
      <c r="L713" s="473" t="s">
        <v>2685</v>
      </c>
      <c r="M713" s="301"/>
      <c r="N713" s="301"/>
      <c r="O713" s="303"/>
      <c r="P713" s="302"/>
      <c r="Q713" s="302">
        <v>0</v>
      </c>
      <c r="R713" s="302" t="s">
        <v>153</v>
      </c>
      <c r="S713" s="28">
        <v>3010303</v>
      </c>
      <c r="T713" s="319"/>
      <c r="U713" s="320"/>
      <c r="V713" s="302" t="s">
        <v>582</v>
      </c>
      <c r="W713" s="589" t="s">
        <v>2686</v>
      </c>
      <c r="X713" s="589" t="s">
        <v>2686</v>
      </c>
      <c r="Y713" s="302">
        <v>0</v>
      </c>
      <c r="Z713" s="302">
        <v>0</v>
      </c>
      <c r="AA713" s="302"/>
      <c r="AB713" s="302"/>
      <c r="AC713" s="28"/>
      <c r="AD713" s="28"/>
      <c r="AE713" s="28"/>
      <c r="AF713" s="28"/>
      <c r="AG713" s="28"/>
      <c r="AH713" s="28"/>
      <c r="AI713" s="28"/>
      <c r="AJ713" s="28"/>
      <c r="AK713" s="328"/>
      <c r="AL713" s="328"/>
      <c r="AM713" s="328"/>
      <c r="AN713" s="28"/>
      <c r="AO713" s="28"/>
      <c r="AP713" s="28"/>
      <c r="AQ713" s="28" t="s">
        <v>2687</v>
      </c>
      <c r="AR713" s="332"/>
    </row>
    <row r="714" spans="1:44" ht="15" customHeight="1">
      <c r="A714" s="28">
        <v>3010304</v>
      </c>
      <c r="B714" s="528" t="s">
        <v>2676</v>
      </c>
      <c r="C714" s="303" t="s">
        <v>2688</v>
      </c>
      <c r="D714" s="28" t="s">
        <v>2601</v>
      </c>
      <c r="E714" s="28"/>
      <c r="F714" s="36">
        <v>3</v>
      </c>
      <c r="G714" s="48">
        <v>8</v>
      </c>
      <c r="H714" s="28" t="s">
        <v>136</v>
      </c>
      <c r="I714" s="28" t="s">
        <v>137</v>
      </c>
      <c r="J714" s="28"/>
      <c r="K714" s="28"/>
      <c r="L714" s="473" t="s">
        <v>2658</v>
      </c>
      <c r="M714" s="301"/>
      <c r="N714" s="301"/>
      <c r="O714" s="303"/>
      <c r="P714" s="302"/>
      <c r="Q714" s="302">
        <v>0</v>
      </c>
      <c r="R714" s="302" t="s">
        <v>153</v>
      </c>
      <c r="S714" s="28">
        <v>3010304</v>
      </c>
      <c r="T714" s="319"/>
      <c r="U714" s="320"/>
      <c r="V714" s="302" t="s">
        <v>582</v>
      </c>
      <c r="W714" s="589" t="s">
        <v>2689</v>
      </c>
      <c r="X714" s="589" t="s">
        <v>2689</v>
      </c>
      <c r="Y714" s="302">
        <v>0</v>
      </c>
      <c r="Z714" s="302">
        <v>0</v>
      </c>
      <c r="AA714" s="302"/>
      <c r="AB714" s="302"/>
      <c r="AC714" s="28"/>
      <c r="AD714" s="28"/>
      <c r="AE714" s="28"/>
      <c r="AF714" s="28"/>
      <c r="AG714" s="28"/>
      <c r="AH714" s="28"/>
      <c r="AI714" s="28"/>
      <c r="AJ714" s="28"/>
      <c r="AK714" s="328"/>
      <c r="AL714" s="328"/>
      <c r="AM714" s="328"/>
      <c r="AN714" s="28"/>
      <c r="AO714" s="28"/>
      <c r="AP714" s="28"/>
      <c r="AQ714" s="28" t="s">
        <v>2690</v>
      </c>
      <c r="AR714" s="332"/>
    </row>
    <row r="715" spans="1:44" ht="15" customHeight="1">
      <c r="A715" s="28">
        <v>3010305</v>
      </c>
      <c r="B715" s="528" t="s">
        <v>2676</v>
      </c>
      <c r="C715" s="303" t="s">
        <v>2691</v>
      </c>
      <c r="D715" s="28" t="s">
        <v>2601</v>
      </c>
      <c r="E715" s="28"/>
      <c r="F715" s="36">
        <v>4</v>
      </c>
      <c r="G715" s="47">
        <v>8</v>
      </c>
      <c r="H715" s="28" t="s">
        <v>136</v>
      </c>
      <c r="I715" s="28" t="s">
        <v>137</v>
      </c>
      <c r="J715" s="28"/>
      <c r="K715" s="28"/>
      <c r="L715" s="473" t="s">
        <v>2692</v>
      </c>
      <c r="M715" s="301"/>
      <c r="N715" s="301"/>
      <c r="O715" s="303"/>
      <c r="P715" s="302"/>
      <c r="Q715" s="302">
        <v>0</v>
      </c>
      <c r="R715" s="302" t="s">
        <v>153</v>
      </c>
      <c r="S715" s="28">
        <v>3010305</v>
      </c>
      <c r="T715" s="319"/>
      <c r="U715" s="320"/>
      <c r="V715" s="302" t="s">
        <v>582</v>
      </c>
      <c r="W715" s="589" t="s">
        <v>2693</v>
      </c>
      <c r="X715" s="589" t="s">
        <v>2693</v>
      </c>
      <c r="Y715" s="302">
        <v>0</v>
      </c>
      <c r="Z715" s="302">
        <v>0</v>
      </c>
      <c r="AA715" s="302"/>
      <c r="AB715" s="302"/>
      <c r="AC715" s="28"/>
      <c r="AD715" s="28"/>
      <c r="AE715" s="28"/>
      <c r="AF715" s="28"/>
      <c r="AG715" s="28"/>
      <c r="AH715" s="28"/>
      <c r="AI715" s="28"/>
      <c r="AJ715" s="28"/>
      <c r="AK715" s="328"/>
      <c r="AL715" s="328"/>
      <c r="AM715" s="328"/>
      <c r="AN715" s="28"/>
      <c r="AO715" s="28"/>
      <c r="AP715" s="28"/>
      <c r="AQ715" s="28" t="s">
        <v>2694</v>
      </c>
      <c r="AR715" s="332"/>
    </row>
    <row r="716" spans="1:44" ht="15" customHeight="1">
      <c r="A716" s="28">
        <v>3010306</v>
      </c>
      <c r="B716" s="528" t="s">
        <v>2676</v>
      </c>
      <c r="C716" s="303" t="s">
        <v>2695</v>
      </c>
      <c r="D716" s="28" t="s">
        <v>2601</v>
      </c>
      <c r="E716" s="28"/>
      <c r="F716" s="36">
        <v>5</v>
      </c>
      <c r="G716" s="48">
        <v>8</v>
      </c>
      <c r="H716" s="28" t="s">
        <v>136</v>
      </c>
      <c r="I716" s="28" t="s">
        <v>137</v>
      </c>
      <c r="J716" s="28"/>
      <c r="K716" s="28"/>
      <c r="L716" s="473" t="s">
        <v>2696</v>
      </c>
      <c r="M716" s="301"/>
      <c r="N716" s="301"/>
      <c r="O716" s="303"/>
      <c r="P716" s="302"/>
      <c r="Q716" s="302">
        <v>0</v>
      </c>
      <c r="R716" s="302" t="s">
        <v>153</v>
      </c>
      <c r="S716" s="28"/>
      <c r="T716" s="319"/>
      <c r="U716" s="320"/>
      <c r="V716" s="302"/>
      <c r="W716" s="589" t="s">
        <v>2697</v>
      </c>
      <c r="X716" s="589" t="s">
        <v>2697</v>
      </c>
      <c r="Y716" s="302">
        <v>0</v>
      </c>
      <c r="Z716" s="302">
        <v>0</v>
      </c>
      <c r="AA716" s="302"/>
      <c r="AB716" s="302"/>
      <c r="AC716" s="28"/>
      <c r="AD716" s="28"/>
      <c r="AE716" s="28"/>
      <c r="AF716" s="28"/>
      <c r="AG716" s="28"/>
      <c r="AH716" s="28"/>
      <c r="AI716" s="28"/>
      <c r="AJ716" s="28"/>
      <c r="AK716" s="328"/>
      <c r="AL716" s="328"/>
      <c r="AM716" s="328"/>
      <c r="AN716" s="28"/>
      <c r="AO716" s="28"/>
      <c r="AP716" s="28"/>
      <c r="AQ716" s="28" t="s">
        <v>2698</v>
      </c>
      <c r="AR716" s="332"/>
    </row>
    <row r="717" spans="1:44" ht="15" customHeight="1">
      <c r="A717" s="28">
        <v>3010307</v>
      </c>
      <c r="B717" s="528" t="s">
        <v>2676</v>
      </c>
      <c r="C717" s="303" t="s">
        <v>2699</v>
      </c>
      <c r="D717" s="28" t="s">
        <v>2601</v>
      </c>
      <c r="E717" s="28"/>
      <c r="F717" s="36">
        <v>6</v>
      </c>
      <c r="G717" s="47">
        <v>8</v>
      </c>
      <c r="H717" s="28" t="s">
        <v>136</v>
      </c>
      <c r="I717" s="28" t="s">
        <v>137</v>
      </c>
      <c r="J717" s="28"/>
      <c r="K717" s="28"/>
      <c r="L717" s="473" t="s">
        <v>2700</v>
      </c>
      <c r="M717" s="301"/>
      <c r="N717" s="301"/>
      <c r="O717" s="303"/>
      <c r="P717" s="302"/>
      <c r="Q717" s="302">
        <v>0</v>
      </c>
      <c r="R717" s="302" t="s">
        <v>153</v>
      </c>
      <c r="S717" s="28"/>
      <c r="T717" s="319"/>
      <c r="U717" s="320"/>
      <c r="V717" s="302"/>
      <c r="W717" s="589" t="s">
        <v>2701</v>
      </c>
      <c r="X717" s="589" t="s">
        <v>2701</v>
      </c>
      <c r="Y717" s="302">
        <v>0</v>
      </c>
      <c r="Z717" s="302">
        <v>0</v>
      </c>
      <c r="AA717" s="302"/>
      <c r="AB717" s="302"/>
      <c r="AC717" s="28"/>
      <c r="AD717" s="28"/>
      <c r="AE717" s="28"/>
      <c r="AF717" s="28"/>
      <c r="AG717" s="28"/>
      <c r="AH717" s="28"/>
      <c r="AI717" s="28"/>
      <c r="AJ717" s="28"/>
      <c r="AK717" s="328"/>
      <c r="AL717" s="328"/>
      <c r="AM717" s="328"/>
      <c r="AN717" s="28"/>
      <c r="AO717" s="28"/>
      <c r="AP717" s="28"/>
      <c r="AQ717" s="28" t="s">
        <v>2702</v>
      </c>
      <c r="AR717" s="332"/>
    </row>
    <row r="718" spans="1:44" ht="15" customHeight="1">
      <c r="A718" s="28">
        <v>3010308</v>
      </c>
      <c r="B718" s="528" t="s">
        <v>2676</v>
      </c>
      <c r="C718" s="303" t="s">
        <v>2703</v>
      </c>
      <c r="D718" s="28" t="s">
        <v>2601</v>
      </c>
      <c r="E718" s="28"/>
      <c r="F718" s="36">
        <v>7</v>
      </c>
      <c r="G718" s="48">
        <v>8</v>
      </c>
      <c r="H718" s="28" t="s">
        <v>136</v>
      </c>
      <c r="I718" s="28" t="s">
        <v>137</v>
      </c>
      <c r="J718" s="28"/>
      <c r="K718" s="28"/>
      <c r="L718" s="473" t="s">
        <v>2704</v>
      </c>
      <c r="M718" s="301"/>
      <c r="N718" s="301"/>
      <c r="O718" s="303"/>
      <c r="P718" s="302"/>
      <c r="Q718" s="302">
        <v>0</v>
      </c>
      <c r="R718" s="302" t="s">
        <v>153</v>
      </c>
      <c r="S718" s="28">
        <v>3010306</v>
      </c>
      <c r="T718" s="319"/>
      <c r="U718" s="320"/>
      <c r="V718" s="302" t="s">
        <v>582</v>
      </c>
      <c r="W718" s="589" t="s">
        <v>2705</v>
      </c>
      <c r="X718" s="589" t="s">
        <v>2705</v>
      </c>
      <c r="Y718" s="302">
        <v>0</v>
      </c>
      <c r="Z718" s="302">
        <v>0</v>
      </c>
      <c r="AA718" s="302"/>
      <c r="AB718" s="302"/>
      <c r="AC718" s="28"/>
      <c r="AD718" s="28"/>
      <c r="AE718" s="28"/>
      <c r="AF718" s="28"/>
      <c r="AG718" s="28"/>
      <c r="AH718" s="28"/>
      <c r="AI718" s="28"/>
      <c r="AJ718" s="28"/>
      <c r="AK718" s="328"/>
      <c r="AL718" s="328"/>
      <c r="AM718" s="328"/>
      <c r="AN718" s="28"/>
      <c r="AO718" s="28"/>
      <c r="AP718" s="28"/>
      <c r="AQ718" s="28" t="s">
        <v>2706</v>
      </c>
      <c r="AR718" s="332"/>
    </row>
    <row r="719" spans="1:44" ht="15" customHeight="1">
      <c r="A719" s="3">
        <v>3010309</v>
      </c>
      <c r="B719" s="3" t="s">
        <v>2676</v>
      </c>
      <c r="C719" s="236" t="s">
        <v>2707</v>
      </c>
      <c r="D719" s="3" t="s">
        <v>81</v>
      </c>
      <c r="E719" s="3">
        <v>0</v>
      </c>
      <c r="F719" s="3">
        <v>8</v>
      </c>
      <c r="G719" s="47">
        <v>8</v>
      </c>
      <c r="H719" s="3" t="s">
        <v>136</v>
      </c>
      <c r="I719" s="3" t="s">
        <v>137</v>
      </c>
      <c r="J719" s="3"/>
      <c r="K719" s="3"/>
      <c r="L719" s="236"/>
      <c r="M719" s="99"/>
      <c r="N719" s="99"/>
      <c r="O719" s="236"/>
      <c r="P719" s="22"/>
      <c r="Q719" s="22">
        <v>0</v>
      </c>
      <c r="R719" s="22" t="s">
        <v>153</v>
      </c>
      <c r="S719" s="3"/>
      <c r="T719" s="260"/>
      <c r="U719" s="261"/>
      <c r="V719" s="22"/>
      <c r="W719" s="567" t="s">
        <v>2634</v>
      </c>
      <c r="X719" s="567" t="s">
        <v>2634</v>
      </c>
      <c r="Y719" s="22"/>
      <c r="Z719" s="22"/>
      <c r="AA719" s="22"/>
      <c r="AB719" s="22" t="s">
        <v>114</v>
      </c>
      <c r="AC719" s="3"/>
      <c r="AD719" s="3"/>
      <c r="AE719" s="3">
        <v>0</v>
      </c>
      <c r="AF719" s="3">
        <v>0</v>
      </c>
      <c r="AG719" s="3">
        <v>0</v>
      </c>
      <c r="AH719" s="3"/>
      <c r="AI719" s="3">
        <v>0</v>
      </c>
      <c r="AJ719" s="3">
        <v>0</v>
      </c>
      <c r="AK719" s="3">
        <v>0</v>
      </c>
      <c r="AL719" s="3"/>
      <c r="AM719" s="3"/>
      <c r="AN719" s="3"/>
      <c r="AO719" s="3"/>
      <c r="AP719" s="3"/>
      <c r="AQ719" s="3" t="s">
        <v>2687</v>
      </c>
      <c r="AR719" s="281"/>
    </row>
    <row r="720" spans="1:44" ht="15" customHeight="1">
      <c r="A720" s="7">
        <v>3010401</v>
      </c>
      <c r="B720" s="324" t="s">
        <v>2708</v>
      </c>
      <c r="C720" s="350" t="s">
        <v>2709</v>
      </c>
      <c r="D720" s="7" t="s">
        <v>2601</v>
      </c>
      <c r="E720" s="7"/>
      <c r="F720" s="36">
        <v>1</v>
      </c>
      <c r="G720" s="48">
        <v>8</v>
      </c>
      <c r="H720" s="7" t="s">
        <v>82</v>
      </c>
      <c r="I720" s="7" t="s">
        <v>101</v>
      </c>
      <c r="J720" s="7"/>
      <c r="K720" s="7"/>
      <c r="L720" s="237" t="s">
        <v>2710</v>
      </c>
      <c r="M720" s="238"/>
      <c r="N720" s="378">
        <v>20</v>
      </c>
      <c r="O720" s="350"/>
      <c r="P720" s="239"/>
      <c r="Q720" s="239">
        <v>0</v>
      </c>
      <c r="R720" s="239" t="s">
        <v>153</v>
      </c>
      <c r="S720" s="7">
        <v>3010401</v>
      </c>
      <c r="T720" s="262"/>
      <c r="U720" s="263"/>
      <c r="V720" s="239" t="s">
        <v>582</v>
      </c>
      <c r="W720" s="568" t="s">
        <v>2711</v>
      </c>
      <c r="X720" s="568" t="s">
        <v>2711</v>
      </c>
      <c r="Y720" s="239">
        <v>0</v>
      </c>
      <c r="Z720" s="239">
        <v>0</v>
      </c>
      <c r="AA720" s="239"/>
      <c r="AB720" s="239"/>
      <c r="AC720" s="7"/>
      <c r="AD720" s="7"/>
      <c r="AE720" s="7">
        <v>2</v>
      </c>
      <c r="AF720" s="7"/>
      <c r="AG720" s="7">
        <v>30</v>
      </c>
      <c r="AH720" s="7"/>
      <c r="AI720" s="7"/>
      <c r="AJ720" s="7"/>
      <c r="AK720" s="273"/>
      <c r="AL720" s="273"/>
      <c r="AM720" s="273"/>
      <c r="AN720" s="43" t="s">
        <v>2712</v>
      </c>
      <c r="AO720" s="7"/>
      <c r="AP720" s="7"/>
      <c r="AQ720" s="7" t="s">
        <v>2713</v>
      </c>
      <c r="AR720" s="283"/>
    </row>
    <row r="721" spans="1:44" ht="15" customHeight="1">
      <c r="A721" s="7">
        <v>3010402</v>
      </c>
      <c r="B721" s="324" t="s">
        <v>2708</v>
      </c>
      <c r="C721" s="350" t="s">
        <v>2714</v>
      </c>
      <c r="D721" s="7" t="s">
        <v>2601</v>
      </c>
      <c r="E721" s="7"/>
      <c r="F721" s="36">
        <v>1</v>
      </c>
      <c r="G721" s="47">
        <v>8</v>
      </c>
      <c r="H721" s="7" t="s">
        <v>136</v>
      </c>
      <c r="I721" s="7" t="s">
        <v>137</v>
      </c>
      <c r="J721" s="7"/>
      <c r="K721" s="7"/>
      <c r="L721" s="237" t="s">
        <v>2658</v>
      </c>
      <c r="M721" s="238"/>
      <c r="N721" s="238"/>
      <c r="O721" s="350"/>
      <c r="P721" s="239"/>
      <c r="Q721" s="239">
        <v>0</v>
      </c>
      <c r="R721" s="239" t="s">
        <v>153</v>
      </c>
      <c r="S721" s="7">
        <v>3010402</v>
      </c>
      <c r="T721" s="262"/>
      <c r="U721" s="263"/>
      <c r="V721" s="239" t="s">
        <v>582</v>
      </c>
      <c r="W721" s="568" t="s">
        <v>2715</v>
      </c>
      <c r="X721" s="568" t="s">
        <v>2715</v>
      </c>
      <c r="Y721" s="239">
        <v>0</v>
      </c>
      <c r="Z721" s="239">
        <v>0</v>
      </c>
      <c r="AA721" s="239"/>
      <c r="AB721" s="239"/>
      <c r="AC721" s="7"/>
      <c r="AD721" s="7"/>
      <c r="AE721" s="7">
        <v>0</v>
      </c>
      <c r="AF721" s="7"/>
      <c r="AG721" s="7"/>
      <c r="AH721" s="7"/>
      <c r="AI721" s="7"/>
      <c r="AJ721" s="7"/>
      <c r="AK721" s="273"/>
      <c r="AL721" s="273"/>
      <c r="AM721" s="273"/>
      <c r="AN721" s="7"/>
      <c r="AO721" s="7"/>
      <c r="AP721" s="7"/>
      <c r="AQ721" s="7" t="s">
        <v>2716</v>
      </c>
      <c r="AR721" s="283"/>
    </row>
    <row r="722" spans="1:44" ht="15" customHeight="1">
      <c r="A722" s="7">
        <v>3010403</v>
      </c>
      <c r="B722" s="324" t="s">
        <v>2708</v>
      </c>
      <c r="C722" s="350" t="s">
        <v>2717</v>
      </c>
      <c r="D722" s="7" t="s">
        <v>2601</v>
      </c>
      <c r="E722" s="7"/>
      <c r="F722" s="36">
        <v>2</v>
      </c>
      <c r="G722" s="48">
        <v>8</v>
      </c>
      <c r="H722" s="7" t="s">
        <v>136</v>
      </c>
      <c r="I722" s="7" t="s">
        <v>137</v>
      </c>
      <c r="J722" s="7"/>
      <c r="K722" s="7"/>
      <c r="L722" s="237" t="s">
        <v>2718</v>
      </c>
      <c r="M722" s="238"/>
      <c r="N722" s="238"/>
      <c r="O722" s="350"/>
      <c r="P722" s="239"/>
      <c r="Q722" s="239"/>
      <c r="R722" s="239"/>
      <c r="S722" s="7"/>
      <c r="T722" s="262"/>
      <c r="U722" s="263"/>
      <c r="V722" s="239"/>
      <c r="W722" s="568" t="s">
        <v>2719</v>
      </c>
      <c r="X722" s="568" t="s">
        <v>2719</v>
      </c>
      <c r="Y722" s="239">
        <v>0</v>
      </c>
      <c r="Z722" s="239">
        <v>0</v>
      </c>
      <c r="AA722" s="239"/>
      <c r="AB722" s="239"/>
      <c r="AC722" s="7"/>
      <c r="AD722" s="7"/>
      <c r="AE722" s="7">
        <v>0</v>
      </c>
      <c r="AF722" s="7"/>
      <c r="AG722" s="7"/>
      <c r="AH722" s="7"/>
      <c r="AI722" s="7"/>
      <c r="AJ722" s="7"/>
      <c r="AK722" s="273"/>
      <c r="AL722" s="273"/>
      <c r="AM722" s="273"/>
      <c r="AN722" s="7"/>
      <c r="AO722" s="7"/>
      <c r="AP722" s="7"/>
      <c r="AQ722" s="7" t="s">
        <v>2720</v>
      </c>
      <c r="AR722" s="283"/>
    </row>
    <row r="723" spans="1:44" ht="15" customHeight="1">
      <c r="A723" s="7">
        <v>3010404</v>
      </c>
      <c r="B723" s="324" t="s">
        <v>2708</v>
      </c>
      <c r="C723" s="350" t="s">
        <v>2721</v>
      </c>
      <c r="D723" s="7" t="s">
        <v>2601</v>
      </c>
      <c r="E723" s="7"/>
      <c r="F723" s="36">
        <v>3</v>
      </c>
      <c r="G723" s="47">
        <v>8</v>
      </c>
      <c r="H723" s="7" t="s">
        <v>136</v>
      </c>
      <c r="I723" s="7" t="s">
        <v>137</v>
      </c>
      <c r="J723" s="7"/>
      <c r="K723" s="7"/>
      <c r="L723" s="237" t="s">
        <v>2722</v>
      </c>
      <c r="M723" s="238"/>
      <c r="N723" s="238"/>
      <c r="O723" s="350"/>
      <c r="P723" s="239"/>
      <c r="Q723" s="239">
        <v>0</v>
      </c>
      <c r="R723" s="239" t="s">
        <v>153</v>
      </c>
      <c r="S723" s="7">
        <v>3010403</v>
      </c>
      <c r="T723" s="262"/>
      <c r="U723" s="263"/>
      <c r="V723" s="239" t="s">
        <v>582</v>
      </c>
      <c r="W723" s="568" t="s">
        <v>2723</v>
      </c>
      <c r="X723" s="568" t="s">
        <v>2723</v>
      </c>
      <c r="Y723" s="239">
        <v>0</v>
      </c>
      <c r="Z723" s="239">
        <v>0</v>
      </c>
      <c r="AA723" s="239"/>
      <c r="AB723" s="239"/>
      <c r="AC723" s="7"/>
      <c r="AD723" s="7"/>
      <c r="AE723" s="7">
        <v>0</v>
      </c>
      <c r="AF723" s="7"/>
      <c r="AG723" s="7"/>
      <c r="AH723" s="7"/>
      <c r="AI723" s="7"/>
      <c r="AJ723" s="7"/>
      <c r="AK723" s="273"/>
      <c r="AL723" s="273"/>
      <c r="AM723" s="273"/>
      <c r="AN723" s="7"/>
      <c r="AO723" s="7"/>
      <c r="AP723" s="7"/>
      <c r="AQ723" s="7" t="s">
        <v>2724</v>
      </c>
      <c r="AR723" s="283"/>
    </row>
    <row r="724" spans="1:44" ht="15" customHeight="1">
      <c r="A724" s="7">
        <v>3010405</v>
      </c>
      <c r="B724" s="324" t="s">
        <v>2708</v>
      </c>
      <c r="C724" s="350" t="s">
        <v>2725</v>
      </c>
      <c r="D724" s="7" t="s">
        <v>2601</v>
      </c>
      <c r="E724" s="7"/>
      <c r="F724" s="36">
        <v>4</v>
      </c>
      <c r="G724" s="48">
        <v>8</v>
      </c>
      <c r="H724" s="7" t="s">
        <v>136</v>
      </c>
      <c r="I724" s="7" t="s">
        <v>137</v>
      </c>
      <c r="J724" s="7"/>
      <c r="K724" s="7"/>
      <c r="L724" s="237" t="s">
        <v>2726</v>
      </c>
      <c r="M724" s="238"/>
      <c r="N724" s="238"/>
      <c r="O724" s="350"/>
      <c r="P724" s="239"/>
      <c r="Q724" s="239"/>
      <c r="R724" s="239"/>
      <c r="S724" s="7"/>
      <c r="T724" s="262"/>
      <c r="U724" s="263"/>
      <c r="V724" s="239"/>
      <c r="W724" s="568" t="s">
        <v>2727</v>
      </c>
      <c r="X724" s="568" t="s">
        <v>2727</v>
      </c>
      <c r="Y724" s="239">
        <v>0</v>
      </c>
      <c r="Z724" s="239">
        <v>0</v>
      </c>
      <c r="AA724" s="239"/>
      <c r="AB724" s="239"/>
      <c r="AC724" s="7"/>
      <c r="AD724" s="7"/>
      <c r="AE724" s="7">
        <v>0</v>
      </c>
      <c r="AF724" s="7"/>
      <c r="AG724" s="7"/>
      <c r="AH724" s="7"/>
      <c r="AI724" s="7"/>
      <c r="AJ724" s="7"/>
      <c r="AK724" s="273"/>
      <c r="AL724" s="273"/>
      <c r="AM724" s="273"/>
      <c r="AN724" s="7"/>
      <c r="AO724" s="7"/>
      <c r="AP724" s="7"/>
      <c r="AQ724" s="7" t="s">
        <v>2728</v>
      </c>
      <c r="AR724" s="283"/>
    </row>
    <row r="725" spans="1:44" ht="15" customHeight="1">
      <c r="A725" s="7">
        <v>3010406</v>
      </c>
      <c r="B725" s="7" t="s">
        <v>2708</v>
      </c>
      <c r="C725" s="350" t="s">
        <v>2729</v>
      </c>
      <c r="D725" s="7" t="s">
        <v>2601</v>
      </c>
      <c r="E725" s="7"/>
      <c r="F725" s="36">
        <v>5</v>
      </c>
      <c r="G725" s="47">
        <v>8</v>
      </c>
      <c r="H725" s="7" t="s">
        <v>136</v>
      </c>
      <c r="I725" s="7" t="s">
        <v>137</v>
      </c>
      <c r="J725" s="7"/>
      <c r="K725" s="7"/>
      <c r="L725" s="350" t="s">
        <v>2730</v>
      </c>
      <c r="M725" s="238"/>
      <c r="N725" s="238"/>
      <c r="O725" s="350"/>
      <c r="P725" s="239"/>
      <c r="Q725" s="239">
        <v>0</v>
      </c>
      <c r="R725" s="239" t="s">
        <v>153</v>
      </c>
      <c r="S725" s="7">
        <v>3010404</v>
      </c>
      <c r="T725" s="262"/>
      <c r="U725" s="263"/>
      <c r="V725" s="239" t="s">
        <v>582</v>
      </c>
      <c r="W725" s="568" t="s">
        <v>2731</v>
      </c>
      <c r="X725" s="568" t="s">
        <v>2731</v>
      </c>
      <c r="Y725" s="239">
        <v>0</v>
      </c>
      <c r="Z725" s="239">
        <v>0</v>
      </c>
      <c r="AA725" s="239"/>
      <c r="AB725" s="239"/>
      <c r="AC725" s="7"/>
      <c r="AD725" s="7"/>
      <c r="AE725" s="7">
        <v>0</v>
      </c>
      <c r="AF725" s="7"/>
      <c r="AG725" s="7"/>
      <c r="AH725" s="7"/>
      <c r="AI725" s="7"/>
      <c r="AJ725" s="7"/>
      <c r="AK725" s="273"/>
      <c r="AL725" s="273"/>
      <c r="AM725" s="273"/>
      <c r="AN725" s="7"/>
      <c r="AO725" s="7"/>
      <c r="AP725" s="7"/>
      <c r="AQ725" s="7" t="s">
        <v>2732</v>
      </c>
      <c r="AR725" s="283"/>
    </row>
    <row r="726" spans="1:44" ht="15" customHeight="1">
      <c r="A726" s="7">
        <v>3010407</v>
      </c>
      <c r="B726" s="7" t="s">
        <v>2708</v>
      </c>
      <c r="C726" s="350" t="s">
        <v>2733</v>
      </c>
      <c r="D726" s="7" t="s">
        <v>2601</v>
      </c>
      <c r="E726" s="7"/>
      <c r="F726" s="36">
        <v>6</v>
      </c>
      <c r="G726" s="48">
        <v>8</v>
      </c>
      <c r="H726" s="7" t="s">
        <v>136</v>
      </c>
      <c r="I726" s="7" t="s">
        <v>137</v>
      </c>
      <c r="J726" s="7"/>
      <c r="K726" s="7"/>
      <c r="L726" s="350" t="s">
        <v>2734</v>
      </c>
      <c r="M726" s="238"/>
      <c r="N726" s="238"/>
      <c r="O726" s="350"/>
      <c r="P726" s="239"/>
      <c r="Q726" s="239">
        <v>0</v>
      </c>
      <c r="R726" s="239" t="s">
        <v>153</v>
      </c>
      <c r="S726" s="7">
        <v>3010405</v>
      </c>
      <c r="T726" s="262"/>
      <c r="U726" s="263"/>
      <c r="V726" s="239" t="s">
        <v>582</v>
      </c>
      <c r="W726" s="568" t="s">
        <v>2723</v>
      </c>
      <c r="X726" s="568" t="s">
        <v>2723</v>
      </c>
      <c r="Y726" s="239">
        <v>0</v>
      </c>
      <c r="Z726" s="239">
        <v>0</v>
      </c>
      <c r="AA726" s="239"/>
      <c r="AB726" s="239"/>
      <c r="AC726" s="7"/>
      <c r="AD726" s="7"/>
      <c r="AE726" s="7">
        <v>0</v>
      </c>
      <c r="AF726" s="7"/>
      <c r="AG726" s="7"/>
      <c r="AH726" s="7"/>
      <c r="AI726" s="7"/>
      <c r="AJ726" s="7"/>
      <c r="AK726" s="273"/>
      <c r="AL726" s="273"/>
      <c r="AM726" s="273"/>
      <c r="AN726" s="7"/>
      <c r="AO726" s="7"/>
      <c r="AP726" s="7"/>
      <c r="AQ726" s="7" t="s">
        <v>2735</v>
      </c>
      <c r="AR726" s="283"/>
    </row>
    <row r="727" spans="1:44" ht="15" customHeight="1">
      <c r="A727" s="7">
        <v>3010408</v>
      </c>
      <c r="B727" s="7" t="s">
        <v>2708</v>
      </c>
      <c r="C727" s="350" t="s">
        <v>2736</v>
      </c>
      <c r="D727" s="7" t="s">
        <v>2601</v>
      </c>
      <c r="E727" s="7"/>
      <c r="F727" s="36">
        <v>7</v>
      </c>
      <c r="G727" s="47">
        <v>8</v>
      </c>
      <c r="H727" s="7" t="s">
        <v>136</v>
      </c>
      <c r="I727" s="7" t="s">
        <v>137</v>
      </c>
      <c r="J727" s="7"/>
      <c r="K727" s="7"/>
      <c r="L727" s="350" t="s">
        <v>2737</v>
      </c>
      <c r="M727" s="238"/>
      <c r="N727" s="238"/>
      <c r="O727" s="350"/>
      <c r="P727" s="239"/>
      <c r="Q727" s="239">
        <v>0</v>
      </c>
      <c r="R727" s="239" t="s">
        <v>153</v>
      </c>
      <c r="S727" s="7">
        <v>3010406</v>
      </c>
      <c r="T727" s="262"/>
      <c r="U727" s="263"/>
      <c r="V727" s="239" t="s">
        <v>582</v>
      </c>
      <c r="W727" s="568" t="s">
        <v>2738</v>
      </c>
      <c r="X727" s="568" t="s">
        <v>2738</v>
      </c>
      <c r="Y727" s="239">
        <v>0</v>
      </c>
      <c r="Z727" s="239">
        <v>0</v>
      </c>
      <c r="AA727" s="239"/>
      <c r="AB727" s="239"/>
      <c r="AC727" s="7"/>
      <c r="AD727" s="7"/>
      <c r="AE727" s="7">
        <v>0</v>
      </c>
      <c r="AF727" s="7"/>
      <c r="AG727" s="7"/>
      <c r="AH727" s="7"/>
      <c r="AI727" s="7"/>
      <c r="AJ727" s="7"/>
      <c r="AK727" s="273"/>
      <c r="AL727" s="273"/>
      <c r="AM727" s="273"/>
      <c r="AN727" s="7"/>
      <c r="AO727" s="7"/>
      <c r="AP727" s="7"/>
      <c r="AQ727" s="7" t="s">
        <v>2739</v>
      </c>
      <c r="AR727" s="283"/>
    </row>
    <row r="728" spans="1:44" ht="15" customHeight="1">
      <c r="A728" s="3">
        <v>3010409</v>
      </c>
      <c r="B728" s="3" t="s">
        <v>2708</v>
      </c>
      <c r="C728" s="236" t="s">
        <v>2740</v>
      </c>
      <c r="D728" s="3" t="s">
        <v>2601</v>
      </c>
      <c r="E728" s="3">
        <v>0</v>
      </c>
      <c r="F728" s="3">
        <v>8</v>
      </c>
      <c r="G728" s="48">
        <v>8</v>
      </c>
      <c r="H728" s="3" t="s">
        <v>136</v>
      </c>
      <c r="I728" s="3" t="s">
        <v>137</v>
      </c>
      <c r="J728" s="3"/>
      <c r="K728" s="3"/>
      <c r="L728" s="236"/>
      <c r="M728" s="99"/>
      <c r="N728" s="99"/>
      <c r="O728" s="236"/>
      <c r="P728" s="22"/>
      <c r="Q728" s="22">
        <v>0</v>
      </c>
      <c r="R728" s="22" t="s">
        <v>153</v>
      </c>
      <c r="S728" s="3"/>
      <c r="T728" s="260"/>
      <c r="U728" s="261"/>
      <c r="V728" s="22"/>
      <c r="W728" s="567" t="s">
        <v>2634</v>
      </c>
      <c r="X728" s="567" t="s">
        <v>2634</v>
      </c>
      <c r="Y728" s="22"/>
      <c r="Z728" s="22"/>
      <c r="AA728" s="22"/>
      <c r="AB728" s="22" t="s">
        <v>114</v>
      </c>
      <c r="AC728" s="3"/>
      <c r="AD728" s="3"/>
      <c r="AE728" s="3">
        <v>0</v>
      </c>
      <c r="AF728" s="3">
        <v>0</v>
      </c>
      <c r="AG728" s="3">
        <v>0</v>
      </c>
      <c r="AH728" s="3"/>
      <c r="AI728" s="3">
        <v>0</v>
      </c>
      <c r="AJ728" s="3">
        <v>0</v>
      </c>
      <c r="AK728" s="3">
        <v>0</v>
      </c>
      <c r="AL728" s="3"/>
      <c r="AM728" s="3"/>
      <c r="AN728" s="3"/>
      <c r="AO728" s="3"/>
      <c r="AP728" s="3"/>
      <c r="AQ728" s="3" t="s">
        <v>2720</v>
      </c>
      <c r="AR728" s="281"/>
    </row>
    <row r="729" spans="1:44" ht="15" customHeight="1">
      <c r="A729" s="3">
        <v>3010410</v>
      </c>
      <c r="B729" s="3" t="s">
        <v>2708</v>
      </c>
      <c r="C729" s="236" t="s">
        <v>2741</v>
      </c>
      <c r="D729" s="3" t="s">
        <v>2601</v>
      </c>
      <c r="F729" s="3">
        <v>9</v>
      </c>
      <c r="G729" s="47">
        <v>8</v>
      </c>
      <c r="H729" s="3" t="s">
        <v>136</v>
      </c>
      <c r="I729" s="3" t="s">
        <v>137</v>
      </c>
      <c r="J729" s="3"/>
      <c r="K729" s="3"/>
      <c r="L729" s="236"/>
      <c r="M729" s="99"/>
      <c r="N729" s="99"/>
      <c r="O729" s="236"/>
      <c r="P729" s="22"/>
      <c r="Q729" s="22">
        <v>0</v>
      </c>
      <c r="R729" s="22" t="s">
        <v>153</v>
      </c>
      <c r="S729" s="3"/>
      <c r="T729" s="260"/>
      <c r="U729" s="261"/>
      <c r="V729" s="22"/>
      <c r="W729" s="567" t="s">
        <v>2742</v>
      </c>
      <c r="X729" s="567" t="s">
        <v>2742</v>
      </c>
      <c r="Y729" s="22"/>
      <c r="Z729" s="22"/>
      <c r="AA729" s="22"/>
      <c r="AB729" s="22" t="s">
        <v>114</v>
      </c>
      <c r="AC729" s="3"/>
      <c r="AD729" s="3"/>
      <c r="AE729" s="3">
        <v>0</v>
      </c>
      <c r="AF729" s="3">
        <v>0</v>
      </c>
      <c r="AG729" s="3">
        <v>0</v>
      </c>
      <c r="AH729" s="3"/>
      <c r="AI729" s="3">
        <v>0</v>
      </c>
      <c r="AJ729" s="3">
        <v>0</v>
      </c>
      <c r="AK729" s="3">
        <v>0</v>
      </c>
      <c r="AL729" s="3"/>
      <c r="AM729" s="3"/>
      <c r="AN729" s="3"/>
      <c r="AO729" s="3"/>
      <c r="AP729" s="3"/>
      <c r="AQ729" s="282" t="str">
        <f>"tricks/"&amp;A729</f>
        <v>tricks/3010410</v>
      </c>
    </row>
    <row r="730" spans="1:44" ht="15" customHeight="1">
      <c r="A730" s="3">
        <v>3010411</v>
      </c>
      <c r="B730" s="3" t="s">
        <v>2708</v>
      </c>
      <c r="C730" s="236" t="s">
        <v>2743</v>
      </c>
      <c r="D730" s="3" t="s">
        <v>2601</v>
      </c>
      <c r="F730" s="3">
        <v>10</v>
      </c>
      <c r="G730" s="48">
        <v>8</v>
      </c>
      <c r="H730" s="3" t="s">
        <v>136</v>
      </c>
      <c r="I730" s="3" t="s">
        <v>137</v>
      </c>
      <c r="J730" s="3"/>
      <c r="K730" s="3"/>
      <c r="L730" s="236"/>
      <c r="M730" s="99"/>
      <c r="N730" s="99"/>
      <c r="O730" s="236"/>
      <c r="P730" s="22"/>
      <c r="Q730" s="22">
        <v>0</v>
      </c>
      <c r="R730" s="22" t="s">
        <v>153</v>
      </c>
      <c r="S730" s="3"/>
      <c r="T730" s="260"/>
      <c r="U730" s="261"/>
      <c r="V730" s="22"/>
      <c r="W730" s="567" t="s">
        <v>2744</v>
      </c>
      <c r="X730" s="567" t="s">
        <v>2744</v>
      </c>
      <c r="Y730" s="22"/>
      <c r="Z730" s="22"/>
      <c r="AA730" s="22"/>
      <c r="AB730" s="22" t="s">
        <v>114</v>
      </c>
      <c r="AC730" s="3"/>
      <c r="AD730" s="3"/>
      <c r="AE730" s="3">
        <v>0</v>
      </c>
      <c r="AF730" s="3">
        <v>0</v>
      </c>
      <c r="AG730" s="3">
        <v>0</v>
      </c>
      <c r="AH730" s="3"/>
      <c r="AI730" s="3">
        <v>0</v>
      </c>
      <c r="AJ730" s="3">
        <v>0</v>
      </c>
      <c r="AK730" s="3">
        <v>0</v>
      </c>
      <c r="AL730" s="3"/>
      <c r="AM730" s="3"/>
      <c r="AN730" s="3"/>
      <c r="AO730" s="3"/>
      <c r="AP730" s="3"/>
      <c r="AQ730" s="282" t="str">
        <f>"tricks/"&amp;A730</f>
        <v>tricks/3010411</v>
      </c>
    </row>
    <row r="731" spans="1:44" ht="15" customHeight="1">
      <c r="A731" s="38">
        <v>3010501</v>
      </c>
      <c r="B731" s="38" t="s">
        <v>2745</v>
      </c>
      <c r="C731" s="428" t="s">
        <v>2746</v>
      </c>
      <c r="D731" s="38" t="s">
        <v>2601</v>
      </c>
      <c r="E731" s="38"/>
      <c r="F731" s="36">
        <v>1</v>
      </c>
      <c r="G731" s="47">
        <v>8</v>
      </c>
      <c r="H731" s="7" t="s">
        <v>82</v>
      </c>
      <c r="I731" s="38" t="s">
        <v>101</v>
      </c>
      <c r="J731" s="38">
        <v>1</v>
      </c>
      <c r="K731" s="38"/>
      <c r="L731" s="428" t="s">
        <v>2747</v>
      </c>
      <c r="M731" s="426"/>
      <c r="N731" s="426"/>
      <c r="O731" s="428"/>
      <c r="P731" s="427"/>
      <c r="Q731" s="427">
        <v>0</v>
      </c>
      <c r="R731" s="427" t="s">
        <v>153</v>
      </c>
      <c r="S731" s="38">
        <v>3010501</v>
      </c>
      <c r="T731" s="386"/>
      <c r="U731" s="387"/>
      <c r="V731" s="427" t="s">
        <v>582</v>
      </c>
      <c r="W731" s="601" t="s">
        <v>2748</v>
      </c>
      <c r="X731" s="601" t="s">
        <v>2748</v>
      </c>
      <c r="Y731" s="427">
        <v>0</v>
      </c>
      <c r="Z731" s="427">
        <v>0</v>
      </c>
      <c r="AA731" s="427"/>
      <c r="AB731" s="427"/>
      <c r="AC731" s="38"/>
      <c r="AD731" s="38"/>
      <c r="AE731" s="38">
        <v>0</v>
      </c>
      <c r="AF731" s="38"/>
      <c r="AG731" s="38"/>
      <c r="AH731" s="38"/>
      <c r="AI731" s="38"/>
      <c r="AJ731" s="38"/>
      <c r="AK731" s="436"/>
      <c r="AL731" s="436"/>
      <c r="AM731" s="436"/>
      <c r="AN731" s="43"/>
      <c r="AO731" s="38"/>
      <c r="AP731" s="38"/>
      <c r="AQ731" s="38" t="s">
        <v>2749</v>
      </c>
      <c r="AR731" s="406"/>
    </row>
    <row r="732" spans="1:44" ht="15" customHeight="1">
      <c r="A732" s="38">
        <v>3010502</v>
      </c>
      <c r="B732" s="38" t="s">
        <v>2745</v>
      </c>
      <c r="C732" s="428" t="s">
        <v>2750</v>
      </c>
      <c r="D732" s="38" t="s">
        <v>2601</v>
      </c>
      <c r="E732" s="38"/>
      <c r="F732" s="36">
        <v>1</v>
      </c>
      <c r="G732" s="48">
        <v>8</v>
      </c>
      <c r="H732" s="38" t="s">
        <v>136</v>
      </c>
      <c r="I732" s="38" t="s">
        <v>137</v>
      </c>
      <c r="J732" s="38"/>
      <c r="K732" s="38"/>
      <c r="L732" s="428" t="s">
        <v>2751</v>
      </c>
      <c r="M732" s="426"/>
      <c r="N732" s="426"/>
      <c r="O732" s="428"/>
      <c r="P732" s="427"/>
      <c r="Q732" s="427">
        <v>0</v>
      </c>
      <c r="R732" s="427" t="s">
        <v>153</v>
      </c>
      <c r="S732" s="38">
        <v>3010502</v>
      </c>
      <c r="T732" s="386"/>
      <c r="U732" s="387"/>
      <c r="V732" s="427" t="s">
        <v>582</v>
      </c>
      <c r="W732" s="601" t="s">
        <v>2752</v>
      </c>
      <c r="X732" s="601" t="s">
        <v>2752</v>
      </c>
      <c r="Y732" s="427">
        <v>0</v>
      </c>
      <c r="Z732" s="427">
        <v>0</v>
      </c>
      <c r="AA732" s="427"/>
      <c r="AB732" s="427"/>
      <c r="AC732" s="38"/>
      <c r="AD732" s="38"/>
      <c r="AE732" s="38">
        <v>0</v>
      </c>
      <c r="AF732" s="38"/>
      <c r="AG732" s="38"/>
      <c r="AH732" s="38"/>
      <c r="AI732" s="38"/>
      <c r="AJ732" s="38"/>
      <c r="AK732" s="436"/>
      <c r="AL732" s="436"/>
      <c r="AM732" s="436"/>
      <c r="AN732" s="38"/>
      <c r="AO732" s="38"/>
      <c r="AP732" s="38"/>
      <c r="AQ732" s="38" t="s">
        <v>2753</v>
      </c>
      <c r="AR732" s="406"/>
    </row>
    <row r="733" spans="1:44" ht="15" customHeight="1">
      <c r="A733" s="38">
        <v>3010503</v>
      </c>
      <c r="B733" s="38" t="s">
        <v>2745</v>
      </c>
      <c r="C733" s="428" t="s">
        <v>2754</v>
      </c>
      <c r="D733" s="38" t="s">
        <v>2601</v>
      </c>
      <c r="E733" s="38"/>
      <c r="F733" s="36">
        <v>2</v>
      </c>
      <c r="G733" s="47">
        <v>8</v>
      </c>
      <c r="H733" s="38" t="s">
        <v>136</v>
      </c>
      <c r="I733" s="38" t="s">
        <v>137</v>
      </c>
      <c r="J733" s="38"/>
      <c r="K733" s="38"/>
      <c r="L733" s="428" t="s">
        <v>2755</v>
      </c>
      <c r="M733" s="426"/>
      <c r="N733" s="426"/>
      <c r="O733" s="428"/>
      <c r="P733" s="427"/>
      <c r="Q733" s="427">
        <v>0</v>
      </c>
      <c r="R733" s="427" t="s">
        <v>153</v>
      </c>
      <c r="S733" s="38"/>
      <c r="T733" s="386"/>
      <c r="U733" s="387"/>
      <c r="V733" s="427"/>
      <c r="W733" s="601" t="s">
        <v>2756</v>
      </c>
      <c r="X733" s="601" t="s">
        <v>2756</v>
      </c>
      <c r="Y733" s="427">
        <v>0</v>
      </c>
      <c r="Z733" s="427">
        <v>0</v>
      </c>
      <c r="AA733" s="427"/>
      <c r="AB733" s="427"/>
      <c r="AC733" s="38"/>
      <c r="AD733" s="38"/>
      <c r="AE733" s="38">
        <v>0</v>
      </c>
      <c r="AF733" s="38"/>
      <c r="AG733" s="38"/>
      <c r="AH733" s="38"/>
      <c r="AI733" s="38"/>
      <c r="AJ733" s="38"/>
      <c r="AK733" s="436"/>
      <c r="AL733" s="436"/>
      <c r="AM733" s="436"/>
      <c r="AN733" s="38"/>
      <c r="AO733" s="38"/>
      <c r="AP733" s="38"/>
      <c r="AQ733" s="38" t="s">
        <v>2757</v>
      </c>
      <c r="AR733" s="406"/>
    </row>
    <row r="734" spans="1:44" ht="15" customHeight="1">
      <c r="A734" s="38">
        <v>3010504</v>
      </c>
      <c r="B734" s="38" t="s">
        <v>2745</v>
      </c>
      <c r="C734" s="428" t="s">
        <v>2758</v>
      </c>
      <c r="D734" s="38" t="s">
        <v>2601</v>
      </c>
      <c r="E734" s="38"/>
      <c r="F734" s="36">
        <v>3</v>
      </c>
      <c r="G734" s="48">
        <v>8</v>
      </c>
      <c r="H734" s="38" t="s">
        <v>136</v>
      </c>
      <c r="I734" s="38" t="s">
        <v>137</v>
      </c>
      <c r="J734" s="38"/>
      <c r="K734" s="38"/>
      <c r="L734" s="523" t="s">
        <v>2759</v>
      </c>
      <c r="M734" s="426"/>
      <c r="N734" s="426"/>
      <c r="O734" s="428"/>
      <c r="P734" s="427"/>
      <c r="Q734" s="427">
        <v>0</v>
      </c>
      <c r="R734" s="427" t="s">
        <v>153</v>
      </c>
      <c r="S734" s="38">
        <v>3010503</v>
      </c>
      <c r="T734" s="386"/>
      <c r="U734" s="387"/>
      <c r="V734" s="427" t="s">
        <v>582</v>
      </c>
      <c r="W734" s="601" t="s">
        <v>2760</v>
      </c>
      <c r="X734" s="601" t="s">
        <v>2760</v>
      </c>
      <c r="Y734" s="427">
        <v>0</v>
      </c>
      <c r="Z734" s="427">
        <v>0</v>
      </c>
      <c r="AA734" s="427"/>
      <c r="AB734" s="427"/>
      <c r="AC734" s="38"/>
      <c r="AD734" s="38"/>
      <c r="AE734" s="38">
        <v>0</v>
      </c>
      <c r="AF734" s="38"/>
      <c r="AG734" s="38"/>
      <c r="AH734" s="38"/>
      <c r="AI734" s="38"/>
      <c r="AJ734" s="38"/>
      <c r="AK734" s="436"/>
      <c r="AL734" s="436"/>
      <c r="AM734" s="436"/>
      <c r="AN734" s="38"/>
      <c r="AO734" s="38"/>
      <c r="AP734" s="38"/>
      <c r="AQ734" s="38" t="s">
        <v>2761</v>
      </c>
      <c r="AR734" s="406"/>
    </row>
    <row r="735" spans="1:44" ht="15" customHeight="1">
      <c r="A735" s="38">
        <v>3010505</v>
      </c>
      <c r="B735" s="38" t="s">
        <v>2745</v>
      </c>
      <c r="C735" s="524" t="s">
        <v>2762</v>
      </c>
      <c r="D735" s="38" t="s">
        <v>2601</v>
      </c>
      <c r="E735" s="38"/>
      <c r="F735" s="36">
        <v>4</v>
      </c>
      <c r="G735" s="47">
        <v>8</v>
      </c>
      <c r="H735" s="38" t="s">
        <v>136</v>
      </c>
      <c r="I735" s="38" t="s">
        <v>137</v>
      </c>
      <c r="J735" s="38"/>
      <c r="K735" s="38"/>
      <c r="L735" s="523" t="s">
        <v>2763</v>
      </c>
      <c r="M735" s="426"/>
      <c r="N735" s="426"/>
      <c r="O735" s="524"/>
      <c r="P735" s="427"/>
      <c r="Q735" s="427">
        <v>0</v>
      </c>
      <c r="R735" s="427" t="s">
        <v>153</v>
      </c>
      <c r="S735" s="38">
        <v>3010504</v>
      </c>
      <c r="T735" s="386"/>
      <c r="U735" s="387"/>
      <c r="V735" s="427" t="s">
        <v>582</v>
      </c>
      <c r="W735" s="601" t="s">
        <v>2764</v>
      </c>
      <c r="X735" s="601" t="s">
        <v>2764</v>
      </c>
      <c r="Y735" s="427">
        <v>0</v>
      </c>
      <c r="Z735" s="427">
        <v>0</v>
      </c>
      <c r="AA735" s="427"/>
      <c r="AB735" s="427"/>
      <c r="AC735" s="38"/>
      <c r="AD735" s="38"/>
      <c r="AE735" s="38">
        <v>0</v>
      </c>
      <c r="AF735" s="38"/>
      <c r="AG735" s="38"/>
      <c r="AH735" s="38"/>
      <c r="AI735" s="38"/>
      <c r="AJ735" s="38"/>
      <c r="AK735" s="436"/>
      <c r="AL735" s="436"/>
      <c r="AM735" s="436"/>
      <c r="AN735" s="38"/>
      <c r="AO735" s="38"/>
      <c r="AP735" s="38"/>
      <c r="AQ735" s="38" t="s">
        <v>2765</v>
      </c>
      <c r="AR735" s="406"/>
    </row>
    <row r="736" spans="1:44" ht="15" customHeight="1">
      <c r="A736" s="38">
        <v>3010506</v>
      </c>
      <c r="B736" s="38" t="s">
        <v>2745</v>
      </c>
      <c r="C736" s="428" t="s">
        <v>2766</v>
      </c>
      <c r="D736" s="38" t="s">
        <v>2601</v>
      </c>
      <c r="E736" s="38"/>
      <c r="F736" s="36">
        <v>5</v>
      </c>
      <c r="G736" s="48">
        <v>8</v>
      </c>
      <c r="H736" s="38" t="s">
        <v>136</v>
      </c>
      <c r="I736" s="38" t="s">
        <v>137</v>
      </c>
      <c r="J736" s="38"/>
      <c r="K736" s="38"/>
      <c r="L736" s="523" t="s">
        <v>2767</v>
      </c>
      <c r="M736" s="426"/>
      <c r="N736" s="426"/>
      <c r="O736" s="524"/>
      <c r="P736" s="427"/>
      <c r="Q736" s="427">
        <v>0</v>
      </c>
      <c r="R736" s="427" t="s">
        <v>153</v>
      </c>
      <c r="S736" s="38"/>
      <c r="T736" s="386"/>
      <c r="U736" s="387"/>
      <c r="V736" s="427"/>
      <c r="W736" s="601" t="s">
        <v>2768</v>
      </c>
      <c r="X736" s="601" t="s">
        <v>2768</v>
      </c>
      <c r="Y736" s="427">
        <v>0</v>
      </c>
      <c r="Z736" s="427">
        <v>0</v>
      </c>
      <c r="AA736" s="427"/>
      <c r="AB736" s="427"/>
      <c r="AC736" s="38"/>
      <c r="AD736" s="38"/>
      <c r="AE736" s="38">
        <v>0</v>
      </c>
      <c r="AF736" s="38"/>
      <c r="AG736" s="38"/>
      <c r="AH736" s="38"/>
      <c r="AI736" s="38"/>
      <c r="AJ736" s="38"/>
      <c r="AK736" s="436"/>
      <c r="AL736" s="436"/>
      <c r="AM736" s="436"/>
      <c r="AN736" s="38"/>
      <c r="AO736" s="38"/>
      <c r="AP736" s="38"/>
      <c r="AQ736" s="38" t="s">
        <v>2769</v>
      </c>
      <c r="AR736" s="406"/>
    </row>
    <row r="737" spans="1:44" ht="15" customHeight="1">
      <c r="A737" s="38">
        <v>3010507</v>
      </c>
      <c r="B737" s="38" t="s">
        <v>2745</v>
      </c>
      <c r="C737" s="524" t="s">
        <v>2770</v>
      </c>
      <c r="D737" s="38" t="s">
        <v>2601</v>
      </c>
      <c r="E737" s="38"/>
      <c r="F737" s="36">
        <v>6</v>
      </c>
      <c r="G737" s="47">
        <v>8</v>
      </c>
      <c r="H737" s="38" t="s">
        <v>136</v>
      </c>
      <c r="I737" s="38" t="s">
        <v>137</v>
      </c>
      <c r="J737" s="38"/>
      <c r="K737" s="38"/>
      <c r="L737" s="523" t="s">
        <v>2771</v>
      </c>
      <c r="M737" s="426"/>
      <c r="N737" s="426"/>
      <c r="O737" s="524"/>
      <c r="P737" s="427"/>
      <c r="Q737" s="427">
        <v>0</v>
      </c>
      <c r="R737" s="427" t="s">
        <v>153</v>
      </c>
      <c r="S737" s="38">
        <v>3010505</v>
      </c>
      <c r="T737" s="386"/>
      <c r="U737" s="387"/>
      <c r="V737" s="427" t="s">
        <v>582</v>
      </c>
      <c r="W737" s="601" t="s">
        <v>2760</v>
      </c>
      <c r="X737" s="601" t="s">
        <v>2760</v>
      </c>
      <c r="Y737" s="427">
        <v>0</v>
      </c>
      <c r="Z737" s="427">
        <v>0</v>
      </c>
      <c r="AA737" s="427"/>
      <c r="AB737" s="427"/>
      <c r="AC737" s="38"/>
      <c r="AD737" s="38"/>
      <c r="AE737" s="38">
        <v>0</v>
      </c>
      <c r="AF737" s="38"/>
      <c r="AG737" s="38"/>
      <c r="AH737" s="38"/>
      <c r="AI737" s="38"/>
      <c r="AJ737" s="38"/>
      <c r="AK737" s="436"/>
      <c r="AL737" s="436"/>
      <c r="AM737" s="436"/>
      <c r="AN737" s="38"/>
      <c r="AO737" s="38"/>
      <c r="AP737" s="38"/>
      <c r="AQ737" s="38" t="s">
        <v>2772</v>
      </c>
      <c r="AR737" s="406"/>
    </row>
    <row r="738" spans="1:44" ht="15" customHeight="1">
      <c r="A738" s="38">
        <v>3010508</v>
      </c>
      <c r="B738" s="38" t="s">
        <v>2745</v>
      </c>
      <c r="C738" s="524" t="s">
        <v>2773</v>
      </c>
      <c r="D738" s="38" t="s">
        <v>2601</v>
      </c>
      <c r="E738" s="38"/>
      <c r="F738" s="36">
        <v>7</v>
      </c>
      <c r="G738" s="48">
        <v>8</v>
      </c>
      <c r="H738" s="38" t="s">
        <v>136</v>
      </c>
      <c r="I738" s="38" t="s">
        <v>137</v>
      </c>
      <c r="J738" s="38"/>
      <c r="K738" s="38"/>
      <c r="L738" s="523" t="s">
        <v>2774</v>
      </c>
      <c r="M738" s="426"/>
      <c r="N738" s="426"/>
      <c r="O738" s="524"/>
      <c r="P738" s="427"/>
      <c r="Q738" s="427">
        <v>0</v>
      </c>
      <c r="R738" s="427" t="s">
        <v>153</v>
      </c>
      <c r="S738" s="38">
        <v>3010506</v>
      </c>
      <c r="T738" s="386"/>
      <c r="U738" s="387"/>
      <c r="V738" s="427" t="s">
        <v>582</v>
      </c>
      <c r="W738" s="601" t="s">
        <v>2775</v>
      </c>
      <c r="X738" s="601" t="s">
        <v>2775</v>
      </c>
      <c r="Y738" s="427">
        <v>0</v>
      </c>
      <c r="Z738" s="427">
        <v>0</v>
      </c>
      <c r="AA738" s="427"/>
      <c r="AB738" s="427"/>
      <c r="AC738" s="38"/>
      <c r="AD738" s="38"/>
      <c r="AE738" s="38">
        <v>0</v>
      </c>
      <c r="AF738" s="38"/>
      <c r="AG738" s="38"/>
      <c r="AH738" s="38"/>
      <c r="AI738" s="38"/>
      <c r="AJ738" s="38"/>
      <c r="AK738" s="436"/>
      <c r="AL738" s="436"/>
      <c r="AM738" s="436"/>
      <c r="AN738" s="38"/>
      <c r="AO738" s="38"/>
      <c r="AP738" s="38"/>
      <c r="AQ738" s="38" t="s">
        <v>2776</v>
      </c>
      <c r="AR738" s="406"/>
    </row>
    <row r="739" spans="1:44" ht="15" customHeight="1">
      <c r="A739" s="3">
        <v>3010509</v>
      </c>
      <c r="B739" s="3" t="s">
        <v>2745</v>
      </c>
      <c r="C739" s="236" t="s">
        <v>2777</v>
      </c>
      <c r="D739" s="3" t="s">
        <v>2601</v>
      </c>
      <c r="E739" s="3"/>
      <c r="F739" s="3">
        <v>8</v>
      </c>
      <c r="G739" s="47">
        <v>8</v>
      </c>
      <c r="H739" s="3" t="s">
        <v>136</v>
      </c>
      <c r="I739" s="3" t="s">
        <v>137</v>
      </c>
      <c r="J739" s="3"/>
      <c r="K739" s="3"/>
      <c r="L739" s="236"/>
      <c r="M739" s="99"/>
      <c r="N739" s="99"/>
      <c r="O739" s="236"/>
      <c r="P739" s="22"/>
      <c r="Q739" s="22">
        <v>0</v>
      </c>
      <c r="R739" s="22" t="s">
        <v>153</v>
      </c>
      <c r="S739" s="3"/>
      <c r="T739" s="260"/>
      <c r="U739" s="261"/>
      <c r="V739" s="22"/>
      <c r="W739" s="567" t="s">
        <v>2634</v>
      </c>
      <c r="X739" s="567" t="s">
        <v>2634</v>
      </c>
      <c r="Y739" s="22"/>
      <c r="Z739" s="22"/>
      <c r="AA739" s="22"/>
      <c r="AB739" s="22" t="s">
        <v>114</v>
      </c>
      <c r="AC739" s="3"/>
      <c r="AD739" s="3"/>
      <c r="AE739" s="3">
        <v>0</v>
      </c>
      <c r="AF739" s="3">
        <v>0</v>
      </c>
      <c r="AG739" s="3">
        <v>0</v>
      </c>
      <c r="AH739" s="3"/>
      <c r="AI739" s="3">
        <v>0</v>
      </c>
      <c r="AJ739" s="3">
        <v>0</v>
      </c>
      <c r="AK739" s="3">
        <v>0</v>
      </c>
      <c r="AL739" s="3"/>
      <c r="AM739" s="3"/>
      <c r="AN739" s="3"/>
      <c r="AO739" s="3"/>
      <c r="AP739" s="3"/>
      <c r="AQ739" s="3" t="s">
        <v>2757</v>
      </c>
      <c r="AR739" s="281"/>
    </row>
    <row r="740" spans="1:44" ht="15" customHeight="1">
      <c r="A740" s="3">
        <v>3010510</v>
      </c>
      <c r="B740" s="3" t="s">
        <v>2745</v>
      </c>
      <c r="C740" s="236" t="s">
        <v>2778</v>
      </c>
      <c r="D740" s="3" t="s">
        <v>2601</v>
      </c>
      <c r="E740" s="3"/>
      <c r="F740" s="3">
        <v>9</v>
      </c>
      <c r="G740" s="48">
        <v>8</v>
      </c>
      <c r="H740" s="3" t="s">
        <v>136</v>
      </c>
      <c r="I740" s="3" t="s">
        <v>137</v>
      </c>
      <c r="J740" s="3"/>
      <c r="K740" s="3"/>
      <c r="L740" s="236"/>
      <c r="M740" s="99"/>
      <c r="N740" s="99"/>
      <c r="O740" s="236"/>
      <c r="P740" s="22"/>
      <c r="Q740" s="22">
        <v>0</v>
      </c>
      <c r="R740" s="22" t="s">
        <v>153</v>
      </c>
      <c r="S740" s="3"/>
      <c r="T740" s="260"/>
      <c r="U740" s="261"/>
      <c r="V740" s="22"/>
      <c r="W740" s="567" t="s">
        <v>2779</v>
      </c>
      <c r="X740" s="567" t="s">
        <v>2779</v>
      </c>
      <c r="Y740" s="22"/>
      <c r="Z740" s="22"/>
      <c r="AA740" s="22"/>
      <c r="AB740" s="22" t="s">
        <v>114</v>
      </c>
      <c r="AC740" s="3"/>
      <c r="AD740" s="3"/>
      <c r="AE740" s="3">
        <v>0</v>
      </c>
      <c r="AF740" s="3">
        <v>0</v>
      </c>
      <c r="AG740" s="3">
        <v>0</v>
      </c>
      <c r="AH740" s="3"/>
      <c r="AI740" s="3">
        <v>0</v>
      </c>
      <c r="AJ740" s="3">
        <v>0</v>
      </c>
      <c r="AK740" s="3">
        <v>0</v>
      </c>
      <c r="AL740" s="3"/>
      <c r="AM740" s="3"/>
      <c r="AN740" s="3"/>
      <c r="AO740" s="3"/>
      <c r="AP740" s="3"/>
      <c r="AQ740" s="282" t="str">
        <f>"tricks/"&amp;A740</f>
        <v>tricks/3010510</v>
      </c>
    </row>
    <row r="741" spans="1:44" ht="15" customHeight="1">
      <c r="A741" s="3">
        <v>3010511</v>
      </c>
      <c r="B741" s="3" t="s">
        <v>2745</v>
      </c>
      <c r="C741" s="236" t="s">
        <v>2780</v>
      </c>
      <c r="D741" s="3" t="s">
        <v>2601</v>
      </c>
      <c r="E741" s="3"/>
      <c r="F741" s="3">
        <v>10</v>
      </c>
      <c r="G741" s="47">
        <v>8</v>
      </c>
      <c r="H741" s="3" t="s">
        <v>136</v>
      </c>
      <c r="I741" s="3" t="s">
        <v>137</v>
      </c>
      <c r="J741" s="3"/>
      <c r="K741" s="3"/>
      <c r="L741" s="236"/>
      <c r="M741" s="99"/>
      <c r="N741" s="99"/>
      <c r="O741" s="236"/>
      <c r="P741" s="22"/>
      <c r="Q741" s="22">
        <v>0</v>
      </c>
      <c r="R741" s="22" t="s">
        <v>153</v>
      </c>
      <c r="S741" s="3"/>
      <c r="T741" s="260"/>
      <c r="U741" s="261"/>
      <c r="V741" s="22"/>
      <c r="W741" s="567" t="s">
        <v>2781</v>
      </c>
      <c r="X741" s="567" t="s">
        <v>2781</v>
      </c>
      <c r="Y741" s="22"/>
      <c r="Z741" s="22"/>
      <c r="AA741" s="22"/>
      <c r="AB741" s="22" t="s">
        <v>114</v>
      </c>
      <c r="AC741" s="3"/>
      <c r="AD741" s="3"/>
      <c r="AE741" s="3">
        <v>0</v>
      </c>
      <c r="AF741" s="3">
        <v>0</v>
      </c>
      <c r="AG741" s="3">
        <v>0</v>
      </c>
      <c r="AH741" s="3"/>
      <c r="AI741" s="3">
        <v>0</v>
      </c>
      <c r="AJ741" s="3">
        <v>0</v>
      </c>
      <c r="AK741" s="3">
        <v>0</v>
      </c>
      <c r="AL741" s="3"/>
      <c r="AM741" s="3"/>
      <c r="AN741" s="3"/>
      <c r="AO741" s="3"/>
      <c r="AP741" s="3"/>
      <c r="AQ741" s="282" t="str">
        <f>"tricks/"&amp;A741</f>
        <v>tricks/3010511</v>
      </c>
    </row>
    <row r="742" spans="1:44" ht="15" customHeight="1">
      <c r="A742" s="36">
        <v>3010601</v>
      </c>
      <c r="B742" s="36" t="s">
        <v>2782</v>
      </c>
      <c r="C742" s="525" t="s">
        <v>2783</v>
      </c>
      <c r="D742" s="36" t="s">
        <v>2601</v>
      </c>
      <c r="E742" s="36"/>
      <c r="F742" s="36">
        <v>1</v>
      </c>
      <c r="G742" s="48">
        <v>8</v>
      </c>
      <c r="H742" s="36" t="s">
        <v>82</v>
      </c>
      <c r="I742" s="36" t="s">
        <v>101</v>
      </c>
      <c r="J742" s="36"/>
      <c r="K742" s="36"/>
      <c r="L742" s="377" t="s">
        <v>2784</v>
      </c>
      <c r="M742" s="378"/>
      <c r="N742" s="378">
        <v>15</v>
      </c>
      <c r="O742" s="525"/>
      <c r="P742" s="379"/>
      <c r="Q742" s="379">
        <v>0</v>
      </c>
      <c r="R742" s="379" t="s">
        <v>2785</v>
      </c>
      <c r="S742" s="36">
        <v>3010601</v>
      </c>
      <c r="T742" s="390"/>
      <c r="U742" s="391"/>
      <c r="V742" s="379" t="s">
        <v>582</v>
      </c>
      <c r="W742" s="619" t="s">
        <v>2784</v>
      </c>
      <c r="X742" s="619" t="s">
        <v>2784</v>
      </c>
      <c r="Y742" s="379">
        <v>0</v>
      </c>
      <c r="Z742" s="379">
        <v>0</v>
      </c>
      <c r="AA742" s="379"/>
      <c r="AB742" s="379"/>
      <c r="AC742" s="36"/>
      <c r="AD742" s="36"/>
      <c r="AE742" s="36">
        <v>2</v>
      </c>
      <c r="AF742" s="36"/>
      <c r="AG742" s="36">
        <v>15</v>
      </c>
      <c r="AH742" s="36"/>
      <c r="AI742" s="36"/>
      <c r="AJ742" s="36"/>
      <c r="AK742" s="401"/>
      <c r="AL742" s="401"/>
      <c r="AM742" s="401"/>
      <c r="AN742" s="43" t="s">
        <v>2786</v>
      </c>
      <c r="AO742" s="36"/>
      <c r="AP742" s="36"/>
      <c r="AQ742" s="36" t="s">
        <v>2787</v>
      </c>
      <c r="AR742" s="407"/>
    </row>
    <row r="743" spans="1:44" ht="15" customHeight="1">
      <c r="A743" s="36">
        <v>3010602</v>
      </c>
      <c r="B743" s="36" t="s">
        <v>2782</v>
      </c>
      <c r="C743" s="454" t="s">
        <v>2788</v>
      </c>
      <c r="D743" s="36" t="s">
        <v>2601</v>
      </c>
      <c r="E743" s="36"/>
      <c r="F743" s="36">
        <v>1</v>
      </c>
      <c r="G743" s="47">
        <v>8</v>
      </c>
      <c r="H743" s="36" t="s">
        <v>136</v>
      </c>
      <c r="I743" s="36" t="s">
        <v>137</v>
      </c>
      <c r="J743" s="36"/>
      <c r="K743" s="36"/>
      <c r="L743" s="377" t="s">
        <v>2789</v>
      </c>
      <c r="M743" s="378"/>
      <c r="N743" s="378"/>
      <c r="O743" s="454"/>
      <c r="P743" s="379"/>
      <c r="Q743" s="379">
        <v>0</v>
      </c>
      <c r="R743" s="379" t="s">
        <v>153</v>
      </c>
      <c r="S743" s="36">
        <v>3010602</v>
      </c>
      <c r="T743" s="390"/>
      <c r="U743" s="391"/>
      <c r="V743" s="379" t="s">
        <v>582</v>
      </c>
      <c r="W743" s="619" t="s">
        <v>2790</v>
      </c>
      <c r="X743" s="619" t="s">
        <v>2790</v>
      </c>
      <c r="Y743" s="379">
        <v>0</v>
      </c>
      <c r="Z743" s="379">
        <v>0</v>
      </c>
      <c r="AA743" s="379"/>
      <c r="AB743" s="379"/>
      <c r="AC743" s="36"/>
      <c r="AD743" s="36"/>
      <c r="AE743" s="36">
        <v>0</v>
      </c>
      <c r="AF743" s="36"/>
      <c r="AG743" s="36"/>
      <c r="AH743" s="36"/>
      <c r="AI743" s="36"/>
      <c r="AJ743" s="36"/>
      <c r="AK743" s="401"/>
      <c r="AL743" s="401"/>
      <c r="AM743" s="401"/>
      <c r="AN743" s="36"/>
      <c r="AO743" s="36"/>
      <c r="AP743" s="36"/>
      <c r="AQ743" s="36" t="s">
        <v>2791</v>
      </c>
      <c r="AR743" s="407"/>
    </row>
    <row r="744" spans="1:44" ht="15" customHeight="1">
      <c r="A744" s="36">
        <v>3010603</v>
      </c>
      <c r="B744" s="36" t="s">
        <v>2782</v>
      </c>
      <c r="C744" s="454" t="s">
        <v>2792</v>
      </c>
      <c r="D744" s="36" t="s">
        <v>2601</v>
      </c>
      <c r="E744" s="36"/>
      <c r="F744" s="36">
        <v>2</v>
      </c>
      <c r="G744" s="48">
        <v>8</v>
      </c>
      <c r="H744" s="36" t="s">
        <v>136</v>
      </c>
      <c r="I744" s="36" t="s">
        <v>137</v>
      </c>
      <c r="J744" s="36"/>
      <c r="K744" s="36"/>
      <c r="L744" s="377" t="s">
        <v>2718</v>
      </c>
      <c r="M744" s="378"/>
      <c r="N744" s="378"/>
      <c r="O744" s="454"/>
      <c r="P744" s="379"/>
      <c r="Q744" s="379">
        <v>0</v>
      </c>
      <c r="R744" s="379" t="s">
        <v>153</v>
      </c>
      <c r="S744" s="36"/>
      <c r="T744" s="390"/>
      <c r="U744" s="391"/>
      <c r="V744" s="379"/>
      <c r="W744" s="619" t="s">
        <v>2793</v>
      </c>
      <c r="X744" s="619" t="s">
        <v>2793</v>
      </c>
      <c r="Y744" s="379">
        <v>0</v>
      </c>
      <c r="Z744" s="379">
        <v>0</v>
      </c>
      <c r="AA744" s="379"/>
      <c r="AB744" s="379"/>
      <c r="AC744" s="36"/>
      <c r="AD744" s="36"/>
      <c r="AE744" s="36">
        <v>0</v>
      </c>
      <c r="AF744" s="36"/>
      <c r="AG744" s="36"/>
      <c r="AH744" s="36"/>
      <c r="AI744" s="36"/>
      <c r="AJ744" s="36"/>
      <c r="AK744" s="401"/>
      <c r="AL744" s="401"/>
      <c r="AM744" s="401"/>
      <c r="AN744" s="36"/>
      <c r="AO744" s="36"/>
      <c r="AP744" s="36"/>
      <c r="AQ744" s="36" t="s">
        <v>2794</v>
      </c>
      <c r="AR744" s="407"/>
    </row>
    <row r="745" spans="1:44" ht="15" customHeight="1">
      <c r="A745" s="36">
        <v>3010604</v>
      </c>
      <c r="B745" s="36" t="s">
        <v>2782</v>
      </c>
      <c r="C745" s="454" t="s">
        <v>2795</v>
      </c>
      <c r="D745" s="36" t="s">
        <v>2601</v>
      </c>
      <c r="E745" s="36"/>
      <c r="F745" s="36">
        <v>3</v>
      </c>
      <c r="G745" s="47">
        <v>8</v>
      </c>
      <c r="H745" s="36" t="s">
        <v>136</v>
      </c>
      <c r="I745" s="36" t="s">
        <v>137</v>
      </c>
      <c r="J745" s="36"/>
      <c r="K745" s="36"/>
      <c r="L745" s="377" t="s">
        <v>2796</v>
      </c>
      <c r="M745" s="378"/>
      <c r="N745" s="378"/>
      <c r="O745" s="454"/>
      <c r="P745" s="379"/>
      <c r="Q745" s="379">
        <v>0</v>
      </c>
      <c r="R745" s="379" t="s">
        <v>153</v>
      </c>
      <c r="S745" s="36">
        <v>3010603</v>
      </c>
      <c r="T745" s="390" t="s">
        <v>2797</v>
      </c>
      <c r="U745" s="391"/>
      <c r="V745" s="379" t="s">
        <v>582</v>
      </c>
      <c r="W745" s="619" t="s">
        <v>2798</v>
      </c>
      <c r="X745" s="619" t="s">
        <v>2798</v>
      </c>
      <c r="Y745" s="379">
        <v>0</v>
      </c>
      <c r="Z745" s="379">
        <v>0</v>
      </c>
      <c r="AA745" s="379"/>
      <c r="AB745" s="379"/>
      <c r="AC745" s="36"/>
      <c r="AD745" s="36"/>
      <c r="AE745" s="36">
        <v>0</v>
      </c>
      <c r="AF745" s="36"/>
      <c r="AG745" s="36"/>
      <c r="AH745" s="36"/>
      <c r="AI745" s="36"/>
      <c r="AJ745" s="36"/>
      <c r="AK745" s="401"/>
      <c r="AL745" s="401"/>
      <c r="AM745" s="401"/>
      <c r="AN745" s="36"/>
      <c r="AO745" s="36"/>
      <c r="AP745" s="36"/>
      <c r="AQ745" s="36" t="s">
        <v>2799</v>
      </c>
      <c r="AR745" s="407"/>
    </row>
    <row r="746" spans="1:44" ht="15" customHeight="1">
      <c r="A746" s="36">
        <v>3010605</v>
      </c>
      <c r="B746" s="36" t="s">
        <v>2782</v>
      </c>
      <c r="C746" s="454" t="s">
        <v>2800</v>
      </c>
      <c r="D746" s="36" t="s">
        <v>2601</v>
      </c>
      <c r="E746" s="36"/>
      <c r="F746" s="36">
        <v>4</v>
      </c>
      <c r="G746" s="48">
        <v>8</v>
      </c>
      <c r="H746" s="36" t="s">
        <v>136</v>
      </c>
      <c r="I746" s="36" t="s">
        <v>137</v>
      </c>
      <c r="J746" s="36"/>
      <c r="K746" s="36"/>
      <c r="L746" s="377" t="s">
        <v>2801</v>
      </c>
      <c r="M746" s="378"/>
      <c r="N746" s="378"/>
      <c r="O746" s="454"/>
      <c r="P746" s="379"/>
      <c r="Q746" s="379">
        <v>0</v>
      </c>
      <c r="R746" s="379" t="s">
        <v>153</v>
      </c>
      <c r="S746" s="36">
        <v>3010604</v>
      </c>
      <c r="T746" s="390"/>
      <c r="U746" s="391"/>
      <c r="V746" s="379" t="s">
        <v>582</v>
      </c>
      <c r="W746" s="619" t="s">
        <v>2802</v>
      </c>
      <c r="X746" s="619" t="s">
        <v>2802</v>
      </c>
      <c r="Y746" s="379">
        <v>0</v>
      </c>
      <c r="Z746" s="379">
        <v>0</v>
      </c>
      <c r="AA746" s="379"/>
      <c r="AB746" s="379"/>
      <c r="AC746" s="36"/>
      <c r="AD746" s="36"/>
      <c r="AE746" s="36">
        <v>0</v>
      </c>
      <c r="AF746" s="36"/>
      <c r="AG746" s="36"/>
      <c r="AH746" s="36"/>
      <c r="AI746" s="36"/>
      <c r="AJ746" s="36"/>
      <c r="AK746" s="401"/>
      <c r="AL746" s="401"/>
      <c r="AM746" s="401"/>
      <c r="AN746" s="36"/>
      <c r="AO746" s="36"/>
      <c r="AP746" s="36"/>
      <c r="AQ746" s="36" t="s">
        <v>2803</v>
      </c>
      <c r="AR746" s="407"/>
    </row>
    <row r="747" spans="1:44" ht="15" customHeight="1">
      <c r="A747" s="36">
        <v>3010606</v>
      </c>
      <c r="B747" s="36" t="s">
        <v>2782</v>
      </c>
      <c r="C747" s="454" t="s">
        <v>2804</v>
      </c>
      <c r="D747" s="36" t="s">
        <v>2601</v>
      </c>
      <c r="E747" s="36"/>
      <c r="F747" s="36">
        <v>5</v>
      </c>
      <c r="G747" s="47">
        <v>8</v>
      </c>
      <c r="H747" s="36" t="s">
        <v>136</v>
      </c>
      <c r="I747" s="36" t="s">
        <v>137</v>
      </c>
      <c r="J747" s="36"/>
      <c r="K747" s="36"/>
      <c r="L747" s="377" t="s">
        <v>2805</v>
      </c>
      <c r="M747" s="378"/>
      <c r="N747" s="378"/>
      <c r="O747" s="454"/>
      <c r="P747" s="379"/>
      <c r="Q747" s="379">
        <v>0</v>
      </c>
      <c r="R747" s="379" t="s">
        <v>153</v>
      </c>
      <c r="S747" s="36">
        <v>3010606</v>
      </c>
      <c r="T747" s="390"/>
      <c r="U747" s="391"/>
      <c r="V747" s="379" t="s">
        <v>582</v>
      </c>
      <c r="W747" s="619" t="s">
        <v>2806</v>
      </c>
      <c r="X747" s="619" t="s">
        <v>2806</v>
      </c>
      <c r="Y747" s="379">
        <v>0</v>
      </c>
      <c r="Z747" s="379">
        <v>0</v>
      </c>
      <c r="AA747" s="379"/>
      <c r="AB747" s="379"/>
      <c r="AC747" s="36"/>
      <c r="AD747" s="36"/>
      <c r="AE747" s="36">
        <v>0</v>
      </c>
      <c r="AF747" s="36"/>
      <c r="AG747" s="36"/>
      <c r="AH747" s="36"/>
      <c r="AI747" s="36"/>
      <c r="AJ747" s="36"/>
      <c r="AK747" s="401"/>
      <c r="AL747" s="401"/>
      <c r="AM747" s="401"/>
      <c r="AN747" s="36"/>
      <c r="AO747" s="36"/>
      <c r="AP747" s="36"/>
      <c r="AQ747" s="36" t="s">
        <v>2807</v>
      </c>
      <c r="AR747" s="407"/>
    </row>
    <row r="748" spans="1:44" ht="15" customHeight="1">
      <c r="A748" s="36">
        <v>3010607</v>
      </c>
      <c r="B748" s="36" t="s">
        <v>2782</v>
      </c>
      <c r="C748" s="454" t="s">
        <v>2808</v>
      </c>
      <c r="D748" s="36" t="s">
        <v>2601</v>
      </c>
      <c r="E748" s="36"/>
      <c r="F748" s="36">
        <v>6</v>
      </c>
      <c r="G748" s="48">
        <v>8</v>
      </c>
      <c r="H748" s="36" t="s">
        <v>136</v>
      </c>
      <c r="I748" s="36" t="s">
        <v>137</v>
      </c>
      <c r="J748" s="36"/>
      <c r="K748" s="36"/>
      <c r="L748" s="377" t="s">
        <v>2809</v>
      </c>
      <c r="M748" s="378"/>
      <c r="N748" s="378"/>
      <c r="O748" s="454"/>
      <c r="P748" s="379"/>
      <c r="Q748" s="379">
        <v>0</v>
      </c>
      <c r="R748" s="379" t="s">
        <v>153</v>
      </c>
      <c r="S748" s="36">
        <v>3010605</v>
      </c>
      <c r="T748" s="390" t="s">
        <v>2810</v>
      </c>
      <c r="U748" s="391"/>
      <c r="V748" s="379" t="s">
        <v>582</v>
      </c>
      <c r="W748" s="619" t="s">
        <v>2798</v>
      </c>
      <c r="X748" s="619" t="s">
        <v>2798</v>
      </c>
      <c r="Y748" s="379">
        <v>0</v>
      </c>
      <c r="Z748" s="379">
        <v>0</v>
      </c>
      <c r="AA748" s="379"/>
      <c r="AB748" s="379"/>
      <c r="AC748" s="36"/>
      <c r="AD748" s="36"/>
      <c r="AE748" s="36">
        <v>0</v>
      </c>
      <c r="AF748" s="36"/>
      <c r="AG748" s="36"/>
      <c r="AH748" s="36"/>
      <c r="AI748" s="36"/>
      <c r="AJ748" s="36"/>
      <c r="AK748" s="401"/>
      <c r="AL748" s="401"/>
      <c r="AM748" s="401"/>
      <c r="AN748" s="36"/>
      <c r="AO748" s="36"/>
      <c r="AP748" s="36"/>
      <c r="AQ748" s="36" t="s">
        <v>2811</v>
      </c>
      <c r="AR748" s="407"/>
    </row>
    <row r="749" spans="1:44" s="214" customFormat="1" ht="15" customHeight="1">
      <c r="A749" s="36">
        <v>3010608</v>
      </c>
      <c r="B749" s="525" t="s">
        <v>2782</v>
      </c>
      <c r="C749" s="454" t="s">
        <v>2812</v>
      </c>
      <c r="D749" s="36" t="s">
        <v>2601</v>
      </c>
      <c r="E749" s="36"/>
      <c r="F749" s="36">
        <v>7</v>
      </c>
      <c r="G749" s="47">
        <v>8</v>
      </c>
      <c r="H749" s="36" t="s">
        <v>136</v>
      </c>
      <c r="I749" s="36" t="s">
        <v>137</v>
      </c>
      <c r="J749" s="36"/>
      <c r="K749" s="36"/>
      <c r="L749" s="454" t="s">
        <v>2813</v>
      </c>
      <c r="M749" s="378"/>
      <c r="N749" s="378"/>
      <c r="O749" s="454"/>
      <c r="P749" s="379"/>
      <c r="Q749" s="379">
        <v>0</v>
      </c>
      <c r="R749" s="379" t="s">
        <v>153</v>
      </c>
      <c r="S749" s="36"/>
      <c r="T749" s="390"/>
      <c r="U749" s="391"/>
      <c r="V749" s="379"/>
      <c r="W749" s="619" t="s">
        <v>2814</v>
      </c>
      <c r="X749" s="619" t="s">
        <v>2814</v>
      </c>
      <c r="Y749" s="379">
        <v>0</v>
      </c>
      <c r="Z749" s="379">
        <v>0</v>
      </c>
      <c r="AA749" s="379"/>
      <c r="AB749" s="379"/>
      <c r="AC749" s="36"/>
      <c r="AD749" s="36"/>
      <c r="AE749" s="36">
        <v>0</v>
      </c>
      <c r="AF749" s="36"/>
      <c r="AG749" s="36"/>
      <c r="AH749" s="36"/>
      <c r="AI749" s="36"/>
      <c r="AJ749" s="36"/>
      <c r="AK749" s="401"/>
      <c r="AL749" s="401"/>
      <c r="AM749" s="401"/>
      <c r="AN749" s="36"/>
      <c r="AO749" s="36"/>
      <c r="AP749" s="36"/>
      <c r="AQ749" s="36" t="s">
        <v>2815</v>
      </c>
      <c r="AR749" s="407"/>
    </row>
    <row r="750" spans="1:44" s="214" customFormat="1" ht="15" customHeight="1">
      <c r="A750" s="3">
        <v>3010609</v>
      </c>
      <c r="B750" s="3" t="s">
        <v>2782</v>
      </c>
      <c r="C750" s="236" t="s">
        <v>2816</v>
      </c>
      <c r="D750" s="3" t="s">
        <v>2601</v>
      </c>
      <c r="E750" s="3"/>
      <c r="F750" s="3">
        <v>8</v>
      </c>
      <c r="G750" s="48">
        <v>8</v>
      </c>
      <c r="H750" s="3" t="s">
        <v>136</v>
      </c>
      <c r="I750" s="3" t="s">
        <v>137</v>
      </c>
      <c r="J750" s="3"/>
      <c r="K750" s="3"/>
      <c r="L750" s="236"/>
      <c r="M750" s="99"/>
      <c r="N750" s="99"/>
      <c r="O750" s="236"/>
      <c r="P750" s="22"/>
      <c r="Q750" s="22">
        <v>0</v>
      </c>
      <c r="R750" s="22" t="s">
        <v>153</v>
      </c>
      <c r="S750" s="3"/>
      <c r="T750" s="260"/>
      <c r="U750" s="261"/>
      <c r="V750" s="22"/>
      <c r="W750" s="567" t="s">
        <v>2634</v>
      </c>
      <c r="X750" s="567" t="s">
        <v>2634</v>
      </c>
      <c r="Y750" s="22"/>
      <c r="Z750" s="22"/>
      <c r="AA750" s="22"/>
      <c r="AB750" s="22" t="s">
        <v>114</v>
      </c>
      <c r="AC750" s="3"/>
      <c r="AD750" s="3"/>
      <c r="AE750" s="3">
        <v>0</v>
      </c>
      <c r="AF750" s="3">
        <v>0</v>
      </c>
      <c r="AG750" s="3">
        <v>0</v>
      </c>
      <c r="AH750" s="3"/>
      <c r="AI750" s="3">
        <v>0</v>
      </c>
      <c r="AJ750" s="3">
        <v>0</v>
      </c>
      <c r="AK750" s="3">
        <v>0</v>
      </c>
      <c r="AL750" s="3"/>
      <c r="AM750" s="3"/>
      <c r="AN750" s="3"/>
      <c r="AO750" s="3"/>
      <c r="AP750" s="3"/>
      <c r="AQ750" s="3" t="s">
        <v>2794</v>
      </c>
      <c r="AR750" s="281"/>
    </row>
    <row r="751" spans="1:44" s="214" customFormat="1" ht="15" customHeight="1">
      <c r="A751" s="3">
        <v>3010610</v>
      </c>
      <c r="B751" s="3" t="s">
        <v>2782</v>
      </c>
      <c r="C751" s="236" t="s">
        <v>2817</v>
      </c>
      <c r="D751" s="3" t="s">
        <v>2601</v>
      </c>
      <c r="E751" s="3"/>
      <c r="F751" s="3">
        <v>9</v>
      </c>
      <c r="G751" s="47">
        <v>8</v>
      </c>
      <c r="H751" s="3" t="s">
        <v>136</v>
      </c>
      <c r="I751" s="3" t="s">
        <v>137</v>
      </c>
      <c r="J751" s="3"/>
      <c r="K751" s="3"/>
      <c r="L751" s="236"/>
      <c r="M751" s="99"/>
      <c r="N751" s="99"/>
      <c r="O751" s="236"/>
      <c r="P751" s="22"/>
      <c r="Q751" s="22">
        <v>0</v>
      </c>
      <c r="R751" s="22" t="s">
        <v>153</v>
      </c>
      <c r="S751" s="3"/>
      <c r="T751" s="260"/>
      <c r="U751" s="261"/>
      <c r="V751" s="22"/>
      <c r="W751" s="567" t="s">
        <v>2818</v>
      </c>
      <c r="X751" s="567" t="s">
        <v>2818</v>
      </c>
      <c r="Y751" s="22"/>
      <c r="Z751" s="22"/>
      <c r="AA751" s="22"/>
      <c r="AB751" s="22" t="s">
        <v>114</v>
      </c>
      <c r="AC751" s="3"/>
      <c r="AD751" s="3"/>
      <c r="AE751" s="3">
        <v>0</v>
      </c>
      <c r="AF751" s="3">
        <v>0</v>
      </c>
      <c r="AG751" s="3">
        <v>0</v>
      </c>
      <c r="AH751" s="3"/>
      <c r="AI751" s="3">
        <v>0</v>
      </c>
      <c r="AJ751" s="3">
        <v>0</v>
      </c>
      <c r="AK751" s="3">
        <v>0</v>
      </c>
      <c r="AL751" s="3"/>
      <c r="AM751" s="3"/>
      <c r="AN751" s="3"/>
      <c r="AO751" s="3"/>
      <c r="AP751" s="3"/>
      <c r="AQ751" s="282" t="str">
        <f>"tricks/"&amp;A751</f>
        <v>tricks/3010610</v>
      </c>
      <c r="AR751" s="222"/>
    </row>
    <row r="752" spans="1:44" s="214" customFormat="1" ht="15" customHeight="1">
      <c r="A752" s="3">
        <v>3010611</v>
      </c>
      <c r="B752" s="3" t="s">
        <v>2782</v>
      </c>
      <c r="C752" s="236" t="s">
        <v>2819</v>
      </c>
      <c r="D752" s="3" t="s">
        <v>2601</v>
      </c>
      <c r="E752" s="3"/>
      <c r="F752" s="3">
        <v>10</v>
      </c>
      <c r="G752" s="48">
        <v>8</v>
      </c>
      <c r="H752" s="3" t="s">
        <v>136</v>
      </c>
      <c r="I752" s="3" t="s">
        <v>137</v>
      </c>
      <c r="J752" s="3"/>
      <c r="K752" s="3"/>
      <c r="L752" s="236"/>
      <c r="M752" s="99"/>
      <c r="N752" s="99"/>
      <c r="O752" s="236"/>
      <c r="P752" s="22"/>
      <c r="Q752" s="22">
        <v>0</v>
      </c>
      <c r="R752" s="22" t="s">
        <v>153</v>
      </c>
      <c r="S752" s="3"/>
      <c r="T752" s="260"/>
      <c r="U752" s="261"/>
      <c r="V752" s="22"/>
      <c r="W752" s="567" t="s">
        <v>2779</v>
      </c>
      <c r="X752" s="567" t="s">
        <v>2779</v>
      </c>
      <c r="Y752" s="22"/>
      <c r="Z752" s="22"/>
      <c r="AA752" s="22"/>
      <c r="AB752" s="22" t="s">
        <v>114</v>
      </c>
      <c r="AC752" s="3"/>
      <c r="AD752" s="3"/>
      <c r="AE752" s="3">
        <v>0</v>
      </c>
      <c r="AF752" s="3">
        <v>0</v>
      </c>
      <c r="AG752" s="3">
        <v>0</v>
      </c>
      <c r="AH752" s="3"/>
      <c r="AI752" s="3">
        <v>0</v>
      </c>
      <c r="AJ752" s="3">
        <v>0</v>
      </c>
      <c r="AK752" s="3">
        <v>0</v>
      </c>
      <c r="AL752" s="3"/>
      <c r="AM752" s="3"/>
      <c r="AN752" s="3"/>
      <c r="AO752" s="3"/>
      <c r="AP752" s="3"/>
      <c r="AQ752" s="282" t="str">
        <f>"tricks/"&amp;A752</f>
        <v>tricks/3010611</v>
      </c>
      <c r="AR752" s="222"/>
    </row>
    <row r="753" spans="1:44" s="214" customFormat="1" ht="15" customHeight="1">
      <c r="A753" s="6">
        <v>3010701</v>
      </c>
      <c r="B753" s="394" t="s">
        <v>2820</v>
      </c>
      <c r="C753" s="234" t="s">
        <v>2821</v>
      </c>
      <c r="D753" s="6" t="s">
        <v>2601</v>
      </c>
      <c r="E753" s="6"/>
      <c r="F753" s="36">
        <v>1</v>
      </c>
      <c r="G753" s="47">
        <v>8</v>
      </c>
      <c r="H753" s="6" t="s">
        <v>82</v>
      </c>
      <c r="I753" s="6" t="s">
        <v>101</v>
      </c>
      <c r="J753" s="6"/>
      <c r="K753" s="6"/>
      <c r="L753" s="234" t="s">
        <v>2822</v>
      </c>
      <c r="M753" s="235"/>
      <c r="N753" s="235">
        <v>16</v>
      </c>
      <c r="O753" s="234"/>
      <c r="P753" s="40"/>
      <c r="Q753" s="40">
        <v>0</v>
      </c>
      <c r="R753" s="40" t="s">
        <v>153</v>
      </c>
      <c r="S753" s="6">
        <v>3010701</v>
      </c>
      <c r="T753" s="258"/>
      <c r="U753" s="259"/>
      <c r="V753" s="40" t="s">
        <v>582</v>
      </c>
      <c r="W753" s="566" t="s">
        <v>2823</v>
      </c>
      <c r="X753" s="566" t="s">
        <v>2823</v>
      </c>
      <c r="Y753" s="40">
        <v>0</v>
      </c>
      <c r="Z753" s="40">
        <v>0</v>
      </c>
      <c r="AA753" s="40"/>
      <c r="AB753" s="40"/>
      <c r="AC753" s="6"/>
      <c r="AD753" s="6"/>
      <c r="AE753" s="6">
        <v>2</v>
      </c>
      <c r="AF753" s="6"/>
      <c r="AG753" s="6">
        <v>30</v>
      </c>
      <c r="AH753" s="6"/>
      <c r="AI753" s="6"/>
      <c r="AJ753" s="6"/>
      <c r="AK753" s="272"/>
      <c r="AL753" s="272"/>
      <c r="AM753" s="272"/>
      <c r="AN753" s="42" t="s">
        <v>2824</v>
      </c>
      <c r="AO753" s="6"/>
      <c r="AP753" s="6"/>
      <c r="AQ753" s="6" t="s">
        <v>2825</v>
      </c>
      <c r="AR753" s="280"/>
    </row>
    <row r="754" spans="1:44" s="214" customFormat="1" ht="15" customHeight="1">
      <c r="A754" s="6">
        <v>3010702</v>
      </c>
      <c r="B754" s="394" t="s">
        <v>2820</v>
      </c>
      <c r="C754" s="234" t="s">
        <v>2826</v>
      </c>
      <c r="D754" s="6" t="s">
        <v>2601</v>
      </c>
      <c r="E754" s="6"/>
      <c r="F754" s="36">
        <v>1</v>
      </c>
      <c r="G754" s="48">
        <v>8</v>
      </c>
      <c r="H754" s="6" t="s">
        <v>136</v>
      </c>
      <c r="I754" s="6" t="s">
        <v>137</v>
      </c>
      <c r="J754" s="6"/>
      <c r="K754" s="6"/>
      <c r="L754" s="234" t="s">
        <v>2827</v>
      </c>
      <c r="M754" s="235"/>
      <c r="N754" s="235"/>
      <c r="O754" s="234"/>
      <c r="P754" s="40"/>
      <c r="Q754" s="40">
        <v>0</v>
      </c>
      <c r="R754" s="40" t="s">
        <v>153</v>
      </c>
      <c r="S754" s="6">
        <v>3010702</v>
      </c>
      <c r="T754" s="258"/>
      <c r="U754" s="259"/>
      <c r="V754" s="40" t="s">
        <v>582</v>
      </c>
      <c r="W754" s="566" t="s">
        <v>2719</v>
      </c>
      <c r="X754" s="566" t="s">
        <v>2719</v>
      </c>
      <c r="Y754" s="40">
        <v>0</v>
      </c>
      <c r="Z754" s="40">
        <v>0</v>
      </c>
      <c r="AA754" s="40"/>
      <c r="AB754" s="40"/>
      <c r="AC754" s="6"/>
      <c r="AD754" s="6"/>
      <c r="AE754" s="6">
        <v>0</v>
      </c>
      <c r="AF754" s="6"/>
      <c r="AG754" s="6"/>
      <c r="AH754" s="6"/>
      <c r="AI754" s="6"/>
      <c r="AJ754" s="6"/>
      <c r="AK754" s="272"/>
      <c r="AL754" s="272"/>
      <c r="AM754" s="272"/>
      <c r="AN754" s="6"/>
      <c r="AO754" s="6"/>
      <c r="AP754" s="6"/>
      <c r="AQ754" s="6" t="s">
        <v>2828</v>
      </c>
      <c r="AR754" s="280"/>
    </row>
    <row r="755" spans="1:44" s="214" customFormat="1" ht="15" customHeight="1">
      <c r="A755" s="6">
        <v>3010703</v>
      </c>
      <c r="B755" s="394" t="s">
        <v>2820</v>
      </c>
      <c r="C755" s="234" t="s">
        <v>2829</v>
      </c>
      <c r="D755" s="6" t="s">
        <v>2601</v>
      </c>
      <c r="E755" s="6"/>
      <c r="F755" s="36">
        <v>2</v>
      </c>
      <c r="G755" s="47">
        <v>8</v>
      </c>
      <c r="H755" s="6" t="s">
        <v>136</v>
      </c>
      <c r="I755" s="6" t="s">
        <v>137</v>
      </c>
      <c r="J755" s="6"/>
      <c r="K755" s="6"/>
      <c r="L755" s="234" t="s">
        <v>2830</v>
      </c>
      <c r="M755" s="235"/>
      <c r="N755" s="235"/>
      <c r="O755" s="234"/>
      <c r="P755" s="40"/>
      <c r="Q755" s="40">
        <v>0</v>
      </c>
      <c r="R755" s="40" t="s">
        <v>153</v>
      </c>
      <c r="S755" s="6">
        <v>3010704</v>
      </c>
      <c r="T755" s="258"/>
      <c r="U755" s="259"/>
      <c r="V755" s="40" t="s">
        <v>582</v>
      </c>
      <c r="W755" s="566" t="s">
        <v>2831</v>
      </c>
      <c r="X755" s="566" t="s">
        <v>2831</v>
      </c>
      <c r="Y755" s="40">
        <v>0</v>
      </c>
      <c r="Z755" s="40">
        <v>0</v>
      </c>
      <c r="AA755" s="40"/>
      <c r="AB755" s="40"/>
      <c r="AC755" s="6"/>
      <c r="AD755" s="6"/>
      <c r="AE755" s="6">
        <v>0</v>
      </c>
      <c r="AF755" s="6"/>
      <c r="AG755" s="6"/>
      <c r="AH755" s="6"/>
      <c r="AI755" s="6"/>
      <c r="AJ755" s="6"/>
      <c r="AK755" s="272"/>
      <c r="AL755" s="272"/>
      <c r="AM755" s="272"/>
      <c r="AN755" s="6"/>
      <c r="AO755" s="6"/>
      <c r="AP755" s="6"/>
      <c r="AQ755" s="6" t="s">
        <v>2832</v>
      </c>
      <c r="AR755" s="280"/>
    </row>
    <row r="756" spans="1:44" s="214" customFormat="1" ht="15" customHeight="1">
      <c r="A756" s="6">
        <v>3010704</v>
      </c>
      <c r="B756" s="394" t="s">
        <v>2820</v>
      </c>
      <c r="C756" s="234" t="s">
        <v>2833</v>
      </c>
      <c r="D756" s="6" t="s">
        <v>2601</v>
      </c>
      <c r="E756" s="6"/>
      <c r="F756" s="36">
        <v>3</v>
      </c>
      <c r="G756" s="48">
        <v>8</v>
      </c>
      <c r="H756" s="6" t="s">
        <v>136</v>
      </c>
      <c r="I756" s="6" t="s">
        <v>137</v>
      </c>
      <c r="J756" s="6"/>
      <c r="K756" s="6"/>
      <c r="L756" s="234" t="s">
        <v>2834</v>
      </c>
      <c r="M756" s="235"/>
      <c r="N756" s="235"/>
      <c r="O756" s="234"/>
      <c r="P756" s="40"/>
      <c r="Q756" s="40">
        <v>0</v>
      </c>
      <c r="R756" s="40" t="s">
        <v>153</v>
      </c>
      <c r="S756" s="6">
        <v>3010703</v>
      </c>
      <c r="T756" s="258"/>
      <c r="U756" s="259"/>
      <c r="V756" s="40" t="s">
        <v>582</v>
      </c>
      <c r="W756" s="566" t="s">
        <v>2835</v>
      </c>
      <c r="X756" s="566" t="s">
        <v>2835</v>
      </c>
      <c r="Y756" s="40">
        <v>0</v>
      </c>
      <c r="Z756" s="40">
        <v>0</v>
      </c>
      <c r="AA756" s="40"/>
      <c r="AB756" s="40"/>
      <c r="AC756" s="6"/>
      <c r="AD756" s="6"/>
      <c r="AE756" s="6">
        <v>0</v>
      </c>
      <c r="AF756" s="6"/>
      <c r="AG756" s="6"/>
      <c r="AH756" s="6"/>
      <c r="AI756" s="6"/>
      <c r="AJ756" s="6"/>
      <c r="AK756" s="272"/>
      <c r="AL756" s="272"/>
      <c r="AM756" s="272"/>
      <c r="AN756" s="6"/>
      <c r="AO756" s="6"/>
      <c r="AP756" s="6"/>
      <c r="AQ756" s="6" t="s">
        <v>2836</v>
      </c>
      <c r="AR756" s="280"/>
    </row>
    <row r="757" spans="1:44" s="214" customFormat="1" ht="15" customHeight="1">
      <c r="A757" s="6">
        <v>3010705</v>
      </c>
      <c r="B757" s="394" t="s">
        <v>2820</v>
      </c>
      <c r="C757" s="234" t="s">
        <v>2837</v>
      </c>
      <c r="D757" s="6" t="s">
        <v>2601</v>
      </c>
      <c r="E757" s="6"/>
      <c r="F757" s="36">
        <v>4</v>
      </c>
      <c r="G757" s="47">
        <v>8</v>
      </c>
      <c r="H757" s="6" t="s">
        <v>136</v>
      </c>
      <c r="I757" s="6" t="s">
        <v>137</v>
      </c>
      <c r="J757" s="6"/>
      <c r="K757" s="6"/>
      <c r="L757" s="234" t="s">
        <v>2838</v>
      </c>
      <c r="M757" s="235"/>
      <c r="N757" s="235"/>
      <c r="O757" s="234"/>
      <c r="P757" s="40"/>
      <c r="Q757" s="40">
        <v>0</v>
      </c>
      <c r="R757" s="40" t="s">
        <v>153</v>
      </c>
      <c r="S757" s="6"/>
      <c r="T757" s="258"/>
      <c r="U757" s="259"/>
      <c r="V757" s="40"/>
      <c r="W757" s="566" t="s">
        <v>2727</v>
      </c>
      <c r="X757" s="566" t="s">
        <v>2727</v>
      </c>
      <c r="Y757" s="40">
        <v>0</v>
      </c>
      <c r="Z757" s="40">
        <v>0</v>
      </c>
      <c r="AA757" s="40"/>
      <c r="AB757" s="40"/>
      <c r="AC757" s="6"/>
      <c r="AD757" s="6"/>
      <c r="AE757" s="6">
        <v>0</v>
      </c>
      <c r="AF757" s="6"/>
      <c r="AG757" s="6"/>
      <c r="AH757" s="6"/>
      <c r="AI757" s="6"/>
      <c r="AJ757" s="6"/>
      <c r="AK757" s="272"/>
      <c r="AL757" s="272"/>
      <c r="AM757" s="272"/>
      <c r="AN757" s="6"/>
      <c r="AO757" s="6"/>
      <c r="AP757" s="6"/>
      <c r="AQ757" s="6" t="s">
        <v>2839</v>
      </c>
      <c r="AR757" s="280"/>
    </row>
    <row r="758" spans="1:44" ht="15" customHeight="1">
      <c r="A758" s="6">
        <v>3010706</v>
      </c>
      <c r="B758" s="6" t="s">
        <v>2820</v>
      </c>
      <c r="C758" s="234" t="s">
        <v>2840</v>
      </c>
      <c r="D758" s="6" t="s">
        <v>2601</v>
      </c>
      <c r="E758" s="6"/>
      <c r="F758" s="36">
        <v>5</v>
      </c>
      <c r="G758" s="48">
        <v>8</v>
      </c>
      <c r="H758" s="6" t="s">
        <v>136</v>
      </c>
      <c r="I758" s="6" t="s">
        <v>137</v>
      </c>
      <c r="J758" s="6"/>
      <c r="K758" s="6"/>
      <c r="L758" s="234" t="s">
        <v>2841</v>
      </c>
      <c r="M758" s="235"/>
      <c r="N758" s="235"/>
      <c r="O758" s="234"/>
      <c r="P758" s="40"/>
      <c r="Q758" s="40">
        <v>0</v>
      </c>
      <c r="R758" s="40" t="s">
        <v>153</v>
      </c>
      <c r="S758" s="6"/>
      <c r="T758" s="258"/>
      <c r="U758" s="259"/>
      <c r="V758" s="40"/>
      <c r="W758" s="566" t="s">
        <v>2764</v>
      </c>
      <c r="X758" s="566" t="s">
        <v>2764</v>
      </c>
      <c r="Y758" s="40">
        <v>0</v>
      </c>
      <c r="Z758" s="40">
        <v>0</v>
      </c>
      <c r="AA758" s="40"/>
      <c r="AB758" s="40"/>
      <c r="AC758" s="6"/>
      <c r="AD758" s="6"/>
      <c r="AE758" s="6">
        <v>0</v>
      </c>
      <c r="AF758" s="6"/>
      <c r="AG758" s="6"/>
      <c r="AH758" s="6"/>
      <c r="AI758" s="6"/>
      <c r="AJ758" s="6"/>
      <c r="AK758" s="272"/>
      <c r="AL758" s="272"/>
      <c r="AM758" s="272"/>
      <c r="AN758" s="6"/>
      <c r="AO758" s="6"/>
      <c r="AP758" s="6"/>
      <c r="AQ758" s="6" t="s">
        <v>2842</v>
      </c>
      <c r="AR758" s="280"/>
    </row>
    <row r="759" spans="1:44" ht="15" customHeight="1">
      <c r="A759" s="6">
        <v>3010707</v>
      </c>
      <c r="B759" s="6" t="s">
        <v>2820</v>
      </c>
      <c r="C759" s="234" t="s">
        <v>2843</v>
      </c>
      <c r="D759" s="6" t="s">
        <v>2601</v>
      </c>
      <c r="E759" s="6"/>
      <c r="F759" s="36">
        <v>6</v>
      </c>
      <c r="G759" s="47">
        <v>8</v>
      </c>
      <c r="H759" s="6" t="s">
        <v>136</v>
      </c>
      <c r="I759" s="6" t="s">
        <v>137</v>
      </c>
      <c r="J759" s="6"/>
      <c r="K759" s="6"/>
      <c r="L759" s="234" t="s">
        <v>2844</v>
      </c>
      <c r="M759" s="235"/>
      <c r="N759" s="235"/>
      <c r="O759" s="234"/>
      <c r="P759" s="40"/>
      <c r="Q759" s="40">
        <v>0</v>
      </c>
      <c r="R759" s="40" t="s">
        <v>153</v>
      </c>
      <c r="S759" s="6">
        <v>3010705</v>
      </c>
      <c r="T759" s="258"/>
      <c r="U759" s="259"/>
      <c r="V759" s="40" t="s">
        <v>582</v>
      </c>
      <c r="W759" s="566" t="s">
        <v>2835</v>
      </c>
      <c r="X759" s="566" t="s">
        <v>2835</v>
      </c>
      <c r="Y759" s="40">
        <v>0</v>
      </c>
      <c r="Z759" s="40">
        <v>0</v>
      </c>
      <c r="AA759" s="40"/>
      <c r="AB759" s="40"/>
      <c r="AC759" s="6"/>
      <c r="AD759" s="6"/>
      <c r="AE759" s="6">
        <v>0</v>
      </c>
      <c r="AF759" s="6"/>
      <c r="AG759" s="6"/>
      <c r="AH759" s="6"/>
      <c r="AI759" s="6"/>
      <c r="AJ759" s="6"/>
      <c r="AK759" s="272"/>
      <c r="AL759" s="272"/>
      <c r="AM759" s="272"/>
      <c r="AN759" s="6"/>
      <c r="AO759" s="6"/>
      <c r="AP759" s="6"/>
      <c r="AQ759" s="6" t="s">
        <v>2845</v>
      </c>
      <c r="AR759" s="280"/>
    </row>
    <row r="760" spans="1:44" ht="15" customHeight="1">
      <c r="A760" s="6">
        <v>3010708</v>
      </c>
      <c r="B760" s="6" t="s">
        <v>2820</v>
      </c>
      <c r="C760" s="234" t="s">
        <v>2846</v>
      </c>
      <c r="D760" s="6" t="s">
        <v>2601</v>
      </c>
      <c r="E760" s="6"/>
      <c r="F760" s="36">
        <v>7</v>
      </c>
      <c r="G760" s="48">
        <v>8</v>
      </c>
      <c r="H760" s="6" t="s">
        <v>136</v>
      </c>
      <c r="I760" s="6" t="s">
        <v>137</v>
      </c>
      <c r="J760" s="6"/>
      <c r="K760" s="6"/>
      <c r="L760" s="234" t="s">
        <v>2847</v>
      </c>
      <c r="M760" s="235"/>
      <c r="N760" s="235"/>
      <c r="O760" s="234"/>
      <c r="P760" s="40"/>
      <c r="Q760" s="40">
        <v>0</v>
      </c>
      <c r="R760" s="40" t="s">
        <v>153</v>
      </c>
      <c r="S760" s="6">
        <v>3010706</v>
      </c>
      <c r="T760" s="258"/>
      <c r="U760" s="259"/>
      <c r="V760" s="40" t="s">
        <v>582</v>
      </c>
      <c r="W760" s="566" t="s">
        <v>2848</v>
      </c>
      <c r="X760" s="566" t="s">
        <v>2848</v>
      </c>
      <c r="Y760" s="40">
        <v>0</v>
      </c>
      <c r="Z760" s="40">
        <v>0</v>
      </c>
      <c r="AA760" s="40"/>
      <c r="AB760" s="40"/>
      <c r="AC760" s="6"/>
      <c r="AD760" s="6"/>
      <c r="AE760" s="6">
        <v>0</v>
      </c>
      <c r="AF760" s="6"/>
      <c r="AG760" s="6"/>
      <c r="AH760" s="6"/>
      <c r="AI760" s="6"/>
      <c r="AJ760" s="6"/>
      <c r="AK760" s="272"/>
      <c r="AL760" s="272"/>
      <c r="AM760" s="272"/>
      <c r="AN760" s="6"/>
      <c r="AO760" s="6"/>
      <c r="AP760" s="6"/>
      <c r="AQ760" s="6" t="s">
        <v>2849</v>
      </c>
      <c r="AR760" s="280"/>
    </row>
    <row r="761" spans="1:44" ht="15" customHeight="1">
      <c r="A761" s="3">
        <v>3010709</v>
      </c>
      <c r="B761" s="3" t="s">
        <v>2820</v>
      </c>
      <c r="C761" s="236" t="s">
        <v>2850</v>
      </c>
      <c r="D761" s="3" t="s">
        <v>2601</v>
      </c>
      <c r="E761" s="3"/>
      <c r="F761" s="3">
        <v>8</v>
      </c>
      <c r="G761" s="47">
        <v>8</v>
      </c>
      <c r="H761" s="3" t="s">
        <v>136</v>
      </c>
      <c r="I761" s="3" t="s">
        <v>137</v>
      </c>
      <c r="J761" s="3"/>
      <c r="K761" s="3"/>
      <c r="L761" s="236"/>
      <c r="M761" s="99"/>
      <c r="N761" s="99"/>
      <c r="O761" s="236"/>
      <c r="P761" s="22"/>
      <c r="Q761" s="22">
        <v>0</v>
      </c>
      <c r="R761" s="22" t="s">
        <v>153</v>
      </c>
      <c r="S761" s="3"/>
      <c r="T761" s="260"/>
      <c r="U761" s="261"/>
      <c r="V761" s="22"/>
      <c r="W761" s="567" t="s">
        <v>2634</v>
      </c>
      <c r="X761" s="567" t="s">
        <v>2634</v>
      </c>
      <c r="Y761" s="22"/>
      <c r="Z761" s="22"/>
      <c r="AA761" s="22"/>
      <c r="AB761" s="22" t="s">
        <v>114</v>
      </c>
      <c r="AC761" s="3"/>
      <c r="AD761" s="3"/>
      <c r="AE761" s="3">
        <v>0</v>
      </c>
      <c r="AF761" s="3">
        <v>0</v>
      </c>
      <c r="AG761" s="3">
        <v>0</v>
      </c>
      <c r="AH761" s="3"/>
      <c r="AI761" s="3">
        <v>0</v>
      </c>
      <c r="AJ761" s="3">
        <v>0</v>
      </c>
      <c r="AK761" s="3">
        <v>0</v>
      </c>
      <c r="AL761" s="3"/>
      <c r="AM761" s="3"/>
      <c r="AN761" s="3"/>
      <c r="AO761" s="3"/>
      <c r="AP761" s="3"/>
      <c r="AQ761" s="3" t="s">
        <v>2832</v>
      </c>
      <c r="AR761" s="281"/>
    </row>
    <row r="762" spans="1:44" ht="15" customHeight="1">
      <c r="A762" s="3">
        <v>3010710</v>
      </c>
      <c r="B762" s="3" t="s">
        <v>2820</v>
      </c>
      <c r="C762" s="236" t="s">
        <v>2851</v>
      </c>
      <c r="D762" s="3" t="s">
        <v>2601</v>
      </c>
      <c r="E762" s="3"/>
      <c r="F762" s="3">
        <v>9</v>
      </c>
      <c r="G762" s="48">
        <v>8</v>
      </c>
      <c r="H762" s="3" t="s">
        <v>136</v>
      </c>
      <c r="I762" s="3" t="s">
        <v>137</v>
      </c>
      <c r="J762" s="3"/>
      <c r="K762" s="3"/>
      <c r="L762" s="236"/>
      <c r="M762" s="99"/>
      <c r="N762" s="99"/>
      <c r="O762" s="236"/>
      <c r="P762" s="22"/>
      <c r="Q762" s="22">
        <v>0</v>
      </c>
      <c r="R762" s="22" t="s">
        <v>153</v>
      </c>
      <c r="S762" s="3"/>
      <c r="T762" s="260"/>
      <c r="U762" s="261"/>
      <c r="V762" s="22"/>
      <c r="W762" s="567" t="s">
        <v>2852</v>
      </c>
      <c r="X762" s="567" t="s">
        <v>2852</v>
      </c>
      <c r="Y762" s="22"/>
      <c r="Z762" s="22"/>
      <c r="AA762" s="22"/>
      <c r="AB762" s="22" t="s">
        <v>114</v>
      </c>
      <c r="AC762" s="3"/>
      <c r="AD762" s="3"/>
      <c r="AE762" s="3">
        <v>0</v>
      </c>
      <c r="AF762" s="3">
        <v>0</v>
      </c>
      <c r="AG762" s="3">
        <v>0</v>
      </c>
      <c r="AH762" s="3"/>
      <c r="AI762" s="3">
        <v>0</v>
      </c>
      <c r="AJ762" s="3">
        <v>0</v>
      </c>
      <c r="AK762" s="3">
        <v>0</v>
      </c>
      <c r="AL762" s="3"/>
      <c r="AM762" s="3"/>
      <c r="AN762" s="3"/>
      <c r="AO762" s="3"/>
      <c r="AP762" s="3"/>
      <c r="AQ762" s="282" t="str">
        <f>"tricks/"&amp;A762</f>
        <v>tricks/3010710</v>
      </c>
    </row>
    <row r="763" spans="1:44" ht="15" customHeight="1">
      <c r="A763" s="3">
        <v>3010711</v>
      </c>
      <c r="B763" s="3" t="s">
        <v>2820</v>
      </c>
      <c r="C763" s="236" t="s">
        <v>2853</v>
      </c>
      <c r="D763" s="3" t="s">
        <v>2601</v>
      </c>
      <c r="E763" s="3"/>
      <c r="F763" s="3">
        <v>10</v>
      </c>
      <c r="G763" s="47">
        <v>8</v>
      </c>
      <c r="H763" s="3" t="s">
        <v>136</v>
      </c>
      <c r="I763" s="3" t="s">
        <v>137</v>
      </c>
      <c r="J763" s="3"/>
      <c r="K763" s="3"/>
      <c r="L763" s="236"/>
      <c r="M763" s="99"/>
      <c r="N763" s="99"/>
      <c r="O763" s="236"/>
      <c r="P763" s="22"/>
      <c r="Q763" s="22">
        <v>0</v>
      </c>
      <c r="R763" s="22" t="s">
        <v>153</v>
      </c>
      <c r="S763" s="3"/>
      <c r="T763" s="260"/>
      <c r="U763" s="261"/>
      <c r="V763" s="22"/>
      <c r="W763" s="567" t="s">
        <v>2854</v>
      </c>
      <c r="X763" s="567" t="s">
        <v>2854</v>
      </c>
      <c r="Y763" s="22"/>
      <c r="Z763" s="22"/>
      <c r="AA763" s="22"/>
      <c r="AB763" s="22" t="s">
        <v>114</v>
      </c>
      <c r="AC763" s="3"/>
      <c r="AD763" s="3"/>
      <c r="AE763" s="3">
        <v>0</v>
      </c>
      <c r="AF763" s="3">
        <v>0</v>
      </c>
      <c r="AG763" s="3">
        <v>0</v>
      </c>
      <c r="AH763" s="3"/>
      <c r="AI763" s="3">
        <v>0</v>
      </c>
      <c r="AJ763" s="3">
        <v>0</v>
      </c>
      <c r="AK763" s="3">
        <v>0</v>
      </c>
      <c r="AL763" s="3"/>
      <c r="AM763" s="3"/>
      <c r="AN763" s="3"/>
      <c r="AO763" s="3"/>
      <c r="AP763" s="3"/>
      <c r="AQ763" s="282" t="str">
        <f>"tricks/"&amp;A763</f>
        <v>tricks/3010711</v>
      </c>
    </row>
    <row r="764" spans="1:44" ht="15" customHeight="1">
      <c r="A764" s="37">
        <v>3010801</v>
      </c>
      <c r="B764" s="37" t="s">
        <v>2855</v>
      </c>
      <c r="C764" s="432" t="s">
        <v>2856</v>
      </c>
      <c r="D764" s="37" t="s">
        <v>2601</v>
      </c>
      <c r="E764" s="37"/>
      <c r="F764" s="36">
        <v>1</v>
      </c>
      <c r="G764" s="48">
        <v>8</v>
      </c>
      <c r="H764" s="37" t="s">
        <v>82</v>
      </c>
      <c r="I764" s="37" t="s">
        <v>101</v>
      </c>
      <c r="J764" s="37"/>
      <c r="K764" s="37"/>
      <c r="L764" s="432" t="s">
        <v>2857</v>
      </c>
      <c r="M764" s="409"/>
      <c r="N764" s="378">
        <v>17</v>
      </c>
      <c r="O764" s="432"/>
      <c r="P764" s="410"/>
      <c r="Q764" s="410">
        <v>0</v>
      </c>
      <c r="R764" s="410" t="s">
        <v>153</v>
      </c>
      <c r="S764" s="37">
        <v>3010801</v>
      </c>
      <c r="T764" s="415"/>
      <c r="U764" s="416"/>
      <c r="V764" s="410" t="s">
        <v>582</v>
      </c>
      <c r="W764" s="603" t="s">
        <v>2858</v>
      </c>
      <c r="X764" s="603" t="s">
        <v>2858</v>
      </c>
      <c r="Y764" s="410">
        <v>0</v>
      </c>
      <c r="Z764" s="410">
        <v>0</v>
      </c>
      <c r="AA764" s="410"/>
      <c r="AB764" s="410"/>
      <c r="AC764" s="37"/>
      <c r="AD764" s="37"/>
      <c r="AE764" s="37">
        <v>2</v>
      </c>
      <c r="AF764" s="37"/>
      <c r="AG764" s="37">
        <v>40</v>
      </c>
      <c r="AH764" s="37">
        <v>5</v>
      </c>
      <c r="AI764" s="37"/>
      <c r="AJ764" s="37"/>
      <c r="AK764" s="420"/>
      <c r="AL764" s="420"/>
      <c r="AM764" s="420"/>
      <c r="AN764" s="43" t="s">
        <v>2859</v>
      </c>
      <c r="AO764" s="37"/>
      <c r="AP764" s="37"/>
      <c r="AQ764" s="37" t="s">
        <v>2860</v>
      </c>
      <c r="AR764" s="423"/>
    </row>
    <row r="765" spans="1:44" ht="15" customHeight="1">
      <c r="A765" s="37">
        <v>3010802</v>
      </c>
      <c r="B765" s="37" t="s">
        <v>2855</v>
      </c>
      <c r="C765" s="432" t="s">
        <v>2861</v>
      </c>
      <c r="D765" s="37" t="s">
        <v>2601</v>
      </c>
      <c r="E765" s="37"/>
      <c r="F765" s="36">
        <v>1</v>
      </c>
      <c r="G765" s="47">
        <v>8</v>
      </c>
      <c r="H765" s="37" t="s">
        <v>136</v>
      </c>
      <c r="I765" s="37" t="s">
        <v>137</v>
      </c>
      <c r="J765" s="37"/>
      <c r="K765" s="37"/>
      <c r="L765" s="432" t="s">
        <v>2862</v>
      </c>
      <c r="M765" s="409"/>
      <c r="N765" s="409"/>
      <c r="O765" s="432"/>
      <c r="P765" s="410"/>
      <c r="Q765" s="410">
        <v>0</v>
      </c>
      <c r="R765" s="410" t="s">
        <v>153</v>
      </c>
      <c r="S765" s="37">
        <v>3010802</v>
      </c>
      <c r="T765" s="415"/>
      <c r="U765" s="416"/>
      <c r="V765" s="410" t="s">
        <v>582</v>
      </c>
      <c r="W765" s="603" t="s">
        <v>2863</v>
      </c>
      <c r="X765" s="603" t="s">
        <v>2863</v>
      </c>
      <c r="Y765" s="410">
        <v>0</v>
      </c>
      <c r="Z765" s="410">
        <v>0</v>
      </c>
      <c r="AA765" s="410"/>
      <c r="AB765" s="410"/>
      <c r="AC765" s="37"/>
      <c r="AD765" s="37"/>
      <c r="AE765" s="37">
        <v>0</v>
      </c>
      <c r="AF765" s="37"/>
      <c r="AG765" s="37"/>
      <c r="AH765" s="37"/>
      <c r="AI765" s="37"/>
      <c r="AJ765" s="37"/>
      <c r="AK765" s="420"/>
      <c r="AL765" s="420"/>
      <c r="AM765" s="420"/>
      <c r="AN765" s="37"/>
      <c r="AO765" s="37"/>
      <c r="AP765" s="37"/>
      <c r="AQ765" s="37" t="s">
        <v>2864</v>
      </c>
      <c r="AR765" s="423"/>
    </row>
    <row r="766" spans="1:44" ht="15" customHeight="1">
      <c r="A766" s="37">
        <v>3010803</v>
      </c>
      <c r="B766" s="37" t="s">
        <v>2855</v>
      </c>
      <c r="C766" s="432" t="s">
        <v>2865</v>
      </c>
      <c r="D766" s="37" t="s">
        <v>2601</v>
      </c>
      <c r="E766" s="37"/>
      <c r="F766" s="36">
        <v>2</v>
      </c>
      <c r="G766" s="48">
        <v>8</v>
      </c>
      <c r="H766" s="37" t="s">
        <v>136</v>
      </c>
      <c r="I766" s="37" t="s">
        <v>137</v>
      </c>
      <c r="J766" s="37"/>
      <c r="K766" s="37"/>
      <c r="L766" s="432" t="s">
        <v>2866</v>
      </c>
      <c r="M766" s="409"/>
      <c r="N766" s="409"/>
      <c r="O766" s="432"/>
      <c r="P766" s="410"/>
      <c r="Q766" s="410">
        <v>0</v>
      </c>
      <c r="R766" s="410" t="s">
        <v>153</v>
      </c>
      <c r="S766" s="37"/>
      <c r="T766" s="415"/>
      <c r="U766" s="416"/>
      <c r="V766" s="410"/>
      <c r="W766" s="603" t="s">
        <v>2867</v>
      </c>
      <c r="X766" s="603" t="s">
        <v>2867</v>
      </c>
      <c r="Y766" s="410">
        <v>0</v>
      </c>
      <c r="Z766" s="410">
        <v>0</v>
      </c>
      <c r="AA766" s="410"/>
      <c r="AB766" s="410"/>
      <c r="AC766" s="37"/>
      <c r="AD766" s="37"/>
      <c r="AE766" s="37">
        <v>0</v>
      </c>
      <c r="AF766" s="37"/>
      <c r="AG766" s="37"/>
      <c r="AH766" s="37"/>
      <c r="AI766" s="37"/>
      <c r="AJ766" s="37"/>
      <c r="AK766" s="420"/>
      <c r="AL766" s="420"/>
      <c r="AM766" s="420"/>
      <c r="AN766" s="37"/>
      <c r="AO766" s="37"/>
      <c r="AP766" s="37"/>
      <c r="AQ766" s="37" t="s">
        <v>2868</v>
      </c>
      <c r="AR766" s="423"/>
    </row>
    <row r="767" spans="1:44" ht="15" customHeight="1">
      <c r="A767" s="37">
        <v>3010804</v>
      </c>
      <c r="B767" s="37" t="s">
        <v>2855</v>
      </c>
      <c r="C767" s="432" t="s">
        <v>2869</v>
      </c>
      <c r="D767" s="37" t="s">
        <v>2601</v>
      </c>
      <c r="E767" s="37"/>
      <c r="F767" s="36">
        <v>3</v>
      </c>
      <c r="G767" s="47">
        <v>8</v>
      </c>
      <c r="H767" s="37" t="s">
        <v>136</v>
      </c>
      <c r="I767" s="37" t="s">
        <v>137</v>
      </c>
      <c r="J767" s="37"/>
      <c r="K767" s="37"/>
      <c r="L767" s="432" t="s">
        <v>2870</v>
      </c>
      <c r="M767" s="409"/>
      <c r="N767" s="409"/>
      <c r="O767" s="432"/>
      <c r="P767" s="410"/>
      <c r="Q767" s="410">
        <v>0</v>
      </c>
      <c r="R767" s="410" t="s">
        <v>153</v>
      </c>
      <c r="S767" s="37">
        <v>3010803</v>
      </c>
      <c r="T767" s="415"/>
      <c r="U767" s="416"/>
      <c r="V767" s="410" t="s">
        <v>582</v>
      </c>
      <c r="W767" s="603" t="s">
        <v>2871</v>
      </c>
      <c r="X767" s="603" t="s">
        <v>2871</v>
      </c>
      <c r="Y767" s="410">
        <v>0</v>
      </c>
      <c r="Z767" s="410">
        <v>0</v>
      </c>
      <c r="AA767" s="410"/>
      <c r="AB767" s="410"/>
      <c r="AC767" s="37"/>
      <c r="AD767" s="37"/>
      <c r="AE767" s="37">
        <v>0</v>
      </c>
      <c r="AF767" s="37"/>
      <c r="AG767" s="37"/>
      <c r="AH767" s="37"/>
      <c r="AI767" s="37"/>
      <c r="AJ767" s="37"/>
      <c r="AK767" s="420"/>
      <c r="AL767" s="420"/>
      <c r="AM767" s="420"/>
      <c r="AN767" s="37"/>
      <c r="AO767" s="37"/>
      <c r="AP767" s="37"/>
      <c r="AQ767" s="37" t="s">
        <v>2872</v>
      </c>
      <c r="AR767" s="423"/>
    </row>
    <row r="768" spans="1:44" ht="15" customHeight="1">
      <c r="A768" s="37">
        <v>3010805</v>
      </c>
      <c r="B768" s="37" t="s">
        <v>2855</v>
      </c>
      <c r="C768" s="432" t="s">
        <v>2873</v>
      </c>
      <c r="D768" s="37" t="s">
        <v>2601</v>
      </c>
      <c r="E768" s="37"/>
      <c r="F768" s="36">
        <v>4</v>
      </c>
      <c r="G768" s="48">
        <v>8</v>
      </c>
      <c r="H768" s="37" t="s">
        <v>136</v>
      </c>
      <c r="I768" s="37" t="s">
        <v>137</v>
      </c>
      <c r="J768" s="37"/>
      <c r="K768" s="37"/>
      <c r="L768" s="432" t="s">
        <v>2763</v>
      </c>
      <c r="M768" s="409"/>
      <c r="N768" s="409"/>
      <c r="O768" s="432"/>
      <c r="P768" s="410"/>
      <c r="Q768" s="410">
        <v>0</v>
      </c>
      <c r="R768" s="410" t="s">
        <v>153</v>
      </c>
      <c r="S768" s="37">
        <v>3010804</v>
      </c>
      <c r="T768" s="415"/>
      <c r="U768" s="416"/>
      <c r="V768" s="410" t="s">
        <v>582</v>
      </c>
      <c r="W768" s="603" t="s">
        <v>2752</v>
      </c>
      <c r="X768" s="603" t="s">
        <v>2752</v>
      </c>
      <c r="Y768" s="410">
        <v>0</v>
      </c>
      <c r="Z768" s="410">
        <v>0</v>
      </c>
      <c r="AA768" s="410"/>
      <c r="AB768" s="410"/>
      <c r="AC768" s="37"/>
      <c r="AD768" s="37"/>
      <c r="AE768" s="37">
        <v>0</v>
      </c>
      <c r="AF768" s="37"/>
      <c r="AG768" s="37"/>
      <c r="AH768" s="37"/>
      <c r="AI768" s="37"/>
      <c r="AJ768" s="37"/>
      <c r="AK768" s="420"/>
      <c r="AL768" s="420"/>
      <c r="AM768" s="420"/>
      <c r="AN768" s="529"/>
      <c r="AO768" s="37"/>
      <c r="AP768" s="37"/>
      <c r="AQ768" s="37" t="s">
        <v>2874</v>
      </c>
      <c r="AR768" s="423"/>
    </row>
    <row r="769" spans="1:44" ht="15" customHeight="1">
      <c r="A769" s="37">
        <v>3010806</v>
      </c>
      <c r="B769" s="37" t="s">
        <v>2855</v>
      </c>
      <c r="C769" s="432" t="s">
        <v>2875</v>
      </c>
      <c r="D769" s="37" t="s">
        <v>2601</v>
      </c>
      <c r="E769" s="37"/>
      <c r="F769" s="36">
        <v>5</v>
      </c>
      <c r="G769" s="47">
        <v>8</v>
      </c>
      <c r="H769" s="37" t="s">
        <v>136</v>
      </c>
      <c r="I769" s="37" t="s">
        <v>137</v>
      </c>
      <c r="J769" s="37"/>
      <c r="K769" s="37"/>
      <c r="L769" s="432" t="s">
        <v>2876</v>
      </c>
      <c r="M769" s="409"/>
      <c r="N769" s="409"/>
      <c r="O769" s="432"/>
      <c r="P769" s="410"/>
      <c r="Q769" s="410">
        <v>0</v>
      </c>
      <c r="R769" s="410" t="s">
        <v>153</v>
      </c>
      <c r="S769" s="37"/>
      <c r="T769" s="415"/>
      <c r="U769" s="416"/>
      <c r="V769" s="410"/>
      <c r="W769" s="603" t="s">
        <v>2877</v>
      </c>
      <c r="X769" s="603" t="s">
        <v>2877</v>
      </c>
      <c r="Y769" s="410">
        <v>0</v>
      </c>
      <c r="Z769" s="410">
        <v>0</v>
      </c>
      <c r="AA769" s="410"/>
      <c r="AB769" s="410"/>
      <c r="AC769" s="37"/>
      <c r="AD769" s="37"/>
      <c r="AE769" s="37">
        <v>0</v>
      </c>
      <c r="AF769" s="37"/>
      <c r="AG769" s="37"/>
      <c r="AH769" s="37"/>
      <c r="AI769" s="37"/>
      <c r="AJ769" s="37"/>
      <c r="AK769" s="420"/>
      <c r="AL769" s="420"/>
      <c r="AM769" s="420"/>
      <c r="AN769" s="529"/>
      <c r="AO769" s="37"/>
      <c r="AP769" s="37"/>
      <c r="AQ769" s="37" t="s">
        <v>2878</v>
      </c>
      <c r="AR769" s="423"/>
    </row>
    <row r="770" spans="1:44" ht="15" customHeight="1">
      <c r="A770" s="37">
        <v>3010807</v>
      </c>
      <c r="B770" s="37" t="s">
        <v>2855</v>
      </c>
      <c r="C770" s="432" t="s">
        <v>2879</v>
      </c>
      <c r="D770" s="37" t="s">
        <v>2601</v>
      </c>
      <c r="E770" s="37"/>
      <c r="F770" s="36">
        <v>6</v>
      </c>
      <c r="G770" s="48">
        <v>8</v>
      </c>
      <c r="H770" s="37" t="s">
        <v>136</v>
      </c>
      <c r="I770" s="37" t="s">
        <v>137</v>
      </c>
      <c r="J770" s="37"/>
      <c r="K770" s="37"/>
      <c r="L770" s="432" t="s">
        <v>2880</v>
      </c>
      <c r="M770" s="409"/>
      <c r="N770" s="409"/>
      <c r="O770" s="432"/>
      <c r="P770" s="410"/>
      <c r="Q770" s="410">
        <v>0</v>
      </c>
      <c r="R770" s="410" t="s">
        <v>153</v>
      </c>
      <c r="S770" s="37">
        <v>3010805</v>
      </c>
      <c r="T770" s="415"/>
      <c r="U770" s="416"/>
      <c r="V770" s="410" t="s">
        <v>582</v>
      </c>
      <c r="W770" s="603" t="s">
        <v>2871</v>
      </c>
      <c r="X770" s="603" t="s">
        <v>2871</v>
      </c>
      <c r="Y770" s="410">
        <v>0</v>
      </c>
      <c r="Z770" s="410">
        <v>0</v>
      </c>
      <c r="AA770" s="410"/>
      <c r="AB770" s="410"/>
      <c r="AC770" s="37"/>
      <c r="AD770" s="37"/>
      <c r="AE770" s="37">
        <v>0</v>
      </c>
      <c r="AF770" s="37"/>
      <c r="AG770" s="37"/>
      <c r="AH770" s="37"/>
      <c r="AI770" s="37"/>
      <c r="AJ770" s="37"/>
      <c r="AK770" s="420"/>
      <c r="AL770" s="420"/>
      <c r="AM770" s="420"/>
      <c r="AN770" s="37"/>
      <c r="AO770" s="37"/>
      <c r="AP770" s="37"/>
      <c r="AQ770" s="37" t="s">
        <v>2881</v>
      </c>
      <c r="AR770" s="423"/>
    </row>
    <row r="771" spans="1:44" ht="15" customHeight="1">
      <c r="A771" s="37">
        <v>3010808</v>
      </c>
      <c r="B771" s="37" t="s">
        <v>2855</v>
      </c>
      <c r="C771" s="432" t="s">
        <v>2882</v>
      </c>
      <c r="D771" s="37" t="s">
        <v>2601</v>
      </c>
      <c r="E771" s="37"/>
      <c r="F771" s="36">
        <v>7</v>
      </c>
      <c r="G771" s="47">
        <v>8</v>
      </c>
      <c r="H771" s="37" t="s">
        <v>136</v>
      </c>
      <c r="I771" s="37" t="s">
        <v>137</v>
      </c>
      <c r="J771" s="37"/>
      <c r="K771" s="37"/>
      <c r="L771" s="432" t="s">
        <v>2883</v>
      </c>
      <c r="M771" s="409"/>
      <c r="N771" s="409"/>
      <c r="O771" s="432"/>
      <c r="P771" s="410"/>
      <c r="Q771" s="410">
        <v>0</v>
      </c>
      <c r="R771" s="410" t="s">
        <v>153</v>
      </c>
      <c r="S771" s="37">
        <v>3010806</v>
      </c>
      <c r="T771" s="415"/>
      <c r="U771" s="416"/>
      <c r="V771" s="410" t="s">
        <v>582</v>
      </c>
      <c r="W771" s="603" t="s">
        <v>2884</v>
      </c>
      <c r="X771" s="603" t="s">
        <v>2884</v>
      </c>
      <c r="Y771" s="410">
        <v>0</v>
      </c>
      <c r="Z771" s="410">
        <v>0</v>
      </c>
      <c r="AA771" s="410"/>
      <c r="AB771" s="410"/>
      <c r="AC771" s="37"/>
      <c r="AD771" s="37"/>
      <c r="AE771" s="37">
        <v>0</v>
      </c>
      <c r="AF771" s="37"/>
      <c r="AG771" s="37"/>
      <c r="AH771" s="37"/>
      <c r="AI771" s="37"/>
      <c r="AJ771" s="37"/>
      <c r="AK771" s="420"/>
      <c r="AL771" s="420"/>
      <c r="AM771" s="420"/>
      <c r="AN771" s="37"/>
      <c r="AO771" s="37"/>
      <c r="AP771" s="37"/>
      <c r="AQ771" s="37" t="s">
        <v>2885</v>
      </c>
      <c r="AR771" s="423"/>
    </row>
    <row r="772" spans="1:44" ht="15" customHeight="1">
      <c r="A772" s="3">
        <v>3010809</v>
      </c>
      <c r="B772" s="3" t="s">
        <v>2855</v>
      </c>
      <c r="C772" s="236" t="s">
        <v>2886</v>
      </c>
      <c r="D772" s="3" t="s">
        <v>2601</v>
      </c>
      <c r="E772" s="3"/>
      <c r="F772" s="3">
        <v>8</v>
      </c>
      <c r="G772" s="48">
        <v>8</v>
      </c>
      <c r="H772" s="3" t="s">
        <v>136</v>
      </c>
      <c r="I772" s="3" t="s">
        <v>137</v>
      </c>
      <c r="J772" s="3"/>
      <c r="K772" s="3"/>
      <c r="L772" s="236"/>
      <c r="M772" s="99"/>
      <c r="N772" s="99"/>
      <c r="O772" s="236"/>
      <c r="P772" s="22"/>
      <c r="Q772" s="22">
        <v>0</v>
      </c>
      <c r="R772" s="22" t="s">
        <v>153</v>
      </c>
      <c r="S772" s="3"/>
      <c r="T772" s="260"/>
      <c r="U772" s="261"/>
      <c r="V772" s="22"/>
      <c r="W772" s="567" t="s">
        <v>2634</v>
      </c>
      <c r="X772" s="567" t="s">
        <v>2634</v>
      </c>
      <c r="Y772" s="22"/>
      <c r="Z772" s="22"/>
      <c r="AA772" s="22"/>
      <c r="AB772" s="22" t="s">
        <v>114</v>
      </c>
      <c r="AC772" s="3"/>
      <c r="AD772" s="3"/>
      <c r="AE772" s="3">
        <v>0</v>
      </c>
      <c r="AF772" s="3">
        <v>0</v>
      </c>
      <c r="AG772" s="3">
        <v>0</v>
      </c>
      <c r="AH772" s="3"/>
      <c r="AI772" s="3">
        <v>0</v>
      </c>
      <c r="AJ772" s="3">
        <v>0</v>
      </c>
      <c r="AK772" s="3">
        <v>0</v>
      </c>
      <c r="AL772" s="3"/>
      <c r="AM772" s="3"/>
      <c r="AN772" s="3"/>
      <c r="AO772" s="3"/>
      <c r="AP772" s="3"/>
      <c r="AQ772" s="3" t="s">
        <v>2868</v>
      </c>
      <c r="AR772" s="281"/>
    </row>
    <row r="773" spans="1:44" ht="15" customHeight="1">
      <c r="A773" s="3">
        <v>3010810</v>
      </c>
      <c r="B773" s="3" t="s">
        <v>2855</v>
      </c>
      <c r="C773" s="236" t="s">
        <v>2887</v>
      </c>
      <c r="D773" s="3" t="s">
        <v>2601</v>
      </c>
      <c r="E773" s="3"/>
      <c r="F773" s="3">
        <v>9</v>
      </c>
      <c r="G773" s="47">
        <v>8</v>
      </c>
      <c r="H773" s="3" t="s">
        <v>136</v>
      </c>
      <c r="I773" s="3" t="s">
        <v>137</v>
      </c>
      <c r="J773" s="3"/>
      <c r="K773" s="3"/>
      <c r="L773" s="236"/>
      <c r="M773" s="99"/>
      <c r="N773" s="99"/>
      <c r="O773" s="236"/>
      <c r="P773" s="22"/>
      <c r="Q773" s="22">
        <v>0</v>
      </c>
      <c r="R773" s="22" t="s">
        <v>153</v>
      </c>
      <c r="S773" s="3"/>
      <c r="T773" s="260"/>
      <c r="U773" s="261"/>
      <c r="V773" s="22"/>
      <c r="W773" s="567" t="s">
        <v>2888</v>
      </c>
      <c r="X773" s="567" t="s">
        <v>2888</v>
      </c>
      <c r="Y773" s="22"/>
      <c r="Z773" s="22"/>
      <c r="AA773" s="22"/>
      <c r="AB773" s="22" t="s">
        <v>114</v>
      </c>
      <c r="AC773" s="3"/>
      <c r="AD773" s="3"/>
      <c r="AE773" s="3">
        <v>0</v>
      </c>
      <c r="AF773" s="3">
        <v>0</v>
      </c>
      <c r="AG773" s="3">
        <v>0</v>
      </c>
      <c r="AH773" s="3"/>
      <c r="AI773" s="3">
        <v>0</v>
      </c>
      <c r="AJ773" s="3">
        <v>0</v>
      </c>
      <c r="AK773" s="3">
        <v>0</v>
      </c>
      <c r="AL773" s="3"/>
      <c r="AM773" s="3"/>
      <c r="AN773" s="3"/>
      <c r="AO773" s="3"/>
      <c r="AP773" s="3"/>
      <c r="AQ773" s="282" t="str">
        <f>"tricks/"&amp;A773</f>
        <v>tricks/3010810</v>
      </c>
    </row>
    <row r="774" spans="1:44" ht="15" customHeight="1">
      <c r="A774" s="3">
        <v>3010811</v>
      </c>
      <c r="B774" s="3" t="s">
        <v>2855</v>
      </c>
      <c r="C774" s="236" t="s">
        <v>2889</v>
      </c>
      <c r="D774" s="3" t="s">
        <v>2601</v>
      </c>
      <c r="E774" s="3"/>
      <c r="F774" s="3">
        <v>10</v>
      </c>
      <c r="G774" s="48">
        <v>8</v>
      </c>
      <c r="H774" s="3" t="s">
        <v>136</v>
      </c>
      <c r="I774" s="3" t="s">
        <v>137</v>
      </c>
      <c r="J774" s="3"/>
      <c r="K774" s="3"/>
      <c r="L774" s="236"/>
      <c r="M774" s="99"/>
      <c r="N774" s="99"/>
      <c r="O774" s="236"/>
      <c r="P774" s="22"/>
      <c r="Q774" s="22">
        <v>0</v>
      </c>
      <c r="R774" s="22" t="s">
        <v>153</v>
      </c>
      <c r="S774" s="3"/>
      <c r="T774" s="260"/>
      <c r="U774" s="261"/>
      <c r="V774" s="22"/>
      <c r="W774" s="567" t="s">
        <v>2890</v>
      </c>
      <c r="X774" s="567" t="s">
        <v>2890</v>
      </c>
      <c r="Y774" s="22"/>
      <c r="Z774" s="22"/>
      <c r="AA774" s="22"/>
      <c r="AB774" s="22" t="s">
        <v>114</v>
      </c>
      <c r="AC774" s="3"/>
      <c r="AD774" s="3"/>
      <c r="AE774" s="3">
        <v>0</v>
      </c>
      <c r="AF774" s="3">
        <v>0</v>
      </c>
      <c r="AG774" s="3">
        <v>0</v>
      </c>
      <c r="AH774" s="3"/>
      <c r="AI774" s="3">
        <v>0</v>
      </c>
      <c r="AJ774" s="3">
        <v>0</v>
      </c>
      <c r="AK774" s="3">
        <v>0</v>
      </c>
      <c r="AL774" s="3"/>
      <c r="AM774" s="3"/>
      <c r="AN774" s="3"/>
      <c r="AO774" s="3"/>
      <c r="AP774" s="3"/>
      <c r="AQ774" s="282" t="str">
        <f>"tricks/"&amp;A774</f>
        <v>tricks/3010811</v>
      </c>
    </row>
    <row r="775" spans="1:44" ht="15" customHeight="1">
      <c r="A775" s="6">
        <v>3010901</v>
      </c>
      <c r="B775" s="6" t="s">
        <v>2891</v>
      </c>
      <c r="C775" s="234" t="s">
        <v>2892</v>
      </c>
      <c r="D775" s="6" t="s">
        <v>2601</v>
      </c>
      <c r="E775" s="6"/>
      <c r="F775" s="36">
        <v>1</v>
      </c>
      <c r="G775" s="47">
        <v>8</v>
      </c>
      <c r="H775" s="6" t="s">
        <v>82</v>
      </c>
      <c r="I775" s="6" t="s">
        <v>101</v>
      </c>
      <c r="J775" s="6"/>
      <c r="K775" s="6"/>
      <c r="L775" s="234" t="s">
        <v>2893</v>
      </c>
      <c r="M775" s="235"/>
      <c r="N775" s="378">
        <v>18</v>
      </c>
      <c r="O775" s="234"/>
      <c r="P775" s="40"/>
      <c r="Q775" s="40">
        <v>0</v>
      </c>
      <c r="R775" s="40" t="s">
        <v>153</v>
      </c>
      <c r="S775" s="6">
        <v>3010901</v>
      </c>
      <c r="T775" s="258"/>
      <c r="U775" s="259"/>
      <c r="V775" s="40" t="s">
        <v>582</v>
      </c>
      <c r="W775" s="566" t="s">
        <v>2894</v>
      </c>
      <c r="X775" s="566" t="s">
        <v>2894</v>
      </c>
      <c r="Y775" s="40">
        <v>0</v>
      </c>
      <c r="Z775" s="40">
        <v>0</v>
      </c>
      <c r="AA775" s="40"/>
      <c r="AB775" s="40"/>
      <c r="AC775" s="6"/>
      <c r="AD775" s="6"/>
      <c r="AE775" s="6">
        <v>2</v>
      </c>
      <c r="AF775" s="6"/>
      <c r="AG775" s="6">
        <v>30</v>
      </c>
      <c r="AH775" s="6"/>
      <c r="AI775" s="6"/>
      <c r="AJ775" s="6"/>
      <c r="AK775" s="272"/>
      <c r="AL775" s="272"/>
      <c r="AM775" s="272"/>
      <c r="AN775" s="43" t="s">
        <v>2895</v>
      </c>
      <c r="AO775" s="6"/>
      <c r="AP775" s="6"/>
      <c r="AQ775" s="6" t="s">
        <v>2896</v>
      </c>
      <c r="AR775" s="280"/>
    </row>
    <row r="776" spans="1:44" ht="15" customHeight="1">
      <c r="A776" s="6">
        <v>3010902</v>
      </c>
      <c r="B776" s="6" t="s">
        <v>2891</v>
      </c>
      <c r="C776" s="234" t="s">
        <v>2897</v>
      </c>
      <c r="D776" s="6" t="s">
        <v>2601</v>
      </c>
      <c r="E776" s="6"/>
      <c r="F776" s="36">
        <v>1</v>
      </c>
      <c r="G776" s="48">
        <v>8</v>
      </c>
      <c r="H776" s="6" t="s">
        <v>136</v>
      </c>
      <c r="I776" s="6" t="s">
        <v>137</v>
      </c>
      <c r="J776" s="6"/>
      <c r="K776" s="6"/>
      <c r="L776" s="234" t="s">
        <v>2898</v>
      </c>
      <c r="M776" s="235"/>
      <c r="N776" s="235"/>
      <c r="O776" s="234"/>
      <c r="P776" s="40"/>
      <c r="Q776" s="40">
        <v>0</v>
      </c>
      <c r="R776" s="40" t="s">
        <v>153</v>
      </c>
      <c r="S776" s="6">
        <v>3010902</v>
      </c>
      <c r="T776" s="258"/>
      <c r="U776" s="259"/>
      <c r="V776" s="40" t="s">
        <v>582</v>
      </c>
      <c r="W776" s="566" t="s">
        <v>2899</v>
      </c>
      <c r="X776" s="566" t="s">
        <v>2899</v>
      </c>
      <c r="Y776" s="40">
        <v>0</v>
      </c>
      <c r="Z776" s="40">
        <v>0</v>
      </c>
      <c r="AA776" s="40"/>
      <c r="AB776" s="40"/>
      <c r="AC776" s="6"/>
      <c r="AD776" s="6"/>
      <c r="AE776" s="6">
        <v>0</v>
      </c>
      <c r="AF776" s="6"/>
      <c r="AG776" s="6"/>
      <c r="AH776" s="6"/>
      <c r="AI776" s="6"/>
      <c r="AJ776" s="6"/>
      <c r="AK776" s="272"/>
      <c r="AL776" s="272"/>
      <c r="AM776" s="272"/>
      <c r="AN776" s="6"/>
      <c r="AO776" s="6"/>
      <c r="AP776" s="6"/>
      <c r="AQ776" s="6" t="s">
        <v>2900</v>
      </c>
      <c r="AR776" s="280"/>
    </row>
    <row r="777" spans="1:44" ht="15" customHeight="1">
      <c r="A777" s="6">
        <v>3010903</v>
      </c>
      <c r="B777" s="6" t="s">
        <v>2891</v>
      </c>
      <c r="C777" s="234" t="s">
        <v>2901</v>
      </c>
      <c r="D777" s="6" t="s">
        <v>2601</v>
      </c>
      <c r="E777" s="6"/>
      <c r="F777" s="36">
        <v>2</v>
      </c>
      <c r="G777" s="47">
        <v>8</v>
      </c>
      <c r="H777" s="6" t="s">
        <v>136</v>
      </c>
      <c r="I777" s="6" t="s">
        <v>137</v>
      </c>
      <c r="J777" s="6"/>
      <c r="K777" s="6"/>
      <c r="L777" s="234" t="s">
        <v>2658</v>
      </c>
      <c r="M777" s="235"/>
      <c r="N777" s="235"/>
      <c r="O777" s="234"/>
      <c r="P777" s="40"/>
      <c r="Q777" s="40">
        <v>0</v>
      </c>
      <c r="R777" s="40" t="s">
        <v>153</v>
      </c>
      <c r="S777" s="6">
        <v>3010904</v>
      </c>
      <c r="T777" s="258"/>
      <c r="U777" s="259"/>
      <c r="V777" s="40" t="s">
        <v>582</v>
      </c>
      <c r="W777" s="566" t="s">
        <v>2902</v>
      </c>
      <c r="X777" s="566" t="s">
        <v>2902</v>
      </c>
      <c r="Y777" s="40">
        <v>0</v>
      </c>
      <c r="Z777" s="40">
        <v>0</v>
      </c>
      <c r="AA777" s="40"/>
      <c r="AB777" s="40"/>
      <c r="AC777" s="6"/>
      <c r="AD777" s="6"/>
      <c r="AE777" s="6">
        <v>0</v>
      </c>
      <c r="AF777" s="6"/>
      <c r="AG777" s="6"/>
      <c r="AH777" s="6"/>
      <c r="AI777" s="6"/>
      <c r="AJ777" s="6"/>
      <c r="AK777" s="272"/>
      <c r="AL777" s="272"/>
      <c r="AM777" s="272"/>
      <c r="AN777" s="6"/>
      <c r="AO777" s="6"/>
      <c r="AP777" s="6"/>
      <c r="AQ777" s="6" t="s">
        <v>2903</v>
      </c>
      <c r="AR777" s="280"/>
    </row>
    <row r="778" spans="1:44" ht="15" customHeight="1">
      <c r="A778" s="6">
        <v>3010904</v>
      </c>
      <c r="B778" s="6" t="s">
        <v>2891</v>
      </c>
      <c r="C778" s="234" t="s">
        <v>2904</v>
      </c>
      <c r="D778" s="6" t="s">
        <v>2601</v>
      </c>
      <c r="E778" s="6"/>
      <c r="F778" s="36">
        <v>3</v>
      </c>
      <c r="G778" s="48">
        <v>8</v>
      </c>
      <c r="H778" s="6" t="s">
        <v>136</v>
      </c>
      <c r="I778" s="6" t="s">
        <v>137</v>
      </c>
      <c r="J778" s="6"/>
      <c r="K778" s="6"/>
      <c r="L778" s="234" t="s">
        <v>2905</v>
      </c>
      <c r="M778" s="235"/>
      <c r="N778" s="235"/>
      <c r="O778" s="234"/>
      <c r="P778" s="40"/>
      <c r="Q778" s="40">
        <v>0</v>
      </c>
      <c r="R778" s="40" t="s">
        <v>153</v>
      </c>
      <c r="S778" s="6">
        <v>3010903</v>
      </c>
      <c r="T778" s="258"/>
      <c r="U778" s="259"/>
      <c r="V778" s="40" t="s">
        <v>582</v>
      </c>
      <c r="W778" s="566" t="s">
        <v>2906</v>
      </c>
      <c r="X778" s="566" t="s">
        <v>2906</v>
      </c>
      <c r="Y778" s="40">
        <v>0</v>
      </c>
      <c r="Z778" s="40">
        <v>0</v>
      </c>
      <c r="AA778" s="40"/>
      <c r="AB778" s="40"/>
      <c r="AC778" s="6"/>
      <c r="AD778" s="6"/>
      <c r="AE778" s="6">
        <v>0</v>
      </c>
      <c r="AF778" s="6"/>
      <c r="AG778" s="6"/>
      <c r="AH778" s="6"/>
      <c r="AI778" s="6"/>
      <c r="AJ778" s="6"/>
      <c r="AK778" s="272"/>
      <c r="AL778" s="272"/>
      <c r="AM778" s="272"/>
      <c r="AN778" s="6"/>
      <c r="AO778" s="6"/>
      <c r="AP778" s="6"/>
      <c r="AQ778" s="6" t="s">
        <v>2907</v>
      </c>
      <c r="AR778" s="280"/>
    </row>
    <row r="779" spans="1:44" ht="15" customHeight="1">
      <c r="A779" s="6">
        <v>3010905</v>
      </c>
      <c r="B779" s="6" t="s">
        <v>2891</v>
      </c>
      <c r="C779" s="234" t="s">
        <v>2908</v>
      </c>
      <c r="D779" s="6" t="s">
        <v>2601</v>
      </c>
      <c r="E779" s="6"/>
      <c r="F779" s="36">
        <v>4</v>
      </c>
      <c r="G779" s="47">
        <v>8</v>
      </c>
      <c r="H779" s="6" t="s">
        <v>136</v>
      </c>
      <c r="I779" s="6" t="s">
        <v>137</v>
      </c>
      <c r="J779" s="6"/>
      <c r="K779" s="6"/>
      <c r="L779" s="234" t="s">
        <v>2909</v>
      </c>
      <c r="M779" s="235"/>
      <c r="N779" s="235"/>
      <c r="O779" s="234"/>
      <c r="P779" s="40"/>
      <c r="Q779" s="40"/>
      <c r="R779" s="40"/>
      <c r="S779" s="6"/>
      <c r="T779" s="258"/>
      <c r="U779" s="259"/>
      <c r="V779" s="40"/>
      <c r="W779" s="566" t="s">
        <v>2910</v>
      </c>
      <c r="X779" s="566" t="s">
        <v>2910</v>
      </c>
      <c r="Y779" s="40">
        <v>0</v>
      </c>
      <c r="Z779" s="40">
        <v>0</v>
      </c>
      <c r="AA779" s="40"/>
      <c r="AB779" s="40"/>
      <c r="AC779" s="6"/>
      <c r="AD779" s="6"/>
      <c r="AE779" s="6">
        <v>0</v>
      </c>
      <c r="AF779" s="6"/>
      <c r="AG779" s="6"/>
      <c r="AH779" s="6"/>
      <c r="AI779" s="6"/>
      <c r="AJ779" s="6"/>
      <c r="AK779" s="272"/>
      <c r="AL779" s="272"/>
      <c r="AM779" s="272"/>
      <c r="AN779" s="6"/>
      <c r="AO779" s="6"/>
      <c r="AP779" s="6"/>
      <c r="AQ779" s="6" t="s">
        <v>2911</v>
      </c>
      <c r="AR779" s="280"/>
    </row>
    <row r="780" spans="1:44" ht="15" customHeight="1">
      <c r="A780" s="6">
        <v>3010906</v>
      </c>
      <c r="B780" s="6" t="s">
        <v>2891</v>
      </c>
      <c r="C780" s="234" t="s">
        <v>2912</v>
      </c>
      <c r="D780" s="6" t="s">
        <v>2601</v>
      </c>
      <c r="E780" s="6"/>
      <c r="F780" s="36">
        <v>5</v>
      </c>
      <c r="G780" s="48">
        <v>8</v>
      </c>
      <c r="H780" s="6" t="s">
        <v>136</v>
      </c>
      <c r="I780" s="6" t="s">
        <v>137</v>
      </c>
      <c r="J780" s="6"/>
      <c r="K780" s="6"/>
      <c r="L780" s="234" t="s">
        <v>2913</v>
      </c>
      <c r="M780" s="235"/>
      <c r="N780" s="235"/>
      <c r="O780" s="234"/>
      <c r="P780" s="40"/>
      <c r="Q780" s="40">
        <v>0</v>
      </c>
      <c r="R780" s="40" t="s">
        <v>153</v>
      </c>
      <c r="S780" s="6">
        <v>3010906</v>
      </c>
      <c r="T780" s="258"/>
      <c r="U780" s="259"/>
      <c r="V780" s="40" t="s">
        <v>582</v>
      </c>
      <c r="W780" s="566" t="s">
        <v>2914</v>
      </c>
      <c r="X780" s="566" t="s">
        <v>2914</v>
      </c>
      <c r="Y780" s="40">
        <v>0</v>
      </c>
      <c r="Z780" s="40">
        <v>0</v>
      </c>
      <c r="AA780" s="40"/>
      <c r="AB780" s="40"/>
      <c r="AC780" s="6"/>
      <c r="AD780" s="6"/>
      <c r="AE780" s="6">
        <v>0</v>
      </c>
      <c r="AF780" s="6"/>
      <c r="AG780" s="6"/>
      <c r="AH780" s="6"/>
      <c r="AI780" s="6"/>
      <c r="AJ780" s="6"/>
      <c r="AK780" s="272"/>
      <c r="AL780" s="272"/>
      <c r="AM780" s="272"/>
      <c r="AN780" s="6"/>
      <c r="AO780" s="6"/>
      <c r="AP780" s="6"/>
      <c r="AQ780" s="6" t="s">
        <v>2915</v>
      </c>
      <c r="AR780" s="280"/>
    </row>
    <row r="781" spans="1:44" ht="15" customHeight="1">
      <c r="A781" s="6">
        <v>3010907</v>
      </c>
      <c r="B781" s="6" t="s">
        <v>2891</v>
      </c>
      <c r="C781" s="234" t="s">
        <v>2916</v>
      </c>
      <c r="D781" s="6" t="s">
        <v>2601</v>
      </c>
      <c r="E781" s="6"/>
      <c r="F781" s="36">
        <v>6</v>
      </c>
      <c r="G781" s="47">
        <v>8</v>
      </c>
      <c r="H781" s="6" t="s">
        <v>136</v>
      </c>
      <c r="I781" s="6" t="s">
        <v>137</v>
      </c>
      <c r="J781" s="6"/>
      <c r="K781" s="6"/>
      <c r="L781" s="234" t="s">
        <v>2917</v>
      </c>
      <c r="M781" s="235"/>
      <c r="N781" s="235"/>
      <c r="O781" s="234"/>
      <c r="P781" s="40"/>
      <c r="Q781" s="40">
        <v>0</v>
      </c>
      <c r="R781" s="40" t="s">
        <v>153</v>
      </c>
      <c r="S781" s="6">
        <v>3010905</v>
      </c>
      <c r="T781" s="258"/>
      <c r="U781" s="259"/>
      <c r="V781" s="40" t="s">
        <v>582</v>
      </c>
      <c r="W781" s="566" t="s">
        <v>2906</v>
      </c>
      <c r="X781" s="566" t="s">
        <v>2906</v>
      </c>
      <c r="Y781" s="40">
        <v>0</v>
      </c>
      <c r="Z781" s="40">
        <v>0</v>
      </c>
      <c r="AA781" s="40"/>
      <c r="AB781" s="40"/>
      <c r="AC781" s="6"/>
      <c r="AD781" s="6"/>
      <c r="AE781" s="6">
        <v>0</v>
      </c>
      <c r="AF781" s="6"/>
      <c r="AG781" s="6"/>
      <c r="AH781" s="6"/>
      <c r="AI781" s="6"/>
      <c r="AJ781" s="6"/>
      <c r="AK781" s="272"/>
      <c r="AL781" s="272"/>
      <c r="AM781" s="272"/>
      <c r="AN781" s="6"/>
      <c r="AO781" s="6"/>
      <c r="AP781" s="6"/>
      <c r="AQ781" s="6" t="s">
        <v>2918</v>
      </c>
      <c r="AR781" s="280"/>
    </row>
    <row r="782" spans="1:44" ht="15" customHeight="1">
      <c r="A782" s="6">
        <v>3010908</v>
      </c>
      <c r="B782" s="6" t="s">
        <v>2891</v>
      </c>
      <c r="C782" s="6" t="s">
        <v>2919</v>
      </c>
      <c r="D782" s="6" t="s">
        <v>2601</v>
      </c>
      <c r="E782" s="6"/>
      <c r="F782" s="36">
        <v>7</v>
      </c>
      <c r="G782" s="48">
        <v>8</v>
      </c>
      <c r="H782" s="6" t="s">
        <v>136</v>
      </c>
      <c r="I782" s="6" t="s">
        <v>137</v>
      </c>
      <c r="J782" s="6"/>
      <c r="K782" s="6"/>
      <c r="L782" s="6" t="s">
        <v>2920</v>
      </c>
      <c r="M782" s="235"/>
      <c r="N782" s="235"/>
      <c r="O782" s="6"/>
      <c r="P782" s="40"/>
      <c r="Q782" s="40"/>
      <c r="R782" s="40"/>
      <c r="S782" s="6"/>
      <c r="T782" s="258"/>
      <c r="U782" s="259"/>
      <c r="V782" s="40"/>
      <c r="W782" s="258" t="s">
        <v>2921</v>
      </c>
      <c r="X782" s="258" t="s">
        <v>2921</v>
      </c>
      <c r="Y782" s="40">
        <v>0</v>
      </c>
      <c r="Z782" s="40">
        <v>0</v>
      </c>
      <c r="AA782" s="40"/>
      <c r="AB782" s="40"/>
      <c r="AC782" s="6"/>
      <c r="AD782" s="6"/>
      <c r="AE782" s="6">
        <v>0</v>
      </c>
      <c r="AF782" s="6"/>
      <c r="AG782" s="6"/>
      <c r="AH782" s="6"/>
      <c r="AI782" s="6"/>
      <c r="AJ782" s="6"/>
      <c r="AK782" s="272"/>
      <c r="AL782" s="272"/>
      <c r="AM782" s="272"/>
      <c r="AN782" s="534"/>
      <c r="AO782" s="534"/>
      <c r="AP782" s="534"/>
      <c r="AQ782" s="6" t="s">
        <v>2922</v>
      </c>
      <c r="AR782" s="280"/>
    </row>
    <row r="783" spans="1:44" ht="15" customHeight="1">
      <c r="A783" s="3">
        <v>3010909</v>
      </c>
      <c r="B783" s="3" t="s">
        <v>2891</v>
      </c>
      <c r="C783" s="236" t="s">
        <v>2923</v>
      </c>
      <c r="D783" s="3" t="s">
        <v>2601</v>
      </c>
      <c r="E783" s="3"/>
      <c r="F783" s="3">
        <v>8</v>
      </c>
      <c r="G783" s="47">
        <v>8</v>
      </c>
      <c r="H783" s="3" t="s">
        <v>136</v>
      </c>
      <c r="I783" s="3" t="s">
        <v>137</v>
      </c>
      <c r="J783" s="3"/>
      <c r="K783" s="3"/>
      <c r="L783" s="236"/>
      <c r="M783" s="99"/>
      <c r="N783" s="99"/>
      <c r="O783" s="236"/>
      <c r="P783" s="22"/>
      <c r="Q783" s="22">
        <v>0</v>
      </c>
      <c r="R783" s="22" t="s">
        <v>153</v>
      </c>
      <c r="S783" s="3"/>
      <c r="T783" s="260"/>
      <c r="U783" s="261"/>
      <c r="V783" s="22"/>
      <c r="W783" s="567" t="s">
        <v>2634</v>
      </c>
      <c r="X783" s="567" t="s">
        <v>2634</v>
      </c>
      <c r="Y783" s="22"/>
      <c r="Z783" s="22"/>
      <c r="AA783" s="22"/>
      <c r="AB783" s="22" t="s">
        <v>114</v>
      </c>
      <c r="AC783" s="3"/>
      <c r="AD783" s="3"/>
      <c r="AE783" s="3">
        <v>0</v>
      </c>
      <c r="AF783" s="3">
        <v>0</v>
      </c>
      <c r="AG783" s="3">
        <v>0</v>
      </c>
      <c r="AH783" s="3"/>
      <c r="AI783" s="3">
        <v>0</v>
      </c>
      <c r="AJ783" s="3">
        <v>0</v>
      </c>
      <c r="AK783" s="3">
        <v>0</v>
      </c>
      <c r="AL783" s="3"/>
      <c r="AM783" s="3"/>
      <c r="AN783" s="3"/>
      <c r="AO783" s="3"/>
      <c r="AP783" s="3"/>
      <c r="AQ783" s="3" t="s">
        <v>2903</v>
      </c>
      <c r="AR783" s="281"/>
    </row>
    <row r="784" spans="1:44" ht="15" customHeight="1">
      <c r="A784" s="3">
        <v>3010910</v>
      </c>
      <c r="B784" s="3" t="s">
        <v>2891</v>
      </c>
      <c r="C784" s="236" t="s">
        <v>2924</v>
      </c>
      <c r="D784" s="3" t="s">
        <v>2601</v>
      </c>
      <c r="E784" s="3"/>
      <c r="F784" s="3">
        <v>9</v>
      </c>
      <c r="G784" s="48">
        <v>8</v>
      </c>
      <c r="H784" s="3" t="s">
        <v>136</v>
      </c>
      <c r="I784" s="3" t="s">
        <v>137</v>
      </c>
      <c r="J784" s="3"/>
      <c r="K784" s="3"/>
      <c r="L784" s="236"/>
      <c r="M784" s="99"/>
      <c r="N784" s="99"/>
      <c r="O784" s="236"/>
      <c r="P784" s="22"/>
      <c r="Q784" s="22">
        <v>0</v>
      </c>
      <c r="R784" s="22" t="s">
        <v>153</v>
      </c>
      <c r="S784" s="3"/>
      <c r="T784" s="260"/>
      <c r="U784" s="261"/>
      <c r="V784" s="22"/>
      <c r="W784" s="567" t="s">
        <v>2925</v>
      </c>
      <c r="X784" s="567" t="s">
        <v>2925</v>
      </c>
      <c r="Y784" s="22"/>
      <c r="Z784" s="22"/>
      <c r="AA784" s="22"/>
      <c r="AB784" s="22" t="s">
        <v>114</v>
      </c>
      <c r="AC784" s="3"/>
      <c r="AD784" s="3"/>
      <c r="AE784" s="3">
        <v>0</v>
      </c>
      <c r="AF784" s="3">
        <v>0</v>
      </c>
      <c r="AG784" s="3">
        <v>0</v>
      </c>
      <c r="AH784" s="3"/>
      <c r="AI784" s="3">
        <v>0</v>
      </c>
      <c r="AJ784" s="3">
        <v>0</v>
      </c>
      <c r="AK784" s="3">
        <v>0</v>
      </c>
      <c r="AL784" s="3"/>
      <c r="AM784" s="3"/>
      <c r="AN784" s="3"/>
      <c r="AO784" s="3"/>
      <c r="AP784" s="3"/>
      <c r="AQ784" s="282" t="str">
        <f>"tricks/"&amp;A784</f>
        <v>tricks/3010910</v>
      </c>
    </row>
    <row r="785" spans="1:44" ht="15" customHeight="1">
      <c r="A785" s="3">
        <v>3010911</v>
      </c>
      <c r="B785" s="3" t="s">
        <v>2891</v>
      </c>
      <c r="C785" s="236" t="s">
        <v>2926</v>
      </c>
      <c r="D785" s="3" t="s">
        <v>2601</v>
      </c>
      <c r="E785" s="3"/>
      <c r="F785" s="3">
        <v>10</v>
      </c>
      <c r="G785" s="47">
        <v>8</v>
      </c>
      <c r="H785" s="3" t="s">
        <v>136</v>
      </c>
      <c r="I785" s="3" t="s">
        <v>137</v>
      </c>
      <c r="J785" s="3"/>
      <c r="K785" s="3"/>
      <c r="L785" s="236"/>
      <c r="M785" s="99"/>
      <c r="N785" s="99"/>
      <c r="O785" s="236"/>
      <c r="P785" s="22"/>
      <c r="Q785" s="22">
        <v>0</v>
      </c>
      <c r="R785" s="22" t="s">
        <v>153</v>
      </c>
      <c r="S785" s="3"/>
      <c r="T785" s="260"/>
      <c r="U785" s="261"/>
      <c r="V785" s="22"/>
      <c r="W785" s="567" t="s">
        <v>2927</v>
      </c>
      <c r="X785" s="567" t="s">
        <v>2927</v>
      </c>
      <c r="Y785" s="22"/>
      <c r="Z785" s="22"/>
      <c r="AA785" s="22"/>
      <c r="AB785" s="22" t="s">
        <v>114</v>
      </c>
      <c r="AC785" s="3"/>
      <c r="AD785" s="3"/>
      <c r="AE785" s="3">
        <v>0</v>
      </c>
      <c r="AF785" s="3">
        <v>0</v>
      </c>
      <c r="AG785" s="3">
        <v>0</v>
      </c>
      <c r="AH785" s="3"/>
      <c r="AI785" s="3">
        <v>0</v>
      </c>
      <c r="AJ785" s="3">
        <v>0</v>
      </c>
      <c r="AK785" s="3">
        <v>0</v>
      </c>
      <c r="AL785" s="3"/>
      <c r="AM785" s="3"/>
      <c r="AN785" s="3"/>
      <c r="AO785" s="3"/>
      <c r="AP785" s="3"/>
      <c r="AQ785" s="282" t="str">
        <f>"tricks/"&amp;A785</f>
        <v>tricks/3010911</v>
      </c>
    </row>
    <row r="786" spans="1:44" ht="15" customHeight="1">
      <c r="A786" s="36">
        <v>3011001</v>
      </c>
      <c r="B786" s="36" t="s">
        <v>2928</v>
      </c>
      <c r="C786" s="36" t="s">
        <v>2929</v>
      </c>
      <c r="D786" s="36" t="s">
        <v>2601</v>
      </c>
      <c r="E786" s="36"/>
      <c r="F786" s="36">
        <v>1</v>
      </c>
      <c r="G786" s="48">
        <v>8</v>
      </c>
      <c r="H786" s="36" t="s">
        <v>82</v>
      </c>
      <c r="I786" s="36" t="s">
        <v>101</v>
      </c>
      <c r="J786" s="36"/>
      <c r="K786" s="36"/>
      <c r="L786" s="36" t="s">
        <v>2930</v>
      </c>
      <c r="M786" s="378"/>
      <c r="N786" s="378">
        <v>19</v>
      </c>
      <c r="O786" s="36"/>
      <c r="P786" s="379"/>
      <c r="Q786" s="379">
        <v>0</v>
      </c>
      <c r="R786" s="379" t="s">
        <v>153</v>
      </c>
      <c r="S786" s="36">
        <v>3011001</v>
      </c>
      <c r="T786" s="390"/>
      <c r="U786" s="391"/>
      <c r="V786" s="379" t="s">
        <v>582</v>
      </c>
      <c r="W786" s="390" t="s">
        <v>2931</v>
      </c>
      <c r="X786" s="390" t="s">
        <v>2931</v>
      </c>
      <c r="Y786" s="379">
        <v>0</v>
      </c>
      <c r="Z786" s="379">
        <v>0</v>
      </c>
      <c r="AA786" s="379"/>
      <c r="AB786" s="379"/>
      <c r="AC786" s="36"/>
      <c r="AD786" s="36"/>
      <c r="AE786" s="36">
        <v>2</v>
      </c>
      <c r="AF786" s="36"/>
      <c r="AG786" s="36">
        <v>40</v>
      </c>
      <c r="AH786" s="36"/>
      <c r="AI786" s="36"/>
      <c r="AJ786" s="36"/>
      <c r="AK786" s="401"/>
      <c r="AL786" s="401"/>
      <c r="AM786" s="401"/>
      <c r="AN786" s="43" t="s">
        <v>2932</v>
      </c>
      <c r="AO786" s="535"/>
      <c r="AP786" s="535"/>
      <c r="AQ786" s="36" t="s">
        <v>2933</v>
      </c>
      <c r="AR786" s="407"/>
    </row>
    <row r="787" spans="1:44" ht="15" customHeight="1">
      <c r="A787" s="36">
        <v>3011002</v>
      </c>
      <c r="B787" s="36" t="s">
        <v>2928</v>
      </c>
      <c r="C787" s="36" t="s">
        <v>2934</v>
      </c>
      <c r="D787" s="36" t="s">
        <v>2601</v>
      </c>
      <c r="E787" s="36"/>
      <c r="F787" s="36">
        <v>1</v>
      </c>
      <c r="G787" s="47">
        <v>8</v>
      </c>
      <c r="H787" s="36" t="s">
        <v>136</v>
      </c>
      <c r="I787" s="36" t="s">
        <v>137</v>
      </c>
      <c r="J787" s="36"/>
      <c r="K787" s="36"/>
      <c r="L787" s="530" t="s">
        <v>2935</v>
      </c>
      <c r="M787" s="378"/>
      <c r="N787" s="378"/>
      <c r="O787" s="36"/>
      <c r="P787" s="379"/>
      <c r="Q787" s="379">
        <v>0</v>
      </c>
      <c r="R787" s="379" t="s">
        <v>153</v>
      </c>
      <c r="S787" s="36">
        <v>3011004</v>
      </c>
      <c r="T787" s="390"/>
      <c r="U787" s="391"/>
      <c r="V787" s="379" t="s">
        <v>582</v>
      </c>
      <c r="W787" s="619" t="s">
        <v>2936</v>
      </c>
      <c r="X787" s="619" t="s">
        <v>2936</v>
      </c>
      <c r="Y787" s="379">
        <v>0</v>
      </c>
      <c r="Z787" s="379">
        <v>0</v>
      </c>
      <c r="AA787" s="379"/>
      <c r="AB787" s="379"/>
      <c r="AC787" s="36"/>
      <c r="AD787" s="36"/>
      <c r="AE787" s="36">
        <v>0</v>
      </c>
      <c r="AF787" s="36"/>
      <c r="AG787" s="36"/>
      <c r="AH787" s="36"/>
      <c r="AI787" s="36"/>
      <c r="AJ787" s="36"/>
      <c r="AK787" s="401"/>
      <c r="AL787" s="401"/>
      <c r="AM787" s="401"/>
      <c r="AN787" s="36"/>
      <c r="AO787" s="36"/>
      <c r="AP787" s="36"/>
      <c r="AQ787" s="36" t="s">
        <v>2937</v>
      </c>
      <c r="AR787" s="407"/>
    </row>
    <row r="788" spans="1:44" ht="15" customHeight="1">
      <c r="A788" s="36">
        <v>3011003</v>
      </c>
      <c r="B788" s="36" t="s">
        <v>2928</v>
      </c>
      <c r="C788" s="36" t="s">
        <v>2938</v>
      </c>
      <c r="D788" s="36" t="s">
        <v>2601</v>
      </c>
      <c r="E788" s="36"/>
      <c r="F788" s="36">
        <v>2</v>
      </c>
      <c r="G788" s="48">
        <v>8</v>
      </c>
      <c r="H788" s="36" t="s">
        <v>136</v>
      </c>
      <c r="I788" s="36" t="s">
        <v>137</v>
      </c>
      <c r="J788" s="36"/>
      <c r="K788" s="36"/>
      <c r="L788" s="36" t="s">
        <v>2939</v>
      </c>
      <c r="M788" s="378"/>
      <c r="N788" s="378"/>
      <c r="O788" s="36"/>
      <c r="P788" s="379"/>
      <c r="Q788" s="379">
        <v>0</v>
      </c>
      <c r="R788" s="379" t="s">
        <v>153</v>
      </c>
      <c r="S788" s="36">
        <v>3011002</v>
      </c>
      <c r="T788" s="390"/>
      <c r="U788" s="391"/>
      <c r="V788" s="379" t="s">
        <v>582</v>
      </c>
      <c r="W788" s="390" t="s">
        <v>2940</v>
      </c>
      <c r="X788" s="390" t="s">
        <v>2940</v>
      </c>
      <c r="Y788" s="379">
        <v>0</v>
      </c>
      <c r="Z788" s="379">
        <v>0</v>
      </c>
      <c r="AA788" s="379"/>
      <c r="AB788" s="379"/>
      <c r="AC788" s="36"/>
      <c r="AD788" s="36"/>
      <c r="AE788" s="36">
        <v>0</v>
      </c>
      <c r="AF788" s="36"/>
      <c r="AG788" s="36"/>
      <c r="AH788" s="36"/>
      <c r="AI788" s="36"/>
      <c r="AJ788" s="36"/>
      <c r="AK788" s="401"/>
      <c r="AL788" s="401"/>
      <c r="AM788" s="401"/>
      <c r="AN788" s="535"/>
      <c r="AO788" s="535"/>
      <c r="AP788" s="535"/>
      <c r="AQ788" s="36" t="s">
        <v>2941</v>
      </c>
      <c r="AR788" s="407"/>
    </row>
    <row r="789" spans="1:44" ht="15" customHeight="1">
      <c r="A789" s="36">
        <v>3011004</v>
      </c>
      <c r="B789" s="36" t="s">
        <v>2928</v>
      </c>
      <c r="C789" s="36" t="s">
        <v>2942</v>
      </c>
      <c r="D789" s="36" t="s">
        <v>2601</v>
      </c>
      <c r="E789" s="36"/>
      <c r="F789" s="36">
        <v>3</v>
      </c>
      <c r="G789" s="47">
        <v>8</v>
      </c>
      <c r="H789" s="36" t="s">
        <v>136</v>
      </c>
      <c r="I789" s="36" t="s">
        <v>137</v>
      </c>
      <c r="J789" s="36"/>
      <c r="K789" s="36"/>
      <c r="L789" s="530" t="s">
        <v>2943</v>
      </c>
      <c r="M789" s="378"/>
      <c r="N789" s="378"/>
      <c r="O789" s="36"/>
      <c r="P789" s="379"/>
      <c r="Q789" s="379">
        <v>0</v>
      </c>
      <c r="R789" s="379" t="s">
        <v>153</v>
      </c>
      <c r="S789" s="36">
        <v>3011003</v>
      </c>
      <c r="T789" s="390"/>
      <c r="U789" s="391"/>
      <c r="V789" s="379" t="s">
        <v>582</v>
      </c>
      <c r="W789" s="619" t="s">
        <v>2944</v>
      </c>
      <c r="X789" s="619" t="s">
        <v>2944</v>
      </c>
      <c r="Y789" s="379">
        <v>0</v>
      </c>
      <c r="Z789" s="379">
        <v>0</v>
      </c>
      <c r="AA789" s="379"/>
      <c r="AB789" s="379"/>
      <c r="AC789" s="36"/>
      <c r="AD789" s="36"/>
      <c r="AE789" s="36">
        <v>0</v>
      </c>
      <c r="AF789" s="36"/>
      <c r="AG789" s="36"/>
      <c r="AH789" s="36"/>
      <c r="AI789" s="36"/>
      <c r="AJ789" s="36"/>
      <c r="AK789" s="401"/>
      <c r="AL789" s="401"/>
      <c r="AM789" s="401"/>
      <c r="AN789" s="36"/>
      <c r="AO789" s="36"/>
      <c r="AP789" s="36"/>
      <c r="AQ789" s="36" t="s">
        <v>2945</v>
      </c>
      <c r="AR789" s="407"/>
    </row>
    <row r="790" spans="1:44" ht="15" customHeight="1">
      <c r="A790" s="36">
        <v>3011005</v>
      </c>
      <c r="B790" s="36" t="s">
        <v>2928</v>
      </c>
      <c r="C790" s="36" t="s">
        <v>2946</v>
      </c>
      <c r="D790" s="36" t="s">
        <v>2601</v>
      </c>
      <c r="E790" s="36"/>
      <c r="F790" s="36">
        <v>4</v>
      </c>
      <c r="G790" s="48">
        <v>8</v>
      </c>
      <c r="H790" s="36" t="s">
        <v>136</v>
      </c>
      <c r="I790" s="36" t="s">
        <v>137</v>
      </c>
      <c r="J790" s="36"/>
      <c r="K790" s="36"/>
      <c r="L790" s="530" t="s">
        <v>2755</v>
      </c>
      <c r="M790" s="378"/>
      <c r="N790" s="378"/>
      <c r="O790" s="36"/>
      <c r="P790" s="379"/>
      <c r="Q790" s="379">
        <v>1</v>
      </c>
      <c r="R790" s="379" t="s">
        <v>153</v>
      </c>
      <c r="S790" s="36"/>
      <c r="T790" s="390"/>
      <c r="U790" s="391"/>
      <c r="V790" s="379"/>
      <c r="W790" s="628" t="s">
        <v>2947</v>
      </c>
      <c r="X790" s="628" t="s">
        <v>2947</v>
      </c>
      <c r="Y790" s="379">
        <v>0</v>
      </c>
      <c r="Z790" s="379">
        <v>0</v>
      </c>
      <c r="AA790" s="379"/>
      <c r="AB790" s="379"/>
      <c r="AC790" s="36"/>
      <c r="AD790" s="36"/>
      <c r="AE790" s="36">
        <v>0</v>
      </c>
      <c r="AF790" s="36"/>
      <c r="AG790" s="36"/>
      <c r="AH790" s="36"/>
      <c r="AI790" s="36"/>
      <c r="AJ790" s="36"/>
      <c r="AK790" s="401"/>
      <c r="AL790" s="401"/>
      <c r="AM790" s="401"/>
      <c r="AN790" s="36"/>
      <c r="AO790" s="36"/>
      <c r="AP790" s="36"/>
      <c r="AQ790" s="36" t="s">
        <v>2948</v>
      </c>
      <c r="AR790" s="407"/>
    </row>
    <row r="791" spans="1:44" ht="15" customHeight="1">
      <c r="A791" s="36">
        <v>3011006</v>
      </c>
      <c r="B791" s="36" t="s">
        <v>2928</v>
      </c>
      <c r="C791" s="36" t="s">
        <v>2949</v>
      </c>
      <c r="D791" s="36" t="s">
        <v>2601</v>
      </c>
      <c r="E791" s="36"/>
      <c r="F791" s="36">
        <v>5</v>
      </c>
      <c r="G791" s="47">
        <v>8</v>
      </c>
      <c r="H791" s="36" t="s">
        <v>136</v>
      </c>
      <c r="I791" s="36" t="s">
        <v>137</v>
      </c>
      <c r="J791" s="36"/>
      <c r="K791" s="36"/>
      <c r="L791" s="530" t="s">
        <v>2950</v>
      </c>
      <c r="M791" s="378"/>
      <c r="N791" s="378"/>
      <c r="O791" s="36"/>
      <c r="P791" s="379"/>
      <c r="Q791" s="379">
        <v>2</v>
      </c>
      <c r="R791" s="379" t="s">
        <v>153</v>
      </c>
      <c r="S791" s="36"/>
      <c r="T791" s="390"/>
      <c r="U791" s="391"/>
      <c r="V791" s="379"/>
      <c r="W791" s="390" t="s">
        <v>2951</v>
      </c>
      <c r="X791" s="390" t="s">
        <v>2951</v>
      </c>
      <c r="Y791" s="379">
        <v>0</v>
      </c>
      <c r="Z791" s="379">
        <v>0</v>
      </c>
      <c r="AA791" s="379"/>
      <c r="AB791" s="379"/>
      <c r="AC791" s="36"/>
      <c r="AD791" s="36"/>
      <c r="AE791" s="36">
        <v>0</v>
      </c>
      <c r="AF791" s="36"/>
      <c r="AG791" s="36"/>
      <c r="AH791" s="36"/>
      <c r="AI791" s="36"/>
      <c r="AJ791" s="36"/>
      <c r="AK791" s="401"/>
      <c r="AL791" s="401"/>
      <c r="AM791" s="401"/>
      <c r="AN791" s="36"/>
      <c r="AO791" s="36"/>
      <c r="AP791" s="36"/>
      <c r="AQ791" s="36" t="s">
        <v>2952</v>
      </c>
      <c r="AR791" s="407"/>
    </row>
    <row r="792" spans="1:44" ht="15" customHeight="1">
      <c r="A792" s="36">
        <v>3011007</v>
      </c>
      <c r="B792" s="36" t="s">
        <v>2928</v>
      </c>
      <c r="C792" s="36" t="s">
        <v>2953</v>
      </c>
      <c r="D792" s="36" t="s">
        <v>2601</v>
      </c>
      <c r="E792" s="36"/>
      <c r="F792" s="36">
        <v>6</v>
      </c>
      <c r="G792" s="48">
        <v>8</v>
      </c>
      <c r="H792" s="36" t="s">
        <v>136</v>
      </c>
      <c r="I792" s="36" t="s">
        <v>137</v>
      </c>
      <c r="J792" s="36"/>
      <c r="K792" s="36"/>
      <c r="L792" s="530" t="s">
        <v>2954</v>
      </c>
      <c r="M792" s="378"/>
      <c r="N792" s="378"/>
      <c r="O792" s="36"/>
      <c r="P792" s="379"/>
      <c r="Q792" s="379">
        <v>0</v>
      </c>
      <c r="R792" s="379" t="s">
        <v>153</v>
      </c>
      <c r="S792" s="36">
        <v>3011005</v>
      </c>
      <c r="T792" s="390"/>
      <c r="U792" s="391"/>
      <c r="V792" s="379" t="s">
        <v>582</v>
      </c>
      <c r="W792" s="390" t="s">
        <v>2944</v>
      </c>
      <c r="X792" s="390" t="s">
        <v>2944</v>
      </c>
      <c r="Y792" s="379">
        <v>0</v>
      </c>
      <c r="Z792" s="379">
        <v>0</v>
      </c>
      <c r="AA792" s="379"/>
      <c r="AB792" s="379"/>
      <c r="AC792" s="36"/>
      <c r="AD792" s="36"/>
      <c r="AE792" s="36">
        <v>0</v>
      </c>
      <c r="AF792" s="36"/>
      <c r="AG792" s="36"/>
      <c r="AH792" s="36"/>
      <c r="AI792" s="36"/>
      <c r="AJ792" s="36"/>
      <c r="AK792" s="401"/>
      <c r="AL792" s="401"/>
      <c r="AM792" s="401"/>
      <c r="AN792" s="36"/>
      <c r="AO792" s="36"/>
      <c r="AP792" s="36"/>
      <c r="AQ792" s="36" t="s">
        <v>2955</v>
      </c>
      <c r="AR792" s="407"/>
    </row>
    <row r="793" spans="1:44" ht="15" customHeight="1">
      <c r="A793" s="36">
        <v>3011008</v>
      </c>
      <c r="B793" s="36" t="s">
        <v>2928</v>
      </c>
      <c r="C793" s="36" t="s">
        <v>2956</v>
      </c>
      <c r="D793" s="36" t="s">
        <v>2601</v>
      </c>
      <c r="E793" s="36"/>
      <c r="F793" s="36">
        <v>7</v>
      </c>
      <c r="G793" s="47">
        <v>8</v>
      </c>
      <c r="H793" s="36" t="s">
        <v>136</v>
      </c>
      <c r="I793" s="36" t="s">
        <v>137</v>
      </c>
      <c r="J793" s="36"/>
      <c r="K793" s="36"/>
      <c r="L793" s="531" t="s">
        <v>2957</v>
      </c>
      <c r="M793" s="378"/>
      <c r="N793" s="378"/>
      <c r="O793" s="36"/>
      <c r="P793" s="379"/>
      <c r="Q793" s="379">
        <v>0</v>
      </c>
      <c r="R793" s="379" t="s">
        <v>153</v>
      </c>
      <c r="S793" s="36">
        <v>3011006</v>
      </c>
      <c r="T793" s="390"/>
      <c r="U793" s="391"/>
      <c r="V793" s="379" t="s">
        <v>582</v>
      </c>
      <c r="W793" s="390" t="s">
        <v>2958</v>
      </c>
      <c r="X793" s="390" t="s">
        <v>2958</v>
      </c>
      <c r="Y793" s="379">
        <v>0</v>
      </c>
      <c r="Z793" s="379">
        <v>0</v>
      </c>
      <c r="AA793" s="379"/>
      <c r="AB793" s="379"/>
      <c r="AC793" s="36"/>
      <c r="AD793" s="36"/>
      <c r="AE793" s="36">
        <v>0</v>
      </c>
      <c r="AF793" s="36"/>
      <c r="AG793" s="36"/>
      <c r="AH793" s="36"/>
      <c r="AI793" s="36"/>
      <c r="AJ793" s="36"/>
      <c r="AK793" s="401"/>
      <c r="AL793" s="401"/>
      <c r="AM793" s="401"/>
      <c r="AN793" s="535"/>
      <c r="AO793" s="535"/>
      <c r="AP793" s="535"/>
      <c r="AQ793" s="36" t="s">
        <v>2959</v>
      </c>
      <c r="AR793" s="407"/>
    </row>
    <row r="794" spans="1:44" ht="15" customHeight="1">
      <c r="A794" s="3">
        <v>3011009</v>
      </c>
      <c r="B794" s="3" t="s">
        <v>2928</v>
      </c>
      <c r="C794" s="236" t="s">
        <v>2960</v>
      </c>
      <c r="D794" s="3" t="s">
        <v>2601</v>
      </c>
      <c r="E794" s="3"/>
      <c r="F794" s="3">
        <v>8</v>
      </c>
      <c r="G794" s="48">
        <v>8</v>
      </c>
      <c r="H794" s="3" t="s">
        <v>136</v>
      </c>
      <c r="I794" s="3" t="s">
        <v>137</v>
      </c>
      <c r="J794" s="3"/>
      <c r="K794" s="3"/>
      <c r="L794" s="236"/>
      <c r="M794" s="99"/>
      <c r="N794" s="99"/>
      <c r="O794" s="236"/>
      <c r="P794" s="22"/>
      <c r="Q794" s="22">
        <v>0</v>
      </c>
      <c r="R794" s="22" t="s">
        <v>153</v>
      </c>
      <c r="S794" s="3"/>
      <c r="T794" s="260"/>
      <c r="U794" s="261"/>
      <c r="V794" s="22"/>
      <c r="W794" s="567" t="s">
        <v>2634</v>
      </c>
      <c r="X794" s="567" t="s">
        <v>2634</v>
      </c>
      <c r="Y794" s="22"/>
      <c r="Z794" s="22"/>
      <c r="AA794" s="22"/>
      <c r="AB794" s="22" t="s">
        <v>114</v>
      </c>
      <c r="AC794" s="3"/>
      <c r="AD794" s="3"/>
      <c r="AE794" s="3">
        <v>0</v>
      </c>
      <c r="AF794" s="3">
        <v>0</v>
      </c>
      <c r="AG794" s="3">
        <v>0</v>
      </c>
      <c r="AH794" s="3"/>
      <c r="AI794" s="3">
        <v>0</v>
      </c>
      <c r="AJ794" s="3">
        <v>0</v>
      </c>
      <c r="AK794" s="3">
        <v>0</v>
      </c>
      <c r="AL794" s="3"/>
      <c r="AM794" s="3"/>
      <c r="AN794" s="3"/>
      <c r="AO794" s="3"/>
      <c r="AP794" s="3"/>
      <c r="AQ794" s="3" t="s">
        <v>2941</v>
      </c>
      <c r="AR794" s="281"/>
    </row>
    <row r="795" spans="1:44" ht="15" customHeight="1">
      <c r="A795" s="3">
        <v>3011010</v>
      </c>
      <c r="B795" s="3" t="s">
        <v>2928</v>
      </c>
      <c r="C795" s="236" t="s">
        <v>2961</v>
      </c>
      <c r="D795" s="3" t="s">
        <v>2601</v>
      </c>
      <c r="E795" s="3"/>
      <c r="F795" s="3">
        <v>9</v>
      </c>
      <c r="G795" s="47">
        <v>8</v>
      </c>
      <c r="H795" s="3" t="s">
        <v>136</v>
      </c>
      <c r="I795" s="3" t="s">
        <v>137</v>
      </c>
      <c r="J795" s="3"/>
      <c r="K795" s="3"/>
      <c r="L795" s="236"/>
      <c r="M795" s="99"/>
      <c r="N795" s="99"/>
      <c r="O795" s="236"/>
      <c r="P795" s="22"/>
      <c r="Q795" s="22">
        <v>0</v>
      </c>
      <c r="R795" s="22" t="s">
        <v>153</v>
      </c>
      <c r="S795" s="3"/>
      <c r="T795" s="260"/>
      <c r="U795" s="261"/>
      <c r="V795" s="22"/>
      <c r="W795" s="567" t="s">
        <v>2962</v>
      </c>
      <c r="X795" s="567" t="s">
        <v>2962</v>
      </c>
      <c r="Y795" s="22"/>
      <c r="Z795" s="22"/>
      <c r="AA795" s="22"/>
      <c r="AB795" s="22" t="s">
        <v>114</v>
      </c>
      <c r="AC795" s="3"/>
      <c r="AD795" s="3"/>
      <c r="AE795" s="3">
        <v>0</v>
      </c>
      <c r="AF795" s="3">
        <v>0</v>
      </c>
      <c r="AG795" s="3">
        <v>0</v>
      </c>
      <c r="AH795" s="3"/>
      <c r="AI795" s="3">
        <v>0</v>
      </c>
      <c r="AJ795" s="3">
        <v>0</v>
      </c>
      <c r="AK795" s="3">
        <v>0</v>
      </c>
      <c r="AL795" s="3"/>
      <c r="AM795" s="3"/>
      <c r="AN795" s="3"/>
      <c r="AO795" s="3"/>
      <c r="AP795" s="3"/>
      <c r="AQ795" s="282" t="str">
        <f>"tricks/"&amp;A795</f>
        <v>tricks/3011010</v>
      </c>
    </row>
    <row r="796" spans="1:44" ht="15" customHeight="1">
      <c r="A796" s="3">
        <v>3011011</v>
      </c>
      <c r="B796" s="3" t="s">
        <v>2928</v>
      </c>
      <c r="C796" s="236" t="s">
        <v>2963</v>
      </c>
      <c r="D796" s="3" t="s">
        <v>2601</v>
      </c>
      <c r="E796" s="3"/>
      <c r="F796" s="3">
        <v>10</v>
      </c>
      <c r="G796" s="48">
        <v>8</v>
      </c>
      <c r="H796" s="3" t="s">
        <v>136</v>
      </c>
      <c r="I796" s="3" t="s">
        <v>137</v>
      </c>
      <c r="J796" s="3"/>
      <c r="K796" s="3"/>
      <c r="L796" s="236"/>
      <c r="M796" s="99"/>
      <c r="N796" s="99"/>
      <c r="O796" s="236"/>
      <c r="P796" s="22"/>
      <c r="Q796" s="22">
        <v>0</v>
      </c>
      <c r="R796" s="22" t="s">
        <v>153</v>
      </c>
      <c r="S796" s="3"/>
      <c r="T796" s="260"/>
      <c r="U796" s="261"/>
      <c r="V796" s="22"/>
      <c r="W796" s="567" t="s">
        <v>2964</v>
      </c>
      <c r="X796" s="567" t="s">
        <v>2964</v>
      </c>
      <c r="Y796" s="22"/>
      <c r="Z796" s="22"/>
      <c r="AA796" s="22"/>
      <c r="AB796" s="22" t="s">
        <v>114</v>
      </c>
      <c r="AC796" s="3"/>
      <c r="AD796" s="3"/>
      <c r="AE796" s="3">
        <v>0</v>
      </c>
      <c r="AF796" s="3">
        <v>0</v>
      </c>
      <c r="AG796" s="3">
        <v>0</v>
      </c>
      <c r="AH796" s="3"/>
      <c r="AI796" s="3">
        <v>0</v>
      </c>
      <c r="AJ796" s="3">
        <v>0</v>
      </c>
      <c r="AK796" s="3">
        <v>0</v>
      </c>
      <c r="AL796" s="3"/>
      <c r="AM796" s="3"/>
      <c r="AN796" s="3"/>
      <c r="AO796" s="3"/>
      <c r="AP796" s="3"/>
      <c r="AQ796" s="282" t="str">
        <f>"tricks/"&amp;A796</f>
        <v>tricks/3011011</v>
      </c>
    </row>
    <row r="797" spans="1:44">
      <c r="A797" s="6">
        <v>3011101</v>
      </c>
      <c r="B797" s="6" t="s">
        <v>2965</v>
      </c>
      <c r="C797" s="6" t="s">
        <v>2966</v>
      </c>
      <c r="D797" s="6" t="s">
        <v>2601</v>
      </c>
      <c r="E797" s="6"/>
      <c r="F797" s="36">
        <v>1</v>
      </c>
      <c r="G797" s="47">
        <v>8</v>
      </c>
      <c r="H797" s="6" t="s">
        <v>82</v>
      </c>
      <c r="I797" s="6" t="s">
        <v>101</v>
      </c>
      <c r="J797" s="6"/>
      <c r="K797" s="6"/>
      <c r="L797" s="532" t="s">
        <v>2967</v>
      </c>
      <c r="M797" s="235"/>
      <c r="N797" s="235">
        <v>22</v>
      </c>
      <c r="O797" s="6"/>
      <c r="P797" s="40"/>
      <c r="Q797" s="40">
        <v>0</v>
      </c>
      <c r="R797" s="40" t="s">
        <v>153</v>
      </c>
      <c r="S797" s="6"/>
      <c r="T797" s="258"/>
      <c r="U797" s="259"/>
      <c r="V797" s="40"/>
      <c r="W797" s="258" t="s">
        <v>2968</v>
      </c>
      <c r="X797" s="258" t="s">
        <v>2968</v>
      </c>
      <c r="Y797" s="40">
        <v>0</v>
      </c>
      <c r="Z797" s="40">
        <v>0</v>
      </c>
      <c r="AA797" s="40"/>
      <c r="AB797" s="40"/>
      <c r="AC797" s="6"/>
      <c r="AD797" s="6"/>
      <c r="AE797" s="6">
        <v>2</v>
      </c>
      <c r="AF797" s="6"/>
      <c r="AG797" s="6">
        <v>30</v>
      </c>
      <c r="AH797" s="6"/>
      <c r="AI797" s="6"/>
      <c r="AJ797" s="6"/>
      <c r="AK797" s="272"/>
      <c r="AL797" s="272"/>
      <c r="AM797" s="272"/>
      <c r="AN797" s="42" t="s">
        <v>2969</v>
      </c>
      <c r="AO797" s="534"/>
      <c r="AP797" s="534"/>
      <c r="AQ797" s="6" t="s">
        <v>2970</v>
      </c>
      <c r="AR797" s="280"/>
    </row>
    <row r="798" spans="1:44" ht="15" customHeight="1">
      <c r="A798" s="6">
        <v>3011102</v>
      </c>
      <c r="B798" s="6" t="s">
        <v>2965</v>
      </c>
      <c r="C798" s="6" t="s">
        <v>2971</v>
      </c>
      <c r="D798" s="6" t="s">
        <v>2601</v>
      </c>
      <c r="E798" s="6"/>
      <c r="F798" s="36">
        <v>1</v>
      </c>
      <c r="G798" s="48">
        <v>8</v>
      </c>
      <c r="H798" s="6" t="s">
        <v>136</v>
      </c>
      <c r="I798" s="6" t="s">
        <v>137</v>
      </c>
      <c r="J798" s="6"/>
      <c r="K798" s="6"/>
      <c r="L798" s="532" t="s">
        <v>2972</v>
      </c>
      <c r="M798" s="235"/>
      <c r="N798" s="235"/>
      <c r="O798" s="6"/>
      <c r="P798" s="40"/>
      <c r="Q798" s="40">
        <v>0</v>
      </c>
      <c r="R798" s="40" t="s">
        <v>153</v>
      </c>
      <c r="S798" s="6"/>
      <c r="T798" s="258"/>
      <c r="U798" s="259"/>
      <c r="V798" s="40"/>
      <c r="W798" s="258" t="s">
        <v>2867</v>
      </c>
      <c r="X798" s="258" t="s">
        <v>2867</v>
      </c>
      <c r="Y798" s="40">
        <v>0</v>
      </c>
      <c r="Z798" s="40">
        <v>0</v>
      </c>
      <c r="AA798" s="40"/>
      <c r="AB798" s="40"/>
      <c r="AC798" s="6"/>
      <c r="AD798" s="6"/>
      <c r="AE798" s="6">
        <v>0</v>
      </c>
      <c r="AF798" s="6"/>
      <c r="AG798" s="6"/>
      <c r="AH798" s="6"/>
      <c r="AI798" s="6"/>
      <c r="AJ798" s="6"/>
      <c r="AK798" s="272"/>
      <c r="AL798" s="272"/>
      <c r="AM798" s="272"/>
      <c r="AN798" s="534"/>
      <c r="AO798" s="534"/>
      <c r="AP798" s="534"/>
      <c r="AQ798" s="6" t="s">
        <v>2973</v>
      </c>
      <c r="AR798" s="280"/>
    </row>
    <row r="799" spans="1:44">
      <c r="A799" s="6">
        <v>3011103</v>
      </c>
      <c r="B799" s="6" t="s">
        <v>2965</v>
      </c>
      <c r="C799" s="6" t="s">
        <v>2974</v>
      </c>
      <c r="D799" s="6" t="s">
        <v>2601</v>
      </c>
      <c r="E799" s="6"/>
      <c r="F799" s="36">
        <v>2</v>
      </c>
      <c r="G799" s="47">
        <v>8</v>
      </c>
      <c r="H799" s="6" t="s">
        <v>136</v>
      </c>
      <c r="I799" s="6" t="s">
        <v>137</v>
      </c>
      <c r="J799" s="6"/>
      <c r="K799" s="6"/>
      <c r="L799" s="532" t="s">
        <v>2975</v>
      </c>
      <c r="M799" s="235"/>
      <c r="N799" s="235"/>
      <c r="O799" s="6"/>
      <c r="P799" s="40"/>
      <c r="Q799" s="40">
        <v>0</v>
      </c>
      <c r="R799" s="40" t="s">
        <v>153</v>
      </c>
      <c r="S799" s="6"/>
      <c r="T799" s="258"/>
      <c r="U799" s="259"/>
      <c r="V799" s="40"/>
      <c r="W799" s="258" t="s">
        <v>2005</v>
      </c>
      <c r="X799" s="258" t="s">
        <v>2005</v>
      </c>
      <c r="Y799" s="40">
        <v>0</v>
      </c>
      <c r="Z799" s="40">
        <v>0</v>
      </c>
      <c r="AA799" s="40"/>
      <c r="AB799" s="40"/>
      <c r="AC799" s="6"/>
      <c r="AD799" s="6"/>
      <c r="AE799" s="6">
        <v>0</v>
      </c>
      <c r="AF799" s="6"/>
      <c r="AG799" s="6"/>
      <c r="AH799" s="6"/>
      <c r="AI799" s="6"/>
      <c r="AJ799" s="6"/>
      <c r="AK799" s="272"/>
      <c r="AL799" s="272"/>
      <c r="AM799" s="272"/>
      <c r="AN799" s="534"/>
      <c r="AO799" s="534"/>
      <c r="AP799" s="534"/>
      <c r="AQ799" s="6" t="s">
        <v>2976</v>
      </c>
      <c r="AR799" s="280"/>
    </row>
    <row r="800" spans="1:44">
      <c r="A800" s="6">
        <v>3011104</v>
      </c>
      <c r="B800" s="6" t="s">
        <v>2965</v>
      </c>
      <c r="C800" s="6" t="s">
        <v>2977</v>
      </c>
      <c r="D800" s="6" t="s">
        <v>2601</v>
      </c>
      <c r="E800" s="6"/>
      <c r="F800" s="36">
        <v>3</v>
      </c>
      <c r="G800" s="48">
        <v>8</v>
      </c>
      <c r="H800" s="6" t="s">
        <v>136</v>
      </c>
      <c r="I800" s="6" t="s">
        <v>137</v>
      </c>
      <c r="J800" s="6"/>
      <c r="K800" s="6"/>
      <c r="L800" s="459" t="s">
        <v>2978</v>
      </c>
      <c r="M800" s="235"/>
      <c r="N800" s="235"/>
      <c r="O800" s="6"/>
      <c r="P800" s="40"/>
      <c r="Q800" s="40">
        <v>0</v>
      </c>
      <c r="R800" s="40" t="s">
        <v>153</v>
      </c>
      <c r="S800" s="6"/>
      <c r="T800" s="258"/>
      <c r="U800" s="259"/>
      <c r="V800" s="40"/>
      <c r="W800" s="258" t="s">
        <v>2979</v>
      </c>
      <c r="X800" s="258" t="s">
        <v>2979</v>
      </c>
      <c r="Y800" s="40">
        <v>0</v>
      </c>
      <c r="Z800" s="40">
        <v>0</v>
      </c>
      <c r="AA800" s="40"/>
      <c r="AB800" s="40"/>
      <c r="AC800" s="6"/>
      <c r="AD800" s="6"/>
      <c r="AE800" s="6">
        <v>0</v>
      </c>
      <c r="AF800" s="6"/>
      <c r="AG800" s="6"/>
      <c r="AH800" s="6"/>
      <c r="AI800" s="6"/>
      <c r="AJ800" s="6"/>
      <c r="AK800" s="272"/>
      <c r="AL800" s="272"/>
      <c r="AM800" s="272"/>
      <c r="AN800" s="534"/>
      <c r="AO800" s="534"/>
      <c r="AP800" s="534"/>
      <c r="AQ800" s="6" t="s">
        <v>2980</v>
      </c>
      <c r="AR800" s="280"/>
    </row>
    <row r="801" spans="1:44">
      <c r="A801" s="6">
        <v>3011105</v>
      </c>
      <c r="B801" s="6" t="s">
        <v>2965</v>
      </c>
      <c r="C801" s="6" t="s">
        <v>2981</v>
      </c>
      <c r="D801" s="6" t="s">
        <v>2601</v>
      </c>
      <c r="E801" s="6"/>
      <c r="F801" s="36">
        <v>4</v>
      </c>
      <c r="G801" s="47">
        <v>8</v>
      </c>
      <c r="H801" s="6" t="s">
        <v>136</v>
      </c>
      <c r="I801" s="6" t="s">
        <v>137</v>
      </c>
      <c r="J801" s="6"/>
      <c r="K801" s="6"/>
      <c r="L801" s="459" t="s">
        <v>2982</v>
      </c>
      <c r="M801" s="235"/>
      <c r="N801" s="235"/>
      <c r="O801" s="6"/>
      <c r="P801" s="40"/>
      <c r="Q801" s="40">
        <v>0</v>
      </c>
      <c r="R801" s="40" t="s">
        <v>153</v>
      </c>
      <c r="S801" s="6"/>
      <c r="T801" s="258"/>
      <c r="U801" s="259"/>
      <c r="V801" s="40"/>
      <c r="W801" s="258" t="s">
        <v>2910</v>
      </c>
      <c r="X801" s="258" t="s">
        <v>2910</v>
      </c>
      <c r="Y801" s="40">
        <v>0</v>
      </c>
      <c r="Z801" s="40">
        <v>0</v>
      </c>
      <c r="AA801" s="40"/>
      <c r="AB801" s="40"/>
      <c r="AC801" s="6"/>
      <c r="AD801" s="6"/>
      <c r="AE801" s="6">
        <v>0</v>
      </c>
      <c r="AF801" s="6"/>
      <c r="AG801" s="6"/>
      <c r="AH801" s="6"/>
      <c r="AI801" s="6"/>
      <c r="AJ801" s="6"/>
      <c r="AK801" s="272"/>
      <c r="AL801" s="272"/>
      <c r="AM801" s="272"/>
      <c r="AN801" s="534"/>
      <c r="AO801" s="534"/>
      <c r="AP801" s="534"/>
      <c r="AQ801" s="6" t="s">
        <v>2983</v>
      </c>
      <c r="AR801" s="280"/>
    </row>
    <row r="802" spans="1:44" ht="15" customHeight="1">
      <c r="A802" s="6">
        <v>3011106</v>
      </c>
      <c r="B802" s="6" t="s">
        <v>2965</v>
      </c>
      <c r="C802" s="6" t="s">
        <v>2984</v>
      </c>
      <c r="D802" s="6" t="s">
        <v>2601</v>
      </c>
      <c r="E802" s="6"/>
      <c r="F802" s="36">
        <v>5</v>
      </c>
      <c r="G802" s="48">
        <v>8</v>
      </c>
      <c r="H802" s="6" t="s">
        <v>136</v>
      </c>
      <c r="I802" s="6" t="s">
        <v>137</v>
      </c>
      <c r="J802" s="6"/>
      <c r="K802" s="6"/>
      <c r="L802" s="459" t="s">
        <v>2985</v>
      </c>
      <c r="M802" s="235"/>
      <c r="N802" s="235"/>
      <c r="O802" s="6"/>
      <c r="P802" s="40"/>
      <c r="Q802" s="40">
        <v>0</v>
      </c>
      <c r="R802" s="40" t="s">
        <v>153</v>
      </c>
      <c r="S802" s="6"/>
      <c r="T802" s="258"/>
      <c r="U802" s="259"/>
      <c r="V802" s="40"/>
      <c r="W802" s="258" t="s">
        <v>2986</v>
      </c>
      <c r="X802" s="258" t="s">
        <v>2986</v>
      </c>
      <c r="Y802" s="40">
        <v>0</v>
      </c>
      <c r="Z802" s="40">
        <v>0</v>
      </c>
      <c r="AA802" s="40"/>
      <c r="AB802" s="40"/>
      <c r="AC802" s="6"/>
      <c r="AD802" s="6"/>
      <c r="AE802" s="6">
        <v>0</v>
      </c>
      <c r="AF802" s="6"/>
      <c r="AG802" s="6"/>
      <c r="AH802" s="6"/>
      <c r="AI802" s="6"/>
      <c r="AJ802" s="6"/>
      <c r="AK802" s="272"/>
      <c r="AL802" s="272"/>
      <c r="AM802" s="272"/>
      <c r="AN802" s="534"/>
      <c r="AO802" s="534"/>
      <c r="AP802" s="534"/>
      <c r="AQ802" s="6" t="s">
        <v>2987</v>
      </c>
      <c r="AR802" s="280"/>
    </row>
    <row r="803" spans="1:44" ht="15" customHeight="1">
      <c r="A803" s="6">
        <v>3011107</v>
      </c>
      <c r="B803" s="6" t="s">
        <v>2965</v>
      </c>
      <c r="C803" s="6" t="s">
        <v>2988</v>
      </c>
      <c r="D803" s="6" t="s">
        <v>2601</v>
      </c>
      <c r="E803" s="6"/>
      <c r="F803" s="36">
        <v>6</v>
      </c>
      <c r="G803" s="47">
        <v>8</v>
      </c>
      <c r="H803" s="6" t="s">
        <v>136</v>
      </c>
      <c r="I803" s="6" t="s">
        <v>137</v>
      </c>
      <c r="J803" s="6"/>
      <c r="K803" s="6"/>
      <c r="L803" s="459" t="s">
        <v>2989</v>
      </c>
      <c r="M803" s="235"/>
      <c r="N803" s="235"/>
      <c r="O803" s="6"/>
      <c r="P803" s="40"/>
      <c r="Q803" s="40">
        <v>0</v>
      </c>
      <c r="R803" s="40" t="s">
        <v>153</v>
      </c>
      <c r="S803" s="6"/>
      <c r="T803" s="258"/>
      <c r="U803" s="259"/>
      <c r="V803" s="40"/>
      <c r="W803" s="258" t="s">
        <v>2979</v>
      </c>
      <c r="X803" s="258" t="s">
        <v>2979</v>
      </c>
      <c r="Y803" s="40">
        <v>0</v>
      </c>
      <c r="Z803" s="40">
        <v>0</v>
      </c>
      <c r="AA803" s="40"/>
      <c r="AB803" s="40"/>
      <c r="AC803" s="6"/>
      <c r="AD803" s="6"/>
      <c r="AE803" s="6">
        <v>0</v>
      </c>
      <c r="AF803" s="6"/>
      <c r="AG803" s="6"/>
      <c r="AH803" s="6"/>
      <c r="AI803" s="6"/>
      <c r="AJ803" s="6"/>
      <c r="AK803" s="272"/>
      <c r="AL803" s="272"/>
      <c r="AM803" s="272"/>
      <c r="AN803" s="534"/>
      <c r="AO803" s="534"/>
      <c r="AP803" s="534"/>
      <c r="AQ803" s="6" t="s">
        <v>2990</v>
      </c>
      <c r="AR803" s="280"/>
    </row>
    <row r="804" spans="1:44" ht="15" customHeight="1">
      <c r="A804" s="6">
        <v>3011108</v>
      </c>
      <c r="B804" s="6" t="s">
        <v>2965</v>
      </c>
      <c r="C804" s="6" t="s">
        <v>2991</v>
      </c>
      <c r="D804" s="6" t="s">
        <v>2601</v>
      </c>
      <c r="E804" s="6"/>
      <c r="F804" s="36">
        <v>7</v>
      </c>
      <c r="G804" s="48">
        <v>8</v>
      </c>
      <c r="H804" s="6" t="s">
        <v>136</v>
      </c>
      <c r="I804" s="6" t="s">
        <v>137</v>
      </c>
      <c r="J804" s="6"/>
      <c r="K804" s="6"/>
      <c r="L804" s="459" t="s">
        <v>2992</v>
      </c>
      <c r="M804" s="235"/>
      <c r="N804" s="235"/>
      <c r="O804" s="6"/>
      <c r="P804" s="40"/>
      <c r="Q804" s="40">
        <v>0</v>
      </c>
      <c r="R804" s="40" t="s">
        <v>153</v>
      </c>
      <c r="S804" s="6"/>
      <c r="T804" s="258"/>
      <c r="U804" s="259"/>
      <c r="V804" s="40"/>
      <c r="W804" s="258" t="s">
        <v>2993</v>
      </c>
      <c r="X804" s="258" t="s">
        <v>2993</v>
      </c>
      <c r="Y804" s="40">
        <v>0</v>
      </c>
      <c r="Z804" s="40">
        <v>0</v>
      </c>
      <c r="AA804" s="40"/>
      <c r="AB804" s="40"/>
      <c r="AC804" s="6"/>
      <c r="AD804" s="6"/>
      <c r="AE804" s="6">
        <v>0</v>
      </c>
      <c r="AF804" s="6"/>
      <c r="AG804" s="6"/>
      <c r="AH804" s="6"/>
      <c r="AI804" s="6"/>
      <c r="AJ804" s="6"/>
      <c r="AK804" s="272"/>
      <c r="AL804" s="272"/>
      <c r="AM804" s="272"/>
      <c r="AN804" s="534"/>
      <c r="AO804" s="534"/>
      <c r="AP804" s="534"/>
      <c r="AQ804" s="6" t="s">
        <v>2994</v>
      </c>
      <c r="AR804" s="280"/>
    </row>
    <row r="805" spans="1:44" ht="15" customHeight="1">
      <c r="A805" s="3">
        <v>3011109</v>
      </c>
      <c r="B805" s="3" t="s">
        <v>2965</v>
      </c>
      <c r="C805" s="236" t="s">
        <v>2995</v>
      </c>
      <c r="D805" s="3" t="s">
        <v>2601</v>
      </c>
      <c r="E805" s="3"/>
      <c r="F805" s="3">
        <v>8</v>
      </c>
      <c r="G805" s="47">
        <v>8</v>
      </c>
      <c r="H805" s="3" t="s">
        <v>136</v>
      </c>
      <c r="I805" s="3" t="s">
        <v>137</v>
      </c>
      <c r="J805" s="3"/>
      <c r="K805" s="3"/>
      <c r="L805" s="236"/>
      <c r="M805" s="99"/>
      <c r="N805" s="99"/>
      <c r="O805" s="236"/>
      <c r="P805" s="22"/>
      <c r="Q805" s="22">
        <v>0</v>
      </c>
      <c r="R805" s="22" t="s">
        <v>153</v>
      </c>
      <c r="S805" s="3"/>
      <c r="T805" s="260"/>
      <c r="U805" s="261"/>
      <c r="V805" s="22"/>
      <c r="W805" s="567" t="s">
        <v>2634</v>
      </c>
      <c r="X805" s="567" t="s">
        <v>2634</v>
      </c>
      <c r="Y805" s="22"/>
      <c r="Z805" s="22"/>
      <c r="AA805" s="22"/>
      <c r="AB805" s="22" t="s">
        <v>114</v>
      </c>
      <c r="AC805" s="3"/>
      <c r="AD805" s="3"/>
      <c r="AE805" s="3">
        <v>0</v>
      </c>
      <c r="AF805" s="3">
        <v>0</v>
      </c>
      <c r="AG805" s="3">
        <v>0</v>
      </c>
      <c r="AH805" s="3"/>
      <c r="AI805" s="3">
        <v>0</v>
      </c>
      <c r="AJ805" s="3">
        <v>0</v>
      </c>
      <c r="AK805" s="3">
        <v>0</v>
      </c>
      <c r="AL805" s="3"/>
      <c r="AM805" s="3"/>
      <c r="AN805" s="3"/>
      <c r="AO805" s="3"/>
      <c r="AP805" s="3"/>
      <c r="AQ805" s="3" t="s">
        <v>2976</v>
      </c>
      <c r="AR805" s="281"/>
    </row>
    <row r="806" spans="1:44" ht="15" customHeight="1">
      <c r="A806" s="3">
        <v>3011110</v>
      </c>
      <c r="B806" s="3" t="s">
        <v>2965</v>
      </c>
      <c r="C806" s="236" t="s">
        <v>2996</v>
      </c>
      <c r="D806" s="3" t="s">
        <v>2601</v>
      </c>
      <c r="E806" s="3"/>
      <c r="F806" s="3">
        <v>9</v>
      </c>
      <c r="G806" s="48">
        <v>8</v>
      </c>
      <c r="H806" s="3" t="s">
        <v>136</v>
      </c>
      <c r="I806" s="3" t="s">
        <v>137</v>
      </c>
      <c r="J806" s="3"/>
      <c r="K806" s="3"/>
      <c r="L806" s="236"/>
      <c r="M806" s="99"/>
      <c r="N806" s="99"/>
      <c r="O806" s="236"/>
      <c r="P806" s="22"/>
      <c r="Q806" s="22">
        <v>0</v>
      </c>
      <c r="R806" s="22" t="s">
        <v>153</v>
      </c>
      <c r="S806" s="3"/>
      <c r="T806" s="260"/>
      <c r="U806" s="261"/>
      <c r="V806" s="22"/>
      <c r="W806" s="567" t="s">
        <v>2997</v>
      </c>
      <c r="X806" s="567" t="s">
        <v>2997</v>
      </c>
      <c r="Y806" s="22"/>
      <c r="Z806" s="22"/>
      <c r="AA806" s="22"/>
      <c r="AB806" s="22" t="s">
        <v>114</v>
      </c>
      <c r="AC806" s="3"/>
      <c r="AD806" s="3"/>
      <c r="AE806" s="3">
        <v>0</v>
      </c>
      <c r="AF806" s="3">
        <v>0</v>
      </c>
      <c r="AG806" s="3">
        <v>0</v>
      </c>
      <c r="AH806" s="3"/>
      <c r="AI806" s="3">
        <v>0</v>
      </c>
      <c r="AJ806" s="3">
        <v>0</v>
      </c>
      <c r="AK806" s="3">
        <v>0</v>
      </c>
      <c r="AL806" s="3"/>
      <c r="AM806" s="3"/>
      <c r="AN806" s="3"/>
      <c r="AO806" s="3"/>
      <c r="AP806" s="3"/>
      <c r="AQ806" s="282" t="str">
        <f>"tricks/"&amp;A806</f>
        <v>tricks/3011110</v>
      </c>
    </row>
    <row r="807" spans="1:44" ht="15" customHeight="1">
      <c r="A807" s="3">
        <v>3011111</v>
      </c>
      <c r="B807" s="3" t="s">
        <v>2965</v>
      </c>
      <c r="C807" s="236" t="s">
        <v>2998</v>
      </c>
      <c r="D807" s="3" t="s">
        <v>2601</v>
      </c>
      <c r="E807" s="3"/>
      <c r="F807" s="3">
        <v>10</v>
      </c>
      <c r="G807" s="47">
        <v>8</v>
      </c>
      <c r="H807" s="3" t="s">
        <v>136</v>
      </c>
      <c r="I807" s="3" t="s">
        <v>137</v>
      </c>
      <c r="J807" s="3"/>
      <c r="K807" s="3"/>
      <c r="L807" s="236"/>
      <c r="M807" s="99"/>
      <c r="N807" s="99"/>
      <c r="O807" s="236"/>
      <c r="P807" s="22"/>
      <c r="Q807" s="22">
        <v>0</v>
      </c>
      <c r="R807" s="22" t="s">
        <v>153</v>
      </c>
      <c r="S807" s="3"/>
      <c r="T807" s="260"/>
      <c r="U807" s="261"/>
      <c r="V807" s="22"/>
      <c r="W807" s="567" t="s">
        <v>2779</v>
      </c>
      <c r="X807" s="567" t="s">
        <v>2779</v>
      </c>
      <c r="Y807" s="22"/>
      <c r="Z807" s="22"/>
      <c r="AA807" s="22"/>
      <c r="AB807" s="22" t="s">
        <v>114</v>
      </c>
      <c r="AC807" s="3"/>
      <c r="AD807" s="3"/>
      <c r="AE807" s="3">
        <v>0</v>
      </c>
      <c r="AF807" s="3">
        <v>0</v>
      </c>
      <c r="AG807" s="3">
        <v>0</v>
      </c>
      <c r="AH807" s="3"/>
      <c r="AI807" s="3">
        <v>0</v>
      </c>
      <c r="AJ807" s="3">
        <v>0</v>
      </c>
      <c r="AK807" s="3">
        <v>0</v>
      </c>
      <c r="AL807" s="3"/>
      <c r="AM807" s="3"/>
      <c r="AN807" s="3"/>
      <c r="AO807" s="3"/>
      <c r="AP807" s="3"/>
      <c r="AQ807" s="282" t="str">
        <f>"tricks/"&amp;A807</f>
        <v>tricks/3011111</v>
      </c>
    </row>
    <row r="808" spans="1:44">
      <c r="A808" s="33">
        <v>3011201</v>
      </c>
      <c r="B808" s="33" t="s">
        <v>2999</v>
      </c>
      <c r="C808" s="627" t="s">
        <v>3000</v>
      </c>
      <c r="D808" s="33" t="s">
        <v>2601</v>
      </c>
      <c r="E808" s="33"/>
      <c r="F808" s="36">
        <v>1</v>
      </c>
      <c r="G808" s="48">
        <v>8</v>
      </c>
      <c r="H808" s="33" t="s">
        <v>82</v>
      </c>
      <c r="I808" s="33" t="s">
        <v>101</v>
      </c>
      <c r="J808" s="33"/>
      <c r="K808" s="33"/>
      <c r="L808" s="533" t="s">
        <v>3001</v>
      </c>
      <c r="M808" s="367"/>
      <c r="N808" s="378">
        <v>14</v>
      </c>
      <c r="O808" s="33"/>
      <c r="P808" s="369"/>
      <c r="Q808" s="369">
        <v>0</v>
      </c>
      <c r="R808" s="369" t="s">
        <v>153</v>
      </c>
      <c r="S808" s="33"/>
      <c r="T808" s="380"/>
      <c r="U808" s="381"/>
      <c r="V808" s="369"/>
      <c r="W808" s="629" t="s">
        <v>3002</v>
      </c>
      <c r="X808" s="629" t="s">
        <v>3002</v>
      </c>
      <c r="Y808" s="369">
        <v>0</v>
      </c>
      <c r="Z808" s="369">
        <v>0</v>
      </c>
      <c r="AA808" s="369"/>
      <c r="AB808" s="369"/>
      <c r="AC808" s="33"/>
      <c r="AD808" s="33"/>
      <c r="AE808" s="33">
        <v>2</v>
      </c>
      <c r="AF808" s="33"/>
      <c r="AG808" s="33">
        <v>40</v>
      </c>
      <c r="AH808" s="33"/>
      <c r="AI808" s="33"/>
      <c r="AJ808" s="33"/>
      <c r="AK808" s="396"/>
      <c r="AL808" s="396"/>
      <c r="AM808" s="396"/>
      <c r="AN808" s="43" t="s">
        <v>3003</v>
      </c>
      <c r="AO808" s="397"/>
      <c r="AP808" s="397"/>
      <c r="AQ808" s="33" t="s">
        <v>3004</v>
      </c>
      <c r="AR808" s="404"/>
    </row>
    <row r="809" spans="1:44">
      <c r="A809" s="33">
        <v>3011202</v>
      </c>
      <c r="B809" s="33" t="s">
        <v>2999</v>
      </c>
      <c r="C809" s="33" t="s">
        <v>3005</v>
      </c>
      <c r="D809" s="33" t="s">
        <v>2601</v>
      </c>
      <c r="E809" s="33"/>
      <c r="F809" s="36">
        <v>1</v>
      </c>
      <c r="G809" s="47">
        <v>8</v>
      </c>
      <c r="H809" s="33" t="s">
        <v>136</v>
      </c>
      <c r="I809" s="33" t="s">
        <v>137</v>
      </c>
      <c r="J809" s="33"/>
      <c r="K809" s="33"/>
      <c r="L809" s="533" t="s">
        <v>3006</v>
      </c>
      <c r="M809" s="367"/>
      <c r="N809" s="367"/>
      <c r="O809" s="33"/>
      <c r="P809" s="369"/>
      <c r="Q809" s="369">
        <v>0</v>
      </c>
      <c r="R809" s="369" t="s">
        <v>153</v>
      </c>
      <c r="S809" s="33"/>
      <c r="T809" s="380"/>
      <c r="U809" s="381"/>
      <c r="V809" s="369"/>
      <c r="W809" s="629" t="s">
        <v>3007</v>
      </c>
      <c r="X809" s="629" t="s">
        <v>3007</v>
      </c>
      <c r="Y809" s="369">
        <v>0</v>
      </c>
      <c r="Z809" s="369">
        <v>0</v>
      </c>
      <c r="AA809" s="369"/>
      <c r="AB809" s="369"/>
      <c r="AC809" s="33"/>
      <c r="AD809" s="33"/>
      <c r="AE809" s="33">
        <v>0</v>
      </c>
      <c r="AF809" s="33"/>
      <c r="AG809" s="33"/>
      <c r="AH809" s="33"/>
      <c r="AI809" s="33"/>
      <c r="AJ809" s="33"/>
      <c r="AK809" s="396"/>
      <c r="AL809" s="396"/>
      <c r="AM809" s="396"/>
      <c r="AN809" s="397"/>
      <c r="AO809" s="397"/>
      <c r="AP809" s="397"/>
      <c r="AQ809" s="33" t="s">
        <v>3008</v>
      </c>
      <c r="AR809" s="404"/>
    </row>
    <row r="810" spans="1:44">
      <c r="A810" s="33">
        <v>3011203</v>
      </c>
      <c r="B810" s="33" t="s">
        <v>2999</v>
      </c>
      <c r="C810" s="33" t="s">
        <v>3009</v>
      </c>
      <c r="D810" s="33" t="s">
        <v>2601</v>
      </c>
      <c r="E810" s="33"/>
      <c r="F810" s="36">
        <v>2</v>
      </c>
      <c r="G810" s="48">
        <v>8</v>
      </c>
      <c r="H810" s="33" t="s">
        <v>136</v>
      </c>
      <c r="I810" s="33" t="s">
        <v>137</v>
      </c>
      <c r="J810" s="33"/>
      <c r="K810" s="33"/>
      <c r="L810" s="533" t="s">
        <v>3010</v>
      </c>
      <c r="M810" s="367"/>
      <c r="N810" s="367"/>
      <c r="O810" s="33"/>
      <c r="P810" s="369"/>
      <c r="Q810" s="369">
        <v>0</v>
      </c>
      <c r="R810" s="369" t="s">
        <v>153</v>
      </c>
      <c r="S810" s="33"/>
      <c r="T810" s="380"/>
      <c r="U810" s="381"/>
      <c r="V810" s="369"/>
      <c r="W810" s="629" t="s">
        <v>3011</v>
      </c>
      <c r="X810" s="629" t="s">
        <v>3011</v>
      </c>
      <c r="Y810" s="369">
        <v>0</v>
      </c>
      <c r="Z810" s="369">
        <v>0</v>
      </c>
      <c r="AA810" s="369"/>
      <c r="AB810" s="369"/>
      <c r="AC810" s="33"/>
      <c r="AD810" s="33"/>
      <c r="AE810" s="33">
        <v>0</v>
      </c>
      <c r="AF810" s="33"/>
      <c r="AG810" s="33"/>
      <c r="AH810" s="33"/>
      <c r="AI810" s="33"/>
      <c r="AJ810" s="33"/>
      <c r="AK810" s="396"/>
      <c r="AL810" s="396"/>
      <c r="AM810" s="396"/>
      <c r="AN810" s="397"/>
      <c r="AO810" s="397"/>
      <c r="AP810" s="397"/>
      <c r="AQ810" s="33" t="s">
        <v>3012</v>
      </c>
      <c r="AR810" s="404"/>
    </row>
    <row r="811" spans="1:44">
      <c r="A811" s="33">
        <v>3011204</v>
      </c>
      <c r="B811" s="33" t="s">
        <v>2999</v>
      </c>
      <c r="C811" s="33" t="s">
        <v>3013</v>
      </c>
      <c r="D811" s="33" t="s">
        <v>2601</v>
      </c>
      <c r="E811" s="33"/>
      <c r="F811" s="36">
        <v>3</v>
      </c>
      <c r="G811" s="47">
        <v>8</v>
      </c>
      <c r="H811" s="33" t="s">
        <v>136</v>
      </c>
      <c r="I811" s="33" t="s">
        <v>137</v>
      </c>
      <c r="J811" s="33"/>
      <c r="K811" s="33"/>
      <c r="L811" s="366" t="s">
        <v>3014</v>
      </c>
      <c r="M811" s="367"/>
      <c r="N811" s="367"/>
      <c r="O811" s="33"/>
      <c r="P811" s="369"/>
      <c r="Q811" s="369">
        <v>0</v>
      </c>
      <c r="R811" s="369" t="s">
        <v>153</v>
      </c>
      <c r="S811" s="33"/>
      <c r="T811" s="380"/>
      <c r="U811" s="381"/>
      <c r="V811" s="369"/>
      <c r="W811" s="630" t="s">
        <v>3015</v>
      </c>
      <c r="X811" s="630" t="s">
        <v>3015</v>
      </c>
      <c r="Y811" s="369">
        <v>0</v>
      </c>
      <c r="Z811" s="369">
        <v>0</v>
      </c>
      <c r="AA811" s="369"/>
      <c r="AB811" s="369"/>
      <c r="AC811" s="33"/>
      <c r="AD811" s="33"/>
      <c r="AE811" s="33">
        <v>0</v>
      </c>
      <c r="AF811" s="33"/>
      <c r="AG811" s="33"/>
      <c r="AH811" s="33"/>
      <c r="AI811" s="33"/>
      <c r="AJ811" s="33"/>
      <c r="AK811" s="396"/>
      <c r="AL811" s="396"/>
      <c r="AM811" s="396"/>
      <c r="AN811" s="397"/>
      <c r="AO811" s="33"/>
      <c r="AP811" s="33"/>
      <c r="AQ811" s="33" t="s">
        <v>3016</v>
      </c>
      <c r="AR811" s="404"/>
    </row>
    <row r="812" spans="1:44">
      <c r="A812" s="33">
        <v>3011205</v>
      </c>
      <c r="B812" s="33" t="s">
        <v>2999</v>
      </c>
      <c r="C812" s="33" t="s">
        <v>3017</v>
      </c>
      <c r="D812" s="33" t="s">
        <v>2601</v>
      </c>
      <c r="E812" s="33"/>
      <c r="F812" s="36">
        <v>4</v>
      </c>
      <c r="G812" s="48">
        <v>8</v>
      </c>
      <c r="H812" s="33" t="s">
        <v>136</v>
      </c>
      <c r="I812" s="33" t="s">
        <v>137</v>
      </c>
      <c r="J812" s="33"/>
      <c r="K812" s="33"/>
      <c r="L812" s="533" t="s">
        <v>3018</v>
      </c>
      <c r="M812" s="367"/>
      <c r="N812" s="367"/>
      <c r="O812" s="33"/>
      <c r="P812" s="369"/>
      <c r="Q812" s="369">
        <v>0</v>
      </c>
      <c r="R812" s="369" t="s">
        <v>153</v>
      </c>
      <c r="S812" s="33"/>
      <c r="T812" s="380"/>
      <c r="U812" s="381"/>
      <c r="V812" s="369"/>
      <c r="W812" s="629" t="s">
        <v>3019</v>
      </c>
      <c r="X812" s="629" t="s">
        <v>3019</v>
      </c>
      <c r="Y812" s="369">
        <v>0</v>
      </c>
      <c r="Z812" s="369">
        <v>0</v>
      </c>
      <c r="AA812" s="369"/>
      <c r="AB812" s="369"/>
      <c r="AC812" s="33"/>
      <c r="AD812" s="33"/>
      <c r="AE812" s="33">
        <v>0</v>
      </c>
      <c r="AF812" s="33"/>
      <c r="AG812" s="33"/>
      <c r="AH812" s="33"/>
      <c r="AI812" s="33"/>
      <c r="AJ812" s="33"/>
      <c r="AK812" s="396"/>
      <c r="AL812" s="396"/>
      <c r="AM812" s="396"/>
      <c r="AN812" s="397"/>
      <c r="AO812" s="397"/>
      <c r="AP812" s="397"/>
      <c r="AQ812" s="33" t="s">
        <v>3020</v>
      </c>
      <c r="AR812" s="404"/>
    </row>
    <row r="813" spans="1:44">
      <c r="A813" s="33">
        <v>3011206</v>
      </c>
      <c r="B813" s="33" t="s">
        <v>2999</v>
      </c>
      <c r="C813" s="33" t="s">
        <v>3021</v>
      </c>
      <c r="D813" s="33" t="s">
        <v>2601</v>
      </c>
      <c r="E813" s="33"/>
      <c r="F813" s="36">
        <v>5</v>
      </c>
      <c r="G813" s="47">
        <v>8</v>
      </c>
      <c r="H813" s="33" t="s">
        <v>136</v>
      </c>
      <c r="I813" s="33" t="s">
        <v>137</v>
      </c>
      <c r="J813" s="33"/>
      <c r="K813" s="33"/>
      <c r="L813" s="366" t="s">
        <v>3022</v>
      </c>
      <c r="M813" s="367"/>
      <c r="N813" s="367"/>
      <c r="O813" s="33"/>
      <c r="P813" s="369"/>
      <c r="Q813" s="369">
        <v>0</v>
      </c>
      <c r="R813" s="369" t="s">
        <v>153</v>
      </c>
      <c r="S813" s="33"/>
      <c r="T813" s="380"/>
      <c r="U813" s="381"/>
      <c r="V813" s="369"/>
      <c r="W813" s="630" t="s">
        <v>3023</v>
      </c>
      <c r="X813" s="630" t="s">
        <v>3023</v>
      </c>
      <c r="Y813" s="369">
        <v>0</v>
      </c>
      <c r="Z813" s="369">
        <v>0</v>
      </c>
      <c r="AA813" s="369"/>
      <c r="AB813" s="369"/>
      <c r="AC813" s="33"/>
      <c r="AD813" s="33"/>
      <c r="AE813" s="33">
        <v>0</v>
      </c>
      <c r="AF813" s="33"/>
      <c r="AG813" s="33"/>
      <c r="AH813" s="33"/>
      <c r="AI813" s="33"/>
      <c r="AJ813" s="33"/>
      <c r="AK813" s="396"/>
      <c r="AL813" s="396"/>
      <c r="AM813" s="396"/>
      <c r="AN813" s="397"/>
      <c r="AO813" s="33"/>
      <c r="AP813" s="33"/>
      <c r="AQ813" s="33" t="s">
        <v>3024</v>
      </c>
      <c r="AR813" s="404"/>
    </row>
    <row r="814" spans="1:44">
      <c r="A814" s="33">
        <v>3011207</v>
      </c>
      <c r="B814" s="33" t="s">
        <v>2999</v>
      </c>
      <c r="C814" s="33" t="s">
        <v>3025</v>
      </c>
      <c r="D814" s="33" t="s">
        <v>2601</v>
      </c>
      <c r="E814" s="33"/>
      <c r="F814" s="36">
        <v>6</v>
      </c>
      <c r="G814" s="48">
        <v>8</v>
      </c>
      <c r="H814" s="33" t="s">
        <v>136</v>
      </c>
      <c r="I814" s="33" t="s">
        <v>137</v>
      </c>
      <c r="J814" s="33"/>
      <c r="K814" s="33"/>
      <c r="L814" s="533" t="s">
        <v>3026</v>
      </c>
      <c r="M814" s="367"/>
      <c r="N814" s="367"/>
      <c r="O814" s="33"/>
      <c r="P814" s="369"/>
      <c r="Q814" s="369">
        <v>0</v>
      </c>
      <c r="R814" s="369" t="s">
        <v>153</v>
      </c>
      <c r="S814" s="33"/>
      <c r="T814" s="380"/>
      <c r="U814" s="381"/>
      <c r="V814" s="369"/>
      <c r="W814" s="629" t="s">
        <v>3027</v>
      </c>
      <c r="X814" s="629" t="s">
        <v>3027</v>
      </c>
      <c r="Y814" s="369">
        <v>0</v>
      </c>
      <c r="Z814" s="369">
        <v>0</v>
      </c>
      <c r="AA814" s="369"/>
      <c r="AB814" s="369"/>
      <c r="AC814" s="33"/>
      <c r="AD814" s="33"/>
      <c r="AE814" s="33">
        <v>0</v>
      </c>
      <c r="AF814" s="33"/>
      <c r="AG814" s="33"/>
      <c r="AH814" s="33"/>
      <c r="AI814" s="33"/>
      <c r="AJ814" s="33"/>
      <c r="AK814" s="396"/>
      <c r="AL814" s="396"/>
      <c r="AM814" s="396"/>
      <c r="AN814" s="397"/>
      <c r="AO814" s="33"/>
      <c r="AP814" s="33"/>
      <c r="AQ814" s="33" t="s">
        <v>3028</v>
      </c>
      <c r="AR814" s="404"/>
    </row>
    <row r="815" spans="1:44" ht="15" customHeight="1">
      <c r="A815" s="33">
        <v>3011208</v>
      </c>
      <c r="B815" s="33" t="s">
        <v>2999</v>
      </c>
      <c r="C815" s="33" t="s">
        <v>3029</v>
      </c>
      <c r="D815" s="33" t="s">
        <v>2601</v>
      </c>
      <c r="E815" s="33"/>
      <c r="F815" s="36">
        <v>7</v>
      </c>
      <c r="G815" s="47">
        <v>8</v>
      </c>
      <c r="H815" s="33" t="s">
        <v>136</v>
      </c>
      <c r="I815" s="33" t="s">
        <v>137</v>
      </c>
      <c r="J815" s="33"/>
      <c r="K815" s="33"/>
      <c r="L815" s="533" t="s">
        <v>3030</v>
      </c>
      <c r="M815" s="367"/>
      <c r="N815" s="367"/>
      <c r="O815" s="33"/>
      <c r="P815" s="369"/>
      <c r="Q815" s="369">
        <v>0</v>
      </c>
      <c r="R815" s="369" t="s">
        <v>153</v>
      </c>
      <c r="S815" s="33"/>
      <c r="T815" s="380"/>
      <c r="U815" s="381"/>
      <c r="V815" s="369"/>
      <c r="W815" s="629" t="s">
        <v>3031</v>
      </c>
      <c r="X815" s="629" t="s">
        <v>3031</v>
      </c>
      <c r="Y815" s="369">
        <v>0</v>
      </c>
      <c r="Z815" s="369">
        <v>0</v>
      </c>
      <c r="AA815" s="369"/>
      <c r="AB815" s="369"/>
      <c r="AC815" s="33"/>
      <c r="AD815" s="33"/>
      <c r="AE815" s="33">
        <v>0</v>
      </c>
      <c r="AF815" s="33"/>
      <c r="AG815" s="33"/>
      <c r="AH815" s="33"/>
      <c r="AI815" s="33"/>
      <c r="AJ815" s="33"/>
      <c r="AK815" s="396"/>
      <c r="AL815" s="396"/>
      <c r="AM815" s="396"/>
      <c r="AN815" s="397"/>
      <c r="AO815" s="33"/>
      <c r="AP815" s="33"/>
      <c r="AQ815" s="33" t="s">
        <v>3032</v>
      </c>
      <c r="AR815" s="404"/>
    </row>
    <row r="816" spans="1:44" ht="15" customHeight="1">
      <c r="A816" s="3">
        <v>3011209</v>
      </c>
      <c r="B816" s="3" t="s">
        <v>2999</v>
      </c>
      <c r="C816" s="236" t="s">
        <v>3033</v>
      </c>
      <c r="D816" s="3" t="s">
        <v>2601</v>
      </c>
      <c r="E816" s="3"/>
      <c r="F816" s="3">
        <v>8</v>
      </c>
      <c r="G816" s="48">
        <v>8</v>
      </c>
      <c r="H816" s="3" t="s">
        <v>136</v>
      </c>
      <c r="I816" s="3" t="s">
        <v>137</v>
      </c>
      <c r="J816" s="3"/>
      <c r="K816" s="3"/>
      <c r="L816" s="236"/>
      <c r="M816" s="99"/>
      <c r="N816" s="99"/>
      <c r="O816" s="236"/>
      <c r="P816" s="22"/>
      <c r="Q816" s="22">
        <v>0</v>
      </c>
      <c r="R816" s="22" t="s">
        <v>153</v>
      </c>
      <c r="S816" s="3"/>
      <c r="T816" s="260"/>
      <c r="U816" s="261"/>
      <c r="V816" s="22"/>
      <c r="W816" s="567" t="s">
        <v>2634</v>
      </c>
      <c r="X816" s="567" t="s">
        <v>2634</v>
      </c>
      <c r="Y816" s="22"/>
      <c r="Z816" s="22"/>
      <c r="AA816" s="22"/>
      <c r="AB816" s="22" t="s">
        <v>114</v>
      </c>
      <c r="AC816" s="3"/>
      <c r="AD816" s="3"/>
      <c r="AE816" s="3">
        <v>0</v>
      </c>
      <c r="AF816" s="3">
        <v>0</v>
      </c>
      <c r="AG816" s="3">
        <v>0</v>
      </c>
      <c r="AH816" s="3"/>
      <c r="AI816" s="3">
        <v>0</v>
      </c>
      <c r="AJ816" s="3">
        <v>0</v>
      </c>
      <c r="AK816" s="3">
        <v>0</v>
      </c>
      <c r="AL816" s="3"/>
      <c r="AM816" s="3"/>
      <c r="AN816" s="3"/>
      <c r="AO816" s="3"/>
      <c r="AP816" s="3"/>
      <c r="AQ816" s="3" t="s">
        <v>3012</v>
      </c>
      <c r="AR816" s="281"/>
    </row>
    <row r="817" spans="1:44" ht="15" customHeight="1">
      <c r="A817" s="3">
        <v>3011210</v>
      </c>
      <c r="B817" s="3" t="s">
        <v>2999</v>
      </c>
      <c r="C817" s="236" t="s">
        <v>3034</v>
      </c>
      <c r="D817" s="3" t="s">
        <v>2601</v>
      </c>
      <c r="E817" s="3"/>
      <c r="F817" s="3">
        <v>9</v>
      </c>
      <c r="G817" s="47">
        <v>8</v>
      </c>
      <c r="H817" s="3" t="s">
        <v>136</v>
      </c>
      <c r="I817" s="3" t="s">
        <v>137</v>
      </c>
      <c r="J817" s="3"/>
      <c r="K817" s="3"/>
      <c r="L817" s="236"/>
      <c r="M817" s="99"/>
      <c r="N817" s="99"/>
      <c r="O817" s="236"/>
      <c r="P817" s="22"/>
      <c r="Q817" s="22">
        <v>0</v>
      </c>
      <c r="R817" s="22" t="s">
        <v>153</v>
      </c>
      <c r="S817" s="3"/>
      <c r="T817" s="260"/>
      <c r="U817" s="261"/>
      <c r="V817" s="22"/>
      <c r="W817" s="567" t="s">
        <v>2651</v>
      </c>
      <c r="X817" s="567" t="s">
        <v>2651</v>
      </c>
      <c r="Y817" s="22"/>
      <c r="Z817" s="22"/>
      <c r="AA817" s="22"/>
      <c r="AB817" s="22" t="s">
        <v>114</v>
      </c>
      <c r="AC817" s="3"/>
      <c r="AD817" s="3"/>
      <c r="AE817" s="3">
        <v>0</v>
      </c>
      <c r="AF817" s="3">
        <v>0</v>
      </c>
      <c r="AG817" s="3">
        <v>0</v>
      </c>
      <c r="AH817" s="3"/>
      <c r="AI817" s="3">
        <v>0</v>
      </c>
      <c r="AJ817" s="3">
        <v>0</v>
      </c>
      <c r="AK817" s="3">
        <v>0</v>
      </c>
      <c r="AL817" s="3"/>
      <c r="AM817" s="3"/>
      <c r="AN817" s="3"/>
      <c r="AO817" s="3"/>
      <c r="AP817" s="3"/>
      <c r="AQ817" s="282" t="str">
        <f>"tricks/"&amp;A817</f>
        <v>tricks/3011210</v>
      </c>
    </row>
    <row r="818" spans="1:44" ht="15" customHeight="1">
      <c r="A818" s="3">
        <v>3011211</v>
      </c>
      <c r="B818" s="3" t="s">
        <v>2999</v>
      </c>
      <c r="C818" s="236" t="s">
        <v>3035</v>
      </c>
      <c r="D818" s="3" t="s">
        <v>2601</v>
      </c>
      <c r="E818" s="3"/>
      <c r="F818" s="3">
        <v>10</v>
      </c>
      <c r="G818" s="48">
        <v>8</v>
      </c>
      <c r="H818" s="3" t="s">
        <v>136</v>
      </c>
      <c r="I818" s="3" t="s">
        <v>137</v>
      </c>
      <c r="J818" s="3"/>
      <c r="K818" s="3"/>
      <c r="L818" s="236"/>
      <c r="M818" s="99"/>
      <c r="N818" s="99"/>
      <c r="O818" s="236"/>
      <c r="P818" s="22"/>
      <c r="Q818" s="22">
        <v>0</v>
      </c>
      <c r="R818" s="22" t="s">
        <v>153</v>
      </c>
      <c r="S818" s="3"/>
      <c r="T818" s="260"/>
      <c r="U818" s="261"/>
      <c r="V818" s="22"/>
      <c r="W818" s="567" t="s">
        <v>3036</v>
      </c>
      <c r="X818" s="567" t="s">
        <v>3036</v>
      </c>
      <c r="Y818" s="22"/>
      <c r="Z818" s="22"/>
      <c r="AA818" s="22"/>
      <c r="AB818" s="22" t="s">
        <v>114</v>
      </c>
      <c r="AC818" s="3"/>
      <c r="AD818" s="3"/>
      <c r="AE818" s="3">
        <v>0</v>
      </c>
      <c r="AF818" s="3">
        <v>0</v>
      </c>
      <c r="AG818" s="3">
        <v>0</v>
      </c>
      <c r="AH818" s="3"/>
      <c r="AI818" s="3">
        <v>0</v>
      </c>
      <c r="AJ818" s="3">
        <v>0</v>
      </c>
      <c r="AK818" s="3">
        <v>0</v>
      </c>
      <c r="AL818" s="3"/>
      <c r="AM818" s="3"/>
      <c r="AN818" s="3"/>
      <c r="AO818" s="3"/>
      <c r="AP818" s="3"/>
      <c r="AQ818" s="282" t="str">
        <f>"tricks/"&amp;A818</f>
        <v>tricks/3011211</v>
      </c>
    </row>
    <row r="819" spans="1:44" ht="15" customHeight="1">
      <c r="A819" s="34">
        <v>3011301</v>
      </c>
      <c r="B819" s="34" t="s">
        <v>3037</v>
      </c>
      <c r="C819" s="34" t="s">
        <v>3038</v>
      </c>
      <c r="D819" s="34" t="s">
        <v>2601</v>
      </c>
      <c r="E819" s="34"/>
      <c r="F819" s="36">
        <v>1</v>
      </c>
      <c r="G819" s="47">
        <v>8</v>
      </c>
      <c r="H819" s="34" t="s">
        <v>82</v>
      </c>
      <c r="I819" s="34" t="s">
        <v>101</v>
      </c>
      <c r="J819" s="34"/>
      <c r="K819" s="34"/>
      <c r="L819" s="372" t="s">
        <v>3039</v>
      </c>
      <c r="M819" s="371"/>
      <c r="N819" s="378">
        <v>21</v>
      </c>
      <c r="O819" s="34"/>
      <c r="P819" s="130"/>
      <c r="Q819" s="130">
        <v>0</v>
      </c>
      <c r="R819" s="130" t="s">
        <v>153</v>
      </c>
      <c r="S819" s="34"/>
      <c r="T819" s="382"/>
      <c r="U819" s="383"/>
      <c r="V819" s="130"/>
      <c r="W819" s="631" t="s">
        <v>3040</v>
      </c>
      <c r="X819" s="631" t="s">
        <v>3040</v>
      </c>
      <c r="Y819" s="130">
        <v>0</v>
      </c>
      <c r="Z819" s="130">
        <v>0</v>
      </c>
      <c r="AA819" s="130"/>
      <c r="AB819" s="130"/>
      <c r="AC819" s="34"/>
      <c r="AD819" s="34"/>
      <c r="AE819" s="34">
        <v>2</v>
      </c>
      <c r="AF819" s="34"/>
      <c r="AG819" s="34">
        <v>30</v>
      </c>
      <c r="AH819" s="34"/>
      <c r="AI819" s="34"/>
      <c r="AJ819" s="34"/>
      <c r="AK819" s="131"/>
      <c r="AL819" s="131"/>
      <c r="AM819" s="131"/>
      <c r="AN819" s="43" t="s">
        <v>3041</v>
      </c>
      <c r="AO819" s="398"/>
      <c r="AP819" s="398"/>
      <c r="AQ819" s="34" t="s">
        <v>3042</v>
      </c>
      <c r="AR819" s="405"/>
    </row>
    <row r="820" spans="1:44" ht="15" customHeight="1">
      <c r="A820" s="34">
        <v>3011302</v>
      </c>
      <c r="B820" s="34" t="s">
        <v>3037</v>
      </c>
      <c r="C820" s="34" t="s">
        <v>3043</v>
      </c>
      <c r="D820" s="34" t="s">
        <v>2601</v>
      </c>
      <c r="E820" s="34"/>
      <c r="F820" s="36">
        <v>1</v>
      </c>
      <c r="G820" s="48">
        <v>8</v>
      </c>
      <c r="H820" s="34" t="s">
        <v>136</v>
      </c>
      <c r="I820" s="34" t="s">
        <v>137</v>
      </c>
      <c r="J820" s="34"/>
      <c r="K820" s="34"/>
      <c r="L820" s="372" t="s">
        <v>3044</v>
      </c>
      <c r="M820" s="371"/>
      <c r="N820" s="371"/>
      <c r="O820" s="34"/>
      <c r="P820" s="130"/>
      <c r="Q820" s="130">
        <v>0</v>
      </c>
      <c r="R820" s="130" t="s">
        <v>153</v>
      </c>
      <c r="S820" s="34"/>
      <c r="T820" s="382"/>
      <c r="U820" s="383"/>
      <c r="V820" s="130"/>
      <c r="W820" s="631" t="s">
        <v>3045</v>
      </c>
      <c r="X820" s="631" t="s">
        <v>3045</v>
      </c>
      <c r="Y820" s="130">
        <v>0</v>
      </c>
      <c r="Z820" s="130">
        <v>0</v>
      </c>
      <c r="AA820" s="130"/>
      <c r="AB820" s="130"/>
      <c r="AC820" s="34"/>
      <c r="AD820" s="34"/>
      <c r="AE820" s="34">
        <v>0</v>
      </c>
      <c r="AF820" s="34"/>
      <c r="AG820" s="34"/>
      <c r="AH820" s="34"/>
      <c r="AI820" s="34"/>
      <c r="AJ820" s="34"/>
      <c r="AK820" s="34"/>
      <c r="AL820" s="34"/>
      <c r="AM820" s="34"/>
      <c r="AN820" s="398"/>
      <c r="AO820" s="398"/>
      <c r="AP820" s="398"/>
      <c r="AQ820" s="34" t="s">
        <v>3046</v>
      </c>
      <c r="AR820" s="405"/>
    </row>
    <row r="821" spans="1:44">
      <c r="A821" s="34">
        <v>3011303</v>
      </c>
      <c r="B821" s="34" t="s">
        <v>3037</v>
      </c>
      <c r="C821" s="34" t="s">
        <v>3047</v>
      </c>
      <c r="D821" s="34" t="s">
        <v>2601</v>
      </c>
      <c r="E821" s="34"/>
      <c r="F821" s="36">
        <v>2</v>
      </c>
      <c r="G821" s="47">
        <v>8</v>
      </c>
      <c r="H821" s="34" t="s">
        <v>136</v>
      </c>
      <c r="I821" s="34" t="s">
        <v>137</v>
      </c>
      <c r="J821" s="34"/>
      <c r="K821" s="34"/>
      <c r="L821" s="372" t="s">
        <v>3048</v>
      </c>
      <c r="M821" s="371"/>
      <c r="N821" s="371"/>
      <c r="O821" s="34"/>
      <c r="P821" s="130"/>
      <c r="Q821" s="130">
        <v>0</v>
      </c>
      <c r="R821" s="130" t="s">
        <v>153</v>
      </c>
      <c r="S821" s="34"/>
      <c r="T821" s="382"/>
      <c r="U821" s="383"/>
      <c r="V821" s="130"/>
      <c r="W821" s="631" t="s">
        <v>3049</v>
      </c>
      <c r="X821" s="631" t="s">
        <v>3049</v>
      </c>
      <c r="Y821" s="130">
        <v>0</v>
      </c>
      <c r="Z821" s="130">
        <v>0</v>
      </c>
      <c r="AA821" s="130"/>
      <c r="AB821" s="130"/>
      <c r="AC821" s="34"/>
      <c r="AD821" s="34"/>
      <c r="AE821" s="34">
        <v>0</v>
      </c>
      <c r="AF821" s="34"/>
      <c r="AG821" s="34"/>
      <c r="AH821" s="34"/>
      <c r="AI821" s="34"/>
      <c r="AJ821" s="34"/>
      <c r="AK821" s="34"/>
      <c r="AL821" s="34"/>
      <c r="AM821" s="34"/>
      <c r="AN821" s="398"/>
      <c r="AO821" s="398"/>
      <c r="AP821" s="398"/>
      <c r="AQ821" s="34" t="s">
        <v>3050</v>
      </c>
      <c r="AR821" s="405"/>
    </row>
    <row r="822" spans="1:44" ht="15" customHeight="1">
      <c r="A822" s="34">
        <v>3011304</v>
      </c>
      <c r="B822" s="34" t="s">
        <v>3037</v>
      </c>
      <c r="C822" s="34" t="s">
        <v>3051</v>
      </c>
      <c r="D822" s="34" t="s">
        <v>2601</v>
      </c>
      <c r="E822" s="34"/>
      <c r="F822" s="36">
        <v>3</v>
      </c>
      <c r="G822" s="48">
        <v>8</v>
      </c>
      <c r="H822" s="34" t="s">
        <v>136</v>
      </c>
      <c r="I822" s="34" t="s">
        <v>137</v>
      </c>
      <c r="J822" s="34"/>
      <c r="K822" s="34"/>
      <c r="L822" s="372" t="s">
        <v>3052</v>
      </c>
      <c r="M822" s="371"/>
      <c r="N822" s="371"/>
      <c r="O822" s="34"/>
      <c r="P822" s="130"/>
      <c r="Q822" s="130">
        <v>0</v>
      </c>
      <c r="R822" s="130" t="s">
        <v>153</v>
      </c>
      <c r="S822" s="34"/>
      <c r="T822" s="382"/>
      <c r="U822" s="383"/>
      <c r="V822" s="130"/>
      <c r="W822" s="631" t="s">
        <v>3053</v>
      </c>
      <c r="X822" s="631" t="s">
        <v>3053</v>
      </c>
      <c r="Y822" s="130">
        <v>0</v>
      </c>
      <c r="Z822" s="130">
        <v>0</v>
      </c>
      <c r="AA822" s="130"/>
      <c r="AB822" s="130"/>
      <c r="AC822" s="34"/>
      <c r="AD822" s="34"/>
      <c r="AE822" s="34">
        <v>0</v>
      </c>
      <c r="AF822" s="34"/>
      <c r="AG822" s="34"/>
      <c r="AH822" s="34"/>
      <c r="AI822" s="34"/>
      <c r="AJ822" s="34"/>
      <c r="AK822" s="34"/>
      <c r="AL822" s="34"/>
      <c r="AM822" s="34"/>
      <c r="AN822" s="398"/>
      <c r="AO822" s="398"/>
      <c r="AP822" s="398"/>
      <c r="AQ822" s="34" t="s">
        <v>3054</v>
      </c>
      <c r="AR822" s="405"/>
    </row>
    <row r="823" spans="1:44">
      <c r="A823" s="34">
        <v>3011305</v>
      </c>
      <c r="B823" s="34" t="s">
        <v>3037</v>
      </c>
      <c r="C823" s="34" t="s">
        <v>3055</v>
      </c>
      <c r="D823" s="34" t="s">
        <v>2601</v>
      </c>
      <c r="E823" s="34"/>
      <c r="F823" s="36">
        <v>4</v>
      </c>
      <c r="G823" s="47">
        <v>8</v>
      </c>
      <c r="H823" s="34" t="s">
        <v>136</v>
      </c>
      <c r="I823" s="34" t="s">
        <v>137</v>
      </c>
      <c r="J823" s="34"/>
      <c r="K823" s="34"/>
      <c r="L823" s="372" t="s">
        <v>2696</v>
      </c>
      <c r="M823" s="371"/>
      <c r="N823" s="371"/>
      <c r="O823" s="34"/>
      <c r="P823" s="130"/>
      <c r="Q823" s="130">
        <v>0</v>
      </c>
      <c r="R823" s="130" t="s">
        <v>153</v>
      </c>
      <c r="S823" s="34"/>
      <c r="T823" s="382"/>
      <c r="U823" s="383"/>
      <c r="V823" s="130"/>
      <c r="W823" s="631" t="s">
        <v>3056</v>
      </c>
      <c r="X823" s="631" t="s">
        <v>3056</v>
      </c>
      <c r="Y823" s="130">
        <v>0</v>
      </c>
      <c r="Z823" s="130">
        <v>0</v>
      </c>
      <c r="AA823" s="130"/>
      <c r="AB823" s="130"/>
      <c r="AC823" s="34"/>
      <c r="AD823" s="34"/>
      <c r="AE823" s="34">
        <v>0</v>
      </c>
      <c r="AF823" s="34"/>
      <c r="AG823" s="34"/>
      <c r="AH823" s="34"/>
      <c r="AI823" s="34"/>
      <c r="AJ823" s="34"/>
      <c r="AK823" s="34"/>
      <c r="AL823" s="34"/>
      <c r="AM823" s="34"/>
      <c r="AN823" s="398"/>
      <c r="AO823" s="398"/>
      <c r="AP823" s="398"/>
      <c r="AQ823" s="34" t="s">
        <v>3057</v>
      </c>
      <c r="AR823" s="405"/>
    </row>
    <row r="824" spans="1:44">
      <c r="A824" s="34">
        <v>3011306</v>
      </c>
      <c r="B824" s="34" t="s">
        <v>3037</v>
      </c>
      <c r="C824" s="34" t="s">
        <v>3058</v>
      </c>
      <c r="D824" s="34" t="s">
        <v>2601</v>
      </c>
      <c r="E824" s="34"/>
      <c r="F824" s="36">
        <v>5</v>
      </c>
      <c r="G824" s="48">
        <v>8</v>
      </c>
      <c r="H824" s="34" t="s">
        <v>136</v>
      </c>
      <c r="I824" s="34" t="s">
        <v>137</v>
      </c>
      <c r="J824" s="34"/>
      <c r="K824" s="34"/>
      <c r="L824" s="372" t="s">
        <v>3059</v>
      </c>
      <c r="M824" s="371"/>
      <c r="N824" s="371"/>
      <c r="O824" s="34"/>
      <c r="P824" s="130"/>
      <c r="Q824" s="130">
        <v>0</v>
      </c>
      <c r="R824" s="130" t="s">
        <v>153</v>
      </c>
      <c r="S824" s="34"/>
      <c r="T824" s="382"/>
      <c r="U824" s="383"/>
      <c r="V824" s="130"/>
      <c r="W824" s="631" t="s">
        <v>3060</v>
      </c>
      <c r="X824" s="631" t="s">
        <v>3060</v>
      </c>
      <c r="Y824" s="130">
        <v>0</v>
      </c>
      <c r="Z824" s="130">
        <v>0</v>
      </c>
      <c r="AA824" s="130"/>
      <c r="AB824" s="130"/>
      <c r="AC824" s="34"/>
      <c r="AD824" s="34"/>
      <c r="AE824" s="34">
        <v>0</v>
      </c>
      <c r="AF824" s="34"/>
      <c r="AG824" s="34"/>
      <c r="AH824" s="34"/>
      <c r="AI824" s="34"/>
      <c r="AJ824" s="34"/>
      <c r="AK824" s="131"/>
      <c r="AL824" s="131"/>
      <c r="AM824" s="131"/>
      <c r="AN824" s="398"/>
      <c r="AO824" s="398"/>
      <c r="AP824" s="398"/>
      <c r="AQ824" s="34" t="s">
        <v>3061</v>
      </c>
      <c r="AR824" s="405"/>
    </row>
    <row r="825" spans="1:44">
      <c r="A825" s="34">
        <v>3011307</v>
      </c>
      <c r="B825" s="34" t="s">
        <v>3037</v>
      </c>
      <c r="C825" s="34" t="s">
        <v>3062</v>
      </c>
      <c r="D825" s="34" t="s">
        <v>2601</v>
      </c>
      <c r="E825" s="34"/>
      <c r="F825" s="36">
        <v>6</v>
      </c>
      <c r="G825" s="47">
        <v>8</v>
      </c>
      <c r="H825" s="34" t="s">
        <v>136</v>
      </c>
      <c r="I825" s="34" t="s">
        <v>137</v>
      </c>
      <c r="J825" s="34"/>
      <c r="K825" s="34"/>
      <c r="L825" s="372" t="s">
        <v>3063</v>
      </c>
      <c r="M825" s="371"/>
      <c r="N825" s="371"/>
      <c r="O825" s="34"/>
      <c r="P825" s="130"/>
      <c r="Q825" s="130">
        <v>0</v>
      </c>
      <c r="R825" s="130" t="s">
        <v>153</v>
      </c>
      <c r="S825" s="34"/>
      <c r="T825" s="382"/>
      <c r="U825" s="383"/>
      <c r="V825" s="130"/>
      <c r="W825" s="631" t="s">
        <v>3053</v>
      </c>
      <c r="X825" s="631" t="s">
        <v>3053</v>
      </c>
      <c r="Y825" s="130">
        <v>0</v>
      </c>
      <c r="Z825" s="130">
        <v>0</v>
      </c>
      <c r="AA825" s="130"/>
      <c r="AB825" s="130"/>
      <c r="AC825" s="34"/>
      <c r="AD825" s="34"/>
      <c r="AE825" s="34">
        <v>0</v>
      </c>
      <c r="AF825" s="34"/>
      <c r="AG825" s="34"/>
      <c r="AH825" s="34"/>
      <c r="AI825" s="34"/>
      <c r="AJ825" s="34"/>
      <c r="AK825" s="34"/>
      <c r="AL825" s="34"/>
      <c r="AM825" s="34"/>
      <c r="AN825" s="398"/>
      <c r="AO825" s="398"/>
      <c r="AP825" s="398"/>
      <c r="AQ825" s="34" t="s">
        <v>3064</v>
      </c>
      <c r="AR825" s="405"/>
    </row>
    <row r="826" spans="1:44">
      <c r="A826" s="34">
        <v>3011308</v>
      </c>
      <c r="B826" s="34" t="s">
        <v>3037</v>
      </c>
      <c r="C826" s="34" t="s">
        <v>3065</v>
      </c>
      <c r="D826" s="34" t="s">
        <v>2601</v>
      </c>
      <c r="E826" s="34"/>
      <c r="F826" s="36">
        <v>7</v>
      </c>
      <c r="G826" s="48">
        <v>8</v>
      </c>
      <c r="H826" s="34" t="s">
        <v>136</v>
      </c>
      <c r="I826" s="34" t="s">
        <v>137</v>
      </c>
      <c r="J826" s="34"/>
      <c r="K826" s="34"/>
      <c r="L826" s="372" t="s">
        <v>3066</v>
      </c>
      <c r="M826" s="371"/>
      <c r="N826" s="371"/>
      <c r="O826" s="34"/>
      <c r="P826" s="130"/>
      <c r="Q826" s="130">
        <v>0</v>
      </c>
      <c r="R826" s="130" t="s">
        <v>153</v>
      </c>
      <c r="S826" s="34"/>
      <c r="T826" s="382"/>
      <c r="U826" s="383"/>
      <c r="V826" s="130"/>
      <c r="W826" s="631" t="s">
        <v>3067</v>
      </c>
      <c r="X826" s="631" t="s">
        <v>3067</v>
      </c>
      <c r="Y826" s="130">
        <v>0</v>
      </c>
      <c r="Z826" s="130">
        <v>0</v>
      </c>
      <c r="AA826" s="130"/>
      <c r="AB826" s="130"/>
      <c r="AC826" s="34"/>
      <c r="AD826" s="34"/>
      <c r="AE826" s="34">
        <v>0</v>
      </c>
      <c r="AF826" s="34"/>
      <c r="AG826" s="34"/>
      <c r="AH826" s="34"/>
      <c r="AI826" s="34"/>
      <c r="AJ826" s="34"/>
      <c r="AK826" s="131"/>
      <c r="AL826" s="131"/>
      <c r="AM826" s="131"/>
      <c r="AN826" s="398"/>
      <c r="AO826" s="398"/>
      <c r="AP826" s="398"/>
      <c r="AQ826" s="34" t="s">
        <v>3068</v>
      </c>
      <c r="AR826" s="405"/>
    </row>
    <row r="827" spans="1:44">
      <c r="A827" s="3">
        <v>3011309</v>
      </c>
      <c r="B827" s="3" t="s">
        <v>3037</v>
      </c>
      <c r="C827" s="236" t="s">
        <v>3069</v>
      </c>
      <c r="D827" s="3" t="s">
        <v>2601</v>
      </c>
      <c r="E827" s="3"/>
      <c r="F827" s="3">
        <v>8</v>
      </c>
      <c r="G827" s="47">
        <v>8</v>
      </c>
      <c r="H827" s="3" t="s">
        <v>136</v>
      </c>
      <c r="I827" s="3" t="s">
        <v>137</v>
      </c>
      <c r="J827" s="3"/>
      <c r="K827" s="3"/>
      <c r="L827" s="236"/>
      <c r="M827" s="99"/>
      <c r="N827" s="99"/>
      <c r="O827" s="236"/>
      <c r="P827" s="22"/>
      <c r="Q827" s="22">
        <v>0</v>
      </c>
      <c r="R827" s="22" t="s">
        <v>153</v>
      </c>
      <c r="S827" s="3"/>
      <c r="T827" s="260"/>
      <c r="U827" s="261"/>
      <c r="V827" s="22"/>
      <c r="W827" s="567" t="s">
        <v>2634</v>
      </c>
      <c r="X827" s="567" t="s">
        <v>2634</v>
      </c>
      <c r="Y827" s="22"/>
      <c r="Z827" s="22"/>
      <c r="AA827" s="22"/>
      <c r="AB827" s="22" t="s">
        <v>114</v>
      </c>
      <c r="AC827" s="3"/>
      <c r="AD827" s="3"/>
      <c r="AE827" s="3">
        <v>0</v>
      </c>
      <c r="AF827" s="3">
        <v>0</v>
      </c>
      <c r="AG827" s="3">
        <v>0</v>
      </c>
      <c r="AH827" s="3"/>
      <c r="AI827" s="3">
        <v>0</v>
      </c>
      <c r="AJ827" s="3">
        <v>0</v>
      </c>
      <c r="AK827" s="3">
        <v>0</v>
      </c>
      <c r="AL827" s="3"/>
      <c r="AM827" s="3"/>
      <c r="AN827" s="3"/>
      <c r="AO827" s="3"/>
      <c r="AP827" s="3"/>
      <c r="AQ827" s="3" t="s">
        <v>3050</v>
      </c>
      <c r="AR827" s="281"/>
    </row>
    <row r="828" spans="1:44">
      <c r="A828" s="3">
        <v>3011310</v>
      </c>
      <c r="B828" s="3" t="s">
        <v>3037</v>
      </c>
      <c r="C828" s="236" t="s">
        <v>3070</v>
      </c>
      <c r="D828" s="3" t="s">
        <v>2601</v>
      </c>
      <c r="E828" s="3"/>
      <c r="F828" s="3">
        <v>9</v>
      </c>
      <c r="G828" s="48">
        <v>8</v>
      </c>
      <c r="H828" s="3" t="s">
        <v>136</v>
      </c>
      <c r="I828" s="3" t="s">
        <v>137</v>
      </c>
      <c r="J828" s="3"/>
      <c r="K828" s="3"/>
      <c r="L828" s="236"/>
      <c r="M828" s="99"/>
      <c r="N828" s="99"/>
      <c r="O828" s="236"/>
      <c r="P828" s="22"/>
      <c r="Q828" s="22">
        <v>0</v>
      </c>
      <c r="R828" s="22" t="s">
        <v>153</v>
      </c>
      <c r="S828" s="3"/>
      <c r="T828" s="260"/>
      <c r="U828" s="261"/>
      <c r="V828" s="22"/>
      <c r="W828" s="567" t="s">
        <v>3071</v>
      </c>
      <c r="X828" s="567" t="s">
        <v>3071</v>
      </c>
      <c r="Y828" s="22"/>
      <c r="Z828" s="22"/>
      <c r="AA828" s="22"/>
      <c r="AB828" s="22" t="s">
        <v>114</v>
      </c>
      <c r="AC828" s="3"/>
      <c r="AD828" s="3"/>
      <c r="AE828" s="3">
        <v>0</v>
      </c>
      <c r="AF828" s="3">
        <v>0</v>
      </c>
      <c r="AG828" s="3">
        <v>0</v>
      </c>
      <c r="AH828" s="3"/>
      <c r="AI828" s="3">
        <v>0</v>
      </c>
      <c r="AJ828" s="3">
        <v>0</v>
      </c>
      <c r="AK828" s="3">
        <v>0</v>
      </c>
      <c r="AL828" s="3"/>
      <c r="AM828" s="3"/>
      <c r="AN828" s="3"/>
      <c r="AO828" s="3"/>
      <c r="AP828" s="3"/>
      <c r="AQ828" s="282" t="str">
        <f>"tricks/"&amp;A828</f>
        <v>tricks/3011310</v>
      </c>
    </row>
    <row r="829" spans="1:44">
      <c r="A829" s="3">
        <v>3011311</v>
      </c>
      <c r="B829" s="3" t="s">
        <v>3037</v>
      </c>
      <c r="C829" s="236" t="s">
        <v>3072</v>
      </c>
      <c r="D829" s="3" t="s">
        <v>2601</v>
      </c>
      <c r="E829" s="3"/>
      <c r="F829" s="3">
        <v>10</v>
      </c>
      <c r="G829" s="47">
        <v>8</v>
      </c>
      <c r="H829" s="3" t="s">
        <v>136</v>
      </c>
      <c r="I829" s="3" t="s">
        <v>137</v>
      </c>
      <c r="J829" s="3"/>
      <c r="K829" s="3"/>
      <c r="L829" s="236"/>
      <c r="M829" s="99"/>
      <c r="N829" s="99"/>
      <c r="O829" s="236"/>
      <c r="P829" s="22"/>
      <c r="Q829" s="22">
        <v>0</v>
      </c>
      <c r="R829" s="22" t="s">
        <v>153</v>
      </c>
      <c r="S829" s="3"/>
      <c r="T829" s="260"/>
      <c r="U829" s="261"/>
      <c r="V829" s="22"/>
      <c r="W829" s="567" t="s">
        <v>3073</v>
      </c>
      <c r="X829" s="567" t="s">
        <v>3073</v>
      </c>
      <c r="Y829" s="22"/>
      <c r="Z829" s="22"/>
      <c r="AA829" s="22"/>
      <c r="AB829" s="22" t="s">
        <v>114</v>
      </c>
      <c r="AC829" s="3"/>
      <c r="AD829" s="3"/>
      <c r="AE829" s="3">
        <v>0</v>
      </c>
      <c r="AF829" s="3">
        <v>0</v>
      </c>
      <c r="AG829" s="3">
        <v>0</v>
      </c>
      <c r="AH829" s="3"/>
      <c r="AI829" s="3">
        <v>0</v>
      </c>
      <c r="AJ829" s="3">
        <v>0</v>
      </c>
      <c r="AK829" s="3">
        <v>0</v>
      </c>
      <c r="AL829" s="3"/>
      <c r="AM829" s="3"/>
      <c r="AN829" s="3"/>
      <c r="AO829" s="3"/>
      <c r="AP829" s="3"/>
      <c r="AQ829" s="282" t="str">
        <f>"tricks/"&amp;A829</f>
        <v>tricks/3011311</v>
      </c>
    </row>
    <row r="830" spans="1:44" ht="15" customHeight="1">
      <c r="A830" s="5">
        <v>3011401</v>
      </c>
      <c r="B830" s="5" t="s">
        <v>3074</v>
      </c>
      <c r="C830" s="5" t="s">
        <v>3075</v>
      </c>
      <c r="D830" s="5" t="s">
        <v>2601</v>
      </c>
      <c r="E830" s="5"/>
      <c r="F830" s="36">
        <v>1</v>
      </c>
      <c r="G830" s="48">
        <v>8</v>
      </c>
      <c r="H830" s="34" t="s">
        <v>82</v>
      </c>
      <c r="I830" s="5" t="s">
        <v>101</v>
      </c>
      <c r="J830" s="5">
        <v>1</v>
      </c>
      <c r="K830" s="5"/>
      <c r="L830" s="346" t="s">
        <v>3076</v>
      </c>
      <c r="M830" s="231"/>
      <c r="N830" s="231"/>
      <c r="O830" s="5"/>
      <c r="P830" s="232"/>
      <c r="Q830" s="232">
        <v>0</v>
      </c>
      <c r="R830" s="232" t="s">
        <v>153</v>
      </c>
      <c r="S830" s="5"/>
      <c r="T830" s="256"/>
      <c r="U830" s="257"/>
      <c r="V830" s="232"/>
      <c r="W830" s="632" t="s">
        <v>3077</v>
      </c>
      <c r="X830" s="632" t="s">
        <v>3077</v>
      </c>
      <c r="Y830" s="232">
        <v>0</v>
      </c>
      <c r="Z830" s="232">
        <v>0</v>
      </c>
      <c r="AA830" s="232"/>
      <c r="AB830" s="232"/>
      <c r="AC830" s="5"/>
      <c r="AD830" s="5"/>
      <c r="AE830" s="5">
        <v>0</v>
      </c>
      <c r="AF830" s="5"/>
      <c r="AG830" s="5"/>
      <c r="AH830" s="5"/>
      <c r="AI830" s="5"/>
      <c r="AJ830" s="5"/>
      <c r="AK830" s="270"/>
      <c r="AL830" s="270"/>
      <c r="AM830" s="270"/>
      <c r="AN830" s="43"/>
      <c r="AO830" s="5"/>
      <c r="AP830" s="5"/>
      <c r="AQ830" s="5" t="s">
        <v>3078</v>
      </c>
      <c r="AR830" s="279"/>
    </row>
    <row r="831" spans="1:44">
      <c r="A831" s="5">
        <v>3011402</v>
      </c>
      <c r="B831" s="5" t="s">
        <v>3074</v>
      </c>
      <c r="C831" s="5" t="s">
        <v>3079</v>
      </c>
      <c r="D831" s="5" t="s">
        <v>2601</v>
      </c>
      <c r="E831" s="5"/>
      <c r="F831" s="36">
        <v>1</v>
      </c>
      <c r="G831" s="47">
        <v>8</v>
      </c>
      <c r="H831" s="5" t="s">
        <v>136</v>
      </c>
      <c r="I831" s="5" t="s">
        <v>137</v>
      </c>
      <c r="J831" s="5"/>
      <c r="K831" s="5"/>
      <c r="L831" s="248" t="s">
        <v>3080</v>
      </c>
      <c r="M831" s="231"/>
      <c r="N831" s="231"/>
      <c r="O831" s="5"/>
      <c r="P831" s="232"/>
      <c r="Q831" s="232">
        <v>0</v>
      </c>
      <c r="R831" s="232" t="s">
        <v>153</v>
      </c>
      <c r="S831" s="5"/>
      <c r="T831" s="256"/>
      <c r="U831" s="257"/>
      <c r="V831" s="232"/>
      <c r="W831" s="633" t="s">
        <v>3081</v>
      </c>
      <c r="X831" s="633" t="s">
        <v>3081</v>
      </c>
      <c r="Y831" s="232">
        <v>0</v>
      </c>
      <c r="Z831" s="232">
        <v>0</v>
      </c>
      <c r="AA831" s="232"/>
      <c r="AB831" s="232"/>
      <c r="AC831" s="5"/>
      <c r="AD831" s="5"/>
      <c r="AE831" s="5">
        <v>0</v>
      </c>
      <c r="AF831" s="5"/>
      <c r="AG831" s="5"/>
      <c r="AH831" s="5"/>
      <c r="AI831" s="5"/>
      <c r="AJ831" s="5"/>
      <c r="AK831" s="270"/>
      <c r="AL831" s="270"/>
      <c r="AM831" s="270"/>
      <c r="AN831" s="271"/>
      <c r="AO831" s="271"/>
      <c r="AP831" s="271"/>
      <c r="AQ831" s="5" t="s">
        <v>3082</v>
      </c>
      <c r="AR831" s="279"/>
    </row>
    <row r="832" spans="1:44">
      <c r="A832" s="5">
        <v>3011403</v>
      </c>
      <c r="B832" s="5" t="s">
        <v>3074</v>
      </c>
      <c r="C832" s="5" t="s">
        <v>3083</v>
      </c>
      <c r="D832" s="5" t="s">
        <v>2601</v>
      </c>
      <c r="E832" s="5"/>
      <c r="F832" s="36">
        <v>2</v>
      </c>
      <c r="G832" s="48">
        <v>8</v>
      </c>
      <c r="H832" s="5" t="s">
        <v>136</v>
      </c>
      <c r="I832" s="5" t="s">
        <v>137</v>
      </c>
      <c r="J832" s="5"/>
      <c r="K832" s="5"/>
      <c r="L832" s="248" t="s">
        <v>3084</v>
      </c>
      <c r="M832" s="231"/>
      <c r="N832" s="231"/>
      <c r="O832" s="5"/>
      <c r="P832" s="232"/>
      <c r="Q832" s="232">
        <v>0</v>
      </c>
      <c r="R832" s="232" t="s">
        <v>153</v>
      </c>
      <c r="S832" s="5"/>
      <c r="T832" s="256"/>
      <c r="U832" s="257"/>
      <c r="V832" s="232"/>
      <c r="W832" s="633" t="s">
        <v>3085</v>
      </c>
      <c r="X832" s="633" t="s">
        <v>3085</v>
      </c>
      <c r="Y832" s="232">
        <v>0</v>
      </c>
      <c r="Z832" s="232">
        <v>0</v>
      </c>
      <c r="AA832" s="232"/>
      <c r="AB832" s="232"/>
      <c r="AC832" s="5"/>
      <c r="AD832" s="5"/>
      <c r="AE832" s="5">
        <v>0</v>
      </c>
      <c r="AF832" s="5"/>
      <c r="AG832" s="5"/>
      <c r="AH832" s="5"/>
      <c r="AI832" s="5"/>
      <c r="AJ832" s="5"/>
      <c r="AK832" s="270"/>
      <c r="AL832" s="270"/>
      <c r="AM832" s="270"/>
      <c r="AN832" s="271"/>
      <c r="AO832" s="271"/>
      <c r="AP832" s="271"/>
      <c r="AQ832" s="5" t="s">
        <v>3086</v>
      </c>
      <c r="AR832" s="279"/>
    </row>
    <row r="833" spans="1:44">
      <c r="A833" s="5">
        <v>3011404</v>
      </c>
      <c r="B833" s="5" t="s">
        <v>3074</v>
      </c>
      <c r="C833" s="5" t="s">
        <v>3087</v>
      </c>
      <c r="D833" s="5" t="s">
        <v>2601</v>
      </c>
      <c r="E833" s="5"/>
      <c r="F833" s="36">
        <v>3</v>
      </c>
      <c r="G833" s="47">
        <v>8</v>
      </c>
      <c r="H833" s="5" t="s">
        <v>136</v>
      </c>
      <c r="I833" s="5" t="s">
        <v>137</v>
      </c>
      <c r="J833" s="5"/>
      <c r="K833" s="5"/>
      <c r="L833" s="248" t="s">
        <v>3088</v>
      </c>
      <c r="M833" s="231"/>
      <c r="N833" s="231"/>
      <c r="O833" s="5"/>
      <c r="P833" s="232"/>
      <c r="Q833" s="232">
        <v>0</v>
      </c>
      <c r="R833" s="232" t="s">
        <v>153</v>
      </c>
      <c r="S833" s="5"/>
      <c r="T833" s="256"/>
      <c r="U833" s="257"/>
      <c r="V833" s="232"/>
      <c r="W833" s="633" t="s">
        <v>3089</v>
      </c>
      <c r="X833" s="633" t="s">
        <v>3089</v>
      </c>
      <c r="Y833" s="232">
        <v>0</v>
      </c>
      <c r="Z833" s="232">
        <v>0</v>
      </c>
      <c r="AA833" s="232"/>
      <c r="AB833" s="232"/>
      <c r="AC833" s="5"/>
      <c r="AD833" s="5"/>
      <c r="AE833" s="5">
        <v>0</v>
      </c>
      <c r="AF833" s="5"/>
      <c r="AG833" s="5"/>
      <c r="AH833" s="5"/>
      <c r="AI833" s="5"/>
      <c r="AJ833" s="5"/>
      <c r="AK833" s="270"/>
      <c r="AL833" s="270"/>
      <c r="AM833" s="270"/>
      <c r="AN833" s="271"/>
      <c r="AO833" s="271"/>
      <c r="AP833" s="271"/>
      <c r="AQ833" s="5" t="s">
        <v>3090</v>
      </c>
      <c r="AR833" s="279"/>
    </row>
    <row r="834" spans="1:44">
      <c r="A834" s="5">
        <v>3011405</v>
      </c>
      <c r="B834" s="5" t="s">
        <v>3074</v>
      </c>
      <c r="C834" s="5" t="s">
        <v>3091</v>
      </c>
      <c r="D834" s="5" t="s">
        <v>2601</v>
      </c>
      <c r="E834" s="5"/>
      <c r="F834" s="36">
        <v>4</v>
      </c>
      <c r="G834" s="48">
        <v>8</v>
      </c>
      <c r="H834" s="5" t="s">
        <v>136</v>
      </c>
      <c r="I834" s="5" t="s">
        <v>137</v>
      </c>
      <c r="J834" s="5"/>
      <c r="K834" s="5"/>
      <c r="L834" s="248" t="s">
        <v>3092</v>
      </c>
      <c r="M834" s="231"/>
      <c r="N834" s="231"/>
      <c r="O834" s="5"/>
      <c r="P834" s="232"/>
      <c r="Q834" s="232">
        <v>0</v>
      </c>
      <c r="R834" s="232" t="s">
        <v>153</v>
      </c>
      <c r="S834" s="5"/>
      <c r="T834" s="256"/>
      <c r="U834" s="257"/>
      <c r="V834" s="232"/>
      <c r="W834" s="633" t="s">
        <v>3093</v>
      </c>
      <c r="X834" s="633" t="s">
        <v>3093</v>
      </c>
      <c r="Y834" s="232">
        <v>0</v>
      </c>
      <c r="Z834" s="232">
        <v>0</v>
      </c>
      <c r="AA834" s="232"/>
      <c r="AB834" s="232"/>
      <c r="AC834" s="5"/>
      <c r="AD834" s="5"/>
      <c r="AE834" s="5">
        <v>0</v>
      </c>
      <c r="AF834" s="5"/>
      <c r="AG834" s="5"/>
      <c r="AH834" s="5"/>
      <c r="AI834" s="5"/>
      <c r="AJ834" s="5"/>
      <c r="AK834" s="270"/>
      <c r="AL834" s="270"/>
      <c r="AM834" s="270"/>
      <c r="AN834" s="271"/>
      <c r="AO834" s="271"/>
      <c r="AP834" s="271"/>
      <c r="AQ834" s="5" t="s">
        <v>3094</v>
      </c>
      <c r="AR834" s="279"/>
    </row>
    <row r="835" spans="1:44">
      <c r="A835" s="5">
        <v>3011406</v>
      </c>
      <c r="B835" s="5" t="s">
        <v>3074</v>
      </c>
      <c r="C835" s="5" t="s">
        <v>3095</v>
      </c>
      <c r="D835" s="5" t="s">
        <v>2601</v>
      </c>
      <c r="E835" s="5"/>
      <c r="F835" s="36">
        <v>5</v>
      </c>
      <c r="G835" s="47">
        <v>8</v>
      </c>
      <c r="H835" s="5" t="s">
        <v>136</v>
      </c>
      <c r="I835" s="5" t="s">
        <v>137</v>
      </c>
      <c r="J835" s="5"/>
      <c r="K835" s="5"/>
      <c r="L835" s="346" t="s">
        <v>3096</v>
      </c>
      <c r="M835" s="231"/>
      <c r="N835" s="231"/>
      <c r="O835" s="5"/>
      <c r="P835" s="232"/>
      <c r="Q835" s="232">
        <v>0</v>
      </c>
      <c r="R835" s="232" t="s">
        <v>153</v>
      </c>
      <c r="S835" s="5"/>
      <c r="T835" s="256"/>
      <c r="U835" s="257"/>
      <c r="V835" s="232"/>
      <c r="W835" s="633" t="s">
        <v>3085</v>
      </c>
      <c r="X835" s="633" t="s">
        <v>3085</v>
      </c>
      <c r="Y835" s="232">
        <v>0</v>
      </c>
      <c r="Z835" s="232">
        <v>0</v>
      </c>
      <c r="AA835" s="232"/>
      <c r="AB835" s="232"/>
      <c r="AC835" s="5"/>
      <c r="AD835" s="5"/>
      <c r="AE835" s="5">
        <v>0</v>
      </c>
      <c r="AF835" s="5"/>
      <c r="AG835" s="5"/>
      <c r="AH835" s="5"/>
      <c r="AI835" s="5"/>
      <c r="AJ835" s="5"/>
      <c r="AK835" s="270"/>
      <c r="AL835" s="270"/>
      <c r="AM835" s="270"/>
      <c r="AN835" s="271"/>
      <c r="AO835" s="271"/>
      <c r="AP835" s="271"/>
      <c r="AQ835" s="5" t="s">
        <v>3097</v>
      </c>
      <c r="AR835" s="279"/>
    </row>
    <row r="836" spans="1:44">
      <c r="A836" s="5">
        <v>3011407</v>
      </c>
      <c r="B836" s="5" t="s">
        <v>3074</v>
      </c>
      <c r="C836" s="5" t="s">
        <v>3098</v>
      </c>
      <c r="D836" s="5" t="s">
        <v>2601</v>
      </c>
      <c r="E836" s="5"/>
      <c r="F836" s="36">
        <v>6</v>
      </c>
      <c r="G836" s="48">
        <v>8</v>
      </c>
      <c r="H836" s="5" t="s">
        <v>136</v>
      </c>
      <c r="I836" s="5" t="s">
        <v>137</v>
      </c>
      <c r="J836" s="5"/>
      <c r="K836" s="5"/>
      <c r="L836" s="346" t="s">
        <v>3099</v>
      </c>
      <c r="M836" s="231"/>
      <c r="N836" s="231"/>
      <c r="O836" s="5"/>
      <c r="P836" s="232"/>
      <c r="Q836" s="232">
        <v>0</v>
      </c>
      <c r="R836" s="232" t="s">
        <v>153</v>
      </c>
      <c r="S836" s="5"/>
      <c r="T836" s="256"/>
      <c r="U836" s="257"/>
      <c r="V836" s="232"/>
      <c r="W836" s="632" t="s">
        <v>3100</v>
      </c>
      <c r="X836" s="632" t="s">
        <v>3100</v>
      </c>
      <c r="Y836" s="232">
        <v>0</v>
      </c>
      <c r="Z836" s="232">
        <v>0</v>
      </c>
      <c r="AA836" s="232"/>
      <c r="AB836" s="232"/>
      <c r="AC836" s="5"/>
      <c r="AD836" s="5"/>
      <c r="AE836" s="5">
        <v>0</v>
      </c>
      <c r="AF836" s="5"/>
      <c r="AG836" s="5"/>
      <c r="AH836" s="5"/>
      <c r="AI836" s="5"/>
      <c r="AJ836" s="5"/>
      <c r="AK836" s="270"/>
      <c r="AL836" s="270"/>
      <c r="AM836" s="270"/>
      <c r="AN836" s="271"/>
      <c r="AO836" s="271"/>
      <c r="AP836" s="271"/>
      <c r="AQ836" s="5" t="s">
        <v>3101</v>
      </c>
      <c r="AR836" s="279"/>
    </row>
    <row r="837" spans="1:44" ht="15" customHeight="1">
      <c r="A837" s="5">
        <v>3011408</v>
      </c>
      <c r="B837" s="5" t="s">
        <v>3074</v>
      </c>
      <c r="C837" s="591" t="s">
        <v>3102</v>
      </c>
      <c r="D837" s="5" t="s">
        <v>2601</v>
      </c>
      <c r="E837" s="5"/>
      <c r="F837" s="36">
        <v>7</v>
      </c>
      <c r="G837" s="47">
        <v>8</v>
      </c>
      <c r="H837" s="5" t="s">
        <v>136</v>
      </c>
      <c r="I837" s="5" t="s">
        <v>137</v>
      </c>
      <c r="J837" s="5"/>
      <c r="K837" s="5"/>
      <c r="L837" s="346" t="s">
        <v>3103</v>
      </c>
      <c r="M837" s="231"/>
      <c r="N837" s="231"/>
      <c r="O837" s="5"/>
      <c r="P837" s="232"/>
      <c r="Q837" s="232">
        <v>0</v>
      </c>
      <c r="R837" s="232" t="s">
        <v>153</v>
      </c>
      <c r="S837" s="5"/>
      <c r="T837" s="256"/>
      <c r="U837" s="257"/>
      <c r="V837" s="232"/>
      <c r="W837" s="632" t="s">
        <v>3104</v>
      </c>
      <c r="X837" s="632" t="s">
        <v>3104</v>
      </c>
      <c r="Y837" s="232">
        <v>0</v>
      </c>
      <c r="Z837" s="232">
        <v>0</v>
      </c>
      <c r="AA837" s="232"/>
      <c r="AB837" s="232"/>
      <c r="AC837" s="5"/>
      <c r="AD837" s="5"/>
      <c r="AE837" s="5">
        <v>0</v>
      </c>
      <c r="AF837" s="5"/>
      <c r="AG837" s="5"/>
      <c r="AH837" s="5"/>
      <c r="AI837" s="5"/>
      <c r="AJ837" s="5"/>
      <c r="AK837" s="270"/>
      <c r="AL837" s="270"/>
      <c r="AM837" s="270"/>
      <c r="AN837" s="271"/>
      <c r="AO837" s="271"/>
      <c r="AP837" s="271"/>
      <c r="AQ837" s="5" t="s">
        <v>3105</v>
      </c>
      <c r="AR837" s="279"/>
    </row>
    <row r="838" spans="1:44">
      <c r="A838" s="3">
        <v>3011409</v>
      </c>
      <c r="B838" s="3" t="s">
        <v>3074</v>
      </c>
      <c r="C838" s="236" t="s">
        <v>3106</v>
      </c>
      <c r="D838" s="3" t="s">
        <v>2601</v>
      </c>
      <c r="E838" s="3"/>
      <c r="F838" s="3">
        <v>8</v>
      </c>
      <c r="G838" s="48">
        <v>8</v>
      </c>
      <c r="H838" s="3" t="s">
        <v>136</v>
      </c>
      <c r="I838" s="3" t="s">
        <v>137</v>
      </c>
      <c r="J838" s="3"/>
      <c r="K838" s="3"/>
      <c r="L838" s="236"/>
      <c r="M838" s="99"/>
      <c r="N838" s="99"/>
      <c r="O838" s="236"/>
      <c r="P838" s="22"/>
      <c r="Q838" s="22">
        <v>0</v>
      </c>
      <c r="R838" s="22" t="s">
        <v>153</v>
      </c>
      <c r="S838" s="3"/>
      <c r="T838" s="260"/>
      <c r="U838" s="261"/>
      <c r="V838" s="22"/>
      <c r="W838" s="567" t="s">
        <v>2634</v>
      </c>
      <c r="X838" s="567" t="s">
        <v>2634</v>
      </c>
      <c r="Y838" s="22"/>
      <c r="Z838" s="22"/>
      <c r="AA838" s="22"/>
      <c r="AB838" s="22" t="s">
        <v>114</v>
      </c>
      <c r="AC838" s="3"/>
      <c r="AD838" s="3"/>
      <c r="AE838" s="3">
        <v>0</v>
      </c>
      <c r="AF838" s="3">
        <v>0</v>
      </c>
      <c r="AG838" s="3">
        <v>0</v>
      </c>
      <c r="AH838" s="3"/>
      <c r="AI838" s="3">
        <v>0</v>
      </c>
      <c r="AJ838" s="3">
        <v>0</v>
      </c>
      <c r="AK838" s="3">
        <v>0</v>
      </c>
      <c r="AL838" s="3"/>
      <c r="AM838" s="3"/>
      <c r="AN838" s="3"/>
      <c r="AO838" s="3"/>
      <c r="AP838" s="3"/>
      <c r="AQ838" s="3" t="s">
        <v>3086</v>
      </c>
      <c r="AR838" s="281"/>
    </row>
    <row r="839" spans="1:44">
      <c r="A839" s="3">
        <v>3011410</v>
      </c>
      <c r="B839" s="3" t="s">
        <v>3074</v>
      </c>
      <c r="C839" s="236" t="s">
        <v>3107</v>
      </c>
      <c r="D839" s="3" t="s">
        <v>2601</v>
      </c>
      <c r="E839" s="3"/>
      <c r="F839" s="3">
        <v>9</v>
      </c>
      <c r="G839" s="47">
        <v>8</v>
      </c>
      <c r="H839" s="3" t="s">
        <v>136</v>
      </c>
      <c r="I839" s="3" t="s">
        <v>137</v>
      </c>
      <c r="J839" s="3"/>
      <c r="K839" s="3"/>
      <c r="L839" s="236"/>
      <c r="M839" s="99"/>
      <c r="N839" s="99"/>
      <c r="O839" s="236"/>
      <c r="P839" s="22"/>
      <c r="Q839" s="22">
        <v>0</v>
      </c>
      <c r="R839" s="22" t="s">
        <v>153</v>
      </c>
      <c r="S839" s="3"/>
      <c r="T839" s="260"/>
      <c r="U839" s="261"/>
      <c r="V839" s="22"/>
      <c r="W839" s="567" t="s">
        <v>3108</v>
      </c>
      <c r="X839" s="567" t="s">
        <v>3108</v>
      </c>
      <c r="Y839" s="22"/>
      <c r="Z839" s="22"/>
      <c r="AA839" s="22"/>
      <c r="AB839" s="22" t="s">
        <v>114</v>
      </c>
      <c r="AC839" s="3"/>
      <c r="AD839" s="3"/>
      <c r="AE839" s="3">
        <v>0</v>
      </c>
      <c r="AF839" s="3">
        <v>0</v>
      </c>
      <c r="AG839" s="3">
        <v>0</v>
      </c>
      <c r="AH839" s="3"/>
      <c r="AI839" s="3">
        <v>0</v>
      </c>
      <c r="AJ839" s="3">
        <v>0</v>
      </c>
      <c r="AK839" s="3">
        <v>0</v>
      </c>
      <c r="AL839" s="3"/>
      <c r="AM839" s="3"/>
      <c r="AN839" s="3"/>
      <c r="AO839" s="3"/>
      <c r="AP839" s="3"/>
      <c r="AQ839" s="282" t="str">
        <f>"tricks/"&amp;A839</f>
        <v>tricks/3011410</v>
      </c>
    </row>
    <row r="840" spans="1:44">
      <c r="A840" s="3">
        <v>3011411</v>
      </c>
      <c r="B840" s="3" t="s">
        <v>3074</v>
      </c>
      <c r="C840" s="236" t="s">
        <v>3109</v>
      </c>
      <c r="D840" s="3" t="s">
        <v>2601</v>
      </c>
      <c r="E840" s="3"/>
      <c r="F840" s="3">
        <v>10</v>
      </c>
      <c r="G840" s="48">
        <v>8</v>
      </c>
      <c r="H840" s="3" t="s">
        <v>136</v>
      </c>
      <c r="I840" s="3" t="s">
        <v>137</v>
      </c>
      <c r="J840" s="3"/>
      <c r="K840" s="3"/>
      <c r="L840" s="236"/>
      <c r="M840" s="99"/>
      <c r="N840" s="99"/>
      <c r="O840" s="236"/>
      <c r="P840" s="22"/>
      <c r="Q840" s="22">
        <v>0</v>
      </c>
      <c r="R840" s="22" t="s">
        <v>153</v>
      </c>
      <c r="S840" s="3"/>
      <c r="T840" s="260"/>
      <c r="U840" s="261"/>
      <c r="V840" s="22"/>
      <c r="W840" s="567" t="s">
        <v>3110</v>
      </c>
      <c r="X840" s="567" t="s">
        <v>3110</v>
      </c>
      <c r="Y840" s="22"/>
      <c r="Z840" s="22"/>
      <c r="AA840" s="22"/>
      <c r="AB840" s="22" t="s">
        <v>114</v>
      </c>
      <c r="AC840" s="3"/>
      <c r="AD840" s="3"/>
      <c r="AE840" s="3">
        <v>0</v>
      </c>
      <c r="AF840" s="3">
        <v>0</v>
      </c>
      <c r="AG840" s="3">
        <v>0</v>
      </c>
      <c r="AH840" s="3"/>
      <c r="AI840" s="3">
        <v>0</v>
      </c>
      <c r="AJ840" s="3">
        <v>0</v>
      </c>
      <c r="AK840" s="3">
        <v>0</v>
      </c>
      <c r="AL840" s="3"/>
      <c r="AM840" s="3"/>
      <c r="AN840" s="3"/>
      <c r="AO840" s="3"/>
      <c r="AP840" s="3"/>
      <c r="AQ840" s="282" t="str">
        <f>"tricks/"&amp;A840</f>
        <v>tricks/3011411</v>
      </c>
    </row>
    <row r="841" spans="1:44">
      <c r="A841" s="34">
        <v>3011501</v>
      </c>
      <c r="B841" s="34" t="s">
        <v>3111</v>
      </c>
      <c r="C841" s="435" t="s">
        <v>3112</v>
      </c>
      <c r="D841" s="34" t="s">
        <v>2601</v>
      </c>
      <c r="E841" s="34"/>
      <c r="F841" s="36">
        <v>1</v>
      </c>
      <c r="G841" s="47">
        <v>8</v>
      </c>
      <c r="H841" s="34" t="s">
        <v>82</v>
      </c>
      <c r="I841" s="34" t="s">
        <v>101</v>
      </c>
      <c r="J841" s="34"/>
      <c r="K841" s="34"/>
      <c r="L841" s="372"/>
      <c r="M841" s="371"/>
      <c r="N841" s="378">
        <v>27</v>
      </c>
      <c r="O841" s="34"/>
      <c r="P841" s="130"/>
      <c r="Q841" s="130">
        <v>0</v>
      </c>
      <c r="R841" s="130" t="s">
        <v>153</v>
      </c>
      <c r="S841" s="34"/>
      <c r="T841" s="260" t="s">
        <v>3113</v>
      </c>
      <c r="U841" s="261" t="s">
        <v>3113</v>
      </c>
      <c r="V841" s="130"/>
      <c r="W841" s="631" t="s">
        <v>3114</v>
      </c>
      <c r="X841" s="631" t="s">
        <v>3114</v>
      </c>
      <c r="Y841" s="130">
        <v>0</v>
      </c>
      <c r="Z841" s="130">
        <v>0</v>
      </c>
      <c r="AA841" s="130"/>
      <c r="AB841" s="130"/>
      <c r="AC841" s="34"/>
      <c r="AD841" s="34"/>
      <c r="AE841" s="34">
        <v>2</v>
      </c>
      <c r="AF841" s="34"/>
      <c r="AG841" s="34">
        <v>30</v>
      </c>
      <c r="AH841" s="34"/>
      <c r="AI841" s="34"/>
      <c r="AJ841" s="34"/>
      <c r="AK841" s="131"/>
      <c r="AL841" s="131"/>
      <c r="AM841" s="131"/>
      <c r="AN841" s="43" t="s">
        <v>3115</v>
      </c>
      <c r="AO841" s="398" t="s">
        <v>3116</v>
      </c>
      <c r="AP841" s="398"/>
      <c r="AQ841" s="34" t="s">
        <v>3117</v>
      </c>
      <c r="AR841" s="405"/>
    </row>
    <row r="842" spans="1:44">
      <c r="A842" s="34">
        <v>3011502</v>
      </c>
      <c r="B842" s="34" t="s">
        <v>3111</v>
      </c>
      <c r="C842" s="34" t="s">
        <v>3118</v>
      </c>
      <c r="D842" s="34" t="s">
        <v>2601</v>
      </c>
      <c r="E842" s="34"/>
      <c r="F842" s="36">
        <v>1</v>
      </c>
      <c r="G842" s="48">
        <v>8</v>
      </c>
      <c r="H842" s="34" t="s">
        <v>136</v>
      </c>
      <c r="I842" s="34" t="s">
        <v>137</v>
      </c>
      <c r="J842" s="34"/>
      <c r="K842" s="34"/>
      <c r="L842" s="372"/>
      <c r="M842" s="371"/>
      <c r="N842" s="371"/>
      <c r="O842" s="34"/>
      <c r="P842" s="130"/>
      <c r="Q842" s="130">
        <v>0</v>
      </c>
      <c r="R842" s="130" t="s">
        <v>153</v>
      </c>
      <c r="S842" s="34"/>
      <c r="T842" s="382"/>
      <c r="U842" s="383"/>
      <c r="V842" s="130"/>
      <c r="W842" s="631" t="s">
        <v>3119</v>
      </c>
      <c r="X842" s="631" t="s">
        <v>3119</v>
      </c>
      <c r="Y842" s="130">
        <v>0</v>
      </c>
      <c r="Z842" s="130">
        <v>0</v>
      </c>
      <c r="AA842" s="130"/>
      <c r="AB842" s="130"/>
      <c r="AC842" s="34"/>
      <c r="AD842" s="34"/>
      <c r="AE842" s="34">
        <v>0</v>
      </c>
      <c r="AF842" s="34"/>
      <c r="AG842" s="34"/>
      <c r="AH842" s="34"/>
      <c r="AI842" s="34"/>
      <c r="AJ842" s="34"/>
      <c r="AK842" s="34"/>
      <c r="AL842" s="34"/>
      <c r="AM842" s="34"/>
      <c r="AN842" s="398"/>
      <c r="AO842" s="398"/>
      <c r="AP842" s="398"/>
      <c r="AQ842" s="34" t="s">
        <v>3120</v>
      </c>
      <c r="AR842" s="405"/>
    </row>
    <row r="843" spans="1:44">
      <c r="A843" s="34">
        <v>3011503</v>
      </c>
      <c r="B843" s="34" t="s">
        <v>3111</v>
      </c>
      <c r="C843" s="34" t="s">
        <v>3121</v>
      </c>
      <c r="D843" s="34" t="s">
        <v>2601</v>
      </c>
      <c r="E843" s="34"/>
      <c r="F843" s="36">
        <v>2</v>
      </c>
      <c r="G843" s="47">
        <v>8</v>
      </c>
      <c r="H843" s="34" t="s">
        <v>136</v>
      </c>
      <c r="I843" s="34" t="s">
        <v>137</v>
      </c>
      <c r="J843" s="34"/>
      <c r="K843" s="34"/>
      <c r="L843" s="372"/>
      <c r="M843" s="371"/>
      <c r="N843" s="371"/>
      <c r="O843" s="34"/>
      <c r="P843" s="130"/>
      <c r="Q843" s="130">
        <v>0</v>
      </c>
      <c r="R843" s="130" t="s">
        <v>153</v>
      </c>
      <c r="S843" s="34"/>
      <c r="T843" s="382"/>
      <c r="U843" s="383"/>
      <c r="V843" s="130"/>
      <c r="W843" s="631" t="s">
        <v>3122</v>
      </c>
      <c r="X843" s="631" t="s">
        <v>3122</v>
      </c>
      <c r="Y843" s="130">
        <v>0</v>
      </c>
      <c r="Z843" s="130">
        <v>0</v>
      </c>
      <c r="AA843" s="130"/>
      <c r="AB843" s="130"/>
      <c r="AC843" s="34"/>
      <c r="AD843" s="34"/>
      <c r="AE843" s="34">
        <v>0</v>
      </c>
      <c r="AF843" s="34"/>
      <c r="AG843" s="34"/>
      <c r="AH843" s="34"/>
      <c r="AI843" s="34"/>
      <c r="AJ843" s="34"/>
      <c r="AK843" s="34"/>
      <c r="AL843" s="34"/>
      <c r="AM843" s="34"/>
      <c r="AN843" s="398"/>
      <c r="AO843" s="398"/>
      <c r="AP843" s="398"/>
      <c r="AQ843" s="34" t="s">
        <v>3123</v>
      </c>
      <c r="AR843" s="405"/>
    </row>
    <row r="844" spans="1:44" ht="15" customHeight="1">
      <c r="A844" s="34">
        <v>3011504</v>
      </c>
      <c r="B844" s="34" t="s">
        <v>3111</v>
      </c>
      <c r="C844" s="34" t="s">
        <v>3124</v>
      </c>
      <c r="D844" s="34" t="s">
        <v>2601</v>
      </c>
      <c r="E844" s="34"/>
      <c r="F844" s="36">
        <v>3</v>
      </c>
      <c r="G844" s="48">
        <v>8</v>
      </c>
      <c r="H844" s="34" t="s">
        <v>136</v>
      </c>
      <c r="I844" s="34" t="s">
        <v>137</v>
      </c>
      <c r="J844" s="34"/>
      <c r="K844" s="34"/>
      <c r="L844" s="372"/>
      <c r="M844" s="371"/>
      <c r="N844" s="371"/>
      <c r="O844" s="34"/>
      <c r="P844" s="130"/>
      <c r="Q844" s="130">
        <v>0</v>
      </c>
      <c r="R844" s="130" t="s">
        <v>153</v>
      </c>
      <c r="S844" s="34"/>
      <c r="T844" s="382"/>
      <c r="U844" s="383"/>
      <c r="V844" s="130"/>
      <c r="W844" s="631" t="s">
        <v>3031</v>
      </c>
      <c r="X844" s="631" t="s">
        <v>3031</v>
      </c>
      <c r="Y844" s="130">
        <v>0</v>
      </c>
      <c r="Z844" s="130">
        <v>0</v>
      </c>
      <c r="AA844" s="130"/>
      <c r="AB844" s="130"/>
      <c r="AC844" s="34"/>
      <c r="AD844" s="34"/>
      <c r="AE844" s="34">
        <v>0</v>
      </c>
      <c r="AF844" s="34"/>
      <c r="AG844" s="34"/>
      <c r="AH844" s="34"/>
      <c r="AI844" s="34"/>
      <c r="AJ844" s="34"/>
      <c r="AK844" s="34"/>
      <c r="AL844" s="34"/>
      <c r="AM844" s="34"/>
      <c r="AN844" s="398"/>
      <c r="AO844" s="398"/>
      <c r="AP844" s="398"/>
      <c r="AQ844" s="34" t="s">
        <v>3125</v>
      </c>
      <c r="AR844" s="405"/>
    </row>
    <row r="845" spans="1:44">
      <c r="A845" s="34">
        <v>3011505</v>
      </c>
      <c r="B845" s="34" t="s">
        <v>3111</v>
      </c>
      <c r="C845" s="34" t="s">
        <v>3126</v>
      </c>
      <c r="D845" s="34" t="s">
        <v>2601</v>
      </c>
      <c r="E845" s="34"/>
      <c r="F845" s="36">
        <v>4</v>
      </c>
      <c r="G845" s="47">
        <v>8</v>
      </c>
      <c r="H845" s="34" t="s">
        <v>136</v>
      </c>
      <c r="I845" s="34" t="s">
        <v>137</v>
      </c>
      <c r="J845" s="34"/>
      <c r="K845" s="34"/>
      <c r="L845" s="372"/>
      <c r="M845" s="371"/>
      <c r="N845" s="371"/>
      <c r="O845" s="34"/>
      <c r="P845" s="130"/>
      <c r="Q845" s="130">
        <v>0</v>
      </c>
      <c r="R845" s="130" t="s">
        <v>153</v>
      </c>
      <c r="S845" s="34"/>
      <c r="T845" s="382"/>
      <c r="U845" s="383"/>
      <c r="V845" s="130"/>
      <c r="W845" s="631" t="s">
        <v>3119</v>
      </c>
      <c r="X845" s="631" t="s">
        <v>3119</v>
      </c>
      <c r="Y845" s="130">
        <v>0</v>
      </c>
      <c r="Z845" s="130">
        <v>0</v>
      </c>
      <c r="AA845" s="130"/>
      <c r="AB845" s="130"/>
      <c r="AC845" s="34"/>
      <c r="AD845" s="34"/>
      <c r="AE845" s="34">
        <v>0</v>
      </c>
      <c r="AF845" s="34"/>
      <c r="AG845" s="34"/>
      <c r="AH845" s="34"/>
      <c r="AI845" s="34"/>
      <c r="AJ845" s="34"/>
      <c r="AK845" s="34"/>
      <c r="AL845" s="34"/>
      <c r="AM845" s="34"/>
      <c r="AN845" s="398"/>
      <c r="AO845" s="398"/>
      <c r="AP845" s="398"/>
      <c r="AQ845" s="34" t="s">
        <v>3127</v>
      </c>
      <c r="AR845" s="405"/>
    </row>
    <row r="846" spans="1:44">
      <c r="A846" s="34">
        <v>3011506</v>
      </c>
      <c r="B846" s="34" t="s">
        <v>3111</v>
      </c>
      <c r="C846" s="34" t="s">
        <v>3128</v>
      </c>
      <c r="D846" s="34" t="s">
        <v>2601</v>
      </c>
      <c r="E846" s="34"/>
      <c r="F846" s="36">
        <v>5</v>
      </c>
      <c r="G846" s="48">
        <v>8</v>
      </c>
      <c r="H846" s="34" t="s">
        <v>136</v>
      </c>
      <c r="I846" s="34" t="s">
        <v>137</v>
      </c>
      <c r="J846" s="34"/>
      <c r="K846" s="34"/>
      <c r="L846" s="372"/>
      <c r="M846" s="371"/>
      <c r="N846" s="371"/>
      <c r="O846" s="34"/>
      <c r="P846" s="130"/>
      <c r="Q846" s="130">
        <v>0</v>
      </c>
      <c r="R846" s="130" t="s">
        <v>153</v>
      </c>
      <c r="S846" s="34"/>
      <c r="T846" s="382"/>
      <c r="U846" s="383"/>
      <c r="V846" s="130"/>
      <c r="W846" s="631" t="s">
        <v>3129</v>
      </c>
      <c r="X846" s="631" t="s">
        <v>3129</v>
      </c>
      <c r="Y846" s="130">
        <v>0</v>
      </c>
      <c r="Z846" s="130">
        <v>0</v>
      </c>
      <c r="AA846" s="130"/>
      <c r="AB846" s="130"/>
      <c r="AC846" s="34"/>
      <c r="AD846" s="34"/>
      <c r="AE846" s="34">
        <v>0</v>
      </c>
      <c r="AF846" s="34"/>
      <c r="AG846" s="34"/>
      <c r="AH846" s="34"/>
      <c r="AI846" s="34"/>
      <c r="AJ846" s="34"/>
      <c r="AK846" s="131"/>
      <c r="AL846" s="131"/>
      <c r="AM846" s="131"/>
      <c r="AN846" s="398"/>
      <c r="AO846" s="398"/>
      <c r="AP846" s="398"/>
      <c r="AQ846" s="34" t="s">
        <v>3130</v>
      </c>
      <c r="AR846" s="405"/>
    </row>
    <row r="847" spans="1:44">
      <c r="A847" s="34">
        <v>3011507</v>
      </c>
      <c r="B847" s="34" t="s">
        <v>3111</v>
      </c>
      <c r="C847" s="34" t="s">
        <v>3131</v>
      </c>
      <c r="D847" s="34" t="s">
        <v>2601</v>
      </c>
      <c r="E847" s="34"/>
      <c r="F847" s="36">
        <v>6</v>
      </c>
      <c r="G847" s="47">
        <v>8</v>
      </c>
      <c r="H847" s="34" t="s">
        <v>136</v>
      </c>
      <c r="I847" s="34" t="s">
        <v>137</v>
      </c>
      <c r="J847" s="34"/>
      <c r="K847" s="34"/>
      <c r="L847" s="372"/>
      <c r="M847" s="371"/>
      <c r="N847" s="371"/>
      <c r="O847" s="34"/>
      <c r="P847" s="130"/>
      <c r="Q847" s="130">
        <v>0</v>
      </c>
      <c r="R847" s="130" t="s">
        <v>153</v>
      </c>
      <c r="S847" s="34"/>
      <c r="T847" s="382"/>
      <c r="U847" s="383"/>
      <c r="V847" s="130"/>
      <c r="W847" s="631" t="s">
        <v>3007</v>
      </c>
      <c r="X847" s="631" t="s">
        <v>3007</v>
      </c>
      <c r="Y847" s="130">
        <v>0</v>
      </c>
      <c r="Z847" s="130">
        <v>0</v>
      </c>
      <c r="AA847" s="130"/>
      <c r="AB847" s="130"/>
      <c r="AC847" s="34"/>
      <c r="AD847" s="34"/>
      <c r="AE847" s="34">
        <v>0</v>
      </c>
      <c r="AF847" s="34"/>
      <c r="AG847" s="34"/>
      <c r="AH847" s="34"/>
      <c r="AI847" s="34"/>
      <c r="AJ847" s="34"/>
      <c r="AK847" s="34"/>
      <c r="AL847" s="34"/>
      <c r="AM847" s="34"/>
      <c r="AN847" s="398"/>
      <c r="AO847" s="398"/>
      <c r="AP847" s="398"/>
      <c r="AQ847" s="34" t="s">
        <v>3132</v>
      </c>
      <c r="AR847" s="405"/>
    </row>
    <row r="848" spans="1:44">
      <c r="A848" s="34">
        <v>3011508</v>
      </c>
      <c r="B848" s="34" t="s">
        <v>3111</v>
      </c>
      <c r="C848" s="34" t="s">
        <v>3133</v>
      </c>
      <c r="D848" s="34" t="s">
        <v>2601</v>
      </c>
      <c r="E848" s="34"/>
      <c r="F848" s="36">
        <v>7</v>
      </c>
      <c r="G848" s="48">
        <v>8</v>
      </c>
      <c r="H848" s="34" t="s">
        <v>136</v>
      </c>
      <c r="I848" s="34" t="s">
        <v>137</v>
      </c>
      <c r="J848" s="34"/>
      <c r="K848" s="34"/>
      <c r="L848" s="372"/>
      <c r="M848" s="371"/>
      <c r="N848" s="371"/>
      <c r="O848" s="34"/>
      <c r="P848" s="130"/>
      <c r="Q848" s="130">
        <v>0</v>
      </c>
      <c r="R848" s="130" t="s">
        <v>153</v>
      </c>
      <c r="S848" s="34"/>
      <c r="T848" s="382"/>
      <c r="U848" s="383"/>
      <c r="V848" s="130"/>
      <c r="W848" s="631" t="s">
        <v>3134</v>
      </c>
      <c r="X848" s="631" t="s">
        <v>3134</v>
      </c>
      <c r="Y848" s="130">
        <v>0</v>
      </c>
      <c r="Z848" s="130">
        <v>0</v>
      </c>
      <c r="AA848" s="130"/>
      <c r="AB848" s="130"/>
      <c r="AC848" s="34"/>
      <c r="AD848" s="34"/>
      <c r="AE848" s="34">
        <v>0</v>
      </c>
      <c r="AF848" s="34"/>
      <c r="AG848" s="34"/>
      <c r="AH848" s="34"/>
      <c r="AI848" s="34"/>
      <c r="AJ848" s="34"/>
      <c r="AK848" s="131"/>
      <c r="AL848" s="131"/>
      <c r="AM848" s="131"/>
      <c r="AN848" s="398"/>
      <c r="AO848" s="398"/>
      <c r="AP848" s="398"/>
      <c r="AQ848" s="34" t="s">
        <v>3135</v>
      </c>
      <c r="AR848" s="405"/>
    </row>
    <row r="849" spans="1:44" ht="15" customHeight="1">
      <c r="A849" s="3">
        <v>3011509</v>
      </c>
      <c r="B849" s="3" t="s">
        <v>3111</v>
      </c>
      <c r="C849" s="236" t="s">
        <v>3136</v>
      </c>
      <c r="D849" s="3" t="s">
        <v>2601</v>
      </c>
      <c r="E849" s="3"/>
      <c r="F849" s="3">
        <v>8</v>
      </c>
      <c r="G849" s="47">
        <v>8</v>
      </c>
      <c r="H849" s="3" t="s">
        <v>136</v>
      </c>
      <c r="I849" s="3" t="s">
        <v>137</v>
      </c>
      <c r="J849" s="3"/>
      <c r="K849" s="3"/>
      <c r="L849" s="236"/>
      <c r="M849" s="99"/>
      <c r="N849" s="99"/>
      <c r="O849" s="236"/>
      <c r="P849" s="22"/>
      <c r="Q849" s="22">
        <v>0</v>
      </c>
      <c r="R849" s="22" t="s">
        <v>153</v>
      </c>
      <c r="S849" s="3"/>
      <c r="T849" s="260"/>
      <c r="U849" s="261"/>
      <c r="V849" s="22"/>
      <c r="W849" s="567" t="s">
        <v>2634</v>
      </c>
      <c r="X849" s="567" t="s">
        <v>2634</v>
      </c>
      <c r="Y849" s="22"/>
      <c r="Z849" s="22"/>
      <c r="AA849" s="22"/>
      <c r="AB849" s="22" t="s">
        <v>114</v>
      </c>
      <c r="AC849" s="3"/>
      <c r="AD849" s="3"/>
      <c r="AE849" s="3">
        <v>0</v>
      </c>
      <c r="AF849" s="3">
        <v>0</v>
      </c>
      <c r="AG849" s="3">
        <v>0</v>
      </c>
      <c r="AH849" s="3"/>
      <c r="AI849" s="3">
        <v>0</v>
      </c>
      <c r="AJ849" s="3">
        <v>0</v>
      </c>
      <c r="AK849" s="3">
        <v>0</v>
      </c>
      <c r="AL849" s="3"/>
      <c r="AM849" s="3"/>
      <c r="AN849" s="3"/>
      <c r="AO849" s="3"/>
      <c r="AP849" s="3"/>
      <c r="AQ849" s="3" t="s">
        <v>3123</v>
      </c>
      <c r="AR849" s="281"/>
    </row>
    <row r="850" spans="1:44" ht="15" customHeight="1">
      <c r="A850" s="3">
        <v>3011510</v>
      </c>
      <c r="B850" s="3" t="s">
        <v>3111</v>
      </c>
      <c r="C850" s="236" t="s">
        <v>3137</v>
      </c>
      <c r="D850" s="3" t="s">
        <v>2601</v>
      </c>
      <c r="E850" s="3"/>
      <c r="F850" s="3">
        <v>9</v>
      </c>
      <c r="G850" s="48">
        <v>8</v>
      </c>
      <c r="H850" s="3" t="s">
        <v>136</v>
      </c>
      <c r="I850" s="3" t="s">
        <v>137</v>
      </c>
      <c r="J850" s="3"/>
      <c r="K850" s="3"/>
      <c r="L850" s="236"/>
      <c r="M850" s="99"/>
      <c r="N850" s="99"/>
      <c r="O850" s="236"/>
      <c r="P850" s="22"/>
      <c r="Q850" s="22">
        <v>0</v>
      </c>
      <c r="R850" s="22" t="s">
        <v>153</v>
      </c>
      <c r="S850" s="3"/>
      <c r="T850" s="260"/>
      <c r="U850" s="261"/>
      <c r="V850" s="22"/>
      <c r="W850" s="567" t="s">
        <v>3138</v>
      </c>
      <c r="X850" s="567" t="s">
        <v>3138</v>
      </c>
      <c r="Y850" s="22"/>
      <c r="Z850" s="22"/>
      <c r="AA850" s="22"/>
      <c r="AB850" s="22" t="s">
        <v>114</v>
      </c>
      <c r="AC850" s="3"/>
      <c r="AD850" s="3"/>
      <c r="AE850" s="3">
        <v>0</v>
      </c>
      <c r="AF850" s="3">
        <v>0</v>
      </c>
      <c r="AG850" s="3">
        <v>0</v>
      </c>
      <c r="AH850" s="3"/>
      <c r="AI850" s="3">
        <v>0</v>
      </c>
      <c r="AJ850" s="3">
        <v>0</v>
      </c>
      <c r="AK850" s="3">
        <v>0</v>
      </c>
      <c r="AL850" s="3"/>
      <c r="AM850" s="3"/>
      <c r="AN850" s="3"/>
      <c r="AO850" s="3"/>
      <c r="AP850" s="3"/>
      <c r="AQ850" s="282" t="str">
        <f>"tricks/"&amp;A850</f>
        <v>tricks/3011510</v>
      </c>
    </row>
    <row r="851" spans="1:44" ht="15" customHeight="1">
      <c r="A851" s="3">
        <v>3011511</v>
      </c>
      <c r="B851" s="3" t="s">
        <v>3111</v>
      </c>
      <c r="C851" s="236" t="s">
        <v>3139</v>
      </c>
      <c r="D851" s="3" t="s">
        <v>2601</v>
      </c>
      <c r="E851" s="3"/>
      <c r="F851" s="3">
        <v>10</v>
      </c>
      <c r="G851" s="47">
        <v>8</v>
      </c>
      <c r="H851" s="3" t="s">
        <v>136</v>
      </c>
      <c r="I851" s="3" t="s">
        <v>137</v>
      </c>
      <c r="J851" s="3"/>
      <c r="K851" s="3"/>
      <c r="L851" s="236"/>
      <c r="M851" s="99"/>
      <c r="N851" s="99"/>
      <c r="O851" s="236"/>
      <c r="P851" s="22"/>
      <c r="Q851" s="22">
        <v>0</v>
      </c>
      <c r="R851" s="22" t="s">
        <v>153</v>
      </c>
      <c r="S851" s="3"/>
      <c r="T851" s="260"/>
      <c r="U851" s="261"/>
      <c r="V851" s="22"/>
      <c r="W851" s="567" t="s">
        <v>3140</v>
      </c>
      <c r="X851" s="567" t="s">
        <v>3140</v>
      </c>
      <c r="Y851" s="22"/>
      <c r="Z851" s="22"/>
      <c r="AA851" s="22"/>
      <c r="AB851" s="22" t="s">
        <v>114</v>
      </c>
      <c r="AC851" s="3"/>
      <c r="AD851" s="3"/>
      <c r="AE851" s="3">
        <v>0</v>
      </c>
      <c r="AF851" s="3">
        <v>0</v>
      </c>
      <c r="AG851" s="3">
        <v>0</v>
      </c>
      <c r="AH851" s="3"/>
      <c r="AI851" s="3">
        <v>0</v>
      </c>
      <c r="AJ851" s="3">
        <v>0</v>
      </c>
      <c r="AK851" s="3">
        <v>0</v>
      </c>
      <c r="AL851" s="3"/>
      <c r="AM851" s="3"/>
      <c r="AN851" s="3"/>
      <c r="AO851" s="3"/>
      <c r="AP851" s="3"/>
      <c r="AQ851" s="282" t="str">
        <f>"tricks/"&amp;A851</f>
        <v>tricks/3011511</v>
      </c>
    </row>
    <row r="852" spans="1:44" ht="15" customHeight="1">
      <c r="A852" s="41">
        <v>3011601</v>
      </c>
      <c r="B852" s="448" t="s">
        <v>3141</v>
      </c>
      <c r="C852" s="448" t="s">
        <v>3142</v>
      </c>
      <c r="D852" s="41" t="s">
        <v>2601</v>
      </c>
      <c r="E852" s="41"/>
      <c r="F852" s="36">
        <v>1</v>
      </c>
      <c r="G852" s="48">
        <v>8</v>
      </c>
      <c r="H852" s="41" t="s">
        <v>82</v>
      </c>
      <c r="I852" s="41" t="s">
        <v>101</v>
      </c>
      <c r="J852" s="41"/>
      <c r="K852" s="41"/>
      <c r="L852" s="536"/>
      <c r="M852" s="438"/>
      <c r="N852" s="438">
        <v>28</v>
      </c>
      <c r="O852" s="41"/>
      <c r="P852" s="137"/>
      <c r="Q852" s="137">
        <v>0</v>
      </c>
      <c r="R852" s="137" t="s">
        <v>153</v>
      </c>
      <c r="S852" s="41"/>
      <c r="T852" s="444"/>
      <c r="U852" s="445"/>
      <c r="V852" s="137"/>
      <c r="W852" s="635" t="s">
        <v>3143</v>
      </c>
      <c r="X852" s="635" t="s">
        <v>3143</v>
      </c>
      <c r="Y852" s="137">
        <v>0</v>
      </c>
      <c r="Z852" s="137">
        <v>0</v>
      </c>
      <c r="AA852" s="137"/>
      <c r="AB852" s="137"/>
      <c r="AC852" s="41"/>
      <c r="AD852" s="41"/>
      <c r="AE852" s="41">
        <v>2</v>
      </c>
      <c r="AF852" s="41"/>
      <c r="AG852" s="41">
        <v>30</v>
      </c>
      <c r="AH852" s="41"/>
      <c r="AI852" s="41"/>
      <c r="AJ852" s="41"/>
      <c r="AK852" s="139"/>
      <c r="AL852" s="139"/>
      <c r="AM852" s="139"/>
      <c r="AN852" s="44" t="s">
        <v>3144</v>
      </c>
      <c r="AO852" s="538"/>
      <c r="AP852" s="538"/>
      <c r="AQ852" s="41" t="s">
        <v>3145</v>
      </c>
      <c r="AR852" s="449"/>
    </row>
    <row r="853" spans="1:44" ht="15" customHeight="1">
      <c r="A853" s="41">
        <v>3011602</v>
      </c>
      <c r="B853" s="41" t="s">
        <v>3141</v>
      </c>
      <c r="C853" s="41" t="s">
        <v>3146</v>
      </c>
      <c r="D853" s="41" t="s">
        <v>2601</v>
      </c>
      <c r="E853" s="41"/>
      <c r="F853" s="36">
        <v>1</v>
      </c>
      <c r="G853" s="47">
        <v>8</v>
      </c>
      <c r="H853" s="41" t="s">
        <v>136</v>
      </c>
      <c r="I853" s="41" t="s">
        <v>137</v>
      </c>
      <c r="J853" s="41"/>
      <c r="K853" s="41"/>
      <c r="L853" s="536"/>
      <c r="M853" s="438"/>
      <c r="N853" s="438"/>
      <c r="O853" s="41"/>
      <c r="P853" s="137"/>
      <c r="Q853" s="137">
        <v>0</v>
      </c>
      <c r="R853" s="137" t="s">
        <v>153</v>
      </c>
      <c r="S853" s="41"/>
      <c r="T853" s="441"/>
      <c r="U853" s="443"/>
      <c r="V853" s="137"/>
      <c r="W853" s="636" t="s">
        <v>3147</v>
      </c>
      <c r="X853" s="636" t="s">
        <v>3147</v>
      </c>
      <c r="Y853" s="137">
        <v>0</v>
      </c>
      <c r="Z853" s="137">
        <v>0</v>
      </c>
      <c r="AA853" s="137"/>
      <c r="AB853" s="137"/>
      <c r="AC853" s="41"/>
      <c r="AD853" s="41"/>
      <c r="AE853" s="41">
        <v>0</v>
      </c>
      <c r="AF853" s="41"/>
      <c r="AG853" s="41"/>
      <c r="AH853" s="41"/>
      <c r="AI853" s="41"/>
      <c r="AJ853" s="41"/>
      <c r="AK853" s="41"/>
      <c r="AL853" s="41"/>
      <c r="AM853" s="41"/>
      <c r="AN853" s="538"/>
      <c r="AO853" s="538"/>
      <c r="AP853" s="538"/>
      <c r="AQ853" s="41" t="s">
        <v>3148</v>
      </c>
      <c r="AR853" s="449"/>
    </row>
    <row r="854" spans="1:44" ht="15" customHeight="1">
      <c r="A854" s="41">
        <v>3011603</v>
      </c>
      <c r="B854" s="41" t="s">
        <v>3141</v>
      </c>
      <c r="C854" s="41" t="s">
        <v>3149</v>
      </c>
      <c r="D854" s="41" t="s">
        <v>2601</v>
      </c>
      <c r="E854" s="41"/>
      <c r="F854" s="36">
        <v>2</v>
      </c>
      <c r="G854" s="48">
        <v>8</v>
      </c>
      <c r="H854" s="41" t="s">
        <v>136</v>
      </c>
      <c r="I854" s="41" t="s">
        <v>137</v>
      </c>
      <c r="J854" s="41"/>
      <c r="K854" s="41"/>
      <c r="L854" s="536"/>
      <c r="M854" s="438"/>
      <c r="N854" s="438"/>
      <c r="O854" s="41"/>
      <c r="P854" s="137"/>
      <c r="Q854" s="137">
        <v>0</v>
      </c>
      <c r="R854" s="137" t="s">
        <v>153</v>
      </c>
      <c r="S854" s="41"/>
      <c r="T854" s="441"/>
      <c r="U854" s="443"/>
      <c r="V854" s="137"/>
      <c r="W854" s="636" t="s">
        <v>3150</v>
      </c>
      <c r="X854" s="636" t="s">
        <v>3150</v>
      </c>
      <c r="Y854" s="137">
        <v>0</v>
      </c>
      <c r="Z854" s="137">
        <v>0</v>
      </c>
      <c r="AA854" s="137"/>
      <c r="AB854" s="137"/>
      <c r="AC854" s="41"/>
      <c r="AD854" s="41"/>
      <c r="AE854" s="41">
        <v>0</v>
      </c>
      <c r="AF854" s="41"/>
      <c r="AG854" s="41"/>
      <c r="AH854" s="41"/>
      <c r="AI854" s="41"/>
      <c r="AJ854" s="41"/>
      <c r="AK854" s="41"/>
      <c r="AL854" s="41"/>
      <c r="AM854" s="41"/>
      <c r="AN854" s="538"/>
      <c r="AO854" s="538"/>
      <c r="AP854" s="538"/>
      <c r="AQ854" s="41" t="s">
        <v>3151</v>
      </c>
      <c r="AR854" s="449"/>
    </row>
    <row r="855" spans="1:44">
      <c r="A855" s="41">
        <v>3011604</v>
      </c>
      <c r="B855" s="41" t="s">
        <v>3141</v>
      </c>
      <c r="C855" s="41" t="s">
        <v>3152</v>
      </c>
      <c r="D855" s="41" t="s">
        <v>2601</v>
      </c>
      <c r="E855" s="41"/>
      <c r="F855" s="36">
        <v>3</v>
      </c>
      <c r="G855" s="47">
        <v>8</v>
      </c>
      <c r="H855" s="41" t="s">
        <v>136</v>
      </c>
      <c r="I855" s="41" t="s">
        <v>137</v>
      </c>
      <c r="J855" s="41"/>
      <c r="K855" s="41"/>
      <c r="L855" s="536"/>
      <c r="M855" s="438"/>
      <c r="N855" s="438"/>
      <c r="O855" s="41"/>
      <c r="P855" s="137"/>
      <c r="Q855" s="137">
        <v>0</v>
      </c>
      <c r="R855" s="137" t="s">
        <v>153</v>
      </c>
      <c r="S855" s="41"/>
      <c r="T855" s="441"/>
      <c r="U855" s="443"/>
      <c r="V855" s="137"/>
      <c r="W855" s="635" t="s">
        <v>3153</v>
      </c>
      <c r="X855" s="635" t="s">
        <v>3153</v>
      </c>
      <c r="Y855" s="137">
        <v>0</v>
      </c>
      <c r="Z855" s="137">
        <v>0</v>
      </c>
      <c r="AA855" s="137"/>
      <c r="AB855" s="137"/>
      <c r="AC855" s="41"/>
      <c r="AD855" s="41"/>
      <c r="AE855" s="41">
        <v>0</v>
      </c>
      <c r="AF855" s="41"/>
      <c r="AG855" s="41"/>
      <c r="AH855" s="41"/>
      <c r="AI855" s="41"/>
      <c r="AJ855" s="41"/>
      <c r="AK855" s="41"/>
      <c r="AL855" s="41"/>
      <c r="AM855" s="41"/>
      <c r="AN855" s="538"/>
      <c r="AO855" s="538"/>
      <c r="AP855" s="538"/>
      <c r="AQ855" s="41" t="s">
        <v>3154</v>
      </c>
      <c r="AR855" s="449"/>
    </row>
    <row r="856" spans="1:44" ht="15" customHeight="1">
      <c r="A856" s="41">
        <v>3011605</v>
      </c>
      <c r="B856" s="41" t="s">
        <v>3141</v>
      </c>
      <c r="C856" s="41" t="s">
        <v>3155</v>
      </c>
      <c r="D856" s="41" t="s">
        <v>2601</v>
      </c>
      <c r="E856" s="41"/>
      <c r="F856" s="36">
        <v>4</v>
      </c>
      <c r="G856" s="48">
        <v>8</v>
      </c>
      <c r="H856" s="41" t="s">
        <v>136</v>
      </c>
      <c r="I856" s="41" t="s">
        <v>137</v>
      </c>
      <c r="J856" s="41"/>
      <c r="K856" s="41"/>
      <c r="L856" s="536"/>
      <c r="M856" s="438"/>
      <c r="N856" s="438"/>
      <c r="O856" s="41"/>
      <c r="P856" s="137"/>
      <c r="Q856" s="137">
        <v>0</v>
      </c>
      <c r="R856" s="137" t="s">
        <v>153</v>
      </c>
      <c r="S856" s="41"/>
      <c r="T856" s="441"/>
      <c r="U856" s="443"/>
      <c r="V856" s="137"/>
      <c r="W856" s="635" t="s">
        <v>3156</v>
      </c>
      <c r="X856" s="635" t="s">
        <v>3156</v>
      </c>
      <c r="Y856" s="137">
        <v>0</v>
      </c>
      <c r="Z856" s="137">
        <v>0</v>
      </c>
      <c r="AA856" s="137"/>
      <c r="AB856" s="137"/>
      <c r="AC856" s="41"/>
      <c r="AD856" s="41"/>
      <c r="AE856" s="41">
        <v>0</v>
      </c>
      <c r="AF856" s="41"/>
      <c r="AG856" s="41"/>
      <c r="AH856" s="41"/>
      <c r="AI856" s="41"/>
      <c r="AJ856" s="41"/>
      <c r="AK856" s="41"/>
      <c r="AL856" s="41"/>
      <c r="AM856" s="41"/>
      <c r="AN856" s="538"/>
      <c r="AO856" s="538"/>
      <c r="AP856" s="538"/>
      <c r="AQ856" s="41" t="s">
        <v>3157</v>
      </c>
      <c r="AR856" s="449"/>
    </row>
    <row r="857" spans="1:44">
      <c r="A857" s="41">
        <v>3011606</v>
      </c>
      <c r="B857" s="41" t="s">
        <v>3141</v>
      </c>
      <c r="C857" s="41" t="s">
        <v>3158</v>
      </c>
      <c r="D857" s="41" t="s">
        <v>2601</v>
      </c>
      <c r="E857" s="41"/>
      <c r="F857" s="36">
        <v>5</v>
      </c>
      <c r="G857" s="47">
        <v>8</v>
      </c>
      <c r="H857" s="41" t="s">
        <v>136</v>
      </c>
      <c r="I857" s="41" t="s">
        <v>137</v>
      </c>
      <c r="J857" s="41"/>
      <c r="K857" s="41"/>
      <c r="L857" s="536"/>
      <c r="M857" s="438"/>
      <c r="N857" s="438"/>
      <c r="O857" s="41"/>
      <c r="P857" s="137"/>
      <c r="Q857" s="137">
        <v>0</v>
      </c>
      <c r="R857" s="137" t="s">
        <v>153</v>
      </c>
      <c r="S857" s="41"/>
      <c r="T857" s="441"/>
      <c r="U857" s="443"/>
      <c r="V857" s="137"/>
      <c r="W857" s="635" t="s">
        <v>3159</v>
      </c>
      <c r="X857" s="635" t="s">
        <v>3159</v>
      </c>
      <c r="Y857" s="137">
        <v>0</v>
      </c>
      <c r="Z857" s="137">
        <v>0</v>
      </c>
      <c r="AA857" s="137"/>
      <c r="AB857" s="137"/>
      <c r="AC857" s="41"/>
      <c r="AD857" s="41"/>
      <c r="AE857" s="41">
        <v>0</v>
      </c>
      <c r="AF857" s="41"/>
      <c r="AG857" s="41"/>
      <c r="AH857" s="41"/>
      <c r="AI857" s="41"/>
      <c r="AJ857" s="41"/>
      <c r="AK857" s="139"/>
      <c r="AL857" s="139"/>
      <c r="AM857" s="139"/>
      <c r="AN857" s="538"/>
      <c r="AO857" s="538"/>
      <c r="AP857" s="538"/>
      <c r="AQ857" s="41" t="s">
        <v>3160</v>
      </c>
      <c r="AR857" s="449"/>
    </row>
    <row r="858" spans="1:44">
      <c r="A858" s="41">
        <v>3011607</v>
      </c>
      <c r="B858" s="41" t="s">
        <v>3141</v>
      </c>
      <c r="C858" s="41" t="s">
        <v>3161</v>
      </c>
      <c r="D858" s="41" t="s">
        <v>2601</v>
      </c>
      <c r="E858" s="41"/>
      <c r="F858" s="36">
        <v>6</v>
      </c>
      <c r="G858" s="48">
        <v>8</v>
      </c>
      <c r="H858" s="41" t="s">
        <v>136</v>
      </c>
      <c r="I858" s="41" t="s">
        <v>137</v>
      </c>
      <c r="J858" s="41"/>
      <c r="K858" s="41"/>
      <c r="L858" s="536"/>
      <c r="M858" s="438"/>
      <c r="N858" s="438"/>
      <c r="O858" s="41"/>
      <c r="P858" s="137"/>
      <c r="Q858" s="137">
        <v>0</v>
      </c>
      <c r="R858" s="137" t="s">
        <v>153</v>
      </c>
      <c r="S858" s="41"/>
      <c r="T858" s="441"/>
      <c r="U858" s="443"/>
      <c r="V858" s="137"/>
      <c r="W858" s="635" t="s">
        <v>3153</v>
      </c>
      <c r="X858" s="635" t="s">
        <v>3153</v>
      </c>
      <c r="Y858" s="137">
        <v>0</v>
      </c>
      <c r="Z858" s="137">
        <v>0</v>
      </c>
      <c r="AA858" s="137"/>
      <c r="AB858" s="137"/>
      <c r="AC858" s="41"/>
      <c r="AD858" s="41"/>
      <c r="AE858" s="41">
        <v>0</v>
      </c>
      <c r="AF858" s="41"/>
      <c r="AG858" s="41"/>
      <c r="AH858" s="41"/>
      <c r="AI858" s="41"/>
      <c r="AJ858" s="41"/>
      <c r="AK858" s="41"/>
      <c r="AL858" s="41"/>
      <c r="AM858" s="41"/>
      <c r="AN858" s="538"/>
      <c r="AO858" s="538"/>
      <c r="AP858" s="538"/>
      <c r="AQ858" s="41" t="s">
        <v>3162</v>
      </c>
      <c r="AR858" s="449"/>
    </row>
    <row r="859" spans="1:44">
      <c r="A859" s="41">
        <v>3011608</v>
      </c>
      <c r="B859" s="41" t="s">
        <v>3141</v>
      </c>
      <c r="C859" s="41" t="s">
        <v>3163</v>
      </c>
      <c r="D859" s="41" t="s">
        <v>2601</v>
      </c>
      <c r="E859" s="41"/>
      <c r="F859" s="36">
        <v>7</v>
      </c>
      <c r="G859" s="47">
        <v>8</v>
      </c>
      <c r="H859" s="41" t="s">
        <v>136</v>
      </c>
      <c r="I859" s="41" t="s">
        <v>137</v>
      </c>
      <c r="J859" s="41"/>
      <c r="K859" s="41"/>
      <c r="L859" s="536"/>
      <c r="M859" s="438"/>
      <c r="N859" s="438"/>
      <c r="O859" s="41"/>
      <c r="P859" s="137"/>
      <c r="Q859" s="137">
        <v>0</v>
      </c>
      <c r="R859" s="137" t="s">
        <v>153</v>
      </c>
      <c r="S859" s="41"/>
      <c r="T859" s="441"/>
      <c r="U859" s="443"/>
      <c r="V859" s="137"/>
      <c r="W859" s="635" t="s">
        <v>3164</v>
      </c>
      <c r="X859" s="635" t="s">
        <v>3164</v>
      </c>
      <c r="Y859" s="137">
        <v>0</v>
      </c>
      <c r="Z859" s="137">
        <v>0</v>
      </c>
      <c r="AA859" s="137"/>
      <c r="AB859" s="137"/>
      <c r="AC859" s="41"/>
      <c r="AD859" s="41"/>
      <c r="AE859" s="41">
        <v>0</v>
      </c>
      <c r="AF859" s="41"/>
      <c r="AG859" s="41"/>
      <c r="AH859" s="41"/>
      <c r="AI859" s="41"/>
      <c r="AJ859" s="41"/>
      <c r="AK859" s="139"/>
      <c r="AL859" s="139"/>
      <c r="AM859" s="139"/>
      <c r="AN859" s="538"/>
      <c r="AO859" s="538"/>
      <c r="AP859" s="538"/>
      <c r="AQ859" s="41" t="s">
        <v>3165</v>
      </c>
      <c r="AR859" s="449"/>
    </row>
    <row r="860" spans="1:44">
      <c r="A860" s="41">
        <v>3011609</v>
      </c>
      <c r="B860" s="41" t="s">
        <v>3141</v>
      </c>
      <c r="C860" s="174" t="s">
        <v>3166</v>
      </c>
      <c r="D860" s="3" t="s">
        <v>2601</v>
      </c>
      <c r="E860" s="41"/>
      <c r="F860" s="3">
        <v>8</v>
      </c>
      <c r="G860" s="48">
        <v>8</v>
      </c>
      <c r="H860" s="41" t="s">
        <v>136</v>
      </c>
      <c r="I860" s="41" t="s">
        <v>137</v>
      </c>
      <c r="J860" s="41"/>
      <c r="K860" s="41"/>
      <c r="L860" s="174"/>
      <c r="M860" s="438"/>
      <c r="N860" s="438"/>
      <c r="O860" s="174"/>
      <c r="P860" s="137"/>
      <c r="Q860" s="137">
        <v>0</v>
      </c>
      <c r="R860" s="137" t="s">
        <v>153</v>
      </c>
      <c r="S860" s="41"/>
      <c r="T860" s="441"/>
      <c r="U860" s="443"/>
      <c r="V860" s="137"/>
      <c r="W860" s="635" t="s">
        <v>3167</v>
      </c>
      <c r="X860" s="635" t="s">
        <v>3167</v>
      </c>
      <c r="Y860" s="137"/>
      <c r="Z860" s="137"/>
      <c r="AA860" s="137"/>
      <c r="AB860" s="137" t="s">
        <v>114</v>
      </c>
      <c r="AC860" s="41"/>
      <c r="AD860" s="41"/>
      <c r="AE860" s="41">
        <v>0</v>
      </c>
      <c r="AF860" s="41">
        <v>0</v>
      </c>
      <c r="AG860" s="41">
        <v>0</v>
      </c>
      <c r="AH860" s="41"/>
      <c r="AI860" s="41">
        <v>0</v>
      </c>
      <c r="AJ860" s="41">
        <v>0</v>
      </c>
      <c r="AK860" s="41">
        <v>0</v>
      </c>
      <c r="AL860" s="41"/>
      <c r="AM860" s="41"/>
      <c r="AN860" s="41"/>
      <c r="AO860" s="41"/>
      <c r="AP860" s="41"/>
      <c r="AQ860" s="41" t="s">
        <v>3151</v>
      </c>
      <c r="AR860" s="449"/>
    </row>
    <row r="861" spans="1:44" ht="15" customHeight="1">
      <c r="A861" s="3">
        <v>3011610</v>
      </c>
      <c r="B861" s="3" t="s">
        <v>3141</v>
      </c>
      <c r="C861" s="236" t="s">
        <v>3168</v>
      </c>
      <c r="D861" s="3" t="s">
        <v>2601</v>
      </c>
      <c r="E861" s="3"/>
      <c r="F861" s="3">
        <v>9</v>
      </c>
      <c r="G861" s="47">
        <v>8</v>
      </c>
      <c r="H861" s="3" t="s">
        <v>136</v>
      </c>
      <c r="I861" s="3" t="s">
        <v>137</v>
      </c>
      <c r="J861" s="3"/>
      <c r="K861" s="3"/>
      <c r="L861" s="236"/>
      <c r="M861" s="99"/>
      <c r="N861" s="99"/>
      <c r="O861" s="236"/>
      <c r="P861" s="22"/>
      <c r="Q861" s="22">
        <v>0</v>
      </c>
      <c r="R861" s="22" t="s">
        <v>153</v>
      </c>
      <c r="S861" s="3"/>
      <c r="T861" s="260"/>
      <c r="U861" s="261"/>
      <c r="V861" s="22"/>
      <c r="W861" s="567" t="s">
        <v>3169</v>
      </c>
      <c r="X861" s="567" t="s">
        <v>3169</v>
      </c>
      <c r="Y861" s="22"/>
      <c r="Z861" s="22"/>
      <c r="AA861" s="22"/>
      <c r="AB861" s="22" t="s">
        <v>114</v>
      </c>
      <c r="AC861" s="3"/>
      <c r="AD861" s="3"/>
      <c r="AE861" s="3">
        <v>0</v>
      </c>
      <c r="AF861" s="3">
        <v>0</v>
      </c>
      <c r="AG861" s="3">
        <v>0</v>
      </c>
      <c r="AH861" s="3"/>
      <c r="AI861" s="3">
        <v>0</v>
      </c>
      <c r="AJ861" s="3">
        <v>0</v>
      </c>
      <c r="AK861" s="3">
        <v>0</v>
      </c>
      <c r="AL861" s="3"/>
      <c r="AM861" s="3"/>
      <c r="AN861" s="3"/>
      <c r="AO861" s="3"/>
      <c r="AP861" s="3"/>
      <c r="AQ861" s="282" t="str">
        <f>"tricks/"&amp;A861</f>
        <v>tricks/3011610</v>
      </c>
    </row>
    <row r="862" spans="1:44">
      <c r="A862" s="3">
        <v>3011611</v>
      </c>
      <c r="B862" s="3" t="s">
        <v>3141</v>
      </c>
      <c r="C862" s="236" t="s">
        <v>3170</v>
      </c>
      <c r="D862" s="3" t="s">
        <v>2601</v>
      </c>
      <c r="E862" s="3"/>
      <c r="F862" s="3">
        <v>10</v>
      </c>
      <c r="G862" s="48">
        <v>8</v>
      </c>
      <c r="H862" s="3" t="s">
        <v>136</v>
      </c>
      <c r="I862" s="3" t="s">
        <v>137</v>
      </c>
      <c r="J862" s="3"/>
      <c r="K862" s="3"/>
      <c r="L862" s="236"/>
      <c r="M862" s="99"/>
      <c r="N862" s="99"/>
      <c r="O862" s="236"/>
      <c r="P862" s="22"/>
      <c r="Q862" s="22">
        <v>0</v>
      </c>
      <c r="R862" s="22" t="s">
        <v>153</v>
      </c>
      <c r="S862" s="3"/>
      <c r="T862" s="260"/>
      <c r="U862" s="261"/>
      <c r="V862" s="22"/>
      <c r="W862" s="567" t="s">
        <v>3171</v>
      </c>
      <c r="X862" s="567" t="s">
        <v>3171</v>
      </c>
      <c r="Y862" s="22"/>
      <c r="Z862" s="22"/>
      <c r="AA862" s="22"/>
      <c r="AB862" s="22" t="s">
        <v>114</v>
      </c>
      <c r="AC862" s="3"/>
      <c r="AD862" s="3"/>
      <c r="AE862" s="3">
        <v>0</v>
      </c>
      <c r="AF862" s="3">
        <v>0</v>
      </c>
      <c r="AG862" s="3">
        <v>0</v>
      </c>
      <c r="AH862" s="3"/>
      <c r="AI862" s="3">
        <v>0</v>
      </c>
      <c r="AJ862" s="3">
        <v>0</v>
      </c>
      <c r="AK862" s="3">
        <v>0</v>
      </c>
      <c r="AL862" s="3"/>
      <c r="AM862" s="3"/>
      <c r="AN862" s="3"/>
      <c r="AO862" s="3"/>
      <c r="AP862" s="3"/>
      <c r="AQ862" s="282" t="str">
        <f>"tricks/"&amp;A862</f>
        <v>tricks/3011611</v>
      </c>
    </row>
    <row r="863" spans="1:44">
      <c r="A863" s="34">
        <v>3011701</v>
      </c>
      <c r="B863" s="435" t="s">
        <v>3172</v>
      </c>
      <c r="C863" s="435" t="s">
        <v>3173</v>
      </c>
      <c r="D863" s="34" t="s">
        <v>2601</v>
      </c>
      <c r="E863" s="34"/>
      <c r="F863" s="36">
        <v>1</v>
      </c>
      <c r="G863" s="47">
        <v>8</v>
      </c>
      <c r="H863" s="34" t="s">
        <v>82</v>
      </c>
      <c r="I863" s="34" t="s">
        <v>101</v>
      </c>
      <c r="J863" s="34"/>
      <c r="K863" s="34"/>
      <c r="L863" s="372"/>
      <c r="M863" s="371"/>
      <c r="N863" s="378"/>
      <c r="O863" s="34"/>
      <c r="P863" s="130"/>
      <c r="Q863" s="130">
        <v>0</v>
      </c>
      <c r="R863" s="130" t="s">
        <v>153</v>
      </c>
      <c r="S863" s="34"/>
      <c r="T863" s="382"/>
      <c r="U863" s="383"/>
      <c r="V863" s="130"/>
      <c r="W863" s="631" t="s">
        <v>3174</v>
      </c>
      <c r="X863" s="631" t="s">
        <v>3174</v>
      </c>
      <c r="Y863" s="130">
        <v>0</v>
      </c>
      <c r="Z863" s="130">
        <v>0</v>
      </c>
      <c r="AA863" s="130"/>
      <c r="AB863" s="130"/>
      <c r="AC863" s="34"/>
      <c r="AD863" s="34"/>
      <c r="AE863" s="34">
        <v>0</v>
      </c>
      <c r="AF863" s="34"/>
      <c r="AG863" s="34"/>
      <c r="AH863" s="34"/>
      <c r="AI863" s="34"/>
      <c r="AJ863" s="34"/>
      <c r="AK863" s="131"/>
      <c r="AL863" s="131"/>
      <c r="AM863" s="131"/>
      <c r="AN863" s="43"/>
      <c r="AO863" s="398"/>
      <c r="AP863" s="398"/>
      <c r="AQ863" s="8" t="str">
        <f>"tricks/"&amp;A863</f>
        <v>tricks/3011701</v>
      </c>
      <c r="AR863" s="405"/>
    </row>
    <row r="864" spans="1:44">
      <c r="A864" s="34">
        <v>3011702</v>
      </c>
      <c r="B864" s="34" t="s">
        <v>3172</v>
      </c>
      <c r="C864" s="435" t="s">
        <v>3175</v>
      </c>
      <c r="D864" s="34" t="s">
        <v>2601</v>
      </c>
      <c r="E864" s="34"/>
      <c r="F864" s="36">
        <v>1</v>
      </c>
      <c r="G864" s="48">
        <v>8</v>
      </c>
      <c r="H864" s="34" t="s">
        <v>136</v>
      </c>
      <c r="I864" s="34" t="s">
        <v>137</v>
      </c>
      <c r="J864" s="34"/>
      <c r="K864" s="34"/>
      <c r="L864" s="372"/>
      <c r="M864" s="371"/>
      <c r="N864" s="371"/>
      <c r="O864" s="34"/>
      <c r="P864" s="130"/>
      <c r="Q864" s="130">
        <v>0</v>
      </c>
      <c r="R864" s="130" t="s">
        <v>153</v>
      </c>
      <c r="S864" s="34"/>
      <c r="T864" s="382"/>
      <c r="U864" s="383"/>
      <c r="V864" s="130"/>
      <c r="W864" s="631" t="s">
        <v>3176</v>
      </c>
      <c r="X864" s="631" t="s">
        <v>3176</v>
      </c>
      <c r="Y864" s="130">
        <v>0</v>
      </c>
      <c r="Z864" s="130">
        <v>0</v>
      </c>
      <c r="AA864" s="130"/>
      <c r="AB864" s="130"/>
      <c r="AC864" s="34"/>
      <c r="AD864" s="34"/>
      <c r="AE864" s="34">
        <v>0</v>
      </c>
      <c r="AF864" s="34"/>
      <c r="AG864" s="34"/>
      <c r="AH864" s="34"/>
      <c r="AI864" s="34"/>
      <c r="AJ864" s="34"/>
      <c r="AK864" s="34"/>
      <c r="AL864" s="34"/>
      <c r="AM864" s="34"/>
      <c r="AN864" s="398"/>
      <c r="AO864" s="398"/>
      <c r="AP864" s="398"/>
      <c r="AQ864" s="8" t="str">
        <f t="shared" ref="AQ864:AQ873" si="8">"tricks/"&amp;A864</f>
        <v>tricks/3011702</v>
      </c>
      <c r="AR864" s="405"/>
    </row>
    <row r="865" spans="1:44">
      <c r="A865" s="34">
        <v>3011703</v>
      </c>
      <c r="B865" s="34" t="s">
        <v>3172</v>
      </c>
      <c r="C865" s="435" t="s">
        <v>3177</v>
      </c>
      <c r="D865" s="34" t="s">
        <v>2601</v>
      </c>
      <c r="E865" s="34"/>
      <c r="F865" s="36">
        <v>2</v>
      </c>
      <c r="G865" s="47">
        <v>8</v>
      </c>
      <c r="H865" s="34" t="s">
        <v>136</v>
      </c>
      <c r="I865" s="34" t="s">
        <v>137</v>
      </c>
      <c r="J865" s="34"/>
      <c r="K865" s="34"/>
      <c r="L865" s="372"/>
      <c r="M865" s="371"/>
      <c r="N865" s="371"/>
      <c r="O865" s="34"/>
      <c r="P865" s="130"/>
      <c r="Q865" s="130">
        <v>0</v>
      </c>
      <c r="R865" s="130" t="s">
        <v>153</v>
      </c>
      <c r="S865" s="34"/>
      <c r="T865" s="382"/>
      <c r="U865" s="383"/>
      <c r="V865" s="130"/>
      <c r="W865" s="631" t="s">
        <v>3178</v>
      </c>
      <c r="X865" s="631" t="s">
        <v>3179</v>
      </c>
      <c r="Y865" s="130">
        <v>0</v>
      </c>
      <c r="Z865" s="130">
        <v>0</v>
      </c>
      <c r="AA865" s="130"/>
      <c r="AB865" s="130"/>
      <c r="AC865" s="34"/>
      <c r="AD865" s="34"/>
      <c r="AE865" s="34">
        <v>0</v>
      </c>
      <c r="AF865" s="34"/>
      <c r="AG865" s="34"/>
      <c r="AH865" s="34"/>
      <c r="AI865" s="34"/>
      <c r="AJ865" s="34"/>
      <c r="AK865" s="34"/>
      <c r="AL865" s="34"/>
      <c r="AM865" s="34"/>
      <c r="AN865" s="398"/>
      <c r="AO865" s="398"/>
      <c r="AP865" s="398"/>
      <c r="AQ865" s="8" t="str">
        <f t="shared" si="8"/>
        <v>tricks/3011703</v>
      </c>
      <c r="AR865" s="405"/>
    </row>
    <row r="866" spans="1:44" ht="15" customHeight="1">
      <c r="A866" s="34">
        <v>3011704</v>
      </c>
      <c r="B866" s="34" t="s">
        <v>3172</v>
      </c>
      <c r="C866" s="435" t="s">
        <v>3180</v>
      </c>
      <c r="D866" s="34" t="s">
        <v>2601</v>
      </c>
      <c r="E866" s="34"/>
      <c r="F866" s="36">
        <v>3</v>
      </c>
      <c r="G866" s="48">
        <v>8</v>
      </c>
      <c r="H866" s="34" t="s">
        <v>136</v>
      </c>
      <c r="I866" s="34" t="s">
        <v>137</v>
      </c>
      <c r="J866" s="34"/>
      <c r="K866" s="34"/>
      <c r="L866" s="372"/>
      <c r="M866" s="371"/>
      <c r="N866" s="371"/>
      <c r="O866" s="34"/>
      <c r="P866" s="130"/>
      <c r="Q866" s="130">
        <v>0</v>
      </c>
      <c r="R866" s="130" t="s">
        <v>153</v>
      </c>
      <c r="S866" s="34"/>
      <c r="T866" s="382"/>
      <c r="U866" s="383"/>
      <c r="V866" s="130"/>
      <c r="W866" s="631" t="s">
        <v>3181</v>
      </c>
      <c r="X866" s="631" t="s">
        <v>3181</v>
      </c>
      <c r="Y866" s="130">
        <v>0</v>
      </c>
      <c r="Z866" s="130">
        <v>0</v>
      </c>
      <c r="AA866" s="130"/>
      <c r="AB866" s="130"/>
      <c r="AC866" s="34"/>
      <c r="AD866" s="34"/>
      <c r="AE866" s="34">
        <v>0</v>
      </c>
      <c r="AF866" s="34"/>
      <c r="AG866" s="34"/>
      <c r="AH866" s="34"/>
      <c r="AI866" s="34"/>
      <c r="AJ866" s="34"/>
      <c r="AK866" s="34"/>
      <c r="AL866" s="34"/>
      <c r="AM866" s="34"/>
      <c r="AN866" s="398"/>
      <c r="AO866" s="398"/>
      <c r="AP866" s="398"/>
      <c r="AQ866" s="8" t="str">
        <f t="shared" si="8"/>
        <v>tricks/3011704</v>
      </c>
      <c r="AR866" s="405"/>
    </row>
    <row r="867" spans="1:44">
      <c r="A867" s="34">
        <v>3011705</v>
      </c>
      <c r="B867" s="34" t="s">
        <v>3172</v>
      </c>
      <c r="C867" s="435" t="s">
        <v>3182</v>
      </c>
      <c r="D867" s="34" t="s">
        <v>2601</v>
      </c>
      <c r="E867" s="34"/>
      <c r="F867" s="36">
        <v>4</v>
      </c>
      <c r="G867" s="47">
        <v>8</v>
      </c>
      <c r="H867" s="34" t="s">
        <v>136</v>
      </c>
      <c r="I867" s="34" t="s">
        <v>137</v>
      </c>
      <c r="J867" s="34"/>
      <c r="K867" s="34"/>
      <c r="L867" s="372"/>
      <c r="M867" s="371"/>
      <c r="N867" s="371"/>
      <c r="O867" s="34"/>
      <c r="P867" s="130"/>
      <c r="Q867" s="130">
        <v>0</v>
      </c>
      <c r="R867" s="130" t="s">
        <v>153</v>
      </c>
      <c r="S867" s="34"/>
      <c r="T867" s="382"/>
      <c r="U867" s="383"/>
      <c r="V867" s="130"/>
      <c r="W867" s="631" t="s">
        <v>3183</v>
      </c>
      <c r="X867" s="631" t="s">
        <v>3183</v>
      </c>
      <c r="Y867" s="130">
        <v>0</v>
      </c>
      <c r="Z867" s="130">
        <v>0</v>
      </c>
      <c r="AA867" s="130"/>
      <c r="AB867" s="130"/>
      <c r="AC867" s="34"/>
      <c r="AD867" s="34"/>
      <c r="AE867" s="34">
        <v>0</v>
      </c>
      <c r="AF867" s="34"/>
      <c r="AG867" s="34"/>
      <c r="AH867" s="34"/>
      <c r="AI867" s="34"/>
      <c r="AJ867" s="34"/>
      <c r="AK867" s="34"/>
      <c r="AL867" s="34"/>
      <c r="AM867" s="34"/>
      <c r="AN867" s="398"/>
      <c r="AO867" s="398"/>
      <c r="AP867" s="398"/>
      <c r="AQ867" s="8" t="str">
        <f t="shared" si="8"/>
        <v>tricks/3011705</v>
      </c>
      <c r="AR867" s="405"/>
    </row>
    <row r="868" spans="1:44">
      <c r="A868" s="34">
        <v>3011706</v>
      </c>
      <c r="B868" s="34" t="s">
        <v>3172</v>
      </c>
      <c r="C868" s="435" t="s">
        <v>3184</v>
      </c>
      <c r="D868" s="34" t="s">
        <v>2601</v>
      </c>
      <c r="E868" s="34"/>
      <c r="F868" s="36">
        <v>5</v>
      </c>
      <c r="G868" s="48">
        <v>8</v>
      </c>
      <c r="H868" s="34" t="s">
        <v>136</v>
      </c>
      <c r="I868" s="34" t="s">
        <v>137</v>
      </c>
      <c r="J868" s="34"/>
      <c r="K868" s="34"/>
      <c r="L868" s="372"/>
      <c r="M868" s="371"/>
      <c r="N868" s="371"/>
      <c r="O868" s="34"/>
      <c r="P868" s="130"/>
      <c r="Q868" s="130">
        <v>0</v>
      </c>
      <c r="R868" s="130" t="s">
        <v>153</v>
      </c>
      <c r="S868" s="34"/>
      <c r="T868" s="382"/>
      <c r="U868" s="383"/>
      <c r="V868" s="130"/>
      <c r="W868" s="631" t="s">
        <v>3185</v>
      </c>
      <c r="X868" s="631" t="s">
        <v>3185</v>
      </c>
      <c r="Y868" s="130">
        <v>0</v>
      </c>
      <c r="Z868" s="130">
        <v>0</v>
      </c>
      <c r="AA868" s="130"/>
      <c r="AB868" s="130"/>
      <c r="AC868" s="34"/>
      <c r="AD868" s="34"/>
      <c r="AE868" s="34">
        <v>0</v>
      </c>
      <c r="AF868" s="34"/>
      <c r="AG868" s="34"/>
      <c r="AH868" s="34"/>
      <c r="AI868" s="34"/>
      <c r="AJ868" s="34"/>
      <c r="AK868" s="131"/>
      <c r="AL868" s="131"/>
      <c r="AM868" s="131"/>
      <c r="AN868" s="398"/>
      <c r="AO868" s="398"/>
      <c r="AP868" s="398"/>
      <c r="AQ868" s="8" t="str">
        <f t="shared" si="8"/>
        <v>tricks/3011706</v>
      </c>
      <c r="AR868" s="405"/>
    </row>
    <row r="869" spans="1:44">
      <c r="A869" s="34">
        <v>3011707</v>
      </c>
      <c r="B869" s="34" t="s">
        <v>3172</v>
      </c>
      <c r="C869" s="435" t="s">
        <v>3186</v>
      </c>
      <c r="D869" s="34" t="s">
        <v>2601</v>
      </c>
      <c r="E869" s="34"/>
      <c r="F869" s="36">
        <v>6</v>
      </c>
      <c r="G869" s="47">
        <v>8</v>
      </c>
      <c r="H869" s="34" t="s">
        <v>136</v>
      </c>
      <c r="I869" s="34" t="s">
        <v>137</v>
      </c>
      <c r="J869" s="34"/>
      <c r="K869" s="34"/>
      <c r="L869" s="372"/>
      <c r="M869" s="371"/>
      <c r="N869" s="371"/>
      <c r="O869" s="34"/>
      <c r="P869" s="130"/>
      <c r="Q869" s="130">
        <v>0</v>
      </c>
      <c r="R869" s="130" t="s">
        <v>153</v>
      </c>
      <c r="S869" s="34"/>
      <c r="T869" s="382"/>
      <c r="U869" s="383"/>
      <c r="V869" s="130"/>
      <c r="W869" s="631" t="s">
        <v>3187</v>
      </c>
      <c r="X869" s="631" t="s">
        <v>3174</v>
      </c>
      <c r="Y869" s="130">
        <v>0</v>
      </c>
      <c r="Z869" s="130">
        <v>0</v>
      </c>
      <c r="AA869" s="130"/>
      <c r="AB869" s="130"/>
      <c r="AC869" s="34"/>
      <c r="AD869" s="34"/>
      <c r="AE869" s="34">
        <v>0</v>
      </c>
      <c r="AF869" s="34"/>
      <c r="AG869" s="34"/>
      <c r="AH869" s="34"/>
      <c r="AI869" s="34"/>
      <c r="AJ869" s="34"/>
      <c r="AK869" s="34"/>
      <c r="AL869" s="34"/>
      <c r="AM869" s="34"/>
      <c r="AN869" s="398"/>
      <c r="AO869" s="398"/>
      <c r="AP869" s="398"/>
      <c r="AQ869" s="8" t="str">
        <f t="shared" si="8"/>
        <v>tricks/3011707</v>
      </c>
      <c r="AR869" s="405"/>
    </row>
    <row r="870" spans="1:44">
      <c r="A870" s="34">
        <v>3011708</v>
      </c>
      <c r="B870" s="34" t="s">
        <v>3172</v>
      </c>
      <c r="C870" s="435" t="s">
        <v>3188</v>
      </c>
      <c r="D870" s="34" t="s">
        <v>2601</v>
      </c>
      <c r="E870" s="34"/>
      <c r="F870" s="36">
        <v>7</v>
      </c>
      <c r="G870" s="48">
        <v>8</v>
      </c>
      <c r="H870" s="34" t="s">
        <v>136</v>
      </c>
      <c r="I870" s="34" t="s">
        <v>137</v>
      </c>
      <c r="J870" s="34"/>
      <c r="K870" s="34"/>
      <c r="L870" s="372"/>
      <c r="M870" s="371"/>
      <c r="N870" s="371"/>
      <c r="O870" s="34"/>
      <c r="P870" s="130"/>
      <c r="Q870" s="130">
        <v>0</v>
      </c>
      <c r="R870" s="130" t="s">
        <v>153</v>
      </c>
      <c r="S870" s="34"/>
      <c r="T870" s="382"/>
      <c r="U870" s="383"/>
      <c r="V870" s="130"/>
      <c r="W870" s="631" t="s">
        <v>3189</v>
      </c>
      <c r="X870" s="631" t="s">
        <v>3189</v>
      </c>
      <c r="Y870" s="130">
        <v>0</v>
      </c>
      <c r="Z870" s="130">
        <v>0</v>
      </c>
      <c r="AA870" s="130"/>
      <c r="AB870" s="130"/>
      <c r="AC870" s="34"/>
      <c r="AD870" s="34"/>
      <c r="AE870" s="34">
        <v>0</v>
      </c>
      <c r="AF870" s="34"/>
      <c r="AG870" s="34"/>
      <c r="AH870" s="34"/>
      <c r="AI870" s="34"/>
      <c r="AJ870" s="34"/>
      <c r="AK870" s="131"/>
      <c r="AL870" s="131"/>
      <c r="AM870" s="131"/>
      <c r="AN870" s="398"/>
      <c r="AO870" s="398"/>
      <c r="AP870" s="398"/>
      <c r="AQ870" s="8" t="str">
        <f t="shared" si="8"/>
        <v>tricks/3011708</v>
      </c>
      <c r="AR870" s="405"/>
    </row>
    <row r="871" spans="1:44" ht="15" customHeight="1">
      <c r="A871" s="3">
        <v>3011709</v>
      </c>
      <c r="B871" s="3" t="s">
        <v>3172</v>
      </c>
      <c r="C871" s="236" t="s">
        <v>3190</v>
      </c>
      <c r="D871" s="3" t="s">
        <v>2601</v>
      </c>
      <c r="E871" s="3"/>
      <c r="F871" s="3">
        <v>8</v>
      </c>
      <c r="G871" s="47">
        <v>8</v>
      </c>
      <c r="H871" s="3" t="s">
        <v>136</v>
      </c>
      <c r="I871" s="3" t="s">
        <v>137</v>
      </c>
      <c r="J871" s="3"/>
      <c r="K871" s="3"/>
      <c r="L871" s="236"/>
      <c r="M871" s="99"/>
      <c r="N871" s="99"/>
      <c r="O871" s="236"/>
      <c r="P871" s="22"/>
      <c r="Q871" s="22">
        <v>0</v>
      </c>
      <c r="R871" s="22" t="s">
        <v>153</v>
      </c>
      <c r="S871" s="3"/>
      <c r="T871" s="260"/>
      <c r="U871" s="261"/>
      <c r="V871" s="22"/>
      <c r="W871" s="567" t="s">
        <v>3191</v>
      </c>
      <c r="X871" s="567" t="s">
        <v>3191</v>
      </c>
      <c r="Y871" s="22"/>
      <c r="Z871" s="22"/>
      <c r="AA871" s="22"/>
      <c r="AB871" s="22" t="s">
        <v>114</v>
      </c>
      <c r="AC871" s="3"/>
      <c r="AD871" s="3"/>
      <c r="AE871" s="3">
        <v>0</v>
      </c>
      <c r="AF871" s="3">
        <v>0</v>
      </c>
      <c r="AG871" s="3">
        <v>0</v>
      </c>
      <c r="AH871" s="3"/>
      <c r="AI871" s="3">
        <v>0</v>
      </c>
      <c r="AJ871" s="3">
        <v>0</v>
      </c>
      <c r="AK871" s="3">
        <v>0</v>
      </c>
      <c r="AL871" s="3"/>
      <c r="AM871" s="3"/>
      <c r="AN871" s="3"/>
      <c r="AO871" s="3"/>
      <c r="AP871" s="3"/>
      <c r="AQ871" s="8" t="str">
        <f t="shared" si="8"/>
        <v>tricks/3011709</v>
      </c>
      <c r="AR871" s="281"/>
    </row>
    <row r="872" spans="1:44" ht="15" customHeight="1">
      <c r="A872" s="3">
        <v>3011710</v>
      </c>
      <c r="B872" s="3" t="s">
        <v>3172</v>
      </c>
      <c r="C872" s="236" t="s">
        <v>3192</v>
      </c>
      <c r="D872" s="3" t="s">
        <v>2601</v>
      </c>
      <c r="E872" s="3"/>
      <c r="F872" s="3">
        <v>9</v>
      </c>
      <c r="G872" s="48">
        <v>8</v>
      </c>
      <c r="H872" s="3" t="s">
        <v>136</v>
      </c>
      <c r="I872" s="3" t="s">
        <v>137</v>
      </c>
      <c r="J872" s="3"/>
      <c r="K872" s="3"/>
      <c r="L872" s="236"/>
      <c r="M872" s="99"/>
      <c r="N872" s="99"/>
      <c r="O872" s="236"/>
      <c r="P872" s="22"/>
      <c r="Q872" s="22">
        <v>0</v>
      </c>
      <c r="R872" s="22" t="s">
        <v>153</v>
      </c>
      <c r="S872" s="3"/>
      <c r="T872" s="260"/>
      <c r="U872" s="261"/>
      <c r="V872" s="22"/>
      <c r="W872" s="567" t="s">
        <v>2598</v>
      </c>
      <c r="X872" s="567" t="s">
        <v>2598</v>
      </c>
      <c r="Y872" s="22"/>
      <c r="Z872" s="22"/>
      <c r="AA872" s="22"/>
      <c r="AB872" s="22" t="s">
        <v>114</v>
      </c>
      <c r="AC872" s="3"/>
      <c r="AD872" s="3"/>
      <c r="AE872" s="3">
        <v>0</v>
      </c>
      <c r="AF872" s="3">
        <v>0</v>
      </c>
      <c r="AG872" s="3">
        <v>0</v>
      </c>
      <c r="AH872" s="3"/>
      <c r="AI872" s="3">
        <v>0</v>
      </c>
      <c r="AJ872" s="3">
        <v>0</v>
      </c>
      <c r="AK872" s="3">
        <v>0</v>
      </c>
      <c r="AL872" s="3"/>
      <c r="AM872" s="3"/>
      <c r="AN872" s="3"/>
      <c r="AO872" s="3"/>
      <c r="AP872" s="3"/>
      <c r="AQ872" s="8" t="str">
        <f t="shared" si="8"/>
        <v>tricks/3011710</v>
      </c>
    </row>
    <row r="873" spans="1:44" ht="15" customHeight="1">
      <c r="A873" s="3">
        <v>3011711</v>
      </c>
      <c r="B873" s="3" t="s">
        <v>3172</v>
      </c>
      <c r="C873" s="236" t="s">
        <v>3193</v>
      </c>
      <c r="D873" s="3" t="s">
        <v>2601</v>
      </c>
      <c r="E873" s="3"/>
      <c r="F873" s="3">
        <v>10</v>
      </c>
      <c r="G873" s="47">
        <v>8</v>
      </c>
      <c r="H873" s="3" t="s">
        <v>136</v>
      </c>
      <c r="I873" s="3" t="s">
        <v>137</v>
      </c>
      <c r="J873" s="3"/>
      <c r="K873" s="3"/>
      <c r="L873" s="236"/>
      <c r="M873" s="99"/>
      <c r="N873" s="99"/>
      <c r="O873" s="236"/>
      <c r="P873" s="22"/>
      <c r="Q873" s="22">
        <v>0</v>
      </c>
      <c r="R873" s="22" t="s">
        <v>153</v>
      </c>
      <c r="S873" s="3"/>
      <c r="T873" s="260"/>
      <c r="U873" s="261"/>
      <c r="V873" s="22"/>
      <c r="W873" s="567" t="s">
        <v>3194</v>
      </c>
      <c r="X873" s="567" t="s">
        <v>3194</v>
      </c>
      <c r="Y873" s="22"/>
      <c r="Z873" s="22"/>
      <c r="AA873" s="22"/>
      <c r="AB873" s="22" t="s">
        <v>114</v>
      </c>
      <c r="AC873" s="3"/>
      <c r="AD873" s="3"/>
      <c r="AE873" s="3">
        <v>0</v>
      </c>
      <c r="AF873" s="3">
        <v>0</v>
      </c>
      <c r="AG873" s="3">
        <v>0</v>
      </c>
      <c r="AH873" s="3"/>
      <c r="AI873" s="3">
        <v>0</v>
      </c>
      <c r="AJ873" s="3">
        <v>0</v>
      </c>
      <c r="AK873" s="3">
        <v>0</v>
      </c>
      <c r="AL873" s="3"/>
      <c r="AM873" s="3"/>
      <c r="AN873" s="3"/>
      <c r="AO873" s="3"/>
      <c r="AP873" s="3"/>
      <c r="AQ873" s="8" t="str">
        <f t="shared" si="8"/>
        <v>tricks/3011711</v>
      </c>
    </row>
    <row r="874" spans="1:44">
      <c r="A874" s="3">
        <v>5210001</v>
      </c>
      <c r="B874" s="3" t="s">
        <v>3195</v>
      </c>
      <c r="C874" s="3" t="s">
        <v>3196</v>
      </c>
      <c r="D874" s="3" t="s">
        <v>3197</v>
      </c>
      <c r="E874" s="3" t="s">
        <v>79</v>
      </c>
      <c r="F874" s="3">
        <v>1</v>
      </c>
      <c r="G874" s="3">
        <v>1</v>
      </c>
      <c r="H874" s="3" t="s">
        <v>82</v>
      </c>
      <c r="I874" s="3" t="s">
        <v>3198</v>
      </c>
      <c r="J874" s="3"/>
      <c r="K874" s="3"/>
      <c r="L874" s="537" t="s">
        <v>3199</v>
      </c>
      <c r="M874" s="99"/>
      <c r="N874" s="99"/>
      <c r="O874" s="3"/>
      <c r="P874" s="22">
        <v>1</v>
      </c>
      <c r="Q874" s="22">
        <v>0</v>
      </c>
      <c r="R874" s="22" t="s">
        <v>85</v>
      </c>
      <c r="S874" s="3">
        <v>5210001</v>
      </c>
      <c r="T874" s="260" t="s">
        <v>3200</v>
      </c>
      <c r="U874" s="261" t="s">
        <v>3201</v>
      </c>
      <c r="V874" s="22" t="s">
        <v>582</v>
      </c>
      <c r="W874" s="3" t="s">
        <v>3202</v>
      </c>
      <c r="X874" s="637" t="s">
        <v>3202</v>
      </c>
      <c r="Y874" s="137"/>
      <c r="Z874" s="137"/>
      <c r="AE874" s="1">
        <v>2</v>
      </c>
      <c r="AF874" s="3">
        <v>0</v>
      </c>
      <c r="AG874" s="3">
        <v>7</v>
      </c>
      <c r="AH874" s="3"/>
      <c r="AI874" s="539">
        <v>58</v>
      </c>
      <c r="AJ874" s="539">
        <v>39</v>
      </c>
      <c r="AN874" s="538" t="s">
        <v>3203</v>
      </c>
      <c r="AQ874" s="1" t="s">
        <v>3204</v>
      </c>
    </row>
    <row r="875" spans="1:44">
      <c r="A875" s="3">
        <v>5210002</v>
      </c>
      <c r="B875" s="3" t="s">
        <v>3195</v>
      </c>
      <c r="C875" s="3" t="s">
        <v>3205</v>
      </c>
      <c r="D875" s="3" t="s">
        <v>3197</v>
      </c>
      <c r="E875" s="3" t="s">
        <v>79</v>
      </c>
      <c r="F875" s="3">
        <v>1</v>
      </c>
      <c r="G875" s="3">
        <v>1</v>
      </c>
      <c r="H875" s="3" t="s">
        <v>82</v>
      </c>
      <c r="I875" s="3" t="s">
        <v>3198</v>
      </c>
      <c r="J875" s="3"/>
      <c r="K875" s="3"/>
      <c r="L875" s="537" t="s">
        <v>3206</v>
      </c>
      <c r="M875" s="99"/>
      <c r="N875" s="99"/>
      <c r="O875" s="3"/>
      <c r="P875" s="22">
        <v>1</v>
      </c>
      <c r="Q875" s="22">
        <v>0</v>
      </c>
      <c r="R875" s="22" t="s">
        <v>85</v>
      </c>
      <c r="S875" s="3">
        <v>5210002</v>
      </c>
      <c r="T875" s="260" t="s">
        <v>3207</v>
      </c>
      <c r="U875" s="261" t="s">
        <v>3208</v>
      </c>
      <c r="V875" s="22" t="s">
        <v>582</v>
      </c>
      <c r="W875" s="3" t="s">
        <v>3209</v>
      </c>
      <c r="X875" s="637" t="s">
        <v>3209</v>
      </c>
      <c r="Y875" s="137"/>
      <c r="Z875" s="137"/>
      <c r="AE875" s="1">
        <v>2</v>
      </c>
      <c r="AF875" s="3">
        <v>0</v>
      </c>
      <c r="AG875" s="3">
        <v>5</v>
      </c>
      <c r="AH875" s="3"/>
      <c r="AI875" s="539">
        <v>45</v>
      </c>
      <c r="AJ875" s="539">
        <v>32</v>
      </c>
      <c r="AN875" s="538" t="s">
        <v>3210</v>
      </c>
      <c r="AQ875" s="1" t="s">
        <v>3211</v>
      </c>
    </row>
    <row r="876" spans="1:44">
      <c r="A876" s="3">
        <v>5310001</v>
      </c>
      <c r="B876" s="3" t="s">
        <v>3212</v>
      </c>
      <c r="C876" s="3" t="s">
        <v>3213</v>
      </c>
      <c r="D876" s="3" t="s">
        <v>3197</v>
      </c>
      <c r="E876" s="3" t="s">
        <v>79</v>
      </c>
      <c r="F876" s="3">
        <v>1</v>
      </c>
      <c r="G876" s="3">
        <v>1</v>
      </c>
      <c r="H876" s="3" t="s">
        <v>82</v>
      </c>
      <c r="I876" s="3" t="s">
        <v>3198</v>
      </c>
      <c r="J876" s="3"/>
      <c r="K876" s="3"/>
      <c r="L876" s="537" t="s">
        <v>3214</v>
      </c>
      <c r="M876" s="99"/>
      <c r="N876" s="99"/>
      <c r="O876" s="3"/>
      <c r="P876" s="22">
        <v>1</v>
      </c>
      <c r="Q876" s="22">
        <v>0</v>
      </c>
      <c r="R876" s="22" t="s">
        <v>85</v>
      </c>
      <c r="S876" s="3">
        <v>5310001</v>
      </c>
      <c r="T876" s="260" t="s">
        <v>3207</v>
      </c>
      <c r="U876" s="261" t="s">
        <v>3208</v>
      </c>
      <c r="V876" s="22" t="s">
        <v>582</v>
      </c>
      <c r="W876" s="3" t="s">
        <v>3215</v>
      </c>
      <c r="X876" s="637" t="s">
        <v>3215</v>
      </c>
      <c r="Y876" s="137"/>
      <c r="Z876" s="137"/>
      <c r="AE876" s="1">
        <v>2</v>
      </c>
      <c r="AF876" s="3">
        <v>0</v>
      </c>
      <c r="AG876" s="3">
        <v>7</v>
      </c>
      <c r="AH876" s="3"/>
      <c r="AI876" s="539">
        <v>58</v>
      </c>
      <c r="AJ876" s="539">
        <v>39</v>
      </c>
      <c r="AN876" s="538" t="s">
        <v>3216</v>
      </c>
      <c r="AQ876" s="1" t="s">
        <v>3217</v>
      </c>
    </row>
    <row r="877" spans="1:44" ht="15" customHeight="1">
      <c r="A877" s="3">
        <v>5610001</v>
      </c>
      <c r="B877" s="3" t="s">
        <v>3218</v>
      </c>
      <c r="C877" s="3" t="s">
        <v>3196</v>
      </c>
      <c r="D877" s="3" t="s">
        <v>3197</v>
      </c>
      <c r="E877" s="3" t="s">
        <v>79</v>
      </c>
      <c r="F877" s="3">
        <v>1</v>
      </c>
      <c r="G877" s="3">
        <v>999</v>
      </c>
      <c r="H877" s="3" t="s">
        <v>82</v>
      </c>
      <c r="I877" s="3" t="s">
        <v>3198</v>
      </c>
      <c r="J877" s="3"/>
      <c r="K877" s="3"/>
      <c r="L877" s="537" t="s">
        <v>3219</v>
      </c>
      <c r="M877" s="99"/>
      <c r="N877" s="99"/>
      <c r="O877" s="3"/>
      <c r="P877" s="22">
        <v>1</v>
      </c>
      <c r="Q877" s="22">
        <v>0</v>
      </c>
      <c r="R877" s="22" t="s">
        <v>85</v>
      </c>
      <c r="S877" s="3">
        <v>5210001</v>
      </c>
      <c r="T877" s="260" t="s">
        <v>3200</v>
      </c>
      <c r="U877" s="261" t="s">
        <v>3201</v>
      </c>
      <c r="V877" s="22" t="s">
        <v>582</v>
      </c>
      <c r="W877" s="3" t="s">
        <v>3202</v>
      </c>
      <c r="X877" s="637" t="s">
        <v>3202</v>
      </c>
      <c r="Y877" s="137"/>
      <c r="Z877" s="137"/>
      <c r="AE877" s="1">
        <v>2</v>
      </c>
      <c r="AF877" s="3">
        <v>0</v>
      </c>
      <c r="AG877" s="3">
        <v>7</v>
      </c>
      <c r="AH877" s="3"/>
      <c r="AI877" s="539">
        <v>58</v>
      </c>
      <c r="AJ877" s="539">
        <v>39</v>
      </c>
      <c r="AN877" s="538" t="s">
        <v>3220</v>
      </c>
      <c r="AQ877" s="1" t="s">
        <v>3204</v>
      </c>
    </row>
    <row r="878" spans="1:44">
      <c r="A878" s="3">
        <v>9000001</v>
      </c>
      <c r="B878" s="3" t="s">
        <v>3221</v>
      </c>
      <c r="C878" s="3" t="s">
        <v>3221</v>
      </c>
      <c r="D878" s="3" t="s">
        <v>3197</v>
      </c>
      <c r="E878" s="3" t="s">
        <v>3221</v>
      </c>
      <c r="F878" s="3">
        <v>1</v>
      </c>
      <c r="G878" s="3">
        <v>0</v>
      </c>
      <c r="H878" s="3" t="s">
        <v>82</v>
      </c>
      <c r="I878" s="3" t="s">
        <v>3198</v>
      </c>
      <c r="J878" s="3"/>
      <c r="K878" s="3"/>
      <c r="L878" s="537"/>
      <c r="M878" s="99"/>
      <c r="N878" s="99"/>
      <c r="O878" s="3" t="s">
        <v>3221</v>
      </c>
      <c r="P878" s="22"/>
      <c r="Q878" s="22">
        <v>0</v>
      </c>
      <c r="R878" s="22"/>
      <c r="S878" s="3">
        <v>9000001</v>
      </c>
      <c r="T878" s="260"/>
      <c r="U878" s="261"/>
      <c r="V878" s="22" t="s">
        <v>582</v>
      </c>
      <c r="W878" s="3" t="s">
        <v>3222</v>
      </c>
      <c r="X878" s="637" t="s">
        <v>3223</v>
      </c>
      <c r="AE878" s="1">
        <v>2</v>
      </c>
      <c r="AF878" s="3"/>
      <c r="AG878" s="3"/>
      <c r="AH878" s="3"/>
      <c r="AJ878" s="539"/>
      <c r="AN878" s="540"/>
      <c r="AO878" s="540"/>
      <c r="AP878" s="540"/>
      <c r="AQ878" s="1" t="s">
        <v>3224</v>
      </c>
    </row>
    <row r="879" spans="1:44">
      <c r="A879" s="3">
        <v>9000002</v>
      </c>
      <c r="B879" s="3" t="s">
        <v>2785</v>
      </c>
      <c r="C879" s="3" t="s">
        <v>2785</v>
      </c>
      <c r="D879" s="3" t="s">
        <v>3197</v>
      </c>
      <c r="E879" s="3" t="s">
        <v>2785</v>
      </c>
      <c r="F879" s="3">
        <v>1</v>
      </c>
      <c r="G879" s="3">
        <v>0</v>
      </c>
      <c r="H879" s="3" t="s">
        <v>82</v>
      </c>
      <c r="I879" s="3" t="s">
        <v>3198</v>
      </c>
      <c r="J879" s="3"/>
      <c r="K879" s="3"/>
      <c r="L879" s="537"/>
      <c r="M879" s="99"/>
      <c r="N879" s="99"/>
      <c r="O879" s="3" t="s">
        <v>3225</v>
      </c>
      <c r="P879" s="22"/>
      <c r="Q879" s="22">
        <v>0</v>
      </c>
      <c r="R879" s="22"/>
      <c r="S879" s="3">
        <v>9000002</v>
      </c>
      <c r="T879" s="260"/>
      <c r="U879" s="261"/>
      <c r="V879" s="22" t="s">
        <v>582</v>
      </c>
      <c r="W879" s="3" t="s">
        <v>3226</v>
      </c>
      <c r="X879" s="637" t="s">
        <v>3226</v>
      </c>
      <c r="AE879" s="1">
        <v>2</v>
      </c>
      <c r="AF879" s="3">
        <v>0</v>
      </c>
      <c r="AG879" s="3">
        <v>1</v>
      </c>
      <c r="AH879" s="3"/>
      <c r="AI879" s="1">
        <v>0</v>
      </c>
      <c r="AJ879" s="539">
        <v>0</v>
      </c>
      <c r="AN879" s="540"/>
      <c r="AO879" s="540"/>
      <c r="AP879" s="540"/>
      <c r="AQ879" s="1" t="s">
        <v>3227</v>
      </c>
    </row>
    <row r="880" spans="1:44">
      <c r="A880" s="3">
        <v>9000003</v>
      </c>
      <c r="B880" s="3" t="s">
        <v>3228</v>
      </c>
      <c r="C880" s="3" t="s">
        <v>3228</v>
      </c>
      <c r="D880" s="3" t="s">
        <v>3197</v>
      </c>
      <c r="E880" s="3" t="s">
        <v>3228</v>
      </c>
      <c r="F880" s="3">
        <v>1</v>
      </c>
      <c r="G880" s="3">
        <v>0</v>
      </c>
      <c r="H880" s="3" t="s">
        <v>82</v>
      </c>
      <c r="I880" s="3" t="s">
        <v>3198</v>
      </c>
      <c r="J880" s="3"/>
      <c r="K880" s="3"/>
      <c r="L880" s="365" t="s">
        <v>3229</v>
      </c>
      <c r="M880" s="99"/>
      <c r="N880" s="99"/>
      <c r="O880" s="3" t="s">
        <v>3228</v>
      </c>
      <c r="P880" s="22"/>
      <c r="Q880" s="22">
        <v>0</v>
      </c>
      <c r="R880" s="22"/>
      <c r="S880" s="3">
        <v>9000003</v>
      </c>
      <c r="T880" s="260"/>
      <c r="U880" s="261"/>
      <c r="V880" s="22" t="s">
        <v>582</v>
      </c>
      <c r="W880" s="3" t="s">
        <v>3230</v>
      </c>
      <c r="X880" s="637" t="s">
        <v>3230</v>
      </c>
      <c r="Y880" s="137"/>
      <c r="Z880" s="137"/>
      <c r="AE880" s="1">
        <v>0</v>
      </c>
      <c r="AF880" s="3"/>
      <c r="AG880" s="3"/>
      <c r="AH880" s="3"/>
      <c r="AI880" s="539"/>
      <c r="AJ880" s="539"/>
      <c r="AN880" s="538"/>
      <c r="AQ880" s="1" t="s">
        <v>3231</v>
      </c>
    </row>
    <row r="881" spans="1:44">
      <c r="A881" s="3">
        <v>9000004</v>
      </c>
      <c r="B881" s="3" t="s">
        <v>3197</v>
      </c>
      <c r="C881" s="3" t="s">
        <v>3232</v>
      </c>
      <c r="D881" s="3">
        <v>0</v>
      </c>
      <c r="E881" s="3" t="s">
        <v>82</v>
      </c>
      <c r="F881" s="3">
        <v>1</v>
      </c>
      <c r="G881" s="3">
        <v>0</v>
      </c>
      <c r="H881" s="3" t="s">
        <v>82</v>
      </c>
      <c r="I881" s="3" t="s">
        <v>101</v>
      </c>
      <c r="J881" s="3"/>
      <c r="K881" s="3"/>
      <c r="L881" s="365"/>
      <c r="M881" s="99"/>
      <c r="N881" s="99"/>
      <c r="O881" s="3" t="s">
        <v>3232</v>
      </c>
      <c r="P881" s="22"/>
      <c r="Q881" s="22"/>
      <c r="R881" s="22" t="s">
        <v>85</v>
      </c>
      <c r="S881" s="3"/>
      <c r="T881" s="260"/>
      <c r="U881" s="261">
        <v>200</v>
      </c>
      <c r="V881" s="22" t="s">
        <v>582</v>
      </c>
      <c r="W881" s="22" t="s">
        <v>3233</v>
      </c>
      <c r="X881" s="260" t="s">
        <v>3233</v>
      </c>
      <c r="AE881" s="1">
        <v>3</v>
      </c>
      <c r="AF881" s="3"/>
      <c r="AG881" s="3">
        <v>6</v>
      </c>
      <c r="AH881" s="3"/>
      <c r="AI881" s="3"/>
      <c r="AJ881" s="3"/>
      <c r="AN881" s="93" t="s">
        <v>3234</v>
      </c>
      <c r="AO881" s="93"/>
      <c r="AP881" s="93"/>
      <c r="AQ881" s="1" t="s">
        <v>3235</v>
      </c>
    </row>
    <row r="882" spans="1:44">
      <c r="A882" s="3">
        <v>9000005</v>
      </c>
      <c r="B882" s="65" t="s">
        <v>2785</v>
      </c>
      <c r="C882" s="3" t="s">
        <v>3236</v>
      </c>
      <c r="D882" s="3" t="s">
        <v>3197</v>
      </c>
      <c r="E882" s="3" t="s">
        <v>2785</v>
      </c>
      <c r="F882" s="3">
        <v>1</v>
      </c>
      <c r="G882" s="3">
        <v>0</v>
      </c>
      <c r="H882" s="3" t="s">
        <v>82</v>
      </c>
      <c r="I882" s="3" t="s">
        <v>3198</v>
      </c>
      <c r="J882" s="3"/>
      <c r="K882" s="3"/>
      <c r="L882" s="537"/>
      <c r="M882" s="99"/>
      <c r="N882" s="99"/>
      <c r="O882" s="3" t="s">
        <v>3225</v>
      </c>
      <c r="P882" s="22"/>
      <c r="Q882" s="22">
        <v>0</v>
      </c>
      <c r="R882" s="22"/>
      <c r="S882" s="3">
        <v>9000002</v>
      </c>
      <c r="T882" s="260"/>
      <c r="U882" s="261"/>
      <c r="V882" s="22" t="s">
        <v>582</v>
      </c>
      <c r="W882" s="3" t="s">
        <v>3226</v>
      </c>
      <c r="X882" s="637" t="s">
        <v>3226</v>
      </c>
      <c r="AE882" s="1">
        <v>2</v>
      </c>
      <c r="AF882" s="3">
        <v>0</v>
      </c>
      <c r="AG882" s="3">
        <v>1</v>
      </c>
      <c r="AH882" s="3"/>
      <c r="AI882" s="1">
        <v>0</v>
      </c>
      <c r="AJ882" s="539">
        <v>0</v>
      </c>
      <c r="AN882" s="540"/>
      <c r="AO882" s="540"/>
      <c r="AP882" s="540"/>
      <c r="AQ882" s="1" t="s">
        <v>3227</v>
      </c>
    </row>
    <row r="883" spans="1:44">
      <c r="A883" s="3">
        <v>9000006</v>
      </c>
      <c r="B883" s="65" t="s">
        <v>3197</v>
      </c>
      <c r="C883" s="3" t="s">
        <v>3237</v>
      </c>
      <c r="D883" s="3">
        <v>0</v>
      </c>
      <c r="E883" s="3" t="s">
        <v>82</v>
      </c>
      <c r="F883" s="3">
        <v>1</v>
      </c>
      <c r="G883" s="3">
        <v>0</v>
      </c>
      <c r="H883" s="3" t="s">
        <v>82</v>
      </c>
      <c r="I883" s="3" t="s">
        <v>101</v>
      </c>
      <c r="J883" s="3"/>
      <c r="K883" s="3"/>
      <c r="L883" s="365"/>
      <c r="M883" s="99"/>
      <c r="N883" s="99"/>
      <c r="O883" s="3" t="s">
        <v>3237</v>
      </c>
      <c r="P883" s="22"/>
      <c r="Q883" s="22"/>
      <c r="R883" s="22" t="s">
        <v>85</v>
      </c>
      <c r="S883" s="3"/>
      <c r="T883" s="260" t="s">
        <v>3238</v>
      </c>
      <c r="U883" s="261" t="s">
        <v>3239</v>
      </c>
      <c r="V883" s="22" t="s">
        <v>582</v>
      </c>
      <c r="W883" s="22">
        <v>0</v>
      </c>
      <c r="X883" s="260"/>
      <c r="AE883" s="1">
        <v>0</v>
      </c>
      <c r="AF883" s="3"/>
      <c r="AG883" s="3">
        <v>0</v>
      </c>
      <c r="AH883" s="3"/>
      <c r="AI883" s="3"/>
      <c r="AJ883" s="3"/>
      <c r="AN883" s="18" t="s">
        <v>3240</v>
      </c>
      <c r="AO883" s="93"/>
      <c r="AP883" s="93"/>
      <c r="AQ883" s="1" t="s">
        <v>3235</v>
      </c>
    </row>
    <row r="884" spans="1:44">
      <c r="A884" s="3">
        <v>9000007</v>
      </c>
      <c r="B884" s="65" t="s">
        <v>3197</v>
      </c>
      <c r="C884" s="282" t="s">
        <v>3241</v>
      </c>
      <c r="D884" s="3">
        <v>0</v>
      </c>
      <c r="E884" s="3" t="s">
        <v>82</v>
      </c>
      <c r="F884" s="3">
        <v>1</v>
      </c>
      <c r="G884" s="3">
        <v>0</v>
      </c>
      <c r="H884" s="3" t="s">
        <v>82</v>
      </c>
      <c r="I884" s="3" t="s">
        <v>101</v>
      </c>
      <c r="J884" s="3"/>
      <c r="K884" s="3"/>
      <c r="L884" s="365"/>
      <c r="M884" s="99"/>
      <c r="N884" s="99"/>
      <c r="O884" s="3" t="s">
        <v>3237</v>
      </c>
      <c r="P884" s="22"/>
      <c r="Q884" s="22"/>
      <c r="R884" s="22" t="s">
        <v>85</v>
      </c>
      <c r="S884" s="3"/>
      <c r="T884" s="260" t="s">
        <v>3238</v>
      </c>
      <c r="U884" s="261" t="s">
        <v>3239</v>
      </c>
      <c r="V884" s="22" t="s">
        <v>582</v>
      </c>
      <c r="W884" s="22">
        <v>0</v>
      </c>
      <c r="X884" s="260"/>
      <c r="AE884" s="1">
        <v>0</v>
      </c>
      <c r="AF884" s="3"/>
      <c r="AG884" s="3">
        <v>0</v>
      </c>
      <c r="AH884" s="3"/>
      <c r="AI884" s="3"/>
      <c r="AJ884" s="3"/>
      <c r="AN884" s="25" t="s">
        <v>3242</v>
      </c>
      <c r="AO884" s="93"/>
      <c r="AP884" s="93"/>
      <c r="AQ884" s="1" t="s">
        <v>3235</v>
      </c>
    </row>
    <row r="885" spans="1:44">
      <c r="A885" s="3">
        <v>9000013</v>
      </c>
      <c r="B885" s="65" t="s">
        <v>3228</v>
      </c>
      <c r="C885" s="3" t="s">
        <v>3243</v>
      </c>
      <c r="D885" s="3" t="s">
        <v>3197</v>
      </c>
      <c r="E885" s="3" t="s">
        <v>3228</v>
      </c>
      <c r="F885" s="3">
        <v>1</v>
      </c>
      <c r="G885" s="3">
        <v>0</v>
      </c>
      <c r="H885" s="3" t="s">
        <v>82</v>
      </c>
      <c r="I885" s="3" t="s">
        <v>3198</v>
      </c>
      <c r="J885" s="3"/>
      <c r="K885" s="3"/>
      <c r="L885" s="365" t="s">
        <v>3229</v>
      </c>
      <c r="M885" s="99"/>
      <c r="N885" s="99"/>
      <c r="O885" s="3" t="s">
        <v>3228</v>
      </c>
      <c r="P885" s="22"/>
      <c r="Q885" s="22">
        <v>0</v>
      </c>
      <c r="R885" s="22"/>
      <c r="S885" s="3">
        <v>9000013</v>
      </c>
      <c r="T885" s="260"/>
      <c r="U885" s="261"/>
      <c r="V885" s="22" t="s">
        <v>582</v>
      </c>
      <c r="W885" s="3" t="s">
        <v>3229</v>
      </c>
      <c r="X885" s="637" t="s">
        <v>3229</v>
      </c>
      <c r="Y885" s="137"/>
      <c r="Z885" s="137"/>
      <c r="AE885" s="1">
        <v>2</v>
      </c>
      <c r="AF885" s="3"/>
      <c r="AG885" s="3"/>
      <c r="AH885" s="3"/>
      <c r="AI885" s="539"/>
      <c r="AJ885" s="539"/>
      <c r="AN885" s="538"/>
      <c r="AQ885" s="1" t="s">
        <v>3231</v>
      </c>
    </row>
    <row r="886" spans="1:44">
      <c r="A886" s="3">
        <v>9010001</v>
      </c>
      <c r="B886" s="3" t="s">
        <v>79</v>
      </c>
      <c r="C886" s="65" t="s">
        <v>3244</v>
      </c>
      <c r="D886" s="3" t="s">
        <v>3197</v>
      </c>
      <c r="E886" s="3" t="s">
        <v>79</v>
      </c>
      <c r="F886" s="3">
        <v>1</v>
      </c>
      <c r="G886" s="3">
        <v>1</v>
      </c>
      <c r="H886" s="3" t="s">
        <v>82</v>
      </c>
      <c r="I886" s="3" t="s">
        <v>3198</v>
      </c>
      <c r="J886" s="3"/>
      <c r="K886" s="3"/>
      <c r="L886" s="537" t="s">
        <v>3245</v>
      </c>
      <c r="M886" s="99"/>
      <c r="N886" s="99"/>
      <c r="O886" s="3"/>
      <c r="P886" s="22">
        <v>1</v>
      </c>
      <c r="Q886" s="22">
        <v>0</v>
      </c>
      <c r="R886" s="22" t="s">
        <v>85</v>
      </c>
      <c r="S886" s="3">
        <v>9010001</v>
      </c>
      <c r="T886" s="260" t="s">
        <v>3246</v>
      </c>
      <c r="U886" s="261" t="s">
        <v>3247</v>
      </c>
      <c r="V886" s="22" t="s">
        <v>582</v>
      </c>
      <c r="W886" s="3" t="s">
        <v>3248</v>
      </c>
      <c r="X886" s="637" t="s">
        <v>3248</v>
      </c>
      <c r="AE886" s="1">
        <v>0</v>
      </c>
      <c r="AF886" s="3">
        <v>0</v>
      </c>
      <c r="AG886" s="3">
        <v>0</v>
      </c>
      <c r="AH886" s="3"/>
      <c r="AI886" s="1">
        <v>15</v>
      </c>
      <c r="AJ886" s="539">
        <v>15</v>
      </c>
      <c r="AN886" s="540" t="s">
        <v>3249</v>
      </c>
      <c r="AO886" s="540"/>
      <c r="AP886" s="540"/>
      <c r="AQ886" s="1" t="s">
        <v>3250</v>
      </c>
    </row>
    <row r="887" spans="1:44">
      <c r="A887" s="3">
        <v>9010002</v>
      </c>
      <c r="B887" s="3" t="s">
        <v>79</v>
      </c>
      <c r="C887" s="634" t="s">
        <v>3251</v>
      </c>
      <c r="D887" s="3" t="s">
        <v>3197</v>
      </c>
      <c r="E887" s="3" t="s">
        <v>79</v>
      </c>
      <c r="F887" s="3">
        <v>1</v>
      </c>
      <c r="G887" s="3">
        <v>1</v>
      </c>
      <c r="H887" s="3" t="s">
        <v>82</v>
      </c>
      <c r="I887" s="3" t="s">
        <v>3198</v>
      </c>
      <c r="J887" s="3"/>
      <c r="K887" s="3"/>
      <c r="L887" s="537" t="s">
        <v>3252</v>
      </c>
      <c r="M887" s="99"/>
      <c r="N887" s="99"/>
      <c r="O887" s="3"/>
      <c r="P887" s="22">
        <v>1</v>
      </c>
      <c r="Q887" s="22">
        <v>0</v>
      </c>
      <c r="R887" s="22" t="s">
        <v>85</v>
      </c>
      <c r="S887" s="3">
        <v>9010002</v>
      </c>
      <c r="T887" s="260" t="s">
        <v>3253</v>
      </c>
      <c r="U887" s="261" t="s">
        <v>3254</v>
      </c>
      <c r="V887" s="22" t="s">
        <v>582</v>
      </c>
      <c r="W887" s="3" t="s">
        <v>3248</v>
      </c>
      <c r="X887" s="637" t="s">
        <v>3248</v>
      </c>
      <c r="AE887" s="1">
        <v>0</v>
      </c>
      <c r="AF887" s="3">
        <v>0</v>
      </c>
      <c r="AG887" s="3">
        <v>0</v>
      </c>
      <c r="AH887" s="3"/>
      <c r="AI887" s="1">
        <v>20</v>
      </c>
      <c r="AJ887" s="539">
        <v>18</v>
      </c>
      <c r="AN887" s="540" t="s">
        <v>3255</v>
      </c>
      <c r="AO887" s="540"/>
      <c r="AP887" s="540"/>
      <c r="AQ887" s="1" t="s">
        <v>3256</v>
      </c>
    </row>
    <row r="888" spans="1:44">
      <c r="A888" s="3">
        <v>9010003</v>
      </c>
      <c r="B888" s="3" t="s">
        <v>79</v>
      </c>
      <c r="C888" s="65" t="s">
        <v>3257</v>
      </c>
      <c r="D888" s="3" t="s">
        <v>3197</v>
      </c>
      <c r="E888" s="3" t="s">
        <v>79</v>
      </c>
      <c r="F888" s="3">
        <v>1</v>
      </c>
      <c r="G888" s="3">
        <v>1</v>
      </c>
      <c r="H888" s="3" t="s">
        <v>82</v>
      </c>
      <c r="I888" s="3" t="s">
        <v>3198</v>
      </c>
      <c r="J888" s="3"/>
      <c r="K888" s="3"/>
      <c r="L888" s="365" t="s">
        <v>3258</v>
      </c>
      <c r="M888" s="99"/>
      <c r="N888" s="99"/>
      <c r="O888" s="3"/>
      <c r="P888" s="22">
        <v>1</v>
      </c>
      <c r="Q888" s="22">
        <v>0</v>
      </c>
      <c r="R888" s="22" t="s">
        <v>85</v>
      </c>
      <c r="S888" s="3">
        <v>9010003</v>
      </c>
      <c r="T888" s="260" t="s">
        <v>3259</v>
      </c>
      <c r="U888" s="261" t="s">
        <v>3260</v>
      </c>
      <c r="V888" s="22" t="s">
        <v>582</v>
      </c>
      <c r="W888" s="3" t="s">
        <v>3248</v>
      </c>
      <c r="X888" s="637" t="s">
        <v>3248</v>
      </c>
      <c r="AE888" s="1">
        <v>0</v>
      </c>
      <c r="AF888" s="3">
        <v>0</v>
      </c>
      <c r="AG888" s="3">
        <v>0</v>
      </c>
      <c r="AH888" s="3"/>
      <c r="AI888" s="539">
        <v>25</v>
      </c>
      <c r="AJ888" s="539">
        <v>20</v>
      </c>
      <c r="AN888" s="540" t="s">
        <v>3261</v>
      </c>
      <c r="AO888" s="540"/>
      <c r="AP888" s="540"/>
      <c r="AQ888" s="1" t="s">
        <v>3262</v>
      </c>
    </row>
    <row r="889" spans="1:44">
      <c r="A889" s="3">
        <v>9010004</v>
      </c>
      <c r="B889" s="3" t="s">
        <v>79</v>
      </c>
      <c r="C889" s="65" t="s">
        <v>3263</v>
      </c>
      <c r="D889" s="3" t="s">
        <v>3197</v>
      </c>
      <c r="E889" s="3" t="s">
        <v>79</v>
      </c>
      <c r="F889" s="3">
        <v>1</v>
      </c>
      <c r="G889" s="3">
        <v>1</v>
      </c>
      <c r="H889" s="3" t="s">
        <v>82</v>
      </c>
      <c r="I889" s="3" t="s">
        <v>3198</v>
      </c>
      <c r="J889" s="3"/>
      <c r="K889" s="3"/>
      <c r="L889" s="365" t="s">
        <v>3264</v>
      </c>
      <c r="M889" s="99"/>
      <c r="N889" s="99"/>
      <c r="O889" s="3"/>
      <c r="P889" s="22">
        <v>1</v>
      </c>
      <c r="Q889" s="22">
        <v>0</v>
      </c>
      <c r="R889" s="22" t="s">
        <v>85</v>
      </c>
      <c r="S889" s="3">
        <v>9010004</v>
      </c>
      <c r="T889" s="260" t="s">
        <v>3265</v>
      </c>
      <c r="U889" s="261" t="s">
        <v>3266</v>
      </c>
      <c r="V889" s="22" t="s">
        <v>582</v>
      </c>
      <c r="W889" s="3" t="s">
        <v>3248</v>
      </c>
      <c r="X889" s="637" t="s">
        <v>3248</v>
      </c>
      <c r="AE889" s="1">
        <v>0</v>
      </c>
      <c r="AF889" s="3">
        <v>0</v>
      </c>
      <c r="AG889" s="3">
        <v>0</v>
      </c>
      <c r="AH889" s="3"/>
      <c r="AI889" s="539">
        <v>30</v>
      </c>
      <c r="AJ889" s="539">
        <v>23</v>
      </c>
      <c r="AN889" s="540" t="s">
        <v>3267</v>
      </c>
      <c r="AO889" s="540"/>
      <c r="AP889" s="540"/>
      <c r="AQ889" s="1" t="s">
        <v>3268</v>
      </c>
    </row>
    <row r="890" spans="1:44" ht="15" customHeight="1">
      <c r="A890" s="3">
        <v>9010005</v>
      </c>
      <c r="B890" s="3" t="s">
        <v>79</v>
      </c>
      <c r="C890" s="3" t="s">
        <v>3269</v>
      </c>
      <c r="D890" s="3" t="s">
        <v>3197</v>
      </c>
      <c r="E890" s="3" t="s">
        <v>79</v>
      </c>
      <c r="F890" s="3">
        <v>1</v>
      </c>
      <c r="G890" s="3">
        <v>1</v>
      </c>
      <c r="H890" s="3" t="s">
        <v>82</v>
      </c>
      <c r="I890" s="3" t="s">
        <v>3198</v>
      </c>
      <c r="J890" s="3"/>
      <c r="K890" s="3"/>
      <c r="L890" s="365" t="s">
        <v>3270</v>
      </c>
      <c r="M890" s="99"/>
      <c r="N890" s="99"/>
      <c r="O890" s="3"/>
      <c r="P890" s="22">
        <v>2</v>
      </c>
      <c r="Q890" s="22">
        <v>0</v>
      </c>
      <c r="R890" s="22" t="s">
        <v>85</v>
      </c>
      <c r="S890" s="3">
        <v>9010005</v>
      </c>
      <c r="T890" s="260" t="s">
        <v>3271</v>
      </c>
      <c r="U890" s="261" t="s">
        <v>3272</v>
      </c>
      <c r="V890" s="22" t="s">
        <v>582</v>
      </c>
      <c r="W890" s="22" t="s">
        <v>3273</v>
      </c>
      <c r="X890" s="260" t="s">
        <v>3273</v>
      </c>
      <c r="AB890" s="111" t="s">
        <v>90</v>
      </c>
      <c r="AC890" s="1" t="s">
        <v>3274</v>
      </c>
      <c r="AE890" s="1">
        <v>2</v>
      </c>
      <c r="AF890" s="3">
        <v>0</v>
      </c>
      <c r="AG890" s="3">
        <v>1</v>
      </c>
      <c r="AH890" s="3"/>
      <c r="AI890" s="3">
        <v>52</v>
      </c>
      <c r="AJ890" s="3">
        <v>39</v>
      </c>
      <c r="AN890" s="540" t="s">
        <v>3275</v>
      </c>
      <c r="AO890" s="540"/>
      <c r="AP890" s="540"/>
      <c r="AQ890" s="1" t="s">
        <v>3276</v>
      </c>
      <c r="AR890" s="222">
        <v>223</v>
      </c>
    </row>
    <row r="891" spans="1:44">
      <c r="A891" s="3">
        <v>9010006</v>
      </c>
      <c r="B891" s="3" t="s">
        <v>79</v>
      </c>
      <c r="C891" s="3" t="s">
        <v>3269</v>
      </c>
      <c r="D891" s="3" t="s">
        <v>3197</v>
      </c>
      <c r="E891" s="3" t="s">
        <v>79</v>
      </c>
      <c r="F891" s="3">
        <v>1</v>
      </c>
      <c r="G891" s="3">
        <v>1</v>
      </c>
      <c r="H891" s="3" t="s">
        <v>82</v>
      </c>
      <c r="I891" s="3" t="s">
        <v>3198</v>
      </c>
      <c r="J891" s="3"/>
      <c r="K891" s="3"/>
      <c r="L891" s="365" t="s">
        <v>3277</v>
      </c>
      <c r="M891" s="99"/>
      <c r="N891" s="99"/>
      <c r="O891" s="3"/>
      <c r="P891" s="22">
        <v>3</v>
      </c>
      <c r="Q891" s="22">
        <v>0</v>
      </c>
      <c r="R891" s="22" t="s">
        <v>85</v>
      </c>
      <c r="S891" s="3">
        <v>9010006</v>
      </c>
      <c r="T891" s="260" t="s">
        <v>3271</v>
      </c>
      <c r="U891" s="261" t="s">
        <v>3272</v>
      </c>
      <c r="V891" s="22" t="s">
        <v>582</v>
      </c>
      <c r="W891" s="3" t="s">
        <v>3273</v>
      </c>
      <c r="X891" s="637" t="s">
        <v>3273</v>
      </c>
      <c r="AB891" s="111" t="s">
        <v>90</v>
      </c>
      <c r="AC891" s="1" t="s">
        <v>1155</v>
      </c>
      <c r="AE891" s="1">
        <v>2</v>
      </c>
      <c r="AF891" s="3">
        <v>0</v>
      </c>
      <c r="AG891" s="3">
        <v>1</v>
      </c>
      <c r="AH891" s="3"/>
      <c r="AI891" s="3">
        <v>52</v>
      </c>
      <c r="AJ891" s="3">
        <v>39</v>
      </c>
      <c r="AN891" s="540" t="s">
        <v>3275</v>
      </c>
      <c r="AO891" s="540"/>
      <c r="AP891" s="540"/>
      <c r="AQ891" s="1" t="s">
        <v>3276</v>
      </c>
      <c r="AR891" s="222">
        <v>223</v>
      </c>
    </row>
    <row r="892" spans="1:44">
      <c r="A892" s="3">
        <v>9010007</v>
      </c>
      <c r="B892" s="3" t="s">
        <v>79</v>
      </c>
      <c r="C892" s="3" t="s">
        <v>2785</v>
      </c>
      <c r="D892" s="3" t="s">
        <v>3197</v>
      </c>
      <c r="E892" s="3" t="s">
        <v>2785</v>
      </c>
      <c r="F892" s="3">
        <v>1</v>
      </c>
      <c r="G892" s="3">
        <v>1</v>
      </c>
      <c r="H892" s="3" t="s">
        <v>82</v>
      </c>
      <c r="I892" s="3" t="s">
        <v>3198</v>
      </c>
      <c r="J892" s="3"/>
      <c r="K892" s="3"/>
      <c r="L892" s="537" t="s">
        <v>3278</v>
      </c>
      <c r="M892" s="99"/>
      <c r="N892" s="99"/>
      <c r="O892" s="537" t="s">
        <v>3225</v>
      </c>
      <c r="P892" s="22">
        <v>0</v>
      </c>
      <c r="Q892" s="22">
        <v>0</v>
      </c>
      <c r="R892" s="22"/>
      <c r="S892" s="3">
        <v>9010007</v>
      </c>
      <c r="T892" s="260"/>
      <c r="U892" s="261">
        <v>0</v>
      </c>
      <c r="V892" s="22" t="s">
        <v>582</v>
      </c>
      <c r="W892" s="3" t="s">
        <v>3226</v>
      </c>
      <c r="X892" s="637" t="s">
        <v>3226</v>
      </c>
      <c r="AA892" s="111">
        <v>1</v>
      </c>
      <c r="AE892" s="1">
        <v>2</v>
      </c>
      <c r="AF892" s="3">
        <v>0</v>
      </c>
      <c r="AG892" s="3">
        <v>1</v>
      </c>
      <c r="AH892" s="3"/>
      <c r="AI892" s="3">
        <v>0</v>
      </c>
      <c r="AJ892" s="3">
        <v>0</v>
      </c>
      <c r="AN892" s="540" t="s">
        <v>3279</v>
      </c>
      <c r="AO892" s="540" t="s">
        <v>3280</v>
      </c>
      <c r="AP892" s="540"/>
      <c r="AQ892" s="1" t="s">
        <v>3227</v>
      </c>
    </row>
    <row r="893" spans="1:44">
      <c r="A893" s="3">
        <v>9010008</v>
      </c>
      <c r="B893" s="3" t="s">
        <v>79</v>
      </c>
      <c r="C893" s="3" t="s">
        <v>3236</v>
      </c>
      <c r="D893" s="3" t="s">
        <v>3197</v>
      </c>
      <c r="E893" s="3" t="s">
        <v>2785</v>
      </c>
      <c r="F893" s="3">
        <v>1</v>
      </c>
      <c r="G893" s="3">
        <v>0</v>
      </c>
      <c r="H893" s="3" t="s">
        <v>82</v>
      </c>
      <c r="I893" s="3" t="s">
        <v>3198</v>
      </c>
      <c r="J893" s="3"/>
      <c r="K893" s="3"/>
      <c r="L893" s="537"/>
      <c r="M893" s="99"/>
      <c r="N893" s="99"/>
      <c r="O893" s="3" t="s">
        <v>3225</v>
      </c>
      <c r="P893" s="22"/>
      <c r="Q893" s="22">
        <v>0</v>
      </c>
      <c r="R893" s="22"/>
      <c r="S893" s="3">
        <v>9000002</v>
      </c>
      <c r="T893" s="260"/>
      <c r="U893" s="261"/>
      <c r="V893" s="22" t="s">
        <v>582</v>
      </c>
      <c r="W893" s="3" t="s">
        <v>3226</v>
      </c>
      <c r="X893" s="637" t="s">
        <v>3226</v>
      </c>
      <c r="AE893" s="1">
        <v>2</v>
      </c>
      <c r="AF893" s="3">
        <v>0</v>
      </c>
      <c r="AG893" s="3">
        <v>1</v>
      </c>
      <c r="AH893" s="3"/>
      <c r="AI893" s="1">
        <v>0</v>
      </c>
      <c r="AJ893" s="539">
        <v>0</v>
      </c>
      <c r="AN893" s="540" t="s">
        <v>3281</v>
      </c>
      <c r="AO893" s="540"/>
      <c r="AP893" s="540"/>
      <c r="AQ893" s="1" t="s">
        <v>3227</v>
      </c>
    </row>
    <row r="894" spans="1:44">
      <c r="A894" s="3">
        <v>9020001</v>
      </c>
      <c r="B894" s="3" t="s">
        <v>325</v>
      </c>
      <c r="C894" s="3" t="s">
        <v>3282</v>
      </c>
      <c r="D894" s="3" t="s">
        <v>3197</v>
      </c>
      <c r="E894" s="3" t="s">
        <v>325</v>
      </c>
      <c r="F894" s="3">
        <v>1</v>
      </c>
      <c r="G894" s="3">
        <v>2</v>
      </c>
      <c r="H894" s="3" t="s">
        <v>82</v>
      </c>
      <c r="I894" s="3" t="s">
        <v>3198</v>
      </c>
      <c r="J894" s="3"/>
      <c r="K894" s="3"/>
      <c r="L894" s="537"/>
      <c r="M894" s="99"/>
      <c r="N894" s="99"/>
      <c r="O894" s="3"/>
      <c r="P894" s="22">
        <v>2</v>
      </c>
      <c r="Q894" s="22">
        <v>0</v>
      </c>
      <c r="R894" s="22" t="s">
        <v>85</v>
      </c>
      <c r="S894" s="3">
        <v>9020001</v>
      </c>
      <c r="T894" s="319" t="s">
        <v>3253</v>
      </c>
      <c r="U894" s="320" t="s">
        <v>3254</v>
      </c>
      <c r="V894" s="22" t="s">
        <v>582</v>
      </c>
      <c r="W894" s="3" t="s">
        <v>3283</v>
      </c>
      <c r="X894" s="637" t="s">
        <v>3283</v>
      </c>
      <c r="AA894" s="111">
        <v>1</v>
      </c>
      <c r="AE894" s="1">
        <v>0</v>
      </c>
      <c r="AF894" s="3">
        <v>0</v>
      </c>
      <c r="AG894" s="3">
        <v>0</v>
      </c>
      <c r="AH894" s="3"/>
      <c r="AI894" s="3">
        <v>20</v>
      </c>
      <c r="AJ894" s="3">
        <v>19</v>
      </c>
      <c r="AN894" s="540" t="s">
        <v>3284</v>
      </c>
      <c r="AO894" s="540"/>
      <c r="AP894" s="540"/>
      <c r="AQ894" s="1" t="s">
        <v>3285</v>
      </c>
    </row>
    <row r="895" spans="1:44">
      <c r="A895" s="3">
        <v>9020002</v>
      </c>
      <c r="B895" s="65" t="s">
        <v>325</v>
      </c>
      <c r="C895" s="3" t="s">
        <v>3286</v>
      </c>
      <c r="D895" s="3" t="s">
        <v>3197</v>
      </c>
      <c r="E895" s="3" t="s">
        <v>325</v>
      </c>
      <c r="F895" s="3">
        <v>1</v>
      </c>
      <c r="G895" s="3">
        <v>2</v>
      </c>
      <c r="H895" s="3" t="s">
        <v>82</v>
      </c>
      <c r="I895" s="3" t="s">
        <v>3198</v>
      </c>
      <c r="J895" s="3"/>
      <c r="K895" s="3"/>
      <c r="L895" s="365"/>
      <c r="M895" s="99"/>
      <c r="N895" s="99"/>
      <c r="O895" s="3"/>
      <c r="P895" s="22">
        <v>2</v>
      </c>
      <c r="Q895" s="22">
        <v>0</v>
      </c>
      <c r="R895" s="22" t="s">
        <v>85</v>
      </c>
      <c r="S895" s="3">
        <v>9020002</v>
      </c>
      <c r="T895" s="319" t="s">
        <v>3259</v>
      </c>
      <c r="U895" s="320" t="s">
        <v>3260</v>
      </c>
      <c r="V895" s="22" t="s">
        <v>582</v>
      </c>
      <c r="W895" s="3" t="s">
        <v>3283</v>
      </c>
      <c r="X895" s="637" t="s">
        <v>3283</v>
      </c>
      <c r="AA895" s="111">
        <v>1</v>
      </c>
      <c r="AE895" s="1">
        <v>0</v>
      </c>
      <c r="AF895" s="3">
        <v>0</v>
      </c>
      <c r="AG895" s="3">
        <v>0</v>
      </c>
      <c r="AH895" s="3"/>
      <c r="AI895" s="3">
        <v>30</v>
      </c>
      <c r="AJ895" s="3">
        <v>26</v>
      </c>
      <c r="AN895" s="540" t="s">
        <v>3287</v>
      </c>
      <c r="AO895" s="540"/>
      <c r="AP895" s="540"/>
      <c r="AQ895" s="1" t="s">
        <v>3288</v>
      </c>
    </row>
    <row r="896" spans="1:44">
      <c r="A896" s="3">
        <v>9020003</v>
      </c>
      <c r="B896" s="65" t="s">
        <v>325</v>
      </c>
      <c r="C896" s="3" t="s">
        <v>3289</v>
      </c>
      <c r="D896" s="3" t="s">
        <v>3197</v>
      </c>
      <c r="E896" s="3" t="s">
        <v>325</v>
      </c>
      <c r="F896" s="3">
        <v>1</v>
      </c>
      <c r="G896" s="3">
        <v>2</v>
      </c>
      <c r="H896" s="3" t="s">
        <v>82</v>
      </c>
      <c r="I896" s="3" t="s">
        <v>3198</v>
      </c>
      <c r="J896" s="3"/>
      <c r="K896" s="3"/>
      <c r="L896" s="365"/>
      <c r="M896" s="99"/>
      <c r="N896" s="99"/>
      <c r="O896" s="3"/>
      <c r="P896" s="22">
        <v>2</v>
      </c>
      <c r="Q896" s="22">
        <v>0</v>
      </c>
      <c r="R896" s="22" t="s">
        <v>85</v>
      </c>
      <c r="S896" s="3">
        <v>9020003</v>
      </c>
      <c r="T896" s="319" t="s">
        <v>3265</v>
      </c>
      <c r="U896" s="320" t="s">
        <v>3266</v>
      </c>
      <c r="V896" s="22" t="s">
        <v>582</v>
      </c>
      <c r="W896" s="3" t="s">
        <v>3283</v>
      </c>
      <c r="X896" s="637" t="s">
        <v>3283</v>
      </c>
      <c r="AA896" s="111">
        <v>1</v>
      </c>
      <c r="AE896" s="1">
        <v>0</v>
      </c>
      <c r="AF896" s="3">
        <v>0</v>
      </c>
      <c r="AG896" s="3">
        <v>0</v>
      </c>
      <c r="AH896" s="3"/>
      <c r="AI896" s="3">
        <v>40</v>
      </c>
      <c r="AJ896" s="3">
        <v>32</v>
      </c>
      <c r="AN896" s="540" t="s">
        <v>3290</v>
      </c>
      <c r="AO896" s="540"/>
      <c r="AP896" s="540"/>
      <c r="AQ896" s="1" t="s">
        <v>3291</v>
      </c>
    </row>
    <row r="897" spans="1:44">
      <c r="A897" s="3">
        <v>9020011</v>
      </c>
      <c r="B897" s="65" t="s">
        <v>325</v>
      </c>
      <c r="C897" s="3" t="s">
        <v>3292</v>
      </c>
      <c r="D897" s="3" t="s">
        <v>3197</v>
      </c>
      <c r="E897" s="3" t="s">
        <v>325</v>
      </c>
      <c r="F897" s="3">
        <v>1</v>
      </c>
      <c r="G897" s="3">
        <v>2</v>
      </c>
      <c r="H897" s="3" t="s">
        <v>82</v>
      </c>
      <c r="I897" s="3" t="s">
        <v>3198</v>
      </c>
      <c r="J897" s="3"/>
      <c r="K897" s="3"/>
      <c r="L897" s="365" t="s">
        <v>3270</v>
      </c>
      <c r="M897" s="99"/>
      <c r="N897" s="99"/>
      <c r="O897" s="3"/>
      <c r="P897" s="22">
        <v>2</v>
      </c>
      <c r="Q897" s="22">
        <v>0</v>
      </c>
      <c r="R897" s="22" t="s">
        <v>85</v>
      </c>
      <c r="S897" s="3">
        <v>9020011</v>
      </c>
      <c r="T897" s="260" t="s">
        <v>3271</v>
      </c>
      <c r="U897" s="261" t="s">
        <v>3272</v>
      </c>
      <c r="V897" s="22" t="s">
        <v>582</v>
      </c>
      <c r="W897" s="22" t="s">
        <v>3293</v>
      </c>
      <c r="X897" s="260" t="s">
        <v>3293</v>
      </c>
      <c r="AA897" s="111">
        <v>1</v>
      </c>
      <c r="AE897" s="1">
        <v>2</v>
      </c>
      <c r="AF897" s="3">
        <v>0</v>
      </c>
      <c r="AG897" s="3">
        <v>1</v>
      </c>
      <c r="AH897" s="3"/>
      <c r="AI897" s="3">
        <v>65</v>
      </c>
      <c r="AJ897" s="3">
        <v>26</v>
      </c>
      <c r="AN897" s="540" t="s">
        <v>3294</v>
      </c>
      <c r="AO897" s="540"/>
      <c r="AP897" s="540"/>
      <c r="AQ897" s="1" t="s">
        <v>3295</v>
      </c>
      <c r="AR897" s="222">
        <v>188</v>
      </c>
    </row>
    <row r="898" spans="1:44">
      <c r="A898" s="3">
        <v>9020012</v>
      </c>
      <c r="B898" s="3" t="s">
        <v>325</v>
      </c>
      <c r="C898" s="3" t="s">
        <v>3292</v>
      </c>
      <c r="D898" s="3" t="s">
        <v>3197</v>
      </c>
      <c r="E898" s="3" t="s">
        <v>325</v>
      </c>
      <c r="F898" s="3">
        <v>1</v>
      </c>
      <c r="G898" s="3">
        <v>2</v>
      </c>
      <c r="H898" s="3" t="s">
        <v>82</v>
      </c>
      <c r="I898" s="3" t="s">
        <v>3198</v>
      </c>
      <c r="J898" s="3"/>
      <c r="K898" s="3"/>
      <c r="L898" s="3" t="s">
        <v>3277</v>
      </c>
      <c r="M898" s="99"/>
      <c r="N898" s="99"/>
      <c r="O898" s="3"/>
      <c r="P898" s="22">
        <v>2</v>
      </c>
      <c r="Q898" s="22">
        <v>0</v>
      </c>
      <c r="R898" s="22" t="s">
        <v>85</v>
      </c>
      <c r="S898" s="3">
        <v>9020012</v>
      </c>
      <c r="T898" s="260" t="s">
        <v>3271</v>
      </c>
      <c r="U898" s="261" t="s">
        <v>3272</v>
      </c>
      <c r="V898" s="22" t="s">
        <v>582</v>
      </c>
      <c r="W898" s="3" t="s">
        <v>3293</v>
      </c>
      <c r="X898" s="637" t="s">
        <v>3293</v>
      </c>
      <c r="AA898" s="111">
        <v>1</v>
      </c>
      <c r="AE898" s="1">
        <v>2</v>
      </c>
      <c r="AF898" s="1">
        <v>0</v>
      </c>
      <c r="AG898" s="1">
        <v>1</v>
      </c>
      <c r="AI898" s="1">
        <v>65</v>
      </c>
      <c r="AJ898" s="1">
        <v>52</v>
      </c>
      <c r="AN898" s="93" t="s">
        <v>3294</v>
      </c>
      <c r="AO898" s="93"/>
      <c r="AP898" s="93"/>
      <c r="AQ898" s="1" t="s">
        <v>3295</v>
      </c>
      <c r="AR898" s="222">
        <v>188</v>
      </c>
    </row>
    <row r="899" spans="1:44">
      <c r="A899" s="3">
        <v>9020021</v>
      </c>
      <c r="B899" s="3" t="s">
        <v>325</v>
      </c>
      <c r="C899" s="3" t="s">
        <v>2785</v>
      </c>
      <c r="D899" s="3" t="s">
        <v>3197</v>
      </c>
      <c r="E899" s="3" t="s">
        <v>2785</v>
      </c>
      <c r="F899" s="3">
        <v>1</v>
      </c>
      <c r="G899" s="3">
        <v>2</v>
      </c>
      <c r="H899" s="3" t="s">
        <v>82</v>
      </c>
      <c r="I899" s="3" t="s">
        <v>3198</v>
      </c>
      <c r="J899" s="3"/>
      <c r="K899" s="3"/>
      <c r="L899" s="3" t="s">
        <v>3278</v>
      </c>
      <c r="M899" s="99"/>
      <c r="N899" s="99"/>
      <c r="O899" s="3" t="s">
        <v>3225</v>
      </c>
      <c r="P899" s="22">
        <v>0</v>
      </c>
      <c r="Q899" s="22">
        <v>0</v>
      </c>
      <c r="R899" s="22"/>
      <c r="S899" s="3">
        <v>9020021</v>
      </c>
      <c r="T899" s="260"/>
      <c r="U899" s="261">
        <v>0</v>
      </c>
      <c r="V899" s="22" t="s">
        <v>582</v>
      </c>
      <c r="W899" s="3" t="s">
        <v>3226</v>
      </c>
      <c r="X899" s="637" t="s">
        <v>3226</v>
      </c>
      <c r="AA899" s="111">
        <v>1</v>
      </c>
      <c r="AE899" s="1">
        <v>2</v>
      </c>
      <c r="AF899" s="1">
        <v>0</v>
      </c>
      <c r="AG899" s="1">
        <v>1</v>
      </c>
      <c r="AI899" s="1">
        <v>0</v>
      </c>
      <c r="AJ899" s="1">
        <v>0</v>
      </c>
      <c r="AN899" s="93" t="s">
        <v>3296</v>
      </c>
      <c r="AO899" s="93" t="s">
        <v>3297</v>
      </c>
      <c r="AP899" s="93"/>
      <c r="AQ899" s="1" t="s">
        <v>3227</v>
      </c>
    </row>
    <row r="900" spans="1:44" ht="15" customHeight="1">
      <c r="A900" s="3">
        <v>9020022</v>
      </c>
      <c r="B900" s="3" t="s">
        <v>325</v>
      </c>
      <c r="C900" s="3" t="s">
        <v>3236</v>
      </c>
      <c r="D900" s="3" t="s">
        <v>3197</v>
      </c>
      <c r="E900" s="3" t="s">
        <v>2785</v>
      </c>
      <c r="F900" s="3">
        <v>1</v>
      </c>
      <c r="G900" s="3">
        <v>0</v>
      </c>
      <c r="H900" s="3" t="s">
        <v>82</v>
      </c>
      <c r="I900" s="3" t="s">
        <v>3198</v>
      </c>
      <c r="J900" s="3"/>
      <c r="K900" s="3"/>
      <c r="L900" s="537"/>
      <c r="M900" s="99"/>
      <c r="N900" s="99"/>
      <c r="O900" s="3" t="s">
        <v>3225</v>
      </c>
      <c r="P900" s="22"/>
      <c r="Q900" s="22">
        <v>0</v>
      </c>
      <c r="R900" s="22"/>
      <c r="S900" s="3">
        <v>9000002</v>
      </c>
      <c r="T900" s="260"/>
      <c r="U900" s="261"/>
      <c r="V900" s="22" t="s">
        <v>582</v>
      </c>
      <c r="W900" s="3" t="s">
        <v>3226</v>
      </c>
      <c r="X900" s="637" t="s">
        <v>3226</v>
      </c>
      <c r="AE900" s="1">
        <v>2</v>
      </c>
      <c r="AF900" s="3">
        <v>0</v>
      </c>
      <c r="AG900" s="3">
        <v>1</v>
      </c>
      <c r="AH900" s="3"/>
      <c r="AI900" s="1">
        <v>0</v>
      </c>
      <c r="AJ900" s="539">
        <v>0</v>
      </c>
      <c r="AN900" s="540" t="s">
        <v>3298</v>
      </c>
      <c r="AO900" s="540"/>
      <c r="AP900" s="540"/>
      <c r="AQ900" s="1" t="s">
        <v>3227</v>
      </c>
    </row>
    <row r="901" spans="1:44">
      <c r="A901" s="3">
        <v>9030001</v>
      </c>
      <c r="B901" s="3" t="s">
        <v>655</v>
      </c>
      <c r="C901" s="3" t="s">
        <v>3299</v>
      </c>
      <c r="D901" s="3" t="s">
        <v>3197</v>
      </c>
      <c r="E901" s="3" t="s">
        <v>655</v>
      </c>
      <c r="F901" s="3">
        <v>1</v>
      </c>
      <c r="G901" s="3">
        <v>3</v>
      </c>
      <c r="H901" s="3" t="s">
        <v>82</v>
      </c>
      <c r="I901" s="3" t="s">
        <v>3198</v>
      </c>
      <c r="J901" s="3"/>
      <c r="K901" s="3"/>
      <c r="L901" s="365" t="s">
        <v>3300</v>
      </c>
      <c r="M901" s="99"/>
      <c r="N901" s="99"/>
      <c r="O901" s="3"/>
      <c r="P901" s="22"/>
      <c r="Q901" s="22">
        <v>0</v>
      </c>
      <c r="R901" s="22" t="s">
        <v>85</v>
      </c>
      <c r="S901" s="3">
        <v>9030001</v>
      </c>
      <c r="T901" s="260" t="s">
        <v>3301</v>
      </c>
      <c r="U901" s="261" t="s">
        <v>3302</v>
      </c>
      <c r="V901" s="22" t="s">
        <v>582</v>
      </c>
      <c r="W901" s="3" t="s">
        <v>3303</v>
      </c>
      <c r="X901" s="637" t="s">
        <v>3303</v>
      </c>
      <c r="AB901" s="1"/>
      <c r="AE901" s="1">
        <v>0</v>
      </c>
      <c r="AF901" s="1">
        <v>0</v>
      </c>
      <c r="AG901" s="1">
        <v>0</v>
      </c>
      <c r="AI901" s="1">
        <v>50</v>
      </c>
      <c r="AJ901" s="1">
        <v>23</v>
      </c>
      <c r="AN901" s="93" t="s">
        <v>3304</v>
      </c>
      <c r="AQ901" s="1" t="s">
        <v>3305</v>
      </c>
    </row>
    <row r="902" spans="1:44">
      <c r="A902" s="3">
        <v>9030002</v>
      </c>
      <c r="B902" s="3" t="s">
        <v>655</v>
      </c>
      <c r="C902" s="3" t="s">
        <v>3306</v>
      </c>
      <c r="D902" s="3" t="s">
        <v>3197</v>
      </c>
      <c r="E902" s="3" t="s">
        <v>655</v>
      </c>
      <c r="F902" s="3">
        <v>1</v>
      </c>
      <c r="G902" s="3">
        <v>3</v>
      </c>
      <c r="H902" s="3" t="s">
        <v>82</v>
      </c>
      <c r="I902" s="3" t="s">
        <v>3198</v>
      </c>
      <c r="J902" s="3"/>
      <c r="K902" s="3"/>
      <c r="L902" s="365" t="s">
        <v>3307</v>
      </c>
      <c r="M902" s="99"/>
      <c r="N902" s="99"/>
      <c r="O902" s="3"/>
      <c r="P902" s="22"/>
      <c r="Q902" s="22">
        <v>0</v>
      </c>
      <c r="R902" s="22" t="s">
        <v>85</v>
      </c>
      <c r="S902" s="3">
        <v>9030002</v>
      </c>
      <c r="T902" s="260" t="s">
        <v>3308</v>
      </c>
      <c r="U902" s="261" t="s">
        <v>3309</v>
      </c>
      <c r="V902" s="22" t="s">
        <v>582</v>
      </c>
      <c r="W902" s="3" t="s">
        <v>3303</v>
      </c>
      <c r="X902" s="637" t="s">
        <v>3303</v>
      </c>
      <c r="AB902" s="1"/>
      <c r="AE902" s="1">
        <v>0</v>
      </c>
      <c r="AF902" s="1">
        <v>0</v>
      </c>
      <c r="AG902" s="1">
        <v>0</v>
      </c>
      <c r="AI902" s="1">
        <v>50</v>
      </c>
      <c r="AJ902" s="1">
        <v>23</v>
      </c>
      <c r="AN902" s="93" t="s">
        <v>3310</v>
      </c>
      <c r="AO902" s="93"/>
      <c r="AP902" s="93"/>
      <c r="AQ902" s="1" t="s">
        <v>3311</v>
      </c>
    </row>
    <row r="903" spans="1:44">
      <c r="A903" s="3">
        <v>9030011</v>
      </c>
      <c r="B903" s="3" t="s">
        <v>655</v>
      </c>
      <c r="C903" s="3" t="s">
        <v>3312</v>
      </c>
      <c r="D903" s="3" t="s">
        <v>3197</v>
      </c>
      <c r="E903" s="3" t="s">
        <v>655</v>
      </c>
      <c r="F903" s="3">
        <v>1</v>
      </c>
      <c r="G903" s="3">
        <v>3</v>
      </c>
      <c r="H903" s="3" t="s">
        <v>82</v>
      </c>
      <c r="I903" s="3" t="s">
        <v>3198</v>
      </c>
      <c r="J903" s="3"/>
      <c r="K903" s="3"/>
      <c r="L903" s="365" t="s">
        <v>3270</v>
      </c>
      <c r="M903" s="99"/>
      <c r="N903" s="99"/>
      <c r="O903" s="3"/>
      <c r="P903" s="22"/>
      <c r="Q903" s="22">
        <v>0</v>
      </c>
      <c r="R903" s="22" t="s">
        <v>85</v>
      </c>
      <c r="S903" s="3">
        <v>9030011</v>
      </c>
      <c r="T903" s="260" t="s">
        <v>3271</v>
      </c>
      <c r="U903" s="261" t="s">
        <v>3272</v>
      </c>
      <c r="V903" s="22" t="s">
        <v>582</v>
      </c>
      <c r="W903" s="3" t="s">
        <v>3313</v>
      </c>
      <c r="X903" s="637" t="s">
        <v>3313</v>
      </c>
      <c r="AB903" s="1"/>
      <c r="AE903" s="1">
        <v>2</v>
      </c>
      <c r="AF903" s="1">
        <v>0</v>
      </c>
      <c r="AG903" s="1">
        <v>1</v>
      </c>
      <c r="AI903" s="1">
        <v>65</v>
      </c>
      <c r="AJ903" s="1">
        <v>32</v>
      </c>
      <c r="AK903" s="92" t="s">
        <v>3314</v>
      </c>
      <c r="AN903" s="93" t="s">
        <v>3315</v>
      </c>
      <c r="AO903" s="93"/>
      <c r="AP903" s="93"/>
      <c r="AQ903" s="1" t="s">
        <v>3316</v>
      </c>
      <c r="AR903" s="222">
        <v>240</v>
      </c>
    </row>
    <row r="904" spans="1:44">
      <c r="A904" s="3">
        <v>9030012</v>
      </c>
      <c r="B904" s="3" t="s">
        <v>655</v>
      </c>
      <c r="C904" s="3" t="s">
        <v>3312</v>
      </c>
      <c r="D904" s="3" t="s">
        <v>3197</v>
      </c>
      <c r="E904" s="3" t="s">
        <v>655</v>
      </c>
      <c r="F904" s="3">
        <v>1</v>
      </c>
      <c r="G904" s="3">
        <v>3</v>
      </c>
      <c r="H904" s="3" t="s">
        <v>82</v>
      </c>
      <c r="I904" s="3" t="s">
        <v>3198</v>
      </c>
      <c r="J904" s="3"/>
      <c r="K904" s="3"/>
      <c r="L904" s="365" t="s">
        <v>3277</v>
      </c>
      <c r="M904" s="99"/>
      <c r="N904" s="99"/>
      <c r="O904" s="3"/>
      <c r="P904" s="22"/>
      <c r="Q904" s="22">
        <v>0</v>
      </c>
      <c r="R904" s="22" t="s">
        <v>85</v>
      </c>
      <c r="S904" s="3">
        <v>9030012</v>
      </c>
      <c r="T904" s="260" t="s">
        <v>3271</v>
      </c>
      <c r="U904" s="261" t="s">
        <v>3272</v>
      </c>
      <c r="V904" s="22" t="s">
        <v>582</v>
      </c>
      <c r="W904" s="3" t="s">
        <v>3313</v>
      </c>
      <c r="X904" s="637" t="s">
        <v>3313</v>
      </c>
      <c r="AB904" s="1"/>
      <c r="AE904" s="1">
        <v>2</v>
      </c>
      <c r="AF904" s="1">
        <v>0</v>
      </c>
      <c r="AG904" s="1">
        <v>1</v>
      </c>
      <c r="AI904" s="1">
        <v>75</v>
      </c>
      <c r="AJ904" s="1">
        <v>39</v>
      </c>
      <c r="AK904" s="92" t="s">
        <v>3314</v>
      </c>
      <c r="AN904" s="93" t="s">
        <v>3315</v>
      </c>
      <c r="AO904" s="93"/>
      <c r="AP904" s="93"/>
      <c r="AQ904" s="1" t="s">
        <v>3316</v>
      </c>
      <c r="AR904" s="222">
        <v>240</v>
      </c>
    </row>
    <row r="905" spans="1:44">
      <c r="A905" s="3">
        <v>9030021</v>
      </c>
      <c r="B905" s="65" t="s">
        <v>655</v>
      </c>
      <c r="C905" s="3" t="s">
        <v>2785</v>
      </c>
      <c r="D905" s="3" t="s">
        <v>3197</v>
      </c>
      <c r="E905" s="3" t="s">
        <v>2785</v>
      </c>
      <c r="F905" s="3">
        <v>1</v>
      </c>
      <c r="G905" s="3">
        <v>3</v>
      </c>
      <c r="H905" s="3" t="s">
        <v>82</v>
      </c>
      <c r="I905" s="3" t="s">
        <v>3198</v>
      </c>
      <c r="J905" s="3"/>
      <c r="K905" s="3"/>
      <c r="L905" s="365" t="s">
        <v>3278</v>
      </c>
      <c r="M905" s="99"/>
      <c r="N905" s="99"/>
      <c r="O905" s="3" t="s">
        <v>3225</v>
      </c>
      <c r="P905" s="22"/>
      <c r="Q905" s="22">
        <v>0</v>
      </c>
      <c r="R905" s="22"/>
      <c r="S905" s="3">
        <v>9030021</v>
      </c>
      <c r="T905" s="260"/>
      <c r="U905" s="261">
        <v>0</v>
      </c>
      <c r="V905" s="22" t="s">
        <v>582</v>
      </c>
      <c r="W905" s="3" t="s">
        <v>3226</v>
      </c>
      <c r="X905" s="637" t="s">
        <v>3226</v>
      </c>
      <c r="AE905" s="1">
        <v>2</v>
      </c>
      <c r="AF905" s="1">
        <v>0</v>
      </c>
      <c r="AG905" s="1">
        <v>1</v>
      </c>
      <c r="AI905" s="1">
        <v>0</v>
      </c>
      <c r="AJ905" s="1">
        <v>0</v>
      </c>
      <c r="AN905" s="93" t="s">
        <v>3317</v>
      </c>
      <c r="AO905" s="93" t="s">
        <v>3318</v>
      </c>
      <c r="AP905" s="93"/>
      <c r="AQ905" s="1" t="s">
        <v>3227</v>
      </c>
    </row>
    <row r="906" spans="1:44">
      <c r="A906" s="3">
        <v>9030022</v>
      </c>
      <c r="B906" s="65" t="s">
        <v>655</v>
      </c>
      <c r="C906" s="3" t="s">
        <v>3236</v>
      </c>
      <c r="D906" s="3" t="s">
        <v>3197</v>
      </c>
      <c r="E906" s="3" t="s">
        <v>2785</v>
      </c>
      <c r="F906" s="3">
        <v>1</v>
      </c>
      <c r="G906" s="3">
        <v>0</v>
      </c>
      <c r="H906" s="3" t="s">
        <v>82</v>
      </c>
      <c r="I906" s="3" t="s">
        <v>3198</v>
      </c>
      <c r="J906" s="3"/>
      <c r="K906" s="3"/>
      <c r="L906" s="537"/>
      <c r="M906" s="99"/>
      <c r="N906" s="99"/>
      <c r="O906" s="3" t="s">
        <v>3225</v>
      </c>
      <c r="P906" s="22"/>
      <c r="Q906" s="22">
        <v>0</v>
      </c>
      <c r="R906" s="22"/>
      <c r="S906" s="3">
        <v>9000002</v>
      </c>
      <c r="T906" s="260"/>
      <c r="U906" s="261"/>
      <c r="V906" s="22" t="s">
        <v>582</v>
      </c>
      <c r="W906" s="3" t="s">
        <v>3226</v>
      </c>
      <c r="X906" s="637" t="s">
        <v>3226</v>
      </c>
      <c r="AE906" s="1">
        <v>2</v>
      </c>
      <c r="AF906" s="3">
        <v>0</v>
      </c>
      <c r="AG906" s="3">
        <v>1</v>
      </c>
      <c r="AH906" s="3"/>
      <c r="AI906" s="1">
        <v>0</v>
      </c>
      <c r="AJ906" s="539">
        <v>0</v>
      </c>
      <c r="AN906" s="540" t="s">
        <v>3319</v>
      </c>
      <c r="AO906" s="540"/>
      <c r="AP906" s="540"/>
      <c r="AQ906" s="1" t="s">
        <v>3227</v>
      </c>
    </row>
    <row r="907" spans="1:44">
      <c r="A907" s="3">
        <v>9040001</v>
      </c>
      <c r="B907" s="65" t="s">
        <v>765</v>
      </c>
      <c r="C907" s="3" t="s">
        <v>3320</v>
      </c>
      <c r="D907" s="3" t="s">
        <v>3197</v>
      </c>
      <c r="E907" s="3" t="s">
        <v>765</v>
      </c>
      <c r="F907" s="3">
        <v>1</v>
      </c>
      <c r="G907" s="3">
        <v>4</v>
      </c>
      <c r="H907" s="3" t="s">
        <v>82</v>
      </c>
      <c r="I907" s="3" t="s">
        <v>3198</v>
      </c>
      <c r="J907" s="3"/>
      <c r="K907" s="3"/>
      <c r="L907" s="365" t="s">
        <v>3321</v>
      </c>
      <c r="M907" s="99"/>
      <c r="N907" s="99"/>
      <c r="O907" s="22"/>
      <c r="P907" s="22">
        <v>1</v>
      </c>
      <c r="Q907" s="22">
        <v>0</v>
      </c>
      <c r="R907" s="22" t="s">
        <v>85</v>
      </c>
      <c r="S907" s="3">
        <v>9040001</v>
      </c>
      <c r="T907" s="319" t="s">
        <v>3253</v>
      </c>
      <c r="U907" s="320" t="s">
        <v>3254</v>
      </c>
      <c r="V907" s="22" t="s">
        <v>582</v>
      </c>
      <c r="W907" s="203" t="s">
        <v>3322</v>
      </c>
      <c r="X907" s="638" t="s">
        <v>3322</v>
      </c>
      <c r="AE907" s="1">
        <v>0</v>
      </c>
      <c r="AF907" s="1">
        <v>0</v>
      </c>
      <c r="AG907" s="1">
        <v>0</v>
      </c>
      <c r="AI907" s="1">
        <v>20</v>
      </c>
      <c r="AJ907" s="1">
        <v>15</v>
      </c>
      <c r="AN907" s="93" t="s">
        <v>3323</v>
      </c>
      <c r="AO907" s="93"/>
      <c r="AP907" s="93"/>
      <c r="AQ907" s="1" t="s">
        <v>3324</v>
      </c>
    </row>
    <row r="908" spans="1:44">
      <c r="A908" s="3">
        <v>9040002</v>
      </c>
      <c r="B908" s="65" t="s">
        <v>765</v>
      </c>
      <c r="C908" s="3" t="s">
        <v>3325</v>
      </c>
      <c r="D908" s="3" t="s">
        <v>3197</v>
      </c>
      <c r="E908" s="3" t="s">
        <v>765</v>
      </c>
      <c r="F908" s="3">
        <v>1</v>
      </c>
      <c r="G908" s="3">
        <v>4</v>
      </c>
      <c r="H908" s="3" t="s">
        <v>82</v>
      </c>
      <c r="I908" s="3" t="s">
        <v>3198</v>
      </c>
      <c r="J908" s="3"/>
      <c r="K908" s="3"/>
      <c r="L908" s="365" t="s">
        <v>3326</v>
      </c>
      <c r="M908" s="99"/>
      <c r="N908" s="99"/>
      <c r="O908" s="22"/>
      <c r="P908" s="22">
        <v>1</v>
      </c>
      <c r="Q908" s="22">
        <v>0</v>
      </c>
      <c r="R908" s="22" t="s">
        <v>85</v>
      </c>
      <c r="S908" s="3">
        <v>9040002</v>
      </c>
      <c r="T908" s="319" t="s">
        <v>3327</v>
      </c>
      <c r="U908" s="320" t="s">
        <v>3328</v>
      </c>
      <c r="V908" s="22" t="s">
        <v>582</v>
      </c>
      <c r="W908" s="203" t="s">
        <v>3322</v>
      </c>
      <c r="X908" s="638" t="s">
        <v>3322</v>
      </c>
      <c r="AE908" s="1">
        <v>0</v>
      </c>
      <c r="AF908" s="1">
        <v>0</v>
      </c>
      <c r="AG908" s="1">
        <v>0</v>
      </c>
      <c r="AI908" s="1">
        <v>30</v>
      </c>
      <c r="AJ908" s="1">
        <v>18</v>
      </c>
      <c r="AN908" s="93" t="s">
        <v>3329</v>
      </c>
      <c r="AO908" s="93"/>
      <c r="AP908" s="93"/>
      <c r="AQ908" s="1" t="s">
        <v>3330</v>
      </c>
    </row>
    <row r="909" spans="1:44" ht="15" customHeight="1">
      <c r="A909" s="3">
        <v>9040003</v>
      </c>
      <c r="B909" s="3" t="s">
        <v>765</v>
      </c>
      <c r="C909" s="3" t="s">
        <v>3331</v>
      </c>
      <c r="D909" s="3" t="s">
        <v>3197</v>
      </c>
      <c r="E909" s="3" t="s">
        <v>765</v>
      </c>
      <c r="F909" s="3">
        <v>1</v>
      </c>
      <c r="G909" s="3">
        <v>4</v>
      </c>
      <c r="H909" s="3" t="s">
        <v>82</v>
      </c>
      <c r="I909" s="3" t="s">
        <v>3198</v>
      </c>
      <c r="J909" s="3"/>
      <c r="K909" s="3"/>
      <c r="L909" s="541" t="s">
        <v>3332</v>
      </c>
      <c r="M909" s="99"/>
      <c r="N909" s="99"/>
      <c r="O909" s="3"/>
      <c r="P909" s="22">
        <v>1</v>
      </c>
      <c r="Q909" s="22">
        <v>0</v>
      </c>
      <c r="R909" s="22" t="s">
        <v>85</v>
      </c>
      <c r="S909" s="3">
        <v>9040003</v>
      </c>
      <c r="T909" s="319" t="s">
        <v>3265</v>
      </c>
      <c r="U909" s="320" t="s">
        <v>3266</v>
      </c>
      <c r="V909" s="22" t="s">
        <v>582</v>
      </c>
      <c r="W909" s="639" t="s">
        <v>3322</v>
      </c>
      <c r="X909" s="640" t="s">
        <v>3322</v>
      </c>
      <c r="Y909" s="549"/>
      <c r="Z909" s="549"/>
      <c r="AA909" s="549"/>
      <c r="AB909" s="549"/>
      <c r="AC909" s="550"/>
      <c r="AD909" s="550"/>
      <c r="AE909" s="1">
        <v>0</v>
      </c>
      <c r="AF909" s="1">
        <v>0</v>
      </c>
      <c r="AG909" s="1">
        <v>0</v>
      </c>
      <c r="AI909" s="1">
        <v>40</v>
      </c>
      <c r="AJ909" s="1">
        <v>20</v>
      </c>
      <c r="AK909" s="550"/>
      <c r="AL909" s="550"/>
      <c r="AM909" s="550"/>
      <c r="AN909" s="554" t="s">
        <v>3333</v>
      </c>
      <c r="AO909" s="554"/>
      <c r="AP909" s="554"/>
      <c r="AQ909" s="550" t="s">
        <v>3334</v>
      </c>
      <c r="AR909" s="559"/>
    </row>
    <row r="910" spans="1:44" ht="15" customHeight="1">
      <c r="A910" s="3">
        <v>9040004</v>
      </c>
      <c r="B910" s="3" t="s">
        <v>765</v>
      </c>
      <c r="C910" s="3" t="s">
        <v>3335</v>
      </c>
      <c r="D910" s="3" t="s">
        <v>3197</v>
      </c>
      <c r="E910" s="3" t="s">
        <v>765</v>
      </c>
      <c r="F910" s="3">
        <v>1</v>
      </c>
      <c r="G910" s="3">
        <v>4</v>
      </c>
      <c r="H910" s="3" t="s">
        <v>82</v>
      </c>
      <c r="I910" s="3" t="s">
        <v>3198</v>
      </c>
      <c r="J910" s="3"/>
      <c r="K910" s="3"/>
      <c r="L910" s="541" t="s">
        <v>3336</v>
      </c>
      <c r="M910" s="99"/>
      <c r="N910" s="99"/>
      <c r="O910" s="3"/>
      <c r="P910" s="22">
        <v>1</v>
      </c>
      <c r="Q910" s="22">
        <v>0</v>
      </c>
      <c r="R910" s="22" t="s">
        <v>85</v>
      </c>
      <c r="S910" s="3">
        <v>9040004</v>
      </c>
      <c r="T910" s="260" t="s">
        <v>3271</v>
      </c>
      <c r="U910" s="261" t="s">
        <v>3272</v>
      </c>
      <c r="V910" s="22" t="s">
        <v>582</v>
      </c>
      <c r="W910" s="639" t="s">
        <v>3337</v>
      </c>
      <c r="X910" s="640" t="s">
        <v>3337</v>
      </c>
      <c r="Y910" s="549"/>
      <c r="Z910" s="549"/>
      <c r="AA910" s="549"/>
      <c r="AB910" s="549"/>
      <c r="AC910" s="550"/>
      <c r="AD910" s="550"/>
      <c r="AE910" s="1">
        <v>2</v>
      </c>
      <c r="AF910" s="1">
        <v>0</v>
      </c>
      <c r="AG910" s="1">
        <v>1</v>
      </c>
      <c r="AI910" s="1">
        <v>39</v>
      </c>
      <c r="AJ910" s="1">
        <v>23</v>
      </c>
      <c r="AK910" s="550"/>
      <c r="AL910" s="550"/>
      <c r="AM910" s="550"/>
      <c r="AN910" s="554" t="s">
        <v>3338</v>
      </c>
      <c r="AO910" s="554"/>
      <c r="AP910" s="554"/>
      <c r="AQ910" s="550" t="s">
        <v>3339</v>
      </c>
      <c r="AR910" s="559">
        <v>245</v>
      </c>
    </row>
    <row r="911" spans="1:44" ht="28.8">
      <c r="A911" s="3">
        <v>9040005</v>
      </c>
      <c r="B911" s="3" t="s">
        <v>765</v>
      </c>
      <c r="C911" s="3" t="s">
        <v>3335</v>
      </c>
      <c r="D911" s="3" t="s">
        <v>3197</v>
      </c>
      <c r="E911" s="3" t="s">
        <v>765</v>
      </c>
      <c r="F911" s="3">
        <v>1</v>
      </c>
      <c r="G911" s="3">
        <v>4</v>
      </c>
      <c r="H911" s="3" t="s">
        <v>82</v>
      </c>
      <c r="I911" s="3" t="s">
        <v>3198</v>
      </c>
      <c r="J911" s="3"/>
      <c r="K911" s="3"/>
      <c r="L911" s="541" t="s">
        <v>3340</v>
      </c>
      <c r="M911" s="99"/>
      <c r="N911" s="99"/>
      <c r="O911" s="3"/>
      <c r="P911" s="22">
        <v>2</v>
      </c>
      <c r="Q911" s="22">
        <v>0</v>
      </c>
      <c r="R911" s="22" t="s">
        <v>85</v>
      </c>
      <c r="S911" s="3">
        <v>9040005</v>
      </c>
      <c r="T911" s="260" t="s">
        <v>3271</v>
      </c>
      <c r="U911" s="261" t="s">
        <v>3272</v>
      </c>
      <c r="V911" s="22" t="s">
        <v>582</v>
      </c>
      <c r="W911" s="639" t="s">
        <v>3337</v>
      </c>
      <c r="X911" s="640" t="s">
        <v>3337</v>
      </c>
      <c r="Y911" s="549"/>
      <c r="Z911" s="549"/>
      <c r="AA911" s="549"/>
      <c r="AB911" s="549" t="s">
        <v>90</v>
      </c>
      <c r="AC911" s="551" t="s">
        <v>3274</v>
      </c>
      <c r="AD911" s="550"/>
      <c r="AE911" s="1">
        <v>2</v>
      </c>
      <c r="AF911" s="1">
        <v>0</v>
      </c>
      <c r="AG911" s="1">
        <v>1</v>
      </c>
      <c r="AI911" s="1">
        <v>52</v>
      </c>
      <c r="AJ911" s="1">
        <v>39</v>
      </c>
      <c r="AK911" s="550"/>
      <c r="AL911" s="550"/>
      <c r="AM911" s="550"/>
      <c r="AN911" s="554" t="s">
        <v>3341</v>
      </c>
      <c r="AO911" s="554"/>
      <c r="AP911" s="554"/>
      <c r="AQ911" s="550" t="s">
        <v>3339</v>
      </c>
      <c r="AR911" s="559">
        <v>245</v>
      </c>
    </row>
    <row r="912" spans="1:44">
      <c r="A912" s="3">
        <v>9040006</v>
      </c>
      <c r="B912" s="3" t="s">
        <v>765</v>
      </c>
      <c r="C912" s="3" t="s">
        <v>3335</v>
      </c>
      <c r="D912" s="3" t="s">
        <v>3197</v>
      </c>
      <c r="E912" s="3" t="s">
        <v>765</v>
      </c>
      <c r="F912" s="3">
        <v>1</v>
      </c>
      <c r="G912" s="3">
        <v>4</v>
      </c>
      <c r="H912" s="3" t="s">
        <v>82</v>
      </c>
      <c r="I912" s="3" t="s">
        <v>3198</v>
      </c>
      <c r="J912" s="3"/>
      <c r="K912" s="3"/>
      <c r="L912" s="541" t="s">
        <v>3277</v>
      </c>
      <c r="M912" s="99"/>
      <c r="N912" s="99"/>
      <c r="O912" s="3"/>
      <c r="P912" s="22">
        <v>3</v>
      </c>
      <c r="Q912" s="22">
        <v>0</v>
      </c>
      <c r="R912" s="22" t="s">
        <v>85</v>
      </c>
      <c r="S912" s="3">
        <v>9040006</v>
      </c>
      <c r="T912" s="260" t="s">
        <v>3271</v>
      </c>
      <c r="U912" s="261" t="s">
        <v>3272</v>
      </c>
      <c r="V912" s="22" t="s">
        <v>582</v>
      </c>
      <c r="W912" s="641" t="s">
        <v>3337</v>
      </c>
      <c r="X912" s="260" t="s">
        <v>3337</v>
      </c>
      <c r="Y912" s="549"/>
      <c r="Z912" s="549"/>
      <c r="AA912" s="549"/>
      <c r="AB912" s="549" t="s">
        <v>90</v>
      </c>
      <c r="AC912" s="550" t="s">
        <v>1155</v>
      </c>
      <c r="AD912" s="550"/>
      <c r="AE912" s="1">
        <v>2</v>
      </c>
      <c r="AF912" s="1">
        <v>0</v>
      </c>
      <c r="AG912" s="1">
        <v>1</v>
      </c>
      <c r="AI912" s="1">
        <v>52</v>
      </c>
      <c r="AJ912" s="1">
        <v>39</v>
      </c>
      <c r="AK912" s="555"/>
      <c r="AL912" s="555"/>
      <c r="AM912" s="555"/>
      <c r="AN912" s="554" t="s">
        <v>3341</v>
      </c>
      <c r="AO912" s="554"/>
      <c r="AP912" s="554"/>
      <c r="AQ912" s="550" t="s">
        <v>3339</v>
      </c>
      <c r="AR912" s="559"/>
    </row>
    <row r="913" spans="1:44" ht="57.6">
      <c r="A913" s="50">
        <v>9040007</v>
      </c>
      <c r="B913" s="50" t="s">
        <v>765</v>
      </c>
      <c r="C913" s="50" t="s">
        <v>2785</v>
      </c>
      <c r="D913" s="50" t="s">
        <v>3197</v>
      </c>
      <c r="E913" s="3" t="s">
        <v>2785</v>
      </c>
      <c r="F913" s="50">
        <v>1</v>
      </c>
      <c r="G913" s="50">
        <v>4</v>
      </c>
      <c r="H913" s="50" t="s">
        <v>82</v>
      </c>
      <c r="I913" s="50" t="s">
        <v>3198</v>
      </c>
      <c r="J913" s="50"/>
      <c r="L913" s="220" t="s">
        <v>3278</v>
      </c>
      <c r="O913" s="542" t="s">
        <v>3225</v>
      </c>
      <c r="P913" s="543">
        <v>0</v>
      </c>
      <c r="Q913" s="543">
        <v>0</v>
      </c>
      <c r="R913" s="543"/>
      <c r="S913" s="3">
        <v>9040007</v>
      </c>
      <c r="T913" s="547"/>
      <c r="U913" s="548"/>
      <c r="V913" s="22" t="s">
        <v>582</v>
      </c>
      <c r="W913" s="642" t="s">
        <v>3226</v>
      </c>
      <c r="X913" s="637" t="s">
        <v>3226</v>
      </c>
      <c r="AA913" s="111">
        <v>1</v>
      </c>
      <c r="AD913" s="50"/>
      <c r="AE913" s="50">
        <v>2</v>
      </c>
      <c r="AF913" s="50">
        <v>0</v>
      </c>
      <c r="AG913" s="50">
        <v>1</v>
      </c>
      <c r="AH913" s="50"/>
      <c r="AI913" s="50">
        <v>0</v>
      </c>
      <c r="AJ913" s="50">
        <v>0</v>
      </c>
      <c r="AK913" s="550"/>
      <c r="AL913" s="550"/>
      <c r="AM913" s="550"/>
      <c r="AN913" s="50" t="s">
        <v>3342</v>
      </c>
      <c r="AO913" s="50" t="s">
        <v>3343</v>
      </c>
      <c r="AP913" s="50"/>
      <c r="AQ913" s="50" t="s">
        <v>3227</v>
      </c>
    </row>
    <row r="914" spans="1:44">
      <c r="A914" s="50">
        <v>9040008</v>
      </c>
      <c r="B914" s="50" t="s">
        <v>765</v>
      </c>
      <c r="C914" s="3" t="s">
        <v>3236</v>
      </c>
      <c r="D914" s="3" t="s">
        <v>3197</v>
      </c>
      <c r="E914" s="3" t="s">
        <v>2785</v>
      </c>
      <c r="F914" s="3">
        <v>1</v>
      </c>
      <c r="G914" s="3">
        <v>0</v>
      </c>
      <c r="H914" s="3" t="s">
        <v>82</v>
      </c>
      <c r="I914" s="3" t="s">
        <v>3198</v>
      </c>
      <c r="J914" s="3"/>
      <c r="K914" s="3"/>
      <c r="L914" s="537"/>
      <c r="M914" s="99"/>
      <c r="N914" s="99"/>
      <c r="O914" s="3" t="s">
        <v>3225</v>
      </c>
      <c r="P914" s="22"/>
      <c r="Q914" s="22">
        <v>0</v>
      </c>
      <c r="R914" s="22"/>
      <c r="S914" s="3">
        <v>9000002</v>
      </c>
      <c r="T914" s="260"/>
      <c r="U914" s="261"/>
      <c r="V914" s="22" t="s">
        <v>582</v>
      </c>
      <c r="W914" s="643" t="s">
        <v>3226</v>
      </c>
      <c r="X914" s="637" t="s">
        <v>3226</v>
      </c>
      <c r="AE914" s="1">
        <v>2</v>
      </c>
      <c r="AF914" s="3">
        <v>0</v>
      </c>
      <c r="AG914" s="3">
        <v>1</v>
      </c>
      <c r="AH914" s="3"/>
      <c r="AI914" s="1">
        <v>0</v>
      </c>
      <c r="AJ914" s="539">
        <v>0</v>
      </c>
      <c r="AN914" s="540" t="s">
        <v>3344</v>
      </c>
      <c r="AO914" s="540"/>
      <c r="AP914" s="540"/>
      <c r="AQ914" s="1" t="s">
        <v>3227</v>
      </c>
    </row>
    <row r="915" spans="1:44" ht="28.8">
      <c r="A915" s="50">
        <v>9040009</v>
      </c>
      <c r="B915" s="50" t="s">
        <v>765</v>
      </c>
      <c r="C915" s="50" t="s">
        <v>3345</v>
      </c>
      <c r="D915" s="50" t="s">
        <v>3197</v>
      </c>
      <c r="E915" s="50" t="s">
        <v>765</v>
      </c>
      <c r="F915" s="50">
        <v>1</v>
      </c>
      <c r="G915" s="50">
        <v>4</v>
      </c>
      <c r="H915" s="50" t="s">
        <v>82</v>
      </c>
      <c r="I915" s="50" t="s">
        <v>3198</v>
      </c>
      <c r="J915" s="50"/>
      <c r="L915" s="220" t="s">
        <v>3346</v>
      </c>
      <c r="O915" s="542"/>
      <c r="P915" s="543"/>
      <c r="Q915" s="543">
        <v>0</v>
      </c>
      <c r="R915" s="543"/>
      <c r="S915" s="3">
        <v>9040008</v>
      </c>
      <c r="T915" s="547"/>
      <c r="U915" s="548">
        <v>0</v>
      </c>
      <c r="V915" s="22" t="s">
        <v>582</v>
      </c>
      <c r="W915" s="642" t="s">
        <v>3347</v>
      </c>
      <c r="X915" s="644" t="s">
        <v>3347</v>
      </c>
      <c r="AD915" s="50"/>
      <c r="AE915" s="50">
        <v>2</v>
      </c>
      <c r="AF915" s="50"/>
      <c r="AG915" s="50"/>
      <c r="AH915" s="50"/>
      <c r="AI915" s="50"/>
      <c r="AJ915" s="50"/>
      <c r="AK915" s="555"/>
      <c r="AL915" s="555"/>
      <c r="AM915" s="555"/>
      <c r="AN915" s="50"/>
      <c r="AO915" s="50"/>
      <c r="AP915" s="50"/>
      <c r="AQ915" s="50" t="s">
        <v>3348</v>
      </c>
    </row>
    <row r="916" spans="1:44" ht="28.8">
      <c r="A916" s="50">
        <v>9050001</v>
      </c>
      <c r="B916" s="50" t="s">
        <v>1009</v>
      </c>
      <c r="C916" s="50" t="s">
        <v>3349</v>
      </c>
      <c r="D916" s="50" t="s">
        <v>3197</v>
      </c>
      <c r="E916" s="50" t="s">
        <v>1009</v>
      </c>
      <c r="F916" s="50">
        <v>1</v>
      </c>
      <c r="G916" s="50">
        <v>5</v>
      </c>
      <c r="H916" s="50" t="s">
        <v>82</v>
      </c>
      <c r="I916" s="50" t="s">
        <v>3198</v>
      </c>
      <c r="J916" s="50"/>
      <c r="L916" s="220" t="s">
        <v>3350</v>
      </c>
      <c r="O916" s="542"/>
      <c r="P916" s="543">
        <v>1</v>
      </c>
      <c r="Q916" s="543">
        <v>0</v>
      </c>
      <c r="R916" s="543" t="s">
        <v>85</v>
      </c>
      <c r="S916" s="3">
        <v>9050001</v>
      </c>
      <c r="T916" s="260" t="s">
        <v>3246</v>
      </c>
      <c r="U916" s="261" t="s">
        <v>3247</v>
      </c>
      <c r="V916" s="22" t="s">
        <v>582</v>
      </c>
      <c r="W916" s="642" t="s">
        <v>3351</v>
      </c>
      <c r="X916" s="644" t="s">
        <v>3351</v>
      </c>
      <c r="AD916" s="50"/>
      <c r="AE916" s="50">
        <v>0</v>
      </c>
      <c r="AF916" s="50">
        <v>0</v>
      </c>
      <c r="AG916" s="50">
        <v>0</v>
      </c>
      <c r="AH916" s="50"/>
      <c r="AI916" s="50">
        <v>15</v>
      </c>
      <c r="AJ916" s="50">
        <v>15</v>
      </c>
      <c r="AK916" s="550" t="s">
        <v>3352</v>
      </c>
      <c r="AL916" s="550"/>
      <c r="AM916" s="550"/>
      <c r="AN916" s="50" t="s">
        <v>3353</v>
      </c>
      <c r="AO916" s="50"/>
      <c r="AP916" s="50"/>
      <c r="AQ916" s="50" t="s">
        <v>3354</v>
      </c>
    </row>
    <row r="917" spans="1:44">
      <c r="A917" s="50">
        <v>9050002</v>
      </c>
      <c r="B917" s="50" t="s">
        <v>1009</v>
      </c>
      <c r="C917" s="50" t="s">
        <v>3355</v>
      </c>
      <c r="D917" s="50" t="s">
        <v>3197</v>
      </c>
      <c r="E917" s="50" t="s">
        <v>1009</v>
      </c>
      <c r="F917" s="50">
        <v>1</v>
      </c>
      <c r="G917" s="50">
        <v>5</v>
      </c>
      <c r="H917" s="50" t="s">
        <v>82</v>
      </c>
      <c r="I917" s="50" t="s">
        <v>3198</v>
      </c>
      <c r="J917" s="50"/>
      <c r="L917" s="220" t="s">
        <v>3356</v>
      </c>
      <c r="O917" s="50"/>
      <c r="P917" s="543">
        <v>1</v>
      </c>
      <c r="Q917" s="543">
        <v>0</v>
      </c>
      <c r="R917" s="543" t="s">
        <v>85</v>
      </c>
      <c r="S917" s="3">
        <v>9050002</v>
      </c>
      <c r="T917" s="260" t="s">
        <v>3253</v>
      </c>
      <c r="U917" s="261" t="s">
        <v>3254</v>
      </c>
      <c r="V917" s="22" t="s">
        <v>582</v>
      </c>
      <c r="W917" s="645" t="s">
        <v>3351</v>
      </c>
      <c r="X917" s="646" t="s">
        <v>3351</v>
      </c>
      <c r="AD917" s="50"/>
      <c r="AE917" s="50">
        <v>0</v>
      </c>
      <c r="AF917" s="50">
        <v>0</v>
      </c>
      <c r="AG917" s="50">
        <v>0</v>
      </c>
      <c r="AH917" s="50"/>
      <c r="AI917" s="50">
        <v>20</v>
      </c>
      <c r="AJ917" s="50">
        <v>18</v>
      </c>
      <c r="AK917" s="550" t="s">
        <v>3352</v>
      </c>
      <c r="AL917" s="550"/>
      <c r="AM917" s="550"/>
      <c r="AN917" s="50" t="s">
        <v>3357</v>
      </c>
      <c r="AO917" s="50"/>
      <c r="AP917" s="50"/>
      <c r="AQ917" s="50" t="s">
        <v>3358</v>
      </c>
    </row>
    <row r="918" spans="1:44" ht="28.8">
      <c r="A918" s="51">
        <v>9050003</v>
      </c>
      <c r="B918" s="51" t="s">
        <v>1009</v>
      </c>
      <c r="C918" s="51" t="s">
        <v>3359</v>
      </c>
      <c r="D918" s="51" t="s">
        <v>3197</v>
      </c>
      <c r="E918" s="51" t="s">
        <v>1009</v>
      </c>
      <c r="F918" s="51">
        <v>1</v>
      </c>
      <c r="G918" s="51">
        <v>5</v>
      </c>
      <c r="H918" s="51" t="s">
        <v>82</v>
      </c>
      <c r="I918" s="51" t="s">
        <v>3198</v>
      </c>
      <c r="J918" s="51"/>
      <c r="K918" s="51"/>
      <c r="L918" s="544" t="s">
        <v>3360</v>
      </c>
      <c r="M918" s="545"/>
      <c r="N918" s="545"/>
      <c r="O918" s="51"/>
      <c r="P918" s="546">
        <v>1</v>
      </c>
      <c r="Q918" s="546">
        <v>0</v>
      </c>
      <c r="R918" s="546" t="s">
        <v>85</v>
      </c>
      <c r="S918" s="51">
        <v>9050003</v>
      </c>
      <c r="T918" s="260" t="s">
        <v>3259</v>
      </c>
      <c r="U918" s="261" t="s">
        <v>3260</v>
      </c>
      <c r="V918" s="546" t="s">
        <v>582</v>
      </c>
      <c r="W918" s="647" t="s">
        <v>3351</v>
      </c>
      <c r="X918" s="648" t="s">
        <v>3351</v>
      </c>
      <c r="Y918" s="546"/>
      <c r="Z918" s="546"/>
      <c r="AA918" s="546"/>
      <c r="AB918" s="546"/>
      <c r="AC918" s="51"/>
      <c r="AD918" s="51"/>
      <c r="AE918" s="552">
        <v>0</v>
      </c>
      <c r="AF918" s="552">
        <v>0</v>
      </c>
      <c r="AG918" s="552">
        <v>0</v>
      </c>
      <c r="AH918" s="552"/>
      <c r="AI918" s="552">
        <v>25</v>
      </c>
      <c r="AJ918" s="552">
        <v>20</v>
      </c>
      <c r="AK918" s="51" t="s">
        <v>3352</v>
      </c>
      <c r="AL918" s="51"/>
      <c r="AM918" s="51"/>
      <c r="AN918" s="556" t="s">
        <v>3361</v>
      </c>
      <c r="AO918" s="556"/>
      <c r="AP918" s="556"/>
      <c r="AQ918" s="51" t="s">
        <v>3362</v>
      </c>
      <c r="AR918" s="423"/>
    </row>
    <row r="919" spans="1:44" ht="28.8">
      <c r="A919" s="51">
        <v>9050004</v>
      </c>
      <c r="B919" s="51" t="s">
        <v>1009</v>
      </c>
      <c r="C919" s="51" t="s">
        <v>3363</v>
      </c>
      <c r="D919" s="51" t="s">
        <v>3197</v>
      </c>
      <c r="E919" s="51" t="s">
        <v>1009</v>
      </c>
      <c r="F919" s="51">
        <v>1</v>
      </c>
      <c r="G919" s="51">
        <v>5</v>
      </c>
      <c r="H919" s="51" t="s">
        <v>82</v>
      </c>
      <c r="I919" s="51" t="s">
        <v>3198</v>
      </c>
      <c r="J919" s="51"/>
      <c r="K919" s="51"/>
      <c r="L919" s="544" t="s">
        <v>3364</v>
      </c>
      <c r="M919" s="545"/>
      <c r="N919" s="545"/>
      <c r="O919" s="51"/>
      <c r="P919" s="546">
        <v>1</v>
      </c>
      <c r="Q919" s="546">
        <v>0</v>
      </c>
      <c r="R919" s="546" t="s">
        <v>85</v>
      </c>
      <c r="S919" s="51">
        <v>9050004</v>
      </c>
      <c r="T919" s="260" t="s">
        <v>3265</v>
      </c>
      <c r="U919" s="261" t="s">
        <v>3266</v>
      </c>
      <c r="V919" s="546" t="s">
        <v>582</v>
      </c>
      <c r="W919" s="647" t="s">
        <v>3351</v>
      </c>
      <c r="X919" s="648" t="s">
        <v>3351</v>
      </c>
      <c r="Y919" s="546"/>
      <c r="Z919" s="546"/>
      <c r="AA919" s="546"/>
      <c r="AB919" s="546"/>
      <c r="AC919" s="51"/>
      <c r="AD919" s="51"/>
      <c r="AE919" s="552">
        <v>0</v>
      </c>
      <c r="AF919" s="552">
        <v>0</v>
      </c>
      <c r="AG919" s="552">
        <v>0</v>
      </c>
      <c r="AH919" s="552"/>
      <c r="AI919" s="552">
        <v>30</v>
      </c>
      <c r="AJ919" s="552">
        <v>23</v>
      </c>
      <c r="AK919" s="51" t="s">
        <v>3352</v>
      </c>
      <c r="AL919" s="51"/>
      <c r="AM919" s="51"/>
      <c r="AN919" s="556" t="s">
        <v>3365</v>
      </c>
      <c r="AO919" s="556"/>
      <c r="AP919" s="556"/>
      <c r="AQ919" s="51" t="s">
        <v>3366</v>
      </c>
      <c r="AR919" s="423"/>
    </row>
    <row r="920" spans="1:44" ht="28.8">
      <c r="A920" s="51">
        <v>9050005</v>
      </c>
      <c r="B920" s="51" t="s">
        <v>1009</v>
      </c>
      <c r="C920" s="51" t="s">
        <v>3367</v>
      </c>
      <c r="D920" s="51" t="s">
        <v>3197</v>
      </c>
      <c r="E920" s="51" t="s">
        <v>1009</v>
      </c>
      <c r="F920" s="51">
        <v>1</v>
      </c>
      <c r="G920" s="51">
        <v>5</v>
      </c>
      <c r="H920" s="51" t="s">
        <v>82</v>
      </c>
      <c r="I920" s="51" t="s">
        <v>3198</v>
      </c>
      <c r="J920" s="51"/>
      <c r="K920" s="51"/>
      <c r="L920" s="544" t="s">
        <v>3270</v>
      </c>
      <c r="M920" s="545"/>
      <c r="N920" s="545"/>
      <c r="O920" s="51"/>
      <c r="P920" s="546">
        <v>2</v>
      </c>
      <c r="Q920" s="546">
        <v>0</v>
      </c>
      <c r="R920" s="546" t="s">
        <v>85</v>
      </c>
      <c r="S920" s="51">
        <v>9050005</v>
      </c>
      <c r="T920" s="415" t="s">
        <v>3271</v>
      </c>
      <c r="U920" s="416" t="s">
        <v>3272</v>
      </c>
      <c r="V920" s="546" t="s">
        <v>582</v>
      </c>
      <c r="W920" s="647" t="s">
        <v>3368</v>
      </c>
      <c r="X920" s="648" t="s">
        <v>3368</v>
      </c>
      <c r="Y920" s="546"/>
      <c r="Z920" s="546"/>
      <c r="AA920" s="546"/>
      <c r="AB920" s="546" t="s">
        <v>90</v>
      </c>
      <c r="AC920" s="553" t="s">
        <v>3274</v>
      </c>
      <c r="AD920" s="51"/>
      <c r="AE920" s="552">
        <v>2</v>
      </c>
      <c r="AF920" s="552">
        <v>0</v>
      </c>
      <c r="AG920" s="552">
        <v>1</v>
      </c>
      <c r="AH920" s="552"/>
      <c r="AI920" s="552">
        <v>52</v>
      </c>
      <c r="AJ920" s="552">
        <v>39</v>
      </c>
      <c r="AK920" s="51" t="s">
        <v>3352</v>
      </c>
      <c r="AL920" s="51"/>
      <c r="AM920" s="51"/>
      <c r="AN920" s="556" t="s">
        <v>3369</v>
      </c>
      <c r="AO920" s="556"/>
      <c r="AP920" s="556"/>
      <c r="AQ920" s="51" t="s">
        <v>3370</v>
      </c>
      <c r="AR920" s="423">
        <v>261</v>
      </c>
    </row>
    <row r="921" spans="1:44">
      <c r="A921" s="51">
        <v>9050006</v>
      </c>
      <c r="B921" s="51" t="s">
        <v>1009</v>
      </c>
      <c r="C921" s="51" t="s">
        <v>3367</v>
      </c>
      <c r="D921" s="51" t="s">
        <v>3197</v>
      </c>
      <c r="E921" s="51" t="s">
        <v>1009</v>
      </c>
      <c r="F921" s="51">
        <v>1</v>
      </c>
      <c r="G921" s="51">
        <v>5</v>
      </c>
      <c r="H921" s="51" t="s">
        <v>82</v>
      </c>
      <c r="I921" s="51" t="s">
        <v>3198</v>
      </c>
      <c r="J921" s="51"/>
      <c r="K921" s="51"/>
      <c r="L921" s="544" t="s">
        <v>3277</v>
      </c>
      <c r="M921" s="545"/>
      <c r="N921" s="545"/>
      <c r="O921" s="51"/>
      <c r="P921" s="546">
        <v>3</v>
      </c>
      <c r="Q921" s="546">
        <v>0</v>
      </c>
      <c r="R921" s="546" t="s">
        <v>85</v>
      </c>
      <c r="S921" s="51">
        <v>9050006</v>
      </c>
      <c r="T921" s="260" t="s">
        <v>3271</v>
      </c>
      <c r="U921" s="261" t="s">
        <v>3272</v>
      </c>
      <c r="V921" s="546" t="s">
        <v>582</v>
      </c>
      <c r="W921" s="649" t="s">
        <v>3368</v>
      </c>
      <c r="X921" s="415" t="s">
        <v>3368</v>
      </c>
      <c r="Y921" s="546"/>
      <c r="Z921" s="546"/>
      <c r="AA921" s="546"/>
      <c r="AB921" s="546" t="s">
        <v>90</v>
      </c>
      <c r="AC921" s="51" t="s">
        <v>1155</v>
      </c>
      <c r="AD921" s="51"/>
      <c r="AE921" s="552">
        <v>2</v>
      </c>
      <c r="AF921" s="552">
        <v>0</v>
      </c>
      <c r="AG921" s="552">
        <v>1</v>
      </c>
      <c r="AH921" s="552"/>
      <c r="AI921" s="552">
        <v>52</v>
      </c>
      <c r="AJ921" s="552">
        <v>39</v>
      </c>
      <c r="AK921" s="557" t="s">
        <v>3352</v>
      </c>
      <c r="AL921" s="557"/>
      <c r="AM921" s="557"/>
      <c r="AN921" s="556" t="s">
        <v>3369</v>
      </c>
      <c r="AO921" s="556"/>
      <c r="AP921" s="556"/>
      <c r="AQ921" s="51" t="s">
        <v>3370</v>
      </c>
      <c r="AR921" s="423">
        <v>261</v>
      </c>
    </row>
    <row r="922" spans="1:44">
      <c r="A922" s="3">
        <v>9050021</v>
      </c>
      <c r="B922" s="3" t="s">
        <v>1009</v>
      </c>
      <c r="C922" s="3" t="s">
        <v>2785</v>
      </c>
      <c r="D922" s="3" t="s">
        <v>3197</v>
      </c>
      <c r="E922" s="3" t="s">
        <v>2785</v>
      </c>
      <c r="F922" s="3">
        <v>1</v>
      </c>
      <c r="G922" s="3">
        <v>5</v>
      </c>
      <c r="H922" s="3" t="s">
        <v>82</v>
      </c>
      <c r="I922" s="3" t="s">
        <v>3198</v>
      </c>
      <c r="J922" s="3"/>
      <c r="K922" s="3"/>
      <c r="L922" s="365" t="s">
        <v>3278</v>
      </c>
      <c r="M922" s="99"/>
      <c r="N922" s="99"/>
      <c r="O922" s="3" t="s">
        <v>3225</v>
      </c>
      <c r="P922" s="22">
        <v>0</v>
      </c>
      <c r="Q922" s="22">
        <v>0</v>
      </c>
      <c r="R922" s="22"/>
      <c r="S922" s="3">
        <v>9050021</v>
      </c>
      <c r="T922" s="260"/>
      <c r="U922" s="261"/>
      <c r="V922" s="22" t="s">
        <v>582</v>
      </c>
      <c r="W922" s="650" t="s">
        <v>3226</v>
      </c>
      <c r="X922" s="637" t="s">
        <v>3226</v>
      </c>
      <c r="Y922" s="549"/>
      <c r="Z922" s="549"/>
      <c r="AA922" s="549">
        <v>1</v>
      </c>
      <c r="AB922" s="549"/>
      <c r="AC922" s="550"/>
      <c r="AD922" s="550"/>
      <c r="AE922" s="550">
        <v>2</v>
      </c>
      <c r="AF922" s="550">
        <v>0</v>
      </c>
      <c r="AG922" s="550">
        <v>1</v>
      </c>
      <c r="AH922" s="550"/>
      <c r="AI922" s="550">
        <v>0</v>
      </c>
      <c r="AJ922" s="550">
        <v>0</v>
      </c>
      <c r="AK922" s="550"/>
      <c r="AL922" s="550"/>
      <c r="AM922" s="550"/>
      <c r="AN922" s="558" t="s">
        <v>3371</v>
      </c>
      <c r="AO922" s="558" t="s">
        <v>3372</v>
      </c>
      <c r="AP922" s="558"/>
      <c r="AQ922" s="550" t="s">
        <v>3227</v>
      </c>
      <c r="AR922" s="559"/>
    </row>
    <row r="923" spans="1:44">
      <c r="A923" s="3">
        <v>9050022</v>
      </c>
      <c r="B923" s="3" t="s">
        <v>1009</v>
      </c>
      <c r="C923" s="3" t="s">
        <v>3236</v>
      </c>
      <c r="D923" s="3" t="s">
        <v>3197</v>
      </c>
      <c r="E923" s="3" t="s">
        <v>2785</v>
      </c>
      <c r="F923" s="3">
        <v>1</v>
      </c>
      <c r="G923" s="3">
        <v>0</v>
      </c>
      <c r="H923" s="3" t="s">
        <v>82</v>
      </c>
      <c r="I923" s="3" t="s">
        <v>3198</v>
      </c>
      <c r="J923" s="3"/>
      <c r="K923" s="3"/>
      <c r="L923" s="537"/>
      <c r="M923" s="99"/>
      <c r="N923" s="99"/>
      <c r="O923" s="3" t="s">
        <v>3225</v>
      </c>
      <c r="P923" s="22"/>
      <c r="Q923" s="22">
        <v>0</v>
      </c>
      <c r="R923" s="22"/>
      <c r="S923" s="3">
        <v>9000002</v>
      </c>
      <c r="T923" s="260"/>
      <c r="U923" s="261"/>
      <c r="V923" s="22" t="s">
        <v>582</v>
      </c>
      <c r="W923" s="643" t="s">
        <v>3226</v>
      </c>
      <c r="X923" s="637" t="s">
        <v>3226</v>
      </c>
      <c r="AE923" s="1">
        <v>2</v>
      </c>
      <c r="AF923" s="3">
        <v>0</v>
      </c>
      <c r="AG923" s="3">
        <v>1</v>
      </c>
      <c r="AH923" s="3"/>
      <c r="AI923" s="1">
        <v>0</v>
      </c>
      <c r="AJ923" s="539">
        <v>0</v>
      </c>
      <c r="AN923" s="540" t="s">
        <v>3373</v>
      </c>
      <c r="AO923" s="540"/>
      <c r="AP923" s="540"/>
      <c r="AQ923" s="1" t="s">
        <v>3227</v>
      </c>
    </row>
    <row r="924" spans="1:44">
      <c r="A924" s="3">
        <v>9060001</v>
      </c>
      <c r="B924" s="3" t="s">
        <v>1129</v>
      </c>
      <c r="C924" s="3" t="s">
        <v>3374</v>
      </c>
      <c r="D924" s="3" t="s">
        <v>3197</v>
      </c>
      <c r="E924" s="3" t="s">
        <v>1129</v>
      </c>
      <c r="F924" s="3">
        <v>1</v>
      </c>
      <c r="G924" s="3">
        <v>6</v>
      </c>
      <c r="H924" s="3" t="s">
        <v>82</v>
      </c>
      <c r="I924" s="3" t="s">
        <v>3198</v>
      </c>
      <c r="J924" s="3"/>
      <c r="K924" s="3"/>
      <c r="L924" s="365" t="s">
        <v>3375</v>
      </c>
      <c r="M924" s="99"/>
      <c r="N924" s="99"/>
      <c r="O924" s="3"/>
      <c r="P924" s="22">
        <v>6</v>
      </c>
      <c r="Q924" s="22">
        <v>0</v>
      </c>
      <c r="R924" s="22" t="s">
        <v>85</v>
      </c>
      <c r="S924" s="3">
        <v>9060001</v>
      </c>
      <c r="T924" s="260"/>
      <c r="U924" s="261"/>
      <c r="V924" s="22" t="s">
        <v>582</v>
      </c>
      <c r="W924" s="650" t="s">
        <v>3376</v>
      </c>
      <c r="X924" s="638" t="s">
        <v>3376</v>
      </c>
      <c r="Y924" s="549"/>
      <c r="Z924" s="549"/>
      <c r="AA924" s="549"/>
      <c r="AB924" s="549"/>
      <c r="AC924" s="550"/>
      <c r="AD924" s="550"/>
      <c r="AE924" s="550">
        <v>2</v>
      </c>
      <c r="AF924" s="550">
        <v>0</v>
      </c>
      <c r="AG924" s="550">
        <v>0</v>
      </c>
      <c r="AH924" s="550"/>
      <c r="AI924" s="550">
        <v>20</v>
      </c>
      <c r="AJ924" s="550">
        <v>15</v>
      </c>
      <c r="AK924" s="550"/>
      <c r="AL924" s="550"/>
      <c r="AM924" s="550"/>
      <c r="AN924" s="558" t="s">
        <v>3377</v>
      </c>
      <c r="AO924" s="558"/>
      <c r="AP924" s="558"/>
      <c r="AQ924" s="550" t="s">
        <v>3378</v>
      </c>
      <c r="AR924" s="559"/>
    </row>
    <row r="925" spans="1:44">
      <c r="A925" s="3">
        <v>9060002</v>
      </c>
      <c r="B925" s="3" t="s">
        <v>1129</v>
      </c>
      <c r="C925" s="3" t="s">
        <v>3379</v>
      </c>
      <c r="D925" s="3" t="s">
        <v>3197</v>
      </c>
      <c r="E925" s="3" t="s">
        <v>1129</v>
      </c>
      <c r="F925" s="3">
        <v>1</v>
      </c>
      <c r="G925" s="3">
        <v>6</v>
      </c>
      <c r="H925" s="3" t="s">
        <v>82</v>
      </c>
      <c r="I925" s="3" t="s">
        <v>3198</v>
      </c>
      <c r="J925" s="3"/>
      <c r="K925" s="3"/>
      <c r="L925" s="365" t="s">
        <v>3380</v>
      </c>
      <c r="M925" s="99"/>
      <c r="N925" s="99"/>
      <c r="O925" s="3"/>
      <c r="P925" s="22">
        <v>6</v>
      </c>
      <c r="Q925" s="22">
        <v>0</v>
      </c>
      <c r="R925" s="22" t="s">
        <v>85</v>
      </c>
      <c r="S925" s="3">
        <v>9060002</v>
      </c>
      <c r="T925" s="260"/>
      <c r="U925" s="261"/>
      <c r="V925" s="22" t="s">
        <v>582</v>
      </c>
      <c r="W925" s="650" t="s">
        <v>3376</v>
      </c>
      <c r="X925" s="638" t="s">
        <v>3376</v>
      </c>
      <c r="Y925" s="549"/>
      <c r="Z925" s="549"/>
      <c r="AA925" s="549"/>
      <c r="AB925" s="549"/>
      <c r="AC925" s="550"/>
      <c r="AD925" s="550"/>
      <c r="AE925" s="550">
        <v>2</v>
      </c>
      <c r="AF925" s="550">
        <v>0</v>
      </c>
      <c r="AG925" s="550">
        <v>0</v>
      </c>
      <c r="AH925" s="550"/>
      <c r="AI925" s="550">
        <v>30</v>
      </c>
      <c r="AJ925" s="550">
        <v>18</v>
      </c>
      <c r="AK925" s="550"/>
      <c r="AL925" s="550"/>
      <c r="AM925" s="550"/>
      <c r="AN925" s="558" t="s">
        <v>3381</v>
      </c>
      <c r="AO925" s="558"/>
      <c r="AP925" s="558"/>
      <c r="AQ925" s="550" t="s">
        <v>3382</v>
      </c>
      <c r="AR925" s="559"/>
    </row>
    <row r="926" spans="1:44">
      <c r="A926" s="3">
        <v>9060003</v>
      </c>
      <c r="B926" s="3" t="s">
        <v>1129</v>
      </c>
      <c r="C926" s="3" t="s">
        <v>3383</v>
      </c>
      <c r="D926" s="3" t="s">
        <v>3197</v>
      </c>
      <c r="E926" s="3" t="s">
        <v>1129</v>
      </c>
      <c r="F926" s="3">
        <v>1</v>
      </c>
      <c r="G926" s="3">
        <v>6</v>
      </c>
      <c r="H926" s="3" t="s">
        <v>82</v>
      </c>
      <c r="I926" s="3" t="s">
        <v>3198</v>
      </c>
      <c r="J926" s="3"/>
      <c r="K926" s="3"/>
      <c r="L926" s="365" t="s">
        <v>3384</v>
      </c>
      <c r="M926" s="99"/>
      <c r="N926" s="99"/>
      <c r="O926" s="3"/>
      <c r="P926" s="22">
        <v>7</v>
      </c>
      <c r="Q926" s="22">
        <v>0</v>
      </c>
      <c r="R926" s="22" t="s">
        <v>85</v>
      </c>
      <c r="S926" s="3">
        <v>9060003</v>
      </c>
      <c r="T926" s="260"/>
      <c r="U926" s="261"/>
      <c r="V926" s="22" t="s">
        <v>582</v>
      </c>
      <c r="W926" s="650" t="s">
        <v>3376</v>
      </c>
      <c r="X926" s="638" t="s">
        <v>3376</v>
      </c>
      <c r="Y926" s="549"/>
      <c r="Z926" s="549"/>
      <c r="AA926" s="549"/>
      <c r="AB926" s="549"/>
      <c r="AC926" s="550"/>
      <c r="AD926" s="550"/>
      <c r="AE926" s="550">
        <v>2</v>
      </c>
      <c r="AF926" s="550">
        <v>0</v>
      </c>
      <c r="AG926" s="550">
        <v>0</v>
      </c>
      <c r="AH926" s="550"/>
      <c r="AI926" s="550">
        <v>40</v>
      </c>
      <c r="AJ926" s="550">
        <v>20</v>
      </c>
      <c r="AK926" s="550"/>
      <c r="AL926" s="550"/>
      <c r="AM926" s="550"/>
      <c r="AN926" s="558" t="s">
        <v>3385</v>
      </c>
      <c r="AO926" s="558"/>
      <c r="AP926" s="558"/>
      <c r="AQ926" s="550" t="s">
        <v>3386</v>
      </c>
      <c r="AR926" s="559"/>
    </row>
    <row r="927" spans="1:44">
      <c r="A927" s="3">
        <v>9060011</v>
      </c>
      <c r="B927" s="3" t="s">
        <v>1129</v>
      </c>
      <c r="C927" s="3" t="s">
        <v>3387</v>
      </c>
      <c r="D927" s="3" t="s">
        <v>3197</v>
      </c>
      <c r="E927" s="3" t="s">
        <v>1129</v>
      </c>
      <c r="F927" s="3">
        <v>1</v>
      </c>
      <c r="G927" s="3">
        <v>6</v>
      </c>
      <c r="H927" s="3" t="s">
        <v>82</v>
      </c>
      <c r="I927" s="3" t="s">
        <v>3198</v>
      </c>
      <c r="J927" s="3"/>
      <c r="K927" s="3"/>
      <c r="L927" s="365" t="s">
        <v>3270</v>
      </c>
      <c r="M927" s="99"/>
      <c r="N927" s="99"/>
      <c r="O927" s="3"/>
      <c r="P927" s="22">
        <v>7</v>
      </c>
      <c r="Q927" s="22">
        <v>0</v>
      </c>
      <c r="R927" s="22" t="s">
        <v>85</v>
      </c>
      <c r="S927" s="3">
        <v>9060011</v>
      </c>
      <c r="T927" s="260"/>
      <c r="U927" s="261"/>
      <c r="V927" s="22" t="s">
        <v>582</v>
      </c>
      <c r="W927" s="650" t="s">
        <v>3388</v>
      </c>
      <c r="X927" s="638" t="s">
        <v>3388</v>
      </c>
      <c r="Y927" s="549"/>
      <c r="Z927" s="549"/>
      <c r="AA927" s="549"/>
      <c r="AB927" s="549"/>
      <c r="AC927" s="550"/>
      <c r="AD927" s="550"/>
      <c r="AE927" s="550">
        <v>2</v>
      </c>
      <c r="AF927" s="550">
        <v>0</v>
      </c>
      <c r="AG927" s="550">
        <v>1</v>
      </c>
      <c r="AH927" s="550"/>
      <c r="AI927" s="550">
        <v>52</v>
      </c>
      <c r="AJ927" s="550">
        <v>39</v>
      </c>
      <c r="AK927" s="550"/>
      <c r="AL927" s="550"/>
      <c r="AM927" s="550"/>
      <c r="AN927" s="558" t="s">
        <v>3389</v>
      </c>
      <c r="AO927" s="558"/>
      <c r="AP927" s="558"/>
      <c r="AQ927" s="550" t="s">
        <v>3390</v>
      </c>
      <c r="AR927" s="559">
        <v>267</v>
      </c>
    </row>
    <row r="928" spans="1:44">
      <c r="A928" s="3">
        <v>9060012</v>
      </c>
      <c r="B928" s="3" t="s">
        <v>1129</v>
      </c>
      <c r="C928" s="3" t="s">
        <v>3387</v>
      </c>
      <c r="D928" s="3" t="s">
        <v>3197</v>
      </c>
      <c r="E928" s="3" t="s">
        <v>1129</v>
      </c>
      <c r="F928" s="3">
        <v>1</v>
      </c>
      <c r="G928" s="3">
        <v>6</v>
      </c>
      <c r="H928" s="3" t="s">
        <v>82</v>
      </c>
      <c r="I928" s="3" t="s">
        <v>3198</v>
      </c>
      <c r="J928" s="3"/>
      <c r="K928" s="3"/>
      <c r="L928" s="365" t="s">
        <v>3277</v>
      </c>
      <c r="M928" s="99"/>
      <c r="N928" s="99"/>
      <c r="O928" s="3"/>
      <c r="P928" s="22">
        <v>7</v>
      </c>
      <c r="Q928" s="22">
        <v>0</v>
      </c>
      <c r="R928" s="22" t="s">
        <v>85</v>
      </c>
      <c r="S928" s="3">
        <v>9060012</v>
      </c>
      <c r="T928" s="260"/>
      <c r="U928" s="261"/>
      <c r="V928" s="22" t="s">
        <v>582</v>
      </c>
      <c r="W928" s="641" t="s">
        <v>3388</v>
      </c>
      <c r="X928" s="260" t="s">
        <v>3388</v>
      </c>
      <c r="Y928" s="549"/>
      <c r="Z928" s="549"/>
      <c r="AA928" s="549"/>
      <c r="AB928" s="549"/>
      <c r="AC928" s="550"/>
      <c r="AD928" s="550"/>
      <c r="AE928" s="550">
        <v>2</v>
      </c>
      <c r="AF928" s="550">
        <v>0</v>
      </c>
      <c r="AG928" s="550">
        <v>1</v>
      </c>
      <c r="AH928" s="550"/>
      <c r="AI928" s="550">
        <v>52</v>
      </c>
      <c r="AJ928" s="550">
        <v>39</v>
      </c>
      <c r="AK928" s="555"/>
      <c r="AL928" s="555"/>
      <c r="AM928" s="555"/>
      <c r="AN928" s="558" t="s">
        <v>3389</v>
      </c>
      <c r="AO928" s="558"/>
      <c r="AP928" s="558"/>
      <c r="AQ928" s="550" t="s">
        <v>3390</v>
      </c>
      <c r="AR928" s="559">
        <v>267</v>
      </c>
    </row>
    <row r="929" spans="1:44">
      <c r="A929" s="1">
        <v>9060021</v>
      </c>
      <c r="B929" s="1" t="s">
        <v>1129</v>
      </c>
      <c r="C929" s="1" t="s">
        <v>2785</v>
      </c>
      <c r="D929" s="1" t="s">
        <v>3197</v>
      </c>
      <c r="E929" s="3" t="s">
        <v>2785</v>
      </c>
      <c r="F929" s="1">
        <v>1</v>
      </c>
      <c r="G929" s="1">
        <v>6</v>
      </c>
      <c r="H929" s="1" t="s">
        <v>82</v>
      </c>
      <c r="I929" s="1" t="s">
        <v>3198</v>
      </c>
      <c r="L929" s="220" t="s">
        <v>3278</v>
      </c>
      <c r="O929" s="1" t="s">
        <v>3225</v>
      </c>
      <c r="Q929" s="111">
        <v>0</v>
      </c>
      <c r="S929" s="1">
        <v>9060021</v>
      </c>
      <c r="T929" s="547"/>
      <c r="U929" s="548"/>
      <c r="V929" s="111" t="s">
        <v>582</v>
      </c>
      <c r="W929" s="651" t="s">
        <v>3226</v>
      </c>
      <c r="X929" s="637" t="s">
        <v>3226</v>
      </c>
      <c r="AE929" s="1">
        <v>2</v>
      </c>
      <c r="AF929" s="1">
        <v>0</v>
      </c>
      <c r="AG929" s="1">
        <v>1</v>
      </c>
      <c r="AI929" s="1">
        <v>0</v>
      </c>
      <c r="AJ929" s="1">
        <v>0</v>
      </c>
      <c r="AN929" s="1" t="s">
        <v>3391</v>
      </c>
      <c r="AO929" s="1" t="s">
        <v>3392</v>
      </c>
      <c r="AQ929" s="1" t="s">
        <v>3227</v>
      </c>
    </row>
    <row r="930" spans="1:44">
      <c r="A930" s="1">
        <v>9060022</v>
      </c>
      <c r="B930" s="3" t="s">
        <v>1129</v>
      </c>
      <c r="C930" s="3" t="s">
        <v>3236</v>
      </c>
      <c r="D930" s="3" t="s">
        <v>3197</v>
      </c>
      <c r="E930" s="3" t="s">
        <v>2785</v>
      </c>
      <c r="F930" s="3">
        <v>1</v>
      </c>
      <c r="G930" s="3">
        <v>0</v>
      </c>
      <c r="H930" s="3" t="s">
        <v>82</v>
      </c>
      <c r="I930" s="3" t="s">
        <v>3198</v>
      </c>
      <c r="J930" s="3"/>
      <c r="K930" s="3"/>
      <c r="L930" s="537"/>
      <c r="M930" s="99"/>
      <c r="N930" s="99"/>
      <c r="O930" s="3" t="s">
        <v>3225</v>
      </c>
      <c r="P930" s="22"/>
      <c r="Q930" s="22">
        <v>0</v>
      </c>
      <c r="R930" s="22"/>
      <c r="S930" s="3">
        <v>9000002</v>
      </c>
      <c r="T930" s="260"/>
      <c r="U930" s="261"/>
      <c r="V930" s="22" t="s">
        <v>582</v>
      </c>
      <c r="W930" s="643" t="s">
        <v>3226</v>
      </c>
      <c r="X930" s="637" t="s">
        <v>3226</v>
      </c>
      <c r="AE930" s="1">
        <v>2</v>
      </c>
      <c r="AF930" s="3">
        <v>0</v>
      </c>
      <c r="AG930" s="3">
        <v>1</v>
      </c>
      <c r="AH930" s="3"/>
      <c r="AI930" s="1">
        <v>0</v>
      </c>
      <c r="AJ930" s="539">
        <v>0</v>
      </c>
      <c r="AN930" s="540" t="s">
        <v>3393</v>
      </c>
      <c r="AO930" s="540"/>
      <c r="AP930" s="540"/>
      <c r="AQ930" s="1" t="s">
        <v>3227</v>
      </c>
    </row>
    <row r="931" spans="1:44">
      <c r="A931" s="1">
        <v>9090001</v>
      </c>
      <c r="B931" s="1" t="s">
        <v>1227</v>
      </c>
      <c r="C931" s="1" t="s">
        <v>3394</v>
      </c>
      <c r="D931" s="1" t="s">
        <v>3197</v>
      </c>
      <c r="E931" s="1" t="s">
        <v>1227</v>
      </c>
      <c r="F931" s="1">
        <v>1</v>
      </c>
      <c r="G931" s="1">
        <v>9</v>
      </c>
      <c r="H931" s="1" t="s">
        <v>82</v>
      </c>
      <c r="I931" s="1" t="s">
        <v>3198</v>
      </c>
      <c r="L931" s="220" t="s">
        <v>3395</v>
      </c>
      <c r="P931" s="111">
        <v>1</v>
      </c>
      <c r="Q931" s="111">
        <v>0</v>
      </c>
      <c r="R931" s="111" t="s">
        <v>85</v>
      </c>
      <c r="S931" s="1">
        <v>9090001</v>
      </c>
      <c r="T931" s="260" t="s">
        <v>3246</v>
      </c>
      <c r="U931" s="261" t="s">
        <v>3247</v>
      </c>
      <c r="V931" s="111" t="s">
        <v>582</v>
      </c>
      <c r="W931" s="651" t="s">
        <v>3396</v>
      </c>
      <c r="X931" s="652" t="s">
        <v>3396</v>
      </c>
      <c r="AE931" s="1">
        <v>0</v>
      </c>
      <c r="AF931" s="1">
        <v>0</v>
      </c>
      <c r="AG931" s="1">
        <v>0</v>
      </c>
      <c r="AI931" s="1">
        <v>15</v>
      </c>
      <c r="AJ931" s="1">
        <v>15</v>
      </c>
      <c r="AN931" s="1" t="s">
        <v>3397</v>
      </c>
      <c r="AQ931" s="1" t="s">
        <v>3398</v>
      </c>
    </row>
    <row r="932" spans="1:44">
      <c r="A932" s="1">
        <v>9090002</v>
      </c>
      <c r="B932" s="1" t="s">
        <v>1227</v>
      </c>
      <c r="C932" s="1" t="s">
        <v>3399</v>
      </c>
      <c r="D932" s="1" t="s">
        <v>3197</v>
      </c>
      <c r="E932" s="1" t="s">
        <v>1227</v>
      </c>
      <c r="F932" s="1">
        <v>1</v>
      </c>
      <c r="G932" s="1">
        <v>9</v>
      </c>
      <c r="H932" s="1" t="s">
        <v>82</v>
      </c>
      <c r="I932" s="1" t="s">
        <v>3198</v>
      </c>
      <c r="L932" s="220" t="s">
        <v>3400</v>
      </c>
      <c r="P932" s="111">
        <v>1</v>
      </c>
      <c r="Q932" s="111">
        <v>0</v>
      </c>
      <c r="R932" s="111" t="s">
        <v>85</v>
      </c>
      <c r="S932" s="1">
        <v>9090002</v>
      </c>
      <c r="T932" s="260" t="s">
        <v>3253</v>
      </c>
      <c r="U932" s="261" t="s">
        <v>3254</v>
      </c>
      <c r="V932" s="111" t="s">
        <v>582</v>
      </c>
      <c r="W932" s="651" t="s">
        <v>3396</v>
      </c>
      <c r="X932" s="652" t="s">
        <v>3396</v>
      </c>
      <c r="AE932" s="1">
        <v>0</v>
      </c>
      <c r="AF932" s="1">
        <v>0</v>
      </c>
      <c r="AG932" s="1">
        <v>0</v>
      </c>
      <c r="AI932" s="1">
        <v>20</v>
      </c>
      <c r="AJ932" s="1">
        <v>18</v>
      </c>
      <c r="AN932" s="1" t="s">
        <v>3401</v>
      </c>
      <c r="AQ932" s="1" t="s">
        <v>3402</v>
      </c>
    </row>
    <row r="933" spans="1:44">
      <c r="A933" s="1">
        <v>9090003</v>
      </c>
      <c r="B933" s="1" t="s">
        <v>1227</v>
      </c>
      <c r="C933" s="1" t="s">
        <v>3403</v>
      </c>
      <c r="D933" s="1" t="s">
        <v>3197</v>
      </c>
      <c r="E933" s="1" t="s">
        <v>1227</v>
      </c>
      <c r="F933" s="1">
        <v>1</v>
      </c>
      <c r="G933" s="1">
        <v>9</v>
      </c>
      <c r="H933" s="1" t="s">
        <v>82</v>
      </c>
      <c r="I933" s="1" t="s">
        <v>3198</v>
      </c>
      <c r="L933" s="220" t="s">
        <v>3404</v>
      </c>
      <c r="P933" s="111">
        <v>2</v>
      </c>
      <c r="Q933" s="111">
        <v>0</v>
      </c>
      <c r="R933" s="111" t="s">
        <v>85</v>
      </c>
      <c r="S933" s="1">
        <v>9090003</v>
      </c>
      <c r="T933" s="260" t="s">
        <v>3259</v>
      </c>
      <c r="U933" s="261" t="s">
        <v>3260</v>
      </c>
      <c r="V933" s="111" t="s">
        <v>582</v>
      </c>
      <c r="W933" s="651" t="s">
        <v>3396</v>
      </c>
      <c r="X933" s="652" t="s">
        <v>3396</v>
      </c>
      <c r="AE933" s="1">
        <v>0</v>
      </c>
      <c r="AF933" s="1">
        <v>0</v>
      </c>
      <c r="AG933" s="1">
        <v>0</v>
      </c>
      <c r="AI933" s="1">
        <v>25</v>
      </c>
      <c r="AJ933" s="1">
        <v>20</v>
      </c>
      <c r="AN933" s="1" t="s">
        <v>3405</v>
      </c>
      <c r="AQ933" s="1" t="s">
        <v>3406</v>
      </c>
    </row>
    <row r="934" spans="1:44">
      <c r="A934" s="1">
        <v>9090004</v>
      </c>
      <c r="B934" s="1" t="s">
        <v>1227</v>
      </c>
      <c r="C934" s="1" t="s">
        <v>3407</v>
      </c>
      <c r="D934" s="1" t="s">
        <v>3197</v>
      </c>
      <c r="E934" s="1" t="s">
        <v>1227</v>
      </c>
      <c r="F934" s="1">
        <v>1</v>
      </c>
      <c r="G934" s="1">
        <v>9</v>
      </c>
      <c r="H934" s="1" t="s">
        <v>82</v>
      </c>
      <c r="I934" s="1" t="s">
        <v>3198</v>
      </c>
      <c r="L934" s="220" t="s">
        <v>3408</v>
      </c>
      <c r="P934" s="111">
        <v>2</v>
      </c>
      <c r="Q934" s="111">
        <v>0</v>
      </c>
      <c r="R934" s="111" t="s">
        <v>85</v>
      </c>
      <c r="S934" s="1">
        <v>9090004</v>
      </c>
      <c r="T934" s="260" t="s">
        <v>3265</v>
      </c>
      <c r="U934" s="261" t="s">
        <v>3266</v>
      </c>
      <c r="V934" s="111" t="s">
        <v>582</v>
      </c>
      <c r="W934" s="651" t="s">
        <v>3396</v>
      </c>
      <c r="X934" s="652" t="s">
        <v>3396</v>
      </c>
      <c r="AE934" s="1">
        <v>0</v>
      </c>
      <c r="AF934" s="1">
        <v>0</v>
      </c>
      <c r="AG934" s="1">
        <v>0</v>
      </c>
      <c r="AI934" s="1">
        <v>30</v>
      </c>
      <c r="AJ934" s="1">
        <v>23</v>
      </c>
      <c r="AN934" s="1" t="s">
        <v>3409</v>
      </c>
      <c r="AQ934" s="1" t="s">
        <v>3410</v>
      </c>
    </row>
    <row r="935" spans="1:44">
      <c r="A935" s="1">
        <v>9090011</v>
      </c>
      <c r="B935" s="1" t="s">
        <v>1227</v>
      </c>
      <c r="C935" s="1" t="s">
        <v>3411</v>
      </c>
      <c r="D935" s="1" t="s">
        <v>3197</v>
      </c>
      <c r="E935" s="1" t="s">
        <v>1227</v>
      </c>
      <c r="F935" s="1">
        <v>1</v>
      </c>
      <c r="G935" s="1">
        <v>9</v>
      </c>
      <c r="H935" s="1" t="s">
        <v>82</v>
      </c>
      <c r="I935" s="1" t="s">
        <v>3198</v>
      </c>
      <c r="L935" s="220" t="s">
        <v>3270</v>
      </c>
      <c r="P935" s="111">
        <v>2</v>
      </c>
      <c r="Q935" s="111">
        <v>0</v>
      </c>
      <c r="R935" s="111" t="s">
        <v>85</v>
      </c>
      <c r="S935" s="1">
        <v>9090011</v>
      </c>
      <c r="T935" s="547" t="s">
        <v>3271</v>
      </c>
      <c r="U935" s="548" t="s">
        <v>3272</v>
      </c>
      <c r="V935" s="111" t="s">
        <v>582</v>
      </c>
      <c r="W935" s="651" t="s">
        <v>3412</v>
      </c>
      <c r="X935" s="652" t="s">
        <v>3412</v>
      </c>
      <c r="AE935" s="1">
        <v>2</v>
      </c>
      <c r="AF935" s="1">
        <v>0</v>
      </c>
      <c r="AG935" s="1">
        <v>1</v>
      </c>
      <c r="AI935" s="1">
        <v>52</v>
      </c>
      <c r="AJ935" s="1">
        <v>39</v>
      </c>
      <c r="AN935" s="1" t="s">
        <v>3413</v>
      </c>
      <c r="AQ935" s="1" t="s">
        <v>3414</v>
      </c>
      <c r="AR935" s="222">
        <v>273</v>
      </c>
    </row>
    <row r="936" spans="1:44">
      <c r="A936" s="1">
        <v>9090012</v>
      </c>
      <c r="B936" s="1" t="s">
        <v>1227</v>
      </c>
      <c r="C936" s="1" t="s">
        <v>3411</v>
      </c>
      <c r="D936" s="1" t="s">
        <v>3197</v>
      </c>
      <c r="E936" s="1" t="s">
        <v>1227</v>
      </c>
      <c r="F936" s="1">
        <v>1</v>
      </c>
      <c r="G936" s="1">
        <v>9</v>
      </c>
      <c r="H936" s="1" t="s">
        <v>82</v>
      </c>
      <c r="I936" s="1" t="s">
        <v>3198</v>
      </c>
      <c r="L936" s="220" t="s">
        <v>3277</v>
      </c>
      <c r="P936" s="111">
        <v>2</v>
      </c>
      <c r="Q936" s="111">
        <v>0</v>
      </c>
      <c r="R936" s="111" t="s">
        <v>85</v>
      </c>
      <c r="S936" s="1">
        <v>9090012</v>
      </c>
      <c r="T936" s="260" t="s">
        <v>3271</v>
      </c>
      <c r="U936" s="261" t="s">
        <v>3272</v>
      </c>
      <c r="V936" s="111" t="s">
        <v>582</v>
      </c>
      <c r="W936" s="651" t="s">
        <v>3412</v>
      </c>
      <c r="X936" s="652" t="s">
        <v>3412</v>
      </c>
      <c r="AE936" s="1">
        <v>2</v>
      </c>
      <c r="AF936" s="1">
        <v>0</v>
      </c>
      <c r="AG936" s="1">
        <v>1</v>
      </c>
      <c r="AI936" s="1">
        <v>52</v>
      </c>
      <c r="AJ936" s="1">
        <v>39</v>
      </c>
      <c r="AN936" s="1" t="s">
        <v>3413</v>
      </c>
      <c r="AQ936" s="1" t="s">
        <v>3414</v>
      </c>
      <c r="AR936" s="222">
        <v>273</v>
      </c>
    </row>
    <row r="937" spans="1:44">
      <c r="A937" s="1">
        <v>9090021</v>
      </c>
      <c r="B937" s="1" t="s">
        <v>1227</v>
      </c>
      <c r="C937" s="1" t="s">
        <v>2785</v>
      </c>
      <c r="D937" s="1" t="s">
        <v>3197</v>
      </c>
      <c r="E937" s="3" t="s">
        <v>2785</v>
      </c>
      <c r="F937" s="1">
        <v>1</v>
      </c>
      <c r="G937" s="1">
        <v>9</v>
      </c>
      <c r="H937" s="1" t="s">
        <v>82</v>
      </c>
      <c r="I937" s="1" t="s">
        <v>3198</v>
      </c>
      <c r="L937" s="220" t="s">
        <v>3278</v>
      </c>
      <c r="O937" s="1" t="s">
        <v>3225</v>
      </c>
      <c r="Q937" s="111">
        <v>0</v>
      </c>
      <c r="S937" s="1">
        <v>9090021</v>
      </c>
      <c r="T937" s="547"/>
      <c r="U937" s="548"/>
      <c r="V937" s="111" t="s">
        <v>582</v>
      </c>
      <c r="W937" s="651" t="s">
        <v>3226</v>
      </c>
      <c r="X937" s="637" t="s">
        <v>3226</v>
      </c>
      <c r="AE937" s="1">
        <v>2</v>
      </c>
      <c r="AF937" s="1">
        <v>0</v>
      </c>
      <c r="AG937" s="1">
        <v>1</v>
      </c>
      <c r="AI937" s="1">
        <v>0</v>
      </c>
      <c r="AJ937" s="1">
        <v>0</v>
      </c>
      <c r="AN937" s="1" t="s">
        <v>3415</v>
      </c>
      <c r="AO937" s="1" t="s">
        <v>3416</v>
      </c>
      <c r="AQ937" s="1" t="s">
        <v>3227</v>
      </c>
    </row>
    <row r="938" spans="1:44">
      <c r="A938" s="1">
        <v>9090022</v>
      </c>
      <c r="B938" s="1" t="s">
        <v>1227</v>
      </c>
      <c r="C938" s="3" t="s">
        <v>3236</v>
      </c>
      <c r="D938" s="3" t="s">
        <v>3197</v>
      </c>
      <c r="E938" s="3" t="s">
        <v>2785</v>
      </c>
      <c r="F938" s="3">
        <v>1</v>
      </c>
      <c r="G938" s="3">
        <v>0</v>
      </c>
      <c r="H938" s="3" t="s">
        <v>82</v>
      </c>
      <c r="I938" s="3" t="s">
        <v>3198</v>
      </c>
      <c r="J938" s="3"/>
      <c r="K938" s="3"/>
      <c r="L938" s="537"/>
      <c r="M938" s="99"/>
      <c r="N938" s="99"/>
      <c r="O938" s="3" t="s">
        <v>3225</v>
      </c>
      <c r="P938" s="22"/>
      <c r="Q938" s="22">
        <v>0</v>
      </c>
      <c r="R938" s="22"/>
      <c r="S938" s="3">
        <v>9000002</v>
      </c>
      <c r="T938" s="260"/>
      <c r="U938" s="261"/>
      <c r="V938" s="22" t="s">
        <v>582</v>
      </c>
      <c r="W938" s="643" t="s">
        <v>3226</v>
      </c>
      <c r="X938" s="637" t="s">
        <v>3226</v>
      </c>
      <c r="AE938" s="1">
        <v>2</v>
      </c>
      <c r="AF938" s="3">
        <v>0</v>
      </c>
      <c r="AG938" s="3">
        <v>1</v>
      </c>
      <c r="AH938" s="3"/>
      <c r="AI938" s="1">
        <v>0</v>
      </c>
      <c r="AJ938" s="539">
        <v>0</v>
      </c>
      <c r="AN938" s="540" t="s">
        <v>3417</v>
      </c>
      <c r="AO938" s="540"/>
      <c r="AP938" s="540"/>
      <c r="AQ938" s="1" t="s">
        <v>3227</v>
      </c>
    </row>
    <row r="939" spans="1:44">
      <c r="A939" s="1">
        <v>9100001</v>
      </c>
      <c r="B939" s="1" t="s">
        <v>1341</v>
      </c>
      <c r="C939" s="1" t="s">
        <v>3418</v>
      </c>
      <c r="D939" s="1" t="s">
        <v>3197</v>
      </c>
      <c r="E939" s="1" t="s">
        <v>1341</v>
      </c>
      <c r="F939" s="1">
        <v>1</v>
      </c>
      <c r="G939" s="1">
        <v>10</v>
      </c>
      <c r="H939" s="1" t="s">
        <v>82</v>
      </c>
      <c r="I939" s="1" t="s">
        <v>3198</v>
      </c>
      <c r="L939" s="220" t="s">
        <v>3419</v>
      </c>
      <c r="P939" s="111">
        <v>2</v>
      </c>
      <c r="Q939" s="111">
        <v>0</v>
      </c>
      <c r="R939" s="111" t="s">
        <v>85</v>
      </c>
      <c r="S939" s="1">
        <v>9100001</v>
      </c>
      <c r="T939" s="260" t="s">
        <v>3253</v>
      </c>
      <c r="U939" s="261" t="s">
        <v>3254</v>
      </c>
      <c r="V939" s="111" t="s">
        <v>582</v>
      </c>
      <c r="W939" s="651" t="s">
        <v>3420</v>
      </c>
      <c r="X939" s="652" t="s">
        <v>3420</v>
      </c>
      <c r="AE939" s="1">
        <v>0</v>
      </c>
      <c r="AF939" s="1">
        <v>0</v>
      </c>
      <c r="AG939" s="1">
        <v>0</v>
      </c>
      <c r="AI939" s="1">
        <v>20</v>
      </c>
      <c r="AJ939" s="1">
        <v>19</v>
      </c>
      <c r="AN939" s="1" t="s">
        <v>3421</v>
      </c>
      <c r="AQ939" s="1" t="s">
        <v>3422</v>
      </c>
    </row>
    <row r="940" spans="1:44">
      <c r="A940" s="1">
        <v>9100002</v>
      </c>
      <c r="B940" s="1" t="s">
        <v>1341</v>
      </c>
      <c r="C940" s="1" t="s">
        <v>3423</v>
      </c>
      <c r="D940" s="1" t="s">
        <v>3197</v>
      </c>
      <c r="E940" s="1" t="s">
        <v>1341</v>
      </c>
      <c r="F940" s="1">
        <v>1</v>
      </c>
      <c r="G940" s="1">
        <v>10</v>
      </c>
      <c r="H940" s="1" t="s">
        <v>82</v>
      </c>
      <c r="I940" s="1" t="s">
        <v>3198</v>
      </c>
      <c r="L940" s="220" t="s">
        <v>3424</v>
      </c>
      <c r="P940" s="111">
        <v>2</v>
      </c>
      <c r="Q940" s="111">
        <v>0</v>
      </c>
      <c r="R940" s="111" t="s">
        <v>85</v>
      </c>
      <c r="S940" s="1">
        <v>9100002</v>
      </c>
      <c r="T940" s="260" t="s">
        <v>3259</v>
      </c>
      <c r="U940" s="261" t="s">
        <v>3260</v>
      </c>
      <c r="V940" s="111" t="s">
        <v>582</v>
      </c>
      <c r="W940" s="651" t="s">
        <v>3420</v>
      </c>
      <c r="X940" s="652" t="s">
        <v>3420</v>
      </c>
      <c r="AE940" s="1">
        <v>0</v>
      </c>
      <c r="AF940" s="1">
        <v>0</v>
      </c>
      <c r="AG940" s="1">
        <v>0</v>
      </c>
      <c r="AI940" s="1">
        <v>30</v>
      </c>
      <c r="AJ940" s="1">
        <v>26</v>
      </c>
      <c r="AN940" s="1" t="s">
        <v>3425</v>
      </c>
      <c r="AQ940" s="1" t="s">
        <v>3426</v>
      </c>
    </row>
    <row r="941" spans="1:44">
      <c r="A941" s="1">
        <v>9100003</v>
      </c>
      <c r="B941" s="1" t="s">
        <v>1341</v>
      </c>
      <c r="C941" s="1" t="s">
        <v>3427</v>
      </c>
      <c r="D941" s="1" t="s">
        <v>3197</v>
      </c>
      <c r="E941" s="1" t="s">
        <v>1341</v>
      </c>
      <c r="F941" s="1">
        <v>1</v>
      </c>
      <c r="G941" s="1">
        <v>10</v>
      </c>
      <c r="H941" s="1" t="s">
        <v>82</v>
      </c>
      <c r="I941" s="1" t="s">
        <v>3198</v>
      </c>
      <c r="L941" s="220" t="s">
        <v>3428</v>
      </c>
      <c r="P941" s="111">
        <v>3</v>
      </c>
      <c r="Q941" s="111">
        <v>0</v>
      </c>
      <c r="R941" s="111" t="s">
        <v>85</v>
      </c>
      <c r="S941" s="1">
        <v>9100003</v>
      </c>
      <c r="T941" s="260" t="s">
        <v>3265</v>
      </c>
      <c r="U941" s="261" t="s">
        <v>3266</v>
      </c>
      <c r="V941" s="111" t="s">
        <v>582</v>
      </c>
      <c r="W941" s="651" t="s">
        <v>3420</v>
      </c>
      <c r="X941" s="652" t="s">
        <v>3420</v>
      </c>
      <c r="AE941" s="1">
        <v>0</v>
      </c>
      <c r="AF941" s="1">
        <v>0</v>
      </c>
      <c r="AG941" s="1">
        <v>0</v>
      </c>
      <c r="AI941" s="1">
        <v>40</v>
      </c>
      <c r="AJ941" s="1">
        <v>32</v>
      </c>
      <c r="AN941" s="1" t="s">
        <v>3429</v>
      </c>
      <c r="AQ941" s="1" t="s">
        <v>3430</v>
      </c>
    </row>
    <row r="942" spans="1:44">
      <c r="A942" s="1">
        <v>9100011</v>
      </c>
      <c r="B942" s="1" t="s">
        <v>1341</v>
      </c>
      <c r="C942" s="1" t="s">
        <v>3431</v>
      </c>
      <c r="D942" s="1" t="s">
        <v>3197</v>
      </c>
      <c r="E942" s="1" t="s">
        <v>1341</v>
      </c>
      <c r="F942" s="1">
        <v>1</v>
      </c>
      <c r="G942" s="1">
        <v>10</v>
      </c>
      <c r="H942" s="1" t="s">
        <v>82</v>
      </c>
      <c r="I942" s="1" t="s">
        <v>3198</v>
      </c>
      <c r="L942" s="220" t="s">
        <v>3270</v>
      </c>
      <c r="P942" s="111">
        <v>3</v>
      </c>
      <c r="Q942" s="111">
        <v>0</v>
      </c>
      <c r="R942" s="111" t="s">
        <v>85</v>
      </c>
      <c r="S942" s="1">
        <v>9100011</v>
      </c>
      <c r="T942" s="547" t="s">
        <v>3271</v>
      </c>
      <c r="U942" s="548" t="s">
        <v>3272</v>
      </c>
      <c r="V942" s="111" t="s">
        <v>582</v>
      </c>
      <c r="W942" s="651" t="s">
        <v>3432</v>
      </c>
      <c r="X942" s="652" t="s">
        <v>3432</v>
      </c>
      <c r="AE942" s="1">
        <v>2</v>
      </c>
      <c r="AF942" s="1">
        <v>0</v>
      </c>
      <c r="AG942" s="1">
        <v>1</v>
      </c>
      <c r="AI942" s="1">
        <v>65</v>
      </c>
      <c r="AJ942" s="1">
        <v>26</v>
      </c>
      <c r="AN942" s="1" t="s">
        <v>3433</v>
      </c>
      <c r="AQ942" s="1" t="s">
        <v>3434</v>
      </c>
      <c r="AR942" s="222">
        <v>279</v>
      </c>
    </row>
    <row r="943" spans="1:44">
      <c r="A943" s="1">
        <v>9100012</v>
      </c>
      <c r="B943" s="1" t="s">
        <v>1341</v>
      </c>
      <c r="C943" s="1" t="s">
        <v>3431</v>
      </c>
      <c r="D943" s="1" t="s">
        <v>3197</v>
      </c>
      <c r="E943" s="1" t="s">
        <v>1341</v>
      </c>
      <c r="F943" s="1">
        <v>1</v>
      </c>
      <c r="G943" s="1">
        <v>10</v>
      </c>
      <c r="H943" s="1" t="s">
        <v>82</v>
      </c>
      <c r="I943" s="1" t="s">
        <v>3198</v>
      </c>
      <c r="L943" s="220" t="s">
        <v>3277</v>
      </c>
      <c r="P943" s="111">
        <v>3</v>
      </c>
      <c r="Q943" s="111">
        <v>0</v>
      </c>
      <c r="R943" s="111" t="s">
        <v>85</v>
      </c>
      <c r="S943" s="1">
        <v>9100012</v>
      </c>
      <c r="T943" s="260" t="s">
        <v>3271</v>
      </c>
      <c r="U943" s="261" t="s">
        <v>3272</v>
      </c>
      <c r="V943" s="111" t="s">
        <v>582</v>
      </c>
      <c r="W943" s="651" t="s">
        <v>3432</v>
      </c>
      <c r="X943" s="652" t="s">
        <v>3432</v>
      </c>
      <c r="AE943" s="1">
        <v>2</v>
      </c>
      <c r="AF943" s="1">
        <v>0</v>
      </c>
      <c r="AG943" s="1">
        <v>1</v>
      </c>
      <c r="AI943" s="1">
        <v>65</v>
      </c>
      <c r="AJ943" s="1">
        <v>52</v>
      </c>
      <c r="AN943" s="1" t="s">
        <v>3433</v>
      </c>
      <c r="AQ943" s="1" t="s">
        <v>3434</v>
      </c>
      <c r="AR943" s="222">
        <v>279</v>
      </c>
    </row>
    <row r="944" spans="1:44">
      <c r="A944" s="1">
        <v>9100021</v>
      </c>
      <c r="B944" s="1" t="s">
        <v>1341</v>
      </c>
      <c r="C944" s="1" t="s">
        <v>2785</v>
      </c>
      <c r="D944" s="1" t="s">
        <v>3197</v>
      </c>
      <c r="E944" s="3" t="s">
        <v>2785</v>
      </c>
      <c r="F944" s="1">
        <v>1</v>
      </c>
      <c r="G944" s="1">
        <v>10</v>
      </c>
      <c r="H944" s="1" t="s">
        <v>82</v>
      </c>
      <c r="I944" s="1" t="s">
        <v>3198</v>
      </c>
      <c r="L944" s="220" t="s">
        <v>3278</v>
      </c>
      <c r="O944" s="3" t="s">
        <v>3225</v>
      </c>
      <c r="Q944" s="111">
        <v>0</v>
      </c>
      <c r="S944" s="1">
        <v>9100021</v>
      </c>
      <c r="T944" s="547"/>
      <c r="U944" s="548"/>
      <c r="V944" s="111" t="s">
        <v>582</v>
      </c>
      <c r="W944" s="651" t="s">
        <v>3226</v>
      </c>
      <c r="X944" s="637" t="s">
        <v>3226</v>
      </c>
      <c r="AE944" s="1">
        <v>2</v>
      </c>
      <c r="AF944" s="1">
        <v>0</v>
      </c>
      <c r="AG944" s="1">
        <v>1</v>
      </c>
      <c r="AI944" s="1">
        <v>0</v>
      </c>
      <c r="AJ944" s="1">
        <v>0</v>
      </c>
      <c r="AN944" s="1" t="s">
        <v>3435</v>
      </c>
      <c r="AO944" s="1" t="s">
        <v>3436</v>
      </c>
      <c r="AQ944" s="1" t="s">
        <v>3227</v>
      </c>
    </row>
    <row r="945" spans="1:44">
      <c r="A945" s="1">
        <v>9100022</v>
      </c>
      <c r="B945" s="1" t="s">
        <v>1341</v>
      </c>
      <c r="C945" s="3" t="s">
        <v>3236</v>
      </c>
      <c r="D945" s="3" t="s">
        <v>3197</v>
      </c>
      <c r="E945" s="3" t="s">
        <v>2785</v>
      </c>
      <c r="F945" s="3">
        <v>1</v>
      </c>
      <c r="G945" s="3">
        <v>0</v>
      </c>
      <c r="H945" s="3" t="s">
        <v>82</v>
      </c>
      <c r="I945" s="3" t="s">
        <v>3198</v>
      </c>
      <c r="J945" s="3"/>
      <c r="K945" s="3"/>
      <c r="L945" s="537"/>
      <c r="M945" s="99"/>
      <c r="N945" s="99"/>
      <c r="O945" s="3" t="s">
        <v>3225</v>
      </c>
      <c r="P945" s="22"/>
      <c r="Q945" s="22">
        <v>0</v>
      </c>
      <c r="R945" s="22"/>
      <c r="S945" s="3">
        <v>9000002</v>
      </c>
      <c r="T945" s="260"/>
      <c r="U945" s="261"/>
      <c r="V945" s="22" t="s">
        <v>582</v>
      </c>
      <c r="W945" s="643" t="s">
        <v>3226</v>
      </c>
      <c r="X945" s="637" t="s">
        <v>3226</v>
      </c>
      <c r="AE945" s="1">
        <v>2</v>
      </c>
      <c r="AF945" s="3">
        <v>0</v>
      </c>
      <c r="AG945" s="1">
        <v>1</v>
      </c>
      <c r="AH945" s="3"/>
      <c r="AI945" s="1">
        <v>0</v>
      </c>
      <c r="AJ945" s="539">
        <v>0</v>
      </c>
      <c r="AN945" s="540" t="s">
        <v>3437</v>
      </c>
      <c r="AO945" s="540"/>
      <c r="AP945" s="540"/>
      <c r="AQ945" s="1" t="s">
        <v>3227</v>
      </c>
    </row>
    <row r="946" spans="1:44">
      <c r="A946" s="1">
        <v>9110001</v>
      </c>
      <c r="B946" s="1" t="s">
        <v>1520</v>
      </c>
      <c r="C946" s="1" t="s">
        <v>3438</v>
      </c>
      <c r="D946" s="1" t="s">
        <v>3197</v>
      </c>
      <c r="E946" s="1" t="s">
        <v>1520</v>
      </c>
      <c r="F946" s="1">
        <v>1</v>
      </c>
      <c r="G946" s="1">
        <v>11</v>
      </c>
      <c r="H946" s="1" t="s">
        <v>82</v>
      </c>
      <c r="I946" s="1" t="s">
        <v>3198</v>
      </c>
      <c r="L946" s="220" t="s">
        <v>3439</v>
      </c>
      <c r="P946" s="111">
        <v>1</v>
      </c>
      <c r="Q946" s="111">
        <v>0</v>
      </c>
      <c r="R946" s="111" t="s">
        <v>85</v>
      </c>
      <c r="S946" s="1">
        <v>9110001</v>
      </c>
      <c r="T946" s="260" t="s">
        <v>3440</v>
      </c>
      <c r="U946" s="261" t="s">
        <v>3441</v>
      </c>
      <c r="V946" s="111" t="s">
        <v>582</v>
      </c>
      <c r="W946" s="651" t="s">
        <v>3442</v>
      </c>
      <c r="X946" s="652" t="s">
        <v>3442</v>
      </c>
      <c r="AC946" s="1">
        <v>0.7</v>
      </c>
      <c r="AE946" s="1">
        <v>0</v>
      </c>
      <c r="AF946" s="1">
        <v>0</v>
      </c>
      <c r="AG946" s="1">
        <v>0</v>
      </c>
      <c r="AI946" s="1">
        <v>20</v>
      </c>
      <c r="AJ946" s="1">
        <v>15</v>
      </c>
      <c r="AN946" s="1" t="s">
        <v>3443</v>
      </c>
      <c r="AQ946" s="1" t="s">
        <v>3444</v>
      </c>
    </row>
    <row r="947" spans="1:44">
      <c r="A947" s="1">
        <v>9110002</v>
      </c>
      <c r="B947" s="1" t="s">
        <v>1520</v>
      </c>
      <c r="C947" s="1" t="s">
        <v>3445</v>
      </c>
      <c r="D947" s="1" t="s">
        <v>3197</v>
      </c>
      <c r="E947" s="1" t="s">
        <v>1520</v>
      </c>
      <c r="F947" s="1">
        <v>1</v>
      </c>
      <c r="G947" s="1">
        <v>11</v>
      </c>
      <c r="H947" s="1" t="s">
        <v>82</v>
      </c>
      <c r="I947" s="1" t="s">
        <v>3198</v>
      </c>
      <c r="L947" s="220" t="s">
        <v>3446</v>
      </c>
      <c r="P947" s="111">
        <v>1</v>
      </c>
      <c r="Q947" s="111">
        <v>0</v>
      </c>
      <c r="R947" s="111" t="s">
        <v>85</v>
      </c>
      <c r="S947" s="1">
        <v>9110002</v>
      </c>
      <c r="T947" s="260" t="s">
        <v>3440</v>
      </c>
      <c r="U947" s="261" t="s">
        <v>3447</v>
      </c>
      <c r="V947" s="111" t="s">
        <v>582</v>
      </c>
      <c r="W947" s="651" t="s">
        <v>3442</v>
      </c>
      <c r="X947" s="652" t="s">
        <v>3442</v>
      </c>
      <c r="AC947" s="1">
        <v>0.7</v>
      </c>
      <c r="AE947" s="1">
        <v>0</v>
      </c>
      <c r="AF947" s="1">
        <v>0</v>
      </c>
      <c r="AG947" s="1">
        <v>0</v>
      </c>
      <c r="AI947" s="1">
        <v>30</v>
      </c>
      <c r="AJ947" s="1">
        <v>18</v>
      </c>
      <c r="AN947" s="1" t="s">
        <v>3448</v>
      </c>
      <c r="AQ947" s="1" t="s">
        <v>3449</v>
      </c>
    </row>
    <row r="948" spans="1:44">
      <c r="A948" s="1">
        <v>9110003</v>
      </c>
      <c r="B948" s="1" t="s">
        <v>1520</v>
      </c>
      <c r="C948" s="1" t="s">
        <v>3450</v>
      </c>
      <c r="D948" s="1" t="s">
        <v>3197</v>
      </c>
      <c r="E948" s="1" t="s">
        <v>1520</v>
      </c>
      <c r="F948" s="1">
        <v>1</v>
      </c>
      <c r="G948" s="1">
        <v>11</v>
      </c>
      <c r="H948" s="1" t="s">
        <v>82</v>
      </c>
      <c r="I948" s="1" t="s">
        <v>3198</v>
      </c>
      <c r="L948" s="220" t="s">
        <v>3451</v>
      </c>
      <c r="P948" s="111">
        <v>1</v>
      </c>
      <c r="Q948" s="111">
        <v>0</v>
      </c>
      <c r="R948" s="111" t="s">
        <v>85</v>
      </c>
      <c r="S948" s="1">
        <v>9110003</v>
      </c>
      <c r="T948" s="260" t="s">
        <v>3452</v>
      </c>
      <c r="U948" s="261" t="s">
        <v>3447</v>
      </c>
      <c r="V948" s="111" t="s">
        <v>582</v>
      </c>
      <c r="W948" s="651" t="s">
        <v>3442</v>
      </c>
      <c r="X948" s="652" t="s">
        <v>3442</v>
      </c>
      <c r="AC948" s="1">
        <v>0.7</v>
      </c>
      <c r="AE948" s="1">
        <v>0</v>
      </c>
      <c r="AF948" s="1">
        <v>0</v>
      </c>
      <c r="AG948" s="1">
        <v>0</v>
      </c>
      <c r="AI948" s="1">
        <v>40</v>
      </c>
      <c r="AJ948" s="1">
        <v>20</v>
      </c>
      <c r="AN948" s="1" t="s">
        <v>3453</v>
      </c>
      <c r="AQ948" s="1" t="s">
        <v>3454</v>
      </c>
    </row>
    <row r="949" spans="1:44">
      <c r="A949" s="1">
        <v>9110011</v>
      </c>
      <c r="B949" s="1" t="s">
        <v>1520</v>
      </c>
      <c r="C949" s="1" t="s">
        <v>3455</v>
      </c>
      <c r="D949" s="1" t="s">
        <v>3197</v>
      </c>
      <c r="E949" s="1" t="s">
        <v>1520</v>
      </c>
      <c r="F949" s="1">
        <v>1</v>
      </c>
      <c r="G949" s="1">
        <v>11</v>
      </c>
      <c r="H949" s="1" t="s">
        <v>82</v>
      </c>
      <c r="I949" s="1" t="s">
        <v>3198</v>
      </c>
      <c r="L949" s="220" t="s">
        <v>3456</v>
      </c>
      <c r="P949" s="111">
        <v>1</v>
      </c>
      <c r="Q949" s="111">
        <v>0</v>
      </c>
      <c r="R949" s="111" t="s">
        <v>85</v>
      </c>
      <c r="S949" s="1">
        <v>9110011</v>
      </c>
      <c r="T949" s="260" t="s">
        <v>3271</v>
      </c>
      <c r="U949" s="261" t="s">
        <v>3272</v>
      </c>
      <c r="V949" s="111" t="s">
        <v>582</v>
      </c>
      <c r="W949" s="651" t="s">
        <v>3457</v>
      </c>
      <c r="X949" s="652" t="s">
        <v>3457</v>
      </c>
      <c r="AC949" s="1">
        <v>0.7</v>
      </c>
      <c r="AE949" s="1">
        <v>2</v>
      </c>
      <c r="AF949" s="1">
        <v>0</v>
      </c>
      <c r="AG949" s="1">
        <v>1</v>
      </c>
      <c r="AI949" s="1">
        <v>39</v>
      </c>
      <c r="AJ949" s="1">
        <v>23</v>
      </c>
      <c r="AN949" s="1" t="s">
        <v>3458</v>
      </c>
      <c r="AQ949" s="1" t="s">
        <v>3459</v>
      </c>
      <c r="AR949" s="222">
        <v>285</v>
      </c>
    </row>
    <row r="950" spans="1:44">
      <c r="A950" s="1">
        <v>9110012</v>
      </c>
      <c r="B950" s="1" t="s">
        <v>1520</v>
      </c>
      <c r="C950" s="1" t="s">
        <v>3455</v>
      </c>
      <c r="D950" s="1" t="s">
        <v>3197</v>
      </c>
      <c r="E950" s="1" t="s">
        <v>1520</v>
      </c>
      <c r="F950" s="1">
        <v>1</v>
      </c>
      <c r="G950" s="1">
        <v>11</v>
      </c>
      <c r="H950" s="1" t="s">
        <v>82</v>
      </c>
      <c r="I950" s="1" t="s">
        <v>3198</v>
      </c>
      <c r="L950" s="220" t="s">
        <v>3460</v>
      </c>
      <c r="P950" s="111">
        <v>2</v>
      </c>
      <c r="Q950" s="111">
        <v>0</v>
      </c>
      <c r="R950" s="111" t="s">
        <v>85</v>
      </c>
      <c r="S950" s="1">
        <v>9110012</v>
      </c>
      <c r="T950" s="547" t="s">
        <v>3271</v>
      </c>
      <c r="U950" s="548" t="s">
        <v>3272</v>
      </c>
      <c r="V950" s="111" t="s">
        <v>582</v>
      </c>
      <c r="W950" s="651" t="s">
        <v>3457</v>
      </c>
      <c r="X950" s="652" t="s">
        <v>3457</v>
      </c>
      <c r="AB950" s="111" t="s">
        <v>90</v>
      </c>
      <c r="AC950" s="1" t="s">
        <v>1155</v>
      </c>
      <c r="AE950" s="1">
        <v>2</v>
      </c>
      <c r="AF950" s="1">
        <v>0</v>
      </c>
      <c r="AG950" s="1">
        <v>1</v>
      </c>
      <c r="AI950" s="1">
        <v>52</v>
      </c>
      <c r="AJ950" s="1">
        <v>39</v>
      </c>
      <c r="AN950" s="1" t="s">
        <v>3458</v>
      </c>
      <c r="AQ950" s="1" t="s">
        <v>3459</v>
      </c>
      <c r="AR950" s="222">
        <v>285</v>
      </c>
    </row>
    <row r="951" spans="1:44">
      <c r="A951" s="1">
        <v>9110021</v>
      </c>
      <c r="B951" s="1" t="s">
        <v>1520</v>
      </c>
      <c r="C951" s="1" t="s">
        <v>2785</v>
      </c>
      <c r="D951" s="1" t="s">
        <v>3197</v>
      </c>
      <c r="E951" s="3" t="s">
        <v>2785</v>
      </c>
      <c r="F951" s="1">
        <v>1</v>
      </c>
      <c r="G951" s="1">
        <v>11</v>
      </c>
      <c r="H951" s="1" t="s">
        <v>82</v>
      </c>
      <c r="I951" s="1" t="s">
        <v>3198</v>
      </c>
      <c r="L951" s="220" t="s">
        <v>3278</v>
      </c>
      <c r="O951" s="3" t="s">
        <v>3225</v>
      </c>
      <c r="Q951" s="111">
        <v>0</v>
      </c>
      <c r="R951" s="22"/>
      <c r="S951" s="1">
        <v>9120021</v>
      </c>
      <c r="T951" s="260"/>
      <c r="U951" s="261"/>
      <c r="V951" s="111" t="s">
        <v>582</v>
      </c>
      <c r="W951" s="651" t="s">
        <v>3226</v>
      </c>
      <c r="X951" s="637" t="s">
        <v>3226</v>
      </c>
      <c r="AA951" s="111">
        <v>1</v>
      </c>
      <c r="AE951" s="1">
        <v>2</v>
      </c>
      <c r="AF951" s="1">
        <v>0</v>
      </c>
      <c r="AG951" s="1">
        <v>1</v>
      </c>
      <c r="AI951" s="1">
        <v>0</v>
      </c>
      <c r="AJ951" s="1">
        <v>0</v>
      </c>
      <c r="AN951" s="1" t="s">
        <v>3461</v>
      </c>
      <c r="AO951" s="1" t="s">
        <v>3462</v>
      </c>
      <c r="AQ951" s="1" t="s">
        <v>3227</v>
      </c>
    </row>
    <row r="952" spans="1:44">
      <c r="A952" s="1">
        <v>9110022</v>
      </c>
      <c r="B952" s="1" t="s">
        <v>1520</v>
      </c>
      <c r="C952" s="3" t="s">
        <v>3236</v>
      </c>
      <c r="D952" s="3" t="s">
        <v>3197</v>
      </c>
      <c r="E952" s="3" t="s">
        <v>2785</v>
      </c>
      <c r="F952" s="3">
        <v>1</v>
      </c>
      <c r="G952" s="3">
        <v>0</v>
      </c>
      <c r="H952" s="3" t="s">
        <v>82</v>
      </c>
      <c r="I952" s="3" t="s">
        <v>3198</v>
      </c>
      <c r="J952" s="3"/>
      <c r="K952" s="3"/>
      <c r="L952" s="537"/>
      <c r="M952" s="99"/>
      <c r="N952" s="99"/>
      <c r="O952" s="3" t="s">
        <v>3225</v>
      </c>
      <c r="P952" s="22"/>
      <c r="Q952" s="22">
        <v>0</v>
      </c>
      <c r="R952" s="22"/>
      <c r="S952" s="3">
        <v>9000002</v>
      </c>
      <c r="T952" s="260"/>
      <c r="U952" s="261"/>
      <c r="V952" s="22" t="s">
        <v>582</v>
      </c>
      <c r="W952" s="643" t="s">
        <v>3226</v>
      </c>
      <c r="X952" s="637" t="s">
        <v>3226</v>
      </c>
      <c r="AE952" s="1">
        <v>2</v>
      </c>
      <c r="AF952" s="1">
        <v>0</v>
      </c>
      <c r="AG952" s="1">
        <v>1</v>
      </c>
      <c r="AH952" s="3"/>
      <c r="AI952" s="1">
        <v>0</v>
      </c>
      <c r="AJ952" s="539">
        <v>0</v>
      </c>
      <c r="AN952" s="540" t="s">
        <v>3463</v>
      </c>
      <c r="AO952" s="540"/>
      <c r="AP952" s="540"/>
      <c r="AQ952" s="1" t="s">
        <v>3227</v>
      </c>
    </row>
    <row r="953" spans="1:44">
      <c r="A953" s="1">
        <v>9120001</v>
      </c>
      <c r="B953" s="1" t="s">
        <v>1574</v>
      </c>
      <c r="C953" s="1" t="s">
        <v>3464</v>
      </c>
      <c r="D953" s="1" t="s">
        <v>3197</v>
      </c>
      <c r="E953" s="1" t="s">
        <v>1574</v>
      </c>
      <c r="F953" s="1">
        <v>1</v>
      </c>
      <c r="G953" s="1">
        <v>12</v>
      </c>
      <c r="H953" s="1" t="s">
        <v>82</v>
      </c>
      <c r="I953" s="1" t="s">
        <v>3198</v>
      </c>
      <c r="L953" s="220" t="s">
        <v>3465</v>
      </c>
      <c r="P953" s="111">
        <v>1</v>
      </c>
      <c r="Q953" s="111">
        <v>0</v>
      </c>
      <c r="R953" s="111" t="s">
        <v>85</v>
      </c>
      <c r="S953" s="1">
        <v>9120001</v>
      </c>
      <c r="T953" s="260"/>
      <c r="U953" s="261"/>
      <c r="V953" s="111" t="s">
        <v>582</v>
      </c>
      <c r="W953" s="651" t="s">
        <v>3466</v>
      </c>
      <c r="X953" s="652" t="s">
        <v>3466</v>
      </c>
      <c r="AE953" s="1">
        <v>0</v>
      </c>
      <c r="AF953" s="1">
        <v>0</v>
      </c>
      <c r="AG953" s="1">
        <v>0</v>
      </c>
      <c r="AI953" s="1">
        <v>50</v>
      </c>
      <c r="AJ953" s="1">
        <v>15</v>
      </c>
      <c r="AN953" s="1" t="s">
        <v>3467</v>
      </c>
      <c r="AQ953" s="1" t="s">
        <v>3468</v>
      </c>
    </row>
    <row r="954" spans="1:44">
      <c r="A954" s="1">
        <v>9120011</v>
      </c>
      <c r="B954" s="1" t="s">
        <v>1574</v>
      </c>
      <c r="C954" s="1" t="s">
        <v>3469</v>
      </c>
      <c r="D954" s="1" t="s">
        <v>3197</v>
      </c>
      <c r="E954" s="1" t="s">
        <v>1574</v>
      </c>
      <c r="F954" s="1">
        <v>1</v>
      </c>
      <c r="G954" s="1">
        <v>12</v>
      </c>
      <c r="H954" s="1" t="s">
        <v>82</v>
      </c>
      <c r="I954" s="1" t="s">
        <v>3198</v>
      </c>
      <c r="L954" s="220" t="s">
        <v>3277</v>
      </c>
      <c r="P954" s="111">
        <v>1</v>
      </c>
      <c r="Q954" s="111">
        <v>0</v>
      </c>
      <c r="R954" s="111" t="s">
        <v>85</v>
      </c>
      <c r="S954" s="1">
        <v>9120011</v>
      </c>
      <c r="T954" s="547"/>
      <c r="U954" s="548"/>
      <c r="V954" s="111" t="s">
        <v>582</v>
      </c>
      <c r="W954" s="651" t="s">
        <v>3470</v>
      </c>
      <c r="X954" s="652" t="s">
        <v>3470</v>
      </c>
      <c r="AE954" s="1">
        <v>2</v>
      </c>
      <c r="AF954" s="1">
        <v>0</v>
      </c>
      <c r="AG954" s="1">
        <v>1</v>
      </c>
      <c r="AI954" s="1">
        <v>60</v>
      </c>
      <c r="AJ954" s="1">
        <v>18</v>
      </c>
      <c r="AN954" s="1" t="s">
        <v>3471</v>
      </c>
      <c r="AQ954" s="1" t="s">
        <v>3472</v>
      </c>
      <c r="AR954" s="222">
        <v>297</v>
      </c>
    </row>
    <row r="955" spans="1:44">
      <c r="A955" s="1">
        <v>9120012</v>
      </c>
      <c r="B955" s="1" t="s">
        <v>1574</v>
      </c>
      <c r="C955" s="1" t="s">
        <v>3469</v>
      </c>
      <c r="D955" s="1" t="s">
        <v>3197</v>
      </c>
      <c r="E955" s="1" t="s">
        <v>1574</v>
      </c>
      <c r="F955" s="1">
        <v>1</v>
      </c>
      <c r="G955" s="1">
        <v>12</v>
      </c>
      <c r="H955" s="1" t="s">
        <v>82</v>
      </c>
      <c r="I955" s="1" t="s">
        <v>3198</v>
      </c>
      <c r="L955" s="220" t="s">
        <v>3473</v>
      </c>
      <c r="P955" s="111">
        <v>2</v>
      </c>
      <c r="Q955" s="111">
        <v>0</v>
      </c>
      <c r="R955" s="111" t="s">
        <v>85</v>
      </c>
      <c r="S955" s="1">
        <v>9120012</v>
      </c>
      <c r="T955" s="547"/>
      <c r="U955" s="548"/>
      <c r="V955" s="111" t="s">
        <v>582</v>
      </c>
      <c r="W955" s="651" t="s">
        <v>3470</v>
      </c>
      <c r="X955" s="652" t="s">
        <v>3470</v>
      </c>
      <c r="AE955" s="1">
        <v>2</v>
      </c>
      <c r="AF955" s="1">
        <v>0</v>
      </c>
      <c r="AG955" s="1">
        <v>1</v>
      </c>
      <c r="AI955" s="1">
        <v>70</v>
      </c>
      <c r="AJ955" s="1">
        <v>20</v>
      </c>
      <c r="AN955" s="1" t="s">
        <v>3471</v>
      </c>
      <c r="AQ955" s="1" t="s">
        <v>3472</v>
      </c>
      <c r="AR955" s="222">
        <v>297</v>
      </c>
    </row>
    <row r="956" spans="1:44">
      <c r="A956" s="1">
        <v>9120021</v>
      </c>
      <c r="B956" s="1" t="s">
        <v>1574</v>
      </c>
      <c r="C956" s="1" t="s">
        <v>2785</v>
      </c>
      <c r="D956" s="1" t="s">
        <v>3197</v>
      </c>
      <c r="E956" s="3" t="s">
        <v>2785</v>
      </c>
      <c r="F956" s="1">
        <v>1</v>
      </c>
      <c r="G956" s="1">
        <v>12</v>
      </c>
      <c r="H956" s="1" t="s">
        <v>82</v>
      </c>
      <c r="I956" s="1" t="s">
        <v>3198</v>
      </c>
      <c r="L956" s="220" t="s">
        <v>3278</v>
      </c>
      <c r="O956" s="1" t="s">
        <v>3225</v>
      </c>
      <c r="Q956" s="111">
        <v>0</v>
      </c>
      <c r="S956" s="1">
        <v>9120021</v>
      </c>
      <c r="T956" s="260"/>
      <c r="U956" s="261"/>
      <c r="V956" s="111" t="s">
        <v>582</v>
      </c>
      <c r="W956" s="651" t="s">
        <v>3226</v>
      </c>
      <c r="X956" s="637" t="s">
        <v>3226</v>
      </c>
      <c r="AA956" s="111">
        <v>1</v>
      </c>
      <c r="AE956" s="1">
        <v>2</v>
      </c>
      <c r="AF956" s="1">
        <v>0</v>
      </c>
      <c r="AG956" s="1">
        <v>1</v>
      </c>
      <c r="AI956" s="1">
        <v>0</v>
      </c>
      <c r="AJ956" s="1">
        <v>0</v>
      </c>
      <c r="AN956" s="1" t="s">
        <v>3474</v>
      </c>
      <c r="AO956" s="1" t="s">
        <v>3475</v>
      </c>
      <c r="AQ956" s="1" t="s">
        <v>3227</v>
      </c>
    </row>
    <row r="957" spans="1:44">
      <c r="A957" s="1">
        <v>9120022</v>
      </c>
      <c r="B957" s="1" t="s">
        <v>1574</v>
      </c>
      <c r="C957" s="3" t="s">
        <v>3236</v>
      </c>
      <c r="D957" s="3" t="s">
        <v>3197</v>
      </c>
      <c r="E957" s="3" t="s">
        <v>2785</v>
      </c>
      <c r="F957" s="3">
        <v>1</v>
      </c>
      <c r="G957" s="3">
        <v>0</v>
      </c>
      <c r="H957" s="3" t="s">
        <v>82</v>
      </c>
      <c r="I957" s="3" t="s">
        <v>3198</v>
      </c>
      <c r="J957" s="3"/>
      <c r="K957" s="3"/>
      <c r="L957" s="537"/>
      <c r="M957" s="99"/>
      <c r="N957" s="99"/>
      <c r="O957" s="3" t="s">
        <v>3225</v>
      </c>
      <c r="P957" s="22"/>
      <c r="Q957" s="22">
        <v>0</v>
      </c>
      <c r="R957" s="22"/>
      <c r="S957" s="3">
        <v>9000002</v>
      </c>
      <c r="T957" s="260"/>
      <c r="U957" s="261"/>
      <c r="V957" s="22" t="s">
        <v>582</v>
      </c>
      <c r="W957" s="643" t="s">
        <v>3226</v>
      </c>
      <c r="X957" s="637" t="s">
        <v>3226</v>
      </c>
      <c r="AE957" s="1">
        <v>2</v>
      </c>
      <c r="AF957" s="1">
        <v>0</v>
      </c>
      <c r="AG957" s="1">
        <v>1</v>
      </c>
      <c r="AH957" s="3"/>
      <c r="AI957" s="1">
        <v>0</v>
      </c>
      <c r="AJ957" s="539">
        <v>0</v>
      </c>
      <c r="AN957" s="540" t="s">
        <v>3476</v>
      </c>
      <c r="AO957" s="540"/>
      <c r="AP957" s="540"/>
      <c r="AQ957" s="1" t="s">
        <v>3227</v>
      </c>
    </row>
    <row r="958" spans="1:44">
      <c r="A958" s="3">
        <v>9130001</v>
      </c>
      <c r="B958" s="3" t="s">
        <v>1630</v>
      </c>
      <c r="C958" s="3" t="s">
        <v>3477</v>
      </c>
      <c r="D958" s="3" t="s">
        <v>3197</v>
      </c>
      <c r="E958" s="3" t="s">
        <v>1630</v>
      </c>
      <c r="F958" s="3">
        <v>1</v>
      </c>
      <c r="G958" s="3">
        <v>13</v>
      </c>
      <c r="H958" s="3" t="s">
        <v>82</v>
      </c>
      <c r="I958" s="3" t="s">
        <v>3198</v>
      </c>
      <c r="J958" s="3"/>
      <c r="K958" s="3"/>
      <c r="L958" s="537"/>
      <c r="M958" s="99"/>
      <c r="N958" s="99"/>
      <c r="O958" s="3"/>
      <c r="P958" s="22">
        <v>2</v>
      </c>
      <c r="Q958" s="22">
        <v>0</v>
      </c>
      <c r="R958" s="22" t="s">
        <v>85</v>
      </c>
      <c r="S958" s="3">
        <v>9020001</v>
      </c>
      <c r="T958" s="319" t="s">
        <v>3253</v>
      </c>
      <c r="U958" s="320" t="s">
        <v>3254</v>
      </c>
      <c r="V958" s="22" t="s">
        <v>582</v>
      </c>
      <c r="W958" s="643" t="s">
        <v>3478</v>
      </c>
      <c r="X958" s="637" t="s">
        <v>3478</v>
      </c>
      <c r="AA958" s="111">
        <v>1</v>
      </c>
      <c r="AE958" s="1">
        <v>0</v>
      </c>
      <c r="AF958" s="3">
        <v>0</v>
      </c>
      <c r="AG958" s="3">
        <v>0</v>
      </c>
      <c r="AH958" s="3"/>
      <c r="AI958" s="3">
        <v>20</v>
      </c>
      <c r="AJ958" s="3">
        <v>19</v>
      </c>
      <c r="AN958" s="540" t="s">
        <v>3479</v>
      </c>
      <c r="AO958" s="540"/>
      <c r="AP958" s="540"/>
      <c r="AQ958" s="1" t="s">
        <v>3480</v>
      </c>
    </row>
    <row r="959" spans="1:44">
      <c r="A959" s="3">
        <v>9130002</v>
      </c>
      <c r="B959" s="3" t="s">
        <v>1630</v>
      </c>
      <c r="C959" s="3" t="s">
        <v>3481</v>
      </c>
      <c r="D959" s="3" t="s">
        <v>3197</v>
      </c>
      <c r="E959" s="3" t="s">
        <v>1630</v>
      </c>
      <c r="F959" s="3">
        <v>1</v>
      </c>
      <c r="G959" s="3">
        <v>13</v>
      </c>
      <c r="H959" s="3" t="s">
        <v>82</v>
      </c>
      <c r="I959" s="3" t="s">
        <v>3198</v>
      </c>
      <c r="J959" s="3"/>
      <c r="K959" s="3"/>
      <c r="L959" s="365"/>
      <c r="M959" s="99"/>
      <c r="N959" s="99"/>
      <c r="O959" s="3"/>
      <c r="P959" s="22">
        <v>2</v>
      </c>
      <c r="Q959" s="22">
        <v>0</v>
      </c>
      <c r="R959" s="22" t="s">
        <v>85</v>
      </c>
      <c r="S959" s="3">
        <v>9020002</v>
      </c>
      <c r="T959" s="319" t="s">
        <v>3259</v>
      </c>
      <c r="U959" s="320" t="s">
        <v>3260</v>
      </c>
      <c r="V959" s="22" t="s">
        <v>582</v>
      </c>
      <c r="W959" s="643" t="s">
        <v>3478</v>
      </c>
      <c r="X959" s="637" t="s">
        <v>3478</v>
      </c>
      <c r="AA959" s="111">
        <v>1</v>
      </c>
      <c r="AE959" s="1">
        <v>0</v>
      </c>
      <c r="AF959" s="3">
        <v>0</v>
      </c>
      <c r="AG959" s="3">
        <v>0</v>
      </c>
      <c r="AH959" s="3"/>
      <c r="AI959" s="3">
        <v>30</v>
      </c>
      <c r="AJ959" s="3">
        <v>26</v>
      </c>
      <c r="AN959" s="540" t="s">
        <v>3482</v>
      </c>
      <c r="AO959" s="540"/>
      <c r="AP959" s="540"/>
      <c r="AQ959" s="1" t="s">
        <v>3483</v>
      </c>
    </row>
    <row r="960" spans="1:44">
      <c r="A960" s="3">
        <v>9130003</v>
      </c>
      <c r="B960" s="3" t="s">
        <v>1630</v>
      </c>
      <c r="C960" s="3" t="s">
        <v>3484</v>
      </c>
      <c r="D960" s="3" t="s">
        <v>3197</v>
      </c>
      <c r="E960" s="3" t="s">
        <v>1630</v>
      </c>
      <c r="F960" s="3">
        <v>1</v>
      </c>
      <c r="G960" s="3">
        <v>13</v>
      </c>
      <c r="H960" s="3" t="s">
        <v>82</v>
      </c>
      <c r="I960" s="3" t="s">
        <v>3198</v>
      </c>
      <c r="J960" s="3"/>
      <c r="K960" s="3"/>
      <c r="L960" s="365"/>
      <c r="M960" s="99"/>
      <c r="N960" s="99"/>
      <c r="O960" s="3"/>
      <c r="P960" s="22">
        <v>2</v>
      </c>
      <c r="Q960" s="22">
        <v>0</v>
      </c>
      <c r="R960" s="22" t="s">
        <v>85</v>
      </c>
      <c r="S960" s="3">
        <v>9020003</v>
      </c>
      <c r="T960" s="319" t="s">
        <v>3265</v>
      </c>
      <c r="U960" s="320" t="s">
        <v>3266</v>
      </c>
      <c r="V960" s="22" t="s">
        <v>582</v>
      </c>
      <c r="W960" s="643" t="s">
        <v>3478</v>
      </c>
      <c r="X960" s="637" t="s">
        <v>3478</v>
      </c>
      <c r="AA960" s="111">
        <v>1</v>
      </c>
      <c r="AE960" s="1">
        <v>0</v>
      </c>
      <c r="AF960" s="3">
        <v>0</v>
      </c>
      <c r="AG960" s="3">
        <v>0</v>
      </c>
      <c r="AH960" s="3"/>
      <c r="AI960" s="3">
        <v>40</v>
      </c>
      <c r="AJ960" s="3">
        <v>32</v>
      </c>
      <c r="AN960" s="540" t="s">
        <v>3485</v>
      </c>
      <c r="AO960" s="540"/>
      <c r="AP960" s="540"/>
      <c r="AQ960" s="1" t="s">
        <v>3486</v>
      </c>
    </row>
    <row r="961" spans="1:44">
      <c r="A961" s="3">
        <v>9130011</v>
      </c>
      <c r="B961" s="3" t="s">
        <v>1630</v>
      </c>
      <c r="C961" s="3" t="s">
        <v>3487</v>
      </c>
      <c r="D961" s="3" t="s">
        <v>3197</v>
      </c>
      <c r="E961" s="3" t="s">
        <v>1630</v>
      </c>
      <c r="F961" s="3">
        <v>1</v>
      </c>
      <c r="G961" s="3">
        <v>13</v>
      </c>
      <c r="H961" s="3" t="s">
        <v>82</v>
      </c>
      <c r="I961" s="3" t="s">
        <v>3198</v>
      </c>
      <c r="J961" s="3"/>
      <c r="K961" s="3"/>
      <c r="L961" s="365" t="s">
        <v>3270</v>
      </c>
      <c r="M961" s="99"/>
      <c r="N961" s="99"/>
      <c r="O961" s="3"/>
      <c r="P961" s="22">
        <v>2</v>
      </c>
      <c r="Q961" s="22">
        <v>0</v>
      </c>
      <c r="R961" s="22" t="s">
        <v>85</v>
      </c>
      <c r="S961" s="3">
        <v>9020011</v>
      </c>
      <c r="T961" s="260" t="s">
        <v>3271</v>
      </c>
      <c r="U961" s="261" t="s">
        <v>3272</v>
      </c>
      <c r="V961" s="22" t="s">
        <v>582</v>
      </c>
      <c r="W961" s="641" t="s">
        <v>3478</v>
      </c>
      <c r="X961" s="651" t="s">
        <v>3478</v>
      </c>
      <c r="AA961" s="111">
        <v>1</v>
      </c>
      <c r="AE961" s="1">
        <v>2</v>
      </c>
      <c r="AF961" s="3">
        <v>0</v>
      </c>
      <c r="AG961" s="3">
        <v>1</v>
      </c>
      <c r="AH961" s="3"/>
      <c r="AI961" s="3">
        <v>65</v>
      </c>
      <c r="AJ961" s="3">
        <v>26</v>
      </c>
      <c r="AN961" s="540" t="s">
        <v>3488</v>
      </c>
      <c r="AO961" s="540"/>
      <c r="AP961" s="540"/>
      <c r="AQ961" s="1" t="s">
        <v>3489</v>
      </c>
      <c r="AR961" s="222">
        <v>333</v>
      </c>
    </row>
    <row r="962" spans="1:44">
      <c r="A962" s="3">
        <v>9130012</v>
      </c>
      <c r="B962" s="3" t="s">
        <v>1630</v>
      </c>
      <c r="C962" s="3" t="s">
        <v>3487</v>
      </c>
      <c r="D962" s="3" t="s">
        <v>3197</v>
      </c>
      <c r="E962" s="3" t="s">
        <v>1630</v>
      </c>
      <c r="F962" s="3">
        <v>1</v>
      </c>
      <c r="G962" s="3">
        <v>13</v>
      </c>
      <c r="H962" s="3" t="s">
        <v>82</v>
      </c>
      <c r="I962" s="3" t="s">
        <v>3198</v>
      </c>
      <c r="J962" s="3"/>
      <c r="K962" s="3"/>
      <c r="L962" s="3" t="s">
        <v>3277</v>
      </c>
      <c r="M962" s="99"/>
      <c r="N962" s="99"/>
      <c r="O962" s="3"/>
      <c r="P962" s="22">
        <v>2</v>
      </c>
      <c r="Q962" s="22">
        <v>0</v>
      </c>
      <c r="R962" s="22" t="s">
        <v>85</v>
      </c>
      <c r="S962" s="3">
        <v>9020012</v>
      </c>
      <c r="T962" s="260" t="s">
        <v>3271</v>
      </c>
      <c r="U962" s="261" t="s">
        <v>3272</v>
      </c>
      <c r="V962" s="22" t="s">
        <v>582</v>
      </c>
      <c r="W962" s="643" t="s">
        <v>3478</v>
      </c>
      <c r="X962" s="651" t="s">
        <v>3478</v>
      </c>
      <c r="AA962" s="111">
        <v>1</v>
      </c>
      <c r="AE962" s="1">
        <v>2</v>
      </c>
      <c r="AF962" s="1">
        <v>0</v>
      </c>
      <c r="AG962" s="1">
        <v>1</v>
      </c>
      <c r="AI962" s="1">
        <v>65</v>
      </c>
      <c r="AJ962" s="1">
        <v>52</v>
      </c>
      <c r="AN962" s="93" t="s">
        <v>3488</v>
      </c>
      <c r="AO962" s="93"/>
      <c r="AP962" s="93"/>
      <c r="AQ962" s="1" t="s">
        <v>3489</v>
      </c>
      <c r="AR962" s="222">
        <v>333</v>
      </c>
    </row>
    <row r="963" spans="1:44">
      <c r="A963" s="1">
        <v>9130021</v>
      </c>
      <c r="B963" s="1" t="s">
        <v>1630</v>
      </c>
      <c r="C963" s="1" t="s">
        <v>2785</v>
      </c>
      <c r="D963" s="1" t="s">
        <v>3197</v>
      </c>
      <c r="E963" s="3" t="s">
        <v>2785</v>
      </c>
      <c r="F963" s="1">
        <v>1</v>
      </c>
      <c r="G963" s="1">
        <v>13</v>
      </c>
      <c r="H963" s="1" t="s">
        <v>82</v>
      </c>
      <c r="I963" s="1" t="s">
        <v>3198</v>
      </c>
      <c r="O963" s="1" t="s">
        <v>3225</v>
      </c>
      <c r="Q963" s="111">
        <v>0</v>
      </c>
      <c r="S963" s="1">
        <v>9130021</v>
      </c>
      <c r="T963" s="260"/>
      <c r="U963" s="261"/>
      <c r="V963" s="111" t="s">
        <v>582</v>
      </c>
      <c r="W963" s="651" t="s">
        <v>3226</v>
      </c>
      <c r="X963" s="637" t="s">
        <v>3226</v>
      </c>
      <c r="AE963" s="1">
        <v>2</v>
      </c>
      <c r="AF963" s="1">
        <v>0</v>
      </c>
      <c r="AG963" s="1">
        <v>1</v>
      </c>
      <c r="AI963" s="1">
        <v>0</v>
      </c>
      <c r="AJ963" s="1">
        <v>0</v>
      </c>
      <c r="AN963" s="1" t="s">
        <v>3490</v>
      </c>
      <c r="AO963" s="1" t="s">
        <v>3491</v>
      </c>
      <c r="AQ963" s="1" t="s">
        <v>3227</v>
      </c>
    </row>
    <row r="964" spans="1:44">
      <c r="A964" s="1">
        <v>9130022</v>
      </c>
      <c r="B964" s="1" t="s">
        <v>1630</v>
      </c>
      <c r="C964" s="3" t="s">
        <v>3236</v>
      </c>
      <c r="D964" s="3" t="s">
        <v>3197</v>
      </c>
      <c r="E964" s="3" t="s">
        <v>2785</v>
      </c>
      <c r="F964" s="3">
        <v>1</v>
      </c>
      <c r="G964" s="3">
        <v>0</v>
      </c>
      <c r="H964" s="3" t="s">
        <v>82</v>
      </c>
      <c r="I964" s="3" t="s">
        <v>3198</v>
      </c>
      <c r="J964" s="3"/>
      <c r="K964" s="3"/>
      <c r="L964" s="537"/>
      <c r="M964" s="99"/>
      <c r="N964" s="99"/>
      <c r="O964" s="3" t="s">
        <v>3225</v>
      </c>
      <c r="P964" s="22"/>
      <c r="Q964" s="22">
        <v>0</v>
      </c>
      <c r="R964" s="22"/>
      <c r="S964" s="3">
        <v>9000002</v>
      </c>
      <c r="T964" s="260"/>
      <c r="U964" s="261"/>
      <c r="V964" s="22" t="s">
        <v>582</v>
      </c>
      <c r="W964" s="643" t="s">
        <v>3226</v>
      </c>
      <c r="X964" s="637" t="s">
        <v>3226</v>
      </c>
      <c r="AE964" s="1">
        <v>2</v>
      </c>
      <c r="AF964" s="1">
        <v>0</v>
      </c>
      <c r="AG964" s="1">
        <v>1</v>
      </c>
      <c r="AH964" s="3"/>
      <c r="AI964" s="1">
        <v>0</v>
      </c>
      <c r="AJ964" s="539">
        <v>0</v>
      </c>
      <c r="AN964" s="540" t="s">
        <v>3492</v>
      </c>
      <c r="AO964" s="540"/>
      <c r="AP964" s="540"/>
      <c r="AQ964" s="1" t="s">
        <v>3227</v>
      </c>
    </row>
    <row r="965" spans="1:44">
      <c r="A965" s="1">
        <v>9140001</v>
      </c>
      <c r="B965" s="1" t="s">
        <v>1715</v>
      </c>
      <c r="C965" s="1" t="s">
        <v>3493</v>
      </c>
      <c r="D965" s="1" t="s">
        <v>3197</v>
      </c>
      <c r="E965" s="1" t="s">
        <v>1715</v>
      </c>
      <c r="F965" s="1">
        <v>1</v>
      </c>
      <c r="G965" s="1">
        <v>14</v>
      </c>
      <c r="H965" s="1" t="s">
        <v>82</v>
      </c>
      <c r="I965" s="1" t="s">
        <v>3198</v>
      </c>
      <c r="L965" s="220" t="s">
        <v>3465</v>
      </c>
      <c r="P965" s="111">
        <v>1</v>
      </c>
      <c r="Q965" s="111">
        <v>0</v>
      </c>
      <c r="R965" s="111" t="s">
        <v>85</v>
      </c>
      <c r="S965" s="1">
        <v>9140001</v>
      </c>
      <c r="T965" s="260" t="s">
        <v>3494</v>
      </c>
      <c r="U965" s="261"/>
      <c r="V965" s="111" t="s">
        <v>582</v>
      </c>
      <c r="W965" s="651" t="s">
        <v>3495</v>
      </c>
      <c r="X965" s="652" t="s">
        <v>3495</v>
      </c>
      <c r="AE965" s="1">
        <v>0</v>
      </c>
      <c r="AF965" s="1">
        <v>0</v>
      </c>
      <c r="AG965" s="1">
        <v>0</v>
      </c>
      <c r="AI965" s="1">
        <v>35</v>
      </c>
      <c r="AJ965" s="1">
        <v>25</v>
      </c>
      <c r="AN965" s="1" t="s">
        <v>3496</v>
      </c>
      <c r="AQ965" s="1" t="s">
        <v>3497</v>
      </c>
    </row>
    <row r="966" spans="1:44">
      <c r="A966" s="1">
        <v>9140011</v>
      </c>
      <c r="B966" s="1" t="s">
        <v>1715</v>
      </c>
      <c r="C966" s="1" t="s">
        <v>3498</v>
      </c>
      <c r="D966" s="1" t="s">
        <v>3197</v>
      </c>
      <c r="E966" s="1" t="s">
        <v>1715</v>
      </c>
      <c r="F966" s="1">
        <v>1</v>
      </c>
      <c r="G966" s="1">
        <v>14</v>
      </c>
      <c r="H966" s="1" t="s">
        <v>82</v>
      </c>
      <c r="I966" s="1" t="s">
        <v>3198</v>
      </c>
      <c r="L966" s="220" t="s">
        <v>3277</v>
      </c>
      <c r="P966" s="111">
        <v>1</v>
      </c>
      <c r="Q966" s="111">
        <v>0</v>
      </c>
      <c r="R966" s="111" t="s">
        <v>85</v>
      </c>
      <c r="S966" s="1">
        <v>9140011</v>
      </c>
      <c r="T966" s="547"/>
      <c r="U966" s="548"/>
      <c r="V966" s="111" t="s">
        <v>582</v>
      </c>
      <c r="W966" s="651" t="s">
        <v>3499</v>
      </c>
      <c r="X966" s="652" t="s">
        <v>3499</v>
      </c>
      <c r="AE966" s="1">
        <v>0</v>
      </c>
      <c r="AF966" s="1">
        <v>0</v>
      </c>
      <c r="AG966" s="1">
        <v>0</v>
      </c>
      <c r="AI966" s="1">
        <v>0</v>
      </c>
      <c r="AJ966" s="1">
        <v>0</v>
      </c>
      <c r="AN966" s="1" t="s">
        <v>3500</v>
      </c>
      <c r="AQ966" s="1" t="s">
        <v>3501</v>
      </c>
      <c r="AR966" s="222">
        <v>291</v>
      </c>
    </row>
    <row r="967" spans="1:44">
      <c r="A967" s="1">
        <v>9140012</v>
      </c>
      <c r="B967" s="1" t="s">
        <v>1715</v>
      </c>
      <c r="C967" s="1" t="s">
        <v>3498</v>
      </c>
      <c r="D967" s="1" t="s">
        <v>3197</v>
      </c>
      <c r="E967" s="1" t="s">
        <v>1715</v>
      </c>
      <c r="F967" s="1">
        <v>1</v>
      </c>
      <c r="G967" s="1">
        <v>14</v>
      </c>
      <c r="H967" s="1" t="s">
        <v>82</v>
      </c>
      <c r="I967" s="1" t="s">
        <v>3198</v>
      </c>
      <c r="L967" s="220" t="s">
        <v>3473</v>
      </c>
      <c r="P967" s="111">
        <v>2</v>
      </c>
      <c r="Q967" s="111">
        <v>0</v>
      </c>
      <c r="R967" s="111" t="s">
        <v>85</v>
      </c>
      <c r="S967" s="1">
        <v>9140012</v>
      </c>
      <c r="T967" s="547"/>
      <c r="U967" s="548"/>
      <c r="V967" s="111" t="s">
        <v>582</v>
      </c>
      <c r="W967" s="651" t="s">
        <v>3499</v>
      </c>
      <c r="X967" s="652" t="s">
        <v>3499</v>
      </c>
      <c r="AE967" s="1">
        <v>0</v>
      </c>
      <c r="AF967" s="1">
        <v>0</v>
      </c>
      <c r="AG967" s="1">
        <v>0</v>
      </c>
      <c r="AI967" s="1">
        <v>0</v>
      </c>
      <c r="AJ967" s="1">
        <v>0</v>
      </c>
      <c r="AN967" s="1" t="s">
        <v>3500</v>
      </c>
      <c r="AQ967" s="1" t="s">
        <v>3501</v>
      </c>
      <c r="AR967" s="222">
        <v>291</v>
      </c>
    </row>
    <row r="968" spans="1:44">
      <c r="A968" s="1">
        <v>9140021</v>
      </c>
      <c r="B968" s="1" t="s">
        <v>1715</v>
      </c>
      <c r="C968" s="1" t="s">
        <v>2785</v>
      </c>
      <c r="D968" s="1" t="s">
        <v>3197</v>
      </c>
      <c r="E968" s="3" t="s">
        <v>2785</v>
      </c>
      <c r="F968" s="1">
        <v>1</v>
      </c>
      <c r="G968" s="1">
        <v>14</v>
      </c>
      <c r="H968" s="1" t="s">
        <v>82</v>
      </c>
      <c r="I968" s="1" t="s">
        <v>3198</v>
      </c>
      <c r="L968" s="220" t="s">
        <v>3278</v>
      </c>
      <c r="O968" s="1" t="s">
        <v>3225</v>
      </c>
      <c r="Q968" s="111">
        <v>0</v>
      </c>
      <c r="S968" s="1">
        <v>9140021</v>
      </c>
      <c r="T968" s="260"/>
      <c r="U968" s="261"/>
      <c r="V968" s="111" t="s">
        <v>582</v>
      </c>
      <c r="W968" s="651" t="s">
        <v>3226</v>
      </c>
      <c r="X968" s="637" t="s">
        <v>3226</v>
      </c>
      <c r="AA968" s="111">
        <v>1</v>
      </c>
      <c r="AE968" s="1">
        <v>2</v>
      </c>
      <c r="AF968" s="1">
        <v>0</v>
      </c>
      <c r="AG968" s="1">
        <v>1</v>
      </c>
      <c r="AI968" s="1">
        <v>0</v>
      </c>
      <c r="AJ968" s="1">
        <v>0</v>
      </c>
      <c r="AN968" s="1" t="s">
        <v>3502</v>
      </c>
      <c r="AO968" s="1" t="s">
        <v>3503</v>
      </c>
      <c r="AQ968" s="1" t="s">
        <v>3227</v>
      </c>
    </row>
    <row r="969" spans="1:44">
      <c r="A969" s="1">
        <v>9140022</v>
      </c>
      <c r="B969" s="1" t="s">
        <v>1715</v>
      </c>
      <c r="C969" s="3" t="s">
        <v>3236</v>
      </c>
      <c r="D969" s="3" t="s">
        <v>3197</v>
      </c>
      <c r="E969" s="3" t="s">
        <v>2785</v>
      </c>
      <c r="F969" s="3">
        <v>1</v>
      </c>
      <c r="G969" s="3">
        <v>0</v>
      </c>
      <c r="H969" s="3" t="s">
        <v>82</v>
      </c>
      <c r="I969" s="3" t="s">
        <v>3198</v>
      </c>
      <c r="J969" s="3"/>
      <c r="K969" s="3"/>
      <c r="L969" s="537"/>
      <c r="M969" s="99"/>
      <c r="N969" s="99"/>
      <c r="O969" s="3" t="s">
        <v>3225</v>
      </c>
      <c r="P969" s="22"/>
      <c r="Q969" s="22">
        <v>0</v>
      </c>
      <c r="R969" s="22"/>
      <c r="S969" s="3">
        <v>9000002</v>
      </c>
      <c r="T969" s="260"/>
      <c r="U969" s="261"/>
      <c r="V969" s="22" t="s">
        <v>582</v>
      </c>
      <c r="W969" s="643" t="s">
        <v>3226</v>
      </c>
      <c r="X969" s="637" t="s">
        <v>3226</v>
      </c>
      <c r="AE969" s="1">
        <v>2</v>
      </c>
      <c r="AF969" s="1">
        <v>0</v>
      </c>
      <c r="AG969" s="3">
        <v>1</v>
      </c>
      <c r="AH969" s="3"/>
      <c r="AI969" s="1">
        <v>0</v>
      </c>
      <c r="AJ969" s="539">
        <v>0</v>
      </c>
      <c r="AN969" s="540" t="s">
        <v>3504</v>
      </c>
      <c r="AO969" s="540"/>
      <c r="AP969" s="540"/>
      <c r="AQ969" s="1" t="s">
        <v>3227</v>
      </c>
    </row>
    <row r="970" spans="1:44">
      <c r="A970" s="1">
        <v>9150001</v>
      </c>
      <c r="B970" s="1" t="s">
        <v>1770</v>
      </c>
      <c r="C970" s="1" t="s">
        <v>3505</v>
      </c>
      <c r="D970" s="1" t="s">
        <v>3197</v>
      </c>
      <c r="E970" s="1" t="s">
        <v>1770</v>
      </c>
      <c r="F970" s="1">
        <v>1</v>
      </c>
      <c r="G970" s="1">
        <v>15</v>
      </c>
      <c r="H970" s="1" t="s">
        <v>82</v>
      </c>
      <c r="I970" s="1" t="s">
        <v>3198</v>
      </c>
      <c r="L970" s="220" t="s">
        <v>3465</v>
      </c>
      <c r="P970" s="111">
        <v>1</v>
      </c>
      <c r="Q970" s="111">
        <v>0</v>
      </c>
      <c r="R970" s="111" t="s">
        <v>85</v>
      </c>
      <c r="S970" s="1">
        <v>9150001</v>
      </c>
      <c r="T970" s="260" t="s">
        <v>3246</v>
      </c>
      <c r="U970" s="261" t="s">
        <v>3247</v>
      </c>
      <c r="V970" s="111" t="s">
        <v>582</v>
      </c>
      <c r="W970" s="651" t="s">
        <v>3506</v>
      </c>
      <c r="X970" s="652" t="s">
        <v>3506</v>
      </c>
      <c r="AE970" s="1">
        <v>0</v>
      </c>
      <c r="AF970" s="1">
        <v>0</v>
      </c>
      <c r="AG970" s="1">
        <v>0</v>
      </c>
      <c r="AI970" s="1">
        <v>15</v>
      </c>
      <c r="AJ970" s="1">
        <v>15</v>
      </c>
      <c r="AN970" s="1" t="s">
        <v>3507</v>
      </c>
      <c r="AQ970" s="1" t="s">
        <v>3508</v>
      </c>
    </row>
    <row r="971" spans="1:44">
      <c r="A971" s="1">
        <v>9150002</v>
      </c>
      <c r="B971" s="1" t="s">
        <v>1770</v>
      </c>
      <c r="C971" s="1" t="s">
        <v>3509</v>
      </c>
      <c r="D971" s="1" t="s">
        <v>3197</v>
      </c>
      <c r="E971" s="1" t="s">
        <v>1770</v>
      </c>
      <c r="F971" s="1">
        <v>1</v>
      </c>
      <c r="G971" s="1">
        <v>15</v>
      </c>
      <c r="H971" s="1" t="s">
        <v>82</v>
      </c>
      <c r="I971" s="1" t="s">
        <v>3198</v>
      </c>
      <c r="L971" s="220" t="s">
        <v>3510</v>
      </c>
      <c r="P971" s="111">
        <v>1</v>
      </c>
      <c r="Q971" s="111">
        <v>0</v>
      </c>
      <c r="R971" s="111" t="s">
        <v>85</v>
      </c>
      <c r="S971" s="1">
        <v>9150002</v>
      </c>
      <c r="T971" s="260" t="s">
        <v>3253</v>
      </c>
      <c r="U971" s="261" t="s">
        <v>3254</v>
      </c>
      <c r="V971" s="111" t="s">
        <v>582</v>
      </c>
      <c r="W971" s="651" t="s">
        <v>3506</v>
      </c>
      <c r="X971" s="652" t="s">
        <v>3506</v>
      </c>
      <c r="AE971" s="1">
        <v>0</v>
      </c>
      <c r="AF971" s="1">
        <v>0</v>
      </c>
      <c r="AG971" s="1">
        <v>0</v>
      </c>
      <c r="AI971" s="1">
        <v>20</v>
      </c>
      <c r="AJ971" s="1">
        <v>18</v>
      </c>
      <c r="AN971" s="1" t="s">
        <v>3511</v>
      </c>
      <c r="AQ971" s="1" t="s">
        <v>3512</v>
      </c>
    </row>
    <row r="972" spans="1:44">
      <c r="A972" s="1">
        <v>9150003</v>
      </c>
      <c r="B972" s="1" t="s">
        <v>1770</v>
      </c>
      <c r="C972" s="1" t="s">
        <v>3513</v>
      </c>
      <c r="D972" s="1" t="s">
        <v>3197</v>
      </c>
      <c r="E972" s="1" t="s">
        <v>1770</v>
      </c>
      <c r="F972" s="1">
        <v>1</v>
      </c>
      <c r="G972" s="1">
        <v>15</v>
      </c>
      <c r="H972" s="1" t="s">
        <v>82</v>
      </c>
      <c r="I972" s="1" t="s">
        <v>3198</v>
      </c>
      <c r="L972" s="220" t="s">
        <v>3514</v>
      </c>
      <c r="P972" s="111">
        <v>1</v>
      </c>
      <c r="Q972" s="111">
        <v>0</v>
      </c>
      <c r="R972" s="111" t="s">
        <v>85</v>
      </c>
      <c r="S972" s="1">
        <v>9150003</v>
      </c>
      <c r="T972" s="260" t="s">
        <v>3259</v>
      </c>
      <c r="U972" s="261" t="s">
        <v>3260</v>
      </c>
      <c r="V972" s="111" t="s">
        <v>582</v>
      </c>
      <c r="W972" s="651" t="s">
        <v>3506</v>
      </c>
      <c r="X972" s="652" t="s">
        <v>3506</v>
      </c>
      <c r="AE972" s="1">
        <v>0</v>
      </c>
      <c r="AF972" s="1">
        <v>0</v>
      </c>
      <c r="AG972" s="1">
        <v>0</v>
      </c>
      <c r="AI972" s="1">
        <v>25</v>
      </c>
      <c r="AJ972" s="1">
        <v>20</v>
      </c>
      <c r="AN972" s="1" t="s">
        <v>3515</v>
      </c>
      <c r="AQ972" s="1" t="s">
        <v>3516</v>
      </c>
    </row>
    <row r="973" spans="1:44">
      <c r="A973" s="1">
        <v>9150004</v>
      </c>
      <c r="B973" s="1" t="s">
        <v>1770</v>
      </c>
      <c r="C973" s="1" t="s">
        <v>3517</v>
      </c>
      <c r="D973" s="1" t="s">
        <v>3197</v>
      </c>
      <c r="E973" s="1" t="s">
        <v>1770</v>
      </c>
      <c r="F973" s="1">
        <v>1</v>
      </c>
      <c r="G973" s="1">
        <v>15</v>
      </c>
      <c r="H973" s="1" t="s">
        <v>82</v>
      </c>
      <c r="I973" s="1" t="s">
        <v>3198</v>
      </c>
      <c r="L973" s="220" t="s">
        <v>3518</v>
      </c>
      <c r="P973" s="111">
        <v>1</v>
      </c>
      <c r="Q973" s="111">
        <v>0</v>
      </c>
      <c r="R973" s="111" t="s">
        <v>85</v>
      </c>
      <c r="S973" s="1">
        <v>9150003</v>
      </c>
      <c r="T973" s="260" t="s">
        <v>3265</v>
      </c>
      <c r="U973" s="261" t="s">
        <v>3266</v>
      </c>
      <c r="V973" s="111" t="s">
        <v>582</v>
      </c>
      <c r="W973" s="651" t="s">
        <v>3506</v>
      </c>
      <c r="X973" s="652" t="s">
        <v>3506</v>
      </c>
      <c r="AE973" s="1">
        <v>0</v>
      </c>
      <c r="AF973" s="1">
        <v>0</v>
      </c>
      <c r="AG973" s="1">
        <v>0</v>
      </c>
      <c r="AI973" s="1">
        <v>30</v>
      </c>
      <c r="AJ973" s="1">
        <v>23</v>
      </c>
      <c r="AN973" s="1" t="s">
        <v>3519</v>
      </c>
      <c r="AQ973" s="1" t="s">
        <v>3520</v>
      </c>
    </row>
    <row r="974" spans="1:44">
      <c r="A974" s="1">
        <v>9150011</v>
      </c>
      <c r="B974" s="1" t="s">
        <v>1770</v>
      </c>
      <c r="C974" s="1" t="s">
        <v>3521</v>
      </c>
      <c r="D974" s="1" t="s">
        <v>3197</v>
      </c>
      <c r="E974" s="1" t="s">
        <v>1770</v>
      </c>
      <c r="F974" s="1">
        <v>1</v>
      </c>
      <c r="G974" s="1">
        <v>15</v>
      </c>
      <c r="H974" s="1" t="s">
        <v>82</v>
      </c>
      <c r="I974" s="1" t="s">
        <v>3198</v>
      </c>
      <c r="L974" s="220" t="s">
        <v>3277</v>
      </c>
      <c r="P974" s="111">
        <v>1</v>
      </c>
      <c r="Q974" s="111">
        <v>0</v>
      </c>
      <c r="R974" s="111" t="s">
        <v>85</v>
      </c>
      <c r="S974" s="1">
        <v>9150011</v>
      </c>
      <c r="T974" s="260" t="s">
        <v>3271</v>
      </c>
      <c r="U974" s="261" t="s">
        <v>3272</v>
      </c>
      <c r="V974" s="111" t="s">
        <v>582</v>
      </c>
      <c r="W974" s="651" t="s">
        <v>3522</v>
      </c>
      <c r="X974" s="652" t="s">
        <v>3522</v>
      </c>
      <c r="AE974" s="1">
        <v>2</v>
      </c>
      <c r="AF974" s="1">
        <v>0</v>
      </c>
      <c r="AG974" s="1">
        <v>1</v>
      </c>
      <c r="AI974" s="1">
        <v>52</v>
      </c>
      <c r="AJ974" s="1">
        <v>39</v>
      </c>
      <c r="AN974" s="1" t="s">
        <v>3523</v>
      </c>
      <c r="AQ974" s="1" t="s">
        <v>3524</v>
      </c>
      <c r="AR974" s="222">
        <v>303</v>
      </c>
    </row>
    <row r="975" spans="1:44">
      <c r="A975" s="1">
        <v>9150012</v>
      </c>
      <c r="B975" s="1" t="s">
        <v>1770</v>
      </c>
      <c r="C975" s="1" t="s">
        <v>3521</v>
      </c>
      <c r="D975" s="1" t="s">
        <v>3197</v>
      </c>
      <c r="E975" s="1" t="s">
        <v>1770</v>
      </c>
      <c r="F975" s="1">
        <v>1</v>
      </c>
      <c r="G975" s="1">
        <v>15</v>
      </c>
      <c r="H975" s="1" t="s">
        <v>82</v>
      </c>
      <c r="I975" s="1" t="s">
        <v>3198</v>
      </c>
      <c r="L975" s="220" t="s">
        <v>3473</v>
      </c>
      <c r="P975" s="111">
        <v>2</v>
      </c>
      <c r="Q975" s="111">
        <v>0</v>
      </c>
      <c r="R975" s="111" t="s">
        <v>85</v>
      </c>
      <c r="S975" s="1">
        <v>9150012</v>
      </c>
      <c r="T975" s="260" t="s">
        <v>3271</v>
      </c>
      <c r="U975" s="261" t="s">
        <v>3272</v>
      </c>
      <c r="V975" s="111" t="s">
        <v>582</v>
      </c>
      <c r="W975" s="651" t="s">
        <v>3522</v>
      </c>
      <c r="X975" s="652" t="s">
        <v>3522</v>
      </c>
      <c r="AE975" s="1">
        <v>2</v>
      </c>
      <c r="AF975" s="1">
        <v>0</v>
      </c>
      <c r="AG975" s="1">
        <v>1</v>
      </c>
      <c r="AI975" s="1">
        <v>52</v>
      </c>
      <c r="AJ975" s="1">
        <v>39</v>
      </c>
      <c r="AN975" s="1" t="s">
        <v>3523</v>
      </c>
      <c r="AQ975" s="1" t="s">
        <v>3524</v>
      </c>
      <c r="AR975" s="222">
        <v>303</v>
      </c>
    </row>
    <row r="976" spans="1:44">
      <c r="A976" s="1">
        <v>9150021</v>
      </c>
      <c r="B976" s="1" t="s">
        <v>1770</v>
      </c>
      <c r="C976" s="1" t="s">
        <v>2785</v>
      </c>
      <c r="D976" s="1" t="s">
        <v>3197</v>
      </c>
      <c r="E976" s="3" t="s">
        <v>2785</v>
      </c>
      <c r="F976" s="1">
        <v>1</v>
      </c>
      <c r="G976" s="1">
        <v>15</v>
      </c>
      <c r="H976" s="1" t="s">
        <v>82</v>
      </c>
      <c r="I976" s="1" t="s">
        <v>3198</v>
      </c>
      <c r="L976" s="220" t="s">
        <v>3278</v>
      </c>
      <c r="O976" s="1" t="s">
        <v>3225</v>
      </c>
      <c r="P976" s="111">
        <v>0</v>
      </c>
      <c r="Q976" s="111">
        <v>0</v>
      </c>
      <c r="S976" s="1">
        <v>9150021</v>
      </c>
      <c r="T976" s="547"/>
      <c r="U976" s="548"/>
      <c r="V976" s="111" t="s">
        <v>582</v>
      </c>
      <c r="W976" s="651" t="s">
        <v>3226</v>
      </c>
      <c r="X976" s="637" t="s">
        <v>3226</v>
      </c>
      <c r="AA976" s="111">
        <v>1</v>
      </c>
      <c r="AE976" s="1">
        <v>2</v>
      </c>
      <c r="AF976" s="1">
        <v>0</v>
      </c>
      <c r="AG976" s="1">
        <v>1</v>
      </c>
      <c r="AI976" s="1">
        <v>0</v>
      </c>
      <c r="AJ976" s="1">
        <v>0</v>
      </c>
      <c r="AN976" s="1" t="s">
        <v>3525</v>
      </c>
      <c r="AO976" s="1" t="s">
        <v>3526</v>
      </c>
      <c r="AQ976" s="1" t="s">
        <v>3227</v>
      </c>
    </row>
    <row r="977" spans="1:43">
      <c r="A977" s="1">
        <v>9150022</v>
      </c>
      <c r="B977" s="1" t="s">
        <v>1770</v>
      </c>
      <c r="C977" s="3" t="s">
        <v>3236</v>
      </c>
      <c r="D977" s="3" t="s">
        <v>3197</v>
      </c>
      <c r="E977" s="3" t="s">
        <v>2785</v>
      </c>
      <c r="F977" s="3">
        <v>1</v>
      </c>
      <c r="G977" s="3">
        <v>0</v>
      </c>
      <c r="H977" s="3" t="s">
        <v>82</v>
      </c>
      <c r="I977" s="3" t="s">
        <v>3198</v>
      </c>
      <c r="J977" s="3"/>
      <c r="K977" s="3"/>
      <c r="L977" s="537"/>
      <c r="M977" s="99"/>
      <c r="N977" s="99"/>
      <c r="O977" s="3" t="s">
        <v>3225</v>
      </c>
      <c r="P977" s="22"/>
      <c r="Q977" s="22">
        <v>0</v>
      </c>
      <c r="R977" s="22"/>
      <c r="S977" s="3">
        <v>9000002</v>
      </c>
      <c r="T977" s="260"/>
      <c r="U977" s="261"/>
      <c r="V977" s="22" t="s">
        <v>582</v>
      </c>
      <c r="W977" s="643" t="s">
        <v>3226</v>
      </c>
      <c r="X977" s="637" t="s">
        <v>3226</v>
      </c>
      <c r="AE977" s="1">
        <v>2</v>
      </c>
      <c r="AF977" s="3">
        <v>0</v>
      </c>
      <c r="AG977" s="3">
        <v>1</v>
      </c>
      <c r="AH977" s="3"/>
      <c r="AI977" s="1">
        <v>0</v>
      </c>
      <c r="AJ977" s="539">
        <v>0</v>
      </c>
      <c r="AN977" s="540" t="s">
        <v>3527</v>
      </c>
      <c r="AO977" s="540"/>
      <c r="AP977" s="540"/>
      <c r="AQ977" s="1" t="s">
        <v>3227</v>
      </c>
    </row>
    <row r="978" spans="1:43">
      <c r="A978" s="1">
        <v>9210001</v>
      </c>
      <c r="B978" s="1" t="s">
        <v>3528</v>
      </c>
      <c r="C978" s="3" t="s">
        <v>3529</v>
      </c>
      <c r="D978" s="1" t="s">
        <v>3197</v>
      </c>
      <c r="E978" s="1" t="s">
        <v>79</v>
      </c>
      <c r="F978" s="1">
        <v>1</v>
      </c>
      <c r="G978" s="1">
        <v>1</v>
      </c>
      <c r="H978" s="1" t="s">
        <v>82</v>
      </c>
      <c r="I978" s="1" t="s">
        <v>3198</v>
      </c>
      <c r="L978" s="220" t="s">
        <v>3530</v>
      </c>
      <c r="P978" s="111">
        <v>1</v>
      </c>
      <c r="Q978" s="111">
        <v>0</v>
      </c>
      <c r="R978" s="111" t="s">
        <v>85</v>
      </c>
      <c r="S978" s="1">
        <v>9210001</v>
      </c>
      <c r="T978" s="260" t="s">
        <v>3531</v>
      </c>
      <c r="U978" s="261" t="s">
        <v>3532</v>
      </c>
      <c r="V978" s="111" t="s">
        <v>582</v>
      </c>
      <c r="W978" s="651" t="s">
        <v>3533</v>
      </c>
      <c r="X978" s="652" t="s">
        <v>3533</v>
      </c>
      <c r="AE978" s="1">
        <v>0</v>
      </c>
      <c r="AF978" s="1">
        <v>0</v>
      </c>
      <c r="AG978" s="1">
        <v>0</v>
      </c>
      <c r="AI978" s="1">
        <v>30</v>
      </c>
      <c r="AJ978" s="1">
        <v>15</v>
      </c>
      <c r="AN978" s="1" t="s">
        <v>3534</v>
      </c>
      <c r="AQ978" s="1" t="s">
        <v>3535</v>
      </c>
    </row>
    <row r="979" spans="1:43">
      <c r="A979" s="1">
        <v>9210002</v>
      </c>
      <c r="B979" s="1" t="s">
        <v>3195</v>
      </c>
      <c r="C979" s="18" t="s">
        <v>3536</v>
      </c>
      <c r="D979" s="1" t="s">
        <v>3197</v>
      </c>
      <c r="E979" s="1" t="s">
        <v>79</v>
      </c>
      <c r="F979" s="1">
        <v>1</v>
      </c>
      <c r="G979" s="1">
        <v>1</v>
      </c>
      <c r="H979" s="1" t="s">
        <v>82</v>
      </c>
      <c r="I979" s="1" t="s">
        <v>3198</v>
      </c>
      <c r="L979" s="220" t="s">
        <v>3537</v>
      </c>
      <c r="P979" s="111">
        <v>1</v>
      </c>
      <c r="Q979" s="111">
        <v>0</v>
      </c>
      <c r="R979" s="111" t="s">
        <v>85</v>
      </c>
      <c r="S979" s="1">
        <v>9210001</v>
      </c>
      <c r="T979" s="260" t="s">
        <v>3531</v>
      </c>
      <c r="U979" s="261" t="s">
        <v>3532</v>
      </c>
      <c r="V979" s="111" t="s">
        <v>582</v>
      </c>
      <c r="W979" s="651" t="s">
        <v>3206</v>
      </c>
      <c r="X979" s="652" t="s">
        <v>3206</v>
      </c>
      <c r="AE979" s="1">
        <v>0</v>
      </c>
      <c r="AF979" s="1">
        <v>0</v>
      </c>
      <c r="AG979" s="1">
        <v>0</v>
      </c>
      <c r="AI979" s="1">
        <v>30</v>
      </c>
      <c r="AJ979" s="1">
        <v>15</v>
      </c>
      <c r="AN979" s="1" t="s">
        <v>3203</v>
      </c>
      <c r="AQ979" s="1" t="s">
        <v>3535</v>
      </c>
    </row>
    <row r="980" spans="1:43">
      <c r="A980" s="1">
        <v>9310001</v>
      </c>
      <c r="B980" s="1" t="s">
        <v>3538</v>
      </c>
      <c r="C980" s="3" t="s">
        <v>3529</v>
      </c>
      <c r="D980" s="1" t="s">
        <v>3197</v>
      </c>
      <c r="E980" s="1" t="s">
        <v>79</v>
      </c>
      <c r="F980" s="1">
        <v>1</v>
      </c>
      <c r="G980" s="1">
        <v>101</v>
      </c>
      <c r="H980" s="1" t="s">
        <v>82</v>
      </c>
      <c r="I980" s="1" t="s">
        <v>3198</v>
      </c>
      <c r="L980" s="220" t="s">
        <v>3539</v>
      </c>
      <c r="P980" s="111">
        <v>1</v>
      </c>
      <c r="Q980" s="111">
        <v>0</v>
      </c>
      <c r="R980" s="111" t="s">
        <v>85</v>
      </c>
      <c r="S980" s="1">
        <v>9310001</v>
      </c>
      <c r="T980" s="547" t="s">
        <v>3540</v>
      </c>
      <c r="U980" s="548" t="s">
        <v>3541</v>
      </c>
      <c r="V980" s="111" t="s">
        <v>582</v>
      </c>
      <c r="W980" s="651" t="s">
        <v>3542</v>
      </c>
      <c r="X980" s="652" t="s">
        <v>3542</v>
      </c>
      <c r="AE980" s="1">
        <v>0</v>
      </c>
      <c r="AF980" s="1">
        <v>0</v>
      </c>
      <c r="AG980" s="1">
        <v>0</v>
      </c>
      <c r="AI980" s="1">
        <v>30</v>
      </c>
      <c r="AJ980" s="1">
        <v>15</v>
      </c>
      <c r="AN980" s="1" t="s">
        <v>3543</v>
      </c>
      <c r="AQ980" s="1" t="s">
        <v>3544</v>
      </c>
    </row>
    <row r="981" spans="1:43">
      <c r="A981" s="1">
        <v>9310002</v>
      </c>
      <c r="B981" s="1" t="s">
        <v>3212</v>
      </c>
      <c r="C981" s="3" t="s">
        <v>3545</v>
      </c>
      <c r="D981" s="1" t="s">
        <v>3197</v>
      </c>
      <c r="E981" s="1" t="s">
        <v>79</v>
      </c>
      <c r="F981" s="1">
        <v>1</v>
      </c>
      <c r="G981" s="1">
        <v>101</v>
      </c>
      <c r="H981" s="1" t="s">
        <v>82</v>
      </c>
      <c r="I981" s="1" t="s">
        <v>3198</v>
      </c>
      <c r="L981" s="220" t="s">
        <v>3546</v>
      </c>
      <c r="P981" s="111">
        <v>1</v>
      </c>
      <c r="Q981" s="111">
        <v>0</v>
      </c>
      <c r="R981" s="111" t="s">
        <v>85</v>
      </c>
      <c r="S981" s="1">
        <v>9310001</v>
      </c>
      <c r="T981" s="547" t="s">
        <v>3540</v>
      </c>
      <c r="U981" s="548" t="s">
        <v>3541</v>
      </c>
      <c r="V981" s="111" t="s">
        <v>582</v>
      </c>
      <c r="W981" s="651" t="s">
        <v>3547</v>
      </c>
      <c r="X981" s="652" t="s">
        <v>3547</v>
      </c>
      <c r="AE981" s="1">
        <v>0</v>
      </c>
      <c r="AF981" s="1">
        <v>0</v>
      </c>
      <c r="AG981" s="1">
        <v>0</v>
      </c>
      <c r="AI981" s="1">
        <v>30</v>
      </c>
      <c r="AJ981" s="1">
        <v>15</v>
      </c>
      <c r="AN981" s="1" t="s">
        <v>3548</v>
      </c>
      <c r="AQ981" s="1" t="s">
        <v>3544</v>
      </c>
    </row>
    <row r="982" spans="1:43">
      <c r="A982" s="1">
        <v>9320001</v>
      </c>
      <c r="B982" s="1" t="s">
        <v>3549</v>
      </c>
      <c r="C982" s="3" t="s">
        <v>3529</v>
      </c>
      <c r="D982" s="1" t="s">
        <v>3197</v>
      </c>
      <c r="E982" s="1" t="s">
        <v>79</v>
      </c>
      <c r="F982" s="1">
        <v>1</v>
      </c>
      <c r="G982" s="1">
        <v>110</v>
      </c>
      <c r="H982" s="1" t="s">
        <v>82</v>
      </c>
      <c r="I982" s="1" t="s">
        <v>3198</v>
      </c>
      <c r="L982" s="220" t="s">
        <v>3550</v>
      </c>
      <c r="P982" s="111">
        <v>1</v>
      </c>
      <c r="Q982" s="111">
        <v>0</v>
      </c>
      <c r="R982" s="111" t="s">
        <v>85</v>
      </c>
      <c r="S982" s="1">
        <v>9210001</v>
      </c>
      <c r="T982" s="260" t="s">
        <v>3531</v>
      </c>
      <c r="U982" s="261" t="s">
        <v>3532</v>
      </c>
      <c r="V982" s="111" t="s">
        <v>582</v>
      </c>
      <c r="W982" s="651" t="s">
        <v>3551</v>
      </c>
      <c r="X982" s="652" t="s">
        <v>3551</v>
      </c>
      <c r="AE982" s="1">
        <v>0</v>
      </c>
      <c r="AF982" s="1">
        <v>0</v>
      </c>
      <c r="AG982" s="1">
        <v>0</v>
      </c>
      <c r="AI982" s="1">
        <v>30</v>
      </c>
      <c r="AJ982" s="1">
        <v>15</v>
      </c>
      <c r="AN982" s="1" t="s">
        <v>3552</v>
      </c>
      <c r="AQ982" s="1" t="s">
        <v>3535</v>
      </c>
    </row>
    <row r="983" spans="1:43">
      <c r="A983" s="1">
        <v>9320002</v>
      </c>
      <c r="B983" s="1" t="s">
        <v>3549</v>
      </c>
      <c r="C983" s="3" t="s">
        <v>2785</v>
      </c>
      <c r="D983" s="1" t="s">
        <v>3197</v>
      </c>
      <c r="E983" s="3" t="s">
        <v>2785</v>
      </c>
      <c r="F983" s="1">
        <v>1</v>
      </c>
      <c r="G983" s="1">
        <v>110</v>
      </c>
      <c r="H983" s="1" t="s">
        <v>82</v>
      </c>
      <c r="I983" s="1" t="s">
        <v>3198</v>
      </c>
      <c r="L983" s="220" t="s">
        <v>3553</v>
      </c>
      <c r="O983" s="3" t="s">
        <v>3225</v>
      </c>
      <c r="Q983" s="111">
        <v>0</v>
      </c>
      <c r="R983" s="22"/>
      <c r="S983" s="1">
        <v>9210001</v>
      </c>
      <c r="T983" s="260"/>
      <c r="U983" s="261"/>
      <c r="V983" s="111" t="s">
        <v>582</v>
      </c>
      <c r="W983" s="651" t="s">
        <v>3226</v>
      </c>
      <c r="X983" s="637" t="s">
        <v>3226</v>
      </c>
      <c r="AE983" s="1">
        <v>2</v>
      </c>
      <c r="AF983" s="1">
        <v>0</v>
      </c>
      <c r="AG983" s="1">
        <v>1</v>
      </c>
      <c r="AI983" s="1">
        <v>0</v>
      </c>
      <c r="AJ983" s="1">
        <v>0</v>
      </c>
      <c r="AN983" s="1" t="s">
        <v>3554</v>
      </c>
      <c r="AQ983" s="1" t="s">
        <v>3535</v>
      </c>
    </row>
    <row r="984" spans="1:43">
      <c r="A984" s="1">
        <v>9330001</v>
      </c>
      <c r="B984" s="1" t="s">
        <v>3555</v>
      </c>
      <c r="C984" s="3" t="s">
        <v>3529</v>
      </c>
      <c r="D984" s="1" t="s">
        <v>3197</v>
      </c>
      <c r="E984" s="1" t="s">
        <v>79</v>
      </c>
      <c r="F984" s="1">
        <v>1</v>
      </c>
      <c r="G984" s="1">
        <v>111</v>
      </c>
      <c r="H984" s="1" t="s">
        <v>82</v>
      </c>
      <c r="I984" s="1" t="s">
        <v>3198</v>
      </c>
      <c r="L984" s="220" t="s">
        <v>3556</v>
      </c>
      <c r="P984" s="111">
        <v>1</v>
      </c>
      <c r="Q984" s="111">
        <v>0</v>
      </c>
      <c r="R984" s="111" t="s">
        <v>85</v>
      </c>
      <c r="S984" s="1">
        <v>9210001</v>
      </c>
      <c r="T984" s="260" t="s">
        <v>3531</v>
      </c>
      <c r="U984" s="261" t="s">
        <v>3532</v>
      </c>
      <c r="V984" s="111" t="s">
        <v>582</v>
      </c>
      <c r="W984" s="651" t="s">
        <v>3557</v>
      </c>
      <c r="X984" s="652" t="s">
        <v>3557</v>
      </c>
      <c r="AE984" s="1">
        <v>0</v>
      </c>
      <c r="AF984" s="1">
        <v>0</v>
      </c>
      <c r="AG984" s="1">
        <v>0</v>
      </c>
      <c r="AI984" s="1">
        <v>30</v>
      </c>
      <c r="AJ984" s="1">
        <v>15</v>
      </c>
      <c r="AN984" s="1" t="s">
        <v>3558</v>
      </c>
      <c r="AQ984" s="1" t="s">
        <v>3535</v>
      </c>
    </row>
    <row r="985" spans="1:43">
      <c r="A985" s="1">
        <v>9330002</v>
      </c>
      <c r="B985" s="1" t="s">
        <v>3555</v>
      </c>
      <c r="C985" s="3" t="s">
        <v>2785</v>
      </c>
      <c r="D985" s="1" t="s">
        <v>3197</v>
      </c>
      <c r="E985" s="3" t="s">
        <v>2785</v>
      </c>
      <c r="F985" s="1">
        <v>1</v>
      </c>
      <c r="G985" s="1">
        <v>111</v>
      </c>
      <c r="H985" s="1" t="s">
        <v>82</v>
      </c>
      <c r="I985" s="1" t="s">
        <v>3198</v>
      </c>
      <c r="L985" s="220" t="s">
        <v>3559</v>
      </c>
      <c r="O985" s="3" t="s">
        <v>3225</v>
      </c>
      <c r="Q985" s="111">
        <v>0</v>
      </c>
      <c r="R985" s="22"/>
      <c r="S985" s="1">
        <v>9210001</v>
      </c>
      <c r="T985" s="260"/>
      <c r="U985" s="261"/>
      <c r="V985" s="111" t="s">
        <v>582</v>
      </c>
      <c r="W985" s="651" t="s">
        <v>3226</v>
      </c>
      <c r="X985" s="637" t="s">
        <v>3226</v>
      </c>
      <c r="AE985" s="1">
        <v>2</v>
      </c>
      <c r="AF985" s="1">
        <v>0</v>
      </c>
      <c r="AG985" s="1">
        <v>1</v>
      </c>
      <c r="AI985" s="1">
        <v>0</v>
      </c>
      <c r="AJ985" s="1">
        <v>0</v>
      </c>
      <c r="AN985" s="1" t="s">
        <v>3560</v>
      </c>
      <c r="AQ985" s="1" t="s">
        <v>3535</v>
      </c>
    </row>
    <row r="986" spans="1:43">
      <c r="A986" s="1">
        <v>9340001</v>
      </c>
      <c r="B986" s="3" t="s">
        <v>3561</v>
      </c>
      <c r="C986" s="3" t="s">
        <v>3529</v>
      </c>
      <c r="D986" s="3" t="s">
        <v>3197</v>
      </c>
      <c r="E986" s="3" t="s">
        <v>79</v>
      </c>
      <c r="F986" s="3">
        <v>1</v>
      </c>
      <c r="G986" s="3">
        <v>112</v>
      </c>
      <c r="H986" s="3" t="s">
        <v>82</v>
      </c>
      <c r="I986" s="3" t="s">
        <v>3198</v>
      </c>
      <c r="J986" s="3"/>
      <c r="K986" s="3"/>
      <c r="L986" s="220" t="s">
        <v>3562</v>
      </c>
      <c r="M986" s="99"/>
      <c r="N986" s="99"/>
      <c r="O986" s="3"/>
      <c r="P986" s="22">
        <v>1</v>
      </c>
      <c r="Q986" s="22">
        <v>0</v>
      </c>
      <c r="R986" s="22" t="s">
        <v>85</v>
      </c>
      <c r="S986" s="3">
        <v>5310001</v>
      </c>
      <c r="T986" s="260" t="s">
        <v>3207</v>
      </c>
      <c r="U986" s="261" t="s">
        <v>3208</v>
      </c>
      <c r="V986" s="22" t="s">
        <v>582</v>
      </c>
      <c r="W986" s="643" t="s">
        <v>3563</v>
      </c>
      <c r="X986" s="637" t="s">
        <v>3563</v>
      </c>
      <c r="Y986" s="137"/>
      <c r="Z986" s="137"/>
      <c r="AE986" s="1">
        <v>2</v>
      </c>
      <c r="AF986" s="3">
        <v>0</v>
      </c>
      <c r="AG986" s="3">
        <v>7</v>
      </c>
      <c r="AH986" s="3"/>
      <c r="AI986" s="539">
        <v>58</v>
      </c>
      <c r="AJ986" s="539">
        <v>39</v>
      </c>
      <c r="AN986" s="538" t="s">
        <v>3564</v>
      </c>
      <c r="AQ986" s="1" t="s">
        <v>3217</v>
      </c>
    </row>
    <row r="987" spans="1:43">
      <c r="A987" s="1">
        <v>9340002</v>
      </c>
      <c r="B987" s="3" t="s">
        <v>3561</v>
      </c>
      <c r="C987" s="3" t="s">
        <v>2785</v>
      </c>
      <c r="D987" s="3" t="s">
        <v>3197</v>
      </c>
      <c r="E987" s="3" t="s">
        <v>2785</v>
      </c>
      <c r="F987" s="3">
        <v>1</v>
      </c>
      <c r="G987" s="3">
        <v>112</v>
      </c>
      <c r="H987" s="3" t="s">
        <v>82</v>
      </c>
      <c r="I987" s="3" t="s">
        <v>3198</v>
      </c>
      <c r="J987" s="3"/>
      <c r="K987" s="3"/>
      <c r="L987" s="220" t="s">
        <v>3565</v>
      </c>
      <c r="M987" s="99"/>
      <c r="N987" s="99"/>
      <c r="O987" s="3" t="s">
        <v>3225</v>
      </c>
      <c r="P987" s="22"/>
      <c r="Q987" s="22">
        <v>0</v>
      </c>
      <c r="R987" s="22"/>
      <c r="S987" s="3">
        <v>5310001</v>
      </c>
      <c r="T987" s="260"/>
      <c r="U987" s="261"/>
      <c r="V987" s="22" t="s">
        <v>582</v>
      </c>
      <c r="W987" s="643" t="s">
        <v>3226</v>
      </c>
      <c r="X987" s="637" t="s">
        <v>3226</v>
      </c>
      <c r="Y987" s="137"/>
      <c r="Z987" s="137"/>
      <c r="AE987" s="1">
        <v>2</v>
      </c>
      <c r="AF987" s="1">
        <v>0</v>
      </c>
      <c r="AG987" s="1">
        <v>1</v>
      </c>
      <c r="AH987" s="3"/>
      <c r="AI987" s="1">
        <v>0</v>
      </c>
      <c r="AJ987" s="1">
        <v>0</v>
      </c>
      <c r="AN987" s="538" t="s">
        <v>3566</v>
      </c>
      <c r="AQ987" s="1" t="s">
        <v>3217</v>
      </c>
    </row>
    <row r="988" spans="1:43">
      <c r="A988" s="1">
        <v>9350001</v>
      </c>
      <c r="B988" s="1" t="s">
        <v>3567</v>
      </c>
      <c r="C988" s="3" t="s">
        <v>3529</v>
      </c>
      <c r="D988" s="1" t="s">
        <v>3197</v>
      </c>
      <c r="E988" s="1" t="s">
        <v>79</v>
      </c>
      <c r="F988" s="1">
        <v>1</v>
      </c>
      <c r="G988" s="1">
        <v>106</v>
      </c>
      <c r="H988" s="1" t="s">
        <v>82</v>
      </c>
      <c r="I988" s="1" t="s">
        <v>3198</v>
      </c>
      <c r="L988" s="220" t="s">
        <v>3568</v>
      </c>
      <c r="P988" s="111">
        <v>1</v>
      </c>
      <c r="Q988" s="111">
        <v>0</v>
      </c>
      <c r="R988" s="111" t="s">
        <v>85</v>
      </c>
      <c r="S988" s="1">
        <v>9210001</v>
      </c>
      <c r="T988" s="260" t="s">
        <v>3531</v>
      </c>
      <c r="U988" s="261" t="s">
        <v>3532</v>
      </c>
      <c r="V988" s="111" t="s">
        <v>582</v>
      </c>
      <c r="W988" s="651" t="s">
        <v>3569</v>
      </c>
      <c r="X988" s="652" t="s">
        <v>3569</v>
      </c>
      <c r="AE988" s="1">
        <v>0</v>
      </c>
      <c r="AF988" s="1">
        <v>0</v>
      </c>
      <c r="AG988" s="1">
        <v>0</v>
      </c>
      <c r="AI988" s="1">
        <v>30</v>
      </c>
      <c r="AJ988" s="1">
        <v>15</v>
      </c>
      <c r="AN988" s="1" t="s">
        <v>3570</v>
      </c>
      <c r="AQ988" s="1" t="s">
        <v>3535</v>
      </c>
    </row>
    <row r="989" spans="1:43">
      <c r="A989" s="1">
        <v>9350002</v>
      </c>
      <c r="B989" s="1" t="s">
        <v>3567</v>
      </c>
      <c r="C989" s="3" t="s">
        <v>2785</v>
      </c>
      <c r="D989" s="1" t="s">
        <v>3197</v>
      </c>
      <c r="E989" s="3" t="s">
        <v>2785</v>
      </c>
      <c r="F989" s="1">
        <v>1</v>
      </c>
      <c r="G989" s="1">
        <v>106</v>
      </c>
      <c r="H989" s="1" t="s">
        <v>82</v>
      </c>
      <c r="I989" s="1" t="s">
        <v>3198</v>
      </c>
      <c r="L989" s="220" t="s">
        <v>3571</v>
      </c>
      <c r="O989" s="3" t="s">
        <v>3225</v>
      </c>
      <c r="Q989" s="111">
        <v>0</v>
      </c>
      <c r="R989" s="22"/>
      <c r="S989" s="1">
        <v>9210001</v>
      </c>
      <c r="T989" s="260"/>
      <c r="U989" s="261"/>
      <c r="V989" s="111" t="s">
        <v>582</v>
      </c>
      <c r="W989" s="651" t="s">
        <v>3226</v>
      </c>
      <c r="X989" s="637" t="s">
        <v>3226</v>
      </c>
      <c r="AE989" s="1">
        <v>2</v>
      </c>
      <c r="AF989" s="1">
        <v>0</v>
      </c>
      <c r="AG989" s="1">
        <v>1</v>
      </c>
      <c r="AI989" s="1">
        <v>0</v>
      </c>
      <c r="AJ989" s="1">
        <v>0</v>
      </c>
      <c r="AN989" s="1" t="s">
        <v>3572</v>
      </c>
      <c r="AQ989" s="1" t="s">
        <v>3535</v>
      </c>
    </row>
    <row r="990" spans="1:43">
      <c r="A990" s="1">
        <v>9360001</v>
      </c>
      <c r="B990" s="1" t="s">
        <v>3573</v>
      </c>
      <c r="C990" s="3" t="s">
        <v>3529</v>
      </c>
      <c r="D990" s="1" t="s">
        <v>3197</v>
      </c>
      <c r="E990" s="1" t="s">
        <v>79</v>
      </c>
      <c r="F990" s="1">
        <v>1</v>
      </c>
      <c r="G990" s="1">
        <v>105</v>
      </c>
      <c r="H990" s="1" t="s">
        <v>82</v>
      </c>
      <c r="I990" s="1" t="s">
        <v>3198</v>
      </c>
      <c r="L990" s="220" t="s">
        <v>3574</v>
      </c>
      <c r="P990" s="111">
        <v>1</v>
      </c>
      <c r="Q990" s="111">
        <v>0</v>
      </c>
      <c r="R990" s="111" t="s">
        <v>85</v>
      </c>
      <c r="S990" s="1">
        <v>9210001</v>
      </c>
      <c r="T990" s="260" t="s">
        <v>3531</v>
      </c>
      <c r="U990" s="261" t="s">
        <v>3532</v>
      </c>
      <c r="V990" s="111" t="s">
        <v>582</v>
      </c>
      <c r="W990" s="651" t="s">
        <v>3575</v>
      </c>
      <c r="X990" s="652" t="s">
        <v>3575</v>
      </c>
      <c r="AE990" s="1">
        <v>0</v>
      </c>
      <c r="AF990" s="1">
        <v>0</v>
      </c>
      <c r="AG990" s="1">
        <v>0</v>
      </c>
      <c r="AI990" s="1">
        <v>30</v>
      </c>
      <c r="AJ990" s="1">
        <v>15</v>
      </c>
      <c r="AN990" s="1" t="s">
        <v>3576</v>
      </c>
      <c r="AQ990" s="1" t="s">
        <v>3535</v>
      </c>
    </row>
    <row r="991" spans="1:43">
      <c r="A991" s="1">
        <v>9360002</v>
      </c>
      <c r="B991" s="1" t="s">
        <v>3573</v>
      </c>
      <c r="C991" s="3" t="s">
        <v>2785</v>
      </c>
      <c r="D991" s="1" t="s">
        <v>3197</v>
      </c>
      <c r="E991" s="3" t="s">
        <v>2785</v>
      </c>
      <c r="F991" s="1">
        <v>1</v>
      </c>
      <c r="G991" s="1">
        <v>105</v>
      </c>
      <c r="H991" s="1" t="s">
        <v>82</v>
      </c>
      <c r="I991" s="1" t="s">
        <v>3198</v>
      </c>
      <c r="L991" s="220" t="s">
        <v>3577</v>
      </c>
      <c r="O991" s="3" t="s">
        <v>3225</v>
      </c>
      <c r="Q991" s="111">
        <v>0</v>
      </c>
      <c r="R991" s="22"/>
      <c r="S991" s="1">
        <v>9210001</v>
      </c>
      <c r="T991" s="260"/>
      <c r="U991" s="261"/>
      <c r="V991" s="111" t="s">
        <v>582</v>
      </c>
      <c r="W991" s="651" t="s">
        <v>3226</v>
      </c>
      <c r="X991" s="637" t="s">
        <v>3226</v>
      </c>
      <c r="AE991" s="1">
        <v>2</v>
      </c>
      <c r="AF991" s="1">
        <v>0</v>
      </c>
      <c r="AG991" s="1">
        <v>1</v>
      </c>
      <c r="AI991" s="1">
        <v>0</v>
      </c>
      <c r="AJ991" s="1">
        <v>0</v>
      </c>
      <c r="AN991" s="1" t="s">
        <v>3578</v>
      </c>
      <c r="AQ991" s="1" t="s">
        <v>3535</v>
      </c>
    </row>
    <row r="992" spans="1:43">
      <c r="A992" s="1">
        <v>9370001</v>
      </c>
      <c r="B992" s="1" t="s">
        <v>3579</v>
      </c>
      <c r="C992" s="3" t="s">
        <v>3529</v>
      </c>
      <c r="D992" s="1" t="s">
        <v>3197</v>
      </c>
      <c r="E992" s="1" t="s">
        <v>79</v>
      </c>
      <c r="F992" s="1">
        <v>1</v>
      </c>
      <c r="G992" s="1">
        <v>103</v>
      </c>
      <c r="H992" s="1" t="s">
        <v>82</v>
      </c>
      <c r="I992" s="1" t="s">
        <v>3198</v>
      </c>
      <c r="L992" s="220" t="s">
        <v>3580</v>
      </c>
      <c r="P992" s="111">
        <v>1</v>
      </c>
      <c r="Q992" s="111">
        <v>0</v>
      </c>
      <c r="R992" s="111" t="s">
        <v>85</v>
      </c>
      <c r="S992" s="1">
        <v>9210001</v>
      </c>
      <c r="T992" s="260" t="s">
        <v>3531</v>
      </c>
      <c r="U992" s="261" t="s">
        <v>3532</v>
      </c>
      <c r="V992" s="111" t="s">
        <v>582</v>
      </c>
      <c r="W992" s="651" t="s">
        <v>3581</v>
      </c>
      <c r="X992" s="652" t="s">
        <v>3581</v>
      </c>
      <c r="AE992" s="1">
        <v>0</v>
      </c>
      <c r="AF992" s="1">
        <v>0</v>
      </c>
      <c r="AG992" s="1">
        <v>0</v>
      </c>
      <c r="AI992" s="1">
        <v>30</v>
      </c>
      <c r="AJ992" s="1">
        <v>15</v>
      </c>
      <c r="AN992" s="1" t="s">
        <v>3582</v>
      </c>
      <c r="AQ992" s="1" t="s">
        <v>3535</v>
      </c>
    </row>
    <row r="993" spans="1:43">
      <c r="A993" s="1">
        <v>9370002</v>
      </c>
      <c r="B993" s="1" t="s">
        <v>3579</v>
      </c>
      <c r="C993" s="3" t="s">
        <v>2785</v>
      </c>
      <c r="D993" s="1" t="s">
        <v>3197</v>
      </c>
      <c r="E993" s="3" t="s">
        <v>2785</v>
      </c>
      <c r="F993" s="1">
        <v>1</v>
      </c>
      <c r="G993" s="1">
        <v>103</v>
      </c>
      <c r="H993" s="1" t="s">
        <v>82</v>
      </c>
      <c r="I993" s="1" t="s">
        <v>3198</v>
      </c>
      <c r="L993" s="220" t="s">
        <v>3583</v>
      </c>
      <c r="O993" s="3" t="s">
        <v>3225</v>
      </c>
      <c r="Q993" s="111">
        <v>0</v>
      </c>
      <c r="R993" s="22"/>
      <c r="S993" s="1">
        <v>9210001</v>
      </c>
      <c r="T993" s="260"/>
      <c r="U993" s="261"/>
      <c r="V993" s="111" t="s">
        <v>582</v>
      </c>
      <c r="W993" s="651" t="s">
        <v>3226</v>
      </c>
      <c r="X993" s="637" t="s">
        <v>3226</v>
      </c>
      <c r="AE993" s="1">
        <v>2</v>
      </c>
      <c r="AF993" s="1">
        <v>0</v>
      </c>
      <c r="AG993" s="1">
        <v>1</v>
      </c>
      <c r="AI993" s="1">
        <v>0</v>
      </c>
      <c r="AJ993" s="1">
        <v>0</v>
      </c>
      <c r="AN993" s="1" t="s">
        <v>3584</v>
      </c>
      <c r="AQ993" s="1" t="s">
        <v>3535</v>
      </c>
    </row>
    <row r="994" spans="1:43">
      <c r="A994" s="1">
        <v>9380001</v>
      </c>
      <c r="B994" s="1" t="s">
        <v>3585</v>
      </c>
      <c r="C994" s="3" t="s">
        <v>3529</v>
      </c>
      <c r="D994" s="1" t="s">
        <v>3197</v>
      </c>
      <c r="E994" s="1" t="s">
        <v>79</v>
      </c>
      <c r="F994" s="1">
        <v>1</v>
      </c>
      <c r="G994" s="1">
        <v>107</v>
      </c>
      <c r="H994" s="1" t="s">
        <v>82</v>
      </c>
      <c r="I994" s="1" t="s">
        <v>3198</v>
      </c>
      <c r="L994" s="220" t="s">
        <v>3586</v>
      </c>
      <c r="P994" s="111">
        <v>1</v>
      </c>
      <c r="Q994" s="111">
        <v>0</v>
      </c>
      <c r="R994" s="111" t="s">
        <v>85</v>
      </c>
      <c r="S994" s="1">
        <v>9210001</v>
      </c>
      <c r="T994" s="260" t="s">
        <v>3531</v>
      </c>
      <c r="U994" s="261" t="s">
        <v>3532</v>
      </c>
      <c r="V994" s="111" t="s">
        <v>582</v>
      </c>
      <c r="W994" s="651" t="s">
        <v>3587</v>
      </c>
      <c r="X994" s="652" t="s">
        <v>3587</v>
      </c>
      <c r="AE994" s="1">
        <v>0</v>
      </c>
      <c r="AF994" s="1">
        <v>0</v>
      </c>
      <c r="AG994" s="1">
        <v>0</v>
      </c>
      <c r="AI994" s="1">
        <v>30</v>
      </c>
      <c r="AJ994" s="1">
        <v>15</v>
      </c>
      <c r="AN994" s="1" t="s">
        <v>3588</v>
      </c>
      <c r="AQ994" s="1" t="s">
        <v>3535</v>
      </c>
    </row>
    <row r="995" spans="1:43">
      <c r="A995" s="1">
        <v>9380002</v>
      </c>
      <c r="B995" s="1" t="s">
        <v>3585</v>
      </c>
      <c r="C995" s="3" t="s">
        <v>2785</v>
      </c>
      <c r="D995" s="1" t="s">
        <v>3197</v>
      </c>
      <c r="E995" s="3" t="s">
        <v>2785</v>
      </c>
      <c r="F995" s="1">
        <v>1</v>
      </c>
      <c r="G995" s="1">
        <v>107</v>
      </c>
      <c r="H995" s="1" t="s">
        <v>82</v>
      </c>
      <c r="I995" s="1" t="s">
        <v>3198</v>
      </c>
      <c r="L995" s="220" t="s">
        <v>3589</v>
      </c>
      <c r="O995" s="3" t="s">
        <v>3225</v>
      </c>
      <c r="Q995" s="111">
        <v>0</v>
      </c>
      <c r="R995" s="22"/>
      <c r="S995" s="1">
        <v>9210001</v>
      </c>
      <c r="T995" s="260"/>
      <c r="U995" s="261"/>
      <c r="V995" s="111" t="s">
        <v>582</v>
      </c>
      <c r="W995" s="651" t="s">
        <v>3226</v>
      </c>
      <c r="X995" s="637" t="s">
        <v>3226</v>
      </c>
      <c r="AE995" s="1">
        <v>2</v>
      </c>
      <c r="AF995" s="1">
        <v>0</v>
      </c>
      <c r="AG995" s="1">
        <v>1</v>
      </c>
      <c r="AI995" s="1">
        <v>0</v>
      </c>
      <c r="AJ995" s="1">
        <v>0</v>
      </c>
      <c r="AN995" s="1" t="s">
        <v>3590</v>
      </c>
      <c r="AQ995" s="1" t="s">
        <v>3535</v>
      </c>
    </row>
    <row r="996" spans="1:43">
      <c r="A996" s="1">
        <v>9390001</v>
      </c>
      <c r="B996" s="63" t="s">
        <v>3591</v>
      </c>
      <c r="C996" s="3" t="s">
        <v>3529</v>
      </c>
      <c r="D996" s="1" t="s">
        <v>3197</v>
      </c>
      <c r="E996" s="1" t="s">
        <v>79</v>
      </c>
      <c r="F996" s="1">
        <v>1</v>
      </c>
      <c r="G996" s="1">
        <v>104</v>
      </c>
      <c r="H996" s="1" t="s">
        <v>82</v>
      </c>
      <c r="I996" s="1" t="s">
        <v>3198</v>
      </c>
      <c r="L996" s="220" t="s">
        <v>3592</v>
      </c>
      <c r="P996" s="111">
        <v>1</v>
      </c>
      <c r="Q996" s="111">
        <v>0</v>
      </c>
      <c r="R996" s="111" t="s">
        <v>85</v>
      </c>
      <c r="S996" s="1">
        <v>9210001</v>
      </c>
      <c r="T996" s="260" t="s">
        <v>3531</v>
      </c>
      <c r="U996" s="261" t="s">
        <v>3532</v>
      </c>
      <c r="V996" s="111" t="s">
        <v>582</v>
      </c>
      <c r="W996" s="651" t="s">
        <v>3587</v>
      </c>
      <c r="X996" s="652" t="s">
        <v>3587</v>
      </c>
      <c r="AE996" s="1">
        <v>0</v>
      </c>
      <c r="AF996" s="1">
        <v>0</v>
      </c>
      <c r="AG996" s="1">
        <v>0</v>
      </c>
      <c r="AI996" s="1">
        <v>30</v>
      </c>
      <c r="AJ996" s="1">
        <v>15</v>
      </c>
      <c r="AN996" s="1" t="s">
        <v>3593</v>
      </c>
      <c r="AQ996" s="1" t="s">
        <v>3535</v>
      </c>
    </row>
    <row r="997" spans="1:43">
      <c r="A997" s="1">
        <v>9390002</v>
      </c>
      <c r="B997" s="63" t="s">
        <v>3591</v>
      </c>
      <c r="C997" s="3" t="s">
        <v>2785</v>
      </c>
      <c r="D997" s="1" t="s">
        <v>3197</v>
      </c>
      <c r="E997" s="3" t="s">
        <v>2785</v>
      </c>
      <c r="F997" s="1">
        <v>1</v>
      </c>
      <c r="G997" s="1">
        <v>104</v>
      </c>
      <c r="H997" s="1" t="s">
        <v>82</v>
      </c>
      <c r="I997" s="1" t="s">
        <v>3198</v>
      </c>
      <c r="L997" s="220" t="s">
        <v>3594</v>
      </c>
      <c r="O997" s="3" t="s">
        <v>3225</v>
      </c>
      <c r="Q997" s="111">
        <v>0</v>
      </c>
      <c r="R997" s="22"/>
      <c r="S997" s="1">
        <v>9210001</v>
      </c>
      <c r="T997" s="260"/>
      <c r="U997" s="261"/>
      <c r="V997" s="111" t="s">
        <v>582</v>
      </c>
      <c r="W997" s="651" t="s">
        <v>3226</v>
      </c>
      <c r="X997" s="637" t="s">
        <v>3226</v>
      </c>
      <c r="AE997" s="1">
        <v>2</v>
      </c>
      <c r="AF997" s="1">
        <v>0</v>
      </c>
      <c r="AG997" s="1">
        <v>1</v>
      </c>
      <c r="AI997" s="1">
        <v>0</v>
      </c>
      <c r="AJ997" s="1">
        <v>0</v>
      </c>
      <c r="AN997" s="1" t="s">
        <v>3595</v>
      </c>
      <c r="AQ997" s="1" t="s">
        <v>3535</v>
      </c>
    </row>
    <row r="998" spans="1:43">
      <c r="A998" s="1">
        <v>9400001</v>
      </c>
      <c r="B998" s="63" t="s">
        <v>3596</v>
      </c>
      <c r="C998" s="3" t="s">
        <v>3529</v>
      </c>
      <c r="D998" s="1" t="s">
        <v>3197</v>
      </c>
      <c r="E998" s="1" t="s">
        <v>79</v>
      </c>
      <c r="F998" s="1">
        <v>1</v>
      </c>
      <c r="G998" s="1">
        <v>108</v>
      </c>
      <c r="H998" s="1" t="s">
        <v>82</v>
      </c>
      <c r="I998" s="1" t="s">
        <v>3198</v>
      </c>
      <c r="L998" s="220" t="s">
        <v>3597</v>
      </c>
      <c r="P998" s="111">
        <v>1</v>
      </c>
      <c r="Q998" s="111">
        <v>0</v>
      </c>
      <c r="R998" s="111" t="s">
        <v>85</v>
      </c>
      <c r="S998" s="1">
        <v>9210001</v>
      </c>
      <c r="T998" s="260" t="s">
        <v>3531</v>
      </c>
      <c r="U998" s="261" t="s">
        <v>3532</v>
      </c>
      <c r="V998" s="111" t="s">
        <v>582</v>
      </c>
      <c r="W998" s="651" t="s">
        <v>3587</v>
      </c>
      <c r="X998" s="652" t="s">
        <v>3587</v>
      </c>
      <c r="AE998" s="1">
        <v>0</v>
      </c>
      <c r="AF998" s="1">
        <v>0</v>
      </c>
      <c r="AG998" s="1">
        <v>0</v>
      </c>
      <c r="AI998" s="1">
        <v>30</v>
      </c>
      <c r="AJ998" s="1">
        <v>15</v>
      </c>
      <c r="AN998" s="1" t="s">
        <v>3598</v>
      </c>
      <c r="AQ998" s="1" t="s">
        <v>3535</v>
      </c>
    </row>
    <row r="999" spans="1:43">
      <c r="A999" s="1">
        <v>9400002</v>
      </c>
      <c r="B999" s="63" t="s">
        <v>3596</v>
      </c>
      <c r="C999" s="3" t="s">
        <v>2785</v>
      </c>
      <c r="D999" s="1" t="s">
        <v>3197</v>
      </c>
      <c r="E999" s="3" t="s">
        <v>2785</v>
      </c>
      <c r="F999" s="1">
        <v>1</v>
      </c>
      <c r="G999" s="1">
        <v>108</v>
      </c>
      <c r="H999" s="1" t="s">
        <v>82</v>
      </c>
      <c r="I999" s="1" t="s">
        <v>3198</v>
      </c>
      <c r="L999" s="220" t="s">
        <v>3599</v>
      </c>
      <c r="O999" s="3" t="s">
        <v>3225</v>
      </c>
      <c r="Q999" s="111">
        <v>0</v>
      </c>
      <c r="R999" s="22"/>
      <c r="S999" s="1">
        <v>9210001</v>
      </c>
      <c r="T999" s="260"/>
      <c r="U999" s="261"/>
      <c r="V999" s="111" t="s">
        <v>582</v>
      </c>
      <c r="W999" s="651" t="s">
        <v>3226</v>
      </c>
      <c r="X999" s="637" t="s">
        <v>3226</v>
      </c>
      <c r="AE999" s="1">
        <v>2</v>
      </c>
      <c r="AF999" s="1">
        <v>0</v>
      </c>
      <c r="AG999" s="1">
        <v>1</v>
      </c>
      <c r="AI999" s="1">
        <v>0</v>
      </c>
      <c r="AJ999" s="1">
        <v>0</v>
      </c>
      <c r="AN999" s="1" t="s">
        <v>3600</v>
      </c>
      <c r="AQ999" s="1" t="s">
        <v>3535</v>
      </c>
    </row>
    <row r="1000" spans="1:43">
      <c r="A1000" s="1">
        <v>9410001</v>
      </c>
      <c r="B1000" s="63" t="s">
        <v>3601</v>
      </c>
      <c r="C1000" s="3" t="s">
        <v>3529</v>
      </c>
      <c r="D1000" s="1" t="s">
        <v>3197</v>
      </c>
      <c r="E1000" s="1" t="s">
        <v>79</v>
      </c>
      <c r="F1000" s="1">
        <v>1</v>
      </c>
      <c r="G1000" s="1">
        <v>109</v>
      </c>
      <c r="H1000" s="1" t="s">
        <v>82</v>
      </c>
      <c r="I1000" s="1" t="s">
        <v>3198</v>
      </c>
      <c r="L1000" s="220" t="s">
        <v>3602</v>
      </c>
      <c r="P1000" s="111">
        <v>1</v>
      </c>
      <c r="Q1000" s="111">
        <v>0</v>
      </c>
      <c r="R1000" s="111" t="s">
        <v>85</v>
      </c>
      <c r="S1000" s="1">
        <v>9210001</v>
      </c>
      <c r="T1000" s="260" t="s">
        <v>3531</v>
      </c>
      <c r="U1000" s="261" t="s">
        <v>3532</v>
      </c>
      <c r="V1000" s="111" t="s">
        <v>582</v>
      </c>
      <c r="W1000" s="651" t="s">
        <v>3529</v>
      </c>
      <c r="X1000" s="652" t="s">
        <v>3529</v>
      </c>
      <c r="AE1000" s="1">
        <v>0</v>
      </c>
      <c r="AF1000" s="1">
        <v>0</v>
      </c>
      <c r="AG1000" s="1">
        <v>0</v>
      </c>
      <c r="AI1000" s="1">
        <v>30</v>
      </c>
      <c r="AJ1000" s="1">
        <v>15</v>
      </c>
      <c r="AN1000" s="1" t="s">
        <v>3603</v>
      </c>
      <c r="AQ1000" s="1" t="s">
        <v>3535</v>
      </c>
    </row>
    <row r="1001" spans="1:43">
      <c r="A1001" s="1">
        <v>9410002</v>
      </c>
      <c r="B1001" s="1" t="s">
        <v>3218</v>
      </c>
      <c r="C1001" s="18" t="s">
        <v>3604</v>
      </c>
      <c r="D1001" s="1" t="s">
        <v>3197</v>
      </c>
      <c r="E1001" s="1" t="s">
        <v>79</v>
      </c>
      <c r="F1001" s="1">
        <v>1</v>
      </c>
      <c r="G1001" s="1">
        <v>110</v>
      </c>
      <c r="H1001" s="1" t="s">
        <v>82</v>
      </c>
      <c r="I1001" s="1" t="s">
        <v>3198</v>
      </c>
      <c r="L1001" s="220" t="s">
        <v>3605</v>
      </c>
      <c r="P1001" s="111">
        <v>1</v>
      </c>
      <c r="Q1001" s="111">
        <v>0</v>
      </c>
      <c r="R1001" s="111" t="s">
        <v>85</v>
      </c>
      <c r="S1001" s="1">
        <v>9210001</v>
      </c>
      <c r="T1001" s="260" t="s">
        <v>3531</v>
      </c>
      <c r="U1001" s="261" t="s">
        <v>3532</v>
      </c>
      <c r="V1001" s="111" t="s">
        <v>582</v>
      </c>
      <c r="W1001" s="651" t="s">
        <v>3218</v>
      </c>
      <c r="X1001" s="652" t="s">
        <v>3218</v>
      </c>
      <c r="AE1001" s="1">
        <v>0</v>
      </c>
      <c r="AF1001" s="1">
        <v>0</v>
      </c>
      <c r="AG1001" s="1">
        <v>0</v>
      </c>
      <c r="AI1001" s="1">
        <v>30</v>
      </c>
      <c r="AJ1001" s="1">
        <v>15</v>
      </c>
      <c r="AN1001" s="1" t="s">
        <v>3220</v>
      </c>
      <c r="AQ1001" s="1" t="s">
        <v>3535</v>
      </c>
    </row>
    <row r="1002" spans="1:43">
      <c r="A1002" s="1">
        <v>9410022</v>
      </c>
      <c r="B1002" s="63" t="s">
        <v>3601</v>
      </c>
      <c r="C1002" s="3" t="s">
        <v>2785</v>
      </c>
      <c r="D1002" s="1" t="s">
        <v>3197</v>
      </c>
      <c r="E1002" s="3" t="s">
        <v>2785</v>
      </c>
      <c r="F1002" s="1">
        <v>1</v>
      </c>
      <c r="G1002" s="1">
        <v>109</v>
      </c>
      <c r="H1002" s="1" t="s">
        <v>82</v>
      </c>
      <c r="I1002" s="1" t="s">
        <v>3198</v>
      </c>
      <c r="L1002" s="220" t="s">
        <v>3606</v>
      </c>
      <c r="O1002" s="3" t="s">
        <v>3225</v>
      </c>
      <c r="Q1002" s="111">
        <v>0</v>
      </c>
      <c r="R1002" s="22"/>
      <c r="S1002" s="1">
        <v>9210001</v>
      </c>
      <c r="T1002" s="260"/>
      <c r="U1002" s="261"/>
      <c r="V1002" s="111" t="s">
        <v>582</v>
      </c>
      <c r="W1002" s="651" t="s">
        <v>3226</v>
      </c>
      <c r="X1002" s="637" t="s">
        <v>3226</v>
      </c>
      <c r="AE1002" s="1">
        <v>2</v>
      </c>
      <c r="AF1002" s="1">
        <v>0</v>
      </c>
      <c r="AG1002" s="1">
        <v>1</v>
      </c>
      <c r="AI1002" s="1">
        <v>0</v>
      </c>
      <c r="AJ1002" s="1">
        <v>0</v>
      </c>
      <c r="AN1002" s="1" t="s">
        <v>3607</v>
      </c>
      <c r="AQ1002" s="1" t="s">
        <v>3535</v>
      </c>
    </row>
    <row r="1003" spans="1:43">
      <c r="A1003" s="1">
        <v>9420001</v>
      </c>
      <c r="B1003" s="63" t="s">
        <v>3591</v>
      </c>
      <c r="C1003" s="3" t="s">
        <v>3529</v>
      </c>
      <c r="D1003" s="1" t="s">
        <v>3197</v>
      </c>
      <c r="E1003" s="1" t="s">
        <v>79</v>
      </c>
      <c r="F1003" s="1">
        <v>1</v>
      </c>
      <c r="G1003" s="1">
        <v>109</v>
      </c>
      <c r="H1003" s="1" t="s">
        <v>82</v>
      </c>
      <c r="I1003" s="1" t="s">
        <v>3198</v>
      </c>
      <c r="L1003" s="220" t="s">
        <v>3608</v>
      </c>
      <c r="P1003" s="111">
        <v>1</v>
      </c>
      <c r="Q1003" s="111">
        <v>0</v>
      </c>
      <c r="R1003" s="111" t="s">
        <v>85</v>
      </c>
      <c r="S1003" s="1">
        <v>9210001</v>
      </c>
      <c r="T1003" s="260" t="s">
        <v>3531</v>
      </c>
      <c r="U1003" s="261" t="s">
        <v>3532</v>
      </c>
      <c r="V1003" s="111" t="s">
        <v>582</v>
      </c>
      <c r="W1003" s="651" t="s">
        <v>3609</v>
      </c>
      <c r="X1003" s="652" t="s">
        <v>3609</v>
      </c>
      <c r="AE1003" s="1">
        <v>0</v>
      </c>
      <c r="AF1003" s="1">
        <v>0</v>
      </c>
      <c r="AG1003" s="1">
        <v>0</v>
      </c>
      <c r="AI1003" s="1">
        <v>30</v>
      </c>
      <c r="AJ1003" s="1">
        <v>15</v>
      </c>
      <c r="AN1003" s="1" t="s">
        <v>3593</v>
      </c>
      <c r="AQ1003" s="1" t="s">
        <v>3535</v>
      </c>
    </row>
    <row r="1004" spans="1:43">
      <c r="A1004" s="1">
        <v>9420002</v>
      </c>
      <c r="B1004" s="63" t="s">
        <v>3591</v>
      </c>
      <c r="C1004" s="3" t="s">
        <v>2785</v>
      </c>
      <c r="D1004" s="1" t="s">
        <v>3197</v>
      </c>
      <c r="E1004" s="3" t="s">
        <v>2785</v>
      </c>
      <c r="F1004" s="1">
        <v>1</v>
      </c>
      <c r="G1004" s="1">
        <v>109</v>
      </c>
      <c r="H1004" s="1" t="s">
        <v>82</v>
      </c>
      <c r="I1004" s="1" t="s">
        <v>3198</v>
      </c>
      <c r="L1004" s="220" t="s">
        <v>3608</v>
      </c>
      <c r="O1004" s="3" t="s">
        <v>3225</v>
      </c>
      <c r="Q1004" s="111">
        <v>0</v>
      </c>
      <c r="R1004" s="22"/>
      <c r="S1004" s="1">
        <v>9210001</v>
      </c>
      <c r="T1004" s="260"/>
      <c r="U1004" s="261"/>
      <c r="V1004" s="111" t="s">
        <v>582</v>
      </c>
      <c r="W1004" s="651" t="s">
        <v>3226</v>
      </c>
      <c r="X1004" s="637" t="s">
        <v>3226</v>
      </c>
      <c r="AE1004" s="1">
        <v>2</v>
      </c>
      <c r="AF1004" s="1">
        <v>0</v>
      </c>
      <c r="AG1004" s="1">
        <v>1</v>
      </c>
      <c r="AI1004" s="1">
        <v>0</v>
      </c>
      <c r="AJ1004" s="1">
        <v>0</v>
      </c>
      <c r="AN1004" s="1" t="s">
        <v>3595</v>
      </c>
      <c r="AQ1004" s="1" t="s">
        <v>3535</v>
      </c>
    </row>
    <row r="1005" spans="1:43">
      <c r="A1005" s="1">
        <v>9510002</v>
      </c>
      <c r="B1005" s="1" t="s">
        <v>3610</v>
      </c>
      <c r="C1005" s="18" t="s">
        <v>3611</v>
      </c>
      <c r="D1005" s="1" t="s">
        <v>3197</v>
      </c>
      <c r="E1005" s="1" t="s">
        <v>79</v>
      </c>
      <c r="F1005" s="1">
        <v>1</v>
      </c>
      <c r="G1005" s="1">
        <v>111</v>
      </c>
      <c r="H1005" s="1" t="s">
        <v>82</v>
      </c>
      <c r="I1005" s="1" t="s">
        <v>3198</v>
      </c>
      <c r="L1005" s="220" t="s">
        <v>3612</v>
      </c>
      <c r="P1005" s="111">
        <v>1</v>
      </c>
      <c r="Q1005" s="111">
        <v>0</v>
      </c>
      <c r="R1005" s="111" t="s">
        <v>85</v>
      </c>
      <c r="S1005" s="1">
        <v>9210001</v>
      </c>
      <c r="T1005" s="260" t="s">
        <v>3531</v>
      </c>
      <c r="U1005" s="261" t="s">
        <v>3532</v>
      </c>
      <c r="V1005" s="111" t="s">
        <v>582</v>
      </c>
      <c r="W1005" s="651" t="s">
        <v>3610</v>
      </c>
      <c r="X1005" s="652" t="s">
        <v>3610</v>
      </c>
      <c r="AE1005" s="1">
        <v>0</v>
      </c>
      <c r="AF1005" s="1">
        <v>0</v>
      </c>
      <c r="AG1005" s="1">
        <v>0</v>
      </c>
      <c r="AI1005" s="1">
        <v>30</v>
      </c>
      <c r="AJ1005" s="1">
        <v>15</v>
      </c>
      <c r="AN1005" s="1" t="s">
        <v>3613</v>
      </c>
      <c r="AQ1005" s="1" t="s">
        <v>3535</v>
      </c>
    </row>
    <row r="1006" spans="1:43">
      <c r="A1006" s="1">
        <v>9610002</v>
      </c>
      <c r="B1006" s="3" t="s">
        <v>3614</v>
      </c>
      <c r="C1006" s="1" t="s">
        <v>3545</v>
      </c>
      <c r="D1006" s="3" t="s">
        <v>3197</v>
      </c>
      <c r="E1006" s="3" t="s">
        <v>79</v>
      </c>
      <c r="F1006" s="3">
        <v>1</v>
      </c>
      <c r="G1006" s="3">
        <v>112</v>
      </c>
      <c r="H1006" s="3" t="s">
        <v>82</v>
      </c>
      <c r="I1006" s="3" t="s">
        <v>3198</v>
      </c>
      <c r="J1006" s="3"/>
      <c r="K1006" s="3"/>
      <c r="L1006" s="220" t="s">
        <v>3615</v>
      </c>
      <c r="M1006" s="99"/>
      <c r="N1006" s="99"/>
      <c r="O1006" s="3"/>
      <c r="P1006" s="22">
        <v>1</v>
      </c>
      <c r="Q1006" s="22">
        <v>0</v>
      </c>
      <c r="R1006" s="22" t="s">
        <v>85</v>
      </c>
      <c r="S1006" s="3">
        <v>5310001</v>
      </c>
      <c r="T1006" s="260" t="s">
        <v>3207</v>
      </c>
      <c r="U1006" s="261" t="s">
        <v>3208</v>
      </c>
      <c r="V1006" s="22" t="s">
        <v>582</v>
      </c>
      <c r="W1006" s="643" t="s">
        <v>3614</v>
      </c>
      <c r="X1006" s="637" t="s">
        <v>3614</v>
      </c>
      <c r="Y1006" s="137"/>
      <c r="Z1006" s="137"/>
      <c r="AE1006" s="1">
        <v>2</v>
      </c>
      <c r="AF1006" s="3">
        <v>0</v>
      </c>
      <c r="AG1006" s="3">
        <v>7</v>
      </c>
      <c r="AH1006" s="3"/>
      <c r="AI1006" s="539">
        <v>58</v>
      </c>
      <c r="AJ1006" s="539">
        <v>39</v>
      </c>
      <c r="AN1006" s="538" t="s">
        <v>3616</v>
      </c>
      <c r="AQ1006" s="1" t="s">
        <v>3217</v>
      </c>
    </row>
    <row r="1007" spans="1:43">
      <c r="A1007" s="1">
        <v>9710002</v>
      </c>
      <c r="B1007" s="1" t="s">
        <v>3617</v>
      </c>
      <c r="C1007" s="1" t="s">
        <v>3545</v>
      </c>
      <c r="D1007" s="1" t="s">
        <v>3197</v>
      </c>
      <c r="E1007" s="1" t="s">
        <v>79</v>
      </c>
      <c r="F1007" s="1">
        <v>1</v>
      </c>
      <c r="G1007" s="1">
        <v>106</v>
      </c>
      <c r="H1007" s="1" t="s">
        <v>82</v>
      </c>
      <c r="I1007" s="1" t="s">
        <v>3198</v>
      </c>
      <c r="L1007" s="220" t="s">
        <v>3618</v>
      </c>
      <c r="P1007" s="111">
        <v>1</v>
      </c>
      <c r="Q1007" s="111">
        <v>0</v>
      </c>
      <c r="R1007" s="111" t="s">
        <v>85</v>
      </c>
      <c r="S1007" s="1">
        <v>9210001</v>
      </c>
      <c r="T1007" s="260" t="s">
        <v>3531</v>
      </c>
      <c r="U1007" s="261" t="s">
        <v>3532</v>
      </c>
      <c r="V1007" s="111" t="s">
        <v>582</v>
      </c>
      <c r="W1007" s="651" t="s">
        <v>3617</v>
      </c>
      <c r="X1007" s="652" t="s">
        <v>3617</v>
      </c>
      <c r="AE1007" s="1">
        <v>0</v>
      </c>
      <c r="AF1007" s="1">
        <v>0</v>
      </c>
      <c r="AG1007" s="1">
        <v>0</v>
      </c>
      <c r="AI1007" s="1">
        <v>30</v>
      </c>
      <c r="AJ1007" s="1">
        <v>15</v>
      </c>
      <c r="AN1007" s="1" t="s">
        <v>3619</v>
      </c>
      <c r="AQ1007" s="1" t="s">
        <v>3535</v>
      </c>
    </row>
    <row r="1008" spans="1:43">
      <c r="A1008" s="1">
        <v>9810002</v>
      </c>
      <c r="B1008" s="1" t="s">
        <v>3620</v>
      </c>
      <c r="C1008" s="1" t="s">
        <v>3545</v>
      </c>
      <c r="D1008" s="1" t="s">
        <v>3197</v>
      </c>
      <c r="E1008" s="1" t="s">
        <v>79</v>
      </c>
      <c r="F1008" s="1">
        <v>1</v>
      </c>
      <c r="G1008" s="1">
        <v>105</v>
      </c>
      <c r="H1008" s="1" t="s">
        <v>82</v>
      </c>
      <c r="I1008" s="1" t="s">
        <v>3198</v>
      </c>
      <c r="L1008" s="220" t="s">
        <v>3621</v>
      </c>
      <c r="P1008" s="111">
        <v>1</v>
      </c>
      <c r="Q1008" s="111">
        <v>0</v>
      </c>
      <c r="R1008" s="111" t="s">
        <v>85</v>
      </c>
      <c r="S1008" s="1">
        <v>9210001</v>
      </c>
      <c r="T1008" s="260" t="s">
        <v>3531</v>
      </c>
      <c r="U1008" s="261" t="s">
        <v>3532</v>
      </c>
      <c r="V1008" s="111" t="s">
        <v>582</v>
      </c>
      <c r="W1008" s="651" t="s">
        <v>3620</v>
      </c>
      <c r="X1008" s="652" t="s">
        <v>3620</v>
      </c>
      <c r="AE1008" s="1">
        <v>0</v>
      </c>
      <c r="AF1008" s="1">
        <v>0</v>
      </c>
      <c r="AG1008" s="1">
        <v>0</v>
      </c>
      <c r="AI1008" s="1">
        <v>30</v>
      </c>
      <c r="AJ1008" s="1">
        <v>15</v>
      </c>
      <c r="AN1008" s="1" t="s">
        <v>3622</v>
      </c>
      <c r="AQ1008" s="1" t="s">
        <v>3535</v>
      </c>
    </row>
    <row r="1009" spans="1:43">
      <c r="A1009" s="1">
        <v>9910002</v>
      </c>
      <c r="B1009" s="1" t="s">
        <v>3623</v>
      </c>
      <c r="C1009" s="1" t="s">
        <v>3545</v>
      </c>
      <c r="D1009" s="1" t="s">
        <v>3197</v>
      </c>
      <c r="E1009" s="1" t="s">
        <v>79</v>
      </c>
      <c r="F1009" s="1">
        <v>1</v>
      </c>
      <c r="G1009" s="1">
        <v>103</v>
      </c>
      <c r="H1009" s="1" t="s">
        <v>82</v>
      </c>
      <c r="I1009" s="1" t="s">
        <v>3198</v>
      </c>
      <c r="L1009" s="220" t="s">
        <v>3624</v>
      </c>
      <c r="P1009" s="111">
        <v>1</v>
      </c>
      <c r="Q1009" s="111">
        <v>0</v>
      </c>
      <c r="R1009" s="111" t="s">
        <v>85</v>
      </c>
      <c r="S1009" s="1">
        <v>9210001</v>
      </c>
      <c r="T1009" s="260" t="s">
        <v>3531</v>
      </c>
      <c r="U1009" s="261" t="s">
        <v>3532</v>
      </c>
      <c r="V1009" s="111" t="s">
        <v>582</v>
      </c>
      <c r="W1009" s="651" t="s">
        <v>3623</v>
      </c>
      <c r="X1009" s="652" t="s">
        <v>3623</v>
      </c>
      <c r="AE1009" s="1">
        <v>0</v>
      </c>
      <c r="AF1009" s="1">
        <v>0</v>
      </c>
      <c r="AG1009" s="1">
        <v>0</v>
      </c>
      <c r="AI1009" s="1">
        <v>30</v>
      </c>
      <c r="AJ1009" s="1">
        <v>15</v>
      </c>
      <c r="AN1009" s="1" t="s">
        <v>3625</v>
      </c>
      <c r="AQ1009" s="1" t="s">
        <v>3535</v>
      </c>
    </row>
    <row r="1010" spans="1:43">
      <c r="A1010" s="1">
        <v>10010002</v>
      </c>
      <c r="B1010" s="1" t="s">
        <v>3609</v>
      </c>
      <c r="C1010" s="1" t="s">
        <v>3545</v>
      </c>
      <c r="D1010" s="1" t="s">
        <v>3197</v>
      </c>
      <c r="E1010" s="1" t="s">
        <v>79</v>
      </c>
      <c r="F1010" s="1">
        <v>1</v>
      </c>
      <c r="G1010" s="1">
        <v>107</v>
      </c>
      <c r="H1010" s="1" t="s">
        <v>82</v>
      </c>
      <c r="I1010" s="1" t="s">
        <v>3198</v>
      </c>
      <c r="L1010" s="220" t="s">
        <v>3626</v>
      </c>
      <c r="P1010" s="111">
        <v>1</v>
      </c>
      <c r="Q1010" s="111">
        <v>0</v>
      </c>
      <c r="R1010" s="111" t="s">
        <v>85</v>
      </c>
      <c r="S1010" s="1">
        <v>9210001</v>
      </c>
      <c r="T1010" s="260" t="s">
        <v>3531</v>
      </c>
      <c r="U1010" s="261" t="s">
        <v>3532</v>
      </c>
      <c r="V1010" s="111" t="s">
        <v>582</v>
      </c>
      <c r="W1010" s="651" t="s">
        <v>3609</v>
      </c>
      <c r="X1010" s="652" t="s">
        <v>3609</v>
      </c>
      <c r="AE1010" s="1">
        <v>0</v>
      </c>
      <c r="AF1010" s="1">
        <v>0</v>
      </c>
      <c r="AG1010" s="1">
        <v>0</v>
      </c>
      <c r="AI1010" s="1">
        <v>30</v>
      </c>
      <c r="AJ1010" s="1">
        <v>15</v>
      </c>
      <c r="AN1010" s="1" t="s">
        <v>3627</v>
      </c>
      <c r="AQ1010" s="1" t="s">
        <v>3535</v>
      </c>
    </row>
    <row r="1011" spans="1:43">
      <c r="A1011" s="1">
        <v>10110002</v>
      </c>
      <c r="B1011" s="63" t="s">
        <v>3628</v>
      </c>
      <c r="C1011" s="1" t="s">
        <v>3545</v>
      </c>
      <c r="D1011" s="1" t="s">
        <v>3197</v>
      </c>
      <c r="E1011" s="1" t="s">
        <v>79</v>
      </c>
      <c r="F1011" s="1">
        <v>1</v>
      </c>
      <c r="G1011" s="1">
        <v>104</v>
      </c>
      <c r="H1011" s="1" t="s">
        <v>82</v>
      </c>
      <c r="I1011" s="1" t="s">
        <v>3198</v>
      </c>
      <c r="L1011" s="220" t="s">
        <v>3629</v>
      </c>
      <c r="P1011" s="111">
        <v>1</v>
      </c>
      <c r="Q1011" s="111">
        <v>0</v>
      </c>
      <c r="R1011" s="111" t="s">
        <v>85</v>
      </c>
      <c r="S1011" s="1">
        <v>9210001</v>
      </c>
      <c r="T1011" s="260" t="s">
        <v>3531</v>
      </c>
      <c r="U1011" s="261" t="s">
        <v>3532</v>
      </c>
      <c r="V1011" s="111" t="s">
        <v>582</v>
      </c>
      <c r="W1011" s="651" t="s">
        <v>3609</v>
      </c>
      <c r="X1011" s="652" t="s">
        <v>3609</v>
      </c>
      <c r="AE1011" s="1">
        <v>0</v>
      </c>
      <c r="AF1011" s="1">
        <v>0</v>
      </c>
      <c r="AG1011" s="1">
        <v>0</v>
      </c>
      <c r="AI1011" s="1">
        <v>30</v>
      </c>
      <c r="AJ1011" s="1">
        <v>15</v>
      </c>
      <c r="AN1011" s="1" t="s">
        <v>3630</v>
      </c>
      <c r="AQ1011" s="1" t="s">
        <v>3535</v>
      </c>
    </row>
    <row r="1012" spans="1:43">
      <c r="A1012" s="1">
        <v>10210002</v>
      </c>
      <c r="B1012" s="63" t="s">
        <v>3631</v>
      </c>
      <c r="C1012" s="1" t="s">
        <v>3632</v>
      </c>
      <c r="D1012" s="1" t="s">
        <v>3197</v>
      </c>
      <c r="E1012" s="1" t="s">
        <v>79</v>
      </c>
      <c r="F1012" s="1">
        <v>1</v>
      </c>
      <c r="G1012" s="1">
        <v>108</v>
      </c>
      <c r="H1012" s="1" t="s">
        <v>82</v>
      </c>
      <c r="I1012" s="1" t="s">
        <v>3198</v>
      </c>
      <c r="L1012" s="220" t="s">
        <v>3633</v>
      </c>
      <c r="P1012" s="111">
        <v>1</v>
      </c>
      <c r="Q1012" s="111">
        <v>0</v>
      </c>
      <c r="R1012" s="111" t="s">
        <v>85</v>
      </c>
      <c r="S1012" s="1">
        <v>9210001</v>
      </c>
      <c r="T1012" s="260" t="s">
        <v>3531</v>
      </c>
      <c r="U1012" s="261" t="s">
        <v>3532</v>
      </c>
      <c r="V1012" s="111" t="s">
        <v>582</v>
      </c>
      <c r="W1012" s="651" t="s">
        <v>3609</v>
      </c>
      <c r="X1012" s="652" t="s">
        <v>3609</v>
      </c>
      <c r="AE1012" s="1">
        <v>0</v>
      </c>
      <c r="AF1012" s="1">
        <v>0</v>
      </c>
      <c r="AG1012" s="1">
        <v>0</v>
      </c>
      <c r="AI1012" s="1">
        <v>30</v>
      </c>
      <c r="AJ1012" s="1">
        <v>15</v>
      </c>
      <c r="AN1012" s="1" t="s">
        <v>3634</v>
      </c>
      <c r="AQ1012" s="1" t="s">
        <v>3535</v>
      </c>
    </row>
    <row r="1013" spans="1:43">
      <c r="A1013" s="1">
        <v>10310003</v>
      </c>
      <c r="B1013" s="63" t="s">
        <v>3635</v>
      </c>
      <c r="C1013" s="1" t="s">
        <v>3545</v>
      </c>
      <c r="D1013" s="1" t="s">
        <v>3197</v>
      </c>
      <c r="E1013" s="1" t="s">
        <v>79</v>
      </c>
      <c r="F1013" s="1">
        <v>1</v>
      </c>
      <c r="G1013" s="1">
        <v>109</v>
      </c>
      <c r="H1013" s="1" t="s">
        <v>82</v>
      </c>
      <c r="I1013" s="1" t="s">
        <v>3198</v>
      </c>
      <c r="L1013" s="220" t="s">
        <v>3636</v>
      </c>
      <c r="P1013" s="111">
        <v>1</v>
      </c>
      <c r="Q1013" s="111">
        <v>0</v>
      </c>
      <c r="R1013" s="111" t="s">
        <v>85</v>
      </c>
      <c r="S1013" s="1">
        <v>9210001</v>
      </c>
      <c r="T1013" s="260" t="s">
        <v>3531</v>
      </c>
      <c r="U1013" s="261" t="s">
        <v>3532</v>
      </c>
      <c r="V1013" s="111" t="s">
        <v>582</v>
      </c>
      <c r="W1013" s="651" t="s">
        <v>3609</v>
      </c>
      <c r="X1013" s="652" t="s">
        <v>3609</v>
      </c>
      <c r="AE1013" s="1">
        <v>0</v>
      </c>
      <c r="AF1013" s="1">
        <v>0</v>
      </c>
      <c r="AG1013" s="1">
        <v>0</v>
      </c>
      <c r="AI1013" s="1">
        <v>30</v>
      </c>
      <c r="AJ1013" s="1">
        <v>15</v>
      </c>
      <c r="AN1013" s="1" t="s">
        <v>3637</v>
      </c>
      <c r="AQ1013" s="1" t="s">
        <v>3535</v>
      </c>
    </row>
  </sheetData>
  <sortState xmlns:xlrd2="http://schemas.microsoft.com/office/spreadsheetml/2017/richdata2" ref="A3:AK756">
    <sortCondition ref="A1"/>
  </sortState>
  <phoneticPr fontId="45" type="noConversion"/>
  <conditionalFormatting sqref="A214">
    <cfRule type="duplicateValues" dxfId="503" priority="77"/>
    <cfRule type="duplicateValues" dxfId="502" priority="78"/>
    <cfRule type="duplicateValues" dxfId="501" priority="79"/>
    <cfRule type="duplicateValues" dxfId="500" priority="81"/>
    <cfRule type="duplicateValues" dxfId="499" priority="83"/>
    <cfRule type="duplicateValues" dxfId="498" priority="82"/>
    <cfRule type="duplicateValues" dxfId="497" priority="80"/>
  </conditionalFormatting>
  <conditionalFormatting sqref="A326">
    <cfRule type="duplicateValues" dxfId="496" priority="52"/>
    <cfRule type="duplicateValues" dxfId="495" priority="53"/>
    <cfRule type="duplicateValues" dxfId="494" priority="54"/>
    <cfRule type="duplicateValues" dxfId="493" priority="58"/>
    <cfRule type="duplicateValues" dxfId="492" priority="59"/>
    <cfRule type="duplicateValues" dxfId="491" priority="60"/>
  </conditionalFormatting>
  <conditionalFormatting sqref="A337">
    <cfRule type="duplicateValues" dxfId="490" priority="48"/>
    <cfRule type="duplicateValues" dxfId="489" priority="50"/>
    <cfRule type="duplicateValues" dxfId="488" priority="49"/>
    <cfRule type="duplicateValues" dxfId="487" priority="42"/>
    <cfRule type="duplicateValues" dxfId="486" priority="44"/>
    <cfRule type="duplicateValues" dxfId="485" priority="43"/>
  </conditionalFormatting>
  <conditionalFormatting sqref="B740">
    <cfRule type="duplicateValues" dxfId="484" priority="120"/>
  </conditionalFormatting>
  <conditionalFormatting sqref="C740">
    <cfRule type="duplicateValues" dxfId="483" priority="2"/>
  </conditionalFormatting>
  <conditionalFormatting sqref="B749">
    <cfRule type="duplicateValues" dxfId="482" priority="112"/>
  </conditionalFormatting>
  <conditionalFormatting sqref="C749">
    <cfRule type="duplicateValues" dxfId="481" priority="1"/>
  </conditionalFormatting>
  <conditionalFormatting sqref="A761">
    <cfRule type="duplicateValues" dxfId="480" priority="311"/>
  </conditionalFormatting>
  <conditionalFormatting sqref="A766">
    <cfRule type="duplicateValues" dxfId="479" priority="297"/>
    <cfRule type="duplicateValues" dxfId="478" priority="298"/>
  </conditionalFormatting>
  <conditionalFormatting sqref="A784">
    <cfRule type="duplicateValues" dxfId="477" priority="292"/>
    <cfRule type="duplicateValues" dxfId="476" priority="291"/>
  </conditionalFormatting>
  <conditionalFormatting sqref="A790">
    <cfRule type="duplicateValues" dxfId="475" priority="287"/>
    <cfRule type="duplicateValues" dxfId="474" priority="289"/>
    <cfRule type="duplicateValues" dxfId="473" priority="288"/>
  </conditionalFormatting>
  <conditionalFormatting sqref="A798">
    <cfRule type="duplicateValues" dxfId="472" priority="281"/>
    <cfRule type="duplicateValues" dxfId="471" priority="282"/>
    <cfRule type="duplicateValues" dxfId="470" priority="283"/>
  </conditionalFormatting>
  <conditionalFormatting sqref="A807">
    <cfRule type="duplicateValues" dxfId="469" priority="277"/>
    <cfRule type="duplicateValues" dxfId="468" priority="275"/>
    <cfRule type="duplicateValues" dxfId="467" priority="276"/>
  </conditionalFormatting>
  <conditionalFormatting sqref="A815">
    <cfRule type="duplicateValues" dxfId="466" priority="227"/>
    <cfRule type="duplicateValues" dxfId="465" priority="228"/>
    <cfRule type="duplicateValues" dxfId="464" priority="229"/>
  </conditionalFormatting>
  <conditionalFormatting sqref="A822">
    <cfRule type="duplicateValues" dxfId="463" priority="269"/>
    <cfRule type="duplicateValues" dxfId="462" priority="270"/>
    <cfRule type="duplicateValues" dxfId="461" priority="271"/>
  </conditionalFormatting>
  <conditionalFormatting sqref="A830">
    <cfRule type="duplicateValues" dxfId="460" priority="264"/>
    <cfRule type="duplicateValues" dxfId="459" priority="265"/>
    <cfRule type="duplicateValues" dxfId="458" priority="263"/>
  </conditionalFormatting>
  <conditionalFormatting sqref="A837">
    <cfRule type="duplicateValues" dxfId="457" priority="258"/>
    <cfRule type="duplicateValues" dxfId="456" priority="259"/>
    <cfRule type="duplicateValues" dxfId="455" priority="257"/>
  </conditionalFormatting>
  <conditionalFormatting sqref="A843">
    <cfRule type="duplicateValues" dxfId="454" priority="312"/>
  </conditionalFormatting>
  <conditionalFormatting sqref="A844">
    <cfRule type="duplicateValues" dxfId="453" priority="253"/>
    <cfRule type="duplicateValues" dxfId="452" priority="251"/>
    <cfRule type="duplicateValues" dxfId="451" priority="252"/>
  </conditionalFormatting>
  <conditionalFormatting sqref="A849">
    <cfRule type="duplicateValues" dxfId="450" priority="245"/>
    <cfRule type="duplicateValues" dxfId="449" priority="246"/>
    <cfRule type="duplicateValues" dxfId="448" priority="247"/>
  </conditionalFormatting>
  <conditionalFormatting sqref="A856">
    <cfRule type="duplicateValues" dxfId="447" priority="240"/>
    <cfRule type="duplicateValues" dxfId="446" priority="241"/>
    <cfRule type="duplicateValues" dxfId="445" priority="239"/>
  </conditionalFormatting>
  <conditionalFormatting sqref="A861">
    <cfRule type="duplicateValues" dxfId="444" priority="233"/>
    <cfRule type="duplicateValues" dxfId="443" priority="234"/>
    <cfRule type="duplicateValues" dxfId="442" priority="235"/>
  </conditionalFormatting>
  <conditionalFormatting sqref="A865">
    <cfRule type="duplicateValues" dxfId="441" priority="17"/>
  </conditionalFormatting>
  <conditionalFormatting sqref="A866">
    <cfRule type="duplicateValues" dxfId="440" priority="16"/>
    <cfRule type="duplicateValues" dxfId="439" priority="15"/>
    <cfRule type="duplicateValues" dxfId="438" priority="14"/>
  </conditionalFormatting>
  <conditionalFormatting sqref="A871">
    <cfRule type="duplicateValues" dxfId="437" priority="12"/>
    <cfRule type="duplicateValues" dxfId="436" priority="11"/>
    <cfRule type="duplicateValues" dxfId="435" priority="13"/>
  </conditionalFormatting>
  <conditionalFormatting sqref="A884">
    <cfRule type="duplicateValues" dxfId="434" priority="302"/>
  </conditionalFormatting>
  <conditionalFormatting sqref="A885">
    <cfRule type="duplicateValues" dxfId="433" priority="218"/>
    <cfRule type="duplicateValues" dxfId="432" priority="219"/>
    <cfRule type="duplicateValues" dxfId="431" priority="220"/>
    <cfRule type="duplicateValues" dxfId="430" priority="221"/>
  </conditionalFormatting>
  <conditionalFormatting sqref="A897">
    <cfRule type="duplicateValues" dxfId="429" priority="300"/>
  </conditionalFormatting>
  <conditionalFormatting sqref="A130:A142">
    <cfRule type="duplicateValues" dxfId="428" priority="65"/>
    <cfRule type="duplicateValues" dxfId="427" priority="68"/>
    <cfRule type="duplicateValues" dxfId="426" priority="67"/>
    <cfRule type="duplicateValues" dxfId="425" priority="66"/>
    <cfRule type="duplicateValues" dxfId="424" priority="64"/>
    <cfRule type="duplicateValues" dxfId="423" priority="63"/>
    <cfRule type="duplicateValues" dxfId="422" priority="62"/>
    <cfRule type="duplicateValues" dxfId="421" priority="61"/>
  </conditionalFormatting>
  <conditionalFormatting sqref="A156:A166">
    <cfRule type="duplicateValues" dxfId="420" priority="74"/>
    <cfRule type="duplicateValues" dxfId="419" priority="75"/>
    <cfRule type="duplicateValues" dxfId="418" priority="76"/>
    <cfRule type="duplicateValues" dxfId="417" priority="72"/>
    <cfRule type="duplicateValues" dxfId="416" priority="73"/>
    <cfRule type="duplicateValues" dxfId="415" priority="71"/>
    <cfRule type="duplicateValues" dxfId="414" priority="70"/>
  </conditionalFormatting>
  <conditionalFormatting sqref="A204:A213">
    <cfRule type="duplicateValues" dxfId="413" priority="88"/>
    <cfRule type="duplicateValues" dxfId="412" priority="89"/>
    <cfRule type="duplicateValues" dxfId="411" priority="90"/>
    <cfRule type="duplicateValues" dxfId="410" priority="84"/>
    <cfRule type="duplicateValues" dxfId="409" priority="85"/>
    <cfRule type="duplicateValues" dxfId="408" priority="86"/>
    <cfRule type="duplicateValues" dxfId="407" priority="87"/>
  </conditionalFormatting>
  <conditionalFormatting sqref="A228:A237">
    <cfRule type="duplicateValues" dxfId="406" priority="190"/>
    <cfRule type="duplicateValues" dxfId="405" priority="189"/>
    <cfRule type="duplicateValues" dxfId="404" priority="188"/>
    <cfRule type="duplicateValues" dxfId="403" priority="187"/>
    <cfRule type="duplicateValues" dxfId="402" priority="191"/>
    <cfRule type="duplicateValues" dxfId="401" priority="192"/>
  </conditionalFormatting>
  <conditionalFormatting sqref="A253:A263">
    <cfRule type="duplicateValues" dxfId="400" priority="32"/>
    <cfRule type="duplicateValues" dxfId="399" priority="31"/>
    <cfRule type="duplicateValues" dxfId="398" priority="30"/>
    <cfRule type="duplicateValues" dxfId="397" priority="29"/>
    <cfRule type="duplicateValues" dxfId="396" priority="28"/>
    <cfRule type="duplicateValues" dxfId="395" priority="27"/>
    <cfRule type="duplicateValues" dxfId="394" priority="26"/>
    <cfRule type="duplicateValues" dxfId="393" priority="25"/>
  </conditionalFormatting>
  <conditionalFormatting sqref="A277:A288">
    <cfRule type="duplicateValues" dxfId="392" priority="175"/>
    <cfRule type="duplicateValues" dxfId="391" priority="177"/>
    <cfRule type="duplicateValues" dxfId="390" priority="180"/>
    <cfRule type="duplicateValues" dxfId="389" priority="179"/>
    <cfRule type="duplicateValues" dxfId="388" priority="178"/>
    <cfRule type="duplicateValues" dxfId="387" priority="176"/>
  </conditionalFormatting>
  <conditionalFormatting sqref="A304:A313">
    <cfRule type="duplicateValues" dxfId="386" priority="393"/>
    <cfRule type="duplicateValues" dxfId="385" priority="403"/>
  </conditionalFormatting>
  <conditionalFormatting sqref="A316:A325">
    <cfRule type="duplicateValues" dxfId="384" priority="56"/>
    <cfRule type="duplicateValues" dxfId="383" priority="55"/>
  </conditionalFormatting>
  <conditionalFormatting sqref="A316:A326">
    <cfRule type="duplicateValues" dxfId="382" priority="51"/>
    <cfRule type="duplicateValues" dxfId="381" priority="57"/>
  </conditionalFormatting>
  <conditionalFormatting sqref="A327:A336">
    <cfRule type="duplicateValues" dxfId="380" priority="46"/>
    <cfRule type="duplicateValues" dxfId="379" priority="45"/>
  </conditionalFormatting>
  <conditionalFormatting sqref="A327:A337">
    <cfRule type="duplicateValues" dxfId="378" priority="47"/>
    <cfRule type="duplicateValues" dxfId="377" priority="41"/>
  </conditionalFormatting>
  <conditionalFormatting sqref="A352:A353">
    <cfRule type="duplicateValues" dxfId="376" priority="18"/>
    <cfRule type="duplicateValues" dxfId="375" priority="19"/>
    <cfRule type="duplicateValues" dxfId="374" priority="20"/>
    <cfRule type="duplicateValues" dxfId="373" priority="22"/>
    <cfRule type="duplicateValues" dxfId="372" priority="23"/>
    <cfRule type="duplicateValues" dxfId="371" priority="24"/>
    <cfRule type="duplicateValues" dxfId="370" priority="21"/>
  </conditionalFormatting>
  <conditionalFormatting sqref="A412:A424">
    <cfRule type="duplicateValues" dxfId="369" priority="751"/>
  </conditionalFormatting>
  <conditionalFormatting sqref="A585:A592">
    <cfRule type="duplicateValues" dxfId="368" priority="132"/>
    <cfRule type="duplicateValues" dxfId="367" priority="131"/>
    <cfRule type="duplicateValues" dxfId="366" priority="130"/>
    <cfRule type="duplicateValues" dxfId="365" priority="129"/>
    <cfRule type="duplicateValues" dxfId="364" priority="128"/>
    <cfRule type="duplicateValues" dxfId="363" priority="134"/>
    <cfRule type="duplicateValues" dxfId="362" priority="133"/>
  </conditionalFormatting>
  <conditionalFormatting sqref="A595:A601">
    <cfRule type="duplicateValues" dxfId="361" priority="99"/>
    <cfRule type="duplicateValues" dxfId="360" priority="98"/>
    <cfRule type="duplicateValues" dxfId="359" priority="101"/>
    <cfRule type="duplicateValues" dxfId="358" priority="102"/>
    <cfRule type="duplicateValues" dxfId="357" priority="103"/>
    <cfRule type="duplicateValues" dxfId="356" priority="104"/>
    <cfRule type="duplicateValues" dxfId="355" priority="100"/>
  </conditionalFormatting>
  <conditionalFormatting sqref="A740:A747">
    <cfRule type="duplicateValues" dxfId="354" priority="122"/>
    <cfRule type="duplicateValues" dxfId="353" priority="121"/>
    <cfRule type="duplicateValues" dxfId="352" priority="127"/>
    <cfRule type="duplicateValues" dxfId="351" priority="123"/>
    <cfRule type="duplicateValues" dxfId="350" priority="126"/>
    <cfRule type="duplicateValues" dxfId="349" priority="125"/>
    <cfRule type="duplicateValues" dxfId="348" priority="124"/>
  </conditionalFormatting>
  <conditionalFormatting sqref="A749:A756">
    <cfRule type="duplicateValues" dxfId="347" priority="115"/>
    <cfRule type="duplicateValues" dxfId="346" priority="114"/>
    <cfRule type="duplicateValues" dxfId="345" priority="113"/>
    <cfRule type="duplicateValues" dxfId="344" priority="117"/>
    <cfRule type="duplicateValues" dxfId="343" priority="119"/>
    <cfRule type="duplicateValues" dxfId="342" priority="118"/>
    <cfRule type="duplicateValues" dxfId="341" priority="116"/>
  </conditionalFormatting>
  <conditionalFormatting sqref="A768:A769">
    <cfRule type="duplicateValues" dxfId="340" priority="222"/>
    <cfRule type="duplicateValues" dxfId="339" priority="225"/>
    <cfRule type="duplicateValues" dxfId="338" priority="224"/>
    <cfRule type="duplicateValues" dxfId="337" priority="223"/>
  </conditionalFormatting>
  <conditionalFormatting sqref="A850:A854">
    <cfRule type="duplicateValues" dxfId="336" priority="135"/>
  </conditionalFormatting>
  <conditionalFormatting sqref="A872:A873">
    <cfRule type="duplicateValues" dxfId="335" priority="10"/>
  </conditionalFormatting>
  <conditionalFormatting sqref="AN396:AN400">
    <cfRule type="duplicateValues" dxfId="334" priority="193"/>
  </conditionalFormatting>
  <conditionalFormatting sqref="AN412:AN413">
    <cfRule type="duplicateValues" dxfId="333" priority="757"/>
  </conditionalFormatting>
  <conditionalFormatting sqref="A143:A252 A70:A129 A62:A65 A1:A52 A264:A315 A338:A1048576">
    <cfRule type="duplicateValues" dxfId="332" priority="69"/>
  </conditionalFormatting>
  <conditionalFormatting sqref="A748 A593 A167:A203 A215:A252 A757:A849 A143:A155 A338:A350 A70:A129 A62:A65 A1:A52 A264:A315 A603:A739 A874:A1048576 A855:A871 A367:A584">
    <cfRule type="duplicateValues" dxfId="331" priority="431"/>
  </conditionalFormatting>
  <conditionalFormatting sqref="A748 A593 A167:A203 A289:A303 A238:A252 A367:A406 A215:A227 A757:A849 A430:A584 A143:A155 A338:A350 A70:A129 A264:A276 A314:A315 A62:A65 A1:A52 A603:A739 A874:A1048576 A855:A871">
    <cfRule type="duplicateValues" dxfId="330" priority="435"/>
  </conditionalFormatting>
  <conditionalFormatting sqref="A876 A757:A760 A593 A167:A203 A748 A855 A845:A848 A762:A765 A878 A880 A808:A814 A770:A783 A857:A860 A831:A836 A823:A829 A816:A821 A799:A806 A791:A797 A785:A789 A767 A838:A842 A886:A896 A882 A238:A252 A289:A303 A367:A406 A215:A227 A430:A584 A143:A155 A338:A350 A70:A129 A264:A276 A909:A1048576 A314:A315 A62:A65 A1:A52 A603:A739 A874 A867:A870 A862:A864">
    <cfRule type="duplicateValues" dxfId="329" priority="315"/>
  </conditionalFormatting>
  <conditionalFormatting sqref="A886:A897 A757:A765 A593 A167:A203 A748 A855 A845:A848 A767 A785:A789 A791:A797 A799:A806 A808:A814 A838:A843 A770:A783 A857:A860 A831:A836 A823:A829 A816:A821 A238:A252 A289:A303 A367:A406 A215:A227 A430:A584 A143:A155 A338:A350 A70:A129 A264:A276 A909:A1048576 A314:A315 A62:A65 A1:A52 A603:A739 A874:A884 A867:A870 A862:A865">
    <cfRule type="duplicateValues" dxfId="328" priority="299"/>
  </conditionalFormatting>
  <conditionalFormatting sqref="A886:A897 A757:A767 A593 A167:A203 A748 A770:A849 A238:A252 A289:A303 A367:A406 A215:A227 A430:A584 A143:A155 A338:A350 A70:A129 A264:A276 A909:A1048576 A314:A315 A62:A65 A1:A52 A603:A739 A874:A884 A855:A871">
    <cfRule type="duplicateValues" dxfId="327" priority="512"/>
  </conditionalFormatting>
  <conditionalFormatting sqref="A886:A897 A757:A767 A593 A167:A203 A748 A855 A845:A848 A791:A797 A799:A806 A816:A821 A823:A829 A808:A814 A838:A843 A770:A789 A857:A860 A831:A836 A238:A252 A289:A303 A367:A406 A215:A227 A430:A584 A143:A155 A338:A350 A70:A129 A264:A276 A909:A1048576 A314:A315 A62:A65 A1:A52 A603:A739 A874:A884 A867:A870 A862:A865">
    <cfRule type="duplicateValues" dxfId="326" priority="290"/>
  </conditionalFormatting>
  <conditionalFormatting sqref="A909:A1048576 A748 A593 A167:A203 A289:A303 A238:A252 A367:A406 A215:A227 A757:A849 A430:A584 A143:A155 A338:A350 A70:A129 A264:A276 A314:A315 A62:A65 A1:A52 A603:A739 A874:A897 A855:A871">
    <cfRule type="duplicateValues" dxfId="325" priority="523"/>
  </conditionalFormatting>
  <conditionalFormatting sqref="A66:A69 A53:A61">
    <cfRule type="duplicateValues" dxfId="324" priority="35"/>
    <cfRule type="duplicateValues" dxfId="323" priority="34"/>
    <cfRule type="duplicateValues" dxfId="322" priority="36"/>
    <cfRule type="duplicateValues" dxfId="321" priority="37"/>
    <cfRule type="duplicateValues" dxfId="320" priority="38"/>
    <cfRule type="duplicateValues" dxfId="319" priority="39"/>
    <cfRule type="duplicateValues" dxfId="318" priority="40"/>
    <cfRule type="duplicateValues" dxfId="317" priority="33"/>
  </conditionalFormatting>
  <conditionalFormatting sqref="A351 A354:A366">
    <cfRule type="duplicateValues" dxfId="316" priority="146"/>
    <cfRule type="duplicateValues" dxfId="315" priority="145"/>
    <cfRule type="duplicateValues" dxfId="314" priority="144"/>
    <cfRule type="duplicateValues" dxfId="313" priority="142"/>
    <cfRule type="duplicateValues" dxfId="312" priority="148"/>
    <cfRule type="duplicateValues" dxfId="311" priority="147"/>
    <cfRule type="duplicateValues" dxfId="310" priority="143"/>
  </conditionalFormatting>
  <conditionalFormatting sqref="A420:A429 A407:A411">
    <cfRule type="duplicateValues" dxfId="309" priority="199"/>
    <cfRule type="duplicateValues" dxfId="308" priority="198"/>
    <cfRule type="duplicateValues" dxfId="307" priority="197"/>
    <cfRule type="duplicateValues" dxfId="306" priority="196"/>
    <cfRule type="duplicateValues" dxfId="305" priority="195"/>
    <cfRule type="duplicateValues" dxfId="304" priority="194"/>
  </conditionalFormatting>
  <conditionalFormatting sqref="A594 A602 A600 A598 A596">
    <cfRule type="duplicateValues" dxfId="303" priority="95"/>
    <cfRule type="duplicateValues" dxfId="302" priority="97"/>
    <cfRule type="duplicateValues" dxfId="301" priority="96"/>
    <cfRule type="duplicateValues" dxfId="300" priority="91"/>
    <cfRule type="duplicateValues" dxfId="299" priority="92"/>
    <cfRule type="duplicateValues" dxfId="298" priority="93"/>
    <cfRule type="duplicateValues" dxfId="297" priority="94"/>
  </conditionalFormatting>
  <conditionalFormatting sqref="A875 A883 A881 A879 A877">
    <cfRule type="duplicateValues" dxfId="296" priority="310"/>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013"/>
  <sheetViews>
    <sheetView tabSelected="1" zoomScale="85" zoomScaleNormal="85" workbookViewId="0">
      <pane xSplit="3" ySplit="3" topLeftCell="W659" activePane="bottomRight" state="frozenSplit"/>
      <selection pane="topRight"/>
      <selection pane="bottomLeft"/>
      <selection pane="bottomRight" activeCell="W667" sqref="W667:W675"/>
    </sheetView>
  </sheetViews>
  <sheetFormatPr defaultColWidth="9" defaultRowHeight="14.4"/>
  <cols>
    <col min="1" max="1" width="14.109375" style="1" customWidth="1"/>
    <col min="2" max="2" width="16.109375" style="1" customWidth="1"/>
    <col min="3" max="3" width="40.109375" style="1" customWidth="1"/>
    <col min="4" max="4" width="22.33203125" style="1" customWidth="1"/>
    <col min="5" max="5" width="17.88671875" style="1" customWidth="1"/>
    <col min="6" max="6" width="15" style="1" customWidth="1"/>
    <col min="7" max="7" width="15.44140625" style="1" customWidth="1"/>
    <col min="8" max="10" width="12.88671875" style="1" customWidth="1"/>
    <col min="11" max="11" width="10.44140625" style="1" customWidth="1"/>
    <col min="12" max="12" width="50.109375" style="220" customWidth="1"/>
    <col min="13" max="14" width="9.5546875" style="98" customWidth="1"/>
    <col min="15" max="15" width="10.77734375" style="1" customWidth="1"/>
    <col min="16" max="16" width="15" style="111" customWidth="1"/>
    <col min="17" max="17" width="42" style="111" customWidth="1"/>
    <col min="18" max="18" width="33.6640625" style="111" customWidth="1"/>
    <col min="19" max="19" width="14.109375" style="1" customWidth="1"/>
    <col min="20" max="20" width="26.44140625" style="111" customWidth="1"/>
    <col min="21" max="21" width="24" style="111" customWidth="1"/>
    <col min="22" max="22" width="27.88671875" style="111" customWidth="1"/>
    <col min="23" max="24" width="73.109375" style="221" customWidth="1"/>
    <col min="25" max="26" width="20.6640625" style="111" customWidth="1"/>
    <col min="27" max="27" width="13.88671875" style="111" customWidth="1"/>
    <col min="28" max="28" width="12.88671875" style="111" customWidth="1"/>
    <col min="29" max="29" width="30.33203125" style="1" customWidth="1"/>
    <col min="30" max="31" width="12.77734375" style="1" customWidth="1"/>
    <col min="32" max="33" width="9.5546875" style="1" customWidth="1"/>
    <col min="34" max="34" width="12.77734375" style="1" customWidth="1"/>
    <col min="35" max="35" width="10.44140625" style="1" customWidth="1"/>
    <col min="36" max="36" width="13.88671875" style="1" customWidth="1"/>
    <col min="37" max="39" width="10.88671875" style="92" customWidth="1"/>
    <col min="40" max="40" width="22.6640625" style="1" customWidth="1"/>
    <col min="41" max="42" width="16.21875" style="1" customWidth="1"/>
    <col min="43" max="43" width="17.77734375" style="1" customWidth="1"/>
    <col min="44" max="44" width="9" style="222"/>
    <col min="45" max="16384" width="9" style="65"/>
  </cols>
  <sheetData>
    <row r="1" spans="1:44" s="212" customFormat="1" ht="43.2">
      <c r="A1" s="2" t="s">
        <v>0</v>
      </c>
      <c r="B1" s="2" t="s">
        <v>1</v>
      </c>
      <c r="C1" s="2" t="s">
        <v>2</v>
      </c>
      <c r="D1" s="2" t="s">
        <v>3</v>
      </c>
      <c r="E1" s="2" t="s">
        <v>4</v>
      </c>
      <c r="F1" s="2" t="s">
        <v>5</v>
      </c>
      <c r="G1" s="2" t="s">
        <v>6</v>
      </c>
      <c r="H1" s="2" t="s">
        <v>7</v>
      </c>
      <c r="I1" s="2" t="s">
        <v>8</v>
      </c>
      <c r="J1" s="2" t="s">
        <v>9</v>
      </c>
      <c r="K1" s="2" t="s">
        <v>10</v>
      </c>
      <c r="L1" s="226" t="s">
        <v>11</v>
      </c>
      <c r="M1" s="2" t="s">
        <v>12</v>
      </c>
      <c r="N1" s="2" t="s">
        <v>13</v>
      </c>
      <c r="O1" s="2" t="s">
        <v>14</v>
      </c>
      <c r="P1" s="2" t="s">
        <v>15</v>
      </c>
      <c r="Q1" s="2" t="s">
        <v>16</v>
      </c>
      <c r="R1" s="2" t="s">
        <v>17</v>
      </c>
      <c r="S1" s="4"/>
      <c r="T1" s="251" t="s">
        <v>18</v>
      </c>
      <c r="U1" s="252" t="s">
        <v>19</v>
      </c>
      <c r="V1" s="22"/>
      <c r="W1" s="251" t="s">
        <v>21</v>
      </c>
      <c r="X1" s="251"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78" t="s">
        <v>41</v>
      </c>
    </row>
    <row r="2" spans="1:44">
      <c r="A2" s="4" t="s">
        <v>42</v>
      </c>
      <c r="B2" s="4" t="s">
        <v>43</v>
      </c>
      <c r="C2" s="223" t="s">
        <v>44</v>
      </c>
      <c r="D2" s="4" t="s">
        <v>45</v>
      </c>
      <c r="E2" s="4" t="s">
        <v>46</v>
      </c>
      <c r="F2" s="4" t="s">
        <v>47</v>
      </c>
      <c r="G2" s="4" t="s">
        <v>48</v>
      </c>
      <c r="H2" s="4" t="s">
        <v>49</v>
      </c>
      <c r="I2" s="4" t="s">
        <v>50</v>
      </c>
      <c r="J2" s="4" t="s">
        <v>51</v>
      </c>
      <c r="K2" s="4" t="s">
        <v>52</v>
      </c>
      <c r="L2" s="227"/>
      <c r="M2" s="228"/>
      <c r="N2" s="229" t="s">
        <v>53</v>
      </c>
      <c r="O2" s="4" t="s">
        <v>54</v>
      </c>
      <c r="P2" s="229" t="s">
        <v>55</v>
      </c>
      <c r="Q2" s="229" t="s">
        <v>56</v>
      </c>
      <c r="R2" s="229" t="s">
        <v>57</v>
      </c>
      <c r="S2" s="4"/>
      <c r="T2" s="253" t="s">
        <v>58</v>
      </c>
      <c r="U2" s="254" t="s">
        <v>59</v>
      </c>
      <c r="V2" s="22"/>
      <c r="W2" s="255" t="s">
        <v>60</v>
      </c>
      <c r="X2" s="255" t="s">
        <v>61</v>
      </c>
      <c r="Y2" s="268" t="s">
        <v>62</v>
      </c>
      <c r="Z2" s="268" t="s">
        <v>63</v>
      </c>
      <c r="AA2" s="268"/>
      <c r="AB2" s="268" t="s">
        <v>64</v>
      </c>
      <c r="AC2" s="193" t="s">
        <v>65</v>
      </c>
      <c r="AD2" s="193" t="s">
        <v>66</v>
      </c>
      <c r="AE2" s="193" t="s">
        <v>67</v>
      </c>
      <c r="AF2" s="193" t="s">
        <v>68</v>
      </c>
      <c r="AG2" s="193" t="s">
        <v>69</v>
      </c>
      <c r="AH2" s="193" t="s">
        <v>70</v>
      </c>
      <c r="AI2" s="193" t="s">
        <v>71</v>
      </c>
      <c r="AJ2" s="193" t="s">
        <v>72</v>
      </c>
      <c r="AK2" s="269" t="s">
        <v>73</v>
      </c>
      <c r="AL2" s="269"/>
      <c r="AM2" s="269"/>
      <c r="AN2" s="193" t="s">
        <v>74</v>
      </c>
      <c r="AO2" s="193" t="s">
        <v>75</v>
      </c>
      <c r="AP2" s="193" t="s">
        <v>76</v>
      </c>
      <c r="AQ2" s="193" t="s">
        <v>77</v>
      </c>
      <c r="AR2" s="222" t="s">
        <v>78</v>
      </c>
    </row>
    <row r="3" spans="1:44" ht="57.6">
      <c r="A3" s="5">
        <v>1010001</v>
      </c>
      <c r="B3" s="5" t="s">
        <v>3638</v>
      </c>
      <c r="C3" s="224" t="s">
        <v>3639</v>
      </c>
      <c r="D3" s="5" t="s">
        <v>81</v>
      </c>
      <c r="E3" s="5" t="s">
        <v>79</v>
      </c>
      <c r="F3" s="5">
        <v>1</v>
      </c>
      <c r="G3" s="5">
        <v>1</v>
      </c>
      <c r="H3" s="5" t="s">
        <v>82</v>
      </c>
      <c r="I3" s="5" t="s">
        <v>3640</v>
      </c>
      <c r="J3" s="5"/>
      <c r="K3" s="5">
        <v>4</v>
      </c>
      <c r="L3" s="230" t="s">
        <v>84</v>
      </c>
      <c r="M3" s="231"/>
      <c r="N3" s="231"/>
      <c r="O3" s="5"/>
      <c r="P3" s="232">
        <v>1</v>
      </c>
      <c r="Q3" s="232">
        <v>0</v>
      </c>
      <c r="R3" s="232" t="s">
        <v>85</v>
      </c>
      <c r="S3" s="5">
        <v>1010001</v>
      </c>
      <c r="T3" s="256" t="s">
        <v>86</v>
      </c>
      <c r="U3" s="257" t="s">
        <v>87</v>
      </c>
      <c r="V3" s="232" t="s">
        <v>88</v>
      </c>
      <c r="W3" s="69" t="s">
        <v>3641</v>
      </c>
      <c r="X3" s="69" t="s">
        <v>3641</v>
      </c>
      <c r="Y3" s="232"/>
      <c r="Z3" s="232"/>
      <c r="AA3" s="232">
        <v>1</v>
      </c>
      <c r="AB3" s="232" t="s">
        <v>90</v>
      </c>
      <c r="AC3" s="5"/>
      <c r="AD3" s="5"/>
      <c r="AE3" s="5">
        <v>2</v>
      </c>
      <c r="AF3" s="5">
        <v>0</v>
      </c>
      <c r="AG3" s="5">
        <v>4</v>
      </c>
      <c r="AH3" s="5"/>
      <c r="AI3" s="5">
        <v>58</v>
      </c>
      <c r="AJ3" s="5">
        <v>39</v>
      </c>
      <c r="AK3" s="270"/>
      <c r="AL3" s="270"/>
      <c r="AM3" s="270"/>
      <c r="AN3" s="271" t="s">
        <v>91</v>
      </c>
      <c r="AO3" s="271"/>
      <c r="AP3" s="271"/>
      <c r="AQ3" s="5" t="s">
        <v>92</v>
      </c>
      <c r="AR3" s="279">
        <v>226</v>
      </c>
    </row>
    <row r="4" spans="1:44" ht="15" customHeight="1">
      <c r="A4" s="5">
        <v>1010002</v>
      </c>
      <c r="B4" s="5" t="s">
        <v>3638</v>
      </c>
      <c r="C4" s="224" t="s">
        <v>3642</v>
      </c>
      <c r="D4" s="5" t="s">
        <v>81</v>
      </c>
      <c r="E4" s="5" t="s">
        <v>79</v>
      </c>
      <c r="F4" s="5">
        <v>1</v>
      </c>
      <c r="G4" s="5">
        <v>1</v>
      </c>
      <c r="H4" s="5" t="s">
        <v>82</v>
      </c>
      <c r="I4" s="5" t="s">
        <v>3640</v>
      </c>
      <c r="J4" s="5"/>
      <c r="K4" s="5">
        <v>5</v>
      </c>
      <c r="L4" s="233" t="s">
        <v>94</v>
      </c>
      <c r="M4" s="231"/>
      <c r="N4" s="231"/>
      <c r="O4" s="5"/>
      <c r="P4" s="232">
        <v>5</v>
      </c>
      <c r="Q4" s="232">
        <v>0</v>
      </c>
      <c r="R4" s="232" t="s">
        <v>85</v>
      </c>
      <c r="S4" s="5">
        <v>1010002</v>
      </c>
      <c r="T4" s="256" t="s">
        <v>86</v>
      </c>
      <c r="U4" s="257" t="s">
        <v>87</v>
      </c>
      <c r="V4" s="232" t="s">
        <v>88</v>
      </c>
      <c r="W4" s="69" t="s">
        <v>3643</v>
      </c>
      <c r="X4" s="69" t="s">
        <v>3643</v>
      </c>
      <c r="Y4" s="232"/>
      <c r="Z4" s="232"/>
      <c r="AA4" s="232">
        <v>1</v>
      </c>
      <c r="AB4" s="232" t="s">
        <v>90</v>
      </c>
      <c r="AC4" s="5"/>
      <c r="AD4" s="5"/>
      <c r="AE4" s="5">
        <v>2</v>
      </c>
      <c r="AF4" s="5">
        <v>0</v>
      </c>
      <c r="AG4" s="5">
        <v>4</v>
      </c>
      <c r="AH4" s="5"/>
      <c r="AI4" s="5">
        <v>45</v>
      </c>
      <c r="AJ4" s="5">
        <v>32</v>
      </c>
      <c r="AK4" s="270"/>
      <c r="AL4" s="270"/>
      <c r="AM4" s="270"/>
      <c r="AN4" s="271" t="s">
        <v>96</v>
      </c>
      <c r="AO4" s="271"/>
      <c r="AP4" s="271"/>
      <c r="AQ4" s="5" t="s">
        <v>97</v>
      </c>
      <c r="AR4" s="279">
        <v>227</v>
      </c>
    </row>
    <row r="5" spans="1:44" ht="76.8">
      <c r="A5" s="6" t="s">
        <v>98</v>
      </c>
      <c r="B5" s="5" t="s">
        <v>3638</v>
      </c>
      <c r="C5" s="224" t="s">
        <v>3644</v>
      </c>
      <c r="D5" s="6" t="s">
        <v>81</v>
      </c>
      <c r="E5" s="6" t="s">
        <v>79</v>
      </c>
      <c r="F5" s="6">
        <v>1</v>
      </c>
      <c r="G5" s="6">
        <v>1</v>
      </c>
      <c r="H5" s="6" t="s">
        <v>82</v>
      </c>
      <c r="I5" s="5" t="s">
        <v>3640</v>
      </c>
      <c r="J5" s="6"/>
      <c r="K5" s="6">
        <v>1</v>
      </c>
      <c r="L5" s="234" t="s">
        <v>102</v>
      </c>
      <c r="M5" s="235"/>
      <c r="N5" s="235"/>
      <c r="O5" s="234"/>
      <c r="P5" s="40"/>
      <c r="Q5" s="40">
        <v>0</v>
      </c>
      <c r="R5" s="40" t="s">
        <v>85</v>
      </c>
      <c r="S5" s="6">
        <v>1010101</v>
      </c>
      <c r="T5" s="258" t="s">
        <v>103</v>
      </c>
      <c r="U5" s="259" t="s">
        <v>104</v>
      </c>
      <c r="V5" s="40" t="s">
        <v>105</v>
      </c>
      <c r="W5" s="69" t="s">
        <v>3645</v>
      </c>
      <c r="X5" s="69" t="s">
        <v>3645</v>
      </c>
      <c r="Y5" s="40"/>
      <c r="Z5" s="40"/>
      <c r="AA5" s="40"/>
      <c r="AB5" s="40" t="s">
        <v>90</v>
      </c>
      <c r="AC5" s="6"/>
      <c r="AD5" s="6"/>
      <c r="AE5" s="6">
        <v>1</v>
      </c>
      <c r="AF5" s="6">
        <v>2</v>
      </c>
      <c r="AG5" s="6">
        <v>6</v>
      </c>
      <c r="AH5" s="6"/>
      <c r="AI5" s="6">
        <v>39</v>
      </c>
      <c r="AJ5" s="6">
        <v>26</v>
      </c>
      <c r="AK5" s="272" t="s">
        <v>107</v>
      </c>
      <c r="AL5" s="272"/>
      <c r="AM5" s="272"/>
      <c r="AN5" s="6" t="s">
        <v>108</v>
      </c>
      <c r="AO5" s="6"/>
      <c r="AP5" s="6"/>
      <c r="AQ5" s="6" t="s">
        <v>109</v>
      </c>
      <c r="AR5" s="280">
        <v>229</v>
      </c>
    </row>
    <row r="6" spans="1:44" ht="76.8">
      <c r="A6" s="6" t="s">
        <v>110</v>
      </c>
      <c r="B6" s="5" t="s">
        <v>3638</v>
      </c>
      <c r="C6" s="224" t="s">
        <v>3644</v>
      </c>
      <c r="D6" s="6" t="s">
        <v>81</v>
      </c>
      <c r="E6" s="6" t="s">
        <v>79</v>
      </c>
      <c r="F6" s="6">
        <v>1</v>
      </c>
      <c r="G6" s="6">
        <v>1</v>
      </c>
      <c r="H6" s="6" t="s">
        <v>82</v>
      </c>
      <c r="I6" s="5" t="s">
        <v>3640</v>
      </c>
      <c r="J6" s="6"/>
      <c r="K6" s="6">
        <v>1</v>
      </c>
      <c r="L6" s="234" t="s">
        <v>111</v>
      </c>
      <c r="M6" s="235"/>
      <c r="N6" s="235"/>
      <c r="O6" s="234"/>
      <c r="P6" s="40"/>
      <c r="Q6" s="40">
        <v>0</v>
      </c>
      <c r="R6" s="40" t="s">
        <v>85</v>
      </c>
      <c r="S6" s="6">
        <v>1010104</v>
      </c>
      <c r="T6" s="258" t="s">
        <v>112</v>
      </c>
      <c r="U6" s="259" t="s">
        <v>104</v>
      </c>
      <c r="V6" s="40" t="s">
        <v>105</v>
      </c>
      <c r="W6" s="69" t="s">
        <v>3645</v>
      </c>
      <c r="X6" s="69" t="s">
        <v>3645</v>
      </c>
      <c r="Y6" s="40"/>
      <c r="Z6" s="40"/>
      <c r="AA6" s="40">
        <v>2</v>
      </c>
      <c r="AB6" s="40" t="s">
        <v>114</v>
      </c>
      <c r="AC6" s="6"/>
      <c r="AD6" s="6"/>
      <c r="AE6" s="6">
        <v>0</v>
      </c>
      <c r="AF6" s="6">
        <v>0</v>
      </c>
      <c r="AG6" s="6">
        <v>0</v>
      </c>
      <c r="AH6" s="6"/>
      <c r="AI6" s="6">
        <v>0</v>
      </c>
      <c r="AJ6" s="6">
        <v>0</v>
      </c>
      <c r="AK6" s="6">
        <v>0</v>
      </c>
      <c r="AL6" s="6"/>
      <c r="AM6" s="6"/>
      <c r="AN6" s="6" t="s">
        <v>115</v>
      </c>
      <c r="AO6" s="6"/>
      <c r="AP6" s="6"/>
      <c r="AQ6" s="6" t="s">
        <v>116</v>
      </c>
      <c r="AR6" s="280"/>
    </row>
    <row r="7" spans="1:44" ht="76.8">
      <c r="A7" s="6" t="s">
        <v>117</v>
      </c>
      <c r="B7" s="5" t="s">
        <v>3638</v>
      </c>
      <c r="C7" s="224" t="s">
        <v>3644</v>
      </c>
      <c r="D7" s="6" t="s">
        <v>81</v>
      </c>
      <c r="E7" s="6" t="s">
        <v>79</v>
      </c>
      <c r="F7" s="6">
        <v>1</v>
      </c>
      <c r="G7" s="6">
        <v>1</v>
      </c>
      <c r="H7" s="6" t="s">
        <v>82</v>
      </c>
      <c r="I7" s="5" t="s">
        <v>3640</v>
      </c>
      <c r="J7" s="6"/>
      <c r="K7" s="6">
        <v>1</v>
      </c>
      <c r="L7" s="234" t="s">
        <v>118</v>
      </c>
      <c r="M7" s="235"/>
      <c r="N7" s="235"/>
      <c r="O7" s="234"/>
      <c r="P7" s="40"/>
      <c r="Q7" s="40">
        <v>0</v>
      </c>
      <c r="R7" s="40" t="s">
        <v>85</v>
      </c>
      <c r="S7" s="6">
        <v>1010105</v>
      </c>
      <c r="T7" s="258" t="s">
        <v>119</v>
      </c>
      <c r="U7" s="259" t="s">
        <v>104</v>
      </c>
      <c r="V7" s="40" t="s">
        <v>105</v>
      </c>
      <c r="W7" s="69" t="s">
        <v>3645</v>
      </c>
      <c r="X7" s="69" t="s">
        <v>3645</v>
      </c>
      <c r="Y7" s="40"/>
      <c r="Z7" s="40"/>
      <c r="AA7" s="40">
        <v>3</v>
      </c>
      <c r="AB7" s="40" t="s">
        <v>114</v>
      </c>
      <c r="AC7" s="6"/>
      <c r="AD7" s="6"/>
      <c r="AE7" s="6">
        <v>0</v>
      </c>
      <c r="AF7" s="6">
        <v>0</v>
      </c>
      <c r="AG7" s="6">
        <v>0</v>
      </c>
      <c r="AH7" s="6"/>
      <c r="AI7" s="6">
        <v>0</v>
      </c>
      <c r="AJ7" s="6">
        <v>0</v>
      </c>
      <c r="AK7" s="6">
        <v>0</v>
      </c>
      <c r="AL7" s="6"/>
      <c r="AM7" s="6"/>
      <c r="AN7" s="6" t="s">
        <v>120</v>
      </c>
      <c r="AO7" s="6"/>
      <c r="AP7" s="6"/>
      <c r="AQ7" s="6" t="s">
        <v>121</v>
      </c>
      <c r="AR7" s="280"/>
    </row>
    <row r="8" spans="1:44" ht="76.8">
      <c r="A8" s="225" t="s">
        <v>122</v>
      </c>
      <c r="B8" s="5" t="s">
        <v>3638</v>
      </c>
      <c r="C8" s="224" t="s">
        <v>3646</v>
      </c>
      <c r="D8" s="6" t="s">
        <v>81</v>
      </c>
      <c r="E8" s="6" t="s">
        <v>79</v>
      </c>
      <c r="F8" s="6">
        <v>1</v>
      </c>
      <c r="G8" s="6">
        <v>1</v>
      </c>
      <c r="H8" s="6" t="s">
        <v>82</v>
      </c>
      <c r="I8" s="5" t="s">
        <v>3640</v>
      </c>
      <c r="J8" s="6"/>
      <c r="K8" s="6">
        <v>2</v>
      </c>
      <c r="L8" s="234" t="s">
        <v>124</v>
      </c>
      <c r="M8" s="235"/>
      <c r="N8" s="235"/>
      <c r="O8" s="234"/>
      <c r="P8" s="40"/>
      <c r="Q8" s="40">
        <v>0</v>
      </c>
      <c r="R8" s="40" t="s">
        <v>85</v>
      </c>
      <c r="S8" s="6">
        <v>1010102</v>
      </c>
      <c r="T8" s="258" t="s">
        <v>125</v>
      </c>
      <c r="U8" s="259" t="s">
        <v>126</v>
      </c>
      <c r="V8" s="40" t="s">
        <v>105</v>
      </c>
      <c r="W8" s="69" t="s">
        <v>3647</v>
      </c>
      <c r="X8" s="69" t="s">
        <v>3647</v>
      </c>
      <c r="Y8" s="40"/>
      <c r="Z8" s="40"/>
      <c r="AA8" s="40"/>
      <c r="AB8" s="40" t="s">
        <v>90</v>
      </c>
      <c r="AC8" s="6"/>
      <c r="AD8" s="6"/>
      <c r="AE8" s="6">
        <v>1</v>
      </c>
      <c r="AF8" s="6">
        <v>1</v>
      </c>
      <c r="AG8" s="6">
        <v>5</v>
      </c>
      <c r="AH8" s="6"/>
      <c r="AI8" s="6">
        <v>39</v>
      </c>
      <c r="AJ8" s="6">
        <v>26</v>
      </c>
      <c r="AK8" s="272" t="s">
        <v>128</v>
      </c>
      <c r="AL8" s="272"/>
      <c r="AM8" s="272"/>
      <c r="AN8" s="6" t="s">
        <v>129</v>
      </c>
      <c r="AO8" s="6"/>
      <c r="AP8" s="6"/>
      <c r="AQ8" s="6" t="s">
        <v>130</v>
      </c>
      <c r="AR8" s="280">
        <v>230</v>
      </c>
    </row>
    <row r="9" spans="1:44" ht="76.8">
      <c r="A9" s="6" t="s">
        <v>131</v>
      </c>
      <c r="B9" s="5" t="s">
        <v>3638</v>
      </c>
      <c r="C9" s="224" t="s">
        <v>3646</v>
      </c>
      <c r="D9" s="6" t="s">
        <v>81</v>
      </c>
      <c r="E9" s="6" t="s">
        <v>79</v>
      </c>
      <c r="F9" s="6">
        <v>1</v>
      </c>
      <c r="G9" s="6">
        <v>1</v>
      </c>
      <c r="H9" s="6" t="s">
        <v>82</v>
      </c>
      <c r="I9" s="5" t="s">
        <v>3640</v>
      </c>
      <c r="J9" s="6"/>
      <c r="K9" s="6">
        <v>2</v>
      </c>
      <c r="L9" s="234" t="s">
        <v>132</v>
      </c>
      <c r="M9" s="235"/>
      <c r="N9" s="235"/>
      <c r="O9" s="234"/>
      <c r="P9" s="40"/>
      <c r="Q9" s="40">
        <v>0</v>
      </c>
      <c r="R9" s="40" t="s">
        <v>85</v>
      </c>
      <c r="S9" s="6">
        <v>1010106</v>
      </c>
      <c r="T9" s="258" t="s">
        <v>112</v>
      </c>
      <c r="U9" s="259" t="s">
        <v>126</v>
      </c>
      <c r="V9" s="40" t="s">
        <v>105</v>
      </c>
      <c r="W9" s="69" t="s">
        <v>3647</v>
      </c>
      <c r="X9" s="69" t="s">
        <v>3647</v>
      </c>
      <c r="Y9" s="40"/>
      <c r="Z9" s="40"/>
      <c r="AA9" s="40">
        <v>2</v>
      </c>
      <c r="AB9" s="40" t="s">
        <v>114</v>
      </c>
      <c r="AC9" s="6"/>
      <c r="AD9" s="6"/>
      <c r="AE9" s="6">
        <v>0</v>
      </c>
      <c r="AF9" s="6">
        <v>0</v>
      </c>
      <c r="AG9" s="6">
        <v>0</v>
      </c>
      <c r="AH9" s="6"/>
      <c r="AI9" s="6">
        <v>0</v>
      </c>
      <c r="AJ9" s="6">
        <v>0</v>
      </c>
      <c r="AK9" s="6">
        <v>0</v>
      </c>
      <c r="AL9" s="6"/>
      <c r="AM9" s="6"/>
      <c r="AN9" s="6" t="s">
        <v>133</v>
      </c>
      <c r="AO9" s="6"/>
      <c r="AP9" s="6"/>
      <c r="AQ9" s="6" t="s">
        <v>134</v>
      </c>
      <c r="AR9" s="280"/>
    </row>
    <row r="10" spans="1:44" ht="15" customHeight="1">
      <c r="A10" s="6">
        <v>1010102</v>
      </c>
      <c r="B10" s="5" t="s">
        <v>3638</v>
      </c>
      <c r="C10" s="224" t="s">
        <v>3648</v>
      </c>
      <c r="D10" s="6" t="s">
        <v>81</v>
      </c>
      <c r="E10" s="6" t="s">
        <v>79</v>
      </c>
      <c r="F10" s="6">
        <v>1</v>
      </c>
      <c r="G10" s="6">
        <v>1</v>
      </c>
      <c r="H10" s="6" t="s">
        <v>136</v>
      </c>
      <c r="I10" s="5" t="s">
        <v>3640</v>
      </c>
      <c r="J10" s="6"/>
      <c r="K10" s="6">
        <v>1</v>
      </c>
      <c r="L10" s="234" t="s">
        <v>111</v>
      </c>
      <c r="M10" s="235"/>
      <c r="N10" s="235"/>
      <c r="O10" s="234"/>
      <c r="P10" s="40"/>
      <c r="Q10" s="40">
        <v>0</v>
      </c>
      <c r="R10" s="40" t="s">
        <v>85</v>
      </c>
      <c r="S10" s="6">
        <v>1010104</v>
      </c>
      <c r="T10" s="258"/>
      <c r="U10" s="259"/>
      <c r="V10" s="40" t="s">
        <v>105</v>
      </c>
      <c r="W10" s="69" t="s">
        <v>3649</v>
      </c>
      <c r="X10" s="69" t="s">
        <v>3649</v>
      </c>
      <c r="Y10" s="40"/>
      <c r="Z10" s="40"/>
      <c r="AA10" s="40">
        <v>2</v>
      </c>
      <c r="AB10" s="40" t="s">
        <v>114</v>
      </c>
      <c r="AC10" s="6"/>
      <c r="AD10" s="6"/>
      <c r="AE10" s="6">
        <v>0</v>
      </c>
      <c r="AF10" s="6">
        <v>0</v>
      </c>
      <c r="AG10" s="6">
        <v>0</v>
      </c>
      <c r="AH10" s="6"/>
      <c r="AI10" s="6">
        <v>0</v>
      </c>
      <c r="AJ10" s="6">
        <v>0</v>
      </c>
      <c r="AK10" s="6">
        <v>0</v>
      </c>
      <c r="AL10" s="6"/>
      <c r="AM10" s="6"/>
      <c r="AN10" s="6"/>
      <c r="AO10" s="6"/>
      <c r="AP10" s="6"/>
      <c r="AQ10" s="6" t="s">
        <v>116</v>
      </c>
      <c r="AR10" s="280"/>
    </row>
    <row r="11" spans="1:44" ht="15" customHeight="1">
      <c r="A11" s="6">
        <v>1010104</v>
      </c>
      <c r="B11" s="5" t="s">
        <v>3638</v>
      </c>
      <c r="C11" s="224" t="s">
        <v>3650</v>
      </c>
      <c r="D11" s="6" t="s">
        <v>81</v>
      </c>
      <c r="E11" s="6" t="s">
        <v>79</v>
      </c>
      <c r="F11" s="6">
        <v>2</v>
      </c>
      <c r="G11" s="6">
        <v>1</v>
      </c>
      <c r="H11" s="6" t="s">
        <v>136</v>
      </c>
      <c r="I11" s="5" t="s">
        <v>3640</v>
      </c>
      <c r="J11" s="6"/>
      <c r="K11" s="6"/>
      <c r="L11" s="234" t="s">
        <v>118</v>
      </c>
      <c r="M11" s="235"/>
      <c r="N11" s="235"/>
      <c r="O11" s="234"/>
      <c r="P11" s="40"/>
      <c r="Q11" s="40">
        <v>0</v>
      </c>
      <c r="R11" s="40" t="s">
        <v>85</v>
      </c>
      <c r="S11" s="6">
        <v>1010105</v>
      </c>
      <c r="T11" s="258"/>
      <c r="U11" s="259"/>
      <c r="V11" s="40" t="s">
        <v>105</v>
      </c>
      <c r="W11" s="69" t="s">
        <v>3651</v>
      </c>
      <c r="X11" s="69" t="s">
        <v>3651</v>
      </c>
      <c r="Y11" s="40"/>
      <c r="Z11" s="40"/>
      <c r="AA11" s="40">
        <v>3</v>
      </c>
      <c r="AB11" s="40" t="s">
        <v>114</v>
      </c>
      <c r="AC11" s="6"/>
      <c r="AD11" s="6"/>
      <c r="AE11" s="6">
        <v>0</v>
      </c>
      <c r="AF11" s="6">
        <v>0</v>
      </c>
      <c r="AG11" s="6">
        <v>0</v>
      </c>
      <c r="AH11" s="6"/>
      <c r="AI11" s="6">
        <v>0</v>
      </c>
      <c r="AJ11" s="6">
        <v>0</v>
      </c>
      <c r="AK11" s="6">
        <v>0</v>
      </c>
      <c r="AL11" s="6"/>
      <c r="AM11" s="6"/>
      <c r="AN11" s="6"/>
      <c r="AO11" s="6"/>
      <c r="AP11" s="6"/>
      <c r="AQ11" s="6" t="s">
        <v>121</v>
      </c>
      <c r="AR11" s="280"/>
    </row>
    <row r="12" spans="1:44" ht="15" customHeight="1">
      <c r="A12" s="6">
        <v>1010105</v>
      </c>
      <c r="B12" s="5" t="s">
        <v>3638</v>
      </c>
      <c r="C12" s="224" t="s">
        <v>3652</v>
      </c>
      <c r="D12" s="6" t="s">
        <v>81</v>
      </c>
      <c r="E12" s="6" t="s">
        <v>79</v>
      </c>
      <c r="F12" s="6">
        <v>1</v>
      </c>
      <c r="G12" s="6">
        <v>1</v>
      </c>
      <c r="H12" s="6" t="s">
        <v>82</v>
      </c>
      <c r="I12" s="5" t="s">
        <v>3640</v>
      </c>
      <c r="J12" s="6"/>
      <c r="K12" s="6">
        <v>3</v>
      </c>
      <c r="L12" s="234" t="s">
        <v>142</v>
      </c>
      <c r="M12" s="235"/>
      <c r="N12" s="235"/>
      <c r="O12" s="234"/>
      <c r="P12" s="40"/>
      <c r="Q12" s="40">
        <v>0</v>
      </c>
      <c r="R12" s="40" t="s">
        <v>85</v>
      </c>
      <c r="S12" s="6">
        <v>1010103</v>
      </c>
      <c r="T12" s="258" t="s">
        <v>143</v>
      </c>
      <c r="U12" s="259" t="s">
        <v>144</v>
      </c>
      <c r="V12" s="40" t="s">
        <v>105</v>
      </c>
      <c r="W12" s="69" t="s">
        <v>3653</v>
      </c>
      <c r="X12" s="69" t="s">
        <v>3653</v>
      </c>
      <c r="Y12" s="40"/>
      <c r="Z12" s="40"/>
      <c r="AA12" s="40"/>
      <c r="AB12" s="40" t="s">
        <v>90</v>
      </c>
      <c r="AC12" s="6"/>
      <c r="AD12" s="6"/>
      <c r="AE12" s="6">
        <v>1</v>
      </c>
      <c r="AF12" s="6">
        <v>1</v>
      </c>
      <c r="AG12" s="6">
        <v>5</v>
      </c>
      <c r="AH12" s="6"/>
      <c r="AI12" s="6">
        <v>39</v>
      </c>
      <c r="AJ12" s="6">
        <v>26</v>
      </c>
      <c r="AK12" s="272" t="s">
        <v>146</v>
      </c>
      <c r="AL12" s="272"/>
      <c r="AM12" s="272"/>
      <c r="AN12" s="6" t="s">
        <v>147</v>
      </c>
      <c r="AO12" s="6"/>
      <c r="AP12" s="6"/>
      <c r="AQ12" s="6" t="s">
        <v>148</v>
      </c>
      <c r="AR12" s="280">
        <v>231</v>
      </c>
    </row>
    <row r="13" spans="1:44" ht="15" customHeight="1">
      <c r="A13" s="6">
        <v>1010106</v>
      </c>
      <c r="B13" s="5" t="s">
        <v>3638</v>
      </c>
      <c r="C13" s="224" t="s">
        <v>3654</v>
      </c>
      <c r="D13" s="6" t="s">
        <v>81</v>
      </c>
      <c r="E13" s="6" t="s">
        <v>79</v>
      </c>
      <c r="F13" s="6">
        <v>3</v>
      </c>
      <c r="G13" s="6">
        <v>1</v>
      </c>
      <c r="H13" s="6" t="s">
        <v>136</v>
      </c>
      <c r="I13" s="5" t="s">
        <v>3640</v>
      </c>
      <c r="J13" s="6"/>
      <c r="K13" s="6"/>
      <c r="L13" s="234" t="s">
        <v>132</v>
      </c>
      <c r="M13" s="235"/>
      <c r="N13" s="235"/>
      <c r="O13" s="234"/>
      <c r="P13" s="40"/>
      <c r="Q13" s="40">
        <v>0</v>
      </c>
      <c r="R13" s="40" t="s">
        <v>85</v>
      </c>
      <c r="S13" s="6">
        <v>1010106</v>
      </c>
      <c r="T13" s="258"/>
      <c r="U13" s="259"/>
      <c r="V13" s="40" t="s">
        <v>105</v>
      </c>
      <c r="W13" s="69" t="s">
        <v>3655</v>
      </c>
      <c r="X13" s="69" t="s">
        <v>3655</v>
      </c>
      <c r="Y13" s="40"/>
      <c r="Z13" s="40"/>
      <c r="AA13" s="40">
        <v>2</v>
      </c>
      <c r="AB13" s="40" t="s">
        <v>114</v>
      </c>
      <c r="AC13" s="6"/>
      <c r="AD13" s="6"/>
      <c r="AE13" s="6">
        <v>0</v>
      </c>
      <c r="AF13" s="6">
        <v>0</v>
      </c>
      <c r="AG13" s="6">
        <v>0</v>
      </c>
      <c r="AH13" s="6"/>
      <c r="AI13" s="6">
        <v>0</v>
      </c>
      <c r="AJ13" s="6">
        <v>0</v>
      </c>
      <c r="AK13" s="6">
        <v>0</v>
      </c>
      <c r="AL13" s="6"/>
      <c r="AM13" s="6"/>
      <c r="AN13" s="6"/>
      <c r="AO13" s="6"/>
      <c r="AP13" s="6"/>
      <c r="AQ13" s="6" t="s">
        <v>134</v>
      </c>
      <c r="AR13" s="280"/>
    </row>
    <row r="14" spans="1:44" ht="15" customHeight="1">
      <c r="A14" s="6">
        <v>1010107</v>
      </c>
      <c r="B14" s="5" t="s">
        <v>3638</v>
      </c>
      <c r="C14" s="224" t="s">
        <v>3656</v>
      </c>
      <c r="D14" s="6" t="s">
        <v>81</v>
      </c>
      <c r="E14" s="6" t="s">
        <v>79</v>
      </c>
      <c r="F14" s="6">
        <v>4</v>
      </c>
      <c r="G14" s="6">
        <v>1</v>
      </c>
      <c r="H14" s="6" t="s">
        <v>136</v>
      </c>
      <c r="I14" s="5" t="s">
        <v>3640</v>
      </c>
      <c r="J14" s="6"/>
      <c r="K14" s="6"/>
      <c r="L14" s="234" t="s">
        <v>152</v>
      </c>
      <c r="M14" s="235"/>
      <c r="N14" s="235"/>
      <c r="O14" s="234"/>
      <c r="P14" s="40"/>
      <c r="Q14" s="40">
        <v>0</v>
      </c>
      <c r="R14" s="40" t="s">
        <v>153</v>
      </c>
      <c r="S14" s="6">
        <v>1010107</v>
      </c>
      <c r="T14" s="258"/>
      <c r="U14" s="259"/>
      <c r="V14" s="40" t="s">
        <v>105</v>
      </c>
      <c r="W14" s="69" t="s">
        <v>3657</v>
      </c>
      <c r="X14" s="69" t="s">
        <v>3657</v>
      </c>
      <c r="Y14" s="40"/>
      <c r="Z14" s="40"/>
      <c r="AA14" s="40"/>
      <c r="AB14" s="40" t="s">
        <v>114</v>
      </c>
      <c r="AC14" s="6"/>
      <c r="AD14" s="6"/>
      <c r="AE14" s="6">
        <v>0</v>
      </c>
      <c r="AF14" s="6">
        <v>0</v>
      </c>
      <c r="AG14" s="6">
        <v>0</v>
      </c>
      <c r="AH14" s="6"/>
      <c r="AI14" s="6">
        <v>0</v>
      </c>
      <c r="AJ14" s="6">
        <v>0</v>
      </c>
      <c r="AK14" s="6">
        <v>0</v>
      </c>
      <c r="AL14" s="6"/>
      <c r="AM14" s="6"/>
      <c r="AN14" s="6"/>
      <c r="AO14" s="6"/>
      <c r="AP14" s="6"/>
      <c r="AQ14" s="6" t="s">
        <v>155</v>
      </c>
      <c r="AR14" s="280"/>
    </row>
    <row r="15" spans="1:44" ht="15" customHeight="1">
      <c r="A15" s="6">
        <v>1010108</v>
      </c>
      <c r="B15" s="5" t="s">
        <v>3638</v>
      </c>
      <c r="C15" s="224" t="s">
        <v>3658</v>
      </c>
      <c r="D15" s="6" t="s">
        <v>81</v>
      </c>
      <c r="E15" s="6" t="s">
        <v>79</v>
      </c>
      <c r="F15" s="6">
        <v>5</v>
      </c>
      <c r="G15" s="6">
        <v>1</v>
      </c>
      <c r="H15" s="6" t="s">
        <v>136</v>
      </c>
      <c r="I15" s="5" t="s">
        <v>3640</v>
      </c>
      <c r="J15" s="6"/>
      <c r="K15" s="6"/>
      <c r="L15" s="234" t="s">
        <v>157</v>
      </c>
      <c r="M15" s="235"/>
      <c r="N15" s="235"/>
      <c r="O15" s="234"/>
      <c r="P15" s="40"/>
      <c r="Q15" s="40">
        <v>0</v>
      </c>
      <c r="R15" s="40" t="s">
        <v>153</v>
      </c>
      <c r="S15" s="6">
        <v>1010108</v>
      </c>
      <c r="T15" s="258"/>
      <c r="U15" s="259"/>
      <c r="V15" s="40" t="s">
        <v>105</v>
      </c>
      <c r="W15" s="69" t="s">
        <v>3659</v>
      </c>
      <c r="X15" s="69" t="s">
        <v>3659</v>
      </c>
      <c r="Y15" s="40"/>
      <c r="Z15" s="40"/>
      <c r="AA15" s="40"/>
      <c r="AB15" s="40" t="s">
        <v>114</v>
      </c>
      <c r="AC15" s="6"/>
      <c r="AD15" s="6"/>
      <c r="AE15" s="6">
        <v>0</v>
      </c>
      <c r="AF15" s="6">
        <v>0</v>
      </c>
      <c r="AG15" s="6">
        <v>0</v>
      </c>
      <c r="AH15" s="6"/>
      <c r="AI15" s="6">
        <v>0</v>
      </c>
      <c r="AJ15" s="6">
        <v>0</v>
      </c>
      <c r="AK15" s="6">
        <v>0</v>
      </c>
      <c r="AL15" s="6"/>
      <c r="AM15" s="6"/>
      <c r="AN15" s="6"/>
      <c r="AO15" s="6"/>
      <c r="AP15" s="6"/>
      <c r="AQ15" s="6" t="s">
        <v>159</v>
      </c>
      <c r="AR15" s="280"/>
    </row>
    <row r="16" spans="1:44" ht="15" customHeight="1">
      <c r="A16" s="6">
        <v>1010109</v>
      </c>
      <c r="B16" s="5" t="s">
        <v>3638</v>
      </c>
      <c r="C16" s="224" t="s">
        <v>3660</v>
      </c>
      <c r="D16" s="6" t="s">
        <v>81</v>
      </c>
      <c r="E16" s="6" t="s">
        <v>79</v>
      </c>
      <c r="F16" s="6">
        <v>6</v>
      </c>
      <c r="G16" s="6">
        <v>1</v>
      </c>
      <c r="H16" s="6" t="s">
        <v>136</v>
      </c>
      <c r="I16" s="5" t="s">
        <v>3640</v>
      </c>
      <c r="J16" s="6"/>
      <c r="K16" s="6"/>
      <c r="L16" s="234" t="s">
        <v>161</v>
      </c>
      <c r="M16" s="235"/>
      <c r="N16" s="235"/>
      <c r="O16" s="234"/>
      <c r="P16" s="40"/>
      <c r="Q16" s="40">
        <v>0</v>
      </c>
      <c r="R16" s="40" t="s">
        <v>153</v>
      </c>
      <c r="S16" s="6">
        <v>1010109</v>
      </c>
      <c r="T16" s="258"/>
      <c r="U16" s="259"/>
      <c r="V16" s="40" t="s">
        <v>105</v>
      </c>
      <c r="W16" s="69" t="s">
        <v>3661</v>
      </c>
      <c r="X16" s="69" t="s">
        <v>3661</v>
      </c>
      <c r="Y16" s="40"/>
      <c r="Z16" s="40"/>
      <c r="AA16" s="40"/>
      <c r="AB16" s="40" t="s">
        <v>114</v>
      </c>
      <c r="AC16" s="6"/>
      <c r="AD16" s="6"/>
      <c r="AE16" s="6">
        <v>0</v>
      </c>
      <c r="AF16" s="6">
        <v>0</v>
      </c>
      <c r="AG16" s="6">
        <v>0</v>
      </c>
      <c r="AH16" s="6"/>
      <c r="AI16" s="6">
        <v>0</v>
      </c>
      <c r="AJ16" s="6">
        <v>0</v>
      </c>
      <c r="AK16" s="6">
        <v>0</v>
      </c>
      <c r="AL16" s="6"/>
      <c r="AM16" s="6"/>
      <c r="AN16" s="6"/>
      <c r="AO16" s="6"/>
      <c r="AP16" s="6"/>
      <c r="AQ16" s="6" t="s">
        <v>163</v>
      </c>
      <c r="AR16" s="280"/>
    </row>
    <row r="17" spans="1:44" ht="15" customHeight="1">
      <c r="A17" s="6">
        <v>1010110</v>
      </c>
      <c r="B17" s="5" t="s">
        <v>3638</v>
      </c>
      <c r="C17" s="224" t="s">
        <v>3662</v>
      </c>
      <c r="D17" s="6" t="s">
        <v>81</v>
      </c>
      <c r="E17" s="6" t="s">
        <v>79</v>
      </c>
      <c r="F17" s="6">
        <v>7</v>
      </c>
      <c r="G17" s="6">
        <v>1</v>
      </c>
      <c r="H17" s="6" t="s">
        <v>136</v>
      </c>
      <c r="I17" s="5" t="s">
        <v>3640</v>
      </c>
      <c r="J17" s="6"/>
      <c r="K17" s="6"/>
      <c r="L17" s="234" t="s">
        <v>165</v>
      </c>
      <c r="M17" s="235"/>
      <c r="N17" s="235"/>
      <c r="O17" s="234"/>
      <c r="P17" s="40"/>
      <c r="Q17" s="40">
        <v>0</v>
      </c>
      <c r="R17" s="40" t="s">
        <v>153</v>
      </c>
      <c r="S17" s="6">
        <v>1010110</v>
      </c>
      <c r="T17" s="258"/>
      <c r="U17" s="259"/>
      <c r="V17" s="40" t="s">
        <v>105</v>
      </c>
      <c r="W17" s="69" t="s">
        <v>3663</v>
      </c>
      <c r="X17" s="69" t="s">
        <v>3663</v>
      </c>
      <c r="Y17" s="40"/>
      <c r="Z17" s="40"/>
      <c r="AA17" s="40"/>
      <c r="AB17" s="40" t="s">
        <v>114</v>
      </c>
      <c r="AC17" s="6"/>
      <c r="AD17" s="6"/>
      <c r="AE17" s="6">
        <v>0</v>
      </c>
      <c r="AF17" s="6">
        <v>0</v>
      </c>
      <c r="AG17" s="6">
        <v>0</v>
      </c>
      <c r="AH17" s="6"/>
      <c r="AI17" s="6">
        <v>0</v>
      </c>
      <c r="AJ17" s="6">
        <v>0</v>
      </c>
      <c r="AK17" s="6">
        <v>0</v>
      </c>
      <c r="AL17" s="6"/>
      <c r="AM17" s="6"/>
      <c r="AN17" s="6"/>
      <c r="AO17" s="6"/>
      <c r="AP17" s="6"/>
      <c r="AQ17" s="225" t="s">
        <v>167</v>
      </c>
      <c r="AR17" s="280"/>
    </row>
    <row r="18" spans="1:44" ht="15" customHeight="1">
      <c r="A18" s="3">
        <v>1010111</v>
      </c>
      <c r="B18" s="5" t="s">
        <v>3638</v>
      </c>
      <c r="C18" s="224" t="s">
        <v>3664</v>
      </c>
      <c r="D18" s="3" t="s">
        <v>81</v>
      </c>
      <c r="E18" s="3" t="s">
        <v>79</v>
      </c>
      <c r="F18" s="3">
        <v>8</v>
      </c>
      <c r="G18" s="3">
        <v>1</v>
      </c>
      <c r="H18" s="3" t="s">
        <v>136</v>
      </c>
      <c r="I18" s="5" t="s">
        <v>3640</v>
      </c>
      <c r="J18" s="3"/>
      <c r="K18" s="3"/>
      <c r="L18" s="236"/>
      <c r="M18" s="99"/>
      <c r="N18" s="99"/>
      <c r="O18" s="236"/>
      <c r="P18" s="22"/>
      <c r="Q18" s="22">
        <v>0</v>
      </c>
      <c r="R18" s="22" t="s">
        <v>153</v>
      </c>
      <c r="S18" s="3"/>
      <c r="T18" s="260"/>
      <c r="U18" s="261"/>
      <c r="V18" s="22"/>
      <c r="W18" s="69" t="s">
        <v>3665</v>
      </c>
      <c r="X18" s="69" t="s">
        <v>3665</v>
      </c>
      <c r="Y18" s="22"/>
      <c r="Z18" s="22"/>
      <c r="AA18" s="22"/>
      <c r="AB18" s="22" t="s">
        <v>114</v>
      </c>
      <c r="AC18" s="3"/>
      <c r="AD18" s="3"/>
      <c r="AE18" s="3">
        <v>0</v>
      </c>
      <c r="AF18" s="3">
        <v>0</v>
      </c>
      <c r="AG18" s="3">
        <v>0</v>
      </c>
      <c r="AH18" s="3"/>
      <c r="AI18" s="3">
        <v>0</v>
      </c>
      <c r="AJ18" s="3">
        <v>0</v>
      </c>
      <c r="AK18" s="3">
        <v>0</v>
      </c>
      <c r="AL18" s="3"/>
      <c r="AM18" s="3"/>
      <c r="AN18" s="3"/>
      <c r="AO18" s="3"/>
      <c r="AP18" s="3"/>
      <c r="AQ18" s="3" t="s">
        <v>148</v>
      </c>
      <c r="AR18" s="281"/>
    </row>
    <row r="19" spans="1:44" ht="15" customHeight="1">
      <c r="A19" s="3">
        <v>1010112</v>
      </c>
      <c r="B19" s="5" t="s">
        <v>3638</v>
      </c>
      <c r="C19" s="224" t="s">
        <v>3666</v>
      </c>
      <c r="D19" s="3" t="s">
        <v>81</v>
      </c>
      <c r="E19" s="3" t="s">
        <v>79</v>
      </c>
      <c r="F19" s="3">
        <v>9</v>
      </c>
      <c r="G19" s="3">
        <v>1</v>
      </c>
      <c r="H19" s="3" t="s">
        <v>136</v>
      </c>
      <c r="I19" s="5" t="s">
        <v>3640</v>
      </c>
      <c r="J19" s="3"/>
      <c r="K19" s="3"/>
      <c r="L19" s="236"/>
      <c r="M19" s="99"/>
      <c r="N19" s="99"/>
      <c r="O19" s="236"/>
      <c r="P19" s="22"/>
      <c r="Q19" s="22"/>
      <c r="R19" s="22" t="s">
        <v>153</v>
      </c>
      <c r="S19" s="3"/>
      <c r="T19" s="260"/>
      <c r="U19" s="261"/>
      <c r="V19" s="22"/>
      <c r="W19" s="69" t="s">
        <v>3667</v>
      </c>
      <c r="X19" s="69" t="s">
        <v>3667</v>
      </c>
      <c r="Y19" s="22"/>
      <c r="Z19" s="22"/>
      <c r="AA19" s="22"/>
      <c r="AB19" s="22" t="s">
        <v>114</v>
      </c>
      <c r="AC19" s="3"/>
      <c r="AD19" s="3"/>
      <c r="AE19" s="3">
        <v>0</v>
      </c>
      <c r="AF19" s="3">
        <v>0</v>
      </c>
      <c r="AG19" s="3">
        <v>0</v>
      </c>
      <c r="AH19" s="3"/>
      <c r="AI19" s="3">
        <v>0</v>
      </c>
      <c r="AJ19" s="3">
        <v>0</v>
      </c>
      <c r="AK19" s="3">
        <v>0</v>
      </c>
      <c r="AL19" s="3"/>
      <c r="AM19" s="3"/>
      <c r="AN19" s="3"/>
      <c r="AO19" s="3"/>
      <c r="AP19" s="3"/>
      <c r="AQ19" s="282" t="s">
        <v>172</v>
      </c>
      <c r="AR19" s="281"/>
    </row>
    <row r="20" spans="1:44" ht="15" customHeight="1">
      <c r="A20" s="3">
        <v>1010113</v>
      </c>
      <c r="B20" s="5" t="s">
        <v>3638</v>
      </c>
      <c r="C20" s="224" t="s">
        <v>3668</v>
      </c>
      <c r="D20" s="3" t="s">
        <v>81</v>
      </c>
      <c r="E20" s="3" t="s">
        <v>79</v>
      </c>
      <c r="F20" s="3">
        <v>10</v>
      </c>
      <c r="G20" s="3">
        <v>1</v>
      </c>
      <c r="H20" s="3" t="s">
        <v>136</v>
      </c>
      <c r="I20" s="5" t="s">
        <v>3640</v>
      </c>
      <c r="J20" s="3"/>
      <c r="K20" s="3"/>
      <c r="L20" s="236"/>
      <c r="M20" s="99"/>
      <c r="N20" s="99"/>
      <c r="O20" s="236"/>
      <c r="P20" s="22"/>
      <c r="Q20" s="22"/>
      <c r="R20" s="22" t="s">
        <v>153</v>
      </c>
      <c r="S20" s="3"/>
      <c r="T20" s="260"/>
      <c r="U20" s="261"/>
      <c r="V20" s="22"/>
      <c r="W20" s="69" t="s">
        <v>3669</v>
      </c>
      <c r="X20" s="69" t="s">
        <v>3669</v>
      </c>
      <c r="Y20" s="22"/>
      <c r="Z20" s="22"/>
      <c r="AA20" s="22"/>
      <c r="AB20" s="22" t="s">
        <v>114</v>
      </c>
      <c r="AC20" s="3"/>
      <c r="AD20" s="3"/>
      <c r="AE20" s="3">
        <v>0</v>
      </c>
      <c r="AF20" s="3">
        <v>0</v>
      </c>
      <c r="AG20" s="3">
        <v>0</v>
      </c>
      <c r="AH20" s="3"/>
      <c r="AI20" s="3">
        <v>0</v>
      </c>
      <c r="AJ20" s="3">
        <v>0</v>
      </c>
      <c r="AK20" s="3">
        <v>0</v>
      </c>
      <c r="AL20" s="3"/>
      <c r="AM20" s="3"/>
      <c r="AN20" s="3"/>
      <c r="AO20" s="3"/>
      <c r="AP20" s="3"/>
      <c r="AQ20" s="282" t="s">
        <v>175</v>
      </c>
      <c r="AR20" s="281"/>
    </row>
    <row r="21" spans="1:44" ht="15" customHeight="1">
      <c r="A21" s="7">
        <v>1010201</v>
      </c>
      <c r="B21" s="5" t="s">
        <v>3638</v>
      </c>
      <c r="C21" s="224" t="s">
        <v>3670</v>
      </c>
      <c r="D21" s="7" t="s">
        <v>81</v>
      </c>
      <c r="E21" s="7" t="s">
        <v>79</v>
      </c>
      <c r="F21" s="7">
        <v>1</v>
      </c>
      <c r="G21" s="7">
        <v>1</v>
      </c>
      <c r="H21" s="7" t="s">
        <v>82</v>
      </c>
      <c r="I21" s="5" t="s">
        <v>3640</v>
      </c>
      <c r="J21" s="7"/>
      <c r="K21" s="7">
        <v>1</v>
      </c>
      <c r="L21" s="237" t="s">
        <v>178</v>
      </c>
      <c r="M21" s="238"/>
      <c r="N21" s="238"/>
      <c r="O21" s="7"/>
      <c r="P21" s="239"/>
      <c r="Q21" s="239">
        <v>0</v>
      </c>
      <c r="R21" s="239" t="s">
        <v>85</v>
      </c>
      <c r="S21" s="7">
        <v>1010201</v>
      </c>
      <c r="T21" s="262" t="s">
        <v>179</v>
      </c>
      <c r="U21" s="263" t="s">
        <v>180</v>
      </c>
      <c r="V21" s="239" t="s">
        <v>88</v>
      </c>
      <c r="W21" s="69" t="s">
        <v>3671</v>
      </c>
      <c r="X21" s="69" t="s">
        <v>3671</v>
      </c>
      <c r="Y21" s="239"/>
      <c r="Z21" s="239"/>
      <c r="AA21" s="239"/>
      <c r="AB21" s="239" t="s">
        <v>90</v>
      </c>
      <c r="AC21" s="7"/>
      <c r="AD21" s="7"/>
      <c r="AE21" s="7">
        <v>1</v>
      </c>
      <c r="AF21" s="7">
        <v>2</v>
      </c>
      <c r="AG21" s="7">
        <v>6</v>
      </c>
      <c r="AH21" s="7"/>
      <c r="AI21" s="7">
        <v>39</v>
      </c>
      <c r="AJ21" s="7">
        <v>26</v>
      </c>
      <c r="AK21" s="273"/>
      <c r="AL21" s="273"/>
      <c r="AM21" s="273"/>
      <c r="AN21" s="7" t="s">
        <v>182</v>
      </c>
      <c r="AO21" s="7"/>
      <c r="AP21" s="7"/>
      <c r="AQ21" s="7" t="s">
        <v>183</v>
      </c>
      <c r="AR21" s="283">
        <v>235</v>
      </c>
    </row>
    <row r="22" spans="1:44" ht="15" customHeight="1">
      <c r="A22" s="7">
        <v>1010202</v>
      </c>
      <c r="B22" s="5" t="s">
        <v>3638</v>
      </c>
      <c r="C22" s="224" t="s">
        <v>3672</v>
      </c>
      <c r="D22" s="7" t="s">
        <v>81</v>
      </c>
      <c r="E22" s="7" t="s">
        <v>79</v>
      </c>
      <c r="F22" s="7">
        <v>1</v>
      </c>
      <c r="G22" s="7">
        <v>1</v>
      </c>
      <c r="H22" s="7" t="s">
        <v>136</v>
      </c>
      <c r="I22" s="5" t="s">
        <v>3640</v>
      </c>
      <c r="J22" s="7"/>
      <c r="K22" s="7"/>
      <c r="L22" s="237" t="s">
        <v>185</v>
      </c>
      <c r="M22" s="238"/>
      <c r="N22" s="238"/>
      <c r="O22" s="7"/>
      <c r="P22" s="239"/>
      <c r="Q22" s="239">
        <v>0</v>
      </c>
      <c r="R22" s="239" t="s">
        <v>153</v>
      </c>
      <c r="S22" s="7">
        <v>1010202</v>
      </c>
      <c r="T22" s="262"/>
      <c r="U22" s="263"/>
      <c r="V22" s="239" t="s">
        <v>88</v>
      </c>
      <c r="W22" s="69" t="s">
        <v>3673</v>
      </c>
      <c r="X22" s="69" t="s">
        <v>3673</v>
      </c>
      <c r="Y22" s="239"/>
      <c r="Z22" s="239"/>
      <c r="AA22" s="239"/>
      <c r="AB22" s="239" t="s">
        <v>114</v>
      </c>
      <c r="AC22" s="7"/>
      <c r="AD22" s="7"/>
      <c r="AE22" s="7">
        <v>0</v>
      </c>
      <c r="AF22" s="7"/>
      <c r="AG22" s="7"/>
      <c r="AH22" s="7"/>
      <c r="AI22" s="7"/>
      <c r="AJ22" s="7"/>
      <c r="AK22" s="273"/>
      <c r="AL22" s="273"/>
      <c r="AM22" s="273"/>
      <c r="AN22" s="7"/>
      <c r="AO22" s="7"/>
      <c r="AP22" s="7"/>
      <c r="AQ22" s="7" t="s">
        <v>187</v>
      </c>
      <c r="AR22" s="283"/>
    </row>
    <row r="23" spans="1:44" ht="15" customHeight="1">
      <c r="A23" s="7">
        <v>1010203</v>
      </c>
      <c r="B23" s="5" t="s">
        <v>3638</v>
      </c>
      <c r="C23" s="224" t="s">
        <v>3674</v>
      </c>
      <c r="D23" s="7" t="s">
        <v>81</v>
      </c>
      <c r="E23" s="7" t="s">
        <v>79</v>
      </c>
      <c r="F23" s="7">
        <v>1</v>
      </c>
      <c r="G23" s="7">
        <v>1</v>
      </c>
      <c r="H23" s="7" t="s">
        <v>82</v>
      </c>
      <c r="I23" s="5" t="s">
        <v>3640</v>
      </c>
      <c r="J23" s="7"/>
      <c r="K23" s="7">
        <v>2</v>
      </c>
      <c r="L23" s="237" t="s">
        <v>189</v>
      </c>
      <c r="M23" s="238"/>
      <c r="N23" s="238"/>
      <c r="O23" s="7"/>
      <c r="P23" s="239"/>
      <c r="Q23" s="239">
        <v>0</v>
      </c>
      <c r="R23" s="239" t="s">
        <v>85</v>
      </c>
      <c r="S23" s="7">
        <v>1010203</v>
      </c>
      <c r="T23" s="262" t="s">
        <v>190</v>
      </c>
      <c r="U23" s="263" t="s">
        <v>191</v>
      </c>
      <c r="V23" s="239" t="s">
        <v>88</v>
      </c>
      <c r="W23" s="69" t="s">
        <v>3675</v>
      </c>
      <c r="X23" s="69" t="s">
        <v>3675</v>
      </c>
      <c r="Y23" s="239"/>
      <c r="Z23" s="239"/>
      <c r="AA23" s="239"/>
      <c r="AB23" s="239" t="s">
        <v>90</v>
      </c>
      <c r="AC23" s="7"/>
      <c r="AD23" s="7"/>
      <c r="AE23" s="7">
        <v>1</v>
      </c>
      <c r="AF23" s="7">
        <v>1</v>
      </c>
      <c r="AG23" s="7">
        <v>5</v>
      </c>
      <c r="AH23" s="7"/>
      <c r="AI23" s="7">
        <v>39</v>
      </c>
      <c r="AJ23" s="7">
        <v>26</v>
      </c>
      <c r="AK23" s="273"/>
      <c r="AL23" s="273"/>
      <c r="AM23" s="273"/>
      <c r="AN23" s="7" t="s">
        <v>193</v>
      </c>
      <c r="AO23" s="7"/>
      <c r="AP23" s="7"/>
      <c r="AQ23" s="7" t="s">
        <v>194</v>
      </c>
      <c r="AR23" s="283">
        <v>236</v>
      </c>
    </row>
    <row r="24" spans="1:44" ht="15" customHeight="1">
      <c r="A24" s="7">
        <v>1010204</v>
      </c>
      <c r="B24" s="5" t="s">
        <v>3638</v>
      </c>
      <c r="C24" s="224" t="s">
        <v>3676</v>
      </c>
      <c r="D24" s="7" t="s">
        <v>81</v>
      </c>
      <c r="E24" s="7" t="s">
        <v>79</v>
      </c>
      <c r="F24" s="7">
        <v>2</v>
      </c>
      <c r="G24" s="7">
        <v>1</v>
      </c>
      <c r="H24" s="7" t="s">
        <v>136</v>
      </c>
      <c r="I24" s="5" t="s">
        <v>3640</v>
      </c>
      <c r="J24" s="7"/>
      <c r="K24" s="7"/>
      <c r="L24" s="237" t="s">
        <v>196</v>
      </c>
      <c r="M24" s="238"/>
      <c r="N24" s="238"/>
      <c r="O24" s="7"/>
      <c r="P24" s="239"/>
      <c r="Q24" s="239">
        <v>0</v>
      </c>
      <c r="R24" s="239" t="s">
        <v>153</v>
      </c>
      <c r="S24" s="7">
        <v>1010204</v>
      </c>
      <c r="T24" s="262"/>
      <c r="U24" s="263"/>
      <c r="V24" s="239" t="s">
        <v>88</v>
      </c>
      <c r="W24" s="69" t="s">
        <v>3677</v>
      </c>
      <c r="X24" s="69" t="s">
        <v>3677</v>
      </c>
      <c r="Y24" s="239"/>
      <c r="Z24" s="239"/>
      <c r="AA24" s="239"/>
      <c r="AB24" s="239" t="s">
        <v>114</v>
      </c>
      <c r="AC24" s="7"/>
      <c r="AD24" s="7"/>
      <c r="AE24" s="7">
        <v>0</v>
      </c>
      <c r="AF24" s="7"/>
      <c r="AG24" s="7"/>
      <c r="AH24" s="7"/>
      <c r="AI24" s="7"/>
      <c r="AJ24" s="7"/>
      <c r="AK24" s="273"/>
      <c r="AL24" s="273"/>
      <c r="AM24" s="273"/>
      <c r="AN24" s="7"/>
      <c r="AO24" s="7"/>
      <c r="AP24" s="7"/>
      <c r="AQ24" s="7" t="s">
        <v>198</v>
      </c>
      <c r="AR24" s="283"/>
    </row>
    <row r="25" spans="1:44" ht="15" customHeight="1">
      <c r="A25" s="7">
        <v>1010205</v>
      </c>
      <c r="B25" s="5" t="s">
        <v>3638</v>
      </c>
      <c r="C25" s="224" t="s">
        <v>3678</v>
      </c>
      <c r="D25" s="7" t="s">
        <v>81</v>
      </c>
      <c r="E25" s="7" t="s">
        <v>79</v>
      </c>
      <c r="F25" s="7">
        <v>1</v>
      </c>
      <c r="G25" s="7">
        <v>1</v>
      </c>
      <c r="H25" s="7" t="s">
        <v>82</v>
      </c>
      <c r="I25" s="5" t="s">
        <v>3640</v>
      </c>
      <c r="J25" s="7"/>
      <c r="K25" s="7">
        <v>3</v>
      </c>
      <c r="L25" s="237" t="s">
        <v>200</v>
      </c>
      <c r="M25" s="238"/>
      <c r="N25" s="238"/>
      <c r="O25" s="7"/>
      <c r="P25" s="239"/>
      <c r="Q25" s="239">
        <v>0</v>
      </c>
      <c r="R25" s="239" t="s">
        <v>85</v>
      </c>
      <c r="S25" s="7">
        <v>1010205</v>
      </c>
      <c r="T25" s="262" t="s">
        <v>201</v>
      </c>
      <c r="U25" s="263" t="s">
        <v>202</v>
      </c>
      <c r="V25" s="239" t="s">
        <v>88</v>
      </c>
      <c r="W25" s="69" t="s">
        <v>3679</v>
      </c>
      <c r="X25" s="69" t="s">
        <v>3679</v>
      </c>
      <c r="Y25" s="239"/>
      <c r="Z25" s="239"/>
      <c r="AA25" s="239"/>
      <c r="AB25" s="239" t="s">
        <v>90</v>
      </c>
      <c r="AC25" s="7"/>
      <c r="AD25" s="7"/>
      <c r="AE25" s="7">
        <v>1</v>
      </c>
      <c r="AF25" s="7">
        <v>1</v>
      </c>
      <c r="AG25" s="7">
        <v>5</v>
      </c>
      <c r="AH25" s="7"/>
      <c r="AI25" s="7">
        <v>39</v>
      </c>
      <c r="AJ25" s="7">
        <v>26</v>
      </c>
      <c r="AK25" s="273"/>
      <c r="AL25" s="273"/>
      <c r="AM25" s="273"/>
      <c r="AN25" s="7" t="s">
        <v>204</v>
      </c>
      <c r="AO25" s="7"/>
      <c r="AP25" s="7"/>
      <c r="AQ25" s="7" t="s">
        <v>205</v>
      </c>
      <c r="AR25" s="283">
        <v>237</v>
      </c>
    </row>
    <row r="26" spans="1:44" ht="15" customHeight="1">
      <c r="A26" s="7">
        <v>1010206</v>
      </c>
      <c r="B26" s="5" t="s">
        <v>3638</v>
      </c>
      <c r="C26" s="224" t="s">
        <v>3680</v>
      </c>
      <c r="D26" s="7" t="s">
        <v>81</v>
      </c>
      <c r="E26" s="7" t="s">
        <v>79</v>
      </c>
      <c r="F26" s="7">
        <v>3</v>
      </c>
      <c r="G26" s="7">
        <v>1</v>
      </c>
      <c r="H26" s="7" t="s">
        <v>136</v>
      </c>
      <c r="I26" s="5" t="s">
        <v>3640</v>
      </c>
      <c r="J26" s="7"/>
      <c r="K26" s="7"/>
      <c r="L26" s="237" t="s">
        <v>207</v>
      </c>
      <c r="M26" s="238"/>
      <c r="N26" s="238"/>
      <c r="O26" s="7"/>
      <c r="P26" s="239"/>
      <c r="Q26" s="239">
        <v>0</v>
      </c>
      <c r="R26" s="239" t="s">
        <v>153</v>
      </c>
      <c r="S26" s="7">
        <v>1010206</v>
      </c>
      <c r="T26" s="262"/>
      <c r="U26" s="263"/>
      <c r="V26" s="239" t="s">
        <v>88</v>
      </c>
      <c r="W26" s="69" t="s">
        <v>3681</v>
      </c>
      <c r="X26" s="69" t="s">
        <v>3681</v>
      </c>
      <c r="Y26" s="239"/>
      <c r="Z26" s="239"/>
      <c r="AA26" s="239"/>
      <c r="AB26" s="239" t="s">
        <v>114</v>
      </c>
      <c r="AC26" s="7"/>
      <c r="AD26" s="7"/>
      <c r="AE26" s="7">
        <v>0</v>
      </c>
      <c r="AF26" s="7"/>
      <c r="AG26" s="7"/>
      <c r="AH26" s="7"/>
      <c r="AI26" s="7"/>
      <c r="AJ26" s="7"/>
      <c r="AK26" s="273"/>
      <c r="AL26" s="273"/>
      <c r="AM26" s="273"/>
      <c r="AN26" s="7"/>
      <c r="AO26" s="7"/>
      <c r="AP26" s="7"/>
      <c r="AQ26" s="7" t="s">
        <v>209</v>
      </c>
      <c r="AR26" s="283"/>
    </row>
    <row r="27" spans="1:44" ht="15" customHeight="1">
      <c r="A27" s="7">
        <v>1010207</v>
      </c>
      <c r="B27" s="5" t="s">
        <v>3638</v>
      </c>
      <c r="C27" s="224" t="s">
        <v>3682</v>
      </c>
      <c r="D27" s="7" t="s">
        <v>81</v>
      </c>
      <c r="E27" s="7" t="s">
        <v>79</v>
      </c>
      <c r="F27" s="7">
        <v>4</v>
      </c>
      <c r="G27" s="7">
        <v>1</v>
      </c>
      <c r="H27" s="7" t="s">
        <v>136</v>
      </c>
      <c r="I27" s="5" t="s">
        <v>3640</v>
      </c>
      <c r="J27" s="7"/>
      <c r="K27" s="7"/>
      <c r="L27" s="237" t="s">
        <v>211</v>
      </c>
      <c r="M27" s="238"/>
      <c r="N27" s="238"/>
      <c r="O27" s="7"/>
      <c r="P27" s="239"/>
      <c r="Q27" s="239">
        <v>0</v>
      </c>
      <c r="R27" s="239" t="s">
        <v>153</v>
      </c>
      <c r="S27" s="7">
        <v>1010207</v>
      </c>
      <c r="T27" s="262"/>
      <c r="U27" s="263"/>
      <c r="V27" s="239" t="s">
        <v>88</v>
      </c>
      <c r="W27" s="69" t="s">
        <v>3683</v>
      </c>
      <c r="X27" s="69" t="s">
        <v>3683</v>
      </c>
      <c r="Y27" s="239"/>
      <c r="Z27" s="239"/>
      <c r="AA27" s="239"/>
      <c r="AB27" s="239" t="s">
        <v>114</v>
      </c>
      <c r="AC27" s="7"/>
      <c r="AD27" s="7"/>
      <c r="AE27" s="7">
        <v>0</v>
      </c>
      <c r="AF27" s="7"/>
      <c r="AG27" s="7"/>
      <c r="AH27" s="7"/>
      <c r="AI27" s="7"/>
      <c r="AJ27" s="7"/>
      <c r="AK27" s="273"/>
      <c r="AL27" s="273"/>
      <c r="AM27" s="273"/>
      <c r="AN27" s="7"/>
      <c r="AO27" s="7"/>
      <c r="AP27" s="7"/>
      <c r="AQ27" s="7" t="s">
        <v>213</v>
      </c>
      <c r="AR27" s="283"/>
    </row>
    <row r="28" spans="1:44" ht="15" customHeight="1">
      <c r="A28" s="7">
        <v>1010208</v>
      </c>
      <c r="B28" s="5" t="s">
        <v>3638</v>
      </c>
      <c r="C28" s="224" t="s">
        <v>3684</v>
      </c>
      <c r="D28" s="7" t="s">
        <v>81</v>
      </c>
      <c r="E28" s="7" t="s">
        <v>79</v>
      </c>
      <c r="F28" s="7">
        <v>5</v>
      </c>
      <c r="G28" s="7">
        <v>1</v>
      </c>
      <c r="H28" s="7" t="s">
        <v>136</v>
      </c>
      <c r="I28" s="5" t="s">
        <v>3640</v>
      </c>
      <c r="J28" s="7"/>
      <c r="K28" s="7"/>
      <c r="L28" s="237" t="s">
        <v>215</v>
      </c>
      <c r="M28" s="238"/>
      <c r="N28" s="238"/>
      <c r="O28" s="7"/>
      <c r="P28" s="239"/>
      <c r="Q28" s="239">
        <v>0</v>
      </c>
      <c r="R28" s="239" t="s">
        <v>153</v>
      </c>
      <c r="S28" s="7">
        <v>1010208</v>
      </c>
      <c r="T28" s="262"/>
      <c r="U28" s="263"/>
      <c r="V28" s="239" t="s">
        <v>88</v>
      </c>
      <c r="W28" s="69" t="s">
        <v>3685</v>
      </c>
      <c r="X28" s="69" t="s">
        <v>3685</v>
      </c>
      <c r="Y28" s="239"/>
      <c r="Z28" s="239"/>
      <c r="AA28" s="239"/>
      <c r="AB28" s="239" t="s">
        <v>114</v>
      </c>
      <c r="AC28" s="7"/>
      <c r="AD28" s="7"/>
      <c r="AE28" s="7">
        <v>0</v>
      </c>
      <c r="AF28" s="7"/>
      <c r="AG28" s="7"/>
      <c r="AH28" s="7"/>
      <c r="AI28" s="7"/>
      <c r="AJ28" s="7"/>
      <c r="AK28" s="273"/>
      <c r="AL28" s="273"/>
      <c r="AM28" s="273"/>
      <c r="AN28" s="7"/>
      <c r="AO28" s="7"/>
      <c r="AP28" s="7"/>
      <c r="AQ28" s="7" t="s">
        <v>217</v>
      </c>
      <c r="AR28" s="283"/>
    </row>
    <row r="29" spans="1:44" ht="15" customHeight="1">
      <c r="A29" s="7">
        <v>1010209</v>
      </c>
      <c r="B29" s="5" t="s">
        <v>3638</v>
      </c>
      <c r="C29" s="224" t="s">
        <v>3686</v>
      </c>
      <c r="D29" s="7" t="s">
        <v>81</v>
      </c>
      <c r="E29" s="7" t="s">
        <v>79</v>
      </c>
      <c r="F29" s="7">
        <v>6</v>
      </c>
      <c r="G29" s="7">
        <v>1</v>
      </c>
      <c r="H29" s="7" t="s">
        <v>136</v>
      </c>
      <c r="I29" s="5" t="s">
        <v>3640</v>
      </c>
      <c r="J29" s="7"/>
      <c r="K29" s="7"/>
      <c r="L29" s="237" t="s">
        <v>219</v>
      </c>
      <c r="M29" s="238"/>
      <c r="N29" s="238"/>
      <c r="O29" s="7"/>
      <c r="P29" s="239"/>
      <c r="Q29" s="239">
        <v>0</v>
      </c>
      <c r="R29" s="239" t="s">
        <v>153</v>
      </c>
      <c r="S29" s="7">
        <v>1010209</v>
      </c>
      <c r="T29" s="262"/>
      <c r="U29" s="263"/>
      <c r="V29" s="239" t="s">
        <v>88</v>
      </c>
      <c r="W29" s="69" t="s">
        <v>3687</v>
      </c>
      <c r="X29" s="69" t="s">
        <v>3687</v>
      </c>
      <c r="Y29" s="239"/>
      <c r="Z29" s="239"/>
      <c r="AA29" s="239"/>
      <c r="AB29" s="239" t="s">
        <v>114</v>
      </c>
      <c r="AC29" s="7"/>
      <c r="AD29" s="7"/>
      <c r="AE29" s="7">
        <v>0</v>
      </c>
      <c r="AF29" s="7"/>
      <c r="AG29" s="7"/>
      <c r="AH29" s="7"/>
      <c r="AI29" s="7"/>
      <c r="AJ29" s="7"/>
      <c r="AK29" s="273"/>
      <c r="AL29" s="273"/>
      <c r="AM29" s="273"/>
      <c r="AN29" s="7"/>
      <c r="AO29" s="7"/>
      <c r="AP29" s="7"/>
      <c r="AQ29" s="7" t="s">
        <v>221</v>
      </c>
      <c r="AR29" s="283"/>
    </row>
    <row r="30" spans="1:44" ht="15" customHeight="1">
      <c r="A30" s="7">
        <v>1010210</v>
      </c>
      <c r="B30" s="5" t="s">
        <v>3638</v>
      </c>
      <c r="C30" s="224" t="s">
        <v>3688</v>
      </c>
      <c r="D30" s="7" t="s">
        <v>81</v>
      </c>
      <c r="E30" s="7" t="s">
        <v>79</v>
      </c>
      <c r="F30" s="7">
        <v>7</v>
      </c>
      <c r="G30" s="7">
        <v>1</v>
      </c>
      <c r="H30" s="7" t="s">
        <v>136</v>
      </c>
      <c r="I30" s="5" t="s">
        <v>3640</v>
      </c>
      <c r="J30" s="7"/>
      <c r="K30" s="7"/>
      <c r="L30" s="237" t="s">
        <v>223</v>
      </c>
      <c r="M30" s="238"/>
      <c r="N30" s="238"/>
      <c r="O30" s="7"/>
      <c r="P30" s="239"/>
      <c r="Q30" s="239">
        <v>0</v>
      </c>
      <c r="R30" s="239" t="s">
        <v>153</v>
      </c>
      <c r="S30" s="7">
        <v>1010210</v>
      </c>
      <c r="T30" s="262"/>
      <c r="U30" s="263"/>
      <c r="V30" s="239" t="s">
        <v>88</v>
      </c>
      <c r="W30" s="69" t="s">
        <v>3689</v>
      </c>
      <c r="X30" s="69" t="s">
        <v>3689</v>
      </c>
      <c r="Y30" s="239"/>
      <c r="Z30" s="239"/>
      <c r="AA30" s="239"/>
      <c r="AB30" s="239" t="s">
        <v>90</v>
      </c>
      <c r="AC30" s="7"/>
      <c r="AD30" s="7"/>
      <c r="AE30" s="7">
        <v>0</v>
      </c>
      <c r="AF30" s="7"/>
      <c r="AG30" s="7"/>
      <c r="AH30" s="7"/>
      <c r="AI30" s="7"/>
      <c r="AJ30" s="7"/>
      <c r="AK30" s="273"/>
      <c r="AL30" s="273"/>
      <c r="AM30" s="273"/>
      <c r="AN30" s="7"/>
      <c r="AO30" s="7"/>
      <c r="AP30" s="7"/>
      <c r="AQ30" s="7" t="s">
        <v>225</v>
      </c>
      <c r="AR30" s="283"/>
    </row>
    <row r="31" spans="1:44" ht="15" customHeight="1">
      <c r="A31" s="3">
        <v>1010211</v>
      </c>
      <c r="B31" s="5" t="s">
        <v>3638</v>
      </c>
      <c r="C31" s="224" t="s">
        <v>3690</v>
      </c>
      <c r="D31" s="3" t="s">
        <v>81</v>
      </c>
      <c r="E31" s="3" t="s">
        <v>79</v>
      </c>
      <c r="F31" s="3">
        <v>8</v>
      </c>
      <c r="G31" s="3">
        <v>1</v>
      </c>
      <c r="H31" s="3" t="s">
        <v>136</v>
      </c>
      <c r="I31" s="5" t="s">
        <v>3640</v>
      </c>
      <c r="J31" s="3"/>
      <c r="K31" s="3"/>
      <c r="L31" s="236"/>
      <c r="M31" s="99"/>
      <c r="N31" s="99"/>
      <c r="O31" s="236"/>
      <c r="P31" s="22"/>
      <c r="Q31" s="22">
        <v>0</v>
      </c>
      <c r="R31" s="22" t="s">
        <v>153</v>
      </c>
      <c r="S31" s="3"/>
      <c r="T31" s="260"/>
      <c r="U31" s="261"/>
      <c r="V31" s="22"/>
      <c r="W31" s="69" t="s">
        <v>3665</v>
      </c>
      <c r="X31" s="69" t="s">
        <v>3665</v>
      </c>
      <c r="Y31" s="22"/>
      <c r="Z31" s="22"/>
      <c r="AA31" s="22"/>
      <c r="AB31" s="22" t="s">
        <v>114</v>
      </c>
      <c r="AC31" s="3"/>
      <c r="AD31" s="3"/>
      <c r="AE31" s="3">
        <v>0</v>
      </c>
      <c r="AF31" s="3">
        <v>0</v>
      </c>
      <c r="AG31" s="3">
        <v>0</v>
      </c>
      <c r="AH31" s="3"/>
      <c r="AI31" s="3">
        <v>0</v>
      </c>
      <c r="AJ31" s="3">
        <v>0</v>
      </c>
      <c r="AK31" s="3">
        <v>0</v>
      </c>
      <c r="AL31" s="3"/>
      <c r="AM31" s="3"/>
      <c r="AN31" s="3"/>
      <c r="AO31" s="3"/>
      <c r="AP31" s="3"/>
      <c r="AQ31" s="3" t="s">
        <v>205</v>
      </c>
      <c r="AR31" s="281"/>
    </row>
    <row r="32" spans="1:44" ht="15" customHeight="1">
      <c r="A32" s="3">
        <v>1010212</v>
      </c>
      <c r="B32" s="5" t="s">
        <v>3638</v>
      </c>
      <c r="C32" s="224" t="s">
        <v>3691</v>
      </c>
      <c r="D32" s="3" t="s">
        <v>81</v>
      </c>
      <c r="E32" s="3" t="s">
        <v>79</v>
      </c>
      <c r="F32" s="3">
        <v>9</v>
      </c>
      <c r="G32" s="3">
        <v>1</v>
      </c>
      <c r="H32" s="3" t="s">
        <v>136</v>
      </c>
      <c r="I32" s="5" t="s">
        <v>3640</v>
      </c>
      <c r="J32" s="3"/>
      <c r="K32" s="3"/>
      <c r="L32" s="236"/>
      <c r="M32" s="99"/>
      <c r="N32" s="99"/>
      <c r="O32" s="236"/>
      <c r="P32" s="22"/>
      <c r="Q32" s="22">
        <v>0</v>
      </c>
      <c r="R32" s="22" t="s">
        <v>153</v>
      </c>
      <c r="S32" s="3"/>
      <c r="T32" s="260"/>
      <c r="U32" s="261"/>
      <c r="V32" s="22"/>
      <c r="W32" s="69" t="s">
        <v>3692</v>
      </c>
      <c r="X32" s="69" t="s">
        <v>3692</v>
      </c>
      <c r="Y32" s="22"/>
      <c r="Z32" s="22"/>
      <c r="AA32" s="22"/>
      <c r="AB32" s="22" t="s">
        <v>114</v>
      </c>
      <c r="AC32" s="3"/>
      <c r="AD32" s="3"/>
      <c r="AE32" s="3">
        <v>0</v>
      </c>
      <c r="AF32" s="3">
        <v>0</v>
      </c>
      <c r="AG32" s="3">
        <v>0</v>
      </c>
      <c r="AH32" s="3"/>
      <c r="AI32" s="3">
        <v>0</v>
      </c>
      <c r="AJ32" s="3">
        <v>0</v>
      </c>
      <c r="AK32" s="3">
        <v>0</v>
      </c>
      <c r="AL32" s="3"/>
      <c r="AM32" s="3"/>
      <c r="AN32" s="3"/>
      <c r="AO32" s="3"/>
      <c r="AP32" s="3"/>
      <c r="AQ32" s="282" t="s">
        <v>229</v>
      </c>
      <c r="AR32" s="281"/>
    </row>
    <row r="33" spans="1:44" ht="15" customHeight="1">
      <c r="A33" s="3">
        <v>1010213</v>
      </c>
      <c r="B33" s="5" t="s">
        <v>3638</v>
      </c>
      <c r="C33" s="224" t="s">
        <v>3693</v>
      </c>
      <c r="D33" s="3" t="s">
        <v>81</v>
      </c>
      <c r="E33" s="3" t="s">
        <v>79</v>
      </c>
      <c r="F33" s="3">
        <v>10</v>
      </c>
      <c r="G33" s="3">
        <v>1</v>
      </c>
      <c r="H33" s="3" t="s">
        <v>136</v>
      </c>
      <c r="I33" s="5" t="s">
        <v>3640</v>
      </c>
      <c r="J33" s="3"/>
      <c r="K33" s="3"/>
      <c r="L33" s="236"/>
      <c r="M33" s="99"/>
      <c r="N33" s="99"/>
      <c r="O33" s="236"/>
      <c r="P33" s="22"/>
      <c r="Q33" s="22">
        <v>0</v>
      </c>
      <c r="R33" s="22" t="s">
        <v>153</v>
      </c>
      <c r="S33" s="3"/>
      <c r="T33" s="260"/>
      <c r="U33" s="261"/>
      <c r="V33" s="22"/>
      <c r="W33" s="69" t="s">
        <v>3694</v>
      </c>
      <c r="X33" s="69" t="s">
        <v>3694</v>
      </c>
      <c r="Y33" s="22"/>
      <c r="Z33" s="22"/>
      <c r="AA33" s="22"/>
      <c r="AB33" s="22" t="s">
        <v>114</v>
      </c>
      <c r="AC33" s="3"/>
      <c r="AD33" s="3"/>
      <c r="AE33" s="3">
        <v>0</v>
      </c>
      <c r="AF33" s="3">
        <v>0</v>
      </c>
      <c r="AG33" s="3">
        <v>0</v>
      </c>
      <c r="AH33" s="3"/>
      <c r="AI33" s="3">
        <v>0</v>
      </c>
      <c r="AJ33" s="3">
        <v>0</v>
      </c>
      <c r="AK33" s="3">
        <v>0</v>
      </c>
      <c r="AL33" s="3"/>
      <c r="AM33" s="3"/>
      <c r="AN33" s="3"/>
      <c r="AO33" s="3"/>
      <c r="AP33" s="3"/>
      <c r="AQ33" s="282" t="s">
        <v>233</v>
      </c>
      <c r="AR33" s="281"/>
    </row>
    <row r="34" spans="1:44" ht="15" customHeight="1">
      <c r="A34" s="8">
        <v>1010301</v>
      </c>
      <c r="B34" s="5" t="s">
        <v>3638</v>
      </c>
      <c r="C34" s="224" t="s">
        <v>3695</v>
      </c>
      <c r="D34" s="8" t="s">
        <v>81</v>
      </c>
      <c r="E34" s="8" t="s">
        <v>79</v>
      </c>
      <c r="F34" s="8">
        <v>1</v>
      </c>
      <c r="G34" s="8">
        <v>1</v>
      </c>
      <c r="H34" s="8" t="s">
        <v>82</v>
      </c>
      <c r="I34" s="5" t="s">
        <v>3640</v>
      </c>
      <c r="J34" s="8"/>
      <c r="K34" s="8">
        <v>1</v>
      </c>
      <c r="L34" s="240" t="s">
        <v>236</v>
      </c>
      <c r="M34" s="241"/>
      <c r="N34" s="241"/>
      <c r="O34" s="8"/>
      <c r="P34" s="242">
        <v>2</v>
      </c>
      <c r="Q34" s="242">
        <v>0</v>
      </c>
      <c r="R34" s="242" t="s">
        <v>85</v>
      </c>
      <c r="S34" s="8">
        <v>1010301</v>
      </c>
      <c r="T34" s="264">
        <v>0</v>
      </c>
      <c r="U34" s="265" t="s">
        <v>237</v>
      </c>
      <c r="V34" s="242" t="s">
        <v>238</v>
      </c>
      <c r="W34" s="69" t="s">
        <v>3696</v>
      </c>
      <c r="X34" s="69" t="s">
        <v>3696</v>
      </c>
      <c r="Y34" s="242"/>
      <c r="Z34" s="242"/>
      <c r="AA34" s="242">
        <v>1</v>
      </c>
      <c r="AB34" s="242" t="s">
        <v>90</v>
      </c>
      <c r="AC34" s="8"/>
      <c r="AD34" s="8"/>
      <c r="AE34" s="8">
        <v>1</v>
      </c>
      <c r="AF34" s="8">
        <v>2</v>
      </c>
      <c r="AG34" s="8">
        <v>7</v>
      </c>
      <c r="AH34" s="8"/>
      <c r="AI34" s="8">
        <v>39</v>
      </c>
      <c r="AJ34" s="8">
        <v>26</v>
      </c>
      <c r="AK34" s="274"/>
      <c r="AL34" s="274"/>
      <c r="AM34" s="274"/>
      <c r="AN34" s="275" t="s">
        <v>240</v>
      </c>
      <c r="AO34" s="276" t="s">
        <v>241</v>
      </c>
      <c r="AP34" s="275"/>
      <c r="AQ34" s="8" t="s">
        <v>242</v>
      </c>
      <c r="AR34" s="284">
        <v>224</v>
      </c>
    </row>
    <row r="35" spans="1:44" ht="15" customHeight="1">
      <c r="A35" s="8">
        <v>1010302</v>
      </c>
      <c r="B35" s="5" t="s">
        <v>3638</v>
      </c>
      <c r="C35" s="224" t="s">
        <v>3697</v>
      </c>
      <c r="D35" s="8" t="s">
        <v>81</v>
      </c>
      <c r="E35" s="8" t="s">
        <v>79</v>
      </c>
      <c r="F35" s="8">
        <v>1</v>
      </c>
      <c r="G35" s="8">
        <v>1</v>
      </c>
      <c r="H35" s="8" t="s">
        <v>136</v>
      </c>
      <c r="I35" s="5" t="s">
        <v>3640</v>
      </c>
      <c r="J35" s="8"/>
      <c r="K35" s="8"/>
      <c r="L35" s="243" t="s">
        <v>244</v>
      </c>
      <c r="M35" s="241"/>
      <c r="N35" s="241"/>
      <c r="O35" s="8"/>
      <c r="P35" s="242">
        <v>3</v>
      </c>
      <c r="Q35" s="242">
        <v>0</v>
      </c>
      <c r="R35" s="242" t="s">
        <v>153</v>
      </c>
      <c r="S35" s="8">
        <v>1010302</v>
      </c>
      <c r="T35" s="264">
        <v>0</v>
      </c>
      <c r="U35" s="265"/>
      <c r="V35" s="242" t="s">
        <v>238</v>
      </c>
      <c r="W35" s="69" t="s">
        <v>3698</v>
      </c>
      <c r="X35" s="69" t="s">
        <v>3698</v>
      </c>
      <c r="Y35" s="242"/>
      <c r="Z35" s="242"/>
      <c r="AA35" s="242">
        <v>1</v>
      </c>
      <c r="AB35" s="242"/>
      <c r="AC35" s="8"/>
      <c r="AD35" s="8"/>
      <c r="AE35" s="8">
        <v>0</v>
      </c>
      <c r="AF35" s="8">
        <v>0</v>
      </c>
      <c r="AG35" s="8">
        <v>0</v>
      </c>
      <c r="AH35" s="8"/>
      <c r="AI35" s="8">
        <v>0</v>
      </c>
      <c r="AJ35" s="8">
        <v>0</v>
      </c>
      <c r="AK35" s="274"/>
      <c r="AL35" s="274"/>
      <c r="AM35" s="274"/>
      <c r="AN35" s="8"/>
      <c r="AO35" s="275"/>
      <c r="AP35" s="275"/>
      <c r="AQ35" s="8" t="s">
        <v>246</v>
      </c>
      <c r="AR35" s="284"/>
    </row>
    <row r="36" spans="1:44" ht="15" customHeight="1">
      <c r="A36" s="8">
        <v>1010303</v>
      </c>
      <c r="B36" s="5" t="s">
        <v>3638</v>
      </c>
      <c r="C36" s="224" t="s">
        <v>3699</v>
      </c>
      <c r="D36" s="8" t="s">
        <v>81</v>
      </c>
      <c r="E36" s="8" t="s">
        <v>79</v>
      </c>
      <c r="F36" s="8">
        <v>1</v>
      </c>
      <c r="G36" s="8">
        <v>1</v>
      </c>
      <c r="H36" s="8" t="s">
        <v>82</v>
      </c>
      <c r="I36" s="5" t="s">
        <v>3640</v>
      </c>
      <c r="J36" s="8"/>
      <c r="K36" s="8">
        <v>2</v>
      </c>
      <c r="L36" s="240" t="s">
        <v>248</v>
      </c>
      <c r="M36" s="241"/>
      <c r="N36" s="241"/>
      <c r="O36" s="8"/>
      <c r="P36" s="242">
        <v>1</v>
      </c>
      <c r="Q36" s="242">
        <v>0</v>
      </c>
      <c r="R36" s="242" t="s">
        <v>153</v>
      </c>
      <c r="S36" s="8">
        <v>1010303</v>
      </c>
      <c r="T36" s="264">
        <v>0</v>
      </c>
      <c r="U36" s="265"/>
      <c r="V36" s="242" t="s">
        <v>238</v>
      </c>
      <c r="W36" s="69" t="s">
        <v>3700</v>
      </c>
      <c r="X36" s="69" t="s">
        <v>3700</v>
      </c>
      <c r="Y36" s="242"/>
      <c r="Z36" s="242"/>
      <c r="AA36" s="242">
        <v>1</v>
      </c>
      <c r="AB36" s="242" t="s">
        <v>90</v>
      </c>
      <c r="AC36" s="8"/>
      <c r="AD36" s="8"/>
      <c r="AE36" s="8">
        <v>1</v>
      </c>
      <c r="AF36" s="8">
        <v>1</v>
      </c>
      <c r="AG36" s="8">
        <v>4</v>
      </c>
      <c r="AH36" s="8"/>
      <c r="AI36" s="8">
        <v>39</v>
      </c>
      <c r="AJ36" s="8">
        <v>26</v>
      </c>
      <c r="AK36" s="274"/>
      <c r="AL36" s="274"/>
      <c r="AM36" s="274"/>
      <c r="AN36" s="275" t="s">
        <v>250</v>
      </c>
      <c r="AO36" s="275" t="s">
        <v>251</v>
      </c>
      <c r="AP36" s="275"/>
      <c r="AQ36" s="8" t="s">
        <v>252</v>
      </c>
      <c r="AR36" s="284"/>
    </row>
    <row r="37" spans="1:44" ht="15" customHeight="1">
      <c r="A37" s="8">
        <v>1010304</v>
      </c>
      <c r="B37" s="5" t="s">
        <v>3638</v>
      </c>
      <c r="C37" s="224" t="s">
        <v>3701</v>
      </c>
      <c r="D37" s="8" t="s">
        <v>81</v>
      </c>
      <c r="E37" s="8" t="s">
        <v>79</v>
      </c>
      <c r="F37" s="8">
        <v>2</v>
      </c>
      <c r="G37" s="8">
        <v>1</v>
      </c>
      <c r="H37" s="8" t="s">
        <v>136</v>
      </c>
      <c r="I37" s="5" t="s">
        <v>3640</v>
      </c>
      <c r="J37" s="8"/>
      <c r="K37" s="8"/>
      <c r="L37" s="244" t="s">
        <v>254</v>
      </c>
      <c r="M37" s="8"/>
      <c r="N37" s="8"/>
      <c r="O37" s="8"/>
      <c r="P37" s="8"/>
      <c r="Q37" s="242">
        <v>0</v>
      </c>
      <c r="R37" s="242" t="s">
        <v>153</v>
      </c>
      <c r="S37" s="8">
        <v>1010304</v>
      </c>
      <c r="T37" s="266"/>
      <c r="U37" s="267"/>
      <c r="V37" s="242" t="s">
        <v>238</v>
      </c>
      <c r="W37" s="69" t="s">
        <v>3702</v>
      </c>
      <c r="X37" s="69" t="s">
        <v>3702</v>
      </c>
      <c r="Y37" s="8"/>
      <c r="Z37" s="8"/>
      <c r="AA37" s="242">
        <v>2</v>
      </c>
      <c r="AB37" s="242" t="s">
        <v>114</v>
      </c>
      <c r="AC37" s="8"/>
      <c r="AD37" s="8"/>
      <c r="AE37" s="8">
        <v>0</v>
      </c>
      <c r="AF37" s="8">
        <v>0</v>
      </c>
      <c r="AG37" s="8">
        <v>0</v>
      </c>
      <c r="AH37" s="8"/>
      <c r="AI37" s="8">
        <v>0</v>
      </c>
      <c r="AJ37" s="8">
        <v>0</v>
      </c>
      <c r="AK37" s="274"/>
      <c r="AL37" s="274"/>
      <c r="AM37" s="274"/>
      <c r="AN37" s="275"/>
      <c r="AO37" s="275"/>
      <c r="AP37" s="275"/>
      <c r="AQ37" s="8" t="s">
        <v>256</v>
      </c>
      <c r="AR37" s="284"/>
    </row>
    <row r="38" spans="1:44" ht="15" customHeight="1">
      <c r="A38" s="8">
        <v>1010305</v>
      </c>
      <c r="B38" s="5" t="s">
        <v>3638</v>
      </c>
      <c r="C38" s="224" t="s">
        <v>3703</v>
      </c>
      <c r="D38" s="8" t="s">
        <v>81</v>
      </c>
      <c r="E38" s="8" t="s">
        <v>79</v>
      </c>
      <c r="F38" s="8">
        <v>1</v>
      </c>
      <c r="G38" s="8">
        <v>1</v>
      </c>
      <c r="H38" s="8" t="s">
        <v>82</v>
      </c>
      <c r="I38" s="5" t="s">
        <v>3640</v>
      </c>
      <c r="J38" s="8"/>
      <c r="K38" s="8">
        <v>3</v>
      </c>
      <c r="L38" s="240" t="s">
        <v>258</v>
      </c>
      <c r="M38" s="241"/>
      <c r="N38" s="241"/>
      <c r="O38" s="8"/>
      <c r="P38" s="242">
        <v>2</v>
      </c>
      <c r="Q38" s="242">
        <v>0</v>
      </c>
      <c r="R38" s="242" t="s">
        <v>85</v>
      </c>
      <c r="S38" s="8">
        <v>1010305</v>
      </c>
      <c r="T38" s="264"/>
      <c r="U38" s="265" t="s">
        <v>259</v>
      </c>
      <c r="V38" s="242" t="s">
        <v>238</v>
      </c>
      <c r="W38" s="69" t="s">
        <v>3704</v>
      </c>
      <c r="X38" s="69" t="s">
        <v>3704</v>
      </c>
      <c r="Y38" s="242"/>
      <c r="Z38" s="242"/>
      <c r="AA38" s="242">
        <v>2</v>
      </c>
      <c r="AB38" s="242" t="s">
        <v>90</v>
      </c>
      <c r="AC38" s="8"/>
      <c r="AD38" s="8"/>
      <c r="AE38" s="8">
        <v>1</v>
      </c>
      <c r="AF38" s="8">
        <v>1</v>
      </c>
      <c r="AG38" s="8">
        <v>5</v>
      </c>
      <c r="AH38" s="8"/>
      <c r="AI38" s="8">
        <v>39</v>
      </c>
      <c r="AJ38" s="8">
        <v>26</v>
      </c>
      <c r="AK38" s="274"/>
      <c r="AL38" s="274"/>
      <c r="AM38" s="274"/>
      <c r="AN38" s="275" t="s">
        <v>261</v>
      </c>
      <c r="AO38" s="275" t="s">
        <v>262</v>
      </c>
      <c r="AP38" s="275"/>
      <c r="AQ38" s="8" t="s">
        <v>263</v>
      </c>
      <c r="AR38" s="284">
        <v>225</v>
      </c>
    </row>
    <row r="39" spans="1:44" ht="15" customHeight="1">
      <c r="A39" s="8">
        <v>1010306</v>
      </c>
      <c r="B39" s="5" t="s">
        <v>3638</v>
      </c>
      <c r="C39" s="224" t="s">
        <v>3705</v>
      </c>
      <c r="D39" s="8" t="s">
        <v>81</v>
      </c>
      <c r="E39" s="8" t="s">
        <v>79</v>
      </c>
      <c r="F39" s="8">
        <v>3</v>
      </c>
      <c r="G39" s="8">
        <v>1</v>
      </c>
      <c r="H39" s="8" t="s">
        <v>136</v>
      </c>
      <c r="I39" s="5" t="s">
        <v>3640</v>
      </c>
      <c r="J39" s="8"/>
      <c r="K39" s="8"/>
      <c r="L39" s="243" t="s">
        <v>265</v>
      </c>
      <c r="M39" s="241"/>
      <c r="N39" s="241"/>
      <c r="O39" s="8"/>
      <c r="P39" s="242"/>
      <c r="Q39" s="242">
        <v>0</v>
      </c>
      <c r="R39" s="242" t="s">
        <v>153</v>
      </c>
      <c r="S39" s="8">
        <v>1010306</v>
      </c>
      <c r="T39" s="264"/>
      <c r="U39" s="265"/>
      <c r="V39" s="242" t="s">
        <v>238</v>
      </c>
      <c r="W39" s="69" t="s">
        <v>3706</v>
      </c>
      <c r="X39" s="69" t="s">
        <v>3706</v>
      </c>
      <c r="Y39" s="242"/>
      <c r="Z39" s="242"/>
      <c r="AA39" s="242"/>
      <c r="AB39" s="242" t="s">
        <v>114</v>
      </c>
      <c r="AC39" s="8"/>
      <c r="AD39" s="8"/>
      <c r="AE39" s="8">
        <v>0</v>
      </c>
      <c r="AF39" s="8">
        <v>0</v>
      </c>
      <c r="AG39" s="8">
        <v>10</v>
      </c>
      <c r="AH39" s="8"/>
      <c r="AI39" s="8">
        <v>0</v>
      </c>
      <c r="AJ39" s="8">
        <v>0</v>
      </c>
      <c r="AK39" s="274"/>
      <c r="AL39" s="274"/>
      <c r="AM39" s="274"/>
      <c r="AN39" s="8"/>
      <c r="AO39" s="8"/>
      <c r="AP39" s="8"/>
      <c r="AQ39" s="8" t="s">
        <v>267</v>
      </c>
      <c r="AR39" s="284"/>
    </row>
    <row r="40" spans="1:44" ht="15" customHeight="1">
      <c r="A40" s="8">
        <v>1010307</v>
      </c>
      <c r="B40" s="5" t="s">
        <v>3638</v>
      </c>
      <c r="C40" s="224" t="s">
        <v>3707</v>
      </c>
      <c r="D40" s="8" t="s">
        <v>81</v>
      </c>
      <c r="E40" s="8" t="s">
        <v>79</v>
      </c>
      <c r="F40" s="8">
        <v>4</v>
      </c>
      <c r="G40" s="8">
        <v>1</v>
      </c>
      <c r="H40" s="8" t="s">
        <v>136</v>
      </c>
      <c r="I40" s="5" t="s">
        <v>3640</v>
      </c>
      <c r="J40" s="8"/>
      <c r="K40" s="8"/>
      <c r="L40" s="244" t="s">
        <v>269</v>
      </c>
      <c r="M40" s="241"/>
      <c r="N40" s="241"/>
      <c r="O40" s="8"/>
      <c r="P40" s="242"/>
      <c r="Q40" s="242">
        <v>0</v>
      </c>
      <c r="R40" s="242" t="s">
        <v>153</v>
      </c>
      <c r="S40" s="8">
        <v>1010307</v>
      </c>
      <c r="T40" s="264"/>
      <c r="U40" s="265"/>
      <c r="V40" s="242" t="s">
        <v>238</v>
      </c>
      <c r="W40" s="69" t="s">
        <v>3708</v>
      </c>
      <c r="X40" s="69" t="s">
        <v>3708</v>
      </c>
      <c r="Y40" s="242"/>
      <c r="Z40" s="242"/>
      <c r="AA40" s="242"/>
      <c r="AB40" s="242" t="s">
        <v>90</v>
      </c>
      <c r="AC40" s="8"/>
      <c r="AD40" s="8"/>
      <c r="AE40" s="8">
        <v>0</v>
      </c>
      <c r="AF40" s="8">
        <v>0</v>
      </c>
      <c r="AG40" s="8">
        <v>0</v>
      </c>
      <c r="AH40" s="8"/>
      <c r="AI40" s="8">
        <v>0</v>
      </c>
      <c r="AJ40" s="8">
        <v>0</v>
      </c>
      <c r="AK40" s="274"/>
      <c r="AL40" s="274"/>
      <c r="AM40" s="274"/>
      <c r="AN40" s="8"/>
      <c r="AO40" s="8"/>
      <c r="AP40" s="8"/>
      <c r="AQ40" s="8" t="s">
        <v>271</v>
      </c>
      <c r="AR40" s="284"/>
    </row>
    <row r="41" spans="1:44" ht="15" customHeight="1">
      <c r="A41" s="8">
        <v>1010308</v>
      </c>
      <c r="B41" s="5" t="s">
        <v>3638</v>
      </c>
      <c r="C41" s="224" t="s">
        <v>3709</v>
      </c>
      <c r="D41" s="8" t="s">
        <v>81</v>
      </c>
      <c r="E41" s="8" t="s">
        <v>79</v>
      </c>
      <c r="F41" s="8">
        <v>5</v>
      </c>
      <c r="G41" s="8">
        <v>1</v>
      </c>
      <c r="H41" s="8" t="s">
        <v>136</v>
      </c>
      <c r="I41" s="5" t="s">
        <v>3640</v>
      </c>
      <c r="J41" s="8"/>
      <c r="K41" s="8"/>
      <c r="L41" s="243" t="s">
        <v>273</v>
      </c>
      <c r="M41" s="241"/>
      <c r="N41" s="241"/>
      <c r="O41" s="8"/>
      <c r="P41" s="242"/>
      <c r="Q41" s="242">
        <v>0</v>
      </c>
      <c r="R41" s="242" t="s">
        <v>153</v>
      </c>
      <c r="S41" s="8">
        <v>1010308</v>
      </c>
      <c r="T41" s="264"/>
      <c r="U41" s="265"/>
      <c r="V41" s="242" t="s">
        <v>238</v>
      </c>
      <c r="W41" s="69" t="s">
        <v>3710</v>
      </c>
      <c r="X41" s="69" t="s">
        <v>3710</v>
      </c>
      <c r="Y41" s="242"/>
      <c r="Z41" s="242"/>
      <c r="AA41" s="242"/>
      <c r="AB41" s="242" t="s">
        <v>114</v>
      </c>
      <c r="AC41" s="8"/>
      <c r="AD41" s="8"/>
      <c r="AE41" s="8">
        <v>0</v>
      </c>
      <c r="AF41" s="8">
        <v>0</v>
      </c>
      <c r="AG41" s="8">
        <v>0</v>
      </c>
      <c r="AH41" s="8"/>
      <c r="AI41" s="8">
        <v>0</v>
      </c>
      <c r="AJ41" s="8">
        <v>0</v>
      </c>
      <c r="AK41" s="274"/>
      <c r="AL41" s="274"/>
      <c r="AM41" s="274"/>
      <c r="AN41" s="8"/>
      <c r="AO41" s="8"/>
      <c r="AP41" s="8"/>
      <c r="AQ41" s="8" t="s">
        <v>275</v>
      </c>
      <c r="AR41" s="284"/>
    </row>
    <row r="42" spans="1:44" ht="15" customHeight="1">
      <c r="A42" s="8">
        <v>1010309</v>
      </c>
      <c r="B42" s="5" t="s">
        <v>3638</v>
      </c>
      <c r="C42" s="224" t="s">
        <v>3711</v>
      </c>
      <c r="D42" s="8" t="s">
        <v>81</v>
      </c>
      <c r="E42" s="8" t="s">
        <v>79</v>
      </c>
      <c r="F42" s="8">
        <v>6</v>
      </c>
      <c r="G42" s="8">
        <v>1</v>
      </c>
      <c r="H42" s="8" t="s">
        <v>136</v>
      </c>
      <c r="I42" s="5" t="s">
        <v>3640</v>
      </c>
      <c r="J42" s="8"/>
      <c r="K42" s="8"/>
      <c r="L42" s="243" t="s">
        <v>277</v>
      </c>
      <c r="M42" s="241"/>
      <c r="N42" s="241"/>
      <c r="O42" s="8"/>
      <c r="P42" s="242"/>
      <c r="Q42" s="242">
        <v>0</v>
      </c>
      <c r="R42" s="242" t="s">
        <v>153</v>
      </c>
      <c r="S42" s="8">
        <v>1010309</v>
      </c>
      <c r="T42" s="264"/>
      <c r="U42" s="265"/>
      <c r="V42" s="242" t="s">
        <v>238</v>
      </c>
      <c r="W42" s="69" t="s">
        <v>3712</v>
      </c>
      <c r="X42" s="69" t="s">
        <v>3712</v>
      </c>
      <c r="Y42" s="242"/>
      <c r="Z42" s="242"/>
      <c r="AA42" s="242"/>
      <c r="AB42" s="242"/>
      <c r="AC42" s="8"/>
      <c r="AD42" s="8"/>
      <c r="AE42" s="8">
        <v>0</v>
      </c>
      <c r="AF42" s="8">
        <v>0</v>
      </c>
      <c r="AG42" s="8">
        <v>0</v>
      </c>
      <c r="AH42" s="8"/>
      <c r="AI42" s="8">
        <v>0</v>
      </c>
      <c r="AJ42" s="8">
        <v>0</v>
      </c>
      <c r="AK42" s="274"/>
      <c r="AL42" s="274"/>
      <c r="AM42" s="274"/>
      <c r="AN42" s="8"/>
      <c r="AO42" s="8"/>
      <c r="AP42" s="8"/>
      <c r="AQ42" s="8" t="s">
        <v>279</v>
      </c>
      <c r="AR42" s="284"/>
    </row>
    <row r="43" spans="1:44" ht="15" customHeight="1">
      <c r="A43" s="8">
        <v>1010310</v>
      </c>
      <c r="B43" s="5" t="s">
        <v>3638</v>
      </c>
      <c r="C43" s="224" t="s">
        <v>3713</v>
      </c>
      <c r="D43" s="8" t="s">
        <v>81</v>
      </c>
      <c r="E43" s="8" t="s">
        <v>79</v>
      </c>
      <c r="F43" s="8">
        <v>7</v>
      </c>
      <c r="G43" s="8">
        <v>1</v>
      </c>
      <c r="H43" s="8" t="s">
        <v>136</v>
      </c>
      <c r="I43" s="5" t="s">
        <v>3640</v>
      </c>
      <c r="J43" s="8"/>
      <c r="K43" s="8"/>
      <c r="L43" s="245" t="s">
        <v>281</v>
      </c>
      <c r="M43" s="241"/>
      <c r="N43" s="241"/>
      <c r="O43" s="8"/>
      <c r="P43" s="242"/>
      <c r="Q43" s="242">
        <v>0</v>
      </c>
      <c r="R43" s="242" t="s">
        <v>153</v>
      </c>
      <c r="S43" s="8">
        <v>1010310</v>
      </c>
      <c r="T43" s="264"/>
      <c r="U43" s="265"/>
      <c r="V43" s="242" t="s">
        <v>238</v>
      </c>
      <c r="W43" s="69" t="s">
        <v>3714</v>
      </c>
      <c r="X43" s="69" t="s">
        <v>3714</v>
      </c>
      <c r="Y43" s="242"/>
      <c r="Z43" s="242"/>
      <c r="AA43" s="242"/>
      <c r="AB43" s="242" t="s">
        <v>90</v>
      </c>
      <c r="AC43" s="8"/>
      <c r="AD43" s="8"/>
      <c r="AE43" s="8">
        <v>0</v>
      </c>
      <c r="AF43" s="8">
        <v>0</v>
      </c>
      <c r="AG43" s="8">
        <v>0</v>
      </c>
      <c r="AH43" s="8"/>
      <c r="AI43" s="8">
        <v>0</v>
      </c>
      <c r="AJ43" s="8">
        <v>0</v>
      </c>
      <c r="AK43" s="274"/>
      <c r="AL43" s="274"/>
      <c r="AM43" s="274"/>
      <c r="AN43" s="8"/>
      <c r="AO43" s="8"/>
      <c r="AP43" s="8"/>
      <c r="AQ43" s="8" t="s">
        <v>283</v>
      </c>
      <c r="AR43" s="284"/>
    </row>
    <row r="44" spans="1:44" ht="15" customHeight="1">
      <c r="A44" s="3">
        <v>1010311</v>
      </c>
      <c r="B44" s="5" t="s">
        <v>3638</v>
      </c>
      <c r="C44" s="224" t="s">
        <v>3715</v>
      </c>
      <c r="D44" s="3" t="s">
        <v>81</v>
      </c>
      <c r="E44" s="3" t="s">
        <v>79</v>
      </c>
      <c r="F44" s="3">
        <v>8</v>
      </c>
      <c r="G44" s="3">
        <v>1</v>
      </c>
      <c r="H44" s="3" t="s">
        <v>136</v>
      </c>
      <c r="I44" s="5" t="s">
        <v>3640</v>
      </c>
      <c r="J44" s="3"/>
      <c r="K44" s="3"/>
      <c r="L44" s="236"/>
      <c r="M44" s="99"/>
      <c r="N44" s="99"/>
      <c r="O44" s="236"/>
      <c r="P44" s="22"/>
      <c r="Q44" s="22">
        <v>0</v>
      </c>
      <c r="R44" s="22" t="s">
        <v>153</v>
      </c>
      <c r="S44" s="3"/>
      <c r="T44" s="260"/>
      <c r="U44" s="261"/>
      <c r="V44" s="22"/>
      <c r="W44" s="69" t="s">
        <v>3716</v>
      </c>
      <c r="X44" s="69" t="s">
        <v>3716</v>
      </c>
      <c r="Y44" s="22"/>
      <c r="Z44" s="22"/>
      <c r="AA44" s="22"/>
      <c r="AB44" s="22" t="s">
        <v>114</v>
      </c>
      <c r="AC44" s="3"/>
      <c r="AD44" s="3"/>
      <c r="AE44" s="3">
        <v>0</v>
      </c>
      <c r="AF44" s="3">
        <v>0</v>
      </c>
      <c r="AG44" s="3">
        <v>0</v>
      </c>
      <c r="AH44" s="3"/>
      <c r="AI44" s="3">
        <v>0</v>
      </c>
      <c r="AJ44" s="3">
        <v>0</v>
      </c>
      <c r="AK44" s="3">
        <v>0</v>
      </c>
      <c r="AL44" s="3"/>
      <c r="AM44" s="3"/>
      <c r="AN44" s="3"/>
      <c r="AO44" s="3"/>
      <c r="AP44" s="3"/>
      <c r="AQ44" s="3" t="s">
        <v>263</v>
      </c>
      <c r="AR44" s="281"/>
    </row>
    <row r="45" spans="1:44" ht="14.4" customHeight="1">
      <c r="A45" s="3">
        <v>1010312</v>
      </c>
      <c r="B45" s="5" t="s">
        <v>3638</v>
      </c>
      <c r="C45" s="224" t="s">
        <v>3717</v>
      </c>
      <c r="D45" s="3" t="s">
        <v>81</v>
      </c>
      <c r="E45" s="3" t="s">
        <v>79</v>
      </c>
      <c r="F45" s="3">
        <v>9</v>
      </c>
      <c r="G45" s="3">
        <v>1</v>
      </c>
      <c r="H45" s="3" t="s">
        <v>136</v>
      </c>
      <c r="I45" s="5" t="s">
        <v>3640</v>
      </c>
      <c r="J45" s="3"/>
      <c r="K45" s="3"/>
      <c r="L45" s="236"/>
      <c r="M45" s="99"/>
      <c r="N45" s="99"/>
      <c r="O45" s="236"/>
      <c r="P45" s="22"/>
      <c r="Q45" s="22">
        <v>0</v>
      </c>
      <c r="R45" s="22" t="s">
        <v>153</v>
      </c>
      <c r="S45" s="3"/>
      <c r="T45" s="260"/>
      <c r="U45" s="261"/>
      <c r="V45" s="22"/>
      <c r="W45" s="69" t="s">
        <v>3718</v>
      </c>
      <c r="X45" s="69" t="s">
        <v>3718</v>
      </c>
      <c r="Y45" s="22"/>
      <c r="Z45" s="22"/>
      <c r="AA45" s="22"/>
      <c r="AB45" s="22" t="s">
        <v>114</v>
      </c>
      <c r="AC45" s="3"/>
      <c r="AD45" s="3"/>
      <c r="AE45" s="3">
        <v>0</v>
      </c>
      <c r="AF45" s="3">
        <v>0</v>
      </c>
      <c r="AG45" s="3">
        <v>0</v>
      </c>
      <c r="AH45" s="3"/>
      <c r="AI45" s="3">
        <v>0</v>
      </c>
      <c r="AJ45" s="3">
        <v>0</v>
      </c>
      <c r="AK45" s="3">
        <v>0</v>
      </c>
      <c r="AL45" s="3"/>
      <c r="AM45" s="3"/>
      <c r="AN45" s="3"/>
      <c r="AO45" s="3"/>
      <c r="AP45" s="3"/>
      <c r="AQ45" s="282" t="s">
        <v>288</v>
      </c>
      <c r="AR45" s="281"/>
    </row>
    <row r="46" spans="1:44" ht="15" customHeight="1">
      <c r="A46" s="3">
        <v>1010313</v>
      </c>
      <c r="B46" s="5" t="s">
        <v>3638</v>
      </c>
      <c r="C46" s="224" t="s">
        <v>3719</v>
      </c>
      <c r="D46" s="3" t="s">
        <v>81</v>
      </c>
      <c r="E46" s="3" t="s">
        <v>79</v>
      </c>
      <c r="F46" s="3">
        <v>10</v>
      </c>
      <c r="G46" s="3">
        <v>1</v>
      </c>
      <c r="H46" s="3" t="s">
        <v>136</v>
      </c>
      <c r="I46" s="5" t="s">
        <v>3640</v>
      </c>
      <c r="J46" s="3"/>
      <c r="K46" s="3"/>
      <c r="L46" s="246"/>
      <c r="M46" s="99"/>
      <c r="N46" s="99"/>
      <c r="O46" s="236"/>
      <c r="P46" s="22"/>
      <c r="Q46" s="22">
        <v>0</v>
      </c>
      <c r="R46" s="22" t="s">
        <v>153</v>
      </c>
      <c r="S46" s="3"/>
      <c r="T46" s="260"/>
      <c r="U46" s="261"/>
      <c r="V46" s="22"/>
      <c r="W46" s="69" t="s">
        <v>3720</v>
      </c>
      <c r="X46" s="69" t="s">
        <v>3720</v>
      </c>
      <c r="Y46" s="22"/>
      <c r="Z46" s="22"/>
      <c r="AA46" s="22"/>
      <c r="AB46" s="22" t="s">
        <v>114</v>
      </c>
      <c r="AC46" s="3"/>
      <c r="AD46" s="3"/>
      <c r="AE46" s="3">
        <v>0</v>
      </c>
      <c r="AF46" s="3">
        <v>0</v>
      </c>
      <c r="AG46" s="3">
        <v>0</v>
      </c>
      <c r="AH46" s="3"/>
      <c r="AI46" s="3">
        <v>0</v>
      </c>
      <c r="AJ46" s="3">
        <v>0</v>
      </c>
      <c r="AK46" s="3">
        <v>0</v>
      </c>
      <c r="AL46" s="3"/>
      <c r="AM46" s="3"/>
      <c r="AN46" s="3"/>
      <c r="AO46" s="3"/>
      <c r="AP46" s="3"/>
      <c r="AQ46" s="282" t="s">
        <v>291</v>
      </c>
      <c r="AR46" s="281"/>
    </row>
    <row r="47" spans="1:44" ht="15" customHeight="1">
      <c r="A47" s="8">
        <v>1010401</v>
      </c>
      <c r="B47" s="5" t="s">
        <v>3638</v>
      </c>
      <c r="C47" s="224" t="s">
        <v>3721</v>
      </c>
      <c r="D47" s="8" t="s">
        <v>81</v>
      </c>
      <c r="E47" s="8" t="s">
        <v>79</v>
      </c>
      <c r="F47" s="8">
        <v>1</v>
      </c>
      <c r="G47" s="8">
        <v>1</v>
      </c>
      <c r="H47" s="8" t="s">
        <v>82</v>
      </c>
      <c r="I47" s="5" t="s">
        <v>3640</v>
      </c>
      <c r="J47" s="8"/>
      <c r="K47" s="8">
        <v>1</v>
      </c>
      <c r="L47" s="240" t="s">
        <v>236</v>
      </c>
      <c r="M47" s="241"/>
      <c r="N47" s="241"/>
      <c r="O47" s="8"/>
      <c r="P47" s="242">
        <v>2</v>
      </c>
      <c r="Q47" s="242">
        <v>0</v>
      </c>
      <c r="R47" s="242" t="s">
        <v>85</v>
      </c>
      <c r="S47" s="8">
        <v>1010301</v>
      </c>
      <c r="T47" s="264">
        <v>0</v>
      </c>
      <c r="U47" s="265" t="s">
        <v>294</v>
      </c>
      <c r="V47" s="242" t="s">
        <v>238</v>
      </c>
      <c r="W47" s="69" t="s">
        <v>3722</v>
      </c>
      <c r="X47" s="69" t="s">
        <v>3722</v>
      </c>
      <c r="Y47" s="242"/>
      <c r="Z47" s="242"/>
      <c r="AA47" s="242">
        <v>1</v>
      </c>
      <c r="AB47" s="242" t="s">
        <v>90</v>
      </c>
      <c r="AC47" s="8"/>
      <c r="AD47" s="8"/>
      <c r="AE47" s="8">
        <v>1</v>
      </c>
      <c r="AF47" s="8">
        <v>2</v>
      </c>
      <c r="AG47" s="8">
        <v>7</v>
      </c>
      <c r="AH47" s="8"/>
      <c r="AI47" s="8">
        <v>39</v>
      </c>
      <c r="AJ47" s="8">
        <v>26</v>
      </c>
      <c r="AK47" s="274"/>
      <c r="AL47" s="274"/>
      <c r="AM47" s="274"/>
      <c r="AN47" s="275" t="s">
        <v>296</v>
      </c>
      <c r="AO47" s="275"/>
      <c r="AP47" s="275"/>
      <c r="AQ47" s="8" t="str">
        <f t="shared" ref="AQ47:AQ59" si="0">"tricks/"&amp;A47</f>
        <v>tricks/1010401</v>
      </c>
      <c r="AR47" s="284">
        <v>366</v>
      </c>
    </row>
    <row r="48" spans="1:44" ht="15" customHeight="1">
      <c r="A48" s="8">
        <v>1010402</v>
      </c>
      <c r="B48" s="5" t="s">
        <v>3638</v>
      </c>
      <c r="C48" s="224" t="s">
        <v>3723</v>
      </c>
      <c r="D48" s="8" t="s">
        <v>81</v>
      </c>
      <c r="E48" s="8" t="s">
        <v>79</v>
      </c>
      <c r="F48" s="8">
        <v>1</v>
      </c>
      <c r="G48" s="8">
        <v>1</v>
      </c>
      <c r="H48" s="8" t="s">
        <v>136</v>
      </c>
      <c r="I48" s="5" t="s">
        <v>3640</v>
      </c>
      <c r="J48" s="8"/>
      <c r="K48" s="8"/>
      <c r="L48" s="243" t="s">
        <v>244</v>
      </c>
      <c r="M48" s="241"/>
      <c r="N48" s="241"/>
      <c r="O48" s="8"/>
      <c r="P48" s="242">
        <v>3</v>
      </c>
      <c r="Q48" s="242">
        <v>0</v>
      </c>
      <c r="R48" s="242" t="s">
        <v>153</v>
      </c>
      <c r="S48" s="8">
        <v>1010302</v>
      </c>
      <c r="T48" s="264">
        <v>0</v>
      </c>
      <c r="U48" s="265"/>
      <c r="V48" s="242" t="s">
        <v>238</v>
      </c>
      <c r="W48" s="69" t="s">
        <v>3724</v>
      </c>
      <c r="X48" s="69" t="s">
        <v>3724</v>
      </c>
      <c r="Y48" s="242"/>
      <c r="Z48" s="242"/>
      <c r="AA48" s="242">
        <v>1</v>
      </c>
      <c r="AB48" s="242"/>
      <c r="AC48" s="8"/>
      <c r="AD48" s="8"/>
      <c r="AE48" s="8">
        <v>0</v>
      </c>
      <c r="AF48" s="8">
        <v>0</v>
      </c>
      <c r="AG48" s="8">
        <v>0</v>
      </c>
      <c r="AH48" s="8"/>
      <c r="AI48" s="8">
        <v>0</v>
      </c>
      <c r="AJ48" s="8">
        <v>0</v>
      </c>
      <c r="AK48" s="274"/>
      <c r="AL48" s="274"/>
      <c r="AM48" s="274"/>
      <c r="AN48" s="8"/>
      <c r="AO48" s="275"/>
      <c r="AP48" s="275"/>
      <c r="AQ48" s="8" t="str">
        <f t="shared" si="0"/>
        <v>tricks/1010402</v>
      </c>
      <c r="AR48" s="284"/>
    </row>
    <row r="49" spans="1:44" ht="15" customHeight="1">
      <c r="A49" s="8">
        <v>1010403</v>
      </c>
      <c r="B49" s="5" t="s">
        <v>3638</v>
      </c>
      <c r="C49" s="224" t="s">
        <v>3725</v>
      </c>
      <c r="D49" s="8" t="s">
        <v>81</v>
      </c>
      <c r="E49" s="8" t="s">
        <v>79</v>
      </c>
      <c r="F49" s="8">
        <v>1</v>
      </c>
      <c r="G49" s="8">
        <v>1</v>
      </c>
      <c r="H49" s="8" t="s">
        <v>82</v>
      </c>
      <c r="I49" s="5" t="s">
        <v>3640</v>
      </c>
      <c r="J49" s="8"/>
      <c r="K49" s="8">
        <v>2</v>
      </c>
      <c r="L49" s="247" t="s">
        <v>248</v>
      </c>
      <c r="M49" s="241"/>
      <c r="N49" s="241"/>
      <c r="O49" s="8"/>
      <c r="P49" s="242">
        <v>1</v>
      </c>
      <c r="Q49" s="242">
        <v>0</v>
      </c>
      <c r="R49" s="242" t="s">
        <v>85</v>
      </c>
      <c r="S49" s="8">
        <v>1010303</v>
      </c>
      <c r="T49" s="264">
        <v>0</v>
      </c>
      <c r="U49" s="265" t="s">
        <v>300</v>
      </c>
      <c r="V49" s="242" t="s">
        <v>238</v>
      </c>
      <c r="W49" s="69" t="s">
        <v>3726</v>
      </c>
      <c r="X49" s="69" t="s">
        <v>3726</v>
      </c>
      <c r="Y49" s="242"/>
      <c r="Z49" s="242"/>
      <c r="AA49" s="242">
        <v>1</v>
      </c>
      <c r="AB49" s="242" t="s">
        <v>90</v>
      </c>
      <c r="AC49" s="8"/>
      <c r="AD49" s="8"/>
      <c r="AE49" s="8">
        <v>1</v>
      </c>
      <c r="AF49" s="8">
        <v>1</v>
      </c>
      <c r="AG49" s="8">
        <v>4</v>
      </c>
      <c r="AH49" s="8"/>
      <c r="AI49" s="8">
        <v>39</v>
      </c>
      <c r="AJ49" s="8">
        <v>26</v>
      </c>
      <c r="AK49" s="274"/>
      <c r="AL49" s="274"/>
      <c r="AM49" s="274"/>
      <c r="AN49" s="276" t="s">
        <v>302</v>
      </c>
      <c r="AO49" s="275"/>
      <c r="AP49" s="275"/>
      <c r="AQ49" s="8" t="str">
        <f t="shared" si="0"/>
        <v>tricks/1010403</v>
      </c>
      <c r="AR49" s="284">
        <v>367</v>
      </c>
    </row>
    <row r="50" spans="1:44" ht="15" customHeight="1">
      <c r="A50" s="8">
        <v>1010404</v>
      </c>
      <c r="B50" s="5" t="s">
        <v>3638</v>
      </c>
      <c r="C50" s="224" t="s">
        <v>3727</v>
      </c>
      <c r="D50" s="8" t="s">
        <v>81</v>
      </c>
      <c r="E50" s="8" t="s">
        <v>79</v>
      </c>
      <c r="F50" s="8">
        <v>2</v>
      </c>
      <c r="G50" s="8">
        <v>1</v>
      </c>
      <c r="H50" s="8" t="s">
        <v>136</v>
      </c>
      <c r="I50" s="5" t="s">
        <v>3640</v>
      </c>
      <c r="J50" s="8"/>
      <c r="K50" s="8"/>
      <c r="L50" s="244" t="s">
        <v>254</v>
      </c>
      <c r="M50" s="8"/>
      <c r="N50" s="8"/>
      <c r="O50" s="8"/>
      <c r="P50" s="8"/>
      <c r="Q50" s="242">
        <v>0</v>
      </c>
      <c r="R50" s="242" t="s">
        <v>153</v>
      </c>
      <c r="S50" s="8">
        <v>1010304</v>
      </c>
      <c r="T50" s="266"/>
      <c r="U50" s="267"/>
      <c r="V50" s="242" t="s">
        <v>238</v>
      </c>
      <c r="W50" s="69" t="s">
        <v>3728</v>
      </c>
      <c r="X50" s="69" t="s">
        <v>3728</v>
      </c>
      <c r="Y50" s="8"/>
      <c r="Z50" s="8"/>
      <c r="AA50" s="242">
        <v>2</v>
      </c>
      <c r="AB50" s="242" t="s">
        <v>114</v>
      </c>
      <c r="AC50" s="8"/>
      <c r="AD50" s="8"/>
      <c r="AE50" s="8">
        <v>0</v>
      </c>
      <c r="AF50" s="8">
        <v>0</v>
      </c>
      <c r="AG50" s="8">
        <v>0</v>
      </c>
      <c r="AH50" s="8"/>
      <c r="AI50" s="8">
        <v>0</v>
      </c>
      <c r="AJ50" s="8">
        <v>0</v>
      </c>
      <c r="AK50" s="274"/>
      <c r="AL50" s="274"/>
      <c r="AM50" s="274"/>
      <c r="AN50" s="275"/>
      <c r="AO50" s="275"/>
      <c r="AP50" s="275"/>
      <c r="AQ50" s="8" t="str">
        <f t="shared" si="0"/>
        <v>tricks/1010404</v>
      </c>
      <c r="AR50" s="284"/>
    </row>
    <row r="51" spans="1:44" ht="15" customHeight="1">
      <c r="A51" s="8">
        <v>1010405</v>
      </c>
      <c r="B51" s="5" t="s">
        <v>3638</v>
      </c>
      <c r="C51" s="224" t="s">
        <v>3729</v>
      </c>
      <c r="D51" s="8" t="s">
        <v>81</v>
      </c>
      <c r="E51" s="8" t="s">
        <v>79</v>
      </c>
      <c r="F51" s="8">
        <v>1</v>
      </c>
      <c r="G51" s="8">
        <v>1</v>
      </c>
      <c r="H51" s="8" t="s">
        <v>82</v>
      </c>
      <c r="I51" s="5" t="s">
        <v>3640</v>
      </c>
      <c r="J51" s="8"/>
      <c r="K51" s="8">
        <v>3</v>
      </c>
      <c r="L51" s="240" t="s">
        <v>258</v>
      </c>
      <c r="M51" s="241"/>
      <c r="N51" s="241"/>
      <c r="O51" s="8"/>
      <c r="P51" s="242">
        <v>2</v>
      </c>
      <c r="Q51" s="242">
        <v>0</v>
      </c>
      <c r="R51" s="242" t="s">
        <v>85</v>
      </c>
      <c r="S51" s="8">
        <v>1010305</v>
      </c>
      <c r="T51" s="264"/>
      <c r="U51" s="265" t="s">
        <v>306</v>
      </c>
      <c r="V51" s="242" t="s">
        <v>238</v>
      </c>
      <c r="W51" s="57" t="s">
        <v>3730</v>
      </c>
      <c r="X51" s="57" t="s">
        <v>3730</v>
      </c>
      <c r="Y51" s="242"/>
      <c r="Z51" s="242"/>
      <c r="AA51" s="242">
        <v>2</v>
      </c>
      <c r="AB51" s="242" t="s">
        <v>90</v>
      </c>
      <c r="AC51" s="8"/>
      <c r="AD51" s="8"/>
      <c r="AE51" s="8">
        <v>1</v>
      </c>
      <c r="AF51" s="8">
        <v>1</v>
      </c>
      <c r="AG51" s="8">
        <v>5</v>
      </c>
      <c r="AH51" s="8"/>
      <c r="AI51" s="8">
        <v>39</v>
      </c>
      <c r="AJ51" s="8">
        <v>26</v>
      </c>
      <c r="AK51" s="274"/>
      <c r="AL51" s="274"/>
      <c r="AM51" s="274"/>
      <c r="AN51" s="276" t="s">
        <v>308</v>
      </c>
      <c r="AO51" s="275"/>
      <c r="AP51" s="275"/>
      <c r="AQ51" s="8" t="str">
        <f t="shared" si="0"/>
        <v>tricks/1010405</v>
      </c>
      <c r="AR51" s="284">
        <v>368</v>
      </c>
    </row>
    <row r="52" spans="1:44" ht="15" customHeight="1">
      <c r="A52" s="8">
        <v>1010406</v>
      </c>
      <c r="B52" s="5" t="s">
        <v>3638</v>
      </c>
      <c r="C52" s="224" t="s">
        <v>3731</v>
      </c>
      <c r="D52" s="8" t="s">
        <v>81</v>
      </c>
      <c r="E52" s="8" t="s">
        <v>79</v>
      </c>
      <c r="F52" s="8">
        <v>3</v>
      </c>
      <c r="G52" s="8">
        <v>1</v>
      </c>
      <c r="H52" s="8" t="s">
        <v>136</v>
      </c>
      <c r="I52" s="5" t="s">
        <v>3640</v>
      </c>
      <c r="J52" s="8"/>
      <c r="K52" s="8"/>
      <c r="L52" s="243" t="s">
        <v>265</v>
      </c>
      <c r="M52" s="241"/>
      <c r="N52" s="241"/>
      <c r="O52" s="8"/>
      <c r="P52" s="242"/>
      <c r="Q52" s="242">
        <v>0</v>
      </c>
      <c r="R52" s="242" t="s">
        <v>153</v>
      </c>
      <c r="S52" s="8">
        <v>1010306</v>
      </c>
      <c r="T52" s="264"/>
      <c r="U52" s="265"/>
      <c r="V52" s="242" t="s">
        <v>238</v>
      </c>
      <c r="W52" s="57" t="s">
        <v>3732</v>
      </c>
      <c r="X52" s="57" t="s">
        <v>3732</v>
      </c>
      <c r="Y52" s="242"/>
      <c r="Z52" s="242"/>
      <c r="AA52" s="242"/>
      <c r="AB52" s="242" t="s">
        <v>114</v>
      </c>
      <c r="AC52" s="8"/>
      <c r="AD52" s="8"/>
      <c r="AE52" s="8">
        <v>0</v>
      </c>
      <c r="AF52" s="8">
        <v>0</v>
      </c>
      <c r="AG52" s="8">
        <v>10</v>
      </c>
      <c r="AH52" s="8"/>
      <c r="AI52" s="8">
        <v>0</v>
      </c>
      <c r="AJ52" s="8">
        <v>0</v>
      </c>
      <c r="AK52" s="274"/>
      <c r="AL52" s="274"/>
      <c r="AM52" s="274"/>
      <c r="AN52" s="8"/>
      <c r="AO52" s="8"/>
      <c r="AP52" s="8"/>
      <c r="AQ52" s="8" t="str">
        <f t="shared" si="0"/>
        <v>tricks/1010406</v>
      </c>
      <c r="AR52" s="284"/>
    </row>
    <row r="53" spans="1:44" ht="15" customHeight="1">
      <c r="A53" s="8">
        <v>1010407</v>
      </c>
      <c r="B53" s="5" t="s">
        <v>3638</v>
      </c>
      <c r="C53" s="224" t="s">
        <v>3733</v>
      </c>
      <c r="D53" s="8" t="s">
        <v>81</v>
      </c>
      <c r="E53" s="8" t="s">
        <v>79</v>
      </c>
      <c r="F53" s="8">
        <v>4</v>
      </c>
      <c r="G53" s="8">
        <v>1</v>
      </c>
      <c r="H53" s="8" t="s">
        <v>136</v>
      </c>
      <c r="I53" s="5" t="s">
        <v>3640</v>
      </c>
      <c r="J53" s="8"/>
      <c r="K53" s="8"/>
      <c r="L53" s="244" t="s">
        <v>269</v>
      </c>
      <c r="M53" s="241"/>
      <c r="N53" s="241"/>
      <c r="O53" s="8"/>
      <c r="P53" s="242"/>
      <c r="Q53" s="242">
        <v>0</v>
      </c>
      <c r="R53" s="242" t="s">
        <v>153</v>
      </c>
      <c r="S53" s="8">
        <v>1010307</v>
      </c>
      <c r="T53" s="264"/>
      <c r="U53" s="265"/>
      <c r="V53" s="242" t="s">
        <v>238</v>
      </c>
      <c r="W53" s="57" t="s">
        <v>3734</v>
      </c>
      <c r="X53" s="57" t="s">
        <v>3734</v>
      </c>
      <c r="Y53" s="242"/>
      <c r="Z53" s="242"/>
      <c r="AA53" s="242"/>
      <c r="AB53" s="242" t="s">
        <v>90</v>
      </c>
      <c r="AC53" s="8"/>
      <c r="AD53" s="8"/>
      <c r="AE53" s="8">
        <v>0</v>
      </c>
      <c r="AF53" s="8">
        <v>0</v>
      </c>
      <c r="AG53" s="8">
        <v>0</v>
      </c>
      <c r="AH53" s="8"/>
      <c r="AI53" s="8">
        <v>0</v>
      </c>
      <c r="AJ53" s="8">
        <v>0</v>
      </c>
      <c r="AK53" s="274"/>
      <c r="AL53" s="274"/>
      <c r="AM53" s="274"/>
      <c r="AN53" s="8"/>
      <c r="AO53" s="8"/>
      <c r="AP53" s="8"/>
      <c r="AQ53" s="8" t="str">
        <f t="shared" si="0"/>
        <v>tricks/1010407</v>
      </c>
      <c r="AR53" s="284"/>
    </row>
    <row r="54" spans="1:44" ht="15" customHeight="1">
      <c r="A54" s="8">
        <v>1010408</v>
      </c>
      <c r="B54" s="5" t="s">
        <v>3638</v>
      </c>
      <c r="C54" s="224" t="s">
        <v>3735</v>
      </c>
      <c r="D54" s="8" t="s">
        <v>81</v>
      </c>
      <c r="E54" s="8" t="s">
        <v>79</v>
      </c>
      <c r="F54" s="8">
        <v>5</v>
      </c>
      <c r="G54" s="8">
        <v>1</v>
      </c>
      <c r="H54" s="8" t="s">
        <v>136</v>
      </c>
      <c r="I54" s="5" t="s">
        <v>3640</v>
      </c>
      <c r="J54" s="8"/>
      <c r="K54" s="8"/>
      <c r="L54" s="243" t="s">
        <v>273</v>
      </c>
      <c r="M54" s="241"/>
      <c r="N54" s="241"/>
      <c r="O54" s="8"/>
      <c r="P54" s="242"/>
      <c r="Q54" s="242">
        <v>0</v>
      </c>
      <c r="R54" s="242" t="s">
        <v>153</v>
      </c>
      <c r="S54" s="8">
        <v>1010308</v>
      </c>
      <c r="T54" s="264"/>
      <c r="U54" s="265"/>
      <c r="V54" s="242" t="s">
        <v>238</v>
      </c>
      <c r="W54" s="57" t="s">
        <v>3736</v>
      </c>
      <c r="X54" s="57" t="s">
        <v>3736</v>
      </c>
      <c r="Y54" s="242"/>
      <c r="Z54" s="242"/>
      <c r="AA54" s="242"/>
      <c r="AB54" s="242" t="s">
        <v>114</v>
      </c>
      <c r="AC54" s="8"/>
      <c r="AD54" s="8"/>
      <c r="AE54" s="8">
        <v>0</v>
      </c>
      <c r="AF54" s="8">
        <v>0</v>
      </c>
      <c r="AG54" s="8">
        <v>0</v>
      </c>
      <c r="AH54" s="8"/>
      <c r="AI54" s="8">
        <v>0</v>
      </c>
      <c r="AJ54" s="8">
        <v>0</v>
      </c>
      <c r="AK54" s="274"/>
      <c r="AL54" s="274"/>
      <c r="AM54" s="274"/>
      <c r="AN54" s="8"/>
      <c r="AO54" s="8"/>
      <c r="AP54" s="8"/>
      <c r="AQ54" s="8" t="str">
        <f t="shared" si="0"/>
        <v>tricks/1010408</v>
      </c>
      <c r="AR54" s="284"/>
    </row>
    <row r="55" spans="1:44" ht="15" customHeight="1">
      <c r="A55" s="8">
        <v>1010409</v>
      </c>
      <c r="B55" s="5" t="s">
        <v>3638</v>
      </c>
      <c r="C55" s="224" t="s">
        <v>3737</v>
      </c>
      <c r="D55" s="8" t="s">
        <v>81</v>
      </c>
      <c r="E55" s="8" t="s">
        <v>79</v>
      </c>
      <c r="F55" s="8">
        <v>6</v>
      </c>
      <c r="G55" s="8">
        <v>1</v>
      </c>
      <c r="H55" s="8" t="s">
        <v>136</v>
      </c>
      <c r="I55" s="5" t="s">
        <v>3640</v>
      </c>
      <c r="J55" s="8"/>
      <c r="K55" s="8"/>
      <c r="L55" s="243" t="s">
        <v>277</v>
      </c>
      <c r="M55" s="241"/>
      <c r="N55" s="241"/>
      <c r="O55" s="8"/>
      <c r="P55" s="242"/>
      <c r="Q55" s="242">
        <v>0</v>
      </c>
      <c r="R55" s="242" t="s">
        <v>153</v>
      </c>
      <c r="S55" s="8">
        <v>1010309</v>
      </c>
      <c r="T55" s="264"/>
      <c r="U55" s="265"/>
      <c r="V55" s="242" t="s">
        <v>238</v>
      </c>
      <c r="W55" s="57" t="s">
        <v>3738</v>
      </c>
      <c r="X55" s="57" t="s">
        <v>3738</v>
      </c>
      <c r="Y55" s="242"/>
      <c r="Z55" s="242"/>
      <c r="AA55" s="242"/>
      <c r="AB55" s="242"/>
      <c r="AC55" s="8"/>
      <c r="AD55" s="8"/>
      <c r="AE55" s="8">
        <v>0</v>
      </c>
      <c r="AF55" s="8">
        <v>0</v>
      </c>
      <c r="AG55" s="8">
        <v>0</v>
      </c>
      <c r="AH55" s="8"/>
      <c r="AI55" s="8">
        <v>0</v>
      </c>
      <c r="AJ55" s="8">
        <v>0</v>
      </c>
      <c r="AK55" s="274"/>
      <c r="AL55" s="274"/>
      <c r="AM55" s="274"/>
      <c r="AN55" s="8"/>
      <c r="AO55" s="8"/>
      <c r="AP55" s="8"/>
      <c r="AQ55" s="8" t="str">
        <f t="shared" si="0"/>
        <v>tricks/1010409</v>
      </c>
      <c r="AR55" s="284"/>
    </row>
    <row r="56" spans="1:44" ht="15" customHeight="1">
      <c r="A56" s="8">
        <v>1010410</v>
      </c>
      <c r="B56" s="5" t="s">
        <v>3638</v>
      </c>
      <c r="C56" s="224" t="s">
        <v>3739</v>
      </c>
      <c r="D56" s="8" t="s">
        <v>81</v>
      </c>
      <c r="E56" s="8" t="s">
        <v>79</v>
      </c>
      <c r="F56" s="8">
        <v>7</v>
      </c>
      <c r="G56" s="8">
        <v>1</v>
      </c>
      <c r="H56" s="8" t="s">
        <v>136</v>
      </c>
      <c r="I56" s="5" t="s">
        <v>3640</v>
      </c>
      <c r="J56" s="8"/>
      <c r="K56" s="8"/>
      <c r="L56" s="245" t="s">
        <v>281</v>
      </c>
      <c r="M56" s="241"/>
      <c r="N56" s="241"/>
      <c r="O56" s="8"/>
      <c r="P56" s="242"/>
      <c r="Q56" s="242">
        <v>0</v>
      </c>
      <c r="R56" s="242" t="s">
        <v>153</v>
      </c>
      <c r="S56" s="8">
        <v>1010310</v>
      </c>
      <c r="T56" s="264"/>
      <c r="U56" s="265"/>
      <c r="V56" s="242" t="s">
        <v>238</v>
      </c>
      <c r="W56" s="57" t="s">
        <v>3740</v>
      </c>
      <c r="X56" s="57" t="s">
        <v>3740</v>
      </c>
      <c r="Y56" s="242"/>
      <c r="Z56" s="242"/>
      <c r="AA56" s="242"/>
      <c r="AB56" s="242" t="s">
        <v>90</v>
      </c>
      <c r="AC56" s="8"/>
      <c r="AD56" s="8"/>
      <c r="AE56" s="8">
        <v>0</v>
      </c>
      <c r="AF56" s="8">
        <v>0</v>
      </c>
      <c r="AG56" s="8">
        <v>0</v>
      </c>
      <c r="AH56" s="8"/>
      <c r="AI56" s="8">
        <v>0</v>
      </c>
      <c r="AJ56" s="8">
        <v>0</v>
      </c>
      <c r="AK56" s="274"/>
      <c r="AL56" s="274"/>
      <c r="AM56" s="274"/>
      <c r="AN56" s="8"/>
      <c r="AO56" s="8"/>
      <c r="AP56" s="8"/>
      <c r="AQ56" s="8" t="str">
        <f t="shared" si="0"/>
        <v>tricks/1010410</v>
      </c>
      <c r="AR56" s="284"/>
    </row>
    <row r="57" spans="1:44" ht="15" customHeight="1">
      <c r="A57" s="3">
        <v>1010411</v>
      </c>
      <c r="B57" s="5" t="s">
        <v>3638</v>
      </c>
      <c r="C57" s="224" t="s">
        <v>3741</v>
      </c>
      <c r="D57" s="3" t="s">
        <v>81</v>
      </c>
      <c r="E57" s="3" t="s">
        <v>79</v>
      </c>
      <c r="F57" s="3">
        <v>8</v>
      </c>
      <c r="G57" s="3">
        <v>1</v>
      </c>
      <c r="H57" s="3" t="s">
        <v>136</v>
      </c>
      <c r="I57" s="5" t="s">
        <v>3640</v>
      </c>
      <c r="J57" s="3"/>
      <c r="K57" s="3"/>
      <c r="L57" s="236"/>
      <c r="M57" s="99"/>
      <c r="N57" s="99"/>
      <c r="O57" s="236"/>
      <c r="P57" s="22"/>
      <c r="Q57" s="22">
        <v>0</v>
      </c>
      <c r="R57" s="22" t="s">
        <v>153</v>
      </c>
      <c r="S57" s="3"/>
      <c r="T57" s="260"/>
      <c r="U57" s="261"/>
      <c r="V57" s="22"/>
      <c r="W57" s="57" t="s">
        <v>3716</v>
      </c>
      <c r="X57" s="57" t="s">
        <v>3716</v>
      </c>
      <c r="Y57" s="22"/>
      <c r="Z57" s="22"/>
      <c r="AA57" s="22"/>
      <c r="AB57" s="22" t="s">
        <v>114</v>
      </c>
      <c r="AC57" s="3"/>
      <c r="AD57" s="3"/>
      <c r="AE57" s="3">
        <v>0</v>
      </c>
      <c r="AF57" s="3">
        <v>0</v>
      </c>
      <c r="AG57" s="3">
        <v>0</v>
      </c>
      <c r="AH57" s="3"/>
      <c r="AI57" s="3">
        <v>0</v>
      </c>
      <c r="AJ57" s="3">
        <v>0</v>
      </c>
      <c r="AK57" s="3">
        <v>0</v>
      </c>
      <c r="AL57" s="3"/>
      <c r="AM57" s="3"/>
      <c r="AN57" s="3"/>
      <c r="AO57" s="3"/>
      <c r="AP57" s="3"/>
      <c r="AQ57" s="8" t="str">
        <f t="shared" si="0"/>
        <v>tricks/1010411</v>
      </c>
      <c r="AR57" s="281"/>
    </row>
    <row r="58" spans="1:44" ht="15" customHeight="1">
      <c r="A58" s="3">
        <v>1010412</v>
      </c>
      <c r="B58" s="5" t="s">
        <v>3638</v>
      </c>
      <c r="C58" s="224" t="s">
        <v>3742</v>
      </c>
      <c r="D58" s="3" t="s">
        <v>81</v>
      </c>
      <c r="E58" s="3" t="s">
        <v>79</v>
      </c>
      <c r="F58" s="3">
        <v>9</v>
      </c>
      <c r="G58" s="3">
        <v>1</v>
      </c>
      <c r="H58" s="3" t="s">
        <v>136</v>
      </c>
      <c r="I58" s="5" t="s">
        <v>3640</v>
      </c>
      <c r="J58" s="3"/>
      <c r="K58" s="3"/>
      <c r="L58" s="236"/>
      <c r="M58" s="99"/>
      <c r="N58" s="99"/>
      <c r="O58" s="236"/>
      <c r="P58" s="22"/>
      <c r="Q58" s="22">
        <v>0</v>
      </c>
      <c r="R58" s="22" t="s">
        <v>153</v>
      </c>
      <c r="S58" s="3"/>
      <c r="T58" s="260"/>
      <c r="U58" s="261"/>
      <c r="V58" s="22"/>
      <c r="W58" s="57" t="s">
        <v>3743</v>
      </c>
      <c r="X58" s="57" t="s">
        <v>3743</v>
      </c>
      <c r="Y58" s="22"/>
      <c r="Z58" s="22"/>
      <c r="AA58" s="22"/>
      <c r="AB58" s="22" t="s">
        <v>114</v>
      </c>
      <c r="AC58" s="3"/>
      <c r="AD58" s="3"/>
      <c r="AE58" s="3">
        <v>0</v>
      </c>
      <c r="AF58" s="3">
        <v>0</v>
      </c>
      <c r="AG58" s="3">
        <v>0</v>
      </c>
      <c r="AH58" s="3"/>
      <c r="AI58" s="3">
        <v>0</v>
      </c>
      <c r="AJ58" s="3">
        <v>0</v>
      </c>
      <c r="AK58" s="3">
        <v>0</v>
      </c>
      <c r="AL58" s="3"/>
      <c r="AM58" s="3"/>
      <c r="AN58" s="3"/>
      <c r="AO58" s="3"/>
      <c r="AP58" s="3"/>
      <c r="AQ58" s="8" t="str">
        <f t="shared" si="0"/>
        <v>tricks/1010412</v>
      </c>
      <c r="AR58" s="281"/>
    </row>
    <row r="59" spans="1:44" ht="15" customHeight="1">
      <c r="A59" s="3">
        <v>1010413</v>
      </c>
      <c r="B59" s="5" t="s">
        <v>3638</v>
      </c>
      <c r="C59" s="224" t="s">
        <v>3744</v>
      </c>
      <c r="D59" s="3" t="s">
        <v>81</v>
      </c>
      <c r="E59" s="3" t="s">
        <v>79</v>
      </c>
      <c r="F59" s="3">
        <v>10</v>
      </c>
      <c r="G59" s="3">
        <v>1</v>
      </c>
      <c r="H59" s="3" t="s">
        <v>136</v>
      </c>
      <c r="I59" s="5" t="s">
        <v>3640</v>
      </c>
      <c r="J59" s="3"/>
      <c r="K59" s="3"/>
      <c r="L59" s="236"/>
      <c r="M59" s="99"/>
      <c r="N59" s="99"/>
      <c r="O59" s="236"/>
      <c r="P59" s="22"/>
      <c r="Q59" s="22">
        <v>0</v>
      </c>
      <c r="R59" s="22" t="s">
        <v>153</v>
      </c>
      <c r="S59" s="3"/>
      <c r="T59" s="260"/>
      <c r="U59" s="261"/>
      <c r="V59" s="22"/>
      <c r="W59" s="57" t="s">
        <v>3745</v>
      </c>
      <c r="X59" s="57" t="s">
        <v>3745</v>
      </c>
      <c r="Y59" s="22"/>
      <c r="Z59" s="22"/>
      <c r="AA59" s="22"/>
      <c r="AB59" s="22" t="s">
        <v>114</v>
      </c>
      <c r="AC59" s="3"/>
      <c r="AD59" s="3"/>
      <c r="AE59" s="3">
        <v>0</v>
      </c>
      <c r="AF59" s="3">
        <v>0</v>
      </c>
      <c r="AG59" s="3">
        <v>0</v>
      </c>
      <c r="AH59" s="3"/>
      <c r="AI59" s="3">
        <v>0</v>
      </c>
      <c r="AJ59" s="3">
        <v>0</v>
      </c>
      <c r="AK59" s="3">
        <v>0</v>
      </c>
      <c r="AL59" s="3"/>
      <c r="AM59" s="3"/>
      <c r="AN59" s="3"/>
      <c r="AO59" s="3"/>
      <c r="AP59" s="3"/>
      <c r="AQ59" s="8" t="str">
        <f t="shared" si="0"/>
        <v>tricks/1010413</v>
      </c>
      <c r="AR59" s="281"/>
    </row>
    <row r="60" spans="1:44" ht="14.4" customHeight="1">
      <c r="A60" s="5">
        <v>1020001</v>
      </c>
      <c r="B60" s="5" t="s">
        <v>3638</v>
      </c>
      <c r="C60" s="224" t="s">
        <v>3746</v>
      </c>
      <c r="D60" s="5" t="s">
        <v>81</v>
      </c>
      <c r="E60" s="5" t="s">
        <v>325</v>
      </c>
      <c r="F60" s="5">
        <v>1</v>
      </c>
      <c r="G60" s="5">
        <v>2</v>
      </c>
      <c r="H60" s="5" t="s">
        <v>82</v>
      </c>
      <c r="I60" s="5" t="s">
        <v>3640</v>
      </c>
      <c r="J60" s="5"/>
      <c r="K60" s="5">
        <v>4</v>
      </c>
      <c r="L60" s="248" t="s">
        <v>327</v>
      </c>
      <c r="M60" s="231"/>
      <c r="N60" s="231"/>
      <c r="O60" s="5"/>
      <c r="P60" s="232">
        <v>2</v>
      </c>
      <c r="Q60" s="232">
        <v>0</v>
      </c>
      <c r="R60" s="232" t="s">
        <v>85</v>
      </c>
      <c r="S60" s="5">
        <v>1020001</v>
      </c>
      <c r="T60" s="256" t="s">
        <v>86</v>
      </c>
      <c r="U60" s="257" t="s">
        <v>87</v>
      </c>
      <c r="V60" s="232" t="s">
        <v>88</v>
      </c>
      <c r="W60" s="57" t="s">
        <v>3747</v>
      </c>
      <c r="X60" s="57" t="s">
        <v>3747</v>
      </c>
      <c r="Y60" s="232"/>
      <c r="Z60" s="232"/>
      <c r="AA60" s="232">
        <v>1</v>
      </c>
      <c r="AB60" s="232" t="s">
        <v>90</v>
      </c>
      <c r="AC60" s="5"/>
      <c r="AD60" s="5"/>
      <c r="AE60" s="5">
        <v>2</v>
      </c>
      <c r="AF60" s="5">
        <v>0</v>
      </c>
      <c r="AG60" s="5">
        <v>4</v>
      </c>
      <c r="AH60" s="5"/>
      <c r="AI60" s="5">
        <v>52</v>
      </c>
      <c r="AJ60" s="5">
        <v>39</v>
      </c>
      <c r="AK60" s="270"/>
      <c r="AL60" s="270"/>
      <c r="AM60" s="270"/>
      <c r="AN60" s="271" t="s">
        <v>329</v>
      </c>
      <c r="AO60" s="271"/>
      <c r="AP60" s="271"/>
      <c r="AQ60" s="5" t="s">
        <v>330</v>
      </c>
      <c r="AR60" s="279">
        <v>192</v>
      </c>
    </row>
    <row r="61" spans="1:44" ht="15" customHeight="1">
      <c r="A61" s="5">
        <v>1020002</v>
      </c>
      <c r="B61" s="5" t="s">
        <v>3638</v>
      </c>
      <c r="C61" s="224" t="s">
        <v>3748</v>
      </c>
      <c r="D61" s="5" t="s">
        <v>81</v>
      </c>
      <c r="E61" s="5" t="s">
        <v>325</v>
      </c>
      <c r="F61" s="5">
        <v>1</v>
      </c>
      <c r="G61" s="5">
        <v>2</v>
      </c>
      <c r="H61" s="5" t="s">
        <v>82</v>
      </c>
      <c r="I61" s="5" t="s">
        <v>3640</v>
      </c>
      <c r="J61" s="5"/>
      <c r="K61" s="5">
        <v>5</v>
      </c>
      <c r="L61" s="249" t="s">
        <v>332</v>
      </c>
      <c r="M61" s="231"/>
      <c r="N61" s="231"/>
      <c r="O61" s="5"/>
      <c r="P61" s="232" t="s">
        <v>333</v>
      </c>
      <c r="Q61" s="232">
        <v>0</v>
      </c>
      <c r="R61" s="232" t="s">
        <v>85</v>
      </c>
      <c r="S61" s="5">
        <v>1020002</v>
      </c>
      <c r="T61" s="256" t="s">
        <v>86</v>
      </c>
      <c r="U61" s="257" t="s">
        <v>87</v>
      </c>
      <c r="V61" s="232" t="s">
        <v>88</v>
      </c>
      <c r="W61" s="57" t="s">
        <v>3749</v>
      </c>
      <c r="X61" s="57" t="s">
        <v>3749</v>
      </c>
      <c r="Y61" s="232"/>
      <c r="Z61" s="232"/>
      <c r="AA61" s="232">
        <v>1</v>
      </c>
      <c r="AB61" s="232"/>
      <c r="AC61" s="5"/>
      <c r="AD61" s="5"/>
      <c r="AE61" s="5">
        <v>2</v>
      </c>
      <c r="AF61" s="5">
        <v>0</v>
      </c>
      <c r="AG61" s="5">
        <v>4</v>
      </c>
      <c r="AH61" s="5"/>
      <c r="AI61" s="5">
        <v>65</v>
      </c>
      <c r="AJ61" s="5">
        <v>45</v>
      </c>
      <c r="AK61" s="270"/>
      <c r="AL61" s="270"/>
      <c r="AM61" s="270"/>
      <c r="AN61" s="271" t="s">
        <v>335</v>
      </c>
      <c r="AO61" s="271"/>
      <c r="AP61" s="271"/>
      <c r="AQ61" s="5" t="s">
        <v>336</v>
      </c>
      <c r="AR61" s="279">
        <v>193</v>
      </c>
    </row>
    <row r="62" spans="1:44" ht="19.2">
      <c r="A62" s="7" t="s">
        <v>337</v>
      </c>
      <c r="B62" s="5" t="s">
        <v>3638</v>
      </c>
      <c r="C62" s="224" t="s">
        <v>3750</v>
      </c>
      <c r="D62" s="7" t="s">
        <v>81</v>
      </c>
      <c r="E62" s="7" t="s">
        <v>325</v>
      </c>
      <c r="F62" s="7">
        <v>1</v>
      </c>
      <c r="G62" s="7">
        <v>2</v>
      </c>
      <c r="H62" s="7" t="s">
        <v>82</v>
      </c>
      <c r="I62" s="5" t="s">
        <v>3640</v>
      </c>
      <c r="J62" s="7"/>
      <c r="K62" s="7">
        <v>1</v>
      </c>
      <c r="L62" s="250" t="s">
        <v>340</v>
      </c>
      <c r="M62" s="238"/>
      <c r="N62" s="238"/>
      <c r="O62" s="7"/>
      <c r="P62" s="239">
        <v>9</v>
      </c>
      <c r="Q62" s="239">
        <v>0</v>
      </c>
      <c r="R62" s="239" t="s">
        <v>85</v>
      </c>
      <c r="S62" s="7" t="s">
        <v>337</v>
      </c>
      <c r="T62" s="262" t="s">
        <v>341</v>
      </c>
      <c r="U62" s="263">
        <v>0</v>
      </c>
      <c r="V62" s="239" t="s">
        <v>342</v>
      </c>
      <c r="W62" s="57" t="s">
        <v>3751</v>
      </c>
      <c r="X62" s="57" t="s">
        <v>3751</v>
      </c>
      <c r="Y62" s="239"/>
      <c r="Z62" s="239"/>
      <c r="AA62" s="239">
        <v>1</v>
      </c>
      <c r="AB62" s="239" t="s">
        <v>90</v>
      </c>
      <c r="AC62" s="7"/>
      <c r="AD62" s="7"/>
      <c r="AE62" s="7">
        <v>1</v>
      </c>
      <c r="AF62" s="7">
        <v>2</v>
      </c>
      <c r="AG62" s="7">
        <v>6</v>
      </c>
      <c r="AH62" s="7"/>
      <c r="AI62" s="7">
        <v>39</v>
      </c>
      <c r="AJ62" s="7">
        <v>26</v>
      </c>
      <c r="AK62" s="273"/>
      <c r="AL62" s="273"/>
      <c r="AM62" s="273"/>
      <c r="AN62" s="277" t="s">
        <v>344</v>
      </c>
      <c r="AO62" s="277" t="s">
        <v>345</v>
      </c>
      <c r="AP62" s="277"/>
      <c r="AQ62" s="7" t="s">
        <v>346</v>
      </c>
      <c r="AR62" s="283">
        <v>195</v>
      </c>
    </row>
    <row r="63" spans="1:44" ht="19.2">
      <c r="A63" s="7" t="s">
        <v>347</v>
      </c>
      <c r="B63" s="5" t="s">
        <v>3638</v>
      </c>
      <c r="C63" s="224" t="s">
        <v>3750</v>
      </c>
      <c r="D63" s="7" t="s">
        <v>81</v>
      </c>
      <c r="E63" s="7" t="s">
        <v>325</v>
      </c>
      <c r="F63" s="7">
        <v>1</v>
      </c>
      <c r="G63" s="7">
        <v>2</v>
      </c>
      <c r="H63" s="7" t="s">
        <v>82</v>
      </c>
      <c r="I63" s="5" t="s">
        <v>3640</v>
      </c>
      <c r="J63" s="7"/>
      <c r="K63" s="7">
        <v>1</v>
      </c>
      <c r="L63" s="250" t="s">
        <v>348</v>
      </c>
      <c r="M63" s="238"/>
      <c r="N63" s="238"/>
      <c r="O63" s="7"/>
      <c r="P63" s="239">
        <v>9</v>
      </c>
      <c r="Q63" s="239">
        <v>0</v>
      </c>
      <c r="R63" s="239" t="s">
        <v>85</v>
      </c>
      <c r="S63" s="7" t="s">
        <v>347</v>
      </c>
      <c r="T63" s="262" t="s">
        <v>341</v>
      </c>
      <c r="U63" s="263">
        <v>0</v>
      </c>
      <c r="V63" s="239" t="s">
        <v>342</v>
      </c>
      <c r="W63" s="57" t="s">
        <v>3752</v>
      </c>
      <c r="X63" s="57" t="s">
        <v>3752</v>
      </c>
      <c r="Y63" s="239"/>
      <c r="Z63" s="239"/>
      <c r="AA63" s="239">
        <v>1</v>
      </c>
      <c r="AB63" s="239" t="s">
        <v>90</v>
      </c>
      <c r="AC63" s="7"/>
      <c r="AD63" s="7"/>
      <c r="AE63" s="7">
        <v>1</v>
      </c>
      <c r="AF63" s="7">
        <v>0</v>
      </c>
      <c r="AG63" s="7">
        <v>0</v>
      </c>
      <c r="AH63" s="7"/>
      <c r="AI63" s="7">
        <v>39</v>
      </c>
      <c r="AJ63" s="7">
        <v>26</v>
      </c>
      <c r="AK63" s="273" t="s">
        <v>350</v>
      </c>
      <c r="AL63" s="273"/>
      <c r="AM63" s="273"/>
      <c r="AN63" s="277" t="s">
        <v>351</v>
      </c>
      <c r="AO63" s="277"/>
      <c r="AP63" s="277"/>
      <c r="AQ63" s="7" t="s">
        <v>346</v>
      </c>
      <c r="AR63" s="283"/>
    </row>
    <row r="64" spans="1:44" ht="19.2">
      <c r="A64" s="7" t="s">
        <v>352</v>
      </c>
      <c r="B64" s="5" t="s">
        <v>3638</v>
      </c>
      <c r="C64" s="224" t="s">
        <v>3750</v>
      </c>
      <c r="D64" s="7" t="s">
        <v>81</v>
      </c>
      <c r="E64" s="7" t="s">
        <v>325</v>
      </c>
      <c r="F64" s="7">
        <v>1</v>
      </c>
      <c r="G64" s="7">
        <v>2</v>
      </c>
      <c r="H64" s="7" t="s">
        <v>82</v>
      </c>
      <c r="I64" s="5" t="s">
        <v>3640</v>
      </c>
      <c r="J64" s="7"/>
      <c r="K64" s="7">
        <v>1</v>
      </c>
      <c r="L64" s="250" t="s">
        <v>353</v>
      </c>
      <c r="M64" s="238"/>
      <c r="N64" s="238"/>
      <c r="O64" s="7"/>
      <c r="P64" s="239">
        <v>9</v>
      </c>
      <c r="Q64" s="239">
        <v>0</v>
      </c>
      <c r="R64" s="239" t="s">
        <v>85</v>
      </c>
      <c r="S64" s="7" t="s">
        <v>352</v>
      </c>
      <c r="T64" s="262" t="s">
        <v>341</v>
      </c>
      <c r="U64" s="263">
        <v>0</v>
      </c>
      <c r="V64" s="239" t="s">
        <v>342</v>
      </c>
      <c r="W64" s="57" t="s">
        <v>3753</v>
      </c>
      <c r="X64" s="57" t="s">
        <v>3753</v>
      </c>
      <c r="Y64" s="239"/>
      <c r="Z64" s="239"/>
      <c r="AA64" s="239">
        <v>1</v>
      </c>
      <c r="AB64" s="239" t="s">
        <v>90</v>
      </c>
      <c r="AC64" s="7"/>
      <c r="AD64" s="7"/>
      <c r="AE64" s="7">
        <v>1</v>
      </c>
      <c r="AF64" s="7">
        <v>0</v>
      </c>
      <c r="AG64" s="7">
        <v>0</v>
      </c>
      <c r="AH64" s="7"/>
      <c r="AI64" s="7">
        <v>39</v>
      </c>
      <c r="AJ64" s="7">
        <v>26</v>
      </c>
      <c r="AK64" s="273"/>
      <c r="AL64" s="273"/>
      <c r="AM64" s="273"/>
      <c r="AN64" s="277" t="s">
        <v>345</v>
      </c>
      <c r="AO64" s="277"/>
      <c r="AP64" s="277"/>
      <c r="AQ64" s="7" t="s">
        <v>346</v>
      </c>
      <c r="AR64" s="283"/>
    </row>
    <row r="65" spans="1:44" ht="19.2">
      <c r="A65" s="7" t="s">
        <v>355</v>
      </c>
      <c r="B65" s="5" t="s">
        <v>3638</v>
      </c>
      <c r="C65" s="224" t="s">
        <v>3750</v>
      </c>
      <c r="D65" s="7" t="s">
        <v>81</v>
      </c>
      <c r="E65" s="7" t="s">
        <v>325</v>
      </c>
      <c r="F65" s="7">
        <v>1</v>
      </c>
      <c r="G65" s="7">
        <v>2</v>
      </c>
      <c r="H65" s="7" t="s">
        <v>82</v>
      </c>
      <c r="I65" s="5" t="s">
        <v>3640</v>
      </c>
      <c r="J65" s="7"/>
      <c r="K65" s="7">
        <v>1</v>
      </c>
      <c r="L65" s="250" t="s">
        <v>356</v>
      </c>
      <c r="M65" s="238"/>
      <c r="N65" s="238"/>
      <c r="O65" s="7"/>
      <c r="P65" s="239">
        <v>9</v>
      </c>
      <c r="Q65" s="239">
        <v>0</v>
      </c>
      <c r="R65" s="239" t="s">
        <v>85</v>
      </c>
      <c r="S65" s="7" t="s">
        <v>355</v>
      </c>
      <c r="T65" s="262" t="s">
        <v>341</v>
      </c>
      <c r="U65" s="263">
        <v>0</v>
      </c>
      <c r="V65" s="239" t="s">
        <v>342</v>
      </c>
      <c r="W65" s="57" t="s">
        <v>3754</v>
      </c>
      <c r="X65" s="57" t="s">
        <v>3754</v>
      </c>
      <c r="Y65" s="239"/>
      <c r="Z65" s="239"/>
      <c r="AA65" s="239">
        <v>1</v>
      </c>
      <c r="AB65" s="239" t="s">
        <v>90</v>
      </c>
      <c r="AC65" s="7"/>
      <c r="AD65" s="7"/>
      <c r="AE65" s="7">
        <v>1</v>
      </c>
      <c r="AF65" s="7">
        <v>0</v>
      </c>
      <c r="AG65" s="7">
        <v>0</v>
      </c>
      <c r="AH65" s="7"/>
      <c r="AI65" s="7">
        <v>39</v>
      </c>
      <c r="AJ65" s="7">
        <v>26</v>
      </c>
      <c r="AK65" s="273"/>
      <c r="AL65" s="273"/>
      <c r="AM65" s="273"/>
      <c r="AN65" s="277" t="s">
        <v>358</v>
      </c>
      <c r="AO65" s="277"/>
      <c r="AP65" s="277"/>
      <c r="AQ65" s="7" t="s">
        <v>346</v>
      </c>
      <c r="AR65" s="283"/>
    </row>
    <row r="66" spans="1:44" ht="15" customHeight="1">
      <c r="A66" s="7">
        <v>1020202</v>
      </c>
      <c r="B66" s="5" t="s">
        <v>3638</v>
      </c>
      <c r="C66" s="224" t="s">
        <v>3755</v>
      </c>
      <c r="D66" s="7" t="s">
        <v>81</v>
      </c>
      <c r="E66" s="7" t="s">
        <v>325</v>
      </c>
      <c r="F66" s="7">
        <v>1</v>
      </c>
      <c r="G66" s="7">
        <v>2</v>
      </c>
      <c r="H66" s="7" t="s">
        <v>136</v>
      </c>
      <c r="I66" s="5" t="s">
        <v>3640</v>
      </c>
      <c r="J66" s="7"/>
      <c r="K66" s="7"/>
      <c r="L66" s="250" t="s">
        <v>360</v>
      </c>
      <c r="M66" s="238"/>
      <c r="N66" s="238"/>
      <c r="O66" s="7"/>
      <c r="P66" s="239"/>
      <c r="Q66" s="239">
        <v>0</v>
      </c>
      <c r="R66" s="239" t="s">
        <v>361</v>
      </c>
      <c r="S66" s="7">
        <v>1020202</v>
      </c>
      <c r="T66" s="262"/>
      <c r="U66" s="263"/>
      <c r="V66" s="239" t="s">
        <v>342</v>
      </c>
      <c r="W66" s="57" t="s">
        <v>3756</v>
      </c>
      <c r="X66" s="57" t="s">
        <v>3756</v>
      </c>
      <c r="Y66" s="239"/>
      <c r="Z66" s="239"/>
      <c r="AA66" s="239">
        <v>0</v>
      </c>
      <c r="AB66" s="239"/>
      <c r="AC66" s="7"/>
      <c r="AD66" s="7"/>
      <c r="AE66" s="7">
        <v>0</v>
      </c>
      <c r="AF66" s="7">
        <v>0</v>
      </c>
      <c r="AG66" s="7">
        <v>0</v>
      </c>
      <c r="AH66" s="7"/>
      <c r="AI66" s="7">
        <v>0</v>
      </c>
      <c r="AJ66" s="7">
        <v>0</v>
      </c>
      <c r="AK66" s="273"/>
      <c r="AL66" s="273"/>
      <c r="AM66" s="273"/>
      <c r="AN66" s="277"/>
      <c r="AO66" s="277"/>
      <c r="AP66" s="277"/>
      <c r="AQ66" s="7" t="s">
        <v>363</v>
      </c>
      <c r="AR66" s="283"/>
    </row>
    <row r="67" spans="1:44" ht="15" customHeight="1">
      <c r="A67" s="7">
        <v>1020203</v>
      </c>
      <c r="B67" s="5" t="s">
        <v>3638</v>
      </c>
      <c r="C67" s="224" t="s">
        <v>3757</v>
      </c>
      <c r="D67" s="7" t="s">
        <v>81</v>
      </c>
      <c r="E67" s="7" t="s">
        <v>325</v>
      </c>
      <c r="F67" s="7">
        <v>1</v>
      </c>
      <c r="G67" s="7">
        <v>2</v>
      </c>
      <c r="H67" s="7" t="s">
        <v>82</v>
      </c>
      <c r="I67" s="5" t="s">
        <v>3640</v>
      </c>
      <c r="J67" s="7"/>
      <c r="K67" s="7">
        <v>2</v>
      </c>
      <c r="L67" s="250" t="s">
        <v>365</v>
      </c>
      <c r="M67" s="238"/>
      <c r="N67" s="238"/>
      <c r="O67" s="7"/>
      <c r="P67" s="239">
        <v>2</v>
      </c>
      <c r="Q67" s="239">
        <v>0</v>
      </c>
      <c r="R67" s="239" t="s">
        <v>85</v>
      </c>
      <c r="S67" s="7">
        <v>1020203</v>
      </c>
      <c r="T67" s="262" t="s">
        <v>366</v>
      </c>
      <c r="U67" s="263">
        <v>0</v>
      </c>
      <c r="V67" s="239" t="s">
        <v>342</v>
      </c>
      <c r="W67" s="57" t="s">
        <v>3758</v>
      </c>
      <c r="X67" s="57" t="s">
        <v>3758</v>
      </c>
      <c r="Y67" s="239"/>
      <c r="Z67" s="239"/>
      <c r="AA67" s="239">
        <v>1</v>
      </c>
      <c r="AB67" s="239" t="s">
        <v>90</v>
      </c>
      <c r="AC67" s="7"/>
      <c r="AD67" s="7"/>
      <c r="AE67" s="7">
        <v>1</v>
      </c>
      <c r="AF67" s="7">
        <v>1</v>
      </c>
      <c r="AG67" s="7">
        <v>5</v>
      </c>
      <c r="AH67" s="7"/>
      <c r="AI67" s="7">
        <v>39</v>
      </c>
      <c r="AJ67" s="7">
        <v>26</v>
      </c>
      <c r="AK67" s="273"/>
      <c r="AL67" s="273"/>
      <c r="AM67" s="273"/>
      <c r="AN67" s="277" t="s">
        <v>368</v>
      </c>
      <c r="AO67" s="277"/>
      <c r="AP67" s="277"/>
      <c r="AQ67" s="7" t="s">
        <v>369</v>
      </c>
      <c r="AR67" s="283">
        <v>196</v>
      </c>
    </row>
    <row r="68" spans="1:44" ht="15" customHeight="1">
      <c r="A68" s="7">
        <v>1020204</v>
      </c>
      <c r="B68" s="5" t="s">
        <v>3638</v>
      </c>
      <c r="C68" s="224" t="s">
        <v>3759</v>
      </c>
      <c r="D68" s="7" t="s">
        <v>81</v>
      </c>
      <c r="E68" s="7" t="s">
        <v>325</v>
      </c>
      <c r="F68" s="7">
        <v>2</v>
      </c>
      <c r="G68" s="7">
        <v>2</v>
      </c>
      <c r="H68" s="7" t="s">
        <v>136</v>
      </c>
      <c r="I68" s="5" t="s">
        <v>3640</v>
      </c>
      <c r="J68" s="7"/>
      <c r="K68" s="7"/>
      <c r="L68" s="285" t="s">
        <v>371</v>
      </c>
      <c r="M68" s="238"/>
      <c r="N68" s="238"/>
      <c r="O68" s="7"/>
      <c r="P68" s="239"/>
      <c r="Q68" s="239">
        <v>0</v>
      </c>
      <c r="R68" s="239" t="s">
        <v>361</v>
      </c>
      <c r="S68" s="7">
        <v>1020204</v>
      </c>
      <c r="T68" s="262"/>
      <c r="U68" s="263"/>
      <c r="V68" s="239" t="s">
        <v>342</v>
      </c>
      <c r="W68" s="57" t="s">
        <v>3760</v>
      </c>
      <c r="X68" s="57" t="s">
        <v>3760</v>
      </c>
      <c r="Y68" s="239"/>
      <c r="Z68" s="239"/>
      <c r="AA68" s="239">
        <v>0</v>
      </c>
      <c r="AB68" s="239"/>
      <c r="AC68" s="7"/>
      <c r="AD68" s="7"/>
      <c r="AE68" s="7">
        <v>0</v>
      </c>
      <c r="AF68" s="7">
        <v>0</v>
      </c>
      <c r="AG68" s="7">
        <v>0</v>
      </c>
      <c r="AH68" s="7"/>
      <c r="AI68" s="7">
        <v>0</v>
      </c>
      <c r="AJ68" s="7">
        <v>0</v>
      </c>
      <c r="AK68" s="273"/>
      <c r="AL68" s="273"/>
      <c r="AM68" s="273"/>
      <c r="AN68" s="7"/>
      <c r="AO68" s="7"/>
      <c r="AP68" s="7"/>
      <c r="AQ68" s="7" t="s">
        <v>373</v>
      </c>
      <c r="AR68" s="283"/>
    </row>
    <row r="69" spans="1:44" ht="15" customHeight="1">
      <c r="A69" s="7">
        <v>1020205</v>
      </c>
      <c r="B69" s="5" t="s">
        <v>3638</v>
      </c>
      <c r="C69" s="224" t="s">
        <v>3761</v>
      </c>
      <c r="D69" s="7" t="s">
        <v>81</v>
      </c>
      <c r="E69" s="7" t="s">
        <v>325</v>
      </c>
      <c r="F69" s="7">
        <v>1</v>
      </c>
      <c r="G69" s="7">
        <v>2</v>
      </c>
      <c r="H69" s="7" t="s">
        <v>82</v>
      </c>
      <c r="I69" s="5" t="s">
        <v>3640</v>
      </c>
      <c r="J69" s="7"/>
      <c r="K69" s="7">
        <v>3</v>
      </c>
      <c r="L69" s="286" t="s">
        <v>375</v>
      </c>
      <c r="M69" s="238"/>
      <c r="N69" s="238"/>
      <c r="O69" s="7"/>
      <c r="P69" s="239" t="s">
        <v>376</v>
      </c>
      <c r="Q69" s="239">
        <v>0</v>
      </c>
      <c r="R69" s="239" t="s">
        <v>85</v>
      </c>
      <c r="S69" s="7">
        <v>1020205</v>
      </c>
      <c r="T69" s="262" t="s">
        <v>377</v>
      </c>
      <c r="U69" s="263">
        <v>0</v>
      </c>
      <c r="V69" s="239" t="s">
        <v>342</v>
      </c>
      <c r="W69" s="57" t="s">
        <v>3762</v>
      </c>
      <c r="X69" s="57" t="s">
        <v>3762</v>
      </c>
      <c r="Y69" s="239"/>
      <c r="Z69" s="239"/>
      <c r="AA69" s="239">
        <v>1</v>
      </c>
      <c r="AB69" s="239" t="s">
        <v>90</v>
      </c>
      <c r="AC69" s="7"/>
      <c r="AD69" s="7"/>
      <c r="AE69" s="7">
        <v>1</v>
      </c>
      <c r="AF69" s="7">
        <v>1</v>
      </c>
      <c r="AG69" s="7">
        <v>5</v>
      </c>
      <c r="AH69" s="7"/>
      <c r="AI69" s="7">
        <v>39</v>
      </c>
      <c r="AJ69" s="7">
        <v>26</v>
      </c>
      <c r="AK69" s="273" t="s">
        <v>379</v>
      </c>
      <c r="AL69" s="273"/>
      <c r="AM69" s="273"/>
      <c r="AN69" s="277" t="s">
        <v>380</v>
      </c>
      <c r="AO69" s="277"/>
      <c r="AP69" s="277"/>
      <c r="AQ69" s="7" t="s">
        <v>381</v>
      </c>
      <c r="AR69" s="283">
        <v>197</v>
      </c>
    </row>
    <row r="70" spans="1:44" ht="15" customHeight="1">
      <c r="A70" s="7">
        <v>1020206</v>
      </c>
      <c r="B70" s="5" t="s">
        <v>3638</v>
      </c>
      <c r="C70" s="224" t="s">
        <v>3763</v>
      </c>
      <c r="D70" s="7" t="s">
        <v>81</v>
      </c>
      <c r="E70" s="7" t="s">
        <v>325</v>
      </c>
      <c r="F70" s="7">
        <v>3</v>
      </c>
      <c r="G70" s="7">
        <v>2</v>
      </c>
      <c r="H70" s="7" t="s">
        <v>136</v>
      </c>
      <c r="I70" s="5" t="s">
        <v>3640</v>
      </c>
      <c r="J70" s="7"/>
      <c r="K70" s="7"/>
      <c r="L70" s="237" t="s">
        <v>383</v>
      </c>
      <c r="M70" s="238"/>
      <c r="N70" s="238"/>
      <c r="O70" s="7"/>
      <c r="P70" s="239"/>
      <c r="Q70" s="239">
        <v>0</v>
      </c>
      <c r="R70" s="239" t="s">
        <v>361</v>
      </c>
      <c r="S70" s="7">
        <v>1020206</v>
      </c>
      <c r="T70" s="262"/>
      <c r="U70" s="263"/>
      <c r="V70" s="239" t="s">
        <v>342</v>
      </c>
      <c r="W70" s="57" t="s">
        <v>3756</v>
      </c>
      <c r="X70" s="57" t="s">
        <v>3756</v>
      </c>
      <c r="Y70" s="239"/>
      <c r="Z70" s="239"/>
      <c r="AA70" s="239">
        <v>0</v>
      </c>
      <c r="AB70" s="239"/>
      <c r="AC70" s="7"/>
      <c r="AD70" s="7"/>
      <c r="AE70" s="7">
        <v>0</v>
      </c>
      <c r="AF70" s="7">
        <v>0</v>
      </c>
      <c r="AG70" s="7">
        <v>0</v>
      </c>
      <c r="AH70" s="7"/>
      <c r="AI70" s="7">
        <v>0</v>
      </c>
      <c r="AJ70" s="7">
        <v>0</v>
      </c>
      <c r="AK70" s="273"/>
      <c r="AL70" s="273"/>
      <c r="AM70" s="273"/>
      <c r="AN70" s="7"/>
      <c r="AO70" s="7"/>
      <c r="AP70" s="7"/>
      <c r="AQ70" s="7" t="s">
        <v>384</v>
      </c>
      <c r="AR70" s="283"/>
    </row>
    <row r="71" spans="1:44" ht="15" customHeight="1">
      <c r="A71" s="7">
        <v>1020207</v>
      </c>
      <c r="B71" s="5" t="s">
        <v>3638</v>
      </c>
      <c r="C71" s="224" t="s">
        <v>3764</v>
      </c>
      <c r="D71" s="7" t="s">
        <v>81</v>
      </c>
      <c r="E71" s="7" t="s">
        <v>325</v>
      </c>
      <c r="F71" s="7">
        <v>4</v>
      </c>
      <c r="G71" s="7">
        <v>2</v>
      </c>
      <c r="H71" s="7" t="s">
        <v>136</v>
      </c>
      <c r="I71" s="5" t="s">
        <v>3640</v>
      </c>
      <c r="J71" s="7"/>
      <c r="K71" s="7"/>
      <c r="L71" s="250" t="s">
        <v>386</v>
      </c>
      <c r="M71" s="238"/>
      <c r="N71" s="238"/>
      <c r="O71" s="7"/>
      <c r="P71" s="239"/>
      <c r="Q71" s="239">
        <v>0</v>
      </c>
      <c r="R71" s="239" t="s">
        <v>153</v>
      </c>
      <c r="S71" s="7">
        <v>1020207</v>
      </c>
      <c r="T71" s="262"/>
      <c r="U71" s="263">
        <v>0</v>
      </c>
      <c r="V71" s="239" t="s">
        <v>342</v>
      </c>
      <c r="W71" s="57" t="s">
        <v>3765</v>
      </c>
      <c r="X71" s="57" t="s">
        <v>3765</v>
      </c>
      <c r="Y71" s="239"/>
      <c r="Z71" s="239"/>
      <c r="AA71" s="239">
        <v>0</v>
      </c>
      <c r="AB71" s="239"/>
      <c r="AC71" s="7"/>
      <c r="AD71" s="7"/>
      <c r="AE71" s="7">
        <v>0</v>
      </c>
      <c r="AF71" s="7">
        <v>0</v>
      </c>
      <c r="AG71" s="7">
        <v>0</v>
      </c>
      <c r="AH71" s="7"/>
      <c r="AI71" s="7">
        <v>0</v>
      </c>
      <c r="AJ71" s="7">
        <v>0</v>
      </c>
      <c r="AK71" s="273"/>
      <c r="AL71" s="273"/>
      <c r="AM71" s="273"/>
      <c r="AN71" s="277"/>
      <c r="AO71" s="277"/>
      <c r="AP71" s="277"/>
      <c r="AQ71" s="7" t="s">
        <v>388</v>
      </c>
      <c r="AR71" s="283"/>
    </row>
    <row r="72" spans="1:44" ht="15" customHeight="1">
      <c r="A72" s="7">
        <v>1020208</v>
      </c>
      <c r="B72" s="5" t="s">
        <v>3638</v>
      </c>
      <c r="C72" s="224" t="s">
        <v>3766</v>
      </c>
      <c r="D72" s="7" t="s">
        <v>81</v>
      </c>
      <c r="E72" s="7" t="s">
        <v>325</v>
      </c>
      <c r="F72" s="7">
        <v>5</v>
      </c>
      <c r="G72" s="7">
        <v>2</v>
      </c>
      <c r="H72" s="7" t="s">
        <v>136</v>
      </c>
      <c r="I72" s="5" t="s">
        <v>3640</v>
      </c>
      <c r="J72" s="7"/>
      <c r="K72" s="7"/>
      <c r="L72" s="250" t="s">
        <v>390</v>
      </c>
      <c r="M72" s="238"/>
      <c r="N72" s="238"/>
      <c r="O72" s="7"/>
      <c r="P72" s="239"/>
      <c r="Q72" s="239">
        <v>0</v>
      </c>
      <c r="R72" s="239" t="s">
        <v>153</v>
      </c>
      <c r="S72" s="7">
        <v>1020208</v>
      </c>
      <c r="T72" s="262"/>
      <c r="U72" s="263"/>
      <c r="V72" s="239" t="s">
        <v>342</v>
      </c>
      <c r="W72" s="57" t="s">
        <v>3767</v>
      </c>
      <c r="X72" s="57" t="s">
        <v>3767</v>
      </c>
      <c r="Y72" s="239"/>
      <c r="Z72" s="239"/>
      <c r="AA72" s="239">
        <v>0</v>
      </c>
      <c r="AB72" s="239"/>
      <c r="AC72" s="7"/>
      <c r="AD72" s="7"/>
      <c r="AE72" s="7">
        <v>0</v>
      </c>
      <c r="AF72" s="7">
        <v>0</v>
      </c>
      <c r="AG72" s="7">
        <v>0</v>
      </c>
      <c r="AH72" s="7"/>
      <c r="AI72" s="7">
        <v>0</v>
      </c>
      <c r="AJ72" s="7">
        <v>0</v>
      </c>
      <c r="AK72" s="273"/>
      <c r="AL72" s="273"/>
      <c r="AM72" s="273"/>
      <c r="AN72" s="277"/>
      <c r="AO72" s="277"/>
      <c r="AP72" s="277"/>
      <c r="AQ72" s="7" t="s">
        <v>392</v>
      </c>
      <c r="AR72" s="283"/>
    </row>
    <row r="73" spans="1:44" ht="15" customHeight="1">
      <c r="A73" s="7">
        <v>1020209</v>
      </c>
      <c r="B73" s="5" t="s">
        <v>3638</v>
      </c>
      <c r="C73" s="224" t="s">
        <v>3768</v>
      </c>
      <c r="D73" s="7" t="s">
        <v>81</v>
      </c>
      <c r="E73" s="7" t="s">
        <v>325</v>
      </c>
      <c r="F73" s="7">
        <v>6</v>
      </c>
      <c r="G73" s="7">
        <v>2</v>
      </c>
      <c r="H73" s="7" t="s">
        <v>136</v>
      </c>
      <c r="I73" s="5" t="s">
        <v>3640</v>
      </c>
      <c r="J73" s="7"/>
      <c r="K73" s="7"/>
      <c r="L73" s="250" t="s">
        <v>394</v>
      </c>
      <c r="M73" s="238"/>
      <c r="N73" s="238"/>
      <c r="O73" s="7"/>
      <c r="P73" s="239"/>
      <c r="Q73" s="239">
        <v>0</v>
      </c>
      <c r="R73" s="239" t="s">
        <v>153</v>
      </c>
      <c r="S73" s="7">
        <v>1020209</v>
      </c>
      <c r="T73" s="304"/>
      <c r="U73" s="305"/>
      <c r="V73" s="239" t="s">
        <v>342</v>
      </c>
      <c r="W73" s="57" t="s">
        <v>3769</v>
      </c>
      <c r="X73" s="57" t="s">
        <v>3769</v>
      </c>
      <c r="Y73" s="321"/>
      <c r="Z73" s="321"/>
      <c r="AA73" s="239">
        <v>0</v>
      </c>
      <c r="AB73" s="239"/>
      <c r="AC73" s="7"/>
      <c r="AD73" s="7"/>
      <c r="AE73" s="7">
        <v>0</v>
      </c>
      <c r="AF73" s="7">
        <v>0</v>
      </c>
      <c r="AG73" s="7">
        <v>0</v>
      </c>
      <c r="AH73" s="7"/>
      <c r="AI73" s="7">
        <v>0</v>
      </c>
      <c r="AJ73" s="7">
        <v>0</v>
      </c>
      <c r="AK73" s="273"/>
      <c r="AL73" s="273"/>
      <c r="AM73" s="273"/>
      <c r="AN73" s="277"/>
      <c r="AO73" s="277"/>
      <c r="AP73" s="277"/>
      <c r="AQ73" s="7" t="s">
        <v>396</v>
      </c>
      <c r="AR73" s="283"/>
    </row>
    <row r="74" spans="1:44" ht="15" customHeight="1">
      <c r="A74" s="7">
        <v>1020210</v>
      </c>
      <c r="B74" s="5" t="s">
        <v>3638</v>
      </c>
      <c r="C74" s="224" t="s">
        <v>3770</v>
      </c>
      <c r="D74" s="7" t="s">
        <v>81</v>
      </c>
      <c r="E74" s="7" t="s">
        <v>325</v>
      </c>
      <c r="F74" s="7">
        <v>7</v>
      </c>
      <c r="G74" s="7">
        <v>2</v>
      </c>
      <c r="H74" s="7" t="s">
        <v>136</v>
      </c>
      <c r="I74" s="5" t="s">
        <v>3640</v>
      </c>
      <c r="J74" s="7"/>
      <c r="K74" s="7"/>
      <c r="L74" s="250" t="s">
        <v>398</v>
      </c>
      <c r="M74" s="238"/>
      <c r="N74" s="238"/>
      <c r="O74" s="7"/>
      <c r="P74" s="239"/>
      <c r="Q74" s="239">
        <v>0</v>
      </c>
      <c r="R74" s="239" t="s">
        <v>153</v>
      </c>
      <c r="S74" s="7">
        <v>1020210</v>
      </c>
      <c r="T74" s="306"/>
      <c r="U74" s="263"/>
      <c r="V74" s="239" t="s">
        <v>342</v>
      </c>
      <c r="W74" s="57" t="s">
        <v>3771</v>
      </c>
      <c r="X74" s="57" t="s">
        <v>3771</v>
      </c>
      <c r="Y74" s="239"/>
      <c r="Z74" s="239"/>
      <c r="AA74" s="239"/>
      <c r="AB74" s="239"/>
      <c r="AC74" s="7"/>
      <c r="AD74" s="7"/>
      <c r="AE74" s="7">
        <v>0</v>
      </c>
      <c r="AF74" s="7">
        <v>0</v>
      </c>
      <c r="AG74" s="7">
        <v>0</v>
      </c>
      <c r="AH74" s="7"/>
      <c r="AI74" s="7">
        <v>0</v>
      </c>
      <c r="AJ74" s="7">
        <v>0</v>
      </c>
      <c r="AK74" s="273"/>
      <c r="AL74" s="273"/>
      <c r="AM74" s="273"/>
      <c r="AN74" s="277"/>
      <c r="AO74" s="277"/>
      <c r="AP74" s="277"/>
      <c r="AQ74" s="7" t="s">
        <v>400</v>
      </c>
      <c r="AR74" s="283"/>
    </row>
    <row r="75" spans="1:44" ht="15" customHeight="1">
      <c r="A75" s="3">
        <v>1020211</v>
      </c>
      <c r="B75" s="5" t="s">
        <v>3638</v>
      </c>
      <c r="C75" s="224" t="s">
        <v>3772</v>
      </c>
      <c r="D75" s="3" t="s">
        <v>81</v>
      </c>
      <c r="E75" s="3" t="s">
        <v>325</v>
      </c>
      <c r="F75" s="3">
        <v>8</v>
      </c>
      <c r="G75" s="3">
        <v>2</v>
      </c>
      <c r="H75" s="3" t="s">
        <v>136</v>
      </c>
      <c r="I75" s="5" t="s">
        <v>3640</v>
      </c>
      <c r="J75" s="3"/>
      <c r="K75" s="3"/>
      <c r="L75" s="236"/>
      <c r="M75" s="99"/>
      <c r="N75" s="99"/>
      <c r="O75" s="236"/>
      <c r="P75" s="22"/>
      <c r="Q75" s="22">
        <v>0</v>
      </c>
      <c r="R75" s="22" t="s">
        <v>153</v>
      </c>
      <c r="S75" s="3"/>
      <c r="T75" s="260"/>
      <c r="U75" s="261"/>
      <c r="V75" s="22"/>
      <c r="W75" s="57" t="s">
        <v>3773</v>
      </c>
      <c r="X75" s="57" t="s">
        <v>3773</v>
      </c>
      <c r="Y75" s="22"/>
      <c r="Z75" s="22"/>
      <c r="AA75" s="22"/>
      <c r="AB75" s="22" t="s">
        <v>114</v>
      </c>
      <c r="AC75" s="3"/>
      <c r="AD75" s="3"/>
      <c r="AE75" s="3">
        <v>0</v>
      </c>
      <c r="AF75" s="3">
        <v>0</v>
      </c>
      <c r="AG75" s="3">
        <v>0</v>
      </c>
      <c r="AH75" s="3"/>
      <c r="AI75" s="3">
        <v>0</v>
      </c>
      <c r="AJ75" s="3">
        <v>0</v>
      </c>
      <c r="AK75" s="3">
        <v>0</v>
      </c>
      <c r="AL75" s="3"/>
      <c r="AM75" s="3"/>
      <c r="AN75" s="3"/>
      <c r="AO75" s="3"/>
      <c r="AP75" s="3"/>
      <c r="AQ75" s="3" t="s">
        <v>381</v>
      </c>
      <c r="AR75" s="281"/>
    </row>
    <row r="76" spans="1:44" ht="15" customHeight="1">
      <c r="A76" s="3">
        <v>1020212</v>
      </c>
      <c r="B76" s="5" t="s">
        <v>3638</v>
      </c>
      <c r="C76" s="224" t="s">
        <v>3774</v>
      </c>
      <c r="D76" s="3" t="s">
        <v>81</v>
      </c>
      <c r="E76" s="3" t="s">
        <v>325</v>
      </c>
      <c r="F76" s="3">
        <v>9</v>
      </c>
      <c r="G76" s="3">
        <v>2</v>
      </c>
      <c r="H76" s="3" t="s">
        <v>136</v>
      </c>
      <c r="I76" s="5" t="s">
        <v>3640</v>
      </c>
      <c r="J76" s="3"/>
      <c r="K76" s="3"/>
      <c r="L76" s="236"/>
      <c r="M76" s="99"/>
      <c r="N76" s="99"/>
      <c r="O76" s="236"/>
      <c r="P76" s="22"/>
      <c r="Q76" s="22">
        <v>0</v>
      </c>
      <c r="R76" s="22" t="s">
        <v>153</v>
      </c>
      <c r="S76" s="3"/>
      <c r="T76" s="260"/>
      <c r="U76" s="261"/>
      <c r="V76" s="22"/>
      <c r="W76" s="57" t="s">
        <v>3775</v>
      </c>
      <c r="X76" s="57" t="s">
        <v>3775</v>
      </c>
      <c r="Y76" s="22"/>
      <c r="Z76" s="22"/>
      <c r="AA76" s="22"/>
      <c r="AB76" s="22" t="s">
        <v>114</v>
      </c>
      <c r="AC76" s="3"/>
      <c r="AD76" s="3"/>
      <c r="AE76" s="3">
        <v>0</v>
      </c>
      <c r="AF76" s="3">
        <v>0</v>
      </c>
      <c r="AG76" s="3">
        <v>0</v>
      </c>
      <c r="AH76" s="3"/>
      <c r="AI76" s="3">
        <v>0</v>
      </c>
      <c r="AJ76" s="3">
        <v>0</v>
      </c>
      <c r="AK76" s="3">
        <v>0</v>
      </c>
      <c r="AL76" s="3"/>
      <c r="AM76" s="3"/>
      <c r="AN76" s="3"/>
      <c r="AO76" s="3"/>
      <c r="AP76" s="3"/>
      <c r="AQ76" s="282" t="str">
        <f>"tricks/"&amp;A76</f>
        <v>tricks/1020212</v>
      </c>
      <c r="AR76" s="281"/>
    </row>
    <row r="77" spans="1:44" ht="15" customHeight="1">
      <c r="A77" s="3">
        <v>1020213</v>
      </c>
      <c r="B77" s="5" t="s">
        <v>3638</v>
      </c>
      <c r="C77" s="224" t="s">
        <v>3776</v>
      </c>
      <c r="D77" s="3" t="s">
        <v>81</v>
      </c>
      <c r="E77" s="3" t="s">
        <v>325</v>
      </c>
      <c r="F77" s="3">
        <v>10</v>
      </c>
      <c r="G77" s="3">
        <v>2</v>
      </c>
      <c r="H77" s="3" t="s">
        <v>136</v>
      </c>
      <c r="I77" s="5" t="s">
        <v>3640</v>
      </c>
      <c r="J77" s="3"/>
      <c r="K77" s="3"/>
      <c r="L77" s="236"/>
      <c r="M77" s="99"/>
      <c r="N77" s="99"/>
      <c r="O77" s="236"/>
      <c r="P77" s="22"/>
      <c r="Q77" s="22">
        <v>0</v>
      </c>
      <c r="R77" s="22" t="s">
        <v>153</v>
      </c>
      <c r="S77" s="3"/>
      <c r="T77" s="260"/>
      <c r="U77" s="261"/>
      <c r="V77" s="22"/>
      <c r="W77" s="57" t="s">
        <v>3777</v>
      </c>
      <c r="X77" s="57" t="s">
        <v>3777</v>
      </c>
      <c r="Y77" s="22"/>
      <c r="Z77" s="22"/>
      <c r="AA77" s="22"/>
      <c r="AB77" s="22" t="s">
        <v>114</v>
      </c>
      <c r="AC77" s="3"/>
      <c r="AD77" s="3"/>
      <c r="AE77" s="3">
        <v>0</v>
      </c>
      <c r="AF77" s="3">
        <v>0</v>
      </c>
      <c r="AG77" s="3">
        <v>0</v>
      </c>
      <c r="AH77" s="3"/>
      <c r="AI77" s="3">
        <v>0</v>
      </c>
      <c r="AJ77" s="3">
        <v>0</v>
      </c>
      <c r="AK77" s="3">
        <v>0</v>
      </c>
      <c r="AL77" s="3"/>
      <c r="AM77" s="3"/>
      <c r="AN77" s="3"/>
      <c r="AO77" s="3"/>
      <c r="AP77" s="3"/>
      <c r="AQ77" s="282" t="str">
        <f>"tricks/"&amp;A77</f>
        <v>tricks/1020213</v>
      </c>
      <c r="AR77" s="281"/>
    </row>
    <row r="78" spans="1:44" ht="15" customHeight="1">
      <c r="A78" s="26">
        <v>1020301</v>
      </c>
      <c r="B78" s="5" t="s">
        <v>3638</v>
      </c>
      <c r="C78" s="224" t="s">
        <v>3778</v>
      </c>
      <c r="D78" s="26" t="s">
        <v>81</v>
      </c>
      <c r="E78" s="26" t="s">
        <v>325</v>
      </c>
      <c r="F78" s="26">
        <v>1</v>
      </c>
      <c r="G78" s="26">
        <v>2</v>
      </c>
      <c r="H78" s="26" t="s">
        <v>82</v>
      </c>
      <c r="I78" s="5" t="s">
        <v>3640</v>
      </c>
      <c r="J78" s="26"/>
      <c r="K78" s="26">
        <v>1</v>
      </c>
      <c r="L78" s="287" t="s">
        <v>410</v>
      </c>
      <c r="M78" s="288"/>
      <c r="N78" s="288"/>
      <c r="O78" s="26"/>
      <c r="P78" s="289">
        <v>9</v>
      </c>
      <c r="Q78" s="289">
        <v>0</v>
      </c>
      <c r="R78" s="289" t="s">
        <v>85</v>
      </c>
      <c r="S78" s="26">
        <v>1020301</v>
      </c>
      <c r="T78" s="307" t="s">
        <v>411</v>
      </c>
      <c r="U78" s="308" t="s">
        <v>412</v>
      </c>
      <c r="V78" s="289" t="s">
        <v>413</v>
      </c>
      <c r="W78" s="57" t="s">
        <v>3779</v>
      </c>
      <c r="X78" s="57" t="s">
        <v>3779</v>
      </c>
      <c r="Y78" s="289"/>
      <c r="Z78" s="289"/>
      <c r="AA78" s="289">
        <v>1</v>
      </c>
      <c r="AB78" s="289" t="s">
        <v>90</v>
      </c>
      <c r="AC78" s="26"/>
      <c r="AD78" s="26"/>
      <c r="AE78" s="26">
        <v>1</v>
      </c>
      <c r="AF78" s="26">
        <v>2</v>
      </c>
      <c r="AG78" s="26">
        <v>7</v>
      </c>
      <c r="AH78" s="26"/>
      <c r="AI78" s="26">
        <v>39</v>
      </c>
      <c r="AJ78" s="26">
        <v>26</v>
      </c>
      <c r="AK78" s="325" t="s">
        <v>415</v>
      </c>
      <c r="AL78" s="325"/>
      <c r="AM78" s="325"/>
      <c r="AN78" s="326" t="s">
        <v>416</v>
      </c>
      <c r="AO78" s="326"/>
      <c r="AP78" s="326"/>
      <c r="AQ78" s="26" t="s">
        <v>417</v>
      </c>
      <c r="AR78" s="330">
        <v>189</v>
      </c>
    </row>
    <row r="79" spans="1:44" ht="15" customHeight="1">
      <c r="A79" s="26">
        <v>1020302</v>
      </c>
      <c r="B79" s="5" t="s">
        <v>3638</v>
      </c>
      <c r="C79" s="224" t="s">
        <v>3780</v>
      </c>
      <c r="D79" s="26" t="s">
        <v>81</v>
      </c>
      <c r="E79" s="26" t="s">
        <v>325</v>
      </c>
      <c r="F79" s="26">
        <v>1</v>
      </c>
      <c r="G79" s="26">
        <v>2</v>
      </c>
      <c r="H79" s="26" t="s">
        <v>136</v>
      </c>
      <c r="I79" s="5" t="s">
        <v>3640</v>
      </c>
      <c r="J79" s="26"/>
      <c r="K79" s="26"/>
      <c r="L79" s="287" t="s">
        <v>419</v>
      </c>
      <c r="M79" s="288"/>
      <c r="N79" s="288"/>
      <c r="O79" s="26"/>
      <c r="P79" s="289"/>
      <c r="Q79" s="289">
        <v>0</v>
      </c>
      <c r="R79" s="289" t="s">
        <v>153</v>
      </c>
      <c r="S79" s="26">
        <v>1020302</v>
      </c>
      <c r="T79" s="309"/>
      <c r="U79" s="310"/>
      <c r="V79" s="289" t="s">
        <v>413</v>
      </c>
      <c r="W79" s="57" t="s">
        <v>3781</v>
      </c>
      <c r="X79" s="57" t="s">
        <v>3781</v>
      </c>
      <c r="Y79" s="322"/>
      <c r="Z79" s="322"/>
      <c r="AA79" s="289">
        <v>0</v>
      </c>
      <c r="AB79" s="289"/>
      <c r="AC79" s="26"/>
      <c r="AD79" s="26"/>
      <c r="AE79" s="26">
        <v>0</v>
      </c>
      <c r="AF79" s="26">
        <v>0</v>
      </c>
      <c r="AG79" s="26">
        <v>0</v>
      </c>
      <c r="AH79" s="26"/>
      <c r="AI79" s="26">
        <v>0</v>
      </c>
      <c r="AJ79" s="26">
        <v>0</v>
      </c>
      <c r="AK79" s="325"/>
      <c r="AL79" s="325"/>
      <c r="AM79" s="325"/>
      <c r="AN79" s="326"/>
      <c r="AO79" s="326"/>
      <c r="AP79" s="326"/>
      <c r="AQ79" s="26" t="s">
        <v>421</v>
      </c>
      <c r="AR79" s="330"/>
    </row>
    <row r="80" spans="1:44" ht="15" customHeight="1">
      <c r="A80" s="26">
        <v>1020303</v>
      </c>
      <c r="B80" s="5" t="s">
        <v>3638</v>
      </c>
      <c r="C80" s="224" t="s">
        <v>3782</v>
      </c>
      <c r="D80" s="26" t="s">
        <v>81</v>
      </c>
      <c r="E80" s="26" t="s">
        <v>325</v>
      </c>
      <c r="F80" s="26">
        <v>1</v>
      </c>
      <c r="G80" s="26">
        <v>2</v>
      </c>
      <c r="H80" s="26" t="s">
        <v>82</v>
      </c>
      <c r="I80" s="5" t="s">
        <v>3640</v>
      </c>
      <c r="J80" s="26"/>
      <c r="K80" s="26">
        <v>2</v>
      </c>
      <c r="L80" s="287" t="s">
        <v>423</v>
      </c>
      <c r="M80" s="288"/>
      <c r="N80" s="288"/>
      <c r="O80" s="290"/>
      <c r="P80" s="289">
        <v>2</v>
      </c>
      <c r="Q80" s="289">
        <v>0</v>
      </c>
      <c r="R80" s="289" t="s">
        <v>85</v>
      </c>
      <c r="S80" s="26">
        <v>1020303</v>
      </c>
      <c r="T80" s="307" t="s">
        <v>424</v>
      </c>
      <c r="U80" s="308" t="s">
        <v>412</v>
      </c>
      <c r="V80" s="289" t="s">
        <v>413</v>
      </c>
      <c r="W80" s="57" t="s">
        <v>3783</v>
      </c>
      <c r="X80" s="57" t="s">
        <v>3783</v>
      </c>
      <c r="Y80" s="289"/>
      <c r="Z80" s="289"/>
      <c r="AA80" s="289">
        <v>1</v>
      </c>
      <c r="AB80" s="289" t="s">
        <v>90</v>
      </c>
      <c r="AC80" s="26"/>
      <c r="AD80" s="26"/>
      <c r="AE80" s="26">
        <v>1</v>
      </c>
      <c r="AF80" s="26">
        <v>1</v>
      </c>
      <c r="AG80" s="26">
        <v>5</v>
      </c>
      <c r="AH80" s="26"/>
      <c r="AI80" s="26">
        <v>39</v>
      </c>
      <c r="AJ80" s="26">
        <v>26</v>
      </c>
      <c r="AK80" s="325" t="s">
        <v>426</v>
      </c>
      <c r="AL80" s="325"/>
      <c r="AM80" s="325"/>
      <c r="AN80" s="326" t="s">
        <v>427</v>
      </c>
      <c r="AO80" s="326"/>
      <c r="AP80" s="326"/>
      <c r="AQ80" s="26" t="s">
        <v>428</v>
      </c>
      <c r="AR80" s="330">
        <v>190</v>
      </c>
    </row>
    <row r="81" spans="1:44" ht="15" customHeight="1">
      <c r="A81" s="26">
        <v>1020304</v>
      </c>
      <c r="B81" s="5" t="s">
        <v>3638</v>
      </c>
      <c r="C81" s="224" t="s">
        <v>3784</v>
      </c>
      <c r="D81" s="26" t="s">
        <v>81</v>
      </c>
      <c r="E81" s="26" t="s">
        <v>325</v>
      </c>
      <c r="F81" s="26">
        <v>2</v>
      </c>
      <c r="G81" s="26">
        <v>2</v>
      </c>
      <c r="H81" s="26" t="s">
        <v>136</v>
      </c>
      <c r="I81" s="5" t="s">
        <v>3640</v>
      </c>
      <c r="J81" s="26"/>
      <c r="K81" s="26"/>
      <c r="L81" s="291" t="s">
        <v>430</v>
      </c>
      <c r="M81" s="288"/>
      <c r="N81" s="288"/>
      <c r="O81" s="26"/>
      <c r="P81" s="289"/>
      <c r="Q81" s="289">
        <v>0</v>
      </c>
      <c r="R81" s="289" t="s">
        <v>153</v>
      </c>
      <c r="S81" s="26">
        <v>1020304</v>
      </c>
      <c r="T81" s="311"/>
      <c r="U81" s="310"/>
      <c r="V81" s="289" t="s">
        <v>413</v>
      </c>
      <c r="W81" s="57" t="s">
        <v>3785</v>
      </c>
      <c r="X81" s="57" t="s">
        <v>3785</v>
      </c>
      <c r="Y81" s="322"/>
      <c r="Z81" s="322"/>
      <c r="AA81" s="289">
        <v>0</v>
      </c>
      <c r="AB81" s="289"/>
      <c r="AC81" s="26"/>
      <c r="AD81" s="26"/>
      <c r="AE81" s="26">
        <v>0</v>
      </c>
      <c r="AF81" s="26">
        <v>0</v>
      </c>
      <c r="AG81" s="26">
        <v>0</v>
      </c>
      <c r="AH81" s="26"/>
      <c r="AI81" s="26">
        <v>0</v>
      </c>
      <c r="AJ81" s="26">
        <v>0</v>
      </c>
      <c r="AK81" s="325"/>
      <c r="AL81" s="325"/>
      <c r="AM81" s="325"/>
      <c r="AN81" s="26"/>
      <c r="AO81" s="26"/>
      <c r="AP81" s="26"/>
      <c r="AQ81" s="26" t="s">
        <v>432</v>
      </c>
      <c r="AR81" s="330"/>
    </row>
    <row r="82" spans="1:44" ht="15" customHeight="1">
      <c r="A82" s="26">
        <v>1020305</v>
      </c>
      <c r="B82" s="5" t="s">
        <v>3638</v>
      </c>
      <c r="C82" s="224" t="s">
        <v>3786</v>
      </c>
      <c r="D82" s="26" t="s">
        <v>81</v>
      </c>
      <c r="E82" s="26" t="s">
        <v>325</v>
      </c>
      <c r="F82" s="26">
        <v>1</v>
      </c>
      <c r="G82" s="26">
        <v>2</v>
      </c>
      <c r="H82" s="26" t="s">
        <v>82</v>
      </c>
      <c r="I82" s="5" t="s">
        <v>3640</v>
      </c>
      <c r="J82" s="26"/>
      <c r="K82" s="26">
        <v>3</v>
      </c>
      <c r="L82" s="292" t="s">
        <v>434</v>
      </c>
      <c r="M82" s="288"/>
      <c r="N82" s="288"/>
      <c r="O82" s="290"/>
      <c r="P82" s="289" t="s">
        <v>376</v>
      </c>
      <c r="Q82" s="289">
        <v>0</v>
      </c>
      <c r="R82" s="289" t="s">
        <v>85</v>
      </c>
      <c r="S82" s="26">
        <v>1020305</v>
      </c>
      <c r="T82" s="307" t="s">
        <v>424</v>
      </c>
      <c r="U82" s="308" t="s">
        <v>435</v>
      </c>
      <c r="V82" s="289" t="s">
        <v>413</v>
      </c>
      <c r="W82" s="57" t="s">
        <v>3787</v>
      </c>
      <c r="X82" s="57" t="s">
        <v>3787</v>
      </c>
      <c r="Y82" s="289"/>
      <c r="Z82" s="289"/>
      <c r="AA82" s="289">
        <v>1</v>
      </c>
      <c r="AB82" s="289" t="s">
        <v>90</v>
      </c>
      <c r="AC82" s="26"/>
      <c r="AD82" s="26"/>
      <c r="AE82" s="26">
        <v>1</v>
      </c>
      <c r="AF82" s="26">
        <v>1</v>
      </c>
      <c r="AG82" s="26">
        <v>5</v>
      </c>
      <c r="AH82" s="26"/>
      <c r="AI82" s="26">
        <v>7</v>
      </c>
      <c r="AJ82" s="26">
        <v>6</v>
      </c>
      <c r="AK82" s="325" t="s">
        <v>437</v>
      </c>
      <c r="AL82" s="325"/>
      <c r="AM82" s="325"/>
      <c r="AN82" s="326" t="s">
        <v>438</v>
      </c>
      <c r="AO82" s="326"/>
      <c r="AP82" s="326"/>
      <c r="AQ82" s="26" t="s">
        <v>439</v>
      </c>
      <c r="AR82" s="330">
        <v>191</v>
      </c>
    </row>
    <row r="83" spans="1:44" ht="15" customHeight="1">
      <c r="A83" s="26">
        <v>1020306</v>
      </c>
      <c r="B83" s="5" t="s">
        <v>3638</v>
      </c>
      <c r="C83" s="224" t="s">
        <v>3788</v>
      </c>
      <c r="D83" s="26" t="s">
        <v>81</v>
      </c>
      <c r="E83" s="26" t="s">
        <v>325</v>
      </c>
      <c r="F83" s="26">
        <v>3</v>
      </c>
      <c r="G83" s="26">
        <v>2</v>
      </c>
      <c r="H83" s="26" t="s">
        <v>136</v>
      </c>
      <c r="I83" s="5" t="s">
        <v>3640</v>
      </c>
      <c r="J83" s="26"/>
      <c r="K83" s="26"/>
      <c r="L83" s="291" t="s">
        <v>441</v>
      </c>
      <c r="M83" s="288"/>
      <c r="N83" s="288"/>
      <c r="O83" s="26"/>
      <c r="P83" s="289"/>
      <c r="Q83" s="289">
        <v>0</v>
      </c>
      <c r="R83" s="289" t="s">
        <v>153</v>
      </c>
      <c r="S83" s="26">
        <v>1020306</v>
      </c>
      <c r="T83" s="307"/>
      <c r="U83" s="308"/>
      <c r="V83" s="289" t="s">
        <v>413</v>
      </c>
      <c r="W83" s="57" t="s">
        <v>3789</v>
      </c>
      <c r="X83" s="57" t="s">
        <v>3789</v>
      </c>
      <c r="Y83" s="289"/>
      <c r="Z83" s="289"/>
      <c r="AA83" s="289">
        <v>0</v>
      </c>
      <c r="AB83" s="289"/>
      <c r="AC83" s="26"/>
      <c r="AD83" s="26"/>
      <c r="AE83" s="26">
        <v>0</v>
      </c>
      <c r="AF83" s="26">
        <v>0</v>
      </c>
      <c r="AG83" s="26">
        <v>0</v>
      </c>
      <c r="AH83" s="26"/>
      <c r="AI83" s="26">
        <v>0</v>
      </c>
      <c r="AJ83" s="26">
        <v>0</v>
      </c>
      <c r="AK83" s="325"/>
      <c r="AL83" s="325"/>
      <c r="AM83" s="325"/>
      <c r="AN83" s="26"/>
      <c r="AO83" s="26"/>
      <c r="AP83" s="26"/>
      <c r="AQ83" s="26" t="s">
        <v>443</v>
      </c>
      <c r="AR83" s="330"/>
    </row>
    <row r="84" spans="1:44" ht="15" customHeight="1">
      <c r="A84" s="26">
        <v>1020307</v>
      </c>
      <c r="B84" s="5" t="s">
        <v>3638</v>
      </c>
      <c r="C84" s="224" t="s">
        <v>3790</v>
      </c>
      <c r="D84" s="26" t="s">
        <v>81</v>
      </c>
      <c r="E84" s="26" t="s">
        <v>325</v>
      </c>
      <c r="F84" s="26">
        <v>4</v>
      </c>
      <c r="G84" s="26">
        <v>2</v>
      </c>
      <c r="H84" s="26" t="s">
        <v>136</v>
      </c>
      <c r="I84" s="5" t="s">
        <v>3640</v>
      </c>
      <c r="J84" s="26"/>
      <c r="K84" s="26"/>
      <c r="L84" s="287" t="s">
        <v>445</v>
      </c>
      <c r="M84" s="288"/>
      <c r="N84" s="288"/>
      <c r="O84" s="290"/>
      <c r="P84" s="289"/>
      <c r="Q84" s="289">
        <v>0</v>
      </c>
      <c r="R84" s="289" t="s">
        <v>153</v>
      </c>
      <c r="S84" s="26">
        <v>1020307</v>
      </c>
      <c r="T84" s="307"/>
      <c r="U84" s="308"/>
      <c r="V84" s="289" t="s">
        <v>413</v>
      </c>
      <c r="W84" s="57" t="s">
        <v>3791</v>
      </c>
      <c r="X84" s="57" t="s">
        <v>3791</v>
      </c>
      <c r="Y84" s="289"/>
      <c r="Z84" s="289"/>
      <c r="AA84" s="289">
        <v>0</v>
      </c>
      <c r="AB84" s="289"/>
      <c r="AC84" s="26"/>
      <c r="AD84" s="26"/>
      <c r="AE84" s="26">
        <v>0</v>
      </c>
      <c r="AF84" s="26">
        <v>0</v>
      </c>
      <c r="AG84" s="26">
        <v>0</v>
      </c>
      <c r="AH84" s="26"/>
      <c r="AI84" s="26">
        <v>0</v>
      </c>
      <c r="AJ84" s="26">
        <v>0</v>
      </c>
      <c r="AK84" s="325"/>
      <c r="AL84" s="325"/>
      <c r="AM84" s="325"/>
      <c r="AN84" s="326"/>
      <c r="AO84" s="326"/>
      <c r="AP84" s="326"/>
      <c r="AQ84" s="26" t="s">
        <v>447</v>
      </c>
      <c r="AR84" s="330"/>
    </row>
    <row r="85" spans="1:44" ht="15" customHeight="1">
      <c r="A85" s="26">
        <v>1020308</v>
      </c>
      <c r="B85" s="5" t="s">
        <v>3638</v>
      </c>
      <c r="C85" s="224" t="s">
        <v>3792</v>
      </c>
      <c r="D85" s="26" t="s">
        <v>81</v>
      </c>
      <c r="E85" s="26" t="s">
        <v>325</v>
      </c>
      <c r="F85" s="26">
        <v>5</v>
      </c>
      <c r="G85" s="26">
        <v>2</v>
      </c>
      <c r="H85" s="26" t="s">
        <v>136</v>
      </c>
      <c r="I85" s="5" t="s">
        <v>3640</v>
      </c>
      <c r="J85" s="26"/>
      <c r="K85" s="26"/>
      <c r="L85" s="287" t="s">
        <v>449</v>
      </c>
      <c r="M85" s="288"/>
      <c r="N85" s="288"/>
      <c r="O85" s="26"/>
      <c r="P85" s="289"/>
      <c r="Q85" s="289">
        <v>0</v>
      </c>
      <c r="R85" s="289" t="s">
        <v>153</v>
      </c>
      <c r="S85" s="26">
        <v>1020308</v>
      </c>
      <c r="T85" s="307"/>
      <c r="U85" s="308"/>
      <c r="V85" s="289" t="s">
        <v>413</v>
      </c>
      <c r="W85" s="57" t="s">
        <v>3793</v>
      </c>
      <c r="X85" s="57" t="s">
        <v>3793</v>
      </c>
      <c r="Y85" s="289"/>
      <c r="Z85" s="289"/>
      <c r="AA85" s="289">
        <v>0</v>
      </c>
      <c r="AB85" s="289"/>
      <c r="AC85" s="26"/>
      <c r="AD85" s="26"/>
      <c r="AE85" s="26">
        <v>0</v>
      </c>
      <c r="AF85" s="26">
        <v>0</v>
      </c>
      <c r="AG85" s="26">
        <v>0</v>
      </c>
      <c r="AH85" s="26"/>
      <c r="AI85" s="26">
        <v>0</v>
      </c>
      <c r="AJ85" s="26">
        <v>0</v>
      </c>
      <c r="AK85" s="325"/>
      <c r="AL85" s="325"/>
      <c r="AM85" s="325"/>
      <c r="AN85" s="326"/>
      <c r="AO85" s="326"/>
      <c r="AP85" s="326"/>
      <c r="AQ85" s="26" t="s">
        <v>451</v>
      </c>
      <c r="AR85" s="330"/>
    </row>
    <row r="86" spans="1:44" ht="15" customHeight="1">
      <c r="A86" s="26">
        <v>1020309</v>
      </c>
      <c r="B86" s="5" t="s">
        <v>3638</v>
      </c>
      <c r="C86" s="224" t="s">
        <v>3794</v>
      </c>
      <c r="D86" s="26" t="s">
        <v>81</v>
      </c>
      <c r="E86" s="26" t="s">
        <v>325</v>
      </c>
      <c r="F86" s="26">
        <v>6</v>
      </c>
      <c r="G86" s="26">
        <v>2</v>
      </c>
      <c r="H86" s="26" t="s">
        <v>136</v>
      </c>
      <c r="I86" s="5" t="s">
        <v>3640</v>
      </c>
      <c r="J86" s="26"/>
      <c r="K86" s="26"/>
      <c r="L86" s="287" t="s">
        <v>453</v>
      </c>
      <c r="M86" s="288"/>
      <c r="N86" s="288"/>
      <c r="O86" s="290"/>
      <c r="P86" s="289"/>
      <c r="Q86" s="289">
        <v>0</v>
      </c>
      <c r="R86" s="289" t="s">
        <v>153</v>
      </c>
      <c r="S86" s="26">
        <v>1020309</v>
      </c>
      <c r="T86" s="312"/>
      <c r="U86" s="313"/>
      <c r="V86" s="289" t="s">
        <v>413</v>
      </c>
      <c r="W86" s="57" t="s">
        <v>3795</v>
      </c>
      <c r="X86" s="57" t="s">
        <v>3795</v>
      </c>
      <c r="Y86" s="323"/>
      <c r="Z86" s="323"/>
      <c r="AA86" s="289">
        <v>0</v>
      </c>
      <c r="AB86" s="289"/>
      <c r="AC86" s="26"/>
      <c r="AD86" s="26"/>
      <c r="AE86" s="26">
        <v>0</v>
      </c>
      <c r="AF86" s="26">
        <v>0</v>
      </c>
      <c r="AG86" s="26">
        <v>0</v>
      </c>
      <c r="AH86" s="26"/>
      <c r="AI86" s="26">
        <v>0</v>
      </c>
      <c r="AJ86" s="26">
        <v>0</v>
      </c>
      <c r="AK86" s="325"/>
      <c r="AL86" s="325"/>
      <c r="AM86" s="325"/>
      <c r="AN86" s="326"/>
      <c r="AO86" s="326"/>
      <c r="AP86" s="326"/>
      <c r="AQ86" s="26" t="s">
        <v>455</v>
      </c>
      <c r="AR86" s="330"/>
    </row>
    <row r="87" spans="1:44" ht="15" customHeight="1">
      <c r="A87" s="26">
        <v>1020310</v>
      </c>
      <c r="B87" s="5" t="s">
        <v>3638</v>
      </c>
      <c r="C87" s="224" t="s">
        <v>3796</v>
      </c>
      <c r="D87" s="26" t="s">
        <v>81</v>
      </c>
      <c r="E87" s="26" t="s">
        <v>325</v>
      </c>
      <c r="F87" s="26">
        <v>7</v>
      </c>
      <c r="G87" s="26">
        <v>2</v>
      </c>
      <c r="H87" s="26" t="s">
        <v>136</v>
      </c>
      <c r="I87" s="5" t="s">
        <v>3640</v>
      </c>
      <c r="J87" s="26"/>
      <c r="K87" s="26"/>
      <c r="L87" s="287" t="s">
        <v>457</v>
      </c>
      <c r="M87" s="288"/>
      <c r="N87" s="288"/>
      <c r="O87" s="293"/>
      <c r="P87" s="289"/>
      <c r="Q87" s="289">
        <v>0</v>
      </c>
      <c r="R87" s="289" t="s">
        <v>153</v>
      </c>
      <c r="S87" s="26">
        <v>1020310</v>
      </c>
      <c r="T87" s="307"/>
      <c r="U87" s="308"/>
      <c r="V87" s="289" t="s">
        <v>413</v>
      </c>
      <c r="W87" s="57" t="s">
        <v>3797</v>
      </c>
      <c r="X87" s="57" t="s">
        <v>3797</v>
      </c>
      <c r="Y87" s="289"/>
      <c r="Z87" s="289"/>
      <c r="AA87" s="289"/>
      <c r="AB87" s="289"/>
      <c r="AC87" s="26"/>
      <c r="AD87" s="26"/>
      <c r="AE87" s="26">
        <v>0</v>
      </c>
      <c r="AF87" s="26">
        <v>0</v>
      </c>
      <c r="AG87" s="26">
        <v>0</v>
      </c>
      <c r="AH87" s="26"/>
      <c r="AI87" s="26">
        <v>0</v>
      </c>
      <c r="AJ87" s="26">
        <v>0</v>
      </c>
      <c r="AK87" s="325"/>
      <c r="AL87" s="325"/>
      <c r="AM87" s="325"/>
      <c r="AN87" s="326"/>
      <c r="AO87" s="326"/>
      <c r="AP87" s="326"/>
      <c r="AQ87" s="26" t="s">
        <v>459</v>
      </c>
      <c r="AR87" s="330"/>
    </row>
    <row r="88" spans="1:44" ht="15" customHeight="1">
      <c r="A88" s="3">
        <v>1020311</v>
      </c>
      <c r="B88" s="5" t="s">
        <v>3638</v>
      </c>
      <c r="C88" s="224" t="s">
        <v>3798</v>
      </c>
      <c r="D88" s="3" t="s">
        <v>81</v>
      </c>
      <c r="E88" s="3" t="s">
        <v>325</v>
      </c>
      <c r="F88" s="3">
        <v>8</v>
      </c>
      <c r="G88" s="3">
        <v>2</v>
      </c>
      <c r="H88" s="3" t="s">
        <v>136</v>
      </c>
      <c r="I88" s="5" t="s">
        <v>3640</v>
      </c>
      <c r="J88" s="3"/>
      <c r="K88" s="3"/>
      <c r="L88" s="236"/>
      <c r="M88" s="99"/>
      <c r="N88" s="99"/>
      <c r="O88" s="236"/>
      <c r="P88" s="22"/>
      <c r="Q88" s="22">
        <v>0</v>
      </c>
      <c r="R88" s="22" t="s">
        <v>153</v>
      </c>
      <c r="S88" s="3"/>
      <c r="T88" s="260"/>
      <c r="U88" s="261"/>
      <c r="V88" s="22"/>
      <c r="W88" s="57" t="s">
        <v>3773</v>
      </c>
      <c r="X88" s="57" t="s">
        <v>3773</v>
      </c>
      <c r="Y88" s="22"/>
      <c r="Z88" s="22"/>
      <c r="AA88" s="22"/>
      <c r="AB88" s="22" t="s">
        <v>114</v>
      </c>
      <c r="AC88" s="3"/>
      <c r="AD88" s="3"/>
      <c r="AE88" s="3">
        <v>0</v>
      </c>
      <c r="AF88" s="3">
        <v>0</v>
      </c>
      <c r="AG88" s="3">
        <v>0</v>
      </c>
      <c r="AH88" s="3"/>
      <c r="AI88" s="3">
        <v>0</v>
      </c>
      <c r="AJ88" s="3">
        <v>0</v>
      </c>
      <c r="AK88" s="3">
        <v>0</v>
      </c>
      <c r="AL88" s="3"/>
      <c r="AM88" s="3"/>
      <c r="AN88" s="3"/>
      <c r="AO88" s="3"/>
      <c r="AP88" s="3"/>
      <c r="AQ88" s="3" t="s">
        <v>439</v>
      </c>
      <c r="AR88" s="281"/>
    </row>
    <row r="89" spans="1:44" ht="15" customHeight="1">
      <c r="A89" s="3">
        <v>1020312</v>
      </c>
      <c r="B89" s="5" t="s">
        <v>3638</v>
      </c>
      <c r="C89" s="224" t="s">
        <v>3799</v>
      </c>
      <c r="D89" s="3" t="s">
        <v>81</v>
      </c>
      <c r="E89" s="3" t="s">
        <v>325</v>
      </c>
      <c r="F89" s="3">
        <v>9</v>
      </c>
      <c r="G89" s="3">
        <v>2</v>
      </c>
      <c r="H89" s="3" t="s">
        <v>136</v>
      </c>
      <c r="I89" s="5" t="s">
        <v>3640</v>
      </c>
      <c r="J89" s="3"/>
      <c r="K89" s="3"/>
      <c r="L89" s="236"/>
      <c r="M89" s="99"/>
      <c r="N89" s="99"/>
      <c r="O89" s="236"/>
      <c r="P89" s="22"/>
      <c r="Q89" s="22">
        <v>0</v>
      </c>
      <c r="R89" s="22" t="s">
        <v>153</v>
      </c>
      <c r="S89" s="3"/>
      <c r="T89" s="260"/>
      <c r="U89" s="261"/>
      <c r="V89" s="22"/>
      <c r="W89" s="57" t="s">
        <v>3800</v>
      </c>
      <c r="X89" s="57" t="s">
        <v>3800</v>
      </c>
      <c r="Y89" s="22"/>
      <c r="Z89" s="22"/>
      <c r="AA89" s="22"/>
      <c r="AB89" s="22" t="s">
        <v>114</v>
      </c>
      <c r="AC89" s="3"/>
      <c r="AD89" s="3"/>
      <c r="AE89" s="3">
        <v>0</v>
      </c>
      <c r="AF89" s="3">
        <v>0</v>
      </c>
      <c r="AG89" s="3">
        <v>0</v>
      </c>
      <c r="AH89" s="3"/>
      <c r="AI89" s="3">
        <v>0</v>
      </c>
      <c r="AJ89" s="3">
        <v>0</v>
      </c>
      <c r="AK89" s="3">
        <v>0</v>
      </c>
      <c r="AL89" s="3"/>
      <c r="AM89" s="3"/>
      <c r="AN89" s="3"/>
      <c r="AO89" s="3"/>
      <c r="AP89" s="3"/>
      <c r="AQ89" s="282" t="str">
        <f>"tricks/"&amp;A89</f>
        <v>tricks/1020312</v>
      </c>
    </row>
    <row r="90" spans="1:44" ht="15" customHeight="1">
      <c r="A90" s="3">
        <v>1020313</v>
      </c>
      <c r="B90" s="5" t="s">
        <v>3638</v>
      </c>
      <c r="C90" s="224" t="s">
        <v>3801</v>
      </c>
      <c r="D90" s="3" t="s">
        <v>81</v>
      </c>
      <c r="E90" s="3" t="s">
        <v>325</v>
      </c>
      <c r="F90" s="3">
        <v>10</v>
      </c>
      <c r="G90" s="3">
        <v>2</v>
      </c>
      <c r="H90" s="3" t="s">
        <v>136</v>
      </c>
      <c r="I90" s="5" t="s">
        <v>3640</v>
      </c>
      <c r="J90" s="3"/>
      <c r="K90" s="3"/>
      <c r="L90" s="236"/>
      <c r="M90" s="99"/>
      <c r="N90" s="99"/>
      <c r="O90" s="236"/>
      <c r="P90" s="22"/>
      <c r="Q90" s="22">
        <v>0</v>
      </c>
      <c r="R90" s="22" t="s">
        <v>153</v>
      </c>
      <c r="S90" s="3"/>
      <c r="T90" s="260"/>
      <c r="U90" s="261"/>
      <c r="V90" s="22"/>
      <c r="W90" s="57" t="s">
        <v>3802</v>
      </c>
      <c r="X90" s="57" t="s">
        <v>3802</v>
      </c>
      <c r="Y90" s="22"/>
      <c r="Z90" s="22"/>
      <c r="AA90" s="22"/>
      <c r="AB90" s="22" t="s">
        <v>114</v>
      </c>
      <c r="AC90" s="3"/>
      <c r="AD90" s="3"/>
      <c r="AE90" s="3">
        <v>0</v>
      </c>
      <c r="AF90" s="3">
        <v>0</v>
      </c>
      <c r="AG90" s="3">
        <v>0</v>
      </c>
      <c r="AH90" s="3"/>
      <c r="AI90" s="3">
        <v>0</v>
      </c>
      <c r="AJ90" s="3">
        <v>0</v>
      </c>
      <c r="AK90" s="3">
        <v>0</v>
      </c>
      <c r="AL90" s="3"/>
      <c r="AM90" s="3"/>
      <c r="AN90" s="3"/>
      <c r="AO90" s="3"/>
      <c r="AP90" s="3"/>
      <c r="AQ90" s="282" t="str">
        <f>"tricks/"&amp;A90</f>
        <v>tricks/1020313</v>
      </c>
    </row>
    <row r="91" spans="1:44" ht="15" customHeight="1">
      <c r="A91" s="7">
        <v>1020401</v>
      </c>
      <c r="B91" s="5" t="s">
        <v>3638</v>
      </c>
      <c r="C91" s="224" t="s">
        <v>3803</v>
      </c>
      <c r="D91" s="7" t="s">
        <v>81</v>
      </c>
      <c r="E91" s="7" t="s">
        <v>325</v>
      </c>
      <c r="F91" s="7">
        <v>1</v>
      </c>
      <c r="G91" s="7">
        <v>2</v>
      </c>
      <c r="H91" s="7" t="s">
        <v>82</v>
      </c>
      <c r="I91" s="5" t="s">
        <v>3640</v>
      </c>
      <c r="J91" s="7"/>
      <c r="K91" s="7">
        <v>1</v>
      </c>
      <c r="L91" s="250" t="s">
        <v>467</v>
      </c>
      <c r="M91" s="238"/>
      <c r="N91" s="238"/>
      <c r="O91" s="294"/>
      <c r="P91" s="239">
        <v>1</v>
      </c>
      <c r="Q91" s="239">
        <v>0</v>
      </c>
      <c r="R91" s="239" t="s">
        <v>85</v>
      </c>
      <c r="S91" s="7">
        <v>1020401</v>
      </c>
      <c r="T91" s="262"/>
      <c r="U91" s="263"/>
      <c r="V91" s="239" t="s">
        <v>468</v>
      </c>
      <c r="W91" s="57" t="s">
        <v>3804</v>
      </c>
      <c r="X91" s="57" t="s">
        <v>3804</v>
      </c>
      <c r="Y91" s="239"/>
      <c r="Z91" s="239"/>
      <c r="AA91" s="239">
        <v>1</v>
      </c>
      <c r="AB91" s="239" t="s">
        <v>90</v>
      </c>
      <c r="AC91" s="7"/>
      <c r="AD91" s="7"/>
      <c r="AE91" s="7">
        <v>1</v>
      </c>
      <c r="AF91" s="7">
        <v>1</v>
      </c>
      <c r="AG91" s="7">
        <v>6</v>
      </c>
      <c r="AH91" s="7"/>
      <c r="AI91" s="7">
        <v>40</v>
      </c>
      <c r="AJ91" s="7">
        <v>24</v>
      </c>
      <c r="AK91" s="273" t="s">
        <v>470</v>
      </c>
      <c r="AL91" s="273"/>
      <c r="AM91" s="273"/>
      <c r="AN91" s="277" t="s">
        <v>471</v>
      </c>
      <c r="AO91" s="277"/>
      <c r="AP91" s="277"/>
      <c r="AQ91" s="7" t="s">
        <v>472</v>
      </c>
      <c r="AR91" s="283">
        <v>201</v>
      </c>
    </row>
    <row r="92" spans="1:44" ht="15" customHeight="1">
      <c r="A92" s="7">
        <v>1020402</v>
      </c>
      <c r="B92" s="5" t="s">
        <v>3638</v>
      </c>
      <c r="C92" s="224" t="s">
        <v>3805</v>
      </c>
      <c r="D92" s="7" t="s">
        <v>81</v>
      </c>
      <c r="E92" s="7" t="s">
        <v>325</v>
      </c>
      <c r="F92" s="7">
        <v>1</v>
      </c>
      <c r="G92" s="7">
        <v>2</v>
      </c>
      <c r="H92" s="7" t="s">
        <v>136</v>
      </c>
      <c r="I92" s="5" t="s">
        <v>3640</v>
      </c>
      <c r="J92" s="7"/>
      <c r="K92" s="7"/>
      <c r="L92" s="250" t="s">
        <v>474</v>
      </c>
      <c r="M92" s="238"/>
      <c r="N92" s="238"/>
      <c r="O92" s="295"/>
      <c r="P92" s="239"/>
      <c r="Q92" s="239">
        <v>0</v>
      </c>
      <c r="R92" s="239" t="s">
        <v>85</v>
      </c>
      <c r="S92" s="7">
        <v>1020402</v>
      </c>
      <c r="T92" s="314" t="s">
        <v>475</v>
      </c>
      <c r="U92" s="315" t="s">
        <v>476</v>
      </c>
      <c r="V92" s="239" t="s">
        <v>468</v>
      </c>
      <c r="W92" s="57" t="s">
        <v>3806</v>
      </c>
      <c r="X92" s="57" t="s">
        <v>3806</v>
      </c>
      <c r="Y92" s="324"/>
      <c r="Z92" s="324"/>
      <c r="AA92" s="239">
        <v>0</v>
      </c>
      <c r="AB92" s="239"/>
      <c r="AC92" s="7"/>
      <c r="AD92" s="7"/>
      <c r="AE92" s="7">
        <v>0</v>
      </c>
      <c r="AF92" s="7">
        <v>0</v>
      </c>
      <c r="AG92" s="7">
        <v>0</v>
      </c>
      <c r="AH92" s="7"/>
      <c r="AI92" s="7">
        <v>0</v>
      </c>
      <c r="AJ92" s="7">
        <v>0</v>
      </c>
      <c r="AK92" s="273"/>
      <c r="AL92" s="273"/>
      <c r="AM92" s="273"/>
      <c r="AN92" s="277" t="s">
        <v>478</v>
      </c>
      <c r="AO92" s="277"/>
      <c r="AP92" s="277"/>
      <c r="AQ92" s="7" t="s">
        <v>479</v>
      </c>
      <c r="AR92" s="283"/>
    </row>
    <row r="93" spans="1:44" ht="15" customHeight="1">
      <c r="A93" s="7">
        <v>1020403</v>
      </c>
      <c r="B93" s="5" t="s">
        <v>3638</v>
      </c>
      <c r="C93" s="224" t="s">
        <v>3807</v>
      </c>
      <c r="D93" s="7" t="s">
        <v>81</v>
      </c>
      <c r="E93" s="7" t="s">
        <v>325</v>
      </c>
      <c r="F93" s="7">
        <v>1</v>
      </c>
      <c r="G93" s="7">
        <v>2</v>
      </c>
      <c r="H93" s="7" t="s">
        <v>82</v>
      </c>
      <c r="I93" s="5" t="s">
        <v>3640</v>
      </c>
      <c r="J93" s="7"/>
      <c r="K93" s="7">
        <v>2</v>
      </c>
      <c r="L93" s="250" t="s">
        <v>481</v>
      </c>
      <c r="M93" s="238"/>
      <c r="N93" s="238"/>
      <c r="O93" s="294"/>
      <c r="P93" s="239">
        <v>4</v>
      </c>
      <c r="Q93" s="239">
        <v>0</v>
      </c>
      <c r="R93" s="239" t="s">
        <v>85</v>
      </c>
      <c r="S93" s="7">
        <v>1020403</v>
      </c>
      <c r="T93" s="262" t="s">
        <v>482</v>
      </c>
      <c r="U93" s="263" t="s">
        <v>483</v>
      </c>
      <c r="V93" s="239" t="s">
        <v>468</v>
      </c>
      <c r="W93" s="57" t="s">
        <v>3808</v>
      </c>
      <c r="X93" s="57" t="s">
        <v>3808</v>
      </c>
      <c r="Y93" s="239"/>
      <c r="Z93" s="239"/>
      <c r="AA93" s="239">
        <v>1</v>
      </c>
      <c r="AB93" s="239" t="s">
        <v>90</v>
      </c>
      <c r="AC93" s="7"/>
      <c r="AD93" s="7"/>
      <c r="AE93" s="7">
        <v>1</v>
      </c>
      <c r="AF93" s="7">
        <v>1</v>
      </c>
      <c r="AG93" s="7">
        <v>5</v>
      </c>
      <c r="AH93" s="7"/>
      <c r="AI93" s="7">
        <v>39</v>
      </c>
      <c r="AJ93" s="7">
        <v>26</v>
      </c>
      <c r="AK93" s="273" t="s">
        <v>485</v>
      </c>
      <c r="AL93" s="273"/>
      <c r="AM93" s="273"/>
      <c r="AN93" s="277" t="s">
        <v>486</v>
      </c>
      <c r="AO93" s="277"/>
      <c r="AP93" s="277"/>
      <c r="AQ93" s="7" t="s">
        <v>487</v>
      </c>
      <c r="AR93" s="283"/>
    </row>
    <row r="94" spans="1:44" ht="15" customHeight="1">
      <c r="A94" s="7">
        <v>1020404</v>
      </c>
      <c r="B94" s="5" t="s">
        <v>3638</v>
      </c>
      <c r="C94" s="224" t="s">
        <v>3809</v>
      </c>
      <c r="D94" s="7" t="s">
        <v>81</v>
      </c>
      <c r="E94" s="7" t="s">
        <v>325</v>
      </c>
      <c r="F94" s="7">
        <v>2</v>
      </c>
      <c r="G94" s="7">
        <v>2</v>
      </c>
      <c r="H94" s="7" t="s">
        <v>136</v>
      </c>
      <c r="I94" s="5" t="s">
        <v>3640</v>
      </c>
      <c r="J94" s="7"/>
      <c r="K94" s="7"/>
      <c r="L94" s="237" t="s">
        <v>489</v>
      </c>
      <c r="M94" s="238"/>
      <c r="N94" s="238"/>
      <c r="O94" s="295"/>
      <c r="P94" s="239"/>
      <c r="Q94" s="239">
        <v>0</v>
      </c>
      <c r="R94" s="239" t="s">
        <v>153</v>
      </c>
      <c r="S94" s="7">
        <v>1020404</v>
      </c>
      <c r="T94" s="306"/>
      <c r="U94" s="263"/>
      <c r="V94" s="239" t="s">
        <v>468</v>
      </c>
      <c r="W94" s="57" t="s">
        <v>3810</v>
      </c>
      <c r="X94" s="57" t="s">
        <v>3810</v>
      </c>
      <c r="Y94" s="239"/>
      <c r="Z94" s="239"/>
      <c r="AA94" s="239">
        <v>0</v>
      </c>
      <c r="AB94" s="239"/>
      <c r="AC94" s="7"/>
      <c r="AD94" s="7"/>
      <c r="AE94" s="7">
        <v>0</v>
      </c>
      <c r="AF94" s="7">
        <v>0</v>
      </c>
      <c r="AG94" s="7">
        <v>0</v>
      </c>
      <c r="AH94" s="7"/>
      <c r="AI94" s="7">
        <v>0</v>
      </c>
      <c r="AJ94" s="7">
        <v>0</v>
      </c>
      <c r="AK94" s="273"/>
      <c r="AL94" s="273"/>
      <c r="AM94" s="273"/>
      <c r="AN94" s="7"/>
      <c r="AO94" s="7"/>
      <c r="AP94" s="7"/>
      <c r="AQ94" s="7" t="s">
        <v>491</v>
      </c>
      <c r="AR94" s="283"/>
    </row>
    <row r="95" spans="1:44" ht="15" customHeight="1">
      <c r="A95" s="7">
        <v>1020405</v>
      </c>
      <c r="B95" s="5" t="s">
        <v>3638</v>
      </c>
      <c r="C95" s="224" t="s">
        <v>3811</v>
      </c>
      <c r="D95" s="7" t="s">
        <v>81</v>
      </c>
      <c r="E95" s="7" t="s">
        <v>325</v>
      </c>
      <c r="F95" s="7">
        <v>1</v>
      </c>
      <c r="G95" s="7">
        <v>2</v>
      </c>
      <c r="H95" s="7" t="s">
        <v>82</v>
      </c>
      <c r="I95" s="5" t="s">
        <v>3640</v>
      </c>
      <c r="J95" s="7"/>
      <c r="K95" s="7">
        <v>3</v>
      </c>
      <c r="L95" s="286" t="s">
        <v>493</v>
      </c>
      <c r="M95" s="238"/>
      <c r="N95" s="238"/>
      <c r="O95" s="294"/>
      <c r="P95" s="239" t="s">
        <v>376</v>
      </c>
      <c r="Q95" s="239">
        <v>0</v>
      </c>
      <c r="R95" s="239" t="s">
        <v>85</v>
      </c>
      <c r="S95" s="7">
        <v>1020405</v>
      </c>
      <c r="T95" s="262" t="s">
        <v>494</v>
      </c>
      <c r="U95" s="263" t="s">
        <v>495</v>
      </c>
      <c r="V95" s="239" t="s">
        <v>468</v>
      </c>
      <c r="W95" s="57" t="s">
        <v>3812</v>
      </c>
      <c r="X95" s="57" t="s">
        <v>3812</v>
      </c>
      <c r="Y95" s="239"/>
      <c r="Z95" s="239"/>
      <c r="AA95" s="239">
        <v>1</v>
      </c>
      <c r="AB95" s="239" t="s">
        <v>90</v>
      </c>
      <c r="AC95" s="7"/>
      <c r="AD95" s="7"/>
      <c r="AE95" s="7">
        <v>1</v>
      </c>
      <c r="AF95" s="7">
        <v>1</v>
      </c>
      <c r="AG95" s="7">
        <v>5</v>
      </c>
      <c r="AH95" s="7"/>
      <c r="AI95" s="7">
        <v>42</v>
      </c>
      <c r="AJ95" s="7">
        <v>35</v>
      </c>
      <c r="AK95" s="273" t="s">
        <v>497</v>
      </c>
      <c r="AL95" s="273"/>
      <c r="AM95" s="273"/>
      <c r="AN95" s="277" t="s">
        <v>498</v>
      </c>
      <c r="AO95" s="277"/>
      <c r="AP95" s="277"/>
      <c r="AQ95" s="7" t="s">
        <v>499</v>
      </c>
      <c r="AR95" s="283">
        <v>202</v>
      </c>
    </row>
    <row r="96" spans="1:44" ht="15" customHeight="1">
      <c r="A96" s="7">
        <v>1020406</v>
      </c>
      <c r="B96" s="5" t="s">
        <v>3638</v>
      </c>
      <c r="C96" s="224" t="s">
        <v>3813</v>
      </c>
      <c r="D96" s="7" t="s">
        <v>81</v>
      </c>
      <c r="E96" s="7" t="s">
        <v>325</v>
      </c>
      <c r="F96" s="7">
        <v>3</v>
      </c>
      <c r="G96" s="7">
        <v>2</v>
      </c>
      <c r="H96" s="7" t="s">
        <v>136</v>
      </c>
      <c r="I96" s="5" t="s">
        <v>3640</v>
      </c>
      <c r="J96" s="7"/>
      <c r="K96" s="7"/>
      <c r="L96" s="237" t="s">
        <v>501</v>
      </c>
      <c r="M96" s="238"/>
      <c r="N96" s="238"/>
      <c r="O96" s="295"/>
      <c r="P96" s="239"/>
      <c r="Q96" s="239">
        <v>0</v>
      </c>
      <c r="R96" s="239" t="s">
        <v>153</v>
      </c>
      <c r="S96" s="7">
        <v>1020406</v>
      </c>
      <c r="T96" s="262"/>
      <c r="U96" s="263"/>
      <c r="V96" s="239" t="s">
        <v>468</v>
      </c>
      <c r="W96" s="57" t="s">
        <v>3814</v>
      </c>
      <c r="X96" s="57" t="s">
        <v>3814</v>
      </c>
      <c r="Y96" s="239"/>
      <c r="Z96" s="239"/>
      <c r="AA96" s="239">
        <v>0</v>
      </c>
      <c r="AB96" s="239"/>
      <c r="AC96" s="7"/>
      <c r="AD96" s="7"/>
      <c r="AE96" s="7">
        <v>0</v>
      </c>
      <c r="AF96" s="7">
        <v>0</v>
      </c>
      <c r="AG96" s="7">
        <v>0</v>
      </c>
      <c r="AH96" s="7"/>
      <c r="AI96" s="7">
        <v>0</v>
      </c>
      <c r="AJ96" s="7">
        <v>0</v>
      </c>
      <c r="AK96" s="273"/>
      <c r="AL96" s="273"/>
      <c r="AM96" s="273"/>
      <c r="AN96" s="7"/>
      <c r="AO96" s="7"/>
      <c r="AP96" s="7"/>
      <c r="AQ96" s="7" t="s">
        <v>503</v>
      </c>
      <c r="AR96" s="283"/>
    </row>
    <row r="97" spans="1:44" ht="15" customHeight="1">
      <c r="A97" s="7">
        <v>1020407</v>
      </c>
      <c r="B97" s="5" t="s">
        <v>3638</v>
      </c>
      <c r="C97" s="224" t="s">
        <v>3815</v>
      </c>
      <c r="D97" s="7" t="s">
        <v>81</v>
      </c>
      <c r="E97" s="7" t="s">
        <v>325</v>
      </c>
      <c r="F97" s="7">
        <v>4</v>
      </c>
      <c r="G97" s="7">
        <v>2</v>
      </c>
      <c r="H97" s="7" t="s">
        <v>136</v>
      </c>
      <c r="I97" s="5" t="s">
        <v>3640</v>
      </c>
      <c r="J97" s="7"/>
      <c r="K97" s="7"/>
      <c r="L97" s="250" t="s">
        <v>505</v>
      </c>
      <c r="M97" s="238"/>
      <c r="N97" s="238"/>
      <c r="O97" s="294"/>
      <c r="P97" s="239"/>
      <c r="Q97" s="239">
        <v>0</v>
      </c>
      <c r="R97" s="239" t="s">
        <v>153</v>
      </c>
      <c r="S97" s="7">
        <v>1020407</v>
      </c>
      <c r="T97" s="262"/>
      <c r="U97" s="263"/>
      <c r="V97" s="239" t="s">
        <v>468</v>
      </c>
      <c r="W97" s="57" t="s">
        <v>3816</v>
      </c>
      <c r="X97" s="57" t="s">
        <v>3816</v>
      </c>
      <c r="Y97" s="239"/>
      <c r="Z97" s="239"/>
      <c r="AA97" s="239">
        <v>0</v>
      </c>
      <c r="AB97" s="239"/>
      <c r="AC97" s="7"/>
      <c r="AD97" s="7"/>
      <c r="AE97" s="7">
        <v>0</v>
      </c>
      <c r="AF97" s="7">
        <v>0</v>
      </c>
      <c r="AG97" s="7">
        <v>0</v>
      </c>
      <c r="AH97" s="7"/>
      <c r="AI97" s="7">
        <v>0</v>
      </c>
      <c r="AJ97" s="7">
        <v>0</v>
      </c>
      <c r="AK97" s="273"/>
      <c r="AL97" s="273"/>
      <c r="AM97" s="273"/>
      <c r="AN97" s="277"/>
      <c r="AO97" s="277"/>
      <c r="AP97" s="277"/>
      <c r="AQ97" s="7" t="s">
        <v>507</v>
      </c>
      <c r="AR97" s="283"/>
    </row>
    <row r="98" spans="1:44" ht="15" customHeight="1">
      <c r="A98" s="7">
        <v>1020408</v>
      </c>
      <c r="B98" s="5" t="s">
        <v>3638</v>
      </c>
      <c r="C98" s="224" t="s">
        <v>3817</v>
      </c>
      <c r="D98" s="7" t="s">
        <v>81</v>
      </c>
      <c r="E98" s="7" t="s">
        <v>325</v>
      </c>
      <c r="F98" s="7">
        <v>5</v>
      </c>
      <c r="G98" s="7">
        <v>2</v>
      </c>
      <c r="H98" s="7" t="s">
        <v>136</v>
      </c>
      <c r="I98" s="5" t="s">
        <v>3640</v>
      </c>
      <c r="J98" s="7"/>
      <c r="K98" s="7"/>
      <c r="L98" s="250" t="s">
        <v>509</v>
      </c>
      <c r="M98" s="238"/>
      <c r="N98" s="238"/>
      <c r="O98" s="295"/>
      <c r="P98" s="239"/>
      <c r="Q98" s="239">
        <v>0</v>
      </c>
      <c r="R98" s="239" t="s">
        <v>153</v>
      </c>
      <c r="S98" s="7">
        <v>1020408</v>
      </c>
      <c r="T98" s="262"/>
      <c r="U98" s="263"/>
      <c r="V98" s="239" t="s">
        <v>468</v>
      </c>
      <c r="W98" s="57" t="s">
        <v>3818</v>
      </c>
      <c r="X98" s="57" t="s">
        <v>3818</v>
      </c>
      <c r="Y98" s="239"/>
      <c r="Z98" s="239"/>
      <c r="AA98" s="239">
        <v>0</v>
      </c>
      <c r="AB98" s="239"/>
      <c r="AC98" s="7"/>
      <c r="AD98" s="7"/>
      <c r="AE98" s="7">
        <v>0</v>
      </c>
      <c r="AF98" s="7">
        <v>0</v>
      </c>
      <c r="AG98" s="7">
        <v>0</v>
      </c>
      <c r="AH98" s="7"/>
      <c r="AI98" s="7">
        <v>0</v>
      </c>
      <c r="AJ98" s="7">
        <v>0</v>
      </c>
      <c r="AK98" s="273"/>
      <c r="AL98" s="273"/>
      <c r="AM98" s="273"/>
      <c r="AN98" s="277"/>
      <c r="AO98" s="277"/>
      <c r="AP98" s="277"/>
      <c r="AQ98" s="7" t="s">
        <v>511</v>
      </c>
      <c r="AR98" s="283"/>
    </row>
    <row r="99" spans="1:44" ht="15" customHeight="1">
      <c r="A99" s="7">
        <v>1020409</v>
      </c>
      <c r="B99" s="5" t="s">
        <v>3638</v>
      </c>
      <c r="C99" s="224" t="s">
        <v>3819</v>
      </c>
      <c r="D99" s="7" t="s">
        <v>81</v>
      </c>
      <c r="E99" s="7" t="s">
        <v>325</v>
      </c>
      <c r="F99" s="7">
        <v>6</v>
      </c>
      <c r="G99" s="7">
        <v>2</v>
      </c>
      <c r="H99" s="7" t="s">
        <v>136</v>
      </c>
      <c r="I99" s="5" t="s">
        <v>3640</v>
      </c>
      <c r="J99" s="7"/>
      <c r="K99" s="7"/>
      <c r="L99" s="250" t="s">
        <v>513</v>
      </c>
      <c r="M99" s="238"/>
      <c r="N99" s="238"/>
      <c r="O99" s="294"/>
      <c r="P99" s="239"/>
      <c r="Q99" s="239">
        <v>0</v>
      </c>
      <c r="R99" s="239" t="s">
        <v>153</v>
      </c>
      <c r="S99" s="7">
        <v>1020409</v>
      </c>
      <c r="T99" s="262"/>
      <c r="U99" s="305"/>
      <c r="V99" s="239" t="s">
        <v>468</v>
      </c>
      <c r="W99" s="57" t="s">
        <v>3820</v>
      </c>
      <c r="X99" s="57" t="s">
        <v>3820</v>
      </c>
      <c r="Y99" s="321"/>
      <c r="Z99" s="321"/>
      <c r="AA99" s="239">
        <v>0</v>
      </c>
      <c r="AB99" s="239"/>
      <c r="AC99" s="7"/>
      <c r="AD99" s="7"/>
      <c r="AE99" s="7">
        <v>0</v>
      </c>
      <c r="AF99" s="7">
        <v>0</v>
      </c>
      <c r="AG99" s="7">
        <v>0</v>
      </c>
      <c r="AH99" s="7"/>
      <c r="AI99" s="7">
        <v>0</v>
      </c>
      <c r="AJ99" s="7">
        <v>0</v>
      </c>
      <c r="AK99" s="273"/>
      <c r="AL99" s="273"/>
      <c r="AM99" s="273"/>
      <c r="AN99" s="277"/>
      <c r="AO99" s="277"/>
      <c r="AP99" s="277"/>
      <c r="AQ99" s="7" t="s">
        <v>515</v>
      </c>
      <c r="AR99" s="283"/>
    </row>
    <row r="100" spans="1:44" ht="15" customHeight="1">
      <c r="A100" s="7">
        <v>1020410</v>
      </c>
      <c r="B100" s="5" t="s">
        <v>3638</v>
      </c>
      <c r="C100" s="224" t="s">
        <v>3821</v>
      </c>
      <c r="D100" s="7" t="s">
        <v>81</v>
      </c>
      <c r="E100" s="7" t="s">
        <v>325</v>
      </c>
      <c r="F100" s="7">
        <v>7</v>
      </c>
      <c r="G100" s="7">
        <v>2</v>
      </c>
      <c r="H100" s="7" t="s">
        <v>136</v>
      </c>
      <c r="I100" s="5" t="s">
        <v>3640</v>
      </c>
      <c r="J100" s="7"/>
      <c r="K100" s="7"/>
      <c r="L100" s="250" t="s">
        <v>517</v>
      </c>
      <c r="M100" s="238"/>
      <c r="N100" s="238"/>
      <c r="O100" s="295"/>
      <c r="P100" s="239"/>
      <c r="Q100" s="239">
        <v>0</v>
      </c>
      <c r="R100" s="239" t="s">
        <v>153</v>
      </c>
      <c r="S100" s="7">
        <v>1020410</v>
      </c>
      <c r="T100" s="262"/>
      <c r="U100" s="263"/>
      <c r="V100" s="239" t="s">
        <v>468</v>
      </c>
      <c r="W100" s="57" t="s">
        <v>3822</v>
      </c>
      <c r="X100" s="57" t="s">
        <v>3822</v>
      </c>
      <c r="Y100" s="239"/>
      <c r="Z100" s="239"/>
      <c r="AA100" s="239"/>
      <c r="AB100" s="239"/>
      <c r="AC100" s="7"/>
      <c r="AD100" s="7"/>
      <c r="AE100" s="7">
        <v>0</v>
      </c>
      <c r="AF100" s="7">
        <v>0</v>
      </c>
      <c r="AG100" s="7">
        <v>0</v>
      </c>
      <c r="AH100" s="7"/>
      <c r="AI100" s="7">
        <v>0</v>
      </c>
      <c r="AJ100" s="7">
        <v>0</v>
      </c>
      <c r="AK100" s="273">
        <v>8020204</v>
      </c>
      <c r="AL100" s="273"/>
      <c r="AM100" s="273"/>
      <c r="AN100" s="277"/>
      <c r="AO100" s="277"/>
      <c r="AP100" s="277"/>
      <c r="AQ100" s="7" t="s">
        <v>519</v>
      </c>
      <c r="AR100" s="283"/>
    </row>
    <row r="101" spans="1:44" ht="15" customHeight="1">
      <c r="A101" s="3">
        <v>1020411</v>
      </c>
      <c r="B101" s="5" t="s">
        <v>3638</v>
      </c>
      <c r="C101" s="224" t="s">
        <v>3823</v>
      </c>
      <c r="D101" s="3" t="s">
        <v>81</v>
      </c>
      <c r="E101" s="3" t="s">
        <v>325</v>
      </c>
      <c r="F101" s="3">
        <v>8</v>
      </c>
      <c r="G101" s="3">
        <v>2</v>
      </c>
      <c r="H101" s="3" t="s">
        <v>136</v>
      </c>
      <c r="I101" s="5" t="s">
        <v>3640</v>
      </c>
      <c r="J101" s="3"/>
      <c r="K101" s="3"/>
      <c r="L101" s="236"/>
      <c r="M101" s="99"/>
      <c r="N101" s="99"/>
      <c r="O101" s="236"/>
      <c r="P101" s="22"/>
      <c r="Q101" s="22">
        <v>0</v>
      </c>
      <c r="R101" s="22" t="s">
        <v>153</v>
      </c>
      <c r="S101" s="3"/>
      <c r="T101" s="260"/>
      <c r="U101" s="261"/>
      <c r="V101" s="22"/>
      <c r="W101" s="57" t="s">
        <v>3665</v>
      </c>
      <c r="X101" s="57" t="s">
        <v>3665</v>
      </c>
      <c r="Y101" s="22"/>
      <c r="Z101" s="22"/>
      <c r="AA101" s="22"/>
      <c r="AB101" s="22" t="s">
        <v>114</v>
      </c>
      <c r="AC101" s="3"/>
      <c r="AD101" s="3"/>
      <c r="AE101" s="3">
        <v>0</v>
      </c>
      <c r="AF101" s="3">
        <v>0</v>
      </c>
      <c r="AG101" s="3">
        <v>0</v>
      </c>
      <c r="AH101" s="3"/>
      <c r="AI101" s="3">
        <v>0</v>
      </c>
      <c r="AJ101" s="3">
        <v>0</v>
      </c>
      <c r="AK101" s="3">
        <v>0</v>
      </c>
      <c r="AL101" s="3"/>
      <c r="AM101" s="3"/>
      <c r="AN101" s="3"/>
      <c r="AO101" s="3"/>
      <c r="AP101" s="3"/>
      <c r="AQ101" s="3" t="s">
        <v>499</v>
      </c>
      <c r="AR101" s="281"/>
    </row>
    <row r="102" spans="1:44" ht="15" customHeight="1">
      <c r="A102" s="3">
        <v>1020412</v>
      </c>
      <c r="B102" s="5" t="s">
        <v>3638</v>
      </c>
      <c r="C102" s="224" t="s">
        <v>3824</v>
      </c>
      <c r="D102" s="3" t="s">
        <v>81</v>
      </c>
      <c r="E102" s="3" t="s">
        <v>325</v>
      </c>
      <c r="F102" s="3">
        <v>9</v>
      </c>
      <c r="G102" s="3">
        <v>2</v>
      </c>
      <c r="H102" s="3" t="s">
        <v>136</v>
      </c>
      <c r="I102" s="5" t="s">
        <v>3640</v>
      </c>
      <c r="J102" s="3"/>
      <c r="K102" s="3"/>
      <c r="L102" s="236"/>
      <c r="M102" s="99"/>
      <c r="N102" s="99"/>
      <c r="O102" s="236"/>
      <c r="P102" s="22"/>
      <c r="Q102" s="22">
        <v>0</v>
      </c>
      <c r="R102" s="22" t="s">
        <v>153</v>
      </c>
      <c r="S102" s="3"/>
      <c r="T102" s="260"/>
      <c r="U102" s="261"/>
      <c r="V102" s="22"/>
      <c r="W102" s="57" t="s">
        <v>3825</v>
      </c>
      <c r="X102" s="57" t="s">
        <v>3825</v>
      </c>
      <c r="Y102" s="22"/>
      <c r="Z102" s="22"/>
      <c r="AA102" s="22"/>
      <c r="AB102" s="22" t="s">
        <v>114</v>
      </c>
      <c r="AC102" s="3"/>
      <c r="AD102" s="3"/>
      <c r="AE102" s="3">
        <v>0</v>
      </c>
      <c r="AF102" s="3">
        <v>0</v>
      </c>
      <c r="AG102" s="3">
        <v>0</v>
      </c>
      <c r="AH102" s="3"/>
      <c r="AI102" s="3">
        <v>0</v>
      </c>
      <c r="AJ102" s="3">
        <v>0</v>
      </c>
      <c r="AK102" s="3">
        <v>0</v>
      </c>
      <c r="AL102" s="3"/>
      <c r="AM102" s="3"/>
      <c r="AN102" s="3"/>
      <c r="AO102" s="3"/>
      <c r="AP102" s="3"/>
      <c r="AQ102" s="282" t="str">
        <f>"tricks/"&amp;A102</f>
        <v>tricks/1020412</v>
      </c>
    </row>
    <row r="103" spans="1:44" ht="15" customHeight="1">
      <c r="A103" s="3">
        <v>1020413</v>
      </c>
      <c r="B103" s="5" t="s">
        <v>3638</v>
      </c>
      <c r="C103" s="224" t="s">
        <v>3826</v>
      </c>
      <c r="D103" s="3" t="s">
        <v>81</v>
      </c>
      <c r="E103" s="3" t="s">
        <v>325</v>
      </c>
      <c r="F103" s="3">
        <v>10</v>
      </c>
      <c r="G103" s="3">
        <v>2</v>
      </c>
      <c r="H103" s="3" t="s">
        <v>136</v>
      </c>
      <c r="I103" s="5" t="s">
        <v>3640</v>
      </c>
      <c r="J103" s="3"/>
      <c r="K103" s="3"/>
      <c r="L103" s="236"/>
      <c r="M103" s="99"/>
      <c r="N103" s="99"/>
      <c r="O103" s="236"/>
      <c r="P103" s="22"/>
      <c r="Q103" s="22">
        <v>0</v>
      </c>
      <c r="R103" s="22" t="s">
        <v>153</v>
      </c>
      <c r="S103" s="3"/>
      <c r="T103" s="260"/>
      <c r="U103" s="261"/>
      <c r="V103" s="22"/>
      <c r="W103" s="57" t="s">
        <v>3827</v>
      </c>
      <c r="X103" s="57" t="s">
        <v>3827</v>
      </c>
      <c r="Y103" s="22"/>
      <c r="Z103" s="22"/>
      <c r="AA103" s="22"/>
      <c r="AB103" s="22" t="s">
        <v>114</v>
      </c>
      <c r="AC103" s="3"/>
      <c r="AD103" s="3"/>
      <c r="AE103" s="3">
        <v>0</v>
      </c>
      <c r="AF103" s="3">
        <v>0</v>
      </c>
      <c r="AG103" s="3">
        <v>0</v>
      </c>
      <c r="AH103" s="3"/>
      <c r="AI103" s="3">
        <v>0</v>
      </c>
      <c r="AJ103" s="3">
        <v>0</v>
      </c>
      <c r="AK103" s="3">
        <v>0</v>
      </c>
      <c r="AL103" s="3"/>
      <c r="AM103" s="3"/>
      <c r="AN103" s="3"/>
      <c r="AO103" s="3"/>
      <c r="AP103" s="3"/>
      <c r="AQ103" s="282" t="str">
        <f>"tricks/"&amp;A103</f>
        <v>tricks/1020413</v>
      </c>
    </row>
    <row r="104" spans="1:44" ht="15" customHeight="1">
      <c r="A104" s="27">
        <v>1020501</v>
      </c>
      <c r="B104" s="5" t="s">
        <v>3638</v>
      </c>
      <c r="C104" s="224" t="s">
        <v>3828</v>
      </c>
      <c r="D104" s="27" t="s">
        <v>81</v>
      </c>
      <c r="E104" s="27" t="s">
        <v>325</v>
      </c>
      <c r="F104" s="27">
        <v>1</v>
      </c>
      <c r="G104" s="27">
        <v>2</v>
      </c>
      <c r="H104" s="27" t="s">
        <v>82</v>
      </c>
      <c r="I104" s="5" t="s">
        <v>3640</v>
      </c>
      <c r="J104" s="27"/>
      <c r="K104" s="27">
        <v>1</v>
      </c>
      <c r="L104" s="296" t="s">
        <v>527</v>
      </c>
      <c r="M104" s="297"/>
      <c r="N104" s="297"/>
      <c r="O104" s="296"/>
      <c r="P104" s="298"/>
      <c r="Q104" s="298">
        <v>0</v>
      </c>
      <c r="R104" s="298" t="s">
        <v>85</v>
      </c>
      <c r="S104" s="27">
        <v>1020501</v>
      </c>
      <c r="T104" s="316" t="s">
        <v>528</v>
      </c>
      <c r="U104" s="317" t="s">
        <v>529</v>
      </c>
      <c r="V104" s="298" t="s">
        <v>530</v>
      </c>
      <c r="W104" s="57" t="s">
        <v>3829</v>
      </c>
      <c r="X104" s="57" t="s">
        <v>3829</v>
      </c>
      <c r="Y104" s="298"/>
      <c r="Z104" s="298"/>
      <c r="AA104" s="298"/>
      <c r="AB104" s="298" t="s">
        <v>90</v>
      </c>
      <c r="AC104" s="27"/>
      <c r="AD104" s="27"/>
      <c r="AE104" s="27">
        <v>1</v>
      </c>
      <c r="AF104" s="27">
        <v>2</v>
      </c>
      <c r="AG104" s="27">
        <v>7</v>
      </c>
      <c r="AH104" s="27"/>
      <c r="AI104" s="27">
        <v>40</v>
      </c>
      <c r="AJ104" s="27">
        <v>24</v>
      </c>
      <c r="AK104" s="327"/>
      <c r="AL104" s="327"/>
      <c r="AM104" s="327"/>
      <c r="AN104" s="27" t="s">
        <v>532</v>
      </c>
      <c r="AO104" s="27"/>
      <c r="AP104" s="27"/>
      <c r="AQ104" s="27" t="s">
        <v>533</v>
      </c>
      <c r="AR104" s="331">
        <v>206</v>
      </c>
    </row>
    <row r="105" spans="1:44" ht="15" customHeight="1">
      <c r="A105" s="27">
        <v>1020502</v>
      </c>
      <c r="B105" s="5" t="s">
        <v>3638</v>
      </c>
      <c r="C105" s="224" t="s">
        <v>3830</v>
      </c>
      <c r="D105" s="27" t="s">
        <v>81</v>
      </c>
      <c r="E105" s="27" t="s">
        <v>325</v>
      </c>
      <c r="F105" s="27">
        <v>1</v>
      </c>
      <c r="G105" s="27">
        <v>2</v>
      </c>
      <c r="H105" s="27" t="s">
        <v>136</v>
      </c>
      <c r="I105" s="5" t="s">
        <v>3640</v>
      </c>
      <c r="J105" s="27"/>
      <c r="K105" s="27"/>
      <c r="L105" s="299" t="s">
        <v>535</v>
      </c>
      <c r="M105" s="297"/>
      <c r="N105" s="297"/>
      <c r="O105" s="299"/>
      <c r="P105" s="298"/>
      <c r="Q105" s="298">
        <v>0</v>
      </c>
      <c r="R105" s="298"/>
      <c r="S105" s="27">
        <v>1020502</v>
      </c>
      <c r="T105" s="316"/>
      <c r="U105" s="317"/>
      <c r="V105" s="298" t="s">
        <v>530</v>
      </c>
      <c r="W105" s="57" t="s">
        <v>3831</v>
      </c>
      <c r="X105" s="57" t="s">
        <v>3831</v>
      </c>
      <c r="Y105" s="298"/>
      <c r="Z105" s="298"/>
      <c r="AA105" s="298"/>
      <c r="AB105" s="298"/>
      <c r="AC105" s="27"/>
      <c r="AD105" s="27"/>
      <c r="AE105" s="27">
        <v>0</v>
      </c>
      <c r="AF105" s="27"/>
      <c r="AG105" s="27"/>
      <c r="AH105" s="27"/>
      <c r="AI105" s="27"/>
      <c r="AJ105" s="27"/>
      <c r="AK105" s="327"/>
      <c r="AL105" s="327"/>
      <c r="AM105" s="327"/>
      <c r="AN105" s="27"/>
      <c r="AO105" s="27"/>
      <c r="AP105" s="27"/>
      <c r="AQ105" s="27" t="s">
        <v>537</v>
      </c>
      <c r="AR105" s="331"/>
    </row>
    <row r="106" spans="1:44" ht="15" customHeight="1">
      <c r="A106" s="27">
        <v>1020503</v>
      </c>
      <c r="B106" s="5" t="s">
        <v>3638</v>
      </c>
      <c r="C106" s="224" t="s">
        <v>3832</v>
      </c>
      <c r="D106" s="27" t="s">
        <v>81</v>
      </c>
      <c r="E106" s="27" t="s">
        <v>325</v>
      </c>
      <c r="F106" s="27">
        <v>1</v>
      </c>
      <c r="G106" s="27">
        <v>2</v>
      </c>
      <c r="H106" s="27" t="s">
        <v>82</v>
      </c>
      <c r="I106" s="5" t="s">
        <v>3640</v>
      </c>
      <c r="J106" s="27"/>
      <c r="K106" s="27">
        <v>2</v>
      </c>
      <c r="L106" s="299" t="s">
        <v>539</v>
      </c>
      <c r="M106" s="297"/>
      <c r="N106" s="297"/>
      <c r="O106" s="299"/>
      <c r="P106" s="298"/>
      <c r="Q106" s="298">
        <v>0</v>
      </c>
      <c r="R106" s="298" t="s">
        <v>85</v>
      </c>
      <c r="S106" s="27">
        <v>1020503</v>
      </c>
      <c r="T106" s="316"/>
      <c r="U106" s="317"/>
      <c r="V106" s="298" t="s">
        <v>530</v>
      </c>
      <c r="W106" s="57" t="s">
        <v>3833</v>
      </c>
      <c r="X106" s="57" t="s">
        <v>3833</v>
      </c>
      <c r="Y106" s="298"/>
      <c r="Z106" s="298"/>
      <c r="AA106" s="298"/>
      <c r="AB106" s="298" t="s">
        <v>90</v>
      </c>
      <c r="AC106" s="27"/>
      <c r="AD106" s="27"/>
      <c r="AE106" s="27">
        <v>1</v>
      </c>
      <c r="AF106" s="27">
        <v>1</v>
      </c>
      <c r="AG106" s="27">
        <v>5</v>
      </c>
      <c r="AH106" s="27"/>
      <c r="AI106" s="27">
        <v>39</v>
      </c>
      <c r="AJ106" s="27">
        <v>26</v>
      </c>
      <c r="AK106" s="327"/>
      <c r="AL106" s="327"/>
      <c r="AM106" s="327"/>
      <c r="AN106" s="27" t="s">
        <v>541</v>
      </c>
      <c r="AO106" s="27"/>
      <c r="AP106" s="27"/>
      <c r="AQ106" s="27" t="s">
        <v>542</v>
      </c>
      <c r="AR106" s="331">
        <v>207</v>
      </c>
    </row>
    <row r="107" spans="1:44" ht="15" customHeight="1">
      <c r="A107" s="27">
        <v>1020504</v>
      </c>
      <c r="B107" s="5" t="s">
        <v>3638</v>
      </c>
      <c r="C107" s="224" t="s">
        <v>3834</v>
      </c>
      <c r="D107" s="27" t="s">
        <v>81</v>
      </c>
      <c r="E107" s="27" t="s">
        <v>325</v>
      </c>
      <c r="F107" s="27">
        <v>2</v>
      </c>
      <c r="G107" s="27">
        <v>2</v>
      </c>
      <c r="H107" s="27" t="s">
        <v>136</v>
      </c>
      <c r="I107" s="5" t="s">
        <v>3640</v>
      </c>
      <c r="J107" s="27"/>
      <c r="K107" s="27"/>
      <c r="L107" s="299" t="s">
        <v>544</v>
      </c>
      <c r="M107" s="297"/>
      <c r="N107" s="297"/>
      <c r="O107" s="299"/>
      <c r="P107" s="298"/>
      <c r="Q107" s="298">
        <v>0</v>
      </c>
      <c r="R107" s="298"/>
      <c r="S107" s="27">
        <v>1020504</v>
      </c>
      <c r="T107" s="316"/>
      <c r="U107" s="317"/>
      <c r="V107" s="298" t="s">
        <v>530</v>
      </c>
      <c r="W107" s="57" t="s">
        <v>3835</v>
      </c>
      <c r="X107" s="57" t="s">
        <v>3835</v>
      </c>
      <c r="Y107" s="298"/>
      <c r="Z107" s="298"/>
      <c r="AA107" s="298"/>
      <c r="AB107" s="298"/>
      <c r="AC107" s="27"/>
      <c r="AD107" s="27"/>
      <c r="AE107" s="27">
        <v>0</v>
      </c>
      <c r="AF107" s="27"/>
      <c r="AG107" s="27"/>
      <c r="AH107" s="27"/>
      <c r="AI107" s="27"/>
      <c r="AJ107" s="27"/>
      <c r="AK107" s="327"/>
      <c r="AL107" s="327"/>
      <c r="AM107" s="327"/>
      <c r="AN107" s="27"/>
      <c r="AO107" s="27"/>
      <c r="AP107" s="27"/>
      <c r="AQ107" s="27" t="s">
        <v>546</v>
      </c>
      <c r="AR107" s="331"/>
    </row>
    <row r="108" spans="1:44" ht="15" customHeight="1">
      <c r="A108" s="27">
        <v>1020505</v>
      </c>
      <c r="B108" s="5" t="s">
        <v>3638</v>
      </c>
      <c r="C108" s="224" t="s">
        <v>3836</v>
      </c>
      <c r="D108" s="27" t="s">
        <v>81</v>
      </c>
      <c r="E108" s="27" t="s">
        <v>325</v>
      </c>
      <c r="F108" s="27">
        <v>1</v>
      </c>
      <c r="G108" s="27">
        <v>2</v>
      </c>
      <c r="H108" s="27" t="s">
        <v>82</v>
      </c>
      <c r="I108" s="5" t="s">
        <v>3640</v>
      </c>
      <c r="J108" s="27"/>
      <c r="K108" s="27">
        <v>3</v>
      </c>
      <c r="L108" s="299" t="s">
        <v>548</v>
      </c>
      <c r="M108" s="297"/>
      <c r="N108" s="297"/>
      <c r="O108" s="299"/>
      <c r="P108" s="298"/>
      <c r="Q108" s="298">
        <v>0</v>
      </c>
      <c r="R108" s="298" t="s">
        <v>85</v>
      </c>
      <c r="S108" s="27">
        <v>1020505</v>
      </c>
      <c r="T108" s="316" t="s">
        <v>549</v>
      </c>
      <c r="U108" s="317" t="s">
        <v>550</v>
      </c>
      <c r="V108" s="298" t="s">
        <v>530</v>
      </c>
      <c r="W108" s="57" t="s">
        <v>3837</v>
      </c>
      <c r="X108" s="57" t="s">
        <v>3837</v>
      </c>
      <c r="Y108" s="298"/>
      <c r="Z108" s="298"/>
      <c r="AA108" s="298"/>
      <c r="AB108" s="298" t="s">
        <v>90</v>
      </c>
      <c r="AC108" s="27"/>
      <c r="AD108" s="27"/>
      <c r="AE108" s="27">
        <v>1</v>
      </c>
      <c r="AF108" s="27">
        <v>1</v>
      </c>
      <c r="AG108" s="27">
        <v>5</v>
      </c>
      <c r="AH108" s="27"/>
      <c r="AI108" s="27">
        <v>42</v>
      </c>
      <c r="AJ108" s="27">
        <v>35</v>
      </c>
      <c r="AK108" s="327"/>
      <c r="AL108" s="327"/>
      <c r="AM108" s="327"/>
      <c r="AN108" s="27" t="s">
        <v>552</v>
      </c>
      <c r="AO108" s="27"/>
      <c r="AP108" s="27"/>
      <c r="AQ108" s="27" t="s">
        <v>553</v>
      </c>
      <c r="AR108" s="331">
        <v>208</v>
      </c>
    </row>
    <row r="109" spans="1:44" ht="15" customHeight="1">
      <c r="A109" s="27">
        <v>1020506</v>
      </c>
      <c r="B109" s="5" t="s">
        <v>3638</v>
      </c>
      <c r="C109" s="224" t="s">
        <v>3838</v>
      </c>
      <c r="D109" s="27" t="s">
        <v>81</v>
      </c>
      <c r="E109" s="27" t="s">
        <v>325</v>
      </c>
      <c r="F109" s="27">
        <v>3</v>
      </c>
      <c r="G109" s="27">
        <v>2</v>
      </c>
      <c r="H109" s="27" t="s">
        <v>136</v>
      </c>
      <c r="I109" s="5" t="s">
        <v>3640</v>
      </c>
      <c r="J109" s="27"/>
      <c r="K109" s="27"/>
      <c r="L109" s="299" t="s">
        <v>555</v>
      </c>
      <c r="M109" s="297"/>
      <c r="N109" s="297"/>
      <c r="O109" s="299"/>
      <c r="P109" s="298"/>
      <c r="Q109" s="298">
        <v>0</v>
      </c>
      <c r="R109" s="298"/>
      <c r="S109" s="27">
        <v>1020506</v>
      </c>
      <c r="T109" s="316"/>
      <c r="U109" s="317"/>
      <c r="V109" s="298" t="s">
        <v>530</v>
      </c>
      <c r="W109" s="57" t="s">
        <v>3839</v>
      </c>
      <c r="X109" s="57" t="s">
        <v>3839</v>
      </c>
      <c r="Y109" s="298"/>
      <c r="Z109" s="298"/>
      <c r="AA109" s="298"/>
      <c r="AB109" s="298"/>
      <c r="AC109" s="27"/>
      <c r="AD109" s="27"/>
      <c r="AE109" s="27">
        <v>0</v>
      </c>
      <c r="AF109" s="27"/>
      <c r="AG109" s="27"/>
      <c r="AH109" s="27"/>
      <c r="AI109" s="27"/>
      <c r="AJ109" s="27"/>
      <c r="AK109" s="327"/>
      <c r="AL109" s="327"/>
      <c r="AM109" s="327"/>
      <c r="AN109" s="27"/>
      <c r="AO109" s="27"/>
      <c r="AP109" s="27"/>
      <c r="AQ109" s="27" t="s">
        <v>557</v>
      </c>
      <c r="AR109" s="331"/>
    </row>
    <row r="110" spans="1:44" ht="15" customHeight="1">
      <c r="A110" s="27">
        <v>1020507</v>
      </c>
      <c r="B110" s="5" t="s">
        <v>3638</v>
      </c>
      <c r="C110" s="224" t="s">
        <v>3840</v>
      </c>
      <c r="D110" s="27" t="s">
        <v>81</v>
      </c>
      <c r="E110" s="27" t="s">
        <v>325</v>
      </c>
      <c r="F110" s="27">
        <v>4</v>
      </c>
      <c r="G110" s="27">
        <v>2</v>
      </c>
      <c r="H110" s="27" t="s">
        <v>136</v>
      </c>
      <c r="I110" s="5" t="s">
        <v>3640</v>
      </c>
      <c r="J110" s="27"/>
      <c r="K110" s="27"/>
      <c r="L110" s="299" t="s">
        <v>559</v>
      </c>
      <c r="M110" s="297"/>
      <c r="N110" s="297"/>
      <c r="O110" s="299"/>
      <c r="P110" s="298"/>
      <c r="Q110" s="298">
        <v>0</v>
      </c>
      <c r="R110" s="298"/>
      <c r="S110" s="27">
        <v>1020507</v>
      </c>
      <c r="T110" s="316"/>
      <c r="U110" s="317"/>
      <c r="V110" s="298" t="s">
        <v>530</v>
      </c>
      <c r="W110" s="57" t="s">
        <v>3841</v>
      </c>
      <c r="X110" s="57" t="s">
        <v>3841</v>
      </c>
      <c r="Y110" s="298"/>
      <c r="Z110" s="298"/>
      <c r="AA110" s="298"/>
      <c r="AB110" s="298"/>
      <c r="AC110" s="27"/>
      <c r="AD110" s="27"/>
      <c r="AE110" s="27">
        <v>0</v>
      </c>
      <c r="AF110" s="27"/>
      <c r="AG110" s="27"/>
      <c r="AH110" s="27"/>
      <c r="AI110" s="27"/>
      <c r="AJ110" s="27"/>
      <c r="AK110" s="327"/>
      <c r="AL110" s="327"/>
      <c r="AM110" s="327"/>
      <c r="AN110" s="27"/>
      <c r="AO110" s="27"/>
      <c r="AP110" s="27"/>
      <c r="AQ110" s="27" t="s">
        <v>561</v>
      </c>
      <c r="AR110" s="331"/>
    </row>
    <row r="111" spans="1:44" ht="15" customHeight="1">
      <c r="A111" s="27">
        <v>1020508</v>
      </c>
      <c r="B111" s="5" t="s">
        <v>3638</v>
      </c>
      <c r="C111" s="224" t="s">
        <v>3842</v>
      </c>
      <c r="D111" s="27" t="s">
        <v>81</v>
      </c>
      <c r="E111" s="27" t="s">
        <v>325</v>
      </c>
      <c r="F111" s="27">
        <v>5</v>
      </c>
      <c r="G111" s="27">
        <v>2</v>
      </c>
      <c r="H111" s="27" t="s">
        <v>136</v>
      </c>
      <c r="I111" s="5" t="s">
        <v>3640</v>
      </c>
      <c r="J111" s="27"/>
      <c r="K111" s="27"/>
      <c r="L111" s="299" t="s">
        <v>563</v>
      </c>
      <c r="M111" s="297"/>
      <c r="N111" s="297"/>
      <c r="O111" s="299"/>
      <c r="P111" s="298"/>
      <c r="Q111" s="298">
        <v>0</v>
      </c>
      <c r="R111" s="298"/>
      <c r="S111" s="27">
        <v>1020508</v>
      </c>
      <c r="T111" s="316"/>
      <c r="U111" s="318"/>
      <c r="V111" s="298" t="s">
        <v>530</v>
      </c>
      <c r="W111" s="57" t="s">
        <v>3843</v>
      </c>
      <c r="X111" s="57" t="s">
        <v>3843</v>
      </c>
      <c r="Y111" s="298"/>
      <c r="Z111" s="298"/>
      <c r="AA111" s="298"/>
      <c r="AB111" s="298"/>
      <c r="AC111" s="27"/>
      <c r="AD111" s="27"/>
      <c r="AE111" s="27">
        <v>0</v>
      </c>
      <c r="AF111" s="27"/>
      <c r="AG111" s="27"/>
      <c r="AH111" s="27"/>
      <c r="AI111" s="27"/>
      <c r="AJ111" s="27"/>
      <c r="AK111" s="327"/>
      <c r="AL111" s="327"/>
      <c r="AM111" s="327"/>
      <c r="AN111" s="27"/>
      <c r="AO111" s="27"/>
      <c r="AP111" s="27"/>
      <c r="AQ111" s="27" t="s">
        <v>565</v>
      </c>
      <c r="AR111" s="331"/>
    </row>
    <row r="112" spans="1:44" ht="15" customHeight="1">
      <c r="A112" s="27">
        <v>1020509</v>
      </c>
      <c r="B112" s="5" t="s">
        <v>3638</v>
      </c>
      <c r="C112" s="224" t="s">
        <v>3844</v>
      </c>
      <c r="D112" s="27" t="s">
        <v>81</v>
      </c>
      <c r="E112" s="27" t="s">
        <v>325</v>
      </c>
      <c r="F112" s="27">
        <v>6</v>
      </c>
      <c r="G112" s="27">
        <v>2</v>
      </c>
      <c r="H112" s="27" t="s">
        <v>136</v>
      </c>
      <c r="I112" s="5" t="s">
        <v>3640</v>
      </c>
      <c r="J112" s="27"/>
      <c r="K112" s="27"/>
      <c r="L112" s="299" t="s">
        <v>567</v>
      </c>
      <c r="M112" s="297"/>
      <c r="N112" s="297"/>
      <c r="O112" s="299"/>
      <c r="P112" s="298"/>
      <c r="Q112" s="298">
        <v>0</v>
      </c>
      <c r="R112" s="298"/>
      <c r="S112" s="27">
        <v>1020509</v>
      </c>
      <c r="T112" s="316"/>
      <c r="U112" s="317"/>
      <c r="V112" s="298" t="s">
        <v>530</v>
      </c>
      <c r="W112" s="57" t="s">
        <v>3845</v>
      </c>
      <c r="X112" s="57" t="s">
        <v>3845</v>
      </c>
      <c r="Y112" s="298"/>
      <c r="Z112" s="298"/>
      <c r="AA112" s="298"/>
      <c r="AB112" s="298"/>
      <c r="AC112" s="27"/>
      <c r="AD112" s="27"/>
      <c r="AE112" s="27">
        <v>0</v>
      </c>
      <c r="AF112" s="27"/>
      <c r="AG112" s="27"/>
      <c r="AH112" s="27"/>
      <c r="AI112" s="27"/>
      <c r="AJ112" s="27"/>
      <c r="AK112" s="327"/>
      <c r="AL112" s="327"/>
      <c r="AM112" s="327"/>
      <c r="AN112" s="27"/>
      <c r="AO112" s="27"/>
      <c r="AP112" s="27"/>
      <c r="AQ112" s="27" t="s">
        <v>569</v>
      </c>
      <c r="AR112" s="331"/>
    </row>
    <row r="113" spans="1:44" ht="15" customHeight="1">
      <c r="A113" s="27">
        <v>1020510</v>
      </c>
      <c r="B113" s="5" t="s">
        <v>3638</v>
      </c>
      <c r="C113" s="224" t="s">
        <v>3846</v>
      </c>
      <c r="D113" s="27" t="s">
        <v>81</v>
      </c>
      <c r="E113" s="27" t="s">
        <v>325</v>
      </c>
      <c r="F113" s="27">
        <v>7</v>
      </c>
      <c r="G113" s="27">
        <v>2</v>
      </c>
      <c r="H113" s="27" t="s">
        <v>136</v>
      </c>
      <c r="I113" s="5" t="s">
        <v>3640</v>
      </c>
      <c r="J113" s="27"/>
      <c r="K113" s="27"/>
      <c r="L113" s="299" t="s">
        <v>571</v>
      </c>
      <c r="M113" s="297"/>
      <c r="N113" s="297"/>
      <c r="O113" s="299"/>
      <c r="P113" s="298"/>
      <c r="Q113" s="298">
        <v>0</v>
      </c>
      <c r="R113" s="298"/>
      <c r="S113" s="27">
        <v>1020510</v>
      </c>
      <c r="T113" s="316"/>
      <c r="U113" s="317"/>
      <c r="V113" s="298" t="s">
        <v>530</v>
      </c>
      <c r="W113" s="57" t="s">
        <v>3847</v>
      </c>
      <c r="X113" s="57" t="s">
        <v>3847</v>
      </c>
      <c r="Y113" s="298"/>
      <c r="Z113" s="298"/>
      <c r="AA113" s="298"/>
      <c r="AB113" s="298"/>
      <c r="AC113" s="27"/>
      <c r="AD113" s="27"/>
      <c r="AE113" s="27">
        <v>0</v>
      </c>
      <c r="AF113" s="27"/>
      <c r="AG113" s="27"/>
      <c r="AH113" s="27"/>
      <c r="AI113" s="27"/>
      <c r="AJ113" s="27"/>
      <c r="AK113" s="327"/>
      <c r="AL113" s="327"/>
      <c r="AM113" s="327"/>
      <c r="AN113" s="27"/>
      <c r="AO113" s="27"/>
      <c r="AP113" s="27"/>
      <c r="AQ113" s="27" t="s">
        <v>573</v>
      </c>
      <c r="AR113" s="331"/>
    </row>
    <row r="114" spans="1:44" ht="15" customHeight="1">
      <c r="A114" s="3">
        <v>1020511</v>
      </c>
      <c r="B114" s="5" t="s">
        <v>3638</v>
      </c>
      <c r="C114" s="224" t="s">
        <v>3848</v>
      </c>
      <c r="D114" s="3" t="s">
        <v>81</v>
      </c>
      <c r="E114" s="3" t="s">
        <v>325</v>
      </c>
      <c r="F114" s="3">
        <v>8</v>
      </c>
      <c r="G114" s="3">
        <v>2</v>
      </c>
      <c r="H114" s="3" t="s">
        <v>136</v>
      </c>
      <c r="I114" s="5" t="s">
        <v>3640</v>
      </c>
      <c r="J114" s="3"/>
      <c r="K114" s="3"/>
      <c r="L114" s="236"/>
      <c r="M114" s="99"/>
      <c r="N114" s="99"/>
      <c r="O114" s="236"/>
      <c r="P114" s="22"/>
      <c r="Q114" s="22">
        <v>0</v>
      </c>
      <c r="R114" s="22" t="s">
        <v>153</v>
      </c>
      <c r="S114" s="3"/>
      <c r="T114" s="260"/>
      <c r="U114" s="261"/>
      <c r="V114" s="22"/>
      <c r="W114" s="57" t="s">
        <v>3716</v>
      </c>
      <c r="X114" s="57" t="s">
        <v>3716</v>
      </c>
      <c r="Y114" s="22"/>
      <c r="Z114" s="22"/>
      <c r="AA114" s="22"/>
      <c r="AB114" s="22" t="s">
        <v>114</v>
      </c>
      <c r="AC114" s="3"/>
      <c r="AD114" s="3"/>
      <c r="AE114" s="3">
        <v>0</v>
      </c>
      <c r="AF114" s="3">
        <v>0</v>
      </c>
      <c r="AG114" s="3">
        <v>0</v>
      </c>
      <c r="AH114" s="3"/>
      <c r="AI114" s="3">
        <v>0</v>
      </c>
      <c r="AJ114" s="3">
        <v>0</v>
      </c>
      <c r="AK114" s="3">
        <v>0</v>
      </c>
      <c r="AL114" s="3"/>
      <c r="AM114" s="3"/>
      <c r="AN114" s="3"/>
      <c r="AO114" s="3"/>
      <c r="AP114" s="3"/>
      <c r="AQ114" s="3" t="s">
        <v>553</v>
      </c>
      <c r="AR114" s="281"/>
    </row>
    <row r="115" spans="1:44" ht="15" customHeight="1">
      <c r="A115" s="3">
        <v>1020512</v>
      </c>
      <c r="B115" s="5" t="s">
        <v>3638</v>
      </c>
      <c r="C115" s="224" t="s">
        <v>3849</v>
      </c>
      <c r="D115" s="3" t="s">
        <v>81</v>
      </c>
      <c r="E115" s="3" t="s">
        <v>325</v>
      </c>
      <c r="F115" s="3">
        <v>9</v>
      </c>
      <c r="G115" s="3">
        <v>2</v>
      </c>
      <c r="H115" s="3" t="s">
        <v>136</v>
      </c>
      <c r="I115" s="5" t="s">
        <v>3640</v>
      </c>
      <c r="J115" s="3"/>
      <c r="K115" s="3"/>
      <c r="L115" s="236"/>
      <c r="M115" s="99"/>
      <c r="N115" s="99"/>
      <c r="O115" s="236"/>
      <c r="P115" s="22"/>
      <c r="Q115" s="22">
        <v>0</v>
      </c>
      <c r="R115" s="22" t="s">
        <v>153</v>
      </c>
      <c r="S115" s="3"/>
      <c r="T115" s="260"/>
      <c r="U115" s="261"/>
      <c r="V115" s="22"/>
      <c r="W115" s="57" t="s">
        <v>3850</v>
      </c>
      <c r="X115" s="57" t="s">
        <v>3850</v>
      </c>
      <c r="Y115" s="22"/>
      <c r="Z115" s="22"/>
      <c r="AA115" s="22"/>
      <c r="AB115" s="22" t="s">
        <v>114</v>
      </c>
      <c r="AC115" s="3"/>
      <c r="AD115" s="3"/>
      <c r="AE115" s="3">
        <v>0</v>
      </c>
      <c r="AF115" s="3">
        <v>0</v>
      </c>
      <c r="AG115" s="3">
        <v>0</v>
      </c>
      <c r="AH115" s="3"/>
      <c r="AI115" s="3">
        <v>0</v>
      </c>
      <c r="AJ115" s="3">
        <v>0</v>
      </c>
      <c r="AK115" s="3">
        <v>0</v>
      </c>
      <c r="AL115" s="3"/>
      <c r="AM115" s="3"/>
      <c r="AN115" s="3"/>
      <c r="AO115" s="3"/>
      <c r="AP115" s="3"/>
      <c r="AQ115" s="282" t="str">
        <f>"tricks/"&amp;A115</f>
        <v>tricks/1020512</v>
      </c>
    </row>
    <row r="116" spans="1:44" ht="15" customHeight="1">
      <c r="A116" s="3">
        <v>1020513</v>
      </c>
      <c r="B116" s="5" t="s">
        <v>3638</v>
      </c>
      <c r="C116" s="224" t="s">
        <v>3851</v>
      </c>
      <c r="D116" s="3" t="s">
        <v>81</v>
      </c>
      <c r="E116" s="3" t="s">
        <v>325</v>
      </c>
      <c r="F116" s="3">
        <v>10</v>
      </c>
      <c r="G116" s="3">
        <v>2</v>
      </c>
      <c r="H116" s="3" t="s">
        <v>136</v>
      </c>
      <c r="I116" s="5" t="s">
        <v>3640</v>
      </c>
      <c r="J116" s="3"/>
      <c r="K116" s="3"/>
      <c r="L116" s="236"/>
      <c r="M116" s="99"/>
      <c r="N116" s="99"/>
      <c r="O116" s="236"/>
      <c r="P116" s="22"/>
      <c r="Q116" s="22">
        <v>0</v>
      </c>
      <c r="R116" s="22" t="s">
        <v>153</v>
      </c>
      <c r="S116" s="3"/>
      <c r="T116" s="260"/>
      <c r="U116" s="261"/>
      <c r="V116" s="22"/>
      <c r="W116" s="57" t="s">
        <v>3852</v>
      </c>
      <c r="X116" s="57" t="s">
        <v>3852</v>
      </c>
      <c r="Y116" s="22"/>
      <c r="Z116" s="22"/>
      <c r="AA116" s="22"/>
      <c r="AB116" s="22" t="s">
        <v>114</v>
      </c>
      <c r="AC116" s="3"/>
      <c r="AD116" s="3"/>
      <c r="AE116" s="3">
        <v>0</v>
      </c>
      <c r="AF116" s="3">
        <v>0</v>
      </c>
      <c r="AG116" s="3">
        <v>0</v>
      </c>
      <c r="AH116" s="3"/>
      <c r="AI116" s="3">
        <v>0</v>
      </c>
      <c r="AJ116" s="3">
        <v>0</v>
      </c>
      <c r="AK116" s="3">
        <v>0</v>
      </c>
      <c r="AL116" s="3"/>
      <c r="AM116" s="3"/>
      <c r="AN116" s="3"/>
      <c r="AO116" s="3"/>
      <c r="AP116" s="3"/>
      <c r="AQ116" s="282" t="str">
        <f>"tricks/"&amp;A116</f>
        <v>tricks/1020513</v>
      </c>
    </row>
    <row r="117" spans="1:44" ht="15" customHeight="1">
      <c r="A117" s="28">
        <v>1020601</v>
      </c>
      <c r="B117" s="5" t="s">
        <v>3638</v>
      </c>
      <c r="C117" s="224" t="s">
        <v>3853</v>
      </c>
      <c r="D117" s="28" t="s">
        <v>81</v>
      </c>
      <c r="E117" s="28" t="s">
        <v>325</v>
      </c>
      <c r="F117" s="28">
        <v>1</v>
      </c>
      <c r="G117" s="28">
        <v>2</v>
      </c>
      <c r="H117" s="28" t="s">
        <v>82</v>
      </c>
      <c r="I117" s="5" t="s">
        <v>3640</v>
      </c>
      <c r="J117" s="28"/>
      <c r="K117" s="28">
        <v>1</v>
      </c>
      <c r="L117" s="300" t="s">
        <v>527</v>
      </c>
      <c r="M117" s="301"/>
      <c r="N117" s="301"/>
      <c r="O117" s="300"/>
      <c r="P117" s="302"/>
      <c r="Q117" s="302">
        <v>0</v>
      </c>
      <c r="R117" s="302" t="s">
        <v>85</v>
      </c>
      <c r="S117" s="28">
        <v>1020501</v>
      </c>
      <c r="T117" s="319" t="s">
        <v>581</v>
      </c>
      <c r="U117" s="320"/>
      <c r="V117" s="302" t="s">
        <v>582</v>
      </c>
      <c r="W117" s="57" t="s">
        <v>3854</v>
      </c>
      <c r="X117" s="57" t="s">
        <v>3854</v>
      </c>
      <c r="Y117" s="302"/>
      <c r="Z117" s="302"/>
      <c r="AA117" s="302"/>
      <c r="AB117" s="302" t="s">
        <v>90</v>
      </c>
      <c r="AC117" s="28"/>
      <c r="AD117" s="28"/>
      <c r="AE117" s="28">
        <v>1</v>
      </c>
      <c r="AF117" s="28">
        <v>2</v>
      </c>
      <c r="AG117" s="28">
        <v>7</v>
      </c>
      <c r="AH117" s="28"/>
      <c r="AI117" s="28">
        <v>40</v>
      </c>
      <c r="AJ117" s="28">
        <v>24</v>
      </c>
      <c r="AK117" s="328"/>
      <c r="AL117" s="328"/>
      <c r="AM117" s="328"/>
      <c r="AN117" s="28" t="s">
        <v>584</v>
      </c>
      <c r="AO117" s="28"/>
      <c r="AP117" s="28"/>
      <c r="AQ117" s="28" t="s">
        <v>585</v>
      </c>
      <c r="AR117" s="332">
        <v>218</v>
      </c>
    </row>
    <row r="118" spans="1:44" ht="15" customHeight="1">
      <c r="A118" s="28">
        <v>1020602</v>
      </c>
      <c r="B118" s="5" t="s">
        <v>3638</v>
      </c>
      <c r="C118" s="224" t="s">
        <v>3855</v>
      </c>
      <c r="D118" s="28" t="s">
        <v>81</v>
      </c>
      <c r="E118" s="28" t="s">
        <v>325</v>
      </c>
      <c r="F118" s="28">
        <v>1</v>
      </c>
      <c r="G118" s="28">
        <v>2</v>
      </c>
      <c r="H118" s="28" t="s">
        <v>136</v>
      </c>
      <c r="I118" s="5" t="s">
        <v>3640</v>
      </c>
      <c r="J118" s="28"/>
      <c r="K118" s="28"/>
      <c r="L118" s="303" t="s">
        <v>535</v>
      </c>
      <c r="M118" s="301"/>
      <c r="N118" s="301"/>
      <c r="O118" s="303"/>
      <c r="P118" s="302"/>
      <c r="Q118" s="302">
        <v>0</v>
      </c>
      <c r="R118" s="302"/>
      <c r="S118" s="28">
        <v>1020502</v>
      </c>
      <c r="T118" s="319"/>
      <c r="U118" s="320"/>
      <c r="V118" s="302" t="s">
        <v>582</v>
      </c>
      <c r="W118" s="57" t="s">
        <v>3856</v>
      </c>
      <c r="X118" s="57" t="s">
        <v>3856</v>
      </c>
      <c r="Y118" s="302"/>
      <c r="Z118" s="302"/>
      <c r="AA118" s="302"/>
      <c r="AB118" s="302"/>
      <c r="AC118" s="28"/>
      <c r="AD118" s="28"/>
      <c r="AE118" s="28">
        <v>0</v>
      </c>
      <c r="AF118" s="28"/>
      <c r="AG118" s="28"/>
      <c r="AH118" s="28"/>
      <c r="AI118" s="28"/>
      <c r="AJ118" s="28"/>
      <c r="AK118" s="328"/>
      <c r="AL118" s="328"/>
      <c r="AM118" s="328"/>
      <c r="AN118" s="28"/>
      <c r="AO118" s="28"/>
      <c r="AP118" s="28"/>
      <c r="AQ118" s="28" t="s">
        <v>588</v>
      </c>
      <c r="AR118" s="332"/>
    </row>
    <row r="119" spans="1:44" ht="15" customHeight="1">
      <c r="A119" s="28">
        <v>1020603</v>
      </c>
      <c r="B119" s="5" t="s">
        <v>3638</v>
      </c>
      <c r="C119" s="224" t="s">
        <v>3857</v>
      </c>
      <c r="D119" s="28" t="s">
        <v>81</v>
      </c>
      <c r="E119" s="28" t="s">
        <v>325</v>
      </c>
      <c r="F119" s="28">
        <v>1</v>
      </c>
      <c r="G119" s="28">
        <v>2</v>
      </c>
      <c r="H119" s="28" t="s">
        <v>82</v>
      </c>
      <c r="I119" s="5" t="s">
        <v>3640</v>
      </c>
      <c r="J119" s="28"/>
      <c r="K119" s="28">
        <v>2</v>
      </c>
      <c r="L119" s="303" t="s">
        <v>539</v>
      </c>
      <c r="M119" s="301"/>
      <c r="N119" s="301"/>
      <c r="O119" s="303"/>
      <c r="P119" s="302"/>
      <c r="Q119" s="302">
        <v>0</v>
      </c>
      <c r="R119" s="302" t="s">
        <v>85</v>
      </c>
      <c r="S119" s="28">
        <v>1020503</v>
      </c>
      <c r="T119" s="319" t="s">
        <v>590</v>
      </c>
      <c r="U119" s="320"/>
      <c r="V119" s="302" t="s">
        <v>582</v>
      </c>
      <c r="W119" s="57" t="s">
        <v>3858</v>
      </c>
      <c r="X119" s="57" t="s">
        <v>3858</v>
      </c>
      <c r="Y119" s="302"/>
      <c r="Z119" s="302"/>
      <c r="AA119" s="302"/>
      <c r="AB119" s="302" t="s">
        <v>90</v>
      </c>
      <c r="AC119" s="28"/>
      <c r="AD119" s="28"/>
      <c r="AE119" s="28">
        <v>1</v>
      </c>
      <c r="AF119" s="28">
        <v>1</v>
      </c>
      <c r="AG119" s="28">
        <v>6</v>
      </c>
      <c r="AH119" s="28"/>
      <c r="AI119" s="28">
        <v>39</v>
      </c>
      <c r="AJ119" s="28">
        <v>26</v>
      </c>
      <c r="AK119" s="328"/>
      <c r="AL119" s="328"/>
      <c r="AM119" s="328"/>
      <c r="AN119" s="28" t="s">
        <v>592</v>
      </c>
      <c r="AO119" s="28"/>
      <c r="AP119" s="28"/>
      <c r="AQ119" s="28" t="s">
        <v>593</v>
      </c>
      <c r="AR119" s="332">
        <v>219</v>
      </c>
    </row>
    <row r="120" spans="1:44" ht="15" customHeight="1">
      <c r="A120" s="28">
        <v>1020604</v>
      </c>
      <c r="B120" s="5" t="s">
        <v>3638</v>
      </c>
      <c r="C120" s="224" t="s">
        <v>3859</v>
      </c>
      <c r="D120" s="28" t="s">
        <v>81</v>
      </c>
      <c r="E120" s="28" t="s">
        <v>325</v>
      </c>
      <c r="F120" s="28">
        <v>2</v>
      </c>
      <c r="G120" s="28">
        <v>2</v>
      </c>
      <c r="H120" s="28" t="s">
        <v>136</v>
      </c>
      <c r="I120" s="5" t="s">
        <v>3640</v>
      </c>
      <c r="J120" s="28"/>
      <c r="K120" s="28"/>
      <c r="L120" s="303" t="s">
        <v>544</v>
      </c>
      <c r="M120" s="301"/>
      <c r="N120" s="301"/>
      <c r="O120" s="303"/>
      <c r="P120" s="302"/>
      <c r="Q120" s="302">
        <v>0</v>
      </c>
      <c r="R120" s="302"/>
      <c r="S120" s="28">
        <v>1020504</v>
      </c>
      <c r="T120" s="319"/>
      <c r="U120" s="320"/>
      <c r="V120" s="302" t="s">
        <v>582</v>
      </c>
      <c r="W120" s="57" t="s">
        <v>3860</v>
      </c>
      <c r="X120" s="57" t="s">
        <v>3860</v>
      </c>
      <c r="Y120" s="302"/>
      <c r="Z120" s="302"/>
      <c r="AA120" s="302"/>
      <c r="AB120" s="302"/>
      <c r="AC120" s="28"/>
      <c r="AD120" s="28"/>
      <c r="AE120" s="28">
        <v>0</v>
      </c>
      <c r="AF120" s="28"/>
      <c r="AG120" s="28"/>
      <c r="AH120" s="28"/>
      <c r="AI120" s="28"/>
      <c r="AJ120" s="28"/>
      <c r="AK120" s="328"/>
      <c r="AL120" s="328"/>
      <c r="AM120" s="328"/>
      <c r="AN120" s="28"/>
      <c r="AO120" s="28"/>
      <c r="AP120" s="28"/>
      <c r="AQ120" s="28" t="s">
        <v>596</v>
      </c>
      <c r="AR120" s="332"/>
    </row>
    <row r="121" spans="1:44" ht="15" customHeight="1">
      <c r="A121" s="28">
        <v>1020605</v>
      </c>
      <c r="B121" s="5" t="s">
        <v>3638</v>
      </c>
      <c r="C121" s="224" t="s">
        <v>3861</v>
      </c>
      <c r="D121" s="28" t="s">
        <v>81</v>
      </c>
      <c r="E121" s="28" t="s">
        <v>325</v>
      </c>
      <c r="F121" s="28">
        <v>1</v>
      </c>
      <c r="G121" s="28">
        <v>2</v>
      </c>
      <c r="H121" s="28" t="s">
        <v>82</v>
      </c>
      <c r="I121" s="5" t="s">
        <v>3640</v>
      </c>
      <c r="J121" s="28"/>
      <c r="K121" s="28">
        <v>3</v>
      </c>
      <c r="L121" s="303" t="s">
        <v>598</v>
      </c>
      <c r="M121" s="301"/>
      <c r="N121" s="301"/>
      <c r="O121" s="303"/>
      <c r="P121" s="302"/>
      <c r="Q121" s="302">
        <v>0</v>
      </c>
      <c r="R121" s="302" t="s">
        <v>85</v>
      </c>
      <c r="S121" s="28">
        <v>1020505</v>
      </c>
      <c r="T121" s="319" t="s">
        <v>599</v>
      </c>
      <c r="U121" s="320"/>
      <c r="V121" s="302" t="s">
        <v>582</v>
      </c>
      <c r="W121" s="57" t="s">
        <v>3862</v>
      </c>
      <c r="X121" s="57" t="s">
        <v>3862</v>
      </c>
      <c r="Y121" s="302"/>
      <c r="Z121" s="302"/>
      <c r="AA121" s="302"/>
      <c r="AB121" s="302" t="s">
        <v>90</v>
      </c>
      <c r="AC121" s="28"/>
      <c r="AD121" s="28"/>
      <c r="AE121" s="28">
        <v>1</v>
      </c>
      <c r="AF121" s="28">
        <v>1</v>
      </c>
      <c r="AG121" s="28">
        <v>5</v>
      </c>
      <c r="AH121" s="28"/>
      <c r="AI121" s="28">
        <v>42</v>
      </c>
      <c r="AJ121" s="28">
        <v>35</v>
      </c>
      <c r="AK121" s="328"/>
      <c r="AL121" s="328"/>
      <c r="AM121" s="328"/>
      <c r="AN121" s="329" t="s">
        <v>601</v>
      </c>
      <c r="AO121" s="28"/>
      <c r="AP121" s="28"/>
      <c r="AQ121" s="28" t="s">
        <v>602</v>
      </c>
      <c r="AR121" s="332">
        <v>220</v>
      </c>
    </row>
    <row r="122" spans="1:44" ht="15" customHeight="1">
      <c r="A122" s="28">
        <v>1020606</v>
      </c>
      <c r="B122" s="5" t="s">
        <v>3638</v>
      </c>
      <c r="C122" s="224" t="s">
        <v>3863</v>
      </c>
      <c r="D122" s="28" t="s">
        <v>81</v>
      </c>
      <c r="E122" s="28" t="s">
        <v>325</v>
      </c>
      <c r="F122" s="28">
        <v>3</v>
      </c>
      <c r="G122" s="28">
        <v>2</v>
      </c>
      <c r="H122" s="28" t="s">
        <v>136</v>
      </c>
      <c r="I122" s="5" t="s">
        <v>3640</v>
      </c>
      <c r="J122" s="28"/>
      <c r="K122" s="28"/>
      <c r="L122" s="303" t="s">
        <v>555</v>
      </c>
      <c r="M122" s="301"/>
      <c r="N122" s="301"/>
      <c r="O122" s="303"/>
      <c r="P122" s="302"/>
      <c r="Q122" s="302">
        <v>0</v>
      </c>
      <c r="R122" s="302"/>
      <c r="S122" s="28">
        <v>1020506</v>
      </c>
      <c r="T122" s="319"/>
      <c r="U122" s="320"/>
      <c r="V122" s="302" t="s">
        <v>582</v>
      </c>
      <c r="W122" s="57" t="s">
        <v>3864</v>
      </c>
      <c r="X122" s="57" t="s">
        <v>3864</v>
      </c>
      <c r="Y122" s="302"/>
      <c r="Z122" s="302"/>
      <c r="AA122" s="302"/>
      <c r="AB122" s="302"/>
      <c r="AC122" s="28"/>
      <c r="AD122" s="28"/>
      <c r="AE122" s="28">
        <v>0</v>
      </c>
      <c r="AF122" s="28"/>
      <c r="AG122" s="28"/>
      <c r="AH122" s="28"/>
      <c r="AI122" s="28"/>
      <c r="AJ122" s="28"/>
      <c r="AK122" s="328"/>
      <c r="AL122" s="328"/>
      <c r="AM122" s="328"/>
      <c r="AN122" s="28"/>
      <c r="AO122" s="28"/>
      <c r="AP122" s="28"/>
      <c r="AQ122" s="28" t="s">
        <v>605</v>
      </c>
      <c r="AR122" s="332"/>
    </row>
    <row r="123" spans="1:44" ht="15" customHeight="1">
      <c r="A123" s="28">
        <v>1020607</v>
      </c>
      <c r="B123" s="5" t="s">
        <v>3638</v>
      </c>
      <c r="C123" s="224" t="s">
        <v>3865</v>
      </c>
      <c r="D123" s="28" t="s">
        <v>81</v>
      </c>
      <c r="E123" s="28" t="s">
        <v>325</v>
      </c>
      <c r="F123" s="28">
        <v>4</v>
      </c>
      <c r="G123" s="28">
        <v>2</v>
      </c>
      <c r="H123" s="28" t="s">
        <v>136</v>
      </c>
      <c r="I123" s="5" t="s">
        <v>3640</v>
      </c>
      <c r="J123" s="28"/>
      <c r="K123" s="28"/>
      <c r="L123" s="303" t="s">
        <v>559</v>
      </c>
      <c r="M123" s="301"/>
      <c r="N123" s="301"/>
      <c r="O123" s="303"/>
      <c r="P123" s="302"/>
      <c r="Q123" s="302">
        <v>0</v>
      </c>
      <c r="R123" s="302"/>
      <c r="S123" s="28">
        <v>1020507</v>
      </c>
      <c r="T123" s="319"/>
      <c r="U123" s="320"/>
      <c r="V123" s="302" t="s">
        <v>582</v>
      </c>
      <c r="W123" s="57" t="s">
        <v>3866</v>
      </c>
      <c r="X123" s="57" t="s">
        <v>3866</v>
      </c>
      <c r="Y123" s="302"/>
      <c r="Z123" s="302"/>
      <c r="AA123" s="302"/>
      <c r="AB123" s="302"/>
      <c r="AC123" s="28"/>
      <c r="AD123" s="28"/>
      <c r="AE123" s="28">
        <v>0</v>
      </c>
      <c r="AF123" s="28"/>
      <c r="AG123" s="28"/>
      <c r="AH123" s="28"/>
      <c r="AI123" s="28"/>
      <c r="AJ123" s="28"/>
      <c r="AK123" s="328"/>
      <c r="AL123" s="328"/>
      <c r="AM123" s="328"/>
      <c r="AN123" s="28"/>
      <c r="AO123" s="28"/>
      <c r="AP123" s="28"/>
      <c r="AQ123" s="28" t="s">
        <v>608</v>
      </c>
      <c r="AR123" s="332"/>
    </row>
    <row r="124" spans="1:44" ht="15" customHeight="1">
      <c r="A124" s="28">
        <v>1020608</v>
      </c>
      <c r="B124" s="5" t="s">
        <v>3638</v>
      </c>
      <c r="C124" s="224" t="s">
        <v>3867</v>
      </c>
      <c r="D124" s="28" t="s">
        <v>81</v>
      </c>
      <c r="E124" s="28" t="s">
        <v>325</v>
      </c>
      <c r="F124" s="28">
        <v>5</v>
      </c>
      <c r="G124" s="28">
        <v>2</v>
      </c>
      <c r="H124" s="28" t="s">
        <v>136</v>
      </c>
      <c r="I124" s="5" t="s">
        <v>3640</v>
      </c>
      <c r="J124" s="28"/>
      <c r="K124" s="28"/>
      <c r="L124" s="303" t="s">
        <v>563</v>
      </c>
      <c r="M124" s="301"/>
      <c r="N124" s="301"/>
      <c r="O124" s="303"/>
      <c r="P124" s="302"/>
      <c r="Q124" s="302">
        <v>0</v>
      </c>
      <c r="R124" s="302"/>
      <c r="S124" s="28">
        <v>1020508</v>
      </c>
      <c r="T124" s="319"/>
      <c r="U124" s="320"/>
      <c r="V124" s="302" t="s">
        <v>582</v>
      </c>
      <c r="W124" s="57" t="s">
        <v>3868</v>
      </c>
      <c r="X124" s="57" t="s">
        <v>3868</v>
      </c>
      <c r="Y124" s="302"/>
      <c r="Z124" s="302"/>
      <c r="AA124" s="302"/>
      <c r="AB124" s="302"/>
      <c r="AC124" s="28"/>
      <c r="AD124" s="28"/>
      <c r="AE124" s="28">
        <v>0</v>
      </c>
      <c r="AF124" s="28"/>
      <c r="AG124" s="28"/>
      <c r="AH124" s="28"/>
      <c r="AI124" s="28"/>
      <c r="AJ124" s="28"/>
      <c r="AK124" s="328"/>
      <c r="AL124" s="328"/>
      <c r="AM124" s="328"/>
      <c r="AN124" s="28"/>
      <c r="AO124" s="28"/>
      <c r="AP124" s="28"/>
      <c r="AQ124" s="28" t="s">
        <v>611</v>
      </c>
      <c r="AR124" s="332"/>
    </row>
    <row r="125" spans="1:44" ht="15" customHeight="1">
      <c r="A125" s="28">
        <v>1020609</v>
      </c>
      <c r="B125" s="5" t="s">
        <v>3638</v>
      </c>
      <c r="C125" s="224" t="s">
        <v>3869</v>
      </c>
      <c r="D125" s="28" t="s">
        <v>81</v>
      </c>
      <c r="E125" s="28" t="s">
        <v>325</v>
      </c>
      <c r="F125" s="28">
        <v>6</v>
      </c>
      <c r="G125" s="28">
        <v>2</v>
      </c>
      <c r="H125" s="28" t="s">
        <v>136</v>
      </c>
      <c r="I125" s="5" t="s">
        <v>3640</v>
      </c>
      <c r="J125" s="28"/>
      <c r="K125" s="28"/>
      <c r="L125" s="303" t="s">
        <v>567</v>
      </c>
      <c r="M125" s="301"/>
      <c r="N125" s="301"/>
      <c r="O125" s="303"/>
      <c r="P125" s="302"/>
      <c r="Q125" s="302">
        <v>0</v>
      </c>
      <c r="R125" s="302"/>
      <c r="S125" s="28">
        <v>1020509</v>
      </c>
      <c r="T125" s="319"/>
      <c r="U125" s="320"/>
      <c r="V125" s="302" t="s">
        <v>582</v>
      </c>
      <c r="W125" s="57" t="s">
        <v>3866</v>
      </c>
      <c r="X125" s="57" t="s">
        <v>3866</v>
      </c>
      <c r="Y125" s="302"/>
      <c r="Z125" s="302"/>
      <c r="AA125" s="302"/>
      <c r="AB125" s="302"/>
      <c r="AC125" s="28"/>
      <c r="AD125" s="28"/>
      <c r="AE125" s="28">
        <v>0</v>
      </c>
      <c r="AF125" s="28"/>
      <c r="AG125" s="28"/>
      <c r="AH125" s="28"/>
      <c r="AI125" s="28"/>
      <c r="AJ125" s="28"/>
      <c r="AK125" s="328"/>
      <c r="AL125" s="328"/>
      <c r="AM125" s="328"/>
      <c r="AN125" s="28"/>
      <c r="AO125" s="28"/>
      <c r="AP125" s="28"/>
      <c r="AQ125" s="28" t="s">
        <v>613</v>
      </c>
      <c r="AR125" s="332"/>
    </row>
    <row r="126" spans="1:44" ht="15" customHeight="1">
      <c r="A126" s="28">
        <v>1020610</v>
      </c>
      <c r="B126" s="5" t="s">
        <v>3638</v>
      </c>
      <c r="C126" s="224" t="s">
        <v>3870</v>
      </c>
      <c r="D126" s="28" t="s">
        <v>81</v>
      </c>
      <c r="E126" s="28" t="s">
        <v>325</v>
      </c>
      <c r="F126" s="28">
        <v>7</v>
      </c>
      <c r="G126" s="28">
        <v>2</v>
      </c>
      <c r="H126" s="28" t="s">
        <v>136</v>
      </c>
      <c r="I126" s="5" t="s">
        <v>3640</v>
      </c>
      <c r="J126" s="28"/>
      <c r="K126" s="28"/>
      <c r="L126" s="303" t="s">
        <v>571</v>
      </c>
      <c r="M126" s="301"/>
      <c r="N126" s="301"/>
      <c r="O126" s="303"/>
      <c r="P126" s="302"/>
      <c r="Q126" s="302">
        <v>0</v>
      </c>
      <c r="R126" s="302"/>
      <c r="S126" s="28">
        <v>1020510</v>
      </c>
      <c r="T126" s="319"/>
      <c r="U126" s="320"/>
      <c r="V126" s="302" t="s">
        <v>582</v>
      </c>
      <c r="W126" s="57" t="s">
        <v>3871</v>
      </c>
      <c r="X126" s="57" t="s">
        <v>3871</v>
      </c>
      <c r="Y126" s="302"/>
      <c r="Z126" s="302"/>
      <c r="AA126" s="302"/>
      <c r="AB126" s="302"/>
      <c r="AC126" s="28"/>
      <c r="AD126" s="28"/>
      <c r="AE126" s="28">
        <v>0</v>
      </c>
      <c r="AF126" s="28"/>
      <c r="AG126" s="28"/>
      <c r="AH126" s="28"/>
      <c r="AI126" s="28"/>
      <c r="AJ126" s="28"/>
      <c r="AK126" s="328"/>
      <c r="AL126" s="328"/>
      <c r="AM126" s="328"/>
      <c r="AN126" s="28"/>
      <c r="AO126" s="28"/>
      <c r="AP126" s="28"/>
      <c r="AQ126" s="28" t="s">
        <v>616</v>
      </c>
      <c r="AR126" s="332"/>
    </row>
    <row r="127" spans="1:44" ht="15" customHeight="1">
      <c r="A127" s="3">
        <v>1020611</v>
      </c>
      <c r="B127" s="5" t="s">
        <v>3638</v>
      </c>
      <c r="C127" s="224" t="s">
        <v>3872</v>
      </c>
      <c r="D127" s="3" t="s">
        <v>81</v>
      </c>
      <c r="E127" s="3" t="s">
        <v>325</v>
      </c>
      <c r="F127" s="3">
        <v>8</v>
      </c>
      <c r="G127" s="3">
        <v>2</v>
      </c>
      <c r="H127" s="3" t="s">
        <v>136</v>
      </c>
      <c r="I127" s="5" t="s">
        <v>3640</v>
      </c>
      <c r="J127" s="3"/>
      <c r="K127" s="3"/>
      <c r="L127" s="236"/>
      <c r="M127" s="99"/>
      <c r="N127" s="99"/>
      <c r="O127" s="236"/>
      <c r="P127" s="22"/>
      <c r="Q127" s="22">
        <v>0</v>
      </c>
      <c r="R127" s="22" t="s">
        <v>153</v>
      </c>
      <c r="S127" s="3"/>
      <c r="T127" s="260"/>
      <c r="U127" s="261"/>
      <c r="V127" s="22"/>
      <c r="W127" s="57" t="s">
        <v>3773</v>
      </c>
      <c r="X127" s="57" t="s">
        <v>3773</v>
      </c>
      <c r="Y127" s="22"/>
      <c r="Z127" s="22"/>
      <c r="AA127" s="22"/>
      <c r="AB127" s="22" t="s">
        <v>114</v>
      </c>
      <c r="AC127" s="3"/>
      <c r="AD127" s="3"/>
      <c r="AE127" s="3">
        <v>0</v>
      </c>
      <c r="AF127" s="3">
        <v>0</v>
      </c>
      <c r="AG127" s="3">
        <v>0</v>
      </c>
      <c r="AH127" s="3"/>
      <c r="AI127" s="3">
        <v>0</v>
      </c>
      <c r="AJ127" s="3">
        <v>0</v>
      </c>
      <c r="AK127" s="3">
        <v>0</v>
      </c>
      <c r="AL127" s="3"/>
      <c r="AM127" s="3"/>
      <c r="AN127" s="3"/>
      <c r="AO127" s="3"/>
      <c r="AP127" s="3"/>
      <c r="AQ127" s="3" t="s">
        <v>602</v>
      </c>
      <c r="AR127" s="281"/>
    </row>
    <row r="128" spans="1:44" ht="15" customHeight="1">
      <c r="A128" s="3">
        <v>1020612</v>
      </c>
      <c r="B128" s="5" t="s">
        <v>3638</v>
      </c>
      <c r="C128" s="224" t="s">
        <v>3873</v>
      </c>
      <c r="D128" s="3" t="s">
        <v>81</v>
      </c>
      <c r="E128" s="3" t="s">
        <v>325</v>
      </c>
      <c r="F128" s="3">
        <v>9</v>
      </c>
      <c r="G128" s="3">
        <v>2</v>
      </c>
      <c r="H128" s="3" t="s">
        <v>136</v>
      </c>
      <c r="I128" s="5" t="s">
        <v>3640</v>
      </c>
      <c r="J128" s="3"/>
      <c r="K128" s="3"/>
      <c r="L128" s="236"/>
      <c r="M128" s="99"/>
      <c r="N128" s="99"/>
      <c r="O128" s="236"/>
      <c r="P128" s="22"/>
      <c r="Q128" s="22">
        <v>0</v>
      </c>
      <c r="R128" s="22" t="s">
        <v>153</v>
      </c>
      <c r="S128" s="3"/>
      <c r="T128" s="260"/>
      <c r="U128" s="261"/>
      <c r="V128" s="22"/>
      <c r="W128" s="57" t="s">
        <v>3874</v>
      </c>
      <c r="X128" s="57" t="s">
        <v>3874</v>
      </c>
      <c r="Y128" s="22"/>
      <c r="Z128" s="22"/>
      <c r="AA128" s="22"/>
      <c r="AB128" s="22" t="s">
        <v>114</v>
      </c>
      <c r="AC128" s="3"/>
      <c r="AD128" s="3"/>
      <c r="AE128" s="3">
        <v>0</v>
      </c>
      <c r="AF128" s="3">
        <v>0</v>
      </c>
      <c r="AG128" s="3">
        <v>0</v>
      </c>
      <c r="AH128" s="3"/>
      <c r="AI128" s="3">
        <v>0</v>
      </c>
      <c r="AJ128" s="3">
        <v>0</v>
      </c>
      <c r="AK128" s="3">
        <v>0</v>
      </c>
      <c r="AL128" s="3"/>
      <c r="AM128" s="3"/>
      <c r="AN128" s="3"/>
      <c r="AO128" s="3"/>
      <c r="AP128" s="3"/>
      <c r="AQ128" s="282" t="str">
        <f t="shared" ref="AQ128:AQ142" si="1">"tricks/"&amp;A128</f>
        <v>tricks/1020612</v>
      </c>
    </row>
    <row r="129" spans="1:44" ht="15" customHeight="1">
      <c r="A129" s="3">
        <v>1020613</v>
      </c>
      <c r="B129" s="5" t="s">
        <v>3638</v>
      </c>
      <c r="C129" s="224" t="s">
        <v>3875</v>
      </c>
      <c r="D129" s="3" t="s">
        <v>81</v>
      </c>
      <c r="E129" s="3" t="s">
        <v>325</v>
      </c>
      <c r="F129" s="3">
        <v>10</v>
      </c>
      <c r="G129" s="3">
        <v>2</v>
      </c>
      <c r="H129" s="3" t="s">
        <v>136</v>
      </c>
      <c r="I129" s="5" t="s">
        <v>3640</v>
      </c>
      <c r="J129" s="3"/>
      <c r="K129" s="3"/>
      <c r="L129" s="236"/>
      <c r="M129" s="99"/>
      <c r="N129" s="99"/>
      <c r="O129" s="236"/>
      <c r="P129" s="22"/>
      <c r="Q129" s="22">
        <v>0</v>
      </c>
      <c r="R129" s="22" t="s">
        <v>153</v>
      </c>
      <c r="S129" s="3"/>
      <c r="T129" s="260"/>
      <c r="U129" s="261"/>
      <c r="V129" s="22"/>
      <c r="W129" s="57" t="s">
        <v>3876</v>
      </c>
      <c r="X129" s="57" t="s">
        <v>3876</v>
      </c>
      <c r="Y129" s="22"/>
      <c r="Z129" s="22"/>
      <c r="AA129" s="22"/>
      <c r="AB129" s="22" t="s">
        <v>114</v>
      </c>
      <c r="AC129" s="3"/>
      <c r="AD129" s="3"/>
      <c r="AE129" s="3">
        <v>0</v>
      </c>
      <c r="AF129" s="3">
        <v>0</v>
      </c>
      <c r="AG129" s="3">
        <v>0</v>
      </c>
      <c r="AH129" s="3"/>
      <c r="AI129" s="3">
        <v>0</v>
      </c>
      <c r="AJ129" s="3">
        <v>0</v>
      </c>
      <c r="AK129" s="3">
        <v>0</v>
      </c>
      <c r="AL129" s="3"/>
      <c r="AM129" s="3"/>
      <c r="AN129" s="3"/>
      <c r="AO129" s="3"/>
      <c r="AP129" s="3"/>
      <c r="AQ129" s="282" t="str">
        <f t="shared" si="1"/>
        <v>tricks/1020613</v>
      </c>
    </row>
    <row r="130" spans="1:44" ht="15" customHeight="1">
      <c r="A130" s="28">
        <v>1020701</v>
      </c>
      <c r="B130" s="5" t="s">
        <v>3638</v>
      </c>
      <c r="C130" s="224" t="s">
        <v>3877</v>
      </c>
      <c r="D130" s="28" t="s">
        <v>81</v>
      </c>
      <c r="E130" s="28" t="s">
        <v>325</v>
      </c>
      <c r="F130" s="28">
        <v>1</v>
      </c>
      <c r="G130" s="28">
        <v>2</v>
      </c>
      <c r="H130" s="28" t="s">
        <v>82</v>
      </c>
      <c r="I130" s="5" t="s">
        <v>3640</v>
      </c>
      <c r="J130" s="28"/>
      <c r="K130" s="28">
        <v>1</v>
      </c>
      <c r="L130" s="300" t="s">
        <v>527</v>
      </c>
      <c r="M130" s="301"/>
      <c r="N130" s="301"/>
      <c r="O130" s="300"/>
      <c r="P130" s="302"/>
      <c r="Q130" s="302">
        <v>0</v>
      </c>
      <c r="R130" s="302" t="s">
        <v>85</v>
      </c>
      <c r="S130" s="28">
        <v>1020501</v>
      </c>
      <c r="T130" s="319"/>
      <c r="U130" s="320" t="s">
        <v>624</v>
      </c>
      <c r="V130" s="302" t="s">
        <v>582</v>
      </c>
      <c r="W130" s="57" t="s">
        <v>3878</v>
      </c>
      <c r="X130" s="57" t="s">
        <v>3878</v>
      </c>
      <c r="Y130" s="302"/>
      <c r="Z130" s="302"/>
      <c r="AA130" s="302"/>
      <c r="AB130" s="302" t="s">
        <v>90</v>
      </c>
      <c r="AC130" s="28"/>
      <c r="AD130" s="28"/>
      <c r="AE130" s="28">
        <v>1</v>
      </c>
      <c r="AF130" s="28">
        <v>2</v>
      </c>
      <c r="AG130" s="28">
        <v>7</v>
      </c>
      <c r="AH130" s="28"/>
      <c r="AI130" s="28">
        <v>40</v>
      </c>
      <c r="AJ130" s="28">
        <v>24</v>
      </c>
      <c r="AK130" s="328"/>
      <c r="AL130" s="328"/>
      <c r="AM130" s="328"/>
      <c r="AN130" s="28" t="s">
        <v>626</v>
      </c>
      <c r="AO130" s="28"/>
      <c r="AP130" s="28"/>
      <c r="AQ130" s="8" t="str">
        <f t="shared" si="1"/>
        <v>tricks/1020701</v>
      </c>
      <c r="AR130" s="332">
        <v>369</v>
      </c>
    </row>
    <row r="131" spans="1:44" ht="15" customHeight="1">
      <c r="A131" s="28">
        <v>1020702</v>
      </c>
      <c r="B131" s="5" t="s">
        <v>3638</v>
      </c>
      <c r="C131" s="224" t="s">
        <v>3879</v>
      </c>
      <c r="D131" s="28" t="s">
        <v>81</v>
      </c>
      <c r="E131" s="28" t="s">
        <v>325</v>
      </c>
      <c r="F131" s="28">
        <v>1</v>
      </c>
      <c r="G131" s="28">
        <v>2</v>
      </c>
      <c r="H131" s="28" t="s">
        <v>136</v>
      </c>
      <c r="I131" s="5" t="s">
        <v>3640</v>
      </c>
      <c r="J131" s="28"/>
      <c r="K131" s="28"/>
      <c r="L131" s="303" t="s">
        <v>535</v>
      </c>
      <c r="M131" s="301"/>
      <c r="N131" s="301"/>
      <c r="O131" s="303"/>
      <c r="P131" s="302"/>
      <c r="Q131" s="302">
        <v>0</v>
      </c>
      <c r="R131" s="302"/>
      <c r="S131" s="28">
        <v>1020502</v>
      </c>
      <c r="T131" s="319"/>
      <c r="U131" s="320"/>
      <c r="V131" s="302" t="s">
        <v>582</v>
      </c>
      <c r="W131" s="57" t="s">
        <v>3880</v>
      </c>
      <c r="X131" s="57" t="s">
        <v>3880</v>
      </c>
      <c r="Y131" s="302"/>
      <c r="Z131" s="302"/>
      <c r="AA131" s="302"/>
      <c r="AB131" s="302"/>
      <c r="AC131" s="28"/>
      <c r="AD131" s="28"/>
      <c r="AE131" s="28">
        <v>0</v>
      </c>
      <c r="AF131" s="28"/>
      <c r="AG131" s="28"/>
      <c r="AH131" s="28"/>
      <c r="AI131" s="28"/>
      <c r="AJ131" s="28"/>
      <c r="AK131" s="328"/>
      <c r="AL131" s="328"/>
      <c r="AM131" s="328"/>
      <c r="AN131" s="28"/>
      <c r="AO131" s="28"/>
      <c r="AP131" s="28"/>
      <c r="AQ131" s="8" t="str">
        <f t="shared" si="1"/>
        <v>tricks/1020702</v>
      </c>
      <c r="AR131" s="332"/>
    </row>
    <row r="132" spans="1:44" ht="15" customHeight="1">
      <c r="A132" s="28">
        <v>1020703</v>
      </c>
      <c r="B132" s="5" t="s">
        <v>3638</v>
      </c>
      <c r="C132" s="224" t="s">
        <v>3881</v>
      </c>
      <c r="D132" s="28" t="s">
        <v>81</v>
      </c>
      <c r="E132" s="28" t="s">
        <v>325</v>
      </c>
      <c r="F132" s="28">
        <v>1</v>
      </c>
      <c r="G132" s="28">
        <v>2</v>
      </c>
      <c r="H132" s="28" t="s">
        <v>82</v>
      </c>
      <c r="I132" s="5" t="s">
        <v>3640</v>
      </c>
      <c r="J132" s="28"/>
      <c r="K132" s="28">
        <v>2</v>
      </c>
      <c r="L132" s="303" t="s">
        <v>539</v>
      </c>
      <c r="M132" s="301"/>
      <c r="N132" s="301"/>
      <c r="O132" s="303"/>
      <c r="P132" s="302"/>
      <c r="Q132" s="302">
        <v>0</v>
      </c>
      <c r="R132" s="302" t="s">
        <v>85</v>
      </c>
      <c r="S132" s="28">
        <v>1020503</v>
      </c>
      <c r="T132" s="319"/>
      <c r="U132" s="320" t="s">
        <v>630</v>
      </c>
      <c r="V132" s="302" t="s">
        <v>582</v>
      </c>
      <c r="W132" s="57" t="s">
        <v>3882</v>
      </c>
      <c r="X132" s="57" t="s">
        <v>3882</v>
      </c>
      <c r="Y132" s="302"/>
      <c r="Z132" s="302"/>
      <c r="AA132" s="302"/>
      <c r="AB132" s="302" t="s">
        <v>90</v>
      </c>
      <c r="AC132" s="28"/>
      <c r="AD132" s="28"/>
      <c r="AE132" s="28">
        <v>1</v>
      </c>
      <c r="AF132" s="28">
        <v>1</v>
      </c>
      <c r="AG132" s="28">
        <v>6</v>
      </c>
      <c r="AH132" s="28"/>
      <c r="AI132" s="28">
        <v>39</v>
      </c>
      <c r="AJ132" s="28">
        <v>26</v>
      </c>
      <c r="AK132" s="328"/>
      <c r="AL132" s="328"/>
      <c r="AM132" s="328"/>
      <c r="AN132" s="329" t="s">
        <v>632</v>
      </c>
      <c r="AO132" s="28"/>
      <c r="AP132" s="28"/>
      <c r="AQ132" s="8" t="str">
        <f t="shared" si="1"/>
        <v>tricks/1020703</v>
      </c>
      <c r="AR132" s="332">
        <v>370</v>
      </c>
    </row>
    <row r="133" spans="1:44" ht="15" customHeight="1">
      <c r="A133" s="28">
        <v>1020704</v>
      </c>
      <c r="B133" s="5" t="s">
        <v>3638</v>
      </c>
      <c r="C133" s="224" t="s">
        <v>3883</v>
      </c>
      <c r="D133" s="28" t="s">
        <v>81</v>
      </c>
      <c r="E133" s="28" t="s">
        <v>325</v>
      </c>
      <c r="F133" s="28">
        <v>2</v>
      </c>
      <c r="G133" s="28">
        <v>2</v>
      </c>
      <c r="H133" s="28" t="s">
        <v>136</v>
      </c>
      <c r="I133" s="5" t="s">
        <v>3640</v>
      </c>
      <c r="J133" s="28"/>
      <c r="K133" s="28"/>
      <c r="L133" s="303" t="s">
        <v>544</v>
      </c>
      <c r="M133" s="301"/>
      <c r="N133" s="301"/>
      <c r="O133" s="303"/>
      <c r="P133" s="302"/>
      <c r="Q133" s="302">
        <v>0</v>
      </c>
      <c r="R133" s="302"/>
      <c r="S133" s="28">
        <v>1020504</v>
      </c>
      <c r="T133" s="319"/>
      <c r="U133" s="320"/>
      <c r="V133" s="302" t="s">
        <v>582</v>
      </c>
      <c r="W133" s="57" t="s">
        <v>3884</v>
      </c>
      <c r="X133" s="57" t="s">
        <v>3884</v>
      </c>
      <c r="Y133" s="302"/>
      <c r="Z133" s="302"/>
      <c r="AA133" s="302"/>
      <c r="AB133" s="302"/>
      <c r="AC133" s="28"/>
      <c r="AD133" s="28"/>
      <c r="AE133" s="28">
        <v>0</v>
      </c>
      <c r="AF133" s="28"/>
      <c r="AG133" s="28"/>
      <c r="AH133" s="28"/>
      <c r="AI133" s="28"/>
      <c r="AJ133" s="28"/>
      <c r="AK133" s="328"/>
      <c r="AL133" s="328"/>
      <c r="AM133" s="328"/>
      <c r="AN133" s="28"/>
      <c r="AO133" s="28"/>
      <c r="AP133" s="28"/>
      <c r="AQ133" s="8" t="str">
        <f t="shared" si="1"/>
        <v>tricks/1020704</v>
      </c>
      <c r="AR133" s="332"/>
    </row>
    <row r="134" spans="1:44" ht="15" customHeight="1">
      <c r="A134" s="28">
        <v>1020705</v>
      </c>
      <c r="B134" s="5" t="s">
        <v>3638</v>
      </c>
      <c r="C134" s="224" t="s">
        <v>3885</v>
      </c>
      <c r="D134" s="28" t="s">
        <v>81</v>
      </c>
      <c r="E134" s="28" t="s">
        <v>325</v>
      </c>
      <c r="F134" s="28">
        <v>1</v>
      </c>
      <c r="G134" s="28">
        <v>2</v>
      </c>
      <c r="H134" s="28" t="s">
        <v>82</v>
      </c>
      <c r="I134" s="5" t="s">
        <v>3640</v>
      </c>
      <c r="J134" s="28"/>
      <c r="K134" s="28">
        <v>3</v>
      </c>
      <c r="L134" s="303" t="s">
        <v>598</v>
      </c>
      <c r="M134" s="301"/>
      <c r="N134" s="301"/>
      <c r="O134" s="303"/>
      <c r="P134" s="302"/>
      <c r="Q134" s="302">
        <v>0</v>
      </c>
      <c r="R134" s="302" t="s">
        <v>85</v>
      </c>
      <c r="S134" s="28">
        <v>1020505</v>
      </c>
      <c r="T134" s="319"/>
      <c r="U134" s="320" t="s">
        <v>636</v>
      </c>
      <c r="V134" s="302" t="s">
        <v>582</v>
      </c>
      <c r="W134" s="57" t="s">
        <v>3886</v>
      </c>
      <c r="X134" s="57" t="s">
        <v>3886</v>
      </c>
      <c r="Y134" s="302"/>
      <c r="Z134" s="302"/>
      <c r="AA134" s="302"/>
      <c r="AB134" s="302" t="s">
        <v>90</v>
      </c>
      <c r="AC134" s="28"/>
      <c r="AD134" s="28"/>
      <c r="AE134" s="28">
        <v>1</v>
      </c>
      <c r="AF134" s="28">
        <v>1</v>
      </c>
      <c r="AG134" s="28">
        <v>5</v>
      </c>
      <c r="AH134" s="28"/>
      <c r="AI134" s="28">
        <v>42</v>
      </c>
      <c r="AJ134" s="28">
        <v>35</v>
      </c>
      <c r="AK134" s="328"/>
      <c r="AL134" s="328"/>
      <c r="AM134" s="328"/>
      <c r="AN134" s="329" t="s">
        <v>638</v>
      </c>
      <c r="AO134" s="28"/>
      <c r="AP134" s="28"/>
      <c r="AQ134" s="8" t="str">
        <f t="shared" si="1"/>
        <v>tricks/1020705</v>
      </c>
      <c r="AR134" s="332">
        <v>371</v>
      </c>
    </row>
    <row r="135" spans="1:44" ht="15" customHeight="1">
      <c r="A135" s="28">
        <v>1020706</v>
      </c>
      <c r="B135" s="5" t="s">
        <v>3638</v>
      </c>
      <c r="C135" s="224" t="s">
        <v>3887</v>
      </c>
      <c r="D135" s="28" t="s">
        <v>81</v>
      </c>
      <c r="E135" s="28" t="s">
        <v>325</v>
      </c>
      <c r="F135" s="28">
        <v>3</v>
      </c>
      <c r="G135" s="28">
        <v>2</v>
      </c>
      <c r="H135" s="28" t="s">
        <v>136</v>
      </c>
      <c r="I135" s="5" t="s">
        <v>3640</v>
      </c>
      <c r="J135" s="28"/>
      <c r="K135" s="28"/>
      <c r="L135" s="303" t="s">
        <v>555</v>
      </c>
      <c r="M135" s="301"/>
      <c r="N135" s="301"/>
      <c r="O135" s="303"/>
      <c r="P135" s="302"/>
      <c r="Q135" s="302">
        <v>0</v>
      </c>
      <c r="R135" s="302"/>
      <c r="S135" s="28">
        <v>1020506</v>
      </c>
      <c r="T135" s="319"/>
      <c r="U135" s="320"/>
      <c r="V135" s="302" t="s">
        <v>582</v>
      </c>
      <c r="W135" s="57" t="s">
        <v>3888</v>
      </c>
      <c r="X135" s="57" t="s">
        <v>3888</v>
      </c>
      <c r="Y135" s="302"/>
      <c r="Z135" s="302"/>
      <c r="AA135" s="302"/>
      <c r="AB135" s="302"/>
      <c r="AC135" s="28"/>
      <c r="AD135" s="28"/>
      <c r="AE135" s="28">
        <v>0</v>
      </c>
      <c r="AF135" s="28"/>
      <c r="AG135" s="28"/>
      <c r="AH135" s="28"/>
      <c r="AI135" s="28"/>
      <c r="AJ135" s="28"/>
      <c r="AK135" s="328"/>
      <c r="AL135" s="328"/>
      <c r="AM135" s="328"/>
      <c r="AN135" s="28"/>
      <c r="AO135" s="28"/>
      <c r="AP135" s="28"/>
      <c r="AQ135" s="8" t="str">
        <f t="shared" si="1"/>
        <v>tricks/1020706</v>
      </c>
      <c r="AR135" s="332"/>
    </row>
    <row r="136" spans="1:44" ht="15" customHeight="1">
      <c r="A136" s="28">
        <v>1020707</v>
      </c>
      <c r="B136" s="5" t="s">
        <v>3638</v>
      </c>
      <c r="C136" s="224" t="s">
        <v>3889</v>
      </c>
      <c r="D136" s="28" t="s">
        <v>81</v>
      </c>
      <c r="E136" s="28" t="s">
        <v>325</v>
      </c>
      <c r="F136" s="28">
        <v>4</v>
      </c>
      <c r="G136" s="28">
        <v>2</v>
      </c>
      <c r="H136" s="28" t="s">
        <v>136</v>
      </c>
      <c r="I136" s="5" t="s">
        <v>3640</v>
      </c>
      <c r="J136" s="28"/>
      <c r="K136" s="28"/>
      <c r="L136" s="303" t="s">
        <v>559</v>
      </c>
      <c r="M136" s="301"/>
      <c r="N136" s="301"/>
      <c r="O136" s="303"/>
      <c r="P136" s="302"/>
      <c r="Q136" s="302">
        <v>0</v>
      </c>
      <c r="R136" s="302"/>
      <c r="S136" s="28">
        <v>1020507</v>
      </c>
      <c r="T136" s="319"/>
      <c r="U136" s="320"/>
      <c r="V136" s="302" t="s">
        <v>582</v>
      </c>
      <c r="W136" s="57" t="s">
        <v>3890</v>
      </c>
      <c r="X136" s="57" t="s">
        <v>3890</v>
      </c>
      <c r="Y136" s="302"/>
      <c r="Z136" s="302"/>
      <c r="AA136" s="302"/>
      <c r="AB136" s="302"/>
      <c r="AC136" s="28"/>
      <c r="AD136" s="28"/>
      <c r="AE136" s="28">
        <v>0</v>
      </c>
      <c r="AF136" s="28"/>
      <c r="AG136" s="28"/>
      <c r="AH136" s="28"/>
      <c r="AI136" s="28"/>
      <c r="AJ136" s="28"/>
      <c r="AK136" s="328"/>
      <c r="AL136" s="328"/>
      <c r="AM136" s="328"/>
      <c r="AN136" s="28"/>
      <c r="AO136" s="28"/>
      <c r="AP136" s="28"/>
      <c r="AQ136" s="8" t="str">
        <f t="shared" si="1"/>
        <v>tricks/1020707</v>
      </c>
      <c r="AR136" s="332"/>
    </row>
    <row r="137" spans="1:44" ht="15" customHeight="1">
      <c r="A137" s="28">
        <v>1020708</v>
      </c>
      <c r="B137" s="5" t="s">
        <v>3638</v>
      </c>
      <c r="C137" s="224" t="s">
        <v>3891</v>
      </c>
      <c r="D137" s="28" t="s">
        <v>81</v>
      </c>
      <c r="E137" s="28" t="s">
        <v>325</v>
      </c>
      <c r="F137" s="28">
        <v>5</v>
      </c>
      <c r="G137" s="28">
        <v>2</v>
      </c>
      <c r="H137" s="28" t="s">
        <v>136</v>
      </c>
      <c r="I137" s="5" t="s">
        <v>3640</v>
      </c>
      <c r="J137" s="28"/>
      <c r="K137" s="28"/>
      <c r="L137" s="303" t="s">
        <v>563</v>
      </c>
      <c r="M137" s="301"/>
      <c r="N137" s="301"/>
      <c r="O137" s="303"/>
      <c r="P137" s="302"/>
      <c r="Q137" s="302">
        <v>0</v>
      </c>
      <c r="R137" s="302"/>
      <c r="S137" s="28">
        <v>1020508</v>
      </c>
      <c r="T137" s="319"/>
      <c r="U137" s="320"/>
      <c r="V137" s="302" t="s">
        <v>582</v>
      </c>
      <c r="W137" s="57" t="s">
        <v>3892</v>
      </c>
      <c r="X137" s="57" t="s">
        <v>3892</v>
      </c>
      <c r="Y137" s="302"/>
      <c r="Z137" s="302"/>
      <c r="AA137" s="302"/>
      <c r="AB137" s="302"/>
      <c r="AC137" s="28"/>
      <c r="AD137" s="28"/>
      <c r="AE137" s="28">
        <v>0</v>
      </c>
      <c r="AF137" s="28"/>
      <c r="AG137" s="28"/>
      <c r="AH137" s="28"/>
      <c r="AI137" s="28"/>
      <c r="AJ137" s="28"/>
      <c r="AK137" s="328"/>
      <c r="AL137" s="328"/>
      <c r="AM137" s="328"/>
      <c r="AN137" s="28"/>
      <c r="AO137" s="28"/>
      <c r="AP137" s="28"/>
      <c r="AQ137" s="8" t="str">
        <f t="shared" si="1"/>
        <v>tricks/1020708</v>
      </c>
      <c r="AR137" s="332"/>
    </row>
    <row r="138" spans="1:44" ht="15" customHeight="1">
      <c r="A138" s="28">
        <v>1020709</v>
      </c>
      <c r="B138" s="5" t="s">
        <v>3638</v>
      </c>
      <c r="C138" s="224" t="s">
        <v>3893</v>
      </c>
      <c r="D138" s="28" t="s">
        <v>81</v>
      </c>
      <c r="E138" s="28" t="s">
        <v>325</v>
      </c>
      <c r="F138" s="28">
        <v>6</v>
      </c>
      <c r="G138" s="28">
        <v>2</v>
      </c>
      <c r="H138" s="28" t="s">
        <v>136</v>
      </c>
      <c r="I138" s="5" t="s">
        <v>3640</v>
      </c>
      <c r="J138" s="28"/>
      <c r="K138" s="28"/>
      <c r="L138" s="303" t="s">
        <v>567</v>
      </c>
      <c r="M138" s="301"/>
      <c r="N138" s="301"/>
      <c r="O138" s="303"/>
      <c r="P138" s="302"/>
      <c r="Q138" s="302">
        <v>0</v>
      </c>
      <c r="R138" s="302"/>
      <c r="S138" s="28">
        <v>1020509</v>
      </c>
      <c r="T138" s="319"/>
      <c r="U138" s="320"/>
      <c r="V138" s="302" t="s">
        <v>582</v>
      </c>
      <c r="W138" s="57" t="s">
        <v>3894</v>
      </c>
      <c r="X138" s="57" t="s">
        <v>3894</v>
      </c>
      <c r="Y138" s="302"/>
      <c r="Z138" s="302"/>
      <c r="AA138" s="302"/>
      <c r="AB138" s="302"/>
      <c r="AC138" s="28"/>
      <c r="AD138" s="28"/>
      <c r="AE138" s="28">
        <v>0</v>
      </c>
      <c r="AF138" s="28"/>
      <c r="AG138" s="28"/>
      <c r="AH138" s="28"/>
      <c r="AI138" s="28"/>
      <c r="AJ138" s="28"/>
      <c r="AK138" s="328"/>
      <c r="AL138" s="328"/>
      <c r="AM138" s="328"/>
      <c r="AN138" s="28"/>
      <c r="AO138" s="28"/>
      <c r="AP138" s="28"/>
      <c r="AQ138" s="8" t="str">
        <f t="shared" si="1"/>
        <v>tricks/1020709</v>
      </c>
      <c r="AR138" s="332"/>
    </row>
    <row r="139" spans="1:44" ht="15" customHeight="1">
      <c r="A139" s="28">
        <v>1020710</v>
      </c>
      <c r="B139" s="5" t="s">
        <v>3638</v>
      </c>
      <c r="C139" s="224" t="s">
        <v>3895</v>
      </c>
      <c r="D139" s="28" t="s">
        <v>81</v>
      </c>
      <c r="E139" s="28" t="s">
        <v>325</v>
      </c>
      <c r="F139" s="28">
        <v>7</v>
      </c>
      <c r="G139" s="28">
        <v>2</v>
      </c>
      <c r="H139" s="28" t="s">
        <v>136</v>
      </c>
      <c r="I139" s="5" t="s">
        <v>3640</v>
      </c>
      <c r="J139" s="28"/>
      <c r="K139" s="28"/>
      <c r="L139" s="303" t="s">
        <v>571</v>
      </c>
      <c r="M139" s="301"/>
      <c r="N139" s="301"/>
      <c r="O139" s="303"/>
      <c r="P139" s="302"/>
      <c r="Q139" s="302">
        <v>0</v>
      </c>
      <c r="R139" s="302"/>
      <c r="S139" s="28">
        <v>1020510</v>
      </c>
      <c r="T139" s="319"/>
      <c r="U139" s="320"/>
      <c r="V139" s="302" t="s">
        <v>582</v>
      </c>
      <c r="W139" s="57" t="s">
        <v>3896</v>
      </c>
      <c r="X139" s="57" t="s">
        <v>3896</v>
      </c>
      <c r="Y139" s="302"/>
      <c r="Z139" s="302"/>
      <c r="AA139" s="302"/>
      <c r="AB139" s="302"/>
      <c r="AC139" s="28"/>
      <c r="AD139" s="28"/>
      <c r="AE139" s="28">
        <v>0</v>
      </c>
      <c r="AF139" s="28"/>
      <c r="AG139" s="28"/>
      <c r="AH139" s="28"/>
      <c r="AI139" s="28"/>
      <c r="AJ139" s="28"/>
      <c r="AK139" s="328"/>
      <c r="AL139" s="328"/>
      <c r="AM139" s="328"/>
      <c r="AN139" s="28"/>
      <c r="AO139" s="28"/>
      <c r="AP139" s="28"/>
      <c r="AQ139" s="8" t="str">
        <f t="shared" si="1"/>
        <v>tricks/1020710</v>
      </c>
      <c r="AR139" s="332"/>
    </row>
    <row r="140" spans="1:44" ht="15" customHeight="1">
      <c r="A140" s="3">
        <v>1020711</v>
      </c>
      <c r="B140" s="5" t="s">
        <v>3638</v>
      </c>
      <c r="C140" s="224" t="s">
        <v>3897</v>
      </c>
      <c r="D140" s="3" t="s">
        <v>81</v>
      </c>
      <c r="E140" s="3" t="s">
        <v>325</v>
      </c>
      <c r="F140" s="3">
        <v>8</v>
      </c>
      <c r="G140" s="3">
        <v>2</v>
      </c>
      <c r="H140" s="3" t="s">
        <v>136</v>
      </c>
      <c r="I140" s="5" t="s">
        <v>3640</v>
      </c>
      <c r="J140" s="3"/>
      <c r="K140" s="3"/>
      <c r="L140" s="236"/>
      <c r="M140" s="99"/>
      <c r="N140" s="99"/>
      <c r="O140" s="236"/>
      <c r="P140" s="22"/>
      <c r="Q140" s="22">
        <v>0</v>
      </c>
      <c r="R140" s="22" t="s">
        <v>153</v>
      </c>
      <c r="S140" s="3"/>
      <c r="T140" s="260"/>
      <c r="U140" s="261"/>
      <c r="V140" s="22"/>
      <c r="W140" s="57" t="s">
        <v>3716</v>
      </c>
      <c r="X140" s="57" t="s">
        <v>3716</v>
      </c>
      <c r="Y140" s="22"/>
      <c r="Z140" s="22"/>
      <c r="AA140" s="22"/>
      <c r="AB140" s="22" t="s">
        <v>114</v>
      </c>
      <c r="AC140" s="3"/>
      <c r="AD140" s="3"/>
      <c r="AE140" s="3">
        <v>0</v>
      </c>
      <c r="AF140" s="3">
        <v>0</v>
      </c>
      <c r="AG140" s="3">
        <v>0</v>
      </c>
      <c r="AH140" s="3"/>
      <c r="AI140" s="3">
        <v>0</v>
      </c>
      <c r="AJ140" s="3">
        <v>0</v>
      </c>
      <c r="AK140" s="3">
        <v>0</v>
      </c>
      <c r="AL140" s="3"/>
      <c r="AM140" s="3"/>
      <c r="AN140" s="3"/>
      <c r="AO140" s="3"/>
      <c r="AP140" s="3"/>
      <c r="AQ140" s="8" t="str">
        <f t="shared" si="1"/>
        <v>tricks/1020711</v>
      </c>
      <c r="AR140" s="281"/>
    </row>
    <row r="141" spans="1:44" ht="15" customHeight="1">
      <c r="A141" s="3">
        <v>1020712</v>
      </c>
      <c r="B141" s="5" t="s">
        <v>3638</v>
      </c>
      <c r="C141" s="224" t="s">
        <v>3898</v>
      </c>
      <c r="D141" s="3" t="s">
        <v>81</v>
      </c>
      <c r="E141" s="3" t="s">
        <v>325</v>
      </c>
      <c r="F141" s="3">
        <v>9</v>
      </c>
      <c r="G141" s="3">
        <v>2</v>
      </c>
      <c r="H141" s="3" t="s">
        <v>136</v>
      </c>
      <c r="I141" s="5" t="s">
        <v>3640</v>
      </c>
      <c r="J141" s="3"/>
      <c r="K141" s="3"/>
      <c r="L141" s="236"/>
      <c r="M141" s="99"/>
      <c r="N141" s="99"/>
      <c r="O141" s="236"/>
      <c r="P141" s="22"/>
      <c r="Q141" s="22">
        <v>0</v>
      </c>
      <c r="R141" s="22" t="s">
        <v>153</v>
      </c>
      <c r="S141" s="3"/>
      <c r="T141" s="260"/>
      <c r="U141" s="261"/>
      <c r="V141" s="22"/>
      <c r="W141" s="57" t="s">
        <v>3899</v>
      </c>
      <c r="X141" s="57" t="s">
        <v>3899</v>
      </c>
      <c r="Y141" s="22"/>
      <c r="Z141" s="22"/>
      <c r="AA141" s="22"/>
      <c r="AB141" s="22" t="s">
        <v>114</v>
      </c>
      <c r="AC141" s="3"/>
      <c r="AD141" s="3"/>
      <c r="AE141" s="3">
        <v>0</v>
      </c>
      <c r="AF141" s="3">
        <v>0</v>
      </c>
      <c r="AG141" s="3">
        <v>0</v>
      </c>
      <c r="AH141" s="3"/>
      <c r="AI141" s="3">
        <v>0</v>
      </c>
      <c r="AJ141" s="3">
        <v>0</v>
      </c>
      <c r="AK141" s="3">
        <v>0</v>
      </c>
      <c r="AL141" s="3"/>
      <c r="AM141" s="3"/>
      <c r="AN141" s="3"/>
      <c r="AO141" s="3"/>
      <c r="AP141" s="3"/>
      <c r="AQ141" s="8" t="str">
        <f t="shared" si="1"/>
        <v>tricks/1020712</v>
      </c>
      <c r="AR141" s="281"/>
    </row>
    <row r="142" spans="1:44" ht="15" customHeight="1">
      <c r="A142" s="3">
        <v>1020713</v>
      </c>
      <c r="B142" s="5" t="s">
        <v>3638</v>
      </c>
      <c r="C142" s="224" t="s">
        <v>3900</v>
      </c>
      <c r="D142" s="3" t="s">
        <v>81</v>
      </c>
      <c r="E142" s="3" t="s">
        <v>325</v>
      </c>
      <c r="F142" s="3">
        <v>10</v>
      </c>
      <c r="G142" s="3">
        <v>2</v>
      </c>
      <c r="H142" s="3" t="s">
        <v>136</v>
      </c>
      <c r="I142" s="5" t="s">
        <v>3640</v>
      </c>
      <c r="J142" s="3"/>
      <c r="K142" s="3"/>
      <c r="L142" s="236"/>
      <c r="M142" s="99"/>
      <c r="N142" s="99"/>
      <c r="O142" s="236"/>
      <c r="P142" s="22"/>
      <c r="Q142" s="22">
        <v>0</v>
      </c>
      <c r="R142" s="22" t="s">
        <v>153</v>
      </c>
      <c r="S142" s="3"/>
      <c r="T142" s="260"/>
      <c r="U142" s="261"/>
      <c r="V142" s="22"/>
      <c r="W142" s="57" t="s">
        <v>3901</v>
      </c>
      <c r="X142" s="57" t="s">
        <v>3901</v>
      </c>
      <c r="Y142" s="22"/>
      <c r="Z142" s="22"/>
      <c r="AA142" s="22"/>
      <c r="AB142" s="22" t="s">
        <v>114</v>
      </c>
      <c r="AC142" s="3"/>
      <c r="AD142" s="3"/>
      <c r="AE142" s="3">
        <v>0</v>
      </c>
      <c r="AF142" s="3">
        <v>0</v>
      </c>
      <c r="AG142" s="3">
        <v>0</v>
      </c>
      <c r="AH142" s="3"/>
      <c r="AI142" s="3">
        <v>0</v>
      </c>
      <c r="AJ142" s="3">
        <v>0</v>
      </c>
      <c r="AK142" s="3">
        <v>0</v>
      </c>
      <c r="AL142" s="3"/>
      <c r="AM142" s="3"/>
      <c r="AN142" s="3"/>
      <c r="AO142" s="3"/>
      <c r="AP142" s="3"/>
      <c r="AQ142" s="8" t="str">
        <f t="shared" si="1"/>
        <v>tricks/1020713</v>
      </c>
      <c r="AR142" s="281"/>
    </row>
    <row r="143" spans="1:44" ht="15" customHeight="1">
      <c r="A143" s="5">
        <v>1030001</v>
      </c>
      <c r="B143" s="5" t="s">
        <v>3638</v>
      </c>
      <c r="C143" s="224" t="s">
        <v>3902</v>
      </c>
      <c r="D143" s="5" t="s">
        <v>81</v>
      </c>
      <c r="E143" s="5" t="s">
        <v>655</v>
      </c>
      <c r="F143" s="5">
        <v>1</v>
      </c>
      <c r="G143" s="5">
        <v>3</v>
      </c>
      <c r="H143" s="5" t="s">
        <v>82</v>
      </c>
      <c r="I143" s="5" t="s">
        <v>3640</v>
      </c>
      <c r="J143" s="5"/>
      <c r="K143" s="5">
        <v>4</v>
      </c>
      <c r="L143" s="333" t="s">
        <v>657</v>
      </c>
      <c r="M143" s="231"/>
      <c r="N143" s="231"/>
      <c r="O143" s="5"/>
      <c r="P143" s="232"/>
      <c r="Q143" s="232">
        <v>0</v>
      </c>
      <c r="R143" s="232" t="s">
        <v>85</v>
      </c>
      <c r="S143" s="5">
        <v>1030001</v>
      </c>
      <c r="T143" s="256" t="s">
        <v>658</v>
      </c>
      <c r="U143" s="257">
        <v>0</v>
      </c>
      <c r="V143" s="232" t="s">
        <v>342</v>
      </c>
      <c r="W143" s="57" t="s">
        <v>3903</v>
      </c>
      <c r="X143" s="57" t="s">
        <v>3903</v>
      </c>
      <c r="Y143" s="232"/>
      <c r="Z143" s="232"/>
      <c r="AA143" s="232"/>
      <c r="AB143" s="232"/>
      <c r="AC143" s="5"/>
      <c r="AD143" s="5"/>
      <c r="AE143" s="5">
        <v>2</v>
      </c>
      <c r="AF143" s="5">
        <v>0</v>
      </c>
      <c r="AG143" s="5">
        <v>4</v>
      </c>
      <c r="AH143" s="5"/>
      <c r="AI143" s="5">
        <v>60</v>
      </c>
      <c r="AJ143" s="5">
        <v>39</v>
      </c>
      <c r="AK143" s="270" t="s">
        <v>660</v>
      </c>
      <c r="AL143" s="270"/>
      <c r="AM143" s="270"/>
      <c r="AN143" s="5" t="s">
        <v>661</v>
      </c>
      <c r="AO143" s="5"/>
      <c r="AP143" s="5"/>
      <c r="AQ143" s="5" t="s">
        <v>662</v>
      </c>
      <c r="AR143" s="279">
        <v>243</v>
      </c>
    </row>
    <row r="144" spans="1:44" ht="15" customHeight="1">
      <c r="A144" s="5">
        <v>1030002</v>
      </c>
      <c r="B144" s="5" t="s">
        <v>3638</v>
      </c>
      <c r="C144" s="224" t="s">
        <v>3904</v>
      </c>
      <c r="D144" s="5" t="s">
        <v>81</v>
      </c>
      <c r="E144" s="5" t="s">
        <v>655</v>
      </c>
      <c r="F144" s="5">
        <v>1</v>
      </c>
      <c r="G144" s="5">
        <v>3</v>
      </c>
      <c r="H144" s="5" t="s">
        <v>82</v>
      </c>
      <c r="I144" s="5" t="s">
        <v>3640</v>
      </c>
      <c r="J144" s="5"/>
      <c r="K144" s="5">
        <v>5</v>
      </c>
      <c r="L144" s="333" t="s">
        <v>664</v>
      </c>
      <c r="M144" s="231"/>
      <c r="N144" s="231"/>
      <c r="O144" s="5"/>
      <c r="P144" s="232"/>
      <c r="Q144" s="232">
        <v>0</v>
      </c>
      <c r="R144" s="232" t="s">
        <v>85</v>
      </c>
      <c r="S144" s="5">
        <v>1030002</v>
      </c>
      <c r="T144" s="256" t="s">
        <v>658</v>
      </c>
      <c r="U144" s="257">
        <v>0</v>
      </c>
      <c r="V144" s="232" t="s">
        <v>342</v>
      </c>
      <c r="W144" s="57" t="s">
        <v>3905</v>
      </c>
      <c r="X144" s="57" t="s">
        <v>3905</v>
      </c>
      <c r="Y144" s="232"/>
      <c r="Z144" s="232"/>
      <c r="AA144" s="232"/>
      <c r="AB144" s="232"/>
      <c r="AC144" s="5"/>
      <c r="AD144" s="5"/>
      <c r="AE144" s="5">
        <v>2</v>
      </c>
      <c r="AF144" s="5">
        <v>0</v>
      </c>
      <c r="AG144" s="5">
        <v>4</v>
      </c>
      <c r="AH144" s="5"/>
      <c r="AI144" s="5">
        <v>50</v>
      </c>
      <c r="AJ144" s="5">
        <v>32</v>
      </c>
      <c r="AK144" s="270" t="s">
        <v>660</v>
      </c>
      <c r="AL144" s="270"/>
      <c r="AM144" s="270"/>
      <c r="AN144" s="5" t="s">
        <v>666</v>
      </c>
      <c r="AO144" s="5"/>
      <c r="AP144" s="5"/>
      <c r="AQ144" s="5" t="s">
        <v>667</v>
      </c>
      <c r="AR144" s="279">
        <v>244</v>
      </c>
    </row>
    <row r="145" spans="1:44" ht="15" customHeight="1">
      <c r="A145" s="29">
        <v>1030101</v>
      </c>
      <c r="B145" s="5" t="s">
        <v>3638</v>
      </c>
      <c r="C145" s="224" t="s">
        <v>3906</v>
      </c>
      <c r="D145" s="29" t="s">
        <v>81</v>
      </c>
      <c r="E145" s="29" t="s">
        <v>655</v>
      </c>
      <c r="F145" s="29">
        <v>1</v>
      </c>
      <c r="G145" s="29">
        <v>3</v>
      </c>
      <c r="H145" s="29" t="s">
        <v>82</v>
      </c>
      <c r="I145" s="5" t="s">
        <v>3640</v>
      </c>
      <c r="J145" s="29"/>
      <c r="K145" s="29">
        <v>1</v>
      </c>
      <c r="L145" s="334" t="s">
        <v>670</v>
      </c>
      <c r="M145" s="335"/>
      <c r="N145" s="335"/>
      <c r="O145" s="334"/>
      <c r="P145" s="336"/>
      <c r="Q145" s="336">
        <v>0</v>
      </c>
      <c r="R145" s="336" t="s">
        <v>85</v>
      </c>
      <c r="S145" s="29">
        <v>1030101</v>
      </c>
      <c r="T145" s="351" t="s">
        <v>671</v>
      </c>
      <c r="U145" s="352"/>
      <c r="V145" s="336" t="s">
        <v>342</v>
      </c>
      <c r="W145" s="57" t="s">
        <v>3907</v>
      </c>
      <c r="X145" s="57" t="s">
        <v>3907</v>
      </c>
      <c r="Y145" s="336"/>
      <c r="Z145" s="336"/>
      <c r="AA145" s="336"/>
      <c r="AB145" s="336" t="s">
        <v>90</v>
      </c>
      <c r="AC145" s="29"/>
      <c r="AD145" s="29"/>
      <c r="AE145" s="29">
        <v>1</v>
      </c>
      <c r="AF145" s="29">
        <v>2</v>
      </c>
      <c r="AG145" s="29">
        <v>7</v>
      </c>
      <c r="AH145" s="29"/>
      <c r="AI145" s="29">
        <v>60</v>
      </c>
      <c r="AJ145" s="29">
        <v>18</v>
      </c>
      <c r="AK145" s="357" t="s">
        <v>673</v>
      </c>
      <c r="AL145" s="357"/>
      <c r="AM145" s="357"/>
      <c r="AN145" s="29" t="s">
        <v>674</v>
      </c>
      <c r="AO145" s="29"/>
      <c r="AP145" s="29"/>
      <c r="AQ145" s="29" t="s">
        <v>675</v>
      </c>
      <c r="AR145" s="362">
        <v>241</v>
      </c>
    </row>
    <row r="146" spans="1:44" ht="15" customHeight="1">
      <c r="A146" s="29">
        <v>1030102</v>
      </c>
      <c r="B146" s="5" t="s">
        <v>3638</v>
      </c>
      <c r="C146" s="224" t="s">
        <v>3908</v>
      </c>
      <c r="D146" s="29" t="s">
        <v>81</v>
      </c>
      <c r="E146" s="29" t="s">
        <v>655</v>
      </c>
      <c r="F146" s="29">
        <v>1</v>
      </c>
      <c r="G146" s="29">
        <v>3</v>
      </c>
      <c r="H146" s="29" t="s">
        <v>136</v>
      </c>
      <c r="I146" s="5" t="s">
        <v>3640</v>
      </c>
      <c r="J146" s="29"/>
      <c r="K146" s="29"/>
      <c r="L146" s="334" t="s">
        <v>677</v>
      </c>
      <c r="M146" s="335"/>
      <c r="N146" s="335"/>
      <c r="O146" s="334"/>
      <c r="P146" s="336"/>
      <c r="Q146" s="336">
        <v>0</v>
      </c>
      <c r="R146" s="336" t="s">
        <v>153</v>
      </c>
      <c r="S146" s="29">
        <v>1030102</v>
      </c>
      <c r="T146" s="351"/>
      <c r="U146" s="352"/>
      <c r="V146" s="336" t="s">
        <v>342</v>
      </c>
      <c r="W146" s="57" t="s">
        <v>3909</v>
      </c>
      <c r="X146" s="57" t="s">
        <v>3909</v>
      </c>
      <c r="Y146" s="336"/>
      <c r="Z146" s="336"/>
      <c r="AA146" s="336"/>
      <c r="AB146" s="336"/>
      <c r="AC146" s="29"/>
      <c r="AD146" s="29"/>
      <c r="AE146" s="29">
        <v>0</v>
      </c>
      <c r="AF146" s="29">
        <v>0</v>
      </c>
      <c r="AG146" s="29">
        <v>0</v>
      </c>
      <c r="AH146" s="29"/>
      <c r="AI146" s="29">
        <v>0</v>
      </c>
      <c r="AJ146" s="29">
        <v>0</v>
      </c>
      <c r="AK146" s="357"/>
      <c r="AL146" s="357"/>
      <c r="AM146" s="357"/>
      <c r="AN146" s="29"/>
      <c r="AO146" s="29"/>
      <c r="AP146" s="29"/>
      <c r="AQ146" s="29" t="s">
        <v>679</v>
      </c>
      <c r="AR146" s="362"/>
    </row>
    <row r="147" spans="1:44" ht="15" customHeight="1">
      <c r="A147" s="29">
        <v>1030103</v>
      </c>
      <c r="B147" s="5" t="s">
        <v>3638</v>
      </c>
      <c r="C147" s="224" t="s">
        <v>3910</v>
      </c>
      <c r="D147" s="29" t="s">
        <v>81</v>
      </c>
      <c r="E147" s="29" t="s">
        <v>655</v>
      </c>
      <c r="F147" s="29">
        <v>1</v>
      </c>
      <c r="G147" s="29">
        <v>3</v>
      </c>
      <c r="H147" s="29" t="s">
        <v>82</v>
      </c>
      <c r="I147" s="5" t="s">
        <v>3640</v>
      </c>
      <c r="J147" s="29"/>
      <c r="K147" s="29">
        <v>2</v>
      </c>
      <c r="L147" s="334" t="s">
        <v>681</v>
      </c>
      <c r="M147" s="335"/>
      <c r="N147" s="335"/>
      <c r="O147" s="334"/>
      <c r="P147" s="336"/>
      <c r="Q147" s="336">
        <v>0</v>
      </c>
      <c r="R147" s="336" t="s">
        <v>85</v>
      </c>
      <c r="S147" s="29">
        <v>1030103</v>
      </c>
      <c r="T147" s="351" t="s">
        <v>682</v>
      </c>
      <c r="U147" s="352"/>
      <c r="V147" s="336" t="s">
        <v>342</v>
      </c>
      <c r="W147" s="57" t="s">
        <v>3911</v>
      </c>
      <c r="X147" s="57" t="s">
        <v>3911</v>
      </c>
      <c r="Y147" s="336"/>
      <c r="Z147" s="336"/>
      <c r="AA147" s="336"/>
      <c r="AB147" s="336" t="s">
        <v>90</v>
      </c>
      <c r="AC147" s="29"/>
      <c r="AD147" s="29"/>
      <c r="AE147" s="29">
        <v>1</v>
      </c>
      <c r="AF147" s="29">
        <v>1</v>
      </c>
      <c r="AG147" s="29">
        <v>6</v>
      </c>
      <c r="AH147" s="29"/>
      <c r="AI147" s="29">
        <v>40</v>
      </c>
      <c r="AJ147" s="29">
        <v>24</v>
      </c>
      <c r="AK147" s="357"/>
      <c r="AL147" s="357"/>
      <c r="AM147" s="357"/>
      <c r="AN147" s="29" t="s">
        <v>684</v>
      </c>
      <c r="AO147" s="29"/>
      <c r="AP147" s="29"/>
      <c r="AQ147" s="29" t="s">
        <v>685</v>
      </c>
      <c r="AR147" s="362">
        <v>242</v>
      </c>
    </row>
    <row r="148" spans="1:44" ht="15" customHeight="1">
      <c r="A148" s="29">
        <v>1030104</v>
      </c>
      <c r="B148" s="5" t="s">
        <v>3638</v>
      </c>
      <c r="C148" s="224" t="s">
        <v>3912</v>
      </c>
      <c r="D148" s="29" t="s">
        <v>81</v>
      </c>
      <c r="E148" s="29" t="s">
        <v>655</v>
      </c>
      <c r="F148" s="29">
        <v>2</v>
      </c>
      <c r="G148" s="29">
        <v>3</v>
      </c>
      <c r="H148" s="29" t="s">
        <v>136</v>
      </c>
      <c r="I148" s="5" t="s">
        <v>3640</v>
      </c>
      <c r="J148" s="29"/>
      <c r="K148" s="29"/>
      <c r="L148" s="334" t="s">
        <v>687</v>
      </c>
      <c r="M148" s="335"/>
      <c r="N148" s="335"/>
      <c r="O148" s="334"/>
      <c r="P148" s="336"/>
      <c r="Q148" s="336">
        <v>0</v>
      </c>
      <c r="R148" s="336" t="s">
        <v>688</v>
      </c>
      <c r="S148" s="29">
        <v>1030104</v>
      </c>
      <c r="T148" s="351"/>
      <c r="U148" s="352">
        <v>0</v>
      </c>
      <c r="V148" s="336" t="s">
        <v>342</v>
      </c>
      <c r="W148" s="57" t="s">
        <v>3913</v>
      </c>
      <c r="X148" s="57" t="s">
        <v>3913</v>
      </c>
      <c r="Y148" s="336"/>
      <c r="Z148" s="336"/>
      <c r="AA148" s="336"/>
      <c r="AB148" s="336"/>
      <c r="AC148" s="29"/>
      <c r="AD148" s="29"/>
      <c r="AE148" s="29">
        <v>0</v>
      </c>
      <c r="AF148" s="29">
        <v>0</v>
      </c>
      <c r="AG148" s="29">
        <v>0</v>
      </c>
      <c r="AH148" s="29"/>
      <c r="AI148" s="29">
        <v>0</v>
      </c>
      <c r="AJ148" s="29">
        <v>0</v>
      </c>
      <c r="AK148" s="357"/>
      <c r="AL148" s="357"/>
      <c r="AM148" s="357"/>
      <c r="AN148" s="29"/>
      <c r="AO148" s="29"/>
      <c r="AP148" s="29"/>
      <c r="AQ148" s="29" t="s">
        <v>690</v>
      </c>
      <c r="AR148" s="362"/>
    </row>
    <row r="149" spans="1:44" ht="15" customHeight="1">
      <c r="A149" s="30">
        <v>1030105</v>
      </c>
      <c r="B149" s="5" t="s">
        <v>3638</v>
      </c>
      <c r="C149" s="224" t="s">
        <v>3914</v>
      </c>
      <c r="D149" s="30" t="s">
        <v>81</v>
      </c>
      <c r="E149" s="30" t="s">
        <v>655</v>
      </c>
      <c r="F149" s="30">
        <v>1</v>
      </c>
      <c r="G149" s="30">
        <v>3</v>
      </c>
      <c r="H149" s="30" t="s">
        <v>82</v>
      </c>
      <c r="I149" s="5" t="s">
        <v>3640</v>
      </c>
      <c r="J149" s="30"/>
      <c r="K149" s="30">
        <v>3</v>
      </c>
      <c r="L149" s="337" t="s">
        <v>692</v>
      </c>
      <c r="M149" s="338"/>
      <c r="N149" s="338"/>
      <c r="O149" s="337"/>
      <c r="P149" s="339"/>
      <c r="Q149" s="339">
        <v>0</v>
      </c>
      <c r="R149" s="339" t="s">
        <v>85</v>
      </c>
      <c r="S149" s="30">
        <v>1030105</v>
      </c>
      <c r="T149" s="351" t="s">
        <v>693</v>
      </c>
      <c r="U149" s="352"/>
      <c r="V149" s="339" t="s">
        <v>342</v>
      </c>
      <c r="W149" s="57" t="s">
        <v>3915</v>
      </c>
      <c r="X149" s="57" t="s">
        <v>3915</v>
      </c>
      <c r="Y149" s="339"/>
      <c r="Z149" s="339"/>
      <c r="AA149" s="339"/>
      <c r="AB149" s="339" t="s">
        <v>90</v>
      </c>
      <c r="AC149" s="30"/>
      <c r="AD149" s="30"/>
      <c r="AE149" s="30">
        <v>1</v>
      </c>
      <c r="AF149" s="30">
        <v>1</v>
      </c>
      <c r="AG149" s="30">
        <v>5</v>
      </c>
      <c r="AH149" s="30"/>
      <c r="AI149" s="30">
        <v>40</v>
      </c>
      <c r="AJ149" s="30">
        <v>20</v>
      </c>
      <c r="AK149" s="358"/>
      <c r="AL149" s="358"/>
      <c r="AM149" s="358"/>
      <c r="AN149" s="30" t="s">
        <v>695</v>
      </c>
      <c r="AO149" s="30"/>
      <c r="AP149" s="30"/>
      <c r="AQ149" s="30" t="s">
        <v>696</v>
      </c>
      <c r="AR149" s="362"/>
    </row>
    <row r="150" spans="1:44" ht="15" customHeight="1">
      <c r="A150" s="30">
        <v>1030106</v>
      </c>
      <c r="B150" s="5" t="s">
        <v>3638</v>
      </c>
      <c r="C150" s="224" t="s">
        <v>3916</v>
      </c>
      <c r="D150" s="30" t="s">
        <v>81</v>
      </c>
      <c r="E150" s="30" t="s">
        <v>655</v>
      </c>
      <c r="F150" s="30">
        <v>3</v>
      </c>
      <c r="G150" s="30">
        <v>3</v>
      </c>
      <c r="H150" s="30" t="s">
        <v>136</v>
      </c>
      <c r="I150" s="5" t="s">
        <v>3640</v>
      </c>
      <c r="J150" s="30"/>
      <c r="K150" s="30"/>
      <c r="L150" s="337" t="s">
        <v>698</v>
      </c>
      <c r="M150" s="338"/>
      <c r="N150" s="338"/>
      <c r="O150" s="337"/>
      <c r="P150" s="339"/>
      <c r="Q150" s="339">
        <v>0</v>
      </c>
      <c r="R150" s="339" t="s">
        <v>153</v>
      </c>
      <c r="S150" s="30">
        <v>1030106</v>
      </c>
      <c r="T150" s="351"/>
      <c r="U150" s="352"/>
      <c r="V150" s="339" t="s">
        <v>342</v>
      </c>
      <c r="W150" s="57" t="s">
        <v>3917</v>
      </c>
      <c r="X150" s="57" t="s">
        <v>3917</v>
      </c>
      <c r="Y150" s="339"/>
      <c r="Z150" s="339"/>
      <c r="AA150" s="339"/>
      <c r="AB150" s="339"/>
      <c r="AC150" s="30"/>
      <c r="AD150" s="30"/>
      <c r="AE150" s="30">
        <v>0</v>
      </c>
      <c r="AF150" s="30">
        <v>0</v>
      </c>
      <c r="AG150" s="30">
        <v>0</v>
      </c>
      <c r="AH150" s="30"/>
      <c r="AI150" s="30">
        <v>0</v>
      </c>
      <c r="AJ150" s="30">
        <v>0</v>
      </c>
      <c r="AK150" s="358"/>
      <c r="AL150" s="358"/>
      <c r="AM150" s="358"/>
      <c r="AN150" s="30"/>
      <c r="AO150" s="30"/>
      <c r="AP150" s="30"/>
      <c r="AQ150" s="30" t="s">
        <v>700</v>
      </c>
      <c r="AR150" s="362"/>
    </row>
    <row r="151" spans="1:44" ht="15" customHeight="1">
      <c r="A151" s="30">
        <v>1030107</v>
      </c>
      <c r="B151" s="5" t="s">
        <v>3638</v>
      </c>
      <c r="C151" s="224" t="s">
        <v>3918</v>
      </c>
      <c r="D151" s="30" t="s">
        <v>81</v>
      </c>
      <c r="E151" s="30" t="s">
        <v>655</v>
      </c>
      <c r="F151" s="30">
        <v>4</v>
      </c>
      <c r="G151" s="30">
        <v>3</v>
      </c>
      <c r="H151" s="30" t="s">
        <v>136</v>
      </c>
      <c r="I151" s="5" t="s">
        <v>3640</v>
      </c>
      <c r="J151" s="30"/>
      <c r="K151" s="30"/>
      <c r="L151" s="340" t="s">
        <v>702</v>
      </c>
      <c r="M151" s="338"/>
      <c r="N151" s="338"/>
      <c r="O151" s="337"/>
      <c r="P151" s="339"/>
      <c r="Q151" s="339">
        <v>0</v>
      </c>
      <c r="R151" s="339" t="s">
        <v>153</v>
      </c>
      <c r="S151" s="30">
        <v>1030107</v>
      </c>
      <c r="T151" s="351"/>
      <c r="U151" s="352"/>
      <c r="V151" s="339" t="s">
        <v>342</v>
      </c>
      <c r="W151" s="57" t="s">
        <v>3919</v>
      </c>
      <c r="X151" s="57" t="s">
        <v>3919</v>
      </c>
      <c r="Y151" s="339"/>
      <c r="Z151" s="339"/>
      <c r="AA151" s="339"/>
      <c r="AB151" s="339"/>
      <c r="AC151" s="30"/>
      <c r="AD151" s="30"/>
      <c r="AE151" s="30">
        <v>0</v>
      </c>
      <c r="AF151" s="30">
        <v>0</v>
      </c>
      <c r="AG151" s="30">
        <v>0</v>
      </c>
      <c r="AH151" s="30"/>
      <c r="AI151" s="30">
        <v>0</v>
      </c>
      <c r="AJ151" s="30">
        <v>0</v>
      </c>
      <c r="AK151" s="358"/>
      <c r="AL151" s="358"/>
      <c r="AM151" s="358"/>
      <c r="AN151" s="30"/>
      <c r="AO151" s="30"/>
      <c r="AP151" s="30"/>
      <c r="AQ151" s="30" t="s">
        <v>704</v>
      </c>
      <c r="AR151" s="362"/>
    </row>
    <row r="152" spans="1:44" ht="15" customHeight="1">
      <c r="A152" s="29">
        <v>1030108</v>
      </c>
      <c r="B152" s="5" t="s">
        <v>3638</v>
      </c>
      <c r="C152" s="224" t="s">
        <v>3920</v>
      </c>
      <c r="D152" s="29" t="s">
        <v>81</v>
      </c>
      <c r="E152" s="29" t="s">
        <v>655</v>
      </c>
      <c r="F152" s="29">
        <v>5</v>
      </c>
      <c r="G152" s="29">
        <v>3</v>
      </c>
      <c r="H152" s="29" t="s">
        <v>136</v>
      </c>
      <c r="I152" s="5" t="s">
        <v>3640</v>
      </c>
      <c r="J152" s="29"/>
      <c r="K152" s="29"/>
      <c r="L152" s="341" t="s">
        <v>706</v>
      </c>
      <c r="M152" s="335"/>
      <c r="N152" s="335"/>
      <c r="O152" s="334"/>
      <c r="P152" s="336"/>
      <c r="Q152" s="336">
        <v>0</v>
      </c>
      <c r="R152" s="336" t="s">
        <v>153</v>
      </c>
      <c r="S152" s="29">
        <v>1030108</v>
      </c>
      <c r="T152" s="351"/>
      <c r="U152" s="352">
        <v>0</v>
      </c>
      <c r="V152" s="336" t="s">
        <v>342</v>
      </c>
      <c r="W152" s="57" t="s">
        <v>3921</v>
      </c>
      <c r="X152" s="57" t="s">
        <v>3921</v>
      </c>
      <c r="Y152" s="336"/>
      <c r="Z152" s="336"/>
      <c r="AA152" s="336"/>
      <c r="AB152" s="336"/>
      <c r="AC152" s="29"/>
      <c r="AD152" s="29"/>
      <c r="AE152" s="29">
        <v>0</v>
      </c>
      <c r="AF152" s="29">
        <v>0</v>
      </c>
      <c r="AG152" s="29">
        <v>0</v>
      </c>
      <c r="AH152" s="29"/>
      <c r="AI152" s="29">
        <v>0</v>
      </c>
      <c r="AJ152" s="29">
        <v>0</v>
      </c>
      <c r="AK152" s="357"/>
      <c r="AL152" s="357"/>
      <c r="AM152" s="357"/>
      <c r="AN152" s="29"/>
      <c r="AO152" s="29"/>
      <c r="AP152" s="29"/>
      <c r="AQ152" s="29" t="s">
        <v>708</v>
      </c>
      <c r="AR152" s="362"/>
    </row>
    <row r="153" spans="1:44" ht="15" customHeight="1">
      <c r="A153" s="29">
        <v>1030109</v>
      </c>
      <c r="B153" s="5" t="s">
        <v>3638</v>
      </c>
      <c r="C153" s="224" t="s">
        <v>3922</v>
      </c>
      <c r="D153" s="29" t="s">
        <v>81</v>
      </c>
      <c r="E153" s="29" t="s">
        <v>655</v>
      </c>
      <c r="F153" s="29">
        <v>6</v>
      </c>
      <c r="G153" s="29">
        <v>3</v>
      </c>
      <c r="H153" s="29" t="s">
        <v>136</v>
      </c>
      <c r="I153" s="5" t="s">
        <v>3640</v>
      </c>
      <c r="J153" s="29"/>
      <c r="K153" s="29"/>
      <c r="L153" s="341" t="s">
        <v>710</v>
      </c>
      <c r="M153" s="335"/>
      <c r="N153" s="335"/>
      <c r="O153" s="341"/>
      <c r="P153" s="336"/>
      <c r="Q153" s="336">
        <v>0</v>
      </c>
      <c r="R153" s="336" t="s">
        <v>153</v>
      </c>
      <c r="S153" s="29">
        <v>1030109</v>
      </c>
      <c r="T153" s="351"/>
      <c r="U153" s="352"/>
      <c r="V153" s="336" t="s">
        <v>342</v>
      </c>
      <c r="W153" s="57" t="s">
        <v>3923</v>
      </c>
      <c r="X153" s="57" t="s">
        <v>3923</v>
      </c>
      <c r="Y153" s="336"/>
      <c r="Z153" s="336"/>
      <c r="AA153" s="336"/>
      <c r="AB153" s="336"/>
      <c r="AC153" s="29"/>
      <c r="AD153" s="29"/>
      <c r="AE153" s="29">
        <v>0</v>
      </c>
      <c r="AF153" s="29">
        <v>0</v>
      </c>
      <c r="AG153" s="29">
        <v>0</v>
      </c>
      <c r="AH153" s="29"/>
      <c r="AI153" s="29">
        <v>0</v>
      </c>
      <c r="AJ153" s="29">
        <v>0</v>
      </c>
      <c r="AK153" s="357"/>
      <c r="AL153" s="357"/>
      <c r="AM153" s="357"/>
      <c r="AN153" s="29"/>
      <c r="AO153" s="29"/>
      <c r="AP153" s="29"/>
      <c r="AQ153" s="29" t="s">
        <v>712</v>
      </c>
      <c r="AR153" s="362"/>
    </row>
    <row r="154" spans="1:44" ht="15" customHeight="1">
      <c r="A154" s="29">
        <v>1030110</v>
      </c>
      <c r="B154" s="5" t="s">
        <v>3638</v>
      </c>
      <c r="C154" s="224" t="s">
        <v>3924</v>
      </c>
      <c r="D154" s="29" t="s">
        <v>81</v>
      </c>
      <c r="E154" s="29" t="s">
        <v>655</v>
      </c>
      <c r="F154" s="29">
        <v>7</v>
      </c>
      <c r="G154" s="29">
        <v>3</v>
      </c>
      <c r="H154" s="29" t="s">
        <v>136</v>
      </c>
      <c r="I154" s="5" t="s">
        <v>3640</v>
      </c>
      <c r="J154" s="29"/>
      <c r="K154" s="29"/>
      <c r="L154" s="334" t="s">
        <v>714</v>
      </c>
      <c r="M154" s="335"/>
      <c r="N154" s="335"/>
      <c r="O154" s="334"/>
      <c r="P154" s="336"/>
      <c r="Q154" s="336">
        <v>0</v>
      </c>
      <c r="R154" s="336" t="s">
        <v>153</v>
      </c>
      <c r="S154" s="29">
        <v>1030110</v>
      </c>
      <c r="T154" s="351"/>
      <c r="U154" s="352"/>
      <c r="V154" s="336" t="s">
        <v>342</v>
      </c>
      <c r="W154" s="57" t="s">
        <v>3925</v>
      </c>
      <c r="X154" s="57" t="s">
        <v>3925</v>
      </c>
      <c r="Y154" s="336"/>
      <c r="Z154" s="336"/>
      <c r="AA154" s="336"/>
      <c r="AB154" s="336"/>
      <c r="AC154" s="29"/>
      <c r="AD154" s="29"/>
      <c r="AE154" s="29">
        <v>0</v>
      </c>
      <c r="AF154" s="29">
        <v>0</v>
      </c>
      <c r="AG154" s="29">
        <v>0</v>
      </c>
      <c r="AH154" s="29"/>
      <c r="AI154" s="29">
        <v>0</v>
      </c>
      <c r="AJ154" s="29">
        <v>0</v>
      </c>
      <c r="AK154" s="357"/>
      <c r="AL154" s="357"/>
      <c r="AM154" s="357"/>
      <c r="AN154" s="29"/>
      <c r="AO154" s="29"/>
      <c r="AP154" s="29"/>
      <c r="AQ154" s="29" t="s">
        <v>716</v>
      </c>
      <c r="AR154" s="362"/>
    </row>
    <row r="155" spans="1:44" ht="15" customHeight="1">
      <c r="A155" s="3">
        <v>1030111</v>
      </c>
      <c r="B155" s="5" t="s">
        <v>3638</v>
      </c>
      <c r="C155" s="224" t="s">
        <v>3926</v>
      </c>
      <c r="D155" s="3" t="s">
        <v>81</v>
      </c>
      <c r="E155" s="3" t="s">
        <v>655</v>
      </c>
      <c r="F155" s="3">
        <v>8</v>
      </c>
      <c r="G155" s="3">
        <v>3</v>
      </c>
      <c r="H155" s="3" t="s">
        <v>136</v>
      </c>
      <c r="I155" s="5" t="s">
        <v>3640</v>
      </c>
      <c r="J155" s="3"/>
      <c r="K155" s="3"/>
      <c r="L155" s="236"/>
      <c r="M155" s="99"/>
      <c r="N155" s="99"/>
      <c r="O155" s="236"/>
      <c r="P155" s="22"/>
      <c r="Q155" s="22">
        <v>0</v>
      </c>
      <c r="R155" s="22" t="s">
        <v>153</v>
      </c>
      <c r="S155" s="3"/>
      <c r="T155" s="260"/>
      <c r="U155" s="261"/>
      <c r="V155" s="22"/>
      <c r="W155" s="57" t="s">
        <v>3665</v>
      </c>
      <c r="X155" s="57" t="s">
        <v>3665</v>
      </c>
      <c r="Y155" s="22"/>
      <c r="Z155" s="22"/>
      <c r="AA155" s="22"/>
      <c r="AB155" s="22" t="s">
        <v>114</v>
      </c>
      <c r="AC155" s="3"/>
      <c r="AD155" s="3"/>
      <c r="AE155" s="3">
        <v>0</v>
      </c>
      <c r="AF155" s="3">
        <v>0</v>
      </c>
      <c r="AG155" s="3">
        <v>0</v>
      </c>
      <c r="AH155" s="3"/>
      <c r="AI155" s="3">
        <v>0</v>
      </c>
      <c r="AJ155" s="3">
        <v>0</v>
      </c>
      <c r="AK155" s="3">
        <v>0</v>
      </c>
      <c r="AL155" s="3"/>
      <c r="AM155" s="3"/>
      <c r="AN155" s="3"/>
      <c r="AO155" s="3"/>
      <c r="AP155" s="3"/>
      <c r="AQ155" s="3" t="s">
        <v>696</v>
      </c>
      <c r="AR155" s="281"/>
    </row>
    <row r="156" spans="1:44" s="213" customFormat="1" ht="15" customHeight="1">
      <c r="A156" s="3">
        <v>1030112</v>
      </c>
      <c r="B156" s="5" t="s">
        <v>3638</v>
      </c>
      <c r="C156" s="224" t="s">
        <v>3927</v>
      </c>
      <c r="D156" s="3" t="s">
        <v>81</v>
      </c>
      <c r="E156" s="3" t="s">
        <v>655</v>
      </c>
      <c r="F156" s="3">
        <v>9</v>
      </c>
      <c r="G156" s="3">
        <v>3</v>
      </c>
      <c r="H156" s="3" t="s">
        <v>136</v>
      </c>
      <c r="I156" s="5" t="s">
        <v>3640</v>
      </c>
      <c r="J156" s="3"/>
      <c r="K156" s="3"/>
      <c r="L156" s="236"/>
      <c r="M156" s="99"/>
      <c r="N156" s="99"/>
      <c r="O156" s="236"/>
      <c r="P156" s="22"/>
      <c r="Q156" s="22">
        <v>0</v>
      </c>
      <c r="R156" s="22" t="s">
        <v>153</v>
      </c>
      <c r="S156" s="3"/>
      <c r="T156" s="260"/>
      <c r="U156" s="261"/>
      <c r="V156" s="22"/>
      <c r="W156" s="57" t="s">
        <v>3928</v>
      </c>
      <c r="X156" s="57" t="s">
        <v>3928</v>
      </c>
      <c r="Y156" s="22"/>
      <c r="Z156" s="22"/>
      <c r="AA156" s="22"/>
      <c r="AB156" s="22" t="s">
        <v>114</v>
      </c>
      <c r="AC156" s="3"/>
      <c r="AD156" s="3"/>
      <c r="AE156" s="3">
        <v>0</v>
      </c>
      <c r="AF156" s="3">
        <v>0</v>
      </c>
      <c r="AG156" s="3">
        <v>0</v>
      </c>
      <c r="AH156" s="3"/>
      <c r="AI156" s="3">
        <v>0</v>
      </c>
      <c r="AJ156" s="3">
        <v>0</v>
      </c>
      <c r="AK156" s="3">
        <v>0</v>
      </c>
      <c r="AL156" s="3"/>
      <c r="AM156" s="3"/>
      <c r="AN156" s="3"/>
      <c r="AO156" s="3"/>
      <c r="AP156" s="3"/>
      <c r="AQ156" s="282" t="str">
        <f>"tricks/"&amp;A156</f>
        <v>tricks/1030112</v>
      </c>
      <c r="AR156" s="222"/>
    </row>
    <row r="157" spans="1:44" s="213" customFormat="1" ht="15" customHeight="1">
      <c r="A157" s="3">
        <v>1030113</v>
      </c>
      <c r="B157" s="5" t="s">
        <v>3638</v>
      </c>
      <c r="C157" s="224" t="s">
        <v>3929</v>
      </c>
      <c r="D157" s="3" t="s">
        <v>81</v>
      </c>
      <c r="E157" s="3" t="s">
        <v>655</v>
      </c>
      <c r="F157" s="3">
        <v>10</v>
      </c>
      <c r="G157" s="3">
        <v>3</v>
      </c>
      <c r="H157" s="3" t="s">
        <v>136</v>
      </c>
      <c r="I157" s="5" t="s">
        <v>3640</v>
      </c>
      <c r="J157" s="3"/>
      <c r="K157" s="3"/>
      <c r="L157" s="236"/>
      <c r="M157" s="99"/>
      <c r="N157" s="99"/>
      <c r="O157" s="236"/>
      <c r="P157" s="22"/>
      <c r="Q157" s="22">
        <v>0</v>
      </c>
      <c r="R157" s="22" t="s">
        <v>153</v>
      </c>
      <c r="S157" s="3"/>
      <c r="T157" s="260"/>
      <c r="U157" s="261"/>
      <c r="V157" s="22"/>
      <c r="W157" s="57" t="s">
        <v>3930</v>
      </c>
      <c r="X157" s="57" t="s">
        <v>3930</v>
      </c>
      <c r="Y157" s="22"/>
      <c r="Z157" s="22"/>
      <c r="AA157" s="22"/>
      <c r="AB157" s="22" t="s">
        <v>114</v>
      </c>
      <c r="AC157" s="3"/>
      <c r="AD157" s="3"/>
      <c r="AE157" s="3">
        <v>0</v>
      </c>
      <c r="AF157" s="3">
        <v>0</v>
      </c>
      <c r="AG157" s="3">
        <v>0</v>
      </c>
      <c r="AH157" s="3"/>
      <c r="AI157" s="3">
        <v>0</v>
      </c>
      <c r="AJ157" s="3">
        <v>0</v>
      </c>
      <c r="AK157" s="3">
        <v>0</v>
      </c>
      <c r="AL157" s="3"/>
      <c r="AM157" s="3"/>
      <c r="AN157" s="3"/>
      <c r="AO157" s="3"/>
      <c r="AP157" s="3"/>
      <c r="AQ157" s="282" t="str">
        <f>"tricks/"&amp;A157</f>
        <v>tricks/1030113</v>
      </c>
      <c r="AR157" s="222"/>
    </row>
    <row r="158" spans="1:44" s="213" customFormat="1" ht="15" customHeight="1">
      <c r="A158" s="31">
        <v>1030201</v>
      </c>
      <c r="B158" s="5" t="s">
        <v>3638</v>
      </c>
      <c r="C158" s="224" t="s">
        <v>3931</v>
      </c>
      <c r="D158" s="31" t="s">
        <v>81</v>
      </c>
      <c r="E158" s="31" t="s">
        <v>655</v>
      </c>
      <c r="F158" s="31">
        <v>1</v>
      </c>
      <c r="G158" s="31">
        <v>3</v>
      </c>
      <c r="H158" s="31" t="s">
        <v>82</v>
      </c>
      <c r="I158" s="5" t="s">
        <v>3640</v>
      </c>
      <c r="J158" s="31"/>
      <c r="K158" s="31">
        <v>1</v>
      </c>
      <c r="L158" s="342"/>
      <c r="M158" s="343"/>
      <c r="N158" s="343"/>
      <c r="O158" s="342"/>
      <c r="P158" s="344"/>
      <c r="Q158" s="344">
        <v>0</v>
      </c>
      <c r="R158" s="344" t="s">
        <v>85</v>
      </c>
      <c r="S158" s="31">
        <v>1030101</v>
      </c>
      <c r="T158" s="353" t="s">
        <v>724</v>
      </c>
      <c r="U158" s="354"/>
      <c r="V158" s="344" t="s">
        <v>342</v>
      </c>
      <c r="W158" s="57" t="s">
        <v>3932</v>
      </c>
      <c r="X158" s="57" t="s">
        <v>3932</v>
      </c>
      <c r="Y158" s="344"/>
      <c r="Z158" s="344"/>
      <c r="AA158" s="344"/>
      <c r="AB158" s="344" t="s">
        <v>90</v>
      </c>
      <c r="AC158" s="31"/>
      <c r="AD158" s="31"/>
      <c r="AE158" s="31">
        <v>1</v>
      </c>
      <c r="AF158" s="31">
        <v>2</v>
      </c>
      <c r="AG158" s="31">
        <v>7</v>
      </c>
      <c r="AH158" s="31"/>
      <c r="AI158" s="31">
        <v>60</v>
      </c>
      <c r="AJ158" s="31">
        <v>18</v>
      </c>
      <c r="AK158" s="359"/>
      <c r="AL158" s="359"/>
      <c r="AM158" s="359"/>
      <c r="AN158" s="31" t="s">
        <v>726</v>
      </c>
      <c r="AO158" s="31"/>
      <c r="AP158" s="31"/>
      <c r="AQ158" s="31" t="s">
        <v>727</v>
      </c>
      <c r="AR158" s="363">
        <v>346</v>
      </c>
    </row>
    <row r="159" spans="1:44" s="213" customFormat="1" ht="15" customHeight="1">
      <c r="A159" s="31">
        <v>1030202</v>
      </c>
      <c r="B159" s="5" t="s">
        <v>3638</v>
      </c>
      <c r="C159" s="224" t="s">
        <v>3933</v>
      </c>
      <c r="D159" s="31" t="s">
        <v>81</v>
      </c>
      <c r="E159" s="31" t="s">
        <v>655</v>
      </c>
      <c r="F159" s="31">
        <v>1</v>
      </c>
      <c r="G159" s="31">
        <v>3</v>
      </c>
      <c r="H159" s="31" t="s">
        <v>136</v>
      </c>
      <c r="I159" s="5" t="s">
        <v>3640</v>
      </c>
      <c r="J159" s="31"/>
      <c r="K159" s="31"/>
      <c r="L159" s="342"/>
      <c r="M159" s="343"/>
      <c r="N159" s="343"/>
      <c r="O159" s="342"/>
      <c r="P159" s="344"/>
      <c r="Q159" s="344">
        <v>0</v>
      </c>
      <c r="R159" s="344" t="s">
        <v>153</v>
      </c>
      <c r="S159" s="31">
        <v>1030102</v>
      </c>
      <c r="T159" s="353"/>
      <c r="U159" s="354"/>
      <c r="V159" s="344" t="s">
        <v>342</v>
      </c>
      <c r="W159" s="57" t="s">
        <v>3934</v>
      </c>
      <c r="X159" s="57" t="s">
        <v>3934</v>
      </c>
      <c r="Y159" s="344"/>
      <c r="Z159" s="344"/>
      <c r="AA159" s="344"/>
      <c r="AB159" s="344"/>
      <c r="AC159" s="31"/>
      <c r="AD159" s="31"/>
      <c r="AE159" s="31">
        <v>0</v>
      </c>
      <c r="AF159" s="31">
        <v>0</v>
      </c>
      <c r="AG159" s="31">
        <v>0</v>
      </c>
      <c r="AH159" s="31"/>
      <c r="AI159" s="31">
        <v>0</v>
      </c>
      <c r="AJ159" s="31">
        <v>0</v>
      </c>
      <c r="AK159" s="359"/>
      <c r="AL159" s="359"/>
      <c r="AM159" s="359"/>
      <c r="AN159" s="31"/>
      <c r="AO159" s="31"/>
      <c r="AP159" s="31"/>
      <c r="AQ159" s="31" t="s">
        <v>730</v>
      </c>
      <c r="AR159" s="363"/>
    </row>
    <row r="160" spans="1:44" s="213" customFormat="1" ht="15" customHeight="1">
      <c r="A160" s="31">
        <v>1030203</v>
      </c>
      <c r="B160" s="5" t="s">
        <v>3638</v>
      </c>
      <c r="C160" s="224" t="s">
        <v>3935</v>
      </c>
      <c r="D160" s="31" t="s">
        <v>81</v>
      </c>
      <c r="E160" s="31" t="s">
        <v>655</v>
      </c>
      <c r="F160" s="31">
        <v>1</v>
      </c>
      <c r="G160" s="31">
        <v>3</v>
      </c>
      <c r="H160" s="31" t="s">
        <v>82</v>
      </c>
      <c r="I160" s="5" t="s">
        <v>3640</v>
      </c>
      <c r="J160" s="31"/>
      <c r="K160" s="31">
        <v>2</v>
      </c>
      <c r="L160" s="342"/>
      <c r="M160" s="343"/>
      <c r="N160" s="343"/>
      <c r="O160" s="342"/>
      <c r="P160" s="344"/>
      <c r="Q160" s="344">
        <v>0</v>
      </c>
      <c r="R160" s="344" t="s">
        <v>85</v>
      </c>
      <c r="S160" s="31">
        <v>1030103</v>
      </c>
      <c r="T160" s="353" t="s">
        <v>732</v>
      </c>
      <c r="U160" s="354"/>
      <c r="V160" s="344" t="s">
        <v>342</v>
      </c>
      <c r="W160" s="57" t="s">
        <v>3936</v>
      </c>
      <c r="X160" s="57" t="s">
        <v>3936</v>
      </c>
      <c r="Y160" s="344"/>
      <c r="Z160" s="344"/>
      <c r="AA160" s="344"/>
      <c r="AB160" s="344" t="s">
        <v>90</v>
      </c>
      <c r="AC160" s="31"/>
      <c r="AD160" s="31"/>
      <c r="AE160" s="31">
        <v>1</v>
      </c>
      <c r="AF160" s="31">
        <v>1</v>
      </c>
      <c r="AG160" s="31">
        <v>6</v>
      </c>
      <c r="AH160" s="31"/>
      <c r="AI160" s="31">
        <v>40</v>
      </c>
      <c r="AJ160" s="31">
        <v>24</v>
      </c>
      <c r="AK160" s="359"/>
      <c r="AL160" s="359"/>
      <c r="AM160" s="359"/>
      <c r="AN160" s="31" t="s">
        <v>734</v>
      </c>
      <c r="AO160" s="31"/>
      <c r="AP160" s="31"/>
      <c r="AQ160" s="31" t="s">
        <v>735</v>
      </c>
      <c r="AR160" s="363">
        <v>347</v>
      </c>
    </row>
    <row r="161" spans="1:44" s="213" customFormat="1" ht="15" customHeight="1">
      <c r="A161" s="31">
        <v>1030204</v>
      </c>
      <c r="B161" s="5" t="s">
        <v>3638</v>
      </c>
      <c r="C161" s="224" t="s">
        <v>3937</v>
      </c>
      <c r="D161" s="31" t="s">
        <v>81</v>
      </c>
      <c r="E161" s="31" t="s">
        <v>655</v>
      </c>
      <c r="F161" s="31">
        <v>2</v>
      </c>
      <c r="G161" s="31">
        <v>3</v>
      </c>
      <c r="H161" s="31" t="s">
        <v>136</v>
      </c>
      <c r="I161" s="5" t="s">
        <v>3640</v>
      </c>
      <c r="J161" s="31"/>
      <c r="K161" s="31"/>
      <c r="L161" s="342"/>
      <c r="M161" s="343"/>
      <c r="N161" s="343"/>
      <c r="O161" s="342"/>
      <c r="P161" s="344"/>
      <c r="Q161" s="344">
        <v>0</v>
      </c>
      <c r="R161" s="344" t="s">
        <v>153</v>
      </c>
      <c r="S161" s="31">
        <v>1030104</v>
      </c>
      <c r="T161" s="353"/>
      <c r="U161" s="354">
        <v>0</v>
      </c>
      <c r="V161" s="344" t="s">
        <v>342</v>
      </c>
      <c r="W161" s="57" t="s">
        <v>3938</v>
      </c>
      <c r="X161" s="57" t="s">
        <v>3938</v>
      </c>
      <c r="Y161" s="344"/>
      <c r="Z161" s="344"/>
      <c r="AA161" s="344"/>
      <c r="AB161" s="344"/>
      <c r="AC161" s="31"/>
      <c r="AD161" s="31"/>
      <c r="AE161" s="31">
        <v>0</v>
      </c>
      <c r="AF161" s="31">
        <v>0</v>
      </c>
      <c r="AG161" s="31">
        <v>0</v>
      </c>
      <c r="AH161" s="31"/>
      <c r="AI161" s="31">
        <v>0</v>
      </c>
      <c r="AJ161" s="31">
        <v>0</v>
      </c>
      <c r="AK161" s="359"/>
      <c r="AL161" s="359"/>
      <c r="AM161" s="359"/>
      <c r="AN161" s="31"/>
      <c r="AO161" s="31"/>
      <c r="AP161" s="31"/>
      <c r="AQ161" s="31" t="s">
        <v>738</v>
      </c>
      <c r="AR161" s="363"/>
    </row>
    <row r="162" spans="1:44" s="213" customFormat="1" ht="15" customHeight="1">
      <c r="A162" s="31">
        <v>1030205</v>
      </c>
      <c r="B162" s="5" t="s">
        <v>3638</v>
      </c>
      <c r="C162" s="224" t="s">
        <v>3939</v>
      </c>
      <c r="D162" s="31" t="s">
        <v>81</v>
      </c>
      <c r="E162" s="31" t="s">
        <v>655</v>
      </c>
      <c r="F162" s="31">
        <v>1</v>
      </c>
      <c r="G162" s="31">
        <v>3</v>
      </c>
      <c r="H162" s="31" t="s">
        <v>82</v>
      </c>
      <c r="I162" s="5" t="s">
        <v>3640</v>
      </c>
      <c r="J162" s="31"/>
      <c r="K162" s="31">
        <v>3</v>
      </c>
      <c r="L162" s="342"/>
      <c r="M162" s="343"/>
      <c r="N162" s="343"/>
      <c r="O162" s="342"/>
      <c r="P162" s="344"/>
      <c r="Q162" s="344">
        <v>0</v>
      </c>
      <c r="R162" s="344" t="s">
        <v>85</v>
      </c>
      <c r="S162" s="31">
        <v>1030105</v>
      </c>
      <c r="T162" s="353" t="s">
        <v>740</v>
      </c>
      <c r="U162" s="354"/>
      <c r="V162" s="344" t="s">
        <v>342</v>
      </c>
      <c r="W162" s="57" t="s">
        <v>3940</v>
      </c>
      <c r="X162" s="57" t="s">
        <v>3940</v>
      </c>
      <c r="Y162" s="344"/>
      <c r="Z162" s="344"/>
      <c r="AA162" s="344"/>
      <c r="AB162" s="344" t="s">
        <v>90</v>
      </c>
      <c r="AC162" s="31"/>
      <c r="AD162" s="31"/>
      <c r="AE162" s="31">
        <v>1</v>
      </c>
      <c r="AF162" s="31">
        <v>1</v>
      </c>
      <c r="AG162" s="31">
        <v>5</v>
      </c>
      <c r="AH162" s="31"/>
      <c r="AI162" s="31">
        <v>40</v>
      </c>
      <c r="AJ162" s="31">
        <v>20</v>
      </c>
      <c r="AK162" s="359"/>
      <c r="AL162" s="359"/>
      <c r="AM162" s="359"/>
      <c r="AN162" s="31" t="s">
        <v>742</v>
      </c>
      <c r="AO162" s="31"/>
      <c r="AP162" s="31"/>
      <c r="AQ162" s="31" t="s">
        <v>743</v>
      </c>
      <c r="AR162" s="363">
        <v>348</v>
      </c>
    </row>
    <row r="163" spans="1:44" s="213" customFormat="1" ht="15" customHeight="1">
      <c r="A163" s="31">
        <v>1030206</v>
      </c>
      <c r="B163" s="5" t="s">
        <v>3638</v>
      </c>
      <c r="C163" s="224" t="s">
        <v>3941</v>
      </c>
      <c r="D163" s="31" t="s">
        <v>81</v>
      </c>
      <c r="E163" s="31" t="s">
        <v>655</v>
      </c>
      <c r="F163" s="31">
        <v>3</v>
      </c>
      <c r="G163" s="31">
        <v>3</v>
      </c>
      <c r="H163" s="31" t="s">
        <v>136</v>
      </c>
      <c r="I163" s="5" t="s">
        <v>3640</v>
      </c>
      <c r="J163" s="31"/>
      <c r="K163" s="31"/>
      <c r="L163" s="342"/>
      <c r="M163" s="343"/>
      <c r="N163" s="343"/>
      <c r="O163" s="342"/>
      <c r="P163" s="344"/>
      <c r="Q163" s="344">
        <v>0</v>
      </c>
      <c r="R163" s="344" t="s">
        <v>153</v>
      </c>
      <c r="S163" s="31">
        <v>1030106</v>
      </c>
      <c r="T163" s="353"/>
      <c r="U163" s="354"/>
      <c r="V163" s="344" t="s">
        <v>342</v>
      </c>
      <c r="W163" s="57" t="s">
        <v>3942</v>
      </c>
      <c r="X163" s="57" t="s">
        <v>3942</v>
      </c>
      <c r="Y163" s="344"/>
      <c r="Z163" s="344"/>
      <c r="AA163" s="344"/>
      <c r="AB163" s="344"/>
      <c r="AC163" s="31"/>
      <c r="AD163" s="31"/>
      <c r="AE163" s="31">
        <v>0</v>
      </c>
      <c r="AF163" s="31">
        <v>0</v>
      </c>
      <c r="AG163" s="31">
        <v>0</v>
      </c>
      <c r="AH163" s="31"/>
      <c r="AI163" s="31">
        <v>0</v>
      </c>
      <c r="AJ163" s="31">
        <v>0</v>
      </c>
      <c r="AK163" s="359"/>
      <c r="AL163" s="359"/>
      <c r="AM163" s="359"/>
      <c r="AN163" s="31"/>
      <c r="AO163" s="31"/>
      <c r="AP163" s="31"/>
      <c r="AQ163" s="31" t="s">
        <v>746</v>
      </c>
      <c r="AR163" s="363"/>
    </row>
    <row r="164" spans="1:44" s="213" customFormat="1" ht="15" customHeight="1">
      <c r="A164" s="31">
        <v>1030207</v>
      </c>
      <c r="B164" s="5" t="s">
        <v>3638</v>
      </c>
      <c r="C164" s="224" t="s">
        <v>3943</v>
      </c>
      <c r="D164" s="31" t="s">
        <v>81</v>
      </c>
      <c r="E164" s="31" t="s">
        <v>655</v>
      </c>
      <c r="F164" s="31">
        <v>4</v>
      </c>
      <c r="G164" s="31">
        <v>3</v>
      </c>
      <c r="H164" s="31" t="s">
        <v>136</v>
      </c>
      <c r="I164" s="5" t="s">
        <v>3640</v>
      </c>
      <c r="J164" s="31"/>
      <c r="K164" s="31"/>
      <c r="L164" s="345"/>
      <c r="M164" s="343"/>
      <c r="N164" s="343"/>
      <c r="O164" s="342"/>
      <c r="P164" s="344"/>
      <c r="Q164" s="344">
        <v>0</v>
      </c>
      <c r="R164" s="344" t="s">
        <v>153</v>
      </c>
      <c r="S164" s="31">
        <v>1030107</v>
      </c>
      <c r="T164" s="353"/>
      <c r="U164" s="354"/>
      <c r="V164" s="344" t="s">
        <v>342</v>
      </c>
      <c r="W164" s="57" t="s">
        <v>3944</v>
      </c>
      <c r="X164" s="57" t="s">
        <v>3944</v>
      </c>
      <c r="Y164" s="344"/>
      <c r="Z164" s="344"/>
      <c r="AA164" s="344"/>
      <c r="AB164" s="344"/>
      <c r="AC164" s="31"/>
      <c r="AD164" s="31"/>
      <c r="AE164" s="31">
        <v>0</v>
      </c>
      <c r="AF164" s="31">
        <v>0</v>
      </c>
      <c r="AG164" s="31">
        <v>0</v>
      </c>
      <c r="AH164" s="31"/>
      <c r="AI164" s="31">
        <v>0</v>
      </c>
      <c r="AJ164" s="31">
        <v>0</v>
      </c>
      <c r="AK164" s="359"/>
      <c r="AL164" s="359"/>
      <c r="AM164" s="359"/>
      <c r="AN164" s="31"/>
      <c r="AO164" s="31"/>
      <c r="AP164" s="31"/>
      <c r="AQ164" s="31" t="s">
        <v>749</v>
      </c>
      <c r="AR164" s="363"/>
    </row>
    <row r="165" spans="1:44" s="213" customFormat="1" ht="15" customHeight="1">
      <c r="A165" s="31">
        <v>1030208</v>
      </c>
      <c r="B165" s="5" t="s">
        <v>3638</v>
      </c>
      <c r="C165" s="224" t="s">
        <v>3945</v>
      </c>
      <c r="D165" s="31" t="s">
        <v>81</v>
      </c>
      <c r="E165" s="31" t="s">
        <v>655</v>
      </c>
      <c r="F165" s="31">
        <v>5</v>
      </c>
      <c r="G165" s="31">
        <v>3</v>
      </c>
      <c r="H165" s="31" t="s">
        <v>136</v>
      </c>
      <c r="I165" s="5" t="s">
        <v>3640</v>
      </c>
      <c r="J165" s="31"/>
      <c r="K165" s="31"/>
      <c r="L165" s="345"/>
      <c r="M165" s="343"/>
      <c r="N165" s="343"/>
      <c r="O165" s="342"/>
      <c r="P165" s="344"/>
      <c r="Q165" s="344">
        <v>0</v>
      </c>
      <c r="R165" s="344" t="s">
        <v>153</v>
      </c>
      <c r="S165" s="31">
        <v>1030108</v>
      </c>
      <c r="T165" s="353"/>
      <c r="U165" s="354">
        <v>0</v>
      </c>
      <c r="V165" s="344" t="s">
        <v>342</v>
      </c>
      <c r="W165" s="57" t="s">
        <v>3946</v>
      </c>
      <c r="X165" s="57" t="s">
        <v>3946</v>
      </c>
      <c r="Y165" s="344"/>
      <c r="Z165" s="344"/>
      <c r="AA165" s="344"/>
      <c r="AB165" s="344"/>
      <c r="AC165" s="31"/>
      <c r="AD165" s="31"/>
      <c r="AE165" s="31">
        <v>0</v>
      </c>
      <c r="AF165" s="31">
        <v>0</v>
      </c>
      <c r="AG165" s="31">
        <v>0</v>
      </c>
      <c r="AH165" s="31"/>
      <c r="AI165" s="31">
        <v>0</v>
      </c>
      <c r="AJ165" s="31">
        <v>0</v>
      </c>
      <c r="AK165" s="359"/>
      <c r="AL165" s="359"/>
      <c r="AM165" s="359"/>
      <c r="AN165" s="31"/>
      <c r="AO165" s="31"/>
      <c r="AP165" s="31"/>
      <c r="AQ165" s="31" t="s">
        <v>752</v>
      </c>
      <c r="AR165" s="363"/>
    </row>
    <row r="166" spans="1:44" ht="15" customHeight="1">
      <c r="A166" s="31">
        <v>1030209</v>
      </c>
      <c r="B166" s="5" t="s">
        <v>3638</v>
      </c>
      <c r="C166" s="224" t="s">
        <v>3947</v>
      </c>
      <c r="D166" s="31" t="s">
        <v>81</v>
      </c>
      <c r="E166" s="31" t="s">
        <v>655</v>
      </c>
      <c r="F166" s="31">
        <v>6</v>
      </c>
      <c r="G166" s="31">
        <v>3</v>
      </c>
      <c r="H166" s="31" t="s">
        <v>136</v>
      </c>
      <c r="I166" s="5" t="s">
        <v>3640</v>
      </c>
      <c r="J166" s="31"/>
      <c r="K166" s="31"/>
      <c r="L166" s="345"/>
      <c r="M166" s="343"/>
      <c r="N166" s="343"/>
      <c r="O166" s="345"/>
      <c r="P166" s="344"/>
      <c r="Q166" s="344">
        <v>0</v>
      </c>
      <c r="R166" s="344" t="s">
        <v>153</v>
      </c>
      <c r="S166" s="31">
        <v>1030109</v>
      </c>
      <c r="T166" s="353"/>
      <c r="U166" s="354"/>
      <c r="V166" s="344" t="s">
        <v>342</v>
      </c>
      <c r="W166" s="57" t="s">
        <v>3948</v>
      </c>
      <c r="X166" s="57" t="s">
        <v>3948</v>
      </c>
      <c r="Y166" s="344"/>
      <c r="Z166" s="344"/>
      <c r="AA166" s="344"/>
      <c r="AB166" s="344"/>
      <c r="AC166" s="31"/>
      <c r="AD166" s="31"/>
      <c r="AE166" s="31">
        <v>0</v>
      </c>
      <c r="AF166" s="31">
        <v>0</v>
      </c>
      <c r="AG166" s="31">
        <v>0</v>
      </c>
      <c r="AH166" s="31"/>
      <c r="AI166" s="31">
        <v>0</v>
      </c>
      <c r="AJ166" s="31">
        <v>0</v>
      </c>
      <c r="AK166" s="359"/>
      <c r="AL166" s="359"/>
      <c r="AM166" s="359"/>
      <c r="AN166" s="31"/>
      <c r="AO166" s="31"/>
      <c r="AP166" s="31"/>
      <c r="AQ166" s="31" t="s">
        <v>755</v>
      </c>
      <c r="AR166" s="363"/>
    </row>
    <row r="167" spans="1:44" ht="15" customHeight="1">
      <c r="A167" s="31">
        <v>1030210</v>
      </c>
      <c r="B167" s="5" t="s">
        <v>3638</v>
      </c>
      <c r="C167" s="224" t="s">
        <v>3949</v>
      </c>
      <c r="D167" s="31" t="s">
        <v>81</v>
      </c>
      <c r="E167" s="31" t="s">
        <v>655</v>
      </c>
      <c r="F167" s="31">
        <v>7</v>
      </c>
      <c r="G167" s="31">
        <v>3</v>
      </c>
      <c r="H167" s="31" t="s">
        <v>136</v>
      </c>
      <c r="I167" s="5" t="s">
        <v>3640</v>
      </c>
      <c r="J167" s="31"/>
      <c r="K167" s="31"/>
      <c r="L167" s="342"/>
      <c r="M167" s="343"/>
      <c r="N167" s="343"/>
      <c r="O167" s="342"/>
      <c r="P167" s="344"/>
      <c r="Q167" s="344">
        <v>0</v>
      </c>
      <c r="R167" s="344" t="s">
        <v>153</v>
      </c>
      <c r="S167" s="31">
        <v>1030110</v>
      </c>
      <c r="T167" s="353"/>
      <c r="U167" s="354"/>
      <c r="V167" s="344" t="s">
        <v>342</v>
      </c>
      <c r="W167" s="57" t="s">
        <v>3950</v>
      </c>
      <c r="X167" s="57" t="s">
        <v>3950</v>
      </c>
      <c r="Y167" s="344"/>
      <c r="Z167" s="344"/>
      <c r="AA167" s="344"/>
      <c r="AB167" s="344"/>
      <c r="AC167" s="31"/>
      <c r="AD167" s="31"/>
      <c r="AE167" s="31">
        <v>0</v>
      </c>
      <c r="AF167" s="31">
        <v>0</v>
      </c>
      <c r="AG167" s="31">
        <v>0</v>
      </c>
      <c r="AH167" s="31"/>
      <c r="AI167" s="31">
        <v>0</v>
      </c>
      <c r="AJ167" s="31">
        <v>0</v>
      </c>
      <c r="AK167" s="359"/>
      <c r="AL167" s="359"/>
      <c r="AM167" s="359"/>
      <c r="AN167" s="31"/>
      <c r="AO167" s="31"/>
      <c r="AP167" s="31"/>
      <c r="AQ167" s="31" t="s">
        <v>758</v>
      </c>
      <c r="AR167" s="363"/>
    </row>
    <row r="168" spans="1:44" ht="15" customHeight="1">
      <c r="A168" s="3">
        <v>1030211</v>
      </c>
      <c r="B168" s="5" t="s">
        <v>3638</v>
      </c>
      <c r="C168" s="224" t="s">
        <v>3951</v>
      </c>
      <c r="D168" s="3" t="s">
        <v>81</v>
      </c>
      <c r="E168" s="3" t="s">
        <v>655</v>
      </c>
      <c r="F168" s="3">
        <v>8</v>
      </c>
      <c r="G168" s="3">
        <v>3</v>
      </c>
      <c r="H168" s="3" t="s">
        <v>136</v>
      </c>
      <c r="I168" s="5" t="s">
        <v>3640</v>
      </c>
      <c r="J168" s="3"/>
      <c r="K168" s="3"/>
      <c r="L168" s="236"/>
      <c r="M168" s="99"/>
      <c r="N168" s="99"/>
      <c r="O168" s="236"/>
      <c r="P168" s="22"/>
      <c r="Q168" s="22">
        <v>0</v>
      </c>
      <c r="R168" s="22" t="s">
        <v>153</v>
      </c>
      <c r="S168" s="3"/>
      <c r="T168" s="260"/>
      <c r="U168" s="261"/>
      <c r="V168" s="22"/>
      <c r="W168" s="57" t="s">
        <v>3665</v>
      </c>
      <c r="X168" s="57" t="s">
        <v>3665</v>
      </c>
      <c r="Y168" s="22"/>
      <c r="Z168" s="22"/>
      <c r="AA168" s="22"/>
      <c r="AB168" s="22" t="s">
        <v>114</v>
      </c>
      <c r="AC168" s="3"/>
      <c r="AD168" s="3"/>
      <c r="AE168" s="3">
        <v>0</v>
      </c>
      <c r="AF168" s="3">
        <v>0</v>
      </c>
      <c r="AG168" s="3">
        <v>0</v>
      </c>
      <c r="AH168" s="3"/>
      <c r="AI168" s="3">
        <v>0</v>
      </c>
      <c r="AJ168" s="3">
        <v>0</v>
      </c>
      <c r="AK168" s="3">
        <v>0</v>
      </c>
      <c r="AL168" s="3"/>
      <c r="AM168" s="3"/>
      <c r="AN168" s="3"/>
      <c r="AO168" s="3"/>
      <c r="AP168" s="3"/>
      <c r="AQ168" s="3" t="s">
        <v>760</v>
      </c>
      <c r="AR168" s="281"/>
    </row>
    <row r="169" spans="1:44" ht="15" customHeight="1">
      <c r="A169" s="3">
        <v>1030212</v>
      </c>
      <c r="B169" s="5" t="s">
        <v>3638</v>
      </c>
      <c r="C169" s="224" t="s">
        <v>3952</v>
      </c>
      <c r="D169" s="3" t="s">
        <v>81</v>
      </c>
      <c r="E169" s="3" t="s">
        <v>655</v>
      </c>
      <c r="F169" s="3">
        <v>9</v>
      </c>
      <c r="G169" s="3">
        <v>3</v>
      </c>
      <c r="H169" s="3" t="s">
        <v>136</v>
      </c>
      <c r="I169" s="5" t="s">
        <v>3640</v>
      </c>
      <c r="J169" s="3"/>
      <c r="K169" s="3"/>
      <c r="L169" s="236"/>
      <c r="M169" s="99"/>
      <c r="N169" s="99"/>
      <c r="O169" s="236"/>
      <c r="P169" s="22"/>
      <c r="Q169" s="22">
        <v>0</v>
      </c>
      <c r="R169" s="22" t="s">
        <v>153</v>
      </c>
      <c r="S169" s="3"/>
      <c r="T169" s="260"/>
      <c r="U169" s="261"/>
      <c r="V169" s="22"/>
      <c r="W169" s="57" t="s">
        <v>3953</v>
      </c>
      <c r="X169" s="57" t="s">
        <v>3953</v>
      </c>
      <c r="Y169" s="22"/>
      <c r="Z169" s="22"/>
      <c r="AA169" s="22"/>
      <c r="AB169" s="22" t="s">
        <v>114</v>
      </c>
      <c r="AC169" s="3"/>
      <c r="AD169" s="3"/>
      <c r="AE169" s="3">
        <v>0</v>
      </c>
      <c r="AF169" s="3">
        <v>0</v>
      </c>
      <c r="AG169" s="3">
        <v>0</v>
      </c>
      <c r="AH169" s="3"/>
      <c r="AI169" s="3">
        <v>0</v>
      </c>
      <c r="AJ169" s="3">
        <v>0</v>
      </c>
      <c r="AK169" s="3">
        <v>0</v>
      </c>
      <c r="AL169" s="3"/>
      <c r="AM169" s="3"/>
      <c r="AN169" s="3"/>
      <c r="AO169" s="3"/>
      <c r="AP169" s="3"/>
      <c r="AQ169" s="282" t="str">
        <f>"tricks/"&amp;A169</f>
        <v>tricks/1030212</v>
      </c>
    </row>
    <row r="170" spans="1:44" ht="15" customHeight="1">
      <c r="A170" s="3">
        <v>1030213</v>
      </c>
      <c r="B170" s="5" t="s">
        <v>3638</v>
      </c>
      <c r="C170" s="224" t="s">
        <v>3954</v>
      </c>
      <c r="D170" s="3" t="s">
        <v>81</v>
      </c>
      <c r="E170" s="3" t="s">
        <v>655</v>
      </c>
      <c r="F170" s="3">
        <v>10</v>
      </c>
      <c r="G170" s="3">
        <v>3</v>
      </c>
      <c r="H170" s="3" t="s">
        <v>136</v>
      </c>
      <c r="I170" s="5" t="s">
        <v>3640</v>
      </c>
      <c r="J170" s="3"/>
      <c r="K170" s="3"/>
      <c r="L170" s="236"/>
      <c r="M170" s="99"/>
      <c r="N170" s="99"/>
      <c r="O170" s="236"/>
      <c r="P170" s="22"/>
      <c r="Q170" s="22">
        <v>0</v>
      </c>
      <c r="R170" s="22" t="s">
        <v>153</v>
      </c>
      <c r="S170" s="3"/>
      <c r="T170" s="260"/>
      <c r="U170" s="261"/>
      <c r="V170" s="22"/>
      <c r="W170" s="57" t="s">
        <v>3955</v>
      </c>
      <c r="X170" s="57" t="s">
        <v>3955</v>
      </c>
      <c r="Y170" s="22"/>
      <c r="Z170" s="22"/>
      <c r="AA170" s="22"/>
      <c r="AB170" s="22" t="s">
        <v>114</v>
      </c>
      <c r="AC170" s="3"/>
      <c r="AD170" s="3"/>
      <c r="AE170" s="3">
        <v>0</v>
      </c>
      <c r="AF170" s="3">
        <v>0</v>
      </c>
      <c r="AG170" s="3">
        <v>0</v>
      </c>
      <c r="AH170" s="3"/>
      <c r="AI170" s="3">
        <v>0</v>
      </c>
      <c r="AJ170" s="3">
        <v>0</v>
      </c>
      <c r="AK170" s="3">
        <v>0</v>
      </c>
      <c r="AL170" s="3"/>
      <c r="AM170" s="3"/>
      <c r="AN170" s="3"/>
      <c r="AO170" s="3"/>
      <c r="AP170" s="3"/>
      <c r="AQ170" s="282" t="str">
        <f>"tricks/"&amp;A170</f>
        <v>tricks/1030213</v>
      </c>
    </row>
    <row r="171" spans="1:44" ht="15" customHeight="1">
      <c r="A171" s="5">
        <v>1040001</v>
      </c>
      <c r="B171" s="5" t="s">
        <v>3638</v>
      </c>
      <c r="C171" s="224" t="s">
        <v>3956</v>
      </c>
      <c r="D171" s="5" t="s">
        <v>81</v>
      </c>
      <c r="E171" s="5" t="s">
        <v>765</v>
      </c>
      <c r="F171" s="5">
        <v>1</v>
      </c>
      <c r="G171" s="5">
        <v>4</v>
      </c>
      <c r="H171" s="5" t="s">
        <v>82</v>
      </c>
      <c r="I171" s="5" t="s">
        <v>3640</v>
      </c>
      <c r="J171" s="5"/>
      <c r="K171" s="5">
        <v>4</v>
      </c>
      <c r="L171" s="346" t="s">
        <v>767</v>
      </c>
      <c r="M171" s="231"/>
      <c r="N171" s="231"/>
      <c r="O171" s="5"/>
      <c r="P171" s="232">
        <v>5</v>
      </c>
      <c r="Q171" s="232">
        <v>0</v>
      </c>
      <c r="R171" s="232" t="s">
        <v>85</v>
      </c>
      <c r="S171" s="5">
        <v>1040001</v>
      </c>
      <c r="T171" s="256" t="s">
        <v>768</v>
      </c>
      <c r="U171" s="257" t="s">
        <v>769</v>
      </c>
      <c r="V171" s="232" t="s">
        <v>88</v>
      </c>
      <c r="W171" s="57" t="s">
        <v>3957</v>
      </c>
      <c r="X171" s="57" t="s">
        <v>3957</v>
      </c>
      <c r="Y171" s="232"/>
      <c r="Z171" s="232"/>
      <c r="AA171" s="232">
        <v>1</v>
      </c>
      <c r="AB171" s="232" t="s">
        <v>90</v>
      </c>
      <c r="AC171" s="5"/>
      <c r="AD171" s="5"/>
      <c r="AE171" s="5">
        <v>2</v>
      </c>
      <c r="AF171" s="5">
        <v>0</v>
      </c>
      <c r="AG171" s="5">
        <v>4</v>
      </c>
      <c r="AH171" s="5"/>
      <c r="AI171" s="5">
        <v>45</v>
      </c>
      <c r="AJ171" s="5">
        <v>32</v>
      </c>
      <c r="AK171" s="270"/>
      <c r="AL171" s="270"/>
      <c r="AM171" s="270"/>
      <c r="AN171" s="271" t="s">
        <v>771</v>
      </c>
      <c r="AO171" s="271"/>
      <c r="AP171" s="271"/>
      <c r="AQ171" s="5" t="s">
        <v>772</v>
      </c>
      <c r="AR171" s="279">
        <v>253</v>
      </c>
    </row>
    <row r="172" spans="1:44" ht="15" customHeight="1">
      <c r="A172" s="5">
        <v>1040002</v>
      </c>
      <c r="B172" s="5" t="s">
        <v>3638</v>
      </c>
      <c r="C172" s="224" t="s">
        <v>3958</v>
      </c>
      <c r="D172" s="5" t="s">
        <v>81</v>
      </c>
      <c r="E172" s="5" t="s">
        <v>765</v>
      </c>
      <c r="F172" s="5">
        <v>1</v>
      </c>
      <c r="G172" s="5">
        <v>4</v>
      </c>
      <c r="H172" s="5" t="s">
        <v>82</v>
      </c>
      <c r="I172" s="5" t="s">
        <v>3640</v>
      </c>
      <c r="J172" s="5"/>
      <c r="K172" s="5">
        <v>5</v>
      </c>
      <c r="L172" s="346" t="s">
        <v>774</v>
      </c>
      <c r="M172" s="231"/>
      <c r="N172" s="231"/>
      <c r="O172" s="5"/>
      <c r="P172" s="232">
        <v>1</v>
      </c>
      <c r="Q172" s="232">
        <v>0</v>
      </c>
      <c r="R172" s="232" t="s">
        <v>85</v>
      </c>
      <c r="S172" s="5">
        <v>1040002</v>
      </c>
      <c r="T172" s="256" t="s">
        <v>768</v>
      </c>
      <c r="U172" s="257" t="s">
        <v>769</v>
      </c>
      <c r="V172" s="232" t="s">
        <v>88</v>
      </c>
      <c r="W172" s="57" t="s">
        <v>3959</v>
      </c>
      <c r="X172" s="57" t="s">
        <v>3959</v>
      </c>
      <c r="Y172" s="232"/>
      <c r="Z172" s="232"/>
      <c r="AA172" s="232">
        <v>1</v>
      </c>
      <c r="AB172" s="232" t="s">
        <v>90</v>
      </c>
      <c r="AC172" s="5"/>
      <c r="AD172" s="5"/>
      <c r="AE172" s="5">
        <v>2</v>
      </c>
      <c r="AF172" s="5">
        <v>0</v>
      </c>
      <c r="AG172" s="5">
        <v>4</v>
      </c>
      <c r="AH172" s="5"/>
      <c r="AI172" s="5">
        <v>58</v>
      </c>
      <c r="AJ172" s="5">
        <v>39</v>
      </c>
      <c r="AK172" s="270"/>
      <c r="AL172" s="270"/>
      <c r="AM172" s="270"/>
      <c r="AN172" s="271" t="s">
        <v>776</v>
      </c>
      <c r="AO172" s="271"/>
      <c r="AP172" s="271"/>
      <c r="AQ172" s="5" t="s">
        <v>777</v>
      </c>
      <c r="AR172" s="279">
        <v>254</v>
      </c>
    </row>
    <row r="173" spans="1:44" ht="15" customHeight="1">
      <c r="A173" s="32">
        <v>1040003</v>
      </c>
      <c r="B173" s="5" t="s">
        <v>3638</v>
      </c>
      <c r="C173" s="224" t="s">
        <v>3960</v>
      </c>
      <c r="D173" s="32" t="s">
        <v>81</v>
      </c>
      <c r="E173" s="32" t="s">
        <v>765</v>
      </c>
      <c r="F173" s="32">
        <v>1</v>
      </c>
      <c r="G173" s="32">
        <v>4</v>
      </c>
      <c r="H173" s="32" t="s">
        <v>82</v>
      </c>
      <c r="I173" s="5" t="s">
        <v>3640</v>
      </c>
      <c r="J173" s="32"/>
      <c r="K173" s="32"/>
      <c r="L173" s="347" t="s">
        <v>779</v>
      </c>
      <c r="M173" s="348"/>
      <c r="N173" s="348"/>
      <c r="O173" s="32"/>
      <c r="P173" s="349"/>
      <c r="Q173" s="349">
        <v>0</v>
      </c>
      <c r="R173" s="349"/>
      <c r="S173" s="32">
        <v>1040003</v>
      </c>
      <c r="T173" s="355" t="s">
        <v>768</v>
      </c>
      <c r="U173" s="356" t="s">
        <v>769</v>
      </c>
      <c r="V173" s="349" t="s">
        <v>88</v>
      </c>
      <c r="W173" s="57" t="s">
        <v>3961</v>
      </c>
      <c r="X173" s="57" t="s">
        <v>3961</v>
      </c>
      <c r="Y173" s="349"/>
      <c r="Z173" s="349"/>
      <c r="AA173" s="349"/>
      <c r="AB173" s="349"/>
      <c r="AC173" s="32"/>
      <c r="AD173" s="32"/>
      <c r="AE173" s="32">
        <v>2</v>
      </c>
      <c r="AF173" s="32"/>
      <c r="AG173" s="32"/>
      <c r="AH173" s="32"/>
      <c r="AI173" s="32"/>
      <c r="AJ173" s="32"/>
      <c r="AK173" s="360"/>
      <c r="AL173" s="360"/>
      <c r="AM173" s="360"/>
      <c r="AN173" s="361"/>
      <c r="AO173" s="361"/>
      <c r="AP173" s="361"/>
      <c r="AQ173" s="32" t="s">
        <v>781</v>
      </c>
      <c r="AR173" s="364"/>
    </row>
    <row r="174" spans="1:44" ht="15" customHeight="1">
      <c r="A174" s="5">
        <v>1040101</v>
      </c>
      <c r="B174" s="5" t="s">
        <v>3638</v>
      </c>
      <c r="C174" s="224" t="s">
        <v>3962</v>
      </c>
      <c r="D174" s="5" t="s">
        <v>81</v>
      </c>
      <c r="E174" s="5" t="s">
        <v>765</v>
      </c>
      <c r="F174" s="5">
        <v>1</v>
      </c>
      <c r="G174" s="5">
        <v>4</v>
      </c>
      <c r="H174" s="5" t="s">
        <v>82</v>
      </c>
      <c r="I174" s="5" t="s">
        <v>3640</v>
      </c>
      <c r="J174" s="5"/>
      <c r="K174" s="5">
        <v>1</v>
      </c>
      <c r="L174" s="230" t="s">
        <v>784</v>
      </c>
      <c r="M174" s="231"/>
      <c r="N174" s="231"/>
      <c r="O174" s="5"/>
      <c r="P174" s="232">
        <v>2</v>
      </c>
      <c r="Q174" s="232">
        <v>0</v>
      </c>
      <c r="R174" s="232" t="s">
        <v>85</v>
      </c>
      <c r="S174" s="5" t="s">
        <v>785</v>
      </c>
      <c r="T174" s="256" t="s">
        <v>786</v>
      </c>
      <c r="U174" s="257" t="s">
        <v>787</v>
      </c>
      <c r="V174" s="232" t="s">
        <v>468</v>
      </c>
      <c r="W174" s="57" t="s">
        <v>3963</v>
      </c>
      <c r="X174" s="57" t="s">
        <v>3963</v>
      </c>
      <c r="Y174" s="232"/>
      <c r="Z174" s="232"/>
      <c r="AA174" s="232">
        <v>1</v>
      </c>
      <c r="AB174" s="232" t="s">
        <v>90</v>
      </c>
      <c r="AC174" s="5"/>
      <c r="AD174" s="5"/>
      <c r="AE174" s="5">
        <v>1</v>
      </c>
      <c r="AF174" s="5">
        <v>2</v>
      </c>
      <c r="AG174" s="5">
        <v>7</v>
      </c>
      <c r="AH174" s="5"/>
      <c r="AI174" s="5">
        <v>40</v>
      </c>
      <c r="AJ174" s="5">
        <v>26</v>
      </c>
      <c r="AK174" s="270"/>
      <c r="AL174" s="270"/>
      <c r="AM174" s="270"/>
      <c r="AN174" s="271" t="s">
        <v>789</v>
      </c>
      <c r="AO174" s="271"/>
      <c r="AP174" s="271"/>
      <c r="AQ174" s="5" t="s">
        <v>790</v>
      </c>
      <c r="AR174" s="279">
        <v>246</v>
      </c>
    </row>
    <row r="175" spans="1:44" ht="15" customHeight="1">
      <c r="A175" s="5">
        <v>1040102</v>
      </c>
      <c r="B175" s="5" t="s">
        <v>3638</v>
      </c>
      <c r="C175" s="224" t="s">
        <v>3964</v>
      </c>
      <c r="D175" s="5" t="s">
        <v>81</v>
      </c>
      <c r="E175" s="5" t="s">
        <v>765</v>
      </c>
      <c r="F175" s="5">
        <v>1</v>
      </c>
      <c r="G175" s="5">
        <v>4</v>
      </c>
      <c r="H175" s="5" t="s">
        <v>136</v>
      </c>
      <c r="I175" s="5" t="s">
        <v>3640</v>
      </c>
      <c r="J175" s="5"/>
      <c r="K175" s="5"/>
      <c r="L175" s="346" t="s">
        <v>792</v>
      </c>
      <c r="M175" s="231"/>
      <c r="N175" s="231"/>
      <c r="O175" s="5"/>
      <c r="P175" s="232">
        <v>3</v>
      </c>
      <c r="Q175" s="232">
        <v>0</v>
      </c>
      <c r="R175" s="232" t="s">
        <v>153</v>
      </c>
      <c r="S175" s="5">
        <v>1040102</v>
      </c>
      <c r="T175" s="256"/>
      <c r="U175" s="257"/>
      <c r="V175" s="232" t="s">
        <v>468</v>
      </c>
      <c r="W175" s="57" t="s">
        <v>3965</v>
      </c>
      <c r="X175" s="57" t="s">
        <v>3965</v>
      </c>
      <c r="Y175" s="232"/>
      <c r="Z175" s="232"/>
      <c r="AA175" s="232">
        <v>1</v>
      </c>
      <c r="AB175" s="232"/>
      <c r="AC175" s="5"/>
      <c r="AD175" s="5"/>
      <c r="AE175" s="5">
        <v>0</v>
      </c>
      <c r="AF175" s="5">
        <v>0</v>
      </c>
      <c r="AG175" s="5">
        <v>0</v>
      </c>
      <c r="AH175" s="5"/>
      <c r="AI175" s="5">
        <v>0</v>
      </c>
      <c r="AJ175" s="5">
        <v>0</v>
      </c>
      <c r="AK175" s="270"/>
      <c r="AL175" s="270"/>
      <c r="AM175" s="270"/>
      <c r="AN175" s="5"/>
      <c r="AO175" s="271"/>
      <c r="AP175" s="271"/>
      <c r="AQ175" s="5" t="s">
        <v>794</v>
      </c>
      <c r="AR175" s="279"/>
    </row>
    <row r="176" spans="1:44" ht="15" customHeight="1">
      <c r="A176" s="5">
        <v>1040103</v>
      </c>
      <c r="B176" s="5" t="s">
        <v>3638</v>
      </c>
      <c r="C176" s="224" t="s">
        <v>3966</v>
      </c>
      <c r="D176" s="5" t="s">
        <v>81</v>
      </c>
      <c r="E176" s="5" t="s">
        <v>765</v>
      </c>
      <c r="F176" s="5">
        <v>1</v>
      </c>
      <c r="G176" s="5">
        <v>4</v>
      </c>
      <c r="H176" s="5" t="s">
        <v>82</v>
      </c>
      <c r="I176" s="5" t="s">
        <v>3640</v>
      </c>
      <c r="J176" s="5"/>
      <c r="K176" s="5">
        <v>2</v>
      </c>
      <c r="L176" s="230" t="s">
        <v>796</v>
      </c>
      <c r="M176" s="231"/>
      <c r="N176" s="231"/>
      <c r="O176" s="5"/>
      <c r="P176" s="232">
        <v>1</v>
      </c>
      <c r="Q176" s="232">
        <v>0</v>
      </c>
      <c r="R176" s="232" t="s">
        <v>85</v>
      </c>
      <c r="S176" s="5">
        <v>1040103</v>
      </c>
      <c r="T176" s="256" t="s">
        <v>797</v>
      </c>
      <c r="U176" s="257" t="s">
        <v>787</v>
      </c>
      <c r="V176" s="232" t="s">
        <v>468</v>
      </c>
      <c r="W176" s="57" t="s">
        <v>3967</v>
      </c>
      <c r="X176" s="57" t="s">
        <v>3967</v>
      </c>
      <c r="Y176" s="232"/>
      <c r="Z176" s="232"/>
      <c r="AA176" s="232">
        <v>1</v>
      </c>
      <c r="AB176" s="232" t="s">
        <v>90</v>
      </c>
      <c r="AC176" s="5"/>
      <c r="AD176" s="5"/>
      <c r="AE176" s="5">
        <v>1</v>
      </c>
      <c r="AF176" s="5">
        <v>1</v>
      </c>
      <c r="AG176" s="5">
        <v>6</v>
      </c>
      <c r="AH176" s="5"/>
      <c r="AI176" s="5">
        <v>35</v>
      </c>
      <c r="AJ176" s="5">
        <v>19</v>
      </c>
      <c r="AK176" s="270"/>
      <c r="AL176" s="270"/>
      <c r="AM176" s="270"/>
      <c r="AN176" s="271" t="s">
        <v>799</v>
      </c>
      <c r="AO176" s="271"/>
      <c r="AP176" s="271"/>
      <c r="AQ176" s="5" t="s">
        <v>800</v>
      </c>
      <c r="AR176" s="279">
        <v>245</v>
      </c>
    </row>
    <row r="177" spans="1:44" ht="15" customHeight="1">
      <c r="A177" s="5">
        <v>1040104</v>
      </c>
      <c r="B177" s="5" t="s">
        <v>3638</v>
      </c>
      <c r="C177" s="224" t="s">
        <v>3968</v>
      </c>
      <c r="D177" s="5" t="s">
        <v>81</v>
      </c>
      <c r="E177" s="5" t="s">
        <v>765</v>
      </c>
      <c r="F177" s="5">
        <v>2</v>
      </c>
      <c r="G177" s="5">
        <v>4</v>
      </c>
      <c r="H177" s="5" t="s">
        <v>136</v>
      </c>
      <c r="I177" s="5" t="s">
        <v>3640</v>
      </c>
      <c r="J177" s="5"/>
      <c r="K177" s="5"/>
      <c r="L177" s="346" t="s">
        <v>802</v>
      </c>
      <c r="M177" s="5"/>
      <c r="N177" s="5"/>
      <c r="O177" s="5"/>
      <c r="P177" s="5"/>
      <c r="Q177" s="232">
        <v>0</v>
      </c>
      <c r="R177" s="5" t="s">
        <v>153</v>
      </c>
      <c r="S177" s="5">
        <v>1040104</v>
      </c>
      <c r="T177" s="256"/>
      <c r="U177" s="257"/>
      <c r="V177" s="232" t="s">
        <v>468</v>
      </c>
      <c r="W177" s="57" t="s">
        <v>3969</v>
      </c>
      <c r="X177" s="57" t="s">
        <v>3969</v>
      </c>
      <c r="Y177" s="232"/>
      <c r="Z177" s="232"/>
      <c r="AA177" s="232">
        <v>2</v>
      </c>
      <c r="AB177" s="232" t="s">
        <v>114</v>
      </c>
      <c r="AC177" s="5"/>
      <c r="AD177" s="5"/>
      <c r="AE177" s="5">
        <v>0</v>
      </c>
      <c r="AF177" s="5">
        <v>0</v>
      </c>
      <c r="AG177" s="5">
        <v>0</v>
      </c>
      <c r="AH177" s="5"/>
      <c r="AI177" s="5">
        <v>0</v>
      </c>
      <c r="AJ177" s="5">
        <v>0</v>
      </c>
      <c r="AK177" s="270"/>
      <c r="AL177" s="270"/>
      <c r="AM177" s="270"/>
      <c r="AN177" s="271"/>
      <c r="AO177" s="271"/>
      <c r="AP177" s="271"/>
      <c r="AQ177" s="5" t="s">
        <v>804</v>
      </c>
      <c r="AR177" s="279"/>
    </row>
    <row r="178" spans="1:44" ht="15" customHeight="1">
      <c r="A178" s="5">
        <v>1040105</v>
      </c>
      <c r="B178" s="5" t="s">
        <v>3638</v>
      </c>
      <c r="C178" s="224" t="s">
        <v>3970</v>
      </c>
      <c r="D178" s="5" t="s">
        <v>81</v>
      </c>
      <c r="E178" s="5" t="s">
        <v>765</v>
      </c>
      <c r="F178" s="5">
        <v>1</v>
      </c>
      <c r="G178" s="5">
        <v>4</v>
      </c>
      <c r="H178" s="5" t="s">
        <v>82</v>
      </c>
      <c r="I178" s="5" t="s">
        <v>3640</v>
      </c>
      <c r="J178" s="5"/>
      <c r="K178" s="5">
        <v>3</v>
      </c>
      <c r="L178" s="230" t="s">
        <v>806</v>
      </c>
      <c r="M178" s="231"/>
      <c r="N178" s="231"/>
      <c r="O178" s="5"/>
      <c r="P178" s="232">
        <v>2</v>
      </c>
      <c r="Q178" s="232">
        <v>0</v>
      </c>
      <c r="R178" s="232" t="s">
        <v>85</v>
      </c>
      <c r="S178" s="5">
        <v>1040105</v>
      </c>
      <c r="T178" s="256" t="s">
        <v>807</v>
      </c>
      <c r="U178" s="257" t="s">
        <v>808</v>
      </c>
      <c r="V178" s="232" t="s">
        <v>468</v>
      </c>
      <c r="W178" s="57" t="s">
        <v>3971</v>
      </c>
      <c r="X178" s="57" t="s">
        <v>3971</v>
      </c>
      <c r="Y178" s="232"/>
      <c r="Z178" s="232"/>
      <c r="AA178" s="232">
        <v>2</v>
      </c>
      <c r="AB178" s="232" t="s">
        <v>90</v>
      </c>
      <c r="AC178" s="5"/>
      <c r="AD178" s="5"/>
      <c r="AE178" s="5">
        <v>1</v>
      </c>
      <c r="AF178" s="5">
        <v>1</v>
      </c>
      <c r="AG178" s="5">
        <v>5</v>
      </c>
      <c r="AH178" s="5"/>
      <c r="AI178" s="5">
        <v>35</v>
      </c>
      <c r="AJ178" s="5">
        <v>19</v>
      </c>
      <c r="AK178" s="270"/>
      <c r="AL178" s="270"/>
      <c r="AM178" s="270"/>
      <c r="AN178" s="271" t="s">
        <v>810</v>
      </c>
      <c r="AO178" s="271"/>
      <c r="AP178" s="271"/>
      <c r="AQ178" s="5" t="s">
        <v>811</v>
      </c>
      <c r="AR178" s="279">
        <v>245</v>
      </c>
    </row>
    <row r="179" spans="1:44" ht="15" customHeight="1">
      <c r="A179" s="5">
        <v>1040106</v>
      </c>
      <c r="B179" s="5" t="s">
        <v>3638</v>
      </c>
      <c r="C179" s="224" t="s">
        <v>3972</v>
      </c>
      <c r="D179" s="5" t="s">
        <v>81</v>
      </c>
      <c r="E179" s="5" t="s">
        <v>765</v>
      </c>
      <c r="F179" s="5">
        <v>3</v>
      </c>
      <c r="G179" s="5">
        <v>4</v>
      </c>
      <c r="H179" s="5" t="s">
        <v>136</v>
      </c>
      <c r="I179" s="5" t="s">
        <v>3640</v>
      </c>
      <c r="J179" s="5"/>
      <c r="K179" s="5"/>
      <c r="L179" s="346" t="s">
        <v>813</v>
      </c>
      <c r="M179" s="231"/>
      <c r="N179" s="231"/>
      <c r="O179" s="5"/>
      <c r="P179" s="232"/>
      <c r="Q179" s="232">
        <v>0</v>
      </c>
      <c r="R179" s="232" t="s">
        <v>153</v>
      </c>
      <c r="S179" s="5">
        <v>1040106</v>
      </c>
      <c r="T179" s="256"/>
      <c r="U179" s="257"/>
      <c r="V179" s="232" t="s">
        <v>468</v>
      </c>
      <c r="W179" s="57" t="s">
        <v>3973</v>
      </c>
      <c r="X179" s="57" t="s">
        <v>3973</v>
      </c>
      <c r="Y179" s="232"/>
      <c r="Z179" s="232"/>
      <c r="AA179" s="232"/>
      <c r="AB179" s="232" t="s">
        <v>114</v>
      </c>
      <c r="AC179" s="5"/>
      <c r="AD179" s="5"/>
      <c r="AE179" s="5">
        <v>0</v>
      </c>
      <c r="AF179" s="5">
        <v>0</v>
      </c>
      <c r="AG179" s="5">
        <v>10</v>
      </c>
      <c r="AH179" s="5"/>
      <c r="AI179" s="5">
        <v>0</v>
      </c>
      <c r="AJ179" s="5">
        <v>0</v>
      </c>
      <c r="AK179" s="270"/>
      <c r="AL179" s="270"/>
      <c r="AM179" s="270"/>
      <c r="AN179" s="5"/>
      <c r="AO179" s="5"/>
      <c r="AP179" s="5"/>
      <c r="AQ179" s="5" t="s">
        <v>815</v>
      </c>
      <c r="AR179" s="279"/>
    </row>
    <row r="180" spans="1:44" ht="15" customHeight="1">
      <c r="A180" s="5">
        <v>1040107</v>
      </c>
      <c r="B180" s="5" t="s">
        <v>3638</v>
      </c>
      <c r="C180" s="224" t="s">
        <v>3974</v>
      </c>
      <c r="D180" s="5" t="s">
        <v>81</v>
      </c>
      <c r="E180" s="5" t="s">
        <v>765</v>
      </c>
      <c r="F180" s="5">
        <v>4</v>
      </c>
      <c r="G180" s="5">
        <v>4</v>
      </c>
      <c r="H180" s="5" t="s">
        <v>136</v>
      </c>
      <c r="I180" s="5" t="s">
        <v>3640</v>
      </c>
      <c r="J180" s="5"/>
      <c r="K180" s="5"/>
      <c r="L180" s="346" t="s">
        <v>817</v>
      </c>
      <c r="M180" s="231"/>
      <c r="N180" s="231"/>
      <c r="O180" s="5"/>
      <c r="P180" s="232"/>
      <c r="Q180" s="232">
        <v>0</v>
      </c>
      <c r="R180" s="232" t="s">
        <v>153</v>
      </c>
      <c r="S180" s="5">
        <v>1040107</v>
      </c>
      <c r="T180" s="256"/>
      <c r="U180" s="257"/>
      <c r="V180" s="232" t="s">
        <v>468</v>
      </c>
      <c r="W180" s="57" t="s">
        <v>3975</v>
      </c>
      <c r="X180" s="57" t="s">
        <v>3975</v>
      </c>
      <c r="Y180" s="232"/>
      <c r="Z180" s="232"/>
      <c r="AA180" s="232"/>
      <c r="AB180" s="232" t="s">
        <v>90</v>
      </c>
      <c r="AC180" s="5"/>
      <c r="AD180" s="5"/>
      <c r="AE180" s="5">
        <v>0</v>
      </c>
      <c r="AF180" s="5">
        <v>0</v>
      </c>
      <c r="AG180" s="5">
        <v>0</v>
      </c>
      <c r="AH180" s="5"/>
      <c r="AI180" s="5">
        <v>0</v>
      </c>
      <c r="AJ180" s="5">
        <v>0</v>
      </c>
      <c r="AK180" s="270"/>
      <c r="AL180" s="270"/>
      <c r="AM180" s="270"/>
      <c r="AN180" s="5"/>
      <c r="AO180" s="5"/>
      <c r="AP180" s="5"/>
      <c r="AQ180" s="5" t="s">
        <v>819</v>
      </c>
      <c r="AR180" s="279"/>
    </row>
    <row r="181" spans="1:44" ht="15" customHeight="1">
      <c r="A181" s="5">
        <v>1040108</v>
      </c>
      <c r="B181" s="5" t="s">
        <v>3638</v>
      </c>
      <c r="C181" s="224" t="s">
        <v>3976</v>
      </c>
      <c r="D181" s="5" t="s">
        <v>81</v>
      </c>
      <c r="E181" s="5" t="s">
        <v>765</v>
      </c>
      <c r="F181" s="5">
        <v>5</v>
      </c>
      <c r="G181" s="5">
        <v>4</v>
      </c>
      <c r="H181" s="5" t="s">
        <v>136</v>
      </c>
      <c r="I181" s="5" t="s">
        <v>3640</v>
      </c>
      <c r="J181" s="5"/>
      <c r="K181" s="5"/>
      <c r="L181" s="346" t="s">
        <v>821</v>
      </c>
      <c r="M181" s="231"/>
      <c r="N181" s="231"/>
      <c r="O181" s="5"/>
      <c r="P181" s="232"/>
      <c r="Q181" s="232">
        <v>0</v>
      </c>
      <c r="R181" s="232" t="s">
        <v>153</v>
      </c>
      <c r="S181" s="5">
        <v>1040108</v>
      </c>
      <c r="T181" s="256"/>
      <c r="U181" s="257"/>
      <c r="V181" s="232" t="s">
        <v>468</v>
      </c>
      <c r="W181" s="57" t="s">
        <v>3977</v>
      </c>
      <c r="X181" s="57" t="s">
        <v>3977</v>
      </c>
      <c r="Y181" s="232"/>
      <c r="Z181" s="232"/>
      <c r="AA181" s="232"/>
      <c r="AB181" s="232" t="s">
        <v>90</v>
      </c>
      <c r="AC181" s="5"/>
      <c r="AD181" s="5"/>
      <c r="AE181" s="5">
        <v>0</v>
      </c>
      <c r="AF181" s="5">
        <v>0</v>
      </c>
      <c r="AG181" s="5">
        <v>0</v>
      </c>
      <c r="AH181" s="5"/>
      <c r="AI181" s="5">
        <v>0</v>
      </c>
      <c r="AJ181" s="5">
        <v>0</v>
      </c>
      <c r="AK181" s="270"/>
      <c r="AL181" s="270"/>
      <c r="AM181" s="270"/>
      <c r="AN181" s="5"/>
      <c r="AO181" s="5"/>
      <c r="AP181" s="5"/>
      <c r="AQ181" s="5" t="s">
        <v>823</v>
      </c>
      <c r="AR181" s="279"/>
    </row>
    <row r="182" spans="1:44" ht="15" customHeight="1">
      <c r="A182" s="5">
        <v>1040109</v>
      </c>
      <c r="B182" s="5" t="s">
        <v>3638</v>
      </c>
      <c r="C182" s="224" t="s">
        <v>3978</v>
      </c>
      <c r="D182" s="5" t="s">
        <v>81</v>
      </c>
      <c r="E182" s="5" t="s">
        <v>765</v>
      </c>
      <c r="F182" s="5">
        <v>6</v>
      </c>
      <c r="G182" s="5">
        <v>4</v>
      </c>
      <c r="H182" s="5" t="s">
        <v>136</v>
      </c>
      <c r="I182" s="5" t="s">
        <v>3640</v>
      </c>
      <c r="J182" s="5"/>
      <c r="K182" s="5"/>
      <c r="L182" s="346" t="s">
        <v>825</v>
      </c>
      <c r="M182" s="231"/>
      <c r="N182" s="231"/>
      <c r="O182" s="5"/>
      <c r="P182" s="232"/>
      <c r="Q182" s="232">
        <v>0</v>
      </c>
      <c r="R182" s="232" t="s">
        <v>153</v>
      </c>
      <c r="S182" s="5">
        <v>1040109</v>
      </c>
      <c r="T182" s="256"/>
      <c r="U182" s="257"/>
      <c r="V182" s="232" t="s">
        <v>468</v>
      </c>
      <c r="W182" s="57" t="s">
        <v>3979</v>
      </c>
      <c r="X182" s="57" t="s">
        <v>3979</v>
      </c>
      <c r="Y182" s="232"/>
      <c r="Z182" s="232"/>
      <c r="AA182" s="232"/>
      <c r="AB182" s="232"/>
      <c r="AC182" s="5"/>
      <c r="AD182" s="5"/>
      <c r="AE182" s="5">
        <v>0</v>
      </c>
      <c r="AF182" s="5">
        <v>0</v>
      </c>
      <c r="AG182" s="5">
        <v>0</v>
      </c>
      <c r="AH182" s="5"/>
      <c r="AI182" s="5">
        <v>0</v>
      </c>
      <c r="AJ182" s="5">
        <v>0</v>
      </c>
      <c r="AK182" s="270"/>
      <c r="AL182" s="270"/>
      <c r="AM182" s="270"/>
      <c r="AN182" s="5"/>
      <c r="AO182" s="5"/>
      <c r="AP182" s="5"/>
      <c r="AQ182" s="5" t="s">
        <v>827</v>
      </c>
      <c r="AR182" s="279"/>
    </row>
    <row r="183" spans="1:44" ht="15" customHeight="1">
      <c r="A183" s="5">
        <v>1040110</v>
      </c>
      <c r="B183" s="5" t="s">
        <v>3638</v>
      </c>
      <c r="C183" s="224" t="s">
        <v>3949</v>
      </c>
      <c r="D183" s="5" t="s">
        <v>81</v>
      </c>
      <c r="E183" s="5" t="s">
        <v>765</v>
      </c>
      <c r="F183" s="5">
        <v>7</v>
      </c>
      <c r="G183" s="5">
        <v>4</v>
      </c>
      <c r="H183" s="5" t="s">
        <v>136</v>
      </c>
      <c r="I183" s="5" t="s">
        <v>3640</v>
      </c>
      <c r="J183" s="5"/>
      <c r="K183" s="5"/>
      <c r="L183" s="346" t="s">
        <v>828</v>
      </c>
      <c r="M183" s="231"/>
      <c r="N183" s="231"/>
      <c r="O183" s="5"/>
      <c r="P183" s="232"/>
      <c r="Q183" s="232">
        <v>0</v>
      </c>
      <c r="R183" s="232" t="s">
        <v>153</v>
      </c>
      <c r="S183" s="5">
        <v>1040110</v>
      </c>
      <c r="T183" s="256"/>
      <c r="U183" s="257"/>
      <c r="V183" s="232" t="s">
        <v>468</v>
      </c>
      <c r="W183" s="57" t="s">
        <v>3980</v>
      </c>
      <c r="X183" s="57" t="s">
        <v>3980</v>
      </c>
      <c r="Y183" s="232"/>
      <c r="Z183" s="232"/>
      <c r="AA183" s="232"/>
      <c r="AB183" s="232" t="s">
        <v>90</v>
      </c>
      <c r="AC183" s="5"/>
      <c r="AD183" s="5"/>
      <c r="AE183" s="5">
        <v>0</v>
      </c>
      <c r="AF183" s="5">
        <v>0</v>
      </c>
      <c r="AG183" s="5">
        <v>0</v>
      </c>
      <c r="AH183" s="5"/>
      <c r="AI183" s="5">
        <v>0</v>
      </c>
      <c r="AJ183" s="5">
        <v>0</v>
      </c>
      <c r="AK183" s="270"/>
      <c r="AL183" s="270"/>
      <c r="AM183" s="270"/>
      <c r="AN183" s="5"/>
      <c r="AO183" s="5"/>
      <c r="AP183" s="5"/>
      <c r="AQ183" s="5" t="s">
        <v>830</v>
      </c>
      <c r="AR183" s="279"/>
    </row>
    <row r="184" spans="1:44" ht="15" customHeight="1">
      <c r="A184" s="3">
        <v>1040111</v>
      </c>
      <c r="B184" s="5" t="s">
        <v>3638</v>
      </c>
      <c r="C184" s="224" t="s">
        <v>3981</v>
      </c>
      <c r="D184" s="3" t="s">
        <v>81</v>
      </c>
      <c r="E184" s="3" t="s">
        <v>765</v>
      </c>
      <c r="F184" s="3">
        <v>8</v>
      </c>
      <c r="G184" s="3">
        <v>4</v>
      </c>
      <c r="H184" s="3" t="s">
        <v>136</v>
      </c>
      <c r="I184" s="5" t="s">
        <v>3640</v>
      </c>
      <c r="J184" s="3"/>
      <c r="K184" s="3"/>
      <c r="L184" s="236"/>
      <c r="M184" s="99"/>
      <c r="N184" s="99"/>
      <c r="O184" s="236"/>
      <c r="P184" s="22"/>
      <c r="Q184" s="22">
        <v>0</v>
      </c>
      <c r="R184" s="22" t="s">
        <v>153</v>
      </c>
      <c r="S184" s="3"/>
      <c r="T184" s="260"/>
      <c r="U184" s="261"/>
      <c r="V184" s="22"/>
      <c r="W184" s="57" t="s">
        <v>3773</v>
      </c>
      <c r="X184" s="57" t="s">
        <v>3773</v>
      </c>
      <c r="Y184" s="22"/>
      <c r="Z184" s="22"/>
      <c r="AA184" s="22"/>
      <c r="AB184" s="22" t="s">
        <v>114</v>
      </c>
      <c r="AC184" s="3"/>
      <c r="AD184" s="3"/>
      <c r="AE184" s="3">
        <v>0</v>
      </c>
      <c r="AF184" s="3">
        <v>0</v>
      </c>
      <c r="AG184" s="3">
        <v>0</v>
      </c>
      <c r="AH184" s="3"/>
      <c r="AI184" s="3">
        <v>0</v>
      </c>
      <c r="AJ184" s="3">
        <v>0</v>
      </c>
      <c r="AK184" s="3">
        <v>0</v>
      </c>
      <c r="AL184" s="3"/>
      <c r="AM184" s="3"/>
      <c r="AN184" s="3"/>
      <c r="AO184" s="3"/>
      <c r="AP184" s="3"/>
      <c r="AQ184" s="3" t="s">
        <v>811</v>
      </c>
      <c r="AR184" s="281"/>
    </row>
    <row r="185" spans="1:44" ht="15" customHeight="1">
      <c r="A185" s="3">
        <v>1040112</v>
      </c>
      <c r="B185" s="5" t="s">
        <v>3638</v>
      </c>
      <c r="C185" s="224" t="s">
        <v>3982</v>
      </c>
      <c r="D185" s="3" t="s">
        <v>81</v>
      </c>
      <c r="E185" s="3" t="s">
        <v>765</v>
      </c>
      <c r="F185" s="3">
        <v>9</v>
      </c>
      <c r="G185" s="3">
        <v>4</v>
      </c>
      <c r="H185" s="3" t="s">
        <v>136</v>
      </c>
      <c r="I185" s="5" t="s">
        <v>3640</v>
      </c>
      <c r="J185" s="3"/>
      <c r="K185" s="3"/>
      <c r="L185" s="236"/>
      <c r="M185" s="99"/>
      <c r="N185" s="99"/>
      <c r="O185" s="236"/>
      <c r="P185" s="22"/>
      <c r="Q185" s="22">
        <v>0</v>
      </c>
      <c r="R185" s="22" t="s">
        <v>153</v>
      </c>
      <c r="S185" s="3"/>
      <c r="T185" s="260"/>
      <c r="U185" s="261"/>
      <c r="V185" s="22"/>
      <c r="W185" s="57" t="s">
        <v>3983</v>
      </c>
      <c r="X185" s="57" t="s">
        <v>3983</v>
      </c>
      <c r="Y185" s="22"/>
      <c r="Z185" s="22"/>
      <c r="AA185" s="22"/>
      <c r="AB185" s="22" t="s">
        <v>114</v>
      </c>
      <c r="AC185" s="3"/>
      <c r="AD185" s="3"/>
      <c r="AE185" s="3">
        <v>0</v>
      </c>
      <c r="AF185" s="3">
        <v>0</v>
      </c>
      <c r="AG185" s="3">
        <v>0</v>
      </c>
      <c r="AH185" s="3"/>
      <c r="AI185" s="3">
        <v>0</v>
      </c>
      <c r="AJ185" s="3">
        <v>0</v>
      </c>
      <c r="AK185" s="3">
        <v>0</v>
      </c>
      <c r="AL185" s="3"/>
      <c r="AM185" s="3"/>
      <c r="AN185" s="3"/>
      <c r="AO185" s="3"/>
      <c r="AP185" s="3"/>
      <c r="AQ185" s="282" t="str">
        <f>"tricks/"&amp;A185</f>
        <v>tricks/1040112</v>
      </c>
    </row>
    <row r="186" spans="1:44" ht="15" customHeight="1">
      <c r="A186" s="3">
        <v>1040113</v>
      </c>
      <c r="B186" s="5" t="s">
        <v>3638</v>
      </c>
      <c r="C186" s="224" t="s">
        <v>3984</v>
      </c>
      <c r="D186" s="3" t="s">
        <v>81</v>
      </c>
      <c r="E186" s="3" t="s">
        <v>765</v>
      </c>
      <c r="F186" s="3">
        <v>10</v>
      </c>
      <c r="G186" s="3">
        <v>4</v>
      </c>
      <c r="H186" s="3" t="s">
        <v>136</v>
      </c>
      <c r="I186" s="5" t="s">
        <v>3640</v>
      </c>
      <c r="J186" s="3"/>
      <c r="K186" s="3"/>
      <c r="L186" s="236"/>
      <c r="M186" s="99"/>
      <c r="N186" s="99"/>
      <c r="O186" s="236"/>
      <c r="P186" s="22"/>
      <c r="Q186" s="22">
        <v>0</v>
      </c>
      <c r="R186" s="22" t="s">
        <v>153</v>
      </c>
      <c r="S186" s="3"/>
      <c r="T186" s="260"/>
      <c r="U186" s="261"/>
      <c r="V186" s="22"/>
      <c r="W186" s="57" t="s">
        <v>3985</v>
      </c>
      <c r="X186" s="57" t="s">
        <v>3985</v>
      </c>
      <c r="Y186" s="22"/>
      <c r="Z186" s="22"/>
      <c r="AA186" s="22"/>
      <c r="AB186" s="22" t="s">
        <v>114</v>
      </c>
      <c r="AC186" s="3"/>
      <c r="AD186" s="3"/>
      <c r="AE186" s="3">
        <v>0</v>
      </c>
      <c r="AF186" s="3">
        <v>0</v>
      </c>
      <c r="AG186" s="3">
        <v>0</v>
      </c>
      <c r="AH186" s="3"/>
      <c r="AI186" s="3">
        <v>0</v>
      </c>
      <c r="AJ186" s="3">
        <v>0</v>
      </c>
      <c r="AK186" s="3">
        <v>0</v>
      </c>
      <c r="AL186" s="3"/>
      <c r="AM186" s="3"/>
      <c r="AN186" s="3"/>
      <c r="AO186" s="3"/>
      <c r="AP186" s="3"/>
      <c r="AQ186" s="282" t="str">
        <f>"tricks/"&amp;A186</f>
        <v>tricks/1040113</v>
      </c>
    </row>
    <row r="187" spans="1:44" ht="15" customHeight="1">
      <c r="A187" s="7">
        <v>1040201</v>
      </c>
      <c r="B187" s="5" t="s">
        <v>3638</v>
      </c>
      <c r="C187" s="224" t="s">
        <v>3986</v>
      </c>
      <c r="D187" s="7" t="s">
        <v>81</v>
      </c>
      <c r="E187" s="7" t="s">
        <v>765</v>
      </c>
      <c r="F187" s="7">
        <v>1</v>
      </c>
      <c r="G187" s="7">
        <v>4</v>
      </c>
      <c r="H187" s="7" t="s">
        <v>82</v>
      </c>
      <c r="I187" s="5" t="s">
        <v>3640</v>
      </c>
      <c r="J187" s="7"/>
      <c r="K187" s="7">
        <v>1</v>
      </c>
      <c r="L187" s="350" t="s">
        <v>838</v>
      </c>
      <c r="M187" s="238"/>
      <c r="N187" s="238"/>
      <c r="O187" s="350"/>
      <c r="P187" s="239"/>
      <c r="Q187" s="239">
        <v>0</v>
      </c>
      <c r="R187" s="239" t="s">
        <v>85</v>
      </c>
      <c r="S187" s="7">
        <v>1040201</v>
      </c>
      <c r="T187" s="262" t="s">
        <v>839</v>
      </c>
      <c r="U187" s="263" t="s">
        <v>840</v>
      </c>
      <c r="V187" s="239" t="s">
        <v>841</v>
      </c>
      <c r="W187" s="57" t="s">
        <v>3987</v>
      </c>
      <c r="X187" s="57" t="s">
        <v>3987</v>
      </c>
      <c r="Y187" s="239"/>
      <c r="Z187" s="239"/>
      <c r="AA187" s="239">
        <v>3</v>
      </c>
      <c r="AB187" s="239" t="s">
        <v>90</v>
      </c>
      <c r="AC187" s="7"/>
      <c r="AD187" s="7"/>
      <c r="AE187" s="7">
        <v>1</v>
      </c>
      <c r="AF187" s="7">
        <v>2</v>
      </c>
      <c r="AG187" s="7">
        <v>7</v>
      </c>
      <c r="AH187" s="7"/>
      <c r="AI187" s="7">
        <v>40</v>
      </c>
      <c r="AJ187" s="7">
        <v>26</v>
      </c>
      <c r="AK187" s="273"/>
      <c r="AL187" s="273"/>
      <c r="AM187" s="273"/>
      <c r="AN187" s="277" t="s">
        <v>843</v>
      </c>
      <c r="AO187" s="277"/>
      <c r="AP187" s="277"/>
      <c r="AQ187" s="7" t="s">
        <v>844</v>
      </c>
      <c r="AR187" s="283">
        <v>250</v>
      </c>
    </row>
    <row r="188" spans="1:44" ht="15" customHeight="1">
      <c r="A188" s="7">
        <v>1040202</v>
      </c>
      <c r="B188" s="5" t="s">
        <v>3638</v>
      </c>
      <c r="C188" s="224" t="s">
        <v>3988</v>
      </c>
      <c r="D188" s="7" t="s">
        <v>81</v>
      </c>
      <c r="E188" s="7" t="s">
        <v>765</v>
      </c>
      <c r="F188" s="7">
        <v>1</v>
      </c>
      <c r="G188" s="7">
        <v>4</v>
      </c>
      <c r="H188" s="7" t="s">
        <v>136</v>
      </c>
      <c r="I188" s="5" t="s">
        <v>3640</v>
      </c>
      <c r="J188" s="7"/>
      <c r="K188" s="7"/>
      <c r="L188" s="350" t="s">
        <v>846</v>
      </c>
      <c r="M188" s="238"/>
      <c r="N188" s="238"/>
      <c r="O188" s="350"/>
      <c r="P188" s="239"/>
      <c r="Q188" s="239">
        <v>0</v>
      </c>
      <c r="R188" s="239" t="s">
        <v>847</v>
      </c>
      <c r="S188" s="7">
        <v>1040202</v>
      </c>
      <c r="T188" s="262"/>
      <c r="U188" s="263"/>
      <c r="V188" s="239" t="s">
        <v>841</v>
      </c>
      <c r="W188" s="57" t="s">
        <v>3989</v>
      </c>
      <c r="X188" s="57" t="s">
        <v>3989</v>
      </c>
      <c r="Y188" s="239"/>
      <c r="Z188" s="239"/>
      <c r="AA188" s="239">
        <v>1</v>
      </c>
      <c r="AB188" s="239"/>
      <c r="AC188" s="7"/>
      <c r="AD188" s="7"/>
      <c r="AE188" s="7">
        <v>0</v>
      </c>
      <c r="AF188" s="7">
        <v>0</v>
      </c>
      <c r="AG188" s="7">
        <v>0</v>
      </c>
      <c r="AH188" s="7"/>
      <c r="AI188" s="7">
        <v>0</v>
      </c>
      <c r="AJ188" s="7">
        <v>0</v>
      </c>
      <c r="AK188" s="273"/>
      <c r="AL188" s="273"/>
      <c r="AM188" s="273"/>
      <c r="AN188" s="7"/>
      <c r="AO188" s="277"/>
      <c r="AP188" s="277"/>
      <c r="AQ188" s="7" t="s">
        <v>849</v>
      </c>
      <c r="AR188" s="283"/>
    </row>
    <row r="189" spans="1:44" ht="15" customHeight="1">
      <c r="A189" s="7">
        <v>1040203</v>
      </c>
      <c r="B189" s="5" t="s">
        <v>3638</v>
      </c>
      <c r="C189" s="224" t="s">
        <v>3990</v>
      </c>
      <c r="D189" s="7" t="s">
        <v>81</v>
      </c>
      <c r="E189" s="7" t="s">
        <v>765</v>
      </c>
      <c r="F189" s="7">
        <v>1</v>
      </c>
      <c r="G189" s="7">
        <v>4</v>
      </c>
      <c r="H189" s="7" t="s">
        <v>82</v>
      </c>
      <c r="I189" s="5" t="s">
        <v>3640</v>
      </c>
      <c r="J189" s="7"/>
      <c r="K189" s="7">
        <v>2</v>
      </c>
      <c r="L189" s="350" t="s">
        <v>851</v>
      </c>
      <c r="M189" s="238"/>
      <c r="N189" s="238"/>
      <c r="O189" s="350"/>
      <c r="P189" s="239"/>
      <c r="Q189" s="239">
        <v>0</v>
      </c>
      <c r="R189" s="239" t="s">
        <v>85</v>
      </c>
      <c r="S189" s="7">
        <v>1040203</v>
      </c>
      <c r="T189" s="262" t="s">
        <v>852</v>
      </c>
      <c r="U189" s="263" t="s">
        <v>853</v>
      </c>
      <c r="V189" s="239" t="s">
        <v>841</v>
      </c>
      <c r="W189" s="57" t="s">
        <v>3991</v>
      </c>
      <c r="X189" s="57" t="s">
        <v>3991</v>
      </c>
      <c r="Y189" s="239"/>
      <c r="Z189" s="239"/>
      <c r="AA189" s="239">
        <v>2</v>
      </c>
      <c r="AB189" s="239" t="s">
        <v>90</v>
      </c>
      <c r="AC189" s="7"/>
      <c r="AD189" s="7"/>
      <c r="AE189" s="7">
        <v>1</v>
      </c>
      <c r="AF189" s="7">
        <v>1</v>
      </c>
      <c r="AG189" s="7">
        <v>6</v>
      </c>
      <c r="AH189" s="7"/>
      <c r="AI189" s="7">
        <v>35</v>
      </c>
      <c r="AJ189" s="7">
        <v>19</v>
      </c>
      <c r="AK189" s="273" t="s">
        <v>855</v>
      </c>
      <c r="AL189" s="273"/>
      <c r="AM189" s="273"/>
      <c r="AN189" s="277" t="s">
        <v>856</v>
      </c>
      <c r="AO189" s="277"/>
      <c r="AP189" s="277"/>
      <c r="AQ189" s="7" t="s">
        <v>857</v>
      </c>
      <c r="AR189" s="283">
        <v>251</v>
      </c>
    </row>
    <row r="190" spans="1:44" ht="15" customHeight="1">
      <c r="A190" s="7">
        <v>1040204</v>
      </c>
      <c r="B190" s="5" t="s">
        <v>3638</v>
      </c>
      <c r="C190" s="224" t="s">
        <v>3992</v>
      </c>
      <c r="D190" s="7" t="s">
        <v>81</v>
      </c>
      <c r="E190" s="7" t="s">
        <v>765</v>
      </c>
      <c r="F190" s="7">
        <v>2</v>
      </c>
      <c r="G190" s="7">
        <v>4</v>
      </c>
      <c r="H190" s="7" t="s">
        <v>136</v>
      </c>
      <c r="I190" s="5" t="s">
        <v>3640</v>
      </c>
      <c r="J190" s="7"/>
      <c r="K190" s="7"/>
      <c r="L190" s="350" t="s">
        <v>859</v>
      </c>
      <c r="M190" s="238"/>
      <c r="N190" s="238"/>
      <c r="O190" s="350"/>
      <c r="P190" s="239"/>
      <c r="Q190" s="239">
        <v>0</v>
      </c>
      <c r="R190" s="239" t="s">
        <v>688</v>
      </c>
      <c r="S190" s="7">
        <v>1040204</v>
      </c>
      <c r="T190" s="262"/>
      <c r="U190" s="263"/>
      <c r="V190" s="239" t="s">
        <v>841</v>
      </c>
      <c r="W190" s="57" t="s">
        <v>3993</v>
      </c>
      <c r="X190" s="57" t="s">
        <v>3993</v>
      </c>
      <c r="Y190" s="239"/>
      <c r="Z190" s="239"/>
      <c r="AA190" s="239">
        <v>2</v>
      </c>
      <c r="AB190" s="239"/>
      <c r="AC190" s="7"/>
      <c r="AD190" s="7"/>
      <c r="AE190" s="7">
        <v>0</v>
      </c>
      <c r="AF190" s="7">
        <v>0</v>
      </c>
      <c r="AG190" s="7">
        <v>0</v>
      </c>
      <c r="AH190" s="7"/>
      <c r="AI190" s="7">
        <v>0</v>
      </c>
      <c r="AJ190" s="7">
        <v>0</v>
      </c>
      <c r="AK190" s="273"/>
      <c r="AL190" s="273"/>
      <c r="AM190" s="273"/>
      <c r="AN190" s="277" t="s">
        <v>861</v>
      </c>
      <c r="AO190" s="277"/>
      <c r="AP190" s="277"/>
      <c r="AQ190" s="7" t="s">
        <v>862</v>
      </c>
      <c r="AR190" s="283"/>
    </row>
    <row r="191" spans="1:44" ht="15" customHeight="1">
      <c r="A191" s="7">
        <v>1040205</v>
      </c>
      <c r="B191" s="5" t="s">
        <v>3638</v>
      </c>
      <c r="C191" s="224" t="s">
        <v>3994</v>
      </c>
      <c r="D191" s="7" t="s">
        <v>81</v>
      </c>
      <c r="E191" s="7" t="s">
        <v>765</v>
      </c>
      <c r="F191" s="7">
        <v>1</v>
      </c>
      <c r="G191" s="7">
        <v>4</v>
      </c>
      <c r="H191" s="7" t="s">
        <v>82</v>
      </c>
      <c r="I191" s="5" t="s">
        <v>3640</v>
      </c>
      <c r="J191" s="7"/>
      <c r="K191" s="7">
        <v>3</v>
      </c>
      <c r="L191" s="350" t="s">
        <v>864</v>
      </c>
      <c r="M191" s="238"/>
      <c r="N191" s="238"/>
      <c r="O191" s="350"/>
      <c r="P191" s="239"/>
      <c r="Q191" s="239">
        <v>0</v>
      </c>
      <c r="R191" s="239" t="s">
        <v>85</v>
      </c>
      <c r="S191" s="7">
        <v>1040205</v>
      </c>
      <c r="T191" s="262" t="s">
        <v>865</v>
      </c>
      <c r="U191" s="263" t="s">
        <v>866</v>
      </c>
      <c r="V191" s="239" t="s">
        <v>841</v>
      </c>
      <c r="W191" s="57" t="s">
        <v>3995</v>
      </c>
      <c r="X191" s="57" t="s">
        <v>3995</v>
      </c>
      <c r="Y191" s="239"/>
      <c r="Z191" s="239"/>
      <c r="AA191" s="239">
        <v>3</v>
      </c>
      <c r="AB191" s="239" t="s">
        <v>90</v>
      </c>
      <c r="AC191" s="7"/>
      <c r="AD191" s="7"/>
      <c r="AE191" s="7">
        <v>1</v>
      </c>
      <c r="AF191" s="7">
        <v>1</v>
      </c>
      <c r="AG191" s="7">
        <v>5</v>
      </c>
      <c r="AH191" s="7"/>
      <c r="AI191" s="7">
        <v>32</v>
      </c>
      <c r="AJ191" s="7">
        <v>19</v>
      </c>
      <c r="AK191" s="273" t="s">
        <v>868</v>
      </c>
      <c r="AL191" s="273"/>
      <c r="AM191" s="273"/>
      <c r="AN191" s="277" t="s">
        <v>869</v>
      </c>
      <c r="AO191" s="277"/>
      <c r="AP191" s="277"/>
      <c r="AQ191" s="7" t="s">
        <v>870</v>
      </c>
      <c r="AR191" s="283">
        <v>252</v>
      </c>
    </row>
    <row r="192" spans="1:44" ht="15" customHeight="1">
      <c r="A192" s="7">
        <v>1040206</v>
      </c>
      <c r="B192" s="5" t="s">
        <v>3638</v>
      </c>
      <c r="C192" s="224" t="s">
        <v>3996</v>
      </c>
      <c r="D192" s="7" t="s">
        <v>81</v>
      </c>
      <c r="E192" s="7" t="s">
        <v>765</v>
      </c>
      <c r="F192" s="7">
        <v>3</v>
      </c>
      <c r="G192" s="7">
        <v>4</v>
      </c>
      <c r="H192" s="7" t="s">
        <v>136</v>
      </c>
      <c r="I192" s="5" t="s">
        <v>3640</v>
      </c>
      <c r="J192" s="7"/>
      <c r="K192" s="7"/>
      <c r="L192" s="350" t="s">
        <v>872</v>
      </c>
      <c r="M192" s="238"/>
      <c r="N192" s="238"/>
      <c r="O192" s="350"/>
      <c r="P192" s="239"/>
      <c r="Q192" s="239">
        <v>0</v>
      </c>
      <c r="R192" s="239" t="s">
        <v>153</v>
      </c>
      <c r="S192" s="7">
        <v>1040206</v>
      </c>
      <c r="T192" s="262"/>
      <c r="U192" s="263"/>
      <c r="V192" s="239" t="s">
        <v>841</v>
      </c>
      <c r="W192" s="57" t="s">
        <v>3997</v>
      </c>
      <c r="X192" s="57" t="s">
        <v>3997</v>
      </c>
      <c r="Y192" s="239"/>
      <c r="Z192" s="239"/>
      <c r="AA192" s="239"/>
      <c r="AB192" s="239"/>
      <c r="AC192" s="7"/>
      <c r="AD192" s="7"/>
      <c r="AE192" s="7">
        <v>0</v>
      </c>
      <c r="AF192" s="7"/>
      <c r="AG192" s="7"/>
      <c r="AH192" s="7"/>
      <c r="AI192" s="7"/>
      <c r="AJ192" s="7"/>
      <c r="AK192" s="273"/>
      <c r="AL192" s="273"/>
      <c r="AM192" s="273"/>
      <c r="AN192" s="7"/>
      <c r="AO192" s="7"/>
      <c r="AP192" s="7"/>
      <c r="AQ192" s="7" t="s">
        <v>874</v>
      </c>
      <c r="AR192" s="283"/>
    </row>
    <row r="193" spans="1:44" ht="15" customHeight="1">
      <c r="A193" s="7">
        <v>1040207</v>
      </c>
      <c r="B193" s="5" t="s">
        <v>3638</v>
      </c>
      <c r="C193" s="224" t="s">
        <v>3998</v>
      </c>
      <c r="D193" s="7" t="s">
        <v>81</v>
      </c>
      <c r="E193" s="7" t="s">
        <v>765</v>
      </c>
      <c r="F193" s="7">
        <v>4</v>
      </c>
      <c r="G193" s="7">
        <v>4</v>
      </c>
      <c r="H193" s="7" t="s">
        <v>136</v>
      </c>
      <c r="I193" s="5" t="s">
        <v>3640</v>
      </c>
      <c r="J193" s="7"/>
      <c r="K193" s="7"/>
      <c r="L193" s="350" t="s">
        <v>876</v>
      </c>
      <c r="M193" s="238"/>
      <c r="N193" s="238"/>
      <c r="O193" s="350"/>
      <c r="P193" s="239"/>
      <c r="Q193" s="239">
        <v>0</v>
      </c>
      <c r="R193" s="239" t="s">
        <v>153</v>
      </c>
      <c r="S193" s="7">
        <v>1040207</v>
      </c>
      <c r="T193" s="262"/>
      <c r="U193" s="263"/>
      <c r="V193" s="239" t="s">
        <v>841</v>
      </c>
      <c r="W193" s="57" t="s">
        <v>3999</v>
      </c>
      <c r="X193" s="57" t="s">
        <v>3999</v>
      </c>
      <c r="Y193" s="239"/>
      <c r="Z193" s="239"/>
      <c r="AA193" s="239"/>
      <c r="AB193" s="239"/>
      <c r="AC193" s="7"/>
      <c r="AD193" s="7"/>
      <c r="AE193" s="7">
        <v>0</v>
      </c>
      <c r="AF193" s="7"/>
      <c r="AG193" s="7"/>
      <c r="AH193" s="7"/>
      <c r="AI193" s="7"/>
      <c r="AJ193" s="7"/>
      <c r="AK193" s="273"/>
      <c r="AL193" s="392"/>
      <c r="AM193" s="392"/>
      <c r="AN193" s="393"/>
      <c r="AO193" s="7"/>
      <c r="AP193" s="7"/>
      <c r="AQ193" s="7" t="s">
        <v>878</v>
      </c>
      <c r="AR193" s="283"/>
    </row>
    <row r="194" spans="1:44" ht="15" customHeight="1">
      <c r="A194" s="7">
        <v>1040208</v>
      </c>
      <c r="B194" s="5" t="s">
        <v>3638</v>
      </c>
      <c r="C194" s="224" t="s">
        <v>4000</v>
      </c>
      <c r="D194" s="7" t="s">
        <v>81</v>
      </c>
      <c r="E194" s="7" t="s">
        <v>765</v>
      </c>
      <c r="F194" s="7">
        <v>5</v>
      </c>
      <c r="G194" s="7">
        <v>4</v>
      </c>
      <c r="H194" s="7" t="s">
        <v>136</v>
      </c>
      <c r="I194" s="5" t="s">
        <v>3640</v>
      </c>
      <c r="J194" s="7"/>
      <c r="K194" s="7"/>
      <c r="L194" s="350" t="s">
        <v>880</v>
      </c>
      <c r="M194" s="238"/>
      <c r="N194" s="238"/>
      <c r="O194" s="350"/>
      <c r="P194" s="239"/>
      <c r="Q194" s="239">
        <v>0</v>
      </c>
      <c r="R194" s="239" t="s">
        <v>153</v>
      </c>
      <c r="S194" s="7">
        <v>1040208</v>
      </c>
      <c r="T194" s="262"/>
      <c r="U194" s="263"/>
      <c r="V194" s="239" t="s">
        <v>841</v>
      </c>
      <c r="W194" s="57" t="s">
        <v>4001</v>
      </c>
      <c r="X194" s="57" t="s">
        <v>4001</v>
      </c>
      <c r="Y194" s="239"/>
      <c r="Z194" s="239"/>
      <c r="AA194" s="239"/>
      <c r="AB194" s="239"/>
      <c r="AC194" s="7"/>
      <c r="AD194" s="7"/>
      <c r="AE194" s="7">
        <v>0</v>
      </c>
      <c r="AF194" s="7"/>
      <c r="AG194" s="7"/>
      <c r="AH194" s="7"/>
      <c r="AI194" s="7"/>
      <c r="AJ194" s="7"/>
      <c r="AK194" s="273"/>
      <c r="AL194" s="273"/>
      <c r="AM194" s="273"/>
      <c r="AN194" s="7"/>
      <c r="AO194" s="7"/>
      <c r="AP194" s="7"/>
      <c r="AQ194" s="7" t="s">
        <v>882</v>
      </c>
      <c r="AR194" s="283"/>
    </row>
    <row r="195" spans="1:44" ht="15" customHeight="1">
      <c r="A195" s="7">
        <v>1040209</v>
      </c>
      <c r="B195" s="5" t="s">
        <v>3638</v>
      </c>
      <c r="C195" s="224" t="s">
        <v>4002</v>
      </c>
      <c r="D195" s="7" t="s">
        <v>81</v>
      </c>
      <c r="E195" s="7" t="s">
        <v>765</v>
      </c>
      <c r="F195" s="7">
        <v>6</v>
      </c>
      <c r="G195" s="7">
        <v>4</v>
      </c>
      <c r="H195" s="7" t="s">
        <v>136</v>
      </c>
      <c r="I195" s="5" t="s">
        <v>3640</v>
      </c>
      <c r="J195" s="7"/>
      <c r="K195" s="7"/>
      <c r="L195" s="350" t="s">
        <v>884</v>
      </c>
      <c r="M195" s="238"/>
      <c r="N195" s="238"/>
      <c r="O195" s="350"/>
      <c r="P195" s="239"/>
      <c r="Q195" s="239">
        <v>0</v>
      </c>
      <c r="R195" s="239" t="s">
        <v>153</v>
      </c>
      <c r="S195" s="7">
        <v>1040209</v>
      </c>
      <c r="T195" s="262"/>
      <c r="U195" s="263"/>
      <c r="V195" s="239" t="s">
        <v>841</v>
      </c>
      <c r="W195" s="57" t="s">
        <v>4003</v>
      </c>
      <c r="X195" s="57" t="s">
        <v>4003</v>
      </c>
      <c r="Y195" s="239"/>
      <c r="Z195" s="239"/>
      <c r="AA195" s="239"/>
      <c r="AB195" s="239"/>
      <c r="AC195" s="7"/>
      <c r="AD195" s="7"/>
      <c r="AE195" s="7">
        <v>0</v>
      </c>
      <c r="AF195" s="7"/>
      <c r="AG195" s="7"/>
      <c r="AH195" s="7"/>
      <c r="AI195" s="7"/>
      <c r="AJ195" s="7"/>
      <c r="AK195" s="273"/>
      <c r="AL195" s="273"/>
      <c r="AM195" s="273"/>
      <c r="AN195" s="7"/>
      <c r="AO195" s="7"/>
      <c r="AP195" s="7"/>
      <c r="AQ195" s="7" t="s">
        <v>886</v>
      </c>
      <c r="AR195" s="283"/>
    </row>
    <row r="196" spans="1:44" ht="15" customHeight="1">
      <c r="A196" s="7">
        <v>1040210</v>
      </c>
      <c r="B196" s="5" t="s">
        <v>3638</v>
      </c>
      <c r="C196" s="224" t="s">
        <v>4004</v>
      </c>
      <c r="D196" s="7" t="s">
        <v>81</v>
      </c>
      <c r="E196" s="7" t="s">
        <v>765</v>
      </c>
      <c r="F196" s="7">
        <v>7</v>
      </c>
      <c r="G196" s="7">
        <v>4</v>
      </c>
      <c r="H196" s="7" t="s">
        <v>136</v>
      </c>
      <c r="I196" s="5" t="s">
        <v>3640</v>
      </c>
      <c r="J196" s="7"/>
      <c r="K196" s="7"/>
      <c r="L196" s="350" t="s">
        <v>888</v>
      </c>
      <c r="M196" s="238"/>
      <c r="N196" s="238"/>
      <c r="O196" s="350"/>
      <c r="P196" s="239"/>
      <c r="Q196" s="239">
        <v>0</v>
      </c>
      <c r="R196" s="239" t="s">
        <v>153</v>
      </c>
      <c r="S196" s="7">
        <v>1040210</v>
      </c>
      <c r="T196" s="262"/>
      <c r="U196" s="263"/>
      <c r="V196" s="239" t="s">
        <v>841</v>
      </c>
      <c r="W196" s="57" t="s">
        <v>4005</v>
      </c>
      <c r="X196" s="57" t="s">
        <v>4005</v>
      </c>
      <c r="Y196" s="239"/>
      <c r="Z196" s="239"/>
      <c r="AA196" s="239"/>
      <c r="AB196" s="239"/>
      <c r="AC196" s="7"/>
      <c r="AD196" s="7"/>
      <c r="AE196" s="7">
        <v>0</v>
      </c>
      <c r="AF196" s="7"/>
      <c r="AG196" s="7"/>
      <c r="AH196" s="7"/>
      <c r="AI196" s="7"/>
      <c r="AJ196" s="7"/>
      <c r="AK196" s="273" t="s">
        <v>890</v>
      </c>
      <c r="AL196" s="273"/>
      <c r="AM196" s="273"/>
      <c r="AN196" s="7"/>
      <c r="AO196" s="7"/>
      <c r="AP196" s="7"/>
      <c r="AQ196" s="7" t="s">
        <v>891</v>
      </c>
      <c r="AR196" s="283"/>
    </row>
    <row r="197" spans="1:44" ht="15" customHeight="1">
      <c r="A197" s="3">
        <v>1040211</v>
      </c>
      <c r="B197" s="5" t="s">
        <v>3638</v>
      </c>
      <c r="C197" s="224" t="s">
        <v>4006</v>
      </c>
      <c r="D197" s="3" t="s">
        <v>81</v>
      </c>
      <c r="E197" s="3" t="s">
        <v>765</v>
      </c>
      <c r="F197" s="3">
        <v>8</v>
      </c>
      <c r="G197" s="3">
        <v>4</v>
      </c>
      <c r="H197" s="3" t="s">
        <v>136</v>
      </c>
      <c r="I197" s="5" t="s">
        <v>3640</v>
      </c>
      <c r="J197" s="3"/>
      <c r="K197" s="3"/>
      <c r="L197" s="236"/>
      <c r="M197" s="99"/>
      <c r="N197" s="99"/>
      <c r="O197" s="236"/>
      <c r="P197" s="22"/>
      <c r="Q197" s="22">
        <v>0</v>
      </c>
      <c r="R197" s="22" t="s">
        <v>153</v>
      </c>
      <c r="S197" s="3"/>
      <c r="T197" s="260"/>
      <c r="U197" s="261"/>
      <c r="V197" s="22"/>
      <c r="W197" s="57" t="s">
        <v>3665</v>
      </c>
      <c r="X197" s="57" t="s">
        <v>3665</v>
      </c>
      <c r="Y197" s="22"/>
      <c r="Z197" s="22"/>
      <c r="AA197" s="22"/>
      <c r="AB197" s="22" t="s">
        <v>114</v>
      </c>
      <c r="AC197" s="3"/>
      <c r="AD197" s="3"/>
      <c r="AE197" s="3">
        <v>0</v>
      </c>
      <c r="AF197" s="3">
        <v>0</v>
      </c>
      <c r="AG197" s="3">
        <v>0</v>
      </c>
      <c r="AH197" s="3"/>
      <c r="AI197" s="3">
        <v>0</v>
      </c>
      <c r="AJ197" s="3">
        <v>0</v>
      </c>
      <c r="AK197" s="3">
        <v>0</v>
      </c>
      <c r="AL197" s="3"/>
      <c r="AM197" s="3"/>
      <c r="AN197" s="3"/>
      <c r="AO197" s="3"/>
      <c r="AP197" s="3"/>
      <c r="AQ197" s="3" t="s">
        <v>870</v>
      </c>
      <c r="AR197" s="281"/>
    </row>
    <row r="198" spans="1:44" ht="15" customHeight="1">
      <c r="A198" s="3">
        <v>1040212</v>
      </c>
      <c r="B198" s="5" t="s">
        <v>3638</v>
      </c>
      <c r="C198" s="224" t="s">
        <v>4007</v>
      </c>
      <c r="D198" s="3" t="s">
        <v>81</v>
      </c>
      <c r="E198" s="3" t="s">
        <v>765</v>
      </c>
      <c r="F198" s="3">
        <v>9</v>
      </c>
      <c r="G198" s="3">
        <v>4</v>
      </c>
      <c r="H198" s="3" t="s">
        <v>136</v>
      </c>
      <c r="I198" s="5" t="s">
        <v>3640</v>
      </c>
      <c r="J198" s="3"/>
      <c r="K198" s="3"/>
      <c r="L198" s="236"/>
      <c r="M198" s="99"/>
      <c r="N198" s="99"/>
      <c r="O198" s="236"/>
      <c r="P198" s="22"/>
      <c r="Q198" s="22">
        <v>0</v>
      </c>
      <c r="R198" s="22" t="s">
        <v>153</v>
      </c>
      <c r="S198" s="3"/>
      <c r="T198" s="260"/>
      <c r="U198" s="261"/>
      <c r="V198" s="22"/>
      <c r="W198" s="57" t="s">
        <v>4008</v>
      </c>
      <c r="X198" s="57" t="s">
        <v>4008</v>
      </c>
      <c r="Y198" s="22"/>
      <c r="Z198" s="22"/>
      <c r="AA198" s="22"/>
      <c r="AB198" s="22" t="s">
        <v>114</v>
      </c>
      <c r="AC198" s="3"/>
      <c r="AD198" s="3"/>
      <c r="AE198" s="3">
        <v>0</v>
      </c>
      <c r="AF198" s="3">
        <v>0</v>
      </c>
      <c r="AG198" s="3">
        <v>0</v>
      </c>
      <c r="AH198" s="3"/>
      <c r="AI198" s="3">
        <v>0</v>
      </c>
      <c r="AJ198" s="3">
        <v>0</v>
      </c>
      <c r="AK198" s="3">
        <v>0</v>
      </c>
      <c r="AL198" s="3"/>
      <c r="AM198" s="3"/>
      <c r="AN198" s="3"/>
      <c r="AO198" s="3"/>
      <c r="AP198" s="3"/>
      <c r="AQ198" s="282" t="str">
        <f>"tricks/"&amp;A198</f>
        <v>tricks/1040212</v>
      </c>
    </row>
    <row r="199" spans="1:44" ht="15" customHeight="1">
      <c r="A199" s="3">
        <v>1040213</v>
      </c>
      <c r="B199" s="5" t="s">
        <v>3638</v>
      </c>
      <c r="C199" s="224" t="s">
        <v>4009</v>
      </c>
      <c r="D199" s="3" t="s">
        <v>81</v>
      </c>
      <c r="E199" s="3" t="s">
        <v>765</v>
      </c>
      <c r="F199" s="3">
        <v>10</v>
      </c>
      <c r="G199" s="3">
        <v>4</v>
      </c>
      <c r="H199" s="3" t="s">
        <v>136</v>
      </c>
      <c r="I199" s="5" t="s">
        <v>3640</v>
      </c>
      <c r="J199" s="3"/>
      <c r="K199" s="3"/>
      <c r="L199" s="236"/>
      <c r="M199" s="99"/>
      <c r="N199" s="99"/>
      <c r="O199" s="236"/>
      <c r="P199" s="22"/>
      <c r="Q199" s="22">
        <v>0</v>
      </c>
      <c r="R199" s="22" t="s">
        <v>153</v>
      </c>
      <c r="S199" s="3"/>
      <c r="T199" s="260"/>
      <c r="U199" s="261"/>
      <c r="V199" s="22"/>
      <c r="W199" s="57" t="s">
        <v>4010</v>
      </c>
      <c r="X199" s="57" t="s">
        <v>4010</v>
      </c>
      <c r="Y199" s="22"/>
      <c r="Z199" s="22"/>
      <c r="AA199" s="22"/>
      <c r="AB199" s="22" t="s">
        <v>114</v>
      </c>
      <c r="AC199" s="3"/>
      <c r="AD199" s="3"/>
      <c r="AE199" s="3">
        <v>0</v>
      </c>
      <c r="AF199" s="3">
        <v>0</v>
      </c>
      <c r="AG199" s="3">
        <v>0</v>
      </c>
      <c r="AH199" s="3"/>
      <c r="AI199" s="3">
        <v>0</v>
      </c>
      <c r="AJ199" s="3">
        <v>0</v>
      </c>
      <c r="AK199" s="3">
        <v>0</v>
      </c>
      <c r="AL199" s="3"/>
      <c r="AM199" s="3"/>
      <c r="AN199" s="3"/>
      <c r="AO199" s="3"/>
      <c r="AP199" s="3"/>
      <c r="AQ199" s="282" t="str">
        <f>"tricks/"&amp;A199</f>
        <v>tricks/1040213</v>
      </c>
    </row>
    <row r="200" spans="1:44" ht="15" customHeight="1">
      <c r="A200" s="6">
        <v>1040301</v>
      </c>
      <c r="B200" s="5" t="s">
        <v>3638</v>
      </c>
      <c r="C200" s="224" t="s">
        <v>4011</v>
      </c>
      <c r="D200" s="6" t="s">
        <v>81</v>
      </c>
      <c r="E200" s="6" t="s">
        <v>765</v>
      </c>
      <c r="F200" s="6">
        <v>1</v>
      </c>
      <c r="G200" s="6">
        <v>4</v>
      </c>
      <c r="H200" s="6" t="s">
        <v>82</v>
      </c>
      <c r="I200" s="5" t="s">
        <v>3640</v>
      </c>
      <c r="J200" s="6"/>
      <c r="K200" s="6">
        <v>1</v>
      </c>
      <c r="L200" s="234" t="s">
        <v>899</v>
      </c>
      <c r="M200" s="235"/>
      <c r="N200" s="235"/>
      <c r="O200" s="234"/>
      <c r="P200" s="40"/>
      <c r="Q200" s="40">
        <v>0</v>
      </c>
      <c r="R200" s="40" t="s">
        <v>85</v>
      </c>
      <c r="S200" s="6">
        <v>1040301</v>
      </c>
      <c r="T200" s="258" t="s">
        <v>900</v>
      </c>
      <c r="U200" s="259" t="s">
        <v>901</v>
      </c>
      <c r="V200" s="40" t="s">
        <v>902</v>
      </c>
      <c r="W200" s="57" t="s">
        <v>4012</v>
      </c>
      <c r="X200" s="57" t="s">
        <v>4012</v>
      </c>
      <c r="Y200" s="40"/>
      <c r="Z200" s="40"/>
      <c r="AA200" s="40"/>
      <c r="AB200" s="40" t="s">
        <v>90</v>
      </c>
      <c r="AC200" s="6"/>
      <c r="AD200" s="6"/>
      <c r="AE200" s="6">
        <v>1</v>
      </c>
      <c r="AF200" s="6">
        <v>2</v>
      </c>
      <c r="AG200" s="6">
        <v>8</v>
      </c>
      <c r="AH200" s="6"/>
      <c r="AI200" s="6">
        <v>40</v>
      </c>
      <c r="AJ200" s="6">
        <v>26</v>
      </c>
      <c r="AK200" s="272"/>
      <c r="AL200" s="272"/>
      <c r="AM200" s="272"/>
      <c r="AN200" s="394" t="s">
        <v>904</v>
      </c>
      <c r="AO200" s="6"/>
      <c r="AP200" s="6"/>
      <c r="AQ200" s="6" t="s">
        <v>905</v>
      </c>
      <c r="AR200" s="280">
        <v>256</v>
      </c>
    </row>
    <row r="201" spans="1:44" ht="15" customHeight="1">
      <c r="A201" s="6">
        <v>1040302</v>
      </c>
      <c r="B201" s="5" t="s">
        <v>3638</v>
      </c>
      <c r="C201" s="224" t="s">
        <v>4013</v>
      </c>
      <c r="D201" s="6" t="s">
        <v>81</v>
      </c>
      <c r="E201" s="6" t="s">
        <v>765</v>
      </c>
      <c r="F201" s="6">
        <v>1</v>
      </c>
      <c r="G201" s="6">
        <v>4</v>
      </c>
      <c r="H201" s="6" t="s">
        <v>136</v>
      </c>
      <c r="I201" s="5" t="s">
        <v>3640</v>
      </c>
      <c r="J201" s="6"/>
      <c r="K201" s="6"/>
      <c r="L201" s="234" t="s">
        <v>907</v>
      </c>
      <c r="M201" s="235"/>
      <c r="N201" s="235"/>
      <c r="O201" s="234"/>
      <c r="P201" s="40"/>
      <c r="Q201" s="40">
        <v>0</v>
      </c>
      <c r="R201" s="40" t="s">
        <v>153</v>
      </c>
      <c r="S201" s="6">
        <v>1040302</v>
      </c>
      <c r="T201" s="258"/>
      <c r="U201" s="259"/>
      <c r="V201" s="40" t="s">
        <v>902</v>
      </c>
      <c r="W201" s="57" t="s">
        <v>4014</v>
      </c>
      <c r="X201" s="57" t="s">
        <v>4014</v>
      </c>
      <c r="Y201" s="40"/>
      <c r="Z201" s="40"/>
      <c r="AA201" s="40"/>
      <c r="AB201" s="40"/>
      <c r="AC201" s="6"/>
      <c r="AD201" s="6"/>
      <c r="AE201" s="6">
        <v>0</v>
      </c>
      <c r="AF201" s="6"/>
      <c r="AG201" s="6"/>
      <c r="AH201" s="6"/>
      <c r="AI201" s="6"/>
      <c r="AJ201" s="6"/>
      <c r="AK201" s="272"/>
      <c r="AL201" s="272"/>
      <c r="AM201" s="272"/>
      <c r="AN201" s="6"/>
      <c r="AO201" s="6"/>
      <c r="AP201" s="6"/>
      <c r="AQ201" s="6" t="s">
        <v>909</v>
      </c>
      <c r="AR201" s="280"/>
    </row>
    <row r="202" spans="1:44" ht="15" customHeight="1">
      <c r="A202" s="6">
        <v>1040303</v>
      </c>
      <c r="B202" s="5" t="s">
        <v>3638</v>
      </c>
      <c r="C202" s="224" t="s">
        <v>4015</v>
      </c>
      <c r="D202" s="6" t="s">
        <v>81</v>
      </c>
      <c r="E202" s="6" t="s">
        <v>765</v>
      </c>
      <c r="F202" s="6">
        <v>1</v>
      </c>
      <c r="G202" s="6">
        <v>4</v>
      </c>
      <c r="H202" s="6" t="s">
        <v>82</v>
      </c>
      <c r="I202" s="5" t="s">
        <v>3640</v>
      </c>
      <c r="J202" s="6"/>
      <c r="K202" s="6">
        <v>2</v>
      </c>
      <c r="L202" s="234" t="s">
        <v>911</v>
      </c>
      <c r="M202" s="235"/>
      <c r="N202" s="235"/>
      <c r="O202" s="234"/>
      <c r="P202" s="40"/>
      <c r="Q202" s="40">
        <v>0</v>
      </c>
      <c r="R202" s="40" t="s">
        <v>85</v>
      </c>
      <c r="S202" s="6">
        <v>1040303</v>
      </c>
      <c r="T202" s="258" t="s">
        <v>912</v>
      </c>
      <c r="U202" s="259" t="s">
        <v>913</v>
      </c>
      <c r="V202" s="40" t="s">
        <v>902</v>
      </c>
      <c r="W202" s="57" t="s">
        <v>4016</v>
      </c>
      <c r="X202" s="57" t="s">
        <v>4016</v>
      </c>
      <c r="Y202" s="40"/>
      <c r="Z202" s="40"/>
      <c r="AA202" s="40"/>
      <c r="AB202" s="40" t="s">
        <v>90</v>
      </c>
      <c r="AC202" s="6"/>
      <c r="AD202" s="6"/>
      <c r="AE202" s="6">
        <v>1</v>
      </c>
      <c r="AF202" s="6">
        <v>1</v>
      </c>
      <c r="AG202" s="6">
        <v>5</v>
      </c>
      <c r="AH202" s="6"/>
      <c r="AI202" s="6">
        <v>35</v>
      </c>
      <c r="AJ202" s="6">
        <v>19</v>
      </c>
      <c r="AK202" s="272"/>
      <c r="AL202" s="272"/>
      <c r="AM202" s="272"/>
      <c r="AN202" s="6" t="s">
        <v>915</v>
      </c>
      <c r="AO202" s="6"/>
      <c r="AP202" s="6"/>
      <c r="AQ202" s="6" t="s">
        <v>916</v>
      </c>
      <c r="AR202" s="280">
        <v>257</v>
      </c>
    </row>
    <row r="203" spans="1:44" ht="15" customHeight="1">
      <c r="A203" s="6">
        <v>1040304</v>
      </c>
      <c r="B203" s="5" t="s">
        <v>3638</v>
      </c>
      <c r="C203" s="224" t="s">
        <v>4017</v>
      </c>
      <c r="D203" s="6" t="s">
        <v>81</v>
      </c>
      <c r="E203" s="6" t="s">
        <v>765</v>
      </c>
      <c r="F203" s="6">
        <v>2</v>
      </c>
      <c r="G203" s="6">
        <v>4</v>
      </c>
      <c r="H203" s="6" t="s">
        <v>136</v>
      </c>
      <c r="I203" s="5" t="s">
        <v>3640</v>
      </c>
      <c r="J203" s="6"/>
      <c r="K203" s="6"/>
      <c r="L203" s="234" t="s">
        <v>918</v>
      </c>
      <c r="M203" s="235"/>
      <c r="N203" s="235"/>
      <c r="O203" s="234"/>
      <c r="P203" s="40"/>
      <c r="Q203" s="40">
        <v>0</v>
      </c>
      <c r="R203" s="40" t="s">
        <v>153</v>
      </c>
      <c r="S203" s="6">
        <v>1040304</v>
      </c>
      <c r="T203" s="258"/>
      <c r="U203" s="259"/>
      <c r="V203" s="40" t="s">
        <v>902</v>
      </c>
      <c r="W203" s="57" t="s">
        <v>4018</v>
      </c>
      <c r="X203" s="57" t="s">
        <v>4018</v>
      </c>
      <c r="Y203" s="40"/>
      <c r="Z203" s="40"/>
      <c r="AA203" s="40"/>
      <c r="AB203" s="40"/>
      <c r="AC203" s="6"/>
      <c r="AD203" s="6"/>
      <c r="AE203" s="6">
        <v>0</v>
      </c>
      <c r="AF203" s="6"/>
      <c r="AG203" s="6"/>
      <c r="AH203" s="6"/>
      <c r="AI203" s="6"/>
      <c r="AJ203" s="6"/>
      <c r="AK203" s="272"/>
      <c r="AL203" s="272"/>
      <c r="AM203" s="272"/>
      <c r="AN203" s="272"/>
      <c r="AO203" s="6"/>
      <c r="AP203" s="6"/>
      <c r="AQ203" s="6" t="s">
        <v>920</v>
      </c>
      <c r="AR203" s="280"/>
    </row>
    <row r="204" spans="1:44" ht="15" customHeight="1">
      <c r="A204" s="6">
        <v>1040305</v>
      </c>
      <c r="B204" s="5" t="s">
        <v>3638</v>
      </c>
      <c r="C204" s="224" t="s">
        <v>4019</v>
      </c>
      <c r="D204" s="6" t="s">
        <v>81</v>
      </c>
      <c r="E204" s="6" t="s">
        <v>765</v>
      </c>
      <c r="F204" s="6">
        <v>1</v>
      </c>
      <c r="G204" s="6">
        <v>4</v>
      </c>
      <c r="H204" s="6" t="s">
        <v>82</v>
      </c>
      <c r="I204" s="5" t="s">
        <v>3640</v>
      </c>
      <c r="J204" s="6"/>
      <c r="K204" s="6">
        <v>3</v>
      </c>
      <c r="L204" s="234" t="s">
        <v>922</v>
      </c>
      <c r="M204" s="235"/>
      <c r="N204" s="235"/>
      <c r="O204" s="234"/>
      <c r="P204" s="40"/>
      <c r="Q204" s="40">
        <v>0</v>
      </c>
      <c r="R204" s="40" t="s">
        <v>85</v>
      </c>
      <c r="S204" s="6">
        <v>1040305</v>
      </c>
      <c r="T204" s="258" t="s">
        <v>923</v>
      </c>
      <c r="U204" s="259" t="s">
        <v>924</v>
      </c>
      <c r="V204" s="40" t="s">
        <v>902</v>
      </c>
      <c r="W204" s="57" t="s">
        <v>4020</v>
      </c>
      <c r="X204" s="57" t="s">
        <v>4020</v>
      </c>
      <c r="Y204" s="40"/>
      <c r="Z204" s="40"/>
      <c r="AA204" s="40"/>
      <c r="AB204" s="40" t="s">
        <v>90</v>
      </c>
      <c r="AC204" s="6"/>
      <c r="AD204" s="6"/>
      <c r="AE204" s="6">
        <v>1</v>
      </c>
      <c r="AF204" s="6">
        <v>1</v>
      </c>
      <c r="AG204" s="6">
        <v>6</v>
      </c>
      <c r="AH204" s="6"/>
      <c r="AI204" s="6">
        <v>40</v>
      </c>
      <c r="AJ204" s="6">
        <v>26</v>
      </c>
      <c r="AK204" s="272"/>
      <c r="AL204" s="272"/>
      <c r="AM204" s="272"/>
      <c r="AN204" s="6" t="s">
        <v>926</v>
      </c>
      <c r="AO204" s="6"/>
      <c r="AP204" s="6"/>
      <c r="AQ204" s="6" t="s">
        <v>927</v>
      </c>
      <c r="AR204" s="280">
        <v>258</v>
      </c>
    </row>
    <row r="205" spans="1:44" ht="15" customHeight="1">
      <c r="A205" s="6">
        <v>1040306</v>
      </c>
      <c r="B205" s="5" t="s">
        <v>3638</v>
      </c>
      <c r="C205" s="224" t="s">
        <v>4021</v>
      </c>
      <c r="D205" s="6" t="s">
        <v>81</v>
      </c>
      <c r="E205" s="6" t="s">
        <v>765</v>
      </c>
      <c r="F205" s="6">
        <v>3</v>
      </c>
      <c r="G205" s="6">
        <v>4</v>
      </c>
      <c r="H205" s="6" t="s">
        <v>136</v>
      </c>
      <c r="I205" s="5" t="s">
        <v>3640</v>
      </c>
      <c r="J205" s="6"/>
      <c r="K205" s="6"/>
      <c r="L205" s="234" t="s">
        <v>929</v>
      </c>
      <c r="M205" s="235"/>
      <c r="N205" s="235"/>
      <c r="O205" s="234"/>
      <c r="P205" s="40"/>
      <c r="Q205" s="40">
        <v>0</v>
      </c>
      <c r="R205" s="40" t="s">
        <v>153</v>
      </c>
      <c r="S205" s="6">
        <v>1040306</v>
      </c>
      <c r="T205" s="258"/>
      <c r="U205" s="259"/>
      <c r="V205" s="40" t="s">
        <v>902</v>
      </c>
      <c r="W205" s="57" t="s">
        <v>4022</v>
      </c>
      <c r="X205" s="57" t="s">
        <v>4022</v>
      </c>
      <c r="Y205" s="40"/>
      <c r="Z205" s="40"/>
      <c r="AA205" s="40"/>
      <c r="AB205" s="40"/>
      <c r="AC205" s="6"/>
      <c r="AD205" s="6"/>
      <c r="AE205" s="6">
        <v>0</v>
      </c>
      <c r="AF205" s="6"/>
      <c r="AG205" s="6"/>
      <c r="AH205" s="6"/>
      <c r="AI205" s="6"/>
      <c r="AJ205" s="6"/>
      <c r="AK205" s="272"/>
      <c r="AL205" s="272"/>
      <c r="AM205" s="272"/>
      <c r="AN205" s="6"/>
      <c r="AO205" s="6"/>
      <c r="AP205" s="6"/>
      <c r="AQ205" s="6" t="s">
        <v>931</v>
      </c>
      <c r="AR205" s="280"/>
    </row>
    <row r="206" spans="1:44" ht="15" customHeight="1">
      <c r="A206" s="6">
        <v>1040307</v>
      </c>
      <c r="B206" s="5" t="s">
        <v>3638</v>
      </c>
      <c r="C206" s="224" t="s">
        <v>4023</v>
      </c>
      <c r="D206" s="6" t="s">
        <v>81</v>
      </c>
      <c r="E206" s="6" t="s">
        <v>765</v>
      </c>
      <c r="F206" s="6">
        <v>4</v>
      </c>
      <c r="G206" s="6">
        <v>4</v>
      </c>
      <c r="H206" s="6" t="s">
        <v>136</v>
      </c>
      <c r="I206" s="5" t="s">
        <v>3640</v>
      </c>
      <c r="J206" s="6"/>
      <c r="K206" s="6"/>
      <c r="L206" s="234" t="s">
        <v>933</v>
      </c>
      <c r="M206" s="235"/>
      <c r="N206" s="235"/>
      <c r="O206" s="234"/>
      <c r="P206" s="40"/>
      <c r="Q206" s="40">
        <v>0</v>
      </c>
      <c r="R206" s="40" t="s">
        <v>153</v>
      </c>
      <c r="S206" s="6">
        <v>1040307</v>
      </c>
      <c r="T206" s="258"/>
      <c r="U206" s="259"/>
      <c r="V206" s="40" t="s">
        <v>902</v>
      </c>
      <c r="W206" s="57" t="s">
        <v>4024</v>
      </c>
      <c r="X206" s="57" t="s">
        <v>4024</v>
      </c>
      <c r="Y206" s="40"/>
      <c r="Z206" s="40"/>
      <c r="AA206" s="40"/>
      <c r="AB206" s="40"/>
      <c r="AC206" s="6"/>
      <c r="AD206" s="6"/>
      <c r="AE206" s="6">
        <v>0</v>
      </c>
      <c r="AF206" s="6"/>
      <c r="AG206" s="6"/>
      <c r="AH206" s="6"/>
      <c r="AI206" s="6"/>
      <c r="AJ206" s="6"/>
      <c r="AK206" s="272"/>
      <c r="AL206" s="272"/>
      <c r="AM206" s="272"/>
      <c r="AN206" s="6"/>
      <c r="AO206" s="6"/>
      <c r="AP206" s="6"/>
      <c r="AQ206" s="6" t="s">
        <v>935</v>
      </c>
      <c r="AR206" s="280"/>
    </row>
    <row r="207" spans="1:44" ht="15" customHeight="1">
      <c r="A207" s="6">
        <v>1040308</v>
      </c>
      <c r="B207" s="5" t="s">
        <v>3638</v>
      </c>
      <c r="C207" s="224" t="s">
        <v>4025</v>
      </c>
      <c r="D207" s="6" t="s">
        <v>81</v>
      </c>
      <c r="E207" s="6" t="s">
        <v>765</v>
      </c>
      <c r="F207" s="6">
        <v>5</v>
      </c>
      <c r="G207" s="6">
        <v>4</v>
      </c>
      <c r="H207" s="6" t="s">
        <v>136</v>
      </c>
      <c r="I207" s="5" t="s">
        <v>3640</v>
      </c>
      <c r="J207" s="6"/>
      <c r="K207" s="6"/>
      <c r="L207" s="234" t="s">
        <v>937</v>
      </c>
      <c r="M207" s="235"/>
      <c r="N207" s="235"/>
      <c r="O207" s="234"/>
      <c r="P207" s="40"/>
      <c r="Q207" s="40">
        <v>0</v>
      </c>
      <c r="R207" s="40" t="s">
        <v>153</v>
      </c>
      <c r="S207" s="6">
        <v>1040308</v>
      </c>
      <c r="T207" s="258"/>
      <c r="U207" s="259"/>
      <c r="V207" s="40" t="s">
        <v>902</v>
      </c>
      <c r="W207" s="57" t="s">
        <v>4026</v>
      </c>
      <c r="X207" s="57" t="s">
        <v>4026</v>
      </c>
      <c r="Y207" s="40"/>
      <c r="Z207" s="40"/>
      <c r="AA207" s="40"/>
      <c r="AB207" s="40"/>
      <c r="AC207" s="6"/>
      <c r="AD207" s="6"/>
      <c r="AE207" s="6">
        <v>0</v>
      </c>
      <c r="AF207" s="6"/>
      <c r="AG207" s="6"/>
      <c r="AH207" s="6"/>
      <c r="AI207" s="6"/>
      <c r="AJ207" s="6"/>
      <c r="AK207" s="272"/>
      <c r="AL207" s="272"/>
      <c r="AM207" s="272"/>
      <c r="AN207" s="6"/>
      <c r="AO207" s="6"/>
      <c r="AP207" s="6"/>
      <c r="AQ207" s="6" t="s">
        <v>939</v>
      </c>
      <c r="AR207" s="280"/>
    </row>
    <row r="208" spans="1:44" ht="15" customHeight="1">
      <c r="A208" s="6">
        <v>1040309</v>
      </c>
      <c r="B208" s="5" t="s">
        <v>3638</v>
      </c>
      <c r="C208" s="224" t="s">
        <v>4027</v>
      </c>
      <c r="D208" s="6" t="s">
        <v>81</v>
      </c>
      <c r="E208" s="6" t="s">
        <v>765</v>
      </c>
      <c r="F208" s="6">
        <v>6</v>
      </c>
      <c r="G208" s="6">
        <v>4</v>
      </c>
      <c r="H208" s="6" t="s">
        <v>136</v>
      </c>
      <c r="I208" s="5" t="s">
        <v>3640</v>
      </c>
      <c r="J208" s="6"/>
      <c r="K208" s="6"/>
      <c r="L208" s="234" t="s">
        <v>941</v>
      </c>
      <c r="M208" s="235"/>
      <c r="N208" s="235"/>
      <c r="O208" s="234"/>
      <c r="P208" s="40"/>
      <c r="Q208" s="40">
        <v>0</v>
      </c>
      <c r="R208" s="40" t="s">
        <v>153</v>
      </c>
      <c r="S208" s="6">
        <v>1040309</v>
      </c>
      <c r="T208" s="258"/>
      <c r="U208" s="259"/>
      <c r="V208" s="40" t="s">
        <v>902</v>
      </c>
      <c r="W208" s="57" t="s">
        <v>4028</v>
      </c>
      <c r="X208" s="57" t="s">
        <v>4028</v>
      </c>
      <c r="Y208" s="40"/>
      <c r="Z208" s="40"/>
      <c r="AA208" s="40"/>
      <c r="AB208" s="40"/>
      <c r="AC208" s="6"/>
      <c r="AD208" s="6"/>
      <c r="AE208" s="6">
        <v>0</v>
      </c>
      <c r="AF208" s="6"/>
      <c r="AG208" s="6"/>
      <c r="AH208" s="6"/>
      <c r="AI208" s="6"/>
      <c r="AJ208" s="6"/>
      <c r="AK208" s="272"/>
      <c r="AL208" s="272"/>
      <c r="AM208" s="272"/>
      <c r="AN208" s="6"/>
      <c r="AO208" s="6"/>
      <c r="AP208" s="6"/>
      <c r="AQ208" s="6" t="s">
        <v>943</v>
      </c>
      <c r="AR208" s="280"/>
    </row>
    <row r="209" spans="1:44" ht="15" customHeight="1">
      <c r="A209" s="6">
        <v>1040310</v>
      </c>
      <c r="B209" s="5" t="s">
        <v>3638</v>
      </c>
      <c r="C209" s="224" t="s">
        <v>4029</v>
      </c>
      <c r="D209" s="6" t="s">
        <v>81</v>
      </c>
      <c r="E209" s="6" t="s">
        <v>765</v>
      </c>
      <c r="F209" s="6">
        <v>7</v>
      </c>
      <c r="G209" s="6">
        <v>4</v>
      </c>
      <c r="H209" s="6" t="s">
        <v>136</v>
      </c>
      <c r="I209" s="5" t="s">
        <v>3640</v>
      </c>
      <c r="J209" s="6"/>
      <c r="K209" s="6"/>
      <c r="L209" s="234" t="s">
        <v>945</v>
      </c>
      <c r="M209" s="235"/>
      <c r="N209" s="235"/>
      <c r="O209" s="234"/>
      <c r="P209" s="40"/>
      <c r="Q209" s="40">
        <v>0</v>
      </c>
      <c r="R209" s="40" t="s">
        <v>153</v>
      </c>
      <c r="S209" s="6">
        <v>1040310</v>
      </c>
      <c r="T209" s="258"/>
      <c r="U209" s="259"/>
      <c r="V209" s="40" t="s">
        <v>902</v>
      </c>
      <c r="W209" s="57" t="s">
        <v>4030</v>
      </c>
      <c r="X209" s="57" t="s">
        <v>4030</v>
      </c>
      <c r="Y209" s="40"/>
      <c r="Z209" s="40"/>
      <c r="AA209" s="40"/>
      <c r="AB209" s="40"/>
      <c r="AC209" s="6"/>
      <c r="AD209" s="6"/>
      <c r="AE209" s="6">
        <v>0</v>
      </c>
      <c r="AF209" s="6"/>
      <c r="AG209" s="6"/>
      <c r="AH209" s="6"/>
      <c r="AI209" s="6"/>
      <c r="AJ209" s="6"/>
      <c r="AK209" s="272"/>
      <c r="AL209" s="272"/>
      <c r="AM209" s="272"/>
      <c r="AN209" s="6"/>
      <c r="AO209" s="6"/>
      <c r="AP209" s="6"/>
      <c r="AQ209" s="6" t="s">
        <v>947</v>
      </c>
      <c r="AR209" s="280"/>
    </row>
    <row r="210" spans="1:44" ht="15" customHeight="1">
      <c r="A210" s="3">
        <v>1040311</v>
      </c>
      <c r="B210" s="5" t="s">
        <v>3638</v>
      </c>
      <c r="C210" s="224" t="s">
        <v>4031</v>
      </c>
      <c r="D210" s="3" t="s">
        <v>81</v>
      </c>
      <c r="E210" s="3" t="s">
        <v>765</v>
      </c>
      <c r="F210" s="3">
        <v>8</v>
      </c>
      <c r="G210" s="3">
        <v>4</v>
      </c>
      <c r="H210" s="3" t="s">
        <v>136</v>
      </c>
      <c r="I210" s="5" t="s">
        <v>3640</v>
      </c>
      <c r="J210" s="3"/>
      <c r="K210" s="3"/>
      <c r="L210" s="236"/>
      <c r="M210" s="99"/>
      <c r="N210" s="99"/>
      <c r="O210" s="236"/>
      <c r="P210" s="22"/>
      <c r="Q210" s="22">
        <v>0</v>
      </c>
      <c r="R210" s="22" t="s">
        <v>153</v>
      </c>
      <c r="S210" s="3"/>
      <c r="T210" s="260"/>
      <c r="U210" s="261"/>
      <c r="V210" s="22"/>
      <c r="W210" s="57" t="s">
        <v>4032</v>
      </c>
      <c r="X210" s="57" t="s">
        <v>4032</v>
      </c>
      <c r="Y210" s="22"/>
      <c r="Z210" s="22"/>
      <c r="AA210" s="22"/>
      <c r="AB210" s="22" t="s">
        <v>114</v>
      </c>
      <c r="AC210" s="3"/>
      <c r="AD210" s="3"/>
      <c r="AE210" s="3">
        <v>0</v>
      </c>
      <c r="AF210" s="3">
        <v>0</v>
      </c>
      <c r="AG210" s="3">
        <v>0</v>
      </c>
      <c r="AH210" s="3"/>
      <c r="AI210" s="3">
        <v>0</v>
      </c>
      <c r="AJ210" s="3">
        <v>0</v>
      </c>
      <c r="AK210" s="3">
        <v>0</v>
      </c>
      <c r="AL210" s="3"/>
      <c r="AM210" s="3"/>
      <c r="AN210" s="3"/>
      <c r="AO210" s="3"/>
      <c r="AP210" s="3"/>
      <c r="AQ210" s="3" t="s">
        <v>927</v>
      </c>
      <c r="AR210" s="281"/>
    </row>
    <row r="211" spans="1:44" ht="15" customHeight="1">
      <c r="A211" s="3">
        <v>1040312</v>
      </c>
      <c r="B211" s="5" t="s">
        <v>3638</v>
      </c>
      <c r="C211" s="224" t="s">
        <v>4033</v>
      </c>
      <c r="D211" s="3" t="s">
        <v>81</v>
      </c>
      <c r="E211" s="3" t="s">
        <v>765</v>
      </c>
      <c r="F211" s="3">
        <v>9</v>
      </c>
      <c r="G211" s="3">
        <v>4</v>
      </c>
      <c r="H211" s="3" t="s">
        <v>136</v>
      </c>
      <c r="I211" s="5" t="s">
        <v>3640</v>
      </c>
      <c r="J211" s="3"/>
      <c r="K211" s="3"/>
      <c r="L211" s="236"/>
      <c r="M211" s="99"/>
      <c r="N211" s="99"/>
      <c r="O211" s="236"/>
      <c r="P211" s="22"/>
      <c r="Q211" s="22">
        <v>0</v>
      </c>
      <c r="R211" s="22" t="s">
        <v>153</v>
      </c>
      <c r="S211" s="3"/>
      <c r="T211" s="260"/>
      <c r="U211" s="261"/>
      <c r="V211" s="22"/>
      <c r="W211" s="57" t="s">
        <v>4034</v>
      </c>
      <c r="X211" s="57" t="s">
        <v>4034</v>
      </c>
      <c r="Y211" s="22"/>
      <c r="Z211" s="22"/>
      <c r="AA211" s="22"/>
      <c r="AB211" s="22" t="s">
        <v>114</v>
      </c>
      <c r="AC211" s="3"/>
      <c r="AD211" s="3"/>
      <c r="AE211" s="3">
        <v>0</v>
      </c>
      <c r="AF211" s="3">
        <v>0</v>
      </c>
      <c r="AG211" s="3">
        <v>0</v>
      </c>
      <c r="AH211" s="3"/>
      <c r="AI211" s="3">
        <v>0</v>
      </c>
      <c r="AJ211" s="3">
        <v>0</v>
      </c>
      <c r="AK211" s="3">
        <v>0</v>
      </c>
      <c r="AL211" s="3"/>
      <c r="AM211" s="3"/>
      <c r="AN211" s="3"/>
      <c r="AO211" s="3"/>
      <c r="AP211" s="3"/>
      <c r="AQ211" s="282" t="str">
        <f>"tricks/"&amp;A211</f>
        <v>tricks/1040312</v>
      </c>
    </row>
    <row r="212" spans="1:44" ht="15" customHeight="1">
      <c r="A212" s="3">
        <v>1040313</v>
      </c>
      <c r="B212" s="5" t="s">
        <v>3638</v>
      </c>
      <c r="C212" s="224" t="s">
        <v>4035</v>
      </c>
      <c r="D212" s="3" t="s">
        <v>81</v>
      </c>
      <c r="E212" s="3" t="s">
        <v>765</v>
      </c>
      <c r="F212" s="3">
        <v>10</v>
      </c>
      <c r="G212" s="3">
        <v>4</v>
      </c>
      <c r="H212" s="3" t="s">
        <v>136</v>
      </c>
      <c r="I212" s="5" t="s">
        <v>3640</v>
      </c>
      <c r="J212" s="3"/>
      <c r="K212" s="3"/>
      <c r="L212" s="236"/>
      <c r="M212" s="99"/>
      <c r="N212" s="99"/>
      <c r="O212" s="236"/>
      <c r="P212" s="22"/>
      <c r="Q212" s="22">
        <v>0</v>
      </c>
      <c r="R212" s="22" t="s">
        <v>153</v>
      </c>
      <c r="S212" s="3"/>
      <c r="T212" s="260"/>
      <c r="U212" s="261"/>
      <c r="V212" s="22"/>
      <c r="W212" s="57" t="s">
        <v>4036</v>
      </c>
      <c r="X212" s="57" t="s">
        <v>4036</v>
      </c>
      <c r="Y212" s="22"/>
      <c r="Z212" s="22"/>
      <c r="AA212" s="22"/>
      <c r="AB212" s="22" t="s">
        <v>114</v>
      </c>
      <c r="AC212" s="3"/>
      <c r="AD212" s="3"/>
      <c r="AE212" s="3">
        <v>0</v>
      </c>
      <c r="AF212" s="3">
        <v>0</v>
      </c>
      <c r="AG212" s="3">
        <v>0</v>
      </c>
      <c r="AH212" s="3"/>
      <c r="AI212" s="3">
        <v>0</v>
      </c>
      <c r="AJ212" s="3">
        <v>0</v>
      </c>
      <c r="AK212" s="3">
        <v>0</v>
      </c>
      <c r="AL212" s="3"/>
      <c r="AM212" s="3"/>
      <c r="AN212" s="3"/>
      <c r="AO212" s="3"/>
      <c r="AP212" s="3"/>
      <c r="AQ212" s="282" t="str">
        <f>"tricks/"&amp;A212</f>
        <v>tricks/1040313</v>
      </c>
    </row>
    <row r="213" spans="1:44" ht="15" customHeight="1">
      <c r="A213" s="7">
        <v>1040401</v>
      </c>
      <c r="B213" s="5" t="s">
        <v>3638</v>
      </c>
      <c r="C213" s="224" t="s">
        <v>4037</v>
      </c>
      <c r="D213" s="7" t="s">
        <v>81</v>
      </c>
      <c r="E213" s="7" t="s">
        <v>765</v>
      </c>
      <c r="F213" s="7">
        <v>1</v>
      </c>
      <c r="G213" s="7">
        <v>4</v>
      </c>
      <c r="H213" s="7" t="s">
        <v>82</v>
      </c>
      <c r="I213" s="5" t="s">
        <v>3640</v>
      </c>
      <c r="J213" s="7"/>
      <c r="K213" s="7">
        <v>1</v>
      </c>
      <c r="L213" s="350"/>
      <c r="M213" s="238"/>
      <c r="N213" s="238"/>
      <c r="O213" s="350"/>
      <c r="P213" s="239"/>
      <c r="Q213" s="239">
        <v>0</v>
      </c>
      <c r="R213" s="239" t="s">
        <v>85</v>
      </c>
      <c r="S213" s="7">
        <v>1040201</v>
      </c>
      <c r="T213" s="262" t="s">
        <v>956</v>
      </c>
      <c r="U213" s="263" t="s">
        <v>957</v>
      </c>
      <c r="V213" s="239" t="s">
        <v>841</v>
      </c>
      <c r="W213" s="57" t="s">
        <v>4038</v>
      </c>
      <c r="X213" s="57" t="s">
        <v>4038</v>
      </c>
      <c r="Y213" s="239"/>
      <c r="Z213" s="239"/>
      <c r="AA213" s="239">
        <v>3</v>
      </c>
      <c r="AB213" s="239" t="s">
        <v>90</v>
      </c>
      <c r="AC213" s="7"/>
      <c r="AD213" s="7"/>
      <c r="AE213" s="7">
        <v>1</v>
      </c>
      <c r="AF213" s="7">
        <v>2</v>
      </c>
      <c r="AG213" s="7">
        <v>7</v>
      </c>
      <c r="AH213" s="7"/>
      <c r="AI213" s="7">
        <v>40</v>
      </c>
      <c r="AJ213" s="7">
        <v>26</v>
      </c>
      <c r="AK213" s="273"/>
      <c r="AL213" s="273"/>
      <c r="AM213" s="273"/>
      <c r="AN213" s="395" t="s">
        <v>959</v>
      </c>
      <c r="AO213" s="395" t="s">
        <v>960</v>
      </c>
      <c r="AP213" s="395" t="s">
        <v>961</v>
      </c>
      <c r="AQ213" s="7" t="s">
        <v>962</v>
      </c>
      <c r="AR213" s="283">
        <v>352</v>
      </c>
    </row>
    <row r="214" spans="1:44" ht="15" customHeight="1">
      <c r="A214" s="7">
        <v>1040402</v>
      </c>
      <c r="B214" s="5" t="s">
        <v>3638</v>
      </c>
      <c r="C214" s="224" t="s">
        <v>4039</v>
      </c>
      <c r="D214" s="7" t="s">
        <v>81</v>
      </c>
      <c r="E214" s="7" t="s">
        <v>765</v>
      </c>
      <c r="F214" s="7">
        <v>1</v>
      </c>
      <c r="G214" s="7">
        <v>4</v>
      </c>
      <c r="H214" s="7" t="s">
        <v>136</v>
      </c>
      <c r="I214" s="5" t="s">
        <v>3640</v>
      </c>
      <c r="J214" s="7"/>
      <c r="K214" s="7"/>
      <c r="L214" s="350"/>
      <c r="M214" s="238"/>
      <c r="N214" s="238"/>
      <c r="O214" s="350"/>
      <c r="P214" s="239"/>
      <c r="Q214" s="239">
        <v>0</v>
      </c>
      <c r="R214" s="239" t="s">
        <v>153</v>
      </c>
      <c r="S214" s="7">
        <v>1040202</v>
      </c>
      <c r="T214" s="262"/>
      <c r="U214" s="263"/>
      <c r="V214" s="239" t="s">
        <v>841</v>
      </c>
      <c r="W214" s="57" t="s">
        <v>4040</v>
      </c>
      <c r="X214" s="57" t="s">
        <v>4040</v>
      </c>
      <c r="Y214" s="239"/>
      <c r="Z214" s="239"/>
      <c r="AA214" s="239">
        <v>1</v>
      </c>
      <c r="AB214" s="239"/>
      <c r="AC214" s="7"/>
      <c r="AD214" s="7"/>
      <c r="AE214" s="7">
        <v>0</v>
      </c>
      <c r="AF214" s="7">
        <v>0</v>
      </c>
      <c r="AG214" s="7">
        <v>0</v>
      </c>
      <c r="AH214" s="7"/>
      <c r="AI214" s="7">
        <v>0</v>
      </c>
      <c r="AJ214" s="7">
        <v>0</v>
      </c>
      <c r="AK214" s="273"/>
      <c r="AL214" s="273"/>
      <c r="AM214" s="273"/>
      <c r="AN214" s="7"/>
      <c r="AO214" s="277"/>
      <c r="AP214" s="277"/>
      <c r="AQ214" s="7" t="s">
        <v>965</v>
      </c>
      <c r="AR214" s="283"/>
    </row>
    <row r="215" spans="1:44" ht="15" customHeight="1">
      <c r="A215" s="7">
        <v>1040403</v>
      </c>
      <c r="B215" s="5" t="s">
        <v>3638</v>
      </c>
      <c r="C215" s="224" t="s">
        <v>4041</v>
      </c>
      <c r="D215" s="7" t="s">
        <v>81</v>
      </c>
      <c r="E215" s="7" t="s">
        <v>765</v>
      </c>
      <c r="F215" s="7">
        <v>1</v>
      </c>
      <c r="G215" s="7">
        <v>4</v>
      </c>
      <c r="H215" s="7" t="s">
        <v>82</v>
      </c>
      <c r="I215" s="5" t="s">
        <v>3640</v>
      </c>
      <c r="J215" s="7"/>
      <c r="K215" s="7">
        <v>2</v>
      </c>
      <c r="L215" s="350"/>
      <c r="M215" s="238"/>
      <c r="N215" s="238"/>
      <c r="O215" s="350"/>
      <c r="P215" s="239"/>
      <c r="Q215" s="239">
        <v>0</v>
      </c>
      <c r="R215" s="239" t="s">
        <v>85</v>
      </c>
      <c r="S215" s="7">
        <v>1040203</v>
      </c>
      <c r="T215" s="262" t="s">
        <v>967</v>
      </c>
      <c r="U215" s="263" t="s">
        <v>968</v>
      </c>
      <c r="V215" s="239" t="s">
        <v>841</v>
      </c>
      <c r="W215" s="57" t="s">
        <v>4042</v>
      </c>
      <c r="X215" s="57" t="s">
        <v>4042</v>
      </c>
      <c r="Y215" s="239"/>
      <c r="Z215" s="239"/>
      <c r="AA215" s="239">
        <v>2</v>
      </c>
      <c r="AB215" s="239" t="s">
        <v>90</v>
      </c>
      <c r="AC215" s="7"/>
      <c r="AD215" s="7"/>
      <c r="AE215" s="7">
        <v>1</v>
      </c>
      <c r="AF215" s="7">
        <v>1</v>
      </c>
      <c r="AG215" s="7">
        <v>6</v>
      </c>
      <c r="AH215" s="7"/>
      <c r="AI215" s="7">
        <v>35</v>
      </c>
      <c r="AJ215" s="7">
        <v>19</v>
      </c>
      <c r="AK215" s="273"/>
      <c r="AL215" s="273"/>
      <c r="AM215" s="273"/>
      <c r="AN215" s="277" t="s">
        <v>970</v>
      </c>
      <c r="AO215" s="277"/>
      <c r="AP215" s="277"/>
      <c r="AQ215" s="7" t="s">
        <v>971</v>
      </c>
      <c r="AR215" s="283">
        <v>353</v>
      </c>
    </row>
    <row r="216" spans="1:44" ht="15" customHeight="1">
      <c r="A216" s="7">
        <v>1040404</v>
      </c>
      <c r="B216" s="5" t="s">
        <v>3638</v>
      </c>
      <c r="C216" s="224" t="s">
        <v>4043</v>
      </c>
      <c r="D216" s="7" t="s">
        <v>81</v>
      </c>
      <c r="E216" s="7" t="s">
        <v>765</v>
      </c>
      <c r="F216" s="7">
        <v>2</v>
      </c>
      <c r="G216" s="7">
        <v>4</v>
      </c>
      <c r="H216" s="7" t="s">
        <v>136</v>
      </c>
      <c r="I216" s="5" t="s">
        <v>3640</v>
      </c>
      <c r="J216" s="7"/>
      <c r="K216" s="7"/>
      <c r="L216" s="350"/>
      <c r="M216" s="238"/>
      <c r="N216" s="238"/>
      <c r="O216" s="350"/>
      <c r="P216" s="239"/>
      <c r="Q216" s="239">
        <v>0</v>
      </c>
      <c r="R216" s="239" t="s">
        <v>153</v>
      </c>
      <c r="S216" s="7">
        <v>1040204</v>
      </c>
      <c r="T216" s="262"/>
      <c r="U216" s="263"/>
      <c r="V216" s="239" t="s">
        <v>841</v>
      </c>
      <c r="W216" s="57" t="s">
        <v>4044</v>
      </c>
      <c r="X216" s="57" t="s">
        <v>4044</v>
      </c>
      <c r="Y216" s="239"/>
      <c r="Z216" s="239"/>
      <c r="AA216" s="239">
        <v>2</v>
      </c>
      <c r="AB216" s="239"/>
      <c r="AC216" s="7"/>
      <c r="AD216" s="7"/>
      <c r="AE216" s="7">
        <v>0</v>
      </c>
      <c r="AF216" s="7">
        <v>0</v>
      </c>
      <c r="AG216" s="7">
        <v>0</v>
      </c>
      <c r="AH216" s="7"/>
      <c r="AI216" s="7">
        <v>0</v>
      </c>
      <c r="AJ216" s="7">
        <v>0</v>
      </c>
      <c r="AK216" s="273"/>
      <c r="AL216" s="273"/>
      <c r="AM216" s="273"/>
      <c r="AN216" s="277"/>
      <c r="AO216" s="277"/>
      <c r="AP216" s="277"/>
      <c r="AQ216" s="7" t="s">
        <v>974</v>
      </c>
      <c r="AR216" s="283"/>
    </row>
    <row r="217" spans="1:44" ht="15" customHeight="1">
      <c r="A217" s="7">
        <v>1040405</v>
      </c>
      <c r="B217" s="5" t="s">
        <v>3638</v>
      </c>
      <c r="C217" s="224" t="s">
        <v>4045</v>
      </c>
      <c r="D217" s="7" t="s">
        <v>81</v>
      </c>
      <c r="E217" s="7" t="s">
        <v>765</v>
      </c>
      <c r="F217" s="7">
        <v>1</v>
      </c>
      <c r="G217" s="7">
        <v>4</v>
      </c>
      <c r="H217" s="7" t="s">
        <v>82</v>
      </c>
      <c r="I217" s="5" t="s">
        <v>3640</v>
      </c>
      <c r="J217" s="7"/>
      <c r="K217" s="7">
        <v>3</v>
      </c>
      <c r="L217" s="350"/>
      <c r="M217" s="238"/>
      <c r="N217" s="238"/>
      <c r="O217" s="350"/>
      <c r="P217" s="239"/>
      <c r="Q217" s="239">
        <v>0</v>
      </c>
      <c r="R217" s="239" t="s">
        <v>85</v>
      </c>
      <c r="S217" s="7">
        <v>1040205</v>
      </c>
      <c r="T217" s="262" t="s">
        <v>976</v>
      </c>
      <c r="U217" s="263" t="s">
        <v>977</v>
      </c>
      <c r="V217" s="239" t="s">
        <v>841</v>
      </c>
      <c r="W217" s="57" t="s">
        <v>4046</v>
      </c>
      <c r="X217" s="57" t="s">
        <v>4046</v>
      </c>
      <c r="Y217" s="239"/>
      <c r="Z217" s="239"/>
      <c r="AA217" s="239">
        <v>3</v>
      </c>
      <c r="AB217" s="239" t="s">
        <v>90</v>
      </c>
      <c r="AC217" s="7"/>
      <c r="AD217" s="7"/>
      <c r="AE217" s="7">
        <v>1</v>
      </c>
      <c r="AF217" s="7">
        <v>1</v>
      </c>
      <c r="AG217" s="7">
        <v>5</v>
      </c>
      <c r="AH217" s="7"/>
      <c r="AI217" s="7">
        <v>32</v>
      </c>
      <c r="AJ217" s="7">
        <v>19</v>
      </c>
      <c r="AK217" s="273"/>
      <c r="AL217" s="273"/>
      <c r="AM217" s="273"/>
      <c r="AN217" s="277" t="s">
        <v>979</v>
      </c>
      <c r="AO217" s="277"/>
      <c r="AP217" s="277"/>
      <c r="AQ217" s="7" t="s">
        <v>980</v>
      </c>
      <c r="AR217" s="283">
        <v>354</v>
      </c>
    </row>
    <row r="218" spans="1:44" ht="15" customHeight="1">
      <c r="A218" s="7">
        <v>1040406</v>
      </c>
      <c r="B218" s="5" t="s">
        <v>3638</v>
      </c>
      <c r="C218" s="224" t="s">
        <v>4047</v>
      </c>
      <c r="D218" s="7" t="s">
        <v>81</v>
      </c>
      <c r="E218" s="7" t="s">
        <v>765</v>
      </c>
      <c r="F218" s="7">
        <v>3</v>
      </c>
      <c r="G218" s="7">
        <v>4</v>
      </c>
      <c r="H218" s="7" t="s">
        <v>136</v>
      </c>
      <c r="I218" s="5" t="s">
        <v>3640</v>
      </c>
      <c r="J218" s="7"/>
      <c r="K218" s="7"/>
      <c r="L218" s="350"/>
      <c r="M218" s="238"/>
      <c r="N218" s="238"/>
      <c r="O218" s="350"/>
      <c r="P218" s="239"/>
      <c r="Q218" s="239">
        <v>0</v>
      </c>
      <c r="R218" s="239" t="s">
        <v>153</v>
      </c>
      <c r="S218" s="7">
        <v>1040206</v>
      </c>
      <c r="T218" s="262"/>
      <c r="U218" s="263"/>
      <c r="V218" s="239" t="s">
        <v>841</v>
      </c>
      <c r="W218" s="57" t="s">
        <v>4048</v>
      </c>
      <c r="X218" s="57" t="s">
        <v>4048</v>
      </c>
      <c r="Y218" s="239"/>
      <c r="Z218" s="239"/>
      <c r="AA218" s="239"/>
      <c r="AB218" s="239"/>
      <c r="AC218" s="7"/>
      <c r="AD218" s="7"/>
      <c r="AE218" s="7">
        <v>0</v>
      </c>
      <c r="AF218" s="7"/>
      <c r="AG218" s="7"/>
      <c r="AH218" s="7"/>
      <c r="AI218" s="7"/>
      <c r="AJ218" s="7"/>
      <c r="AK218" s="273"/>
      <c r="AL218" s="273"/>
      <c r="AM218" s="273"/>
      <c r="AN218" s="7"/>
      <c r="AO218" s="7"/>
      <c r="AP218" s="7"/>
      <c r="AQ218" s="7" t="s">
        <v>983</v>
      </c>
      <c r="AR218" s="283"/>
    </row>
    <row r="219" spans="1:44" ht="15" customHeight="1">
      <c r="A219" s="7">
        <v>1040407</v>
      </c>
      <c r="B219" s="5" t="s">
        <v>3638</v>
      </c>
      <c r="C219" s="224" t="s">
        <v>4049</v>
      </c>
      <c r="D219" s="7" t="s">
        <v>81</v>
      </c>
      <c r="E219" s="7" t="s">
        <v>765</v>
      </c>
      <c r="F219" s="7">
        <v>4</v>
      </c>
      <c r="G219" s="7">
        <v>4</v>
      </c>
      <c r="H219" s="7" t="s">
        <v>136</v>
      </c>
      <c r="I219" s="5" t="s">
        <v>3640</v>
      </c>
      <c r="J219" s="7"/>
      <c r="K219" s="7"/>
      <c r="L219" s="350"/>
      <c r="M219" s="238"/>
      <c r="N219" s="238"/>
      <c r="O219" s="350"/>
      <c r="P219" s="239"/>
      <c r="Q219" s="239">
        <v>0</v>
      </c>
      <c r="R219" s="239" t="s">
        <v>153</v>
      </c>
      <c r="S219" s="7">
        <v>1040207</v>
      </c>
      <c r="T219" s="262"/>
      <c r="U219" s="263"/>
      <c r="V219" s="239" t="s">
        <v>841</v>
      </c>
      <c r="W219" s="57" t="s">
        <v>4050</v>
      </c>
      <c r="X219" s="57" t="s">
        <v>4050</v>
      </c>
      <c r="Y219" s="239"/>
      <c r="Z219" s="239"/>
      <c r="AA219" s="239"/>
      <c r="AB219" s="239"/>
      <c r="AC219" s="7"/>
      <c r="AD219" s="7"/>
      <c r="AE219" s="7">
        <v>0</v>
      </c>
      <c r="AF219" s="7"/>
      <c r="AG219" s="7"/>
      <c r="AH219" s="7"/>
      <c r="AI219" s="7"/>
      <c r="AJ219" s="7"/>
      <c r="AK219" s="273"/>
      <c r="AL219" s="273"/>
      <c r="AM219" s="273"/>
      <c r="AN219" s="7"/>
      <c r="AO219" s="7"/>
      <c r="AP219" s="7"/>
      <c r="AQ219" s="7" t="s">
        <v>986</v>
      </c>
      <c r="AR219" s="283"/>
    </row>
    <row r="220" spans="1:44" ht="15" customHeight="1">
      <c r="A220" s="7">
        <v>1040408</v>
      </c>
      <c r="B220" s="5" t="s">
        <v>3638</v>
      </c>
      <c r="C220" s="224" t="s">
        <v>4051</v>
      </c>
      <c r="D220" s="7" t="s">
        <v>81</v>
      </c>
      <c r="E220" s="7" t="s">
        <v>765</v>
      </c>
      <c r="F220" s="7">
        <v>5</v>
      </c>
      <c r="G220" s="7">
        <v>4</v>
      </c>
      <c r="H220" s="7" t="s">
        <v>136</v>
      </c>
      <c r="I220" s="5" t="s">
        <v>3640</v>
      </c>
      <c r="J220" s="7"/>
      <c r="K220" s="7"/>
      <c r="L220" s="350"/>
      <c r="M220" s="238"/>
      <c r="N220" s="238"/>
      <c r="O220" s="350"/>
      <c r="P220" s="239"/>
      <c r="Q220" s="239">
        <v>0</v>
      </c>
      <c r="R220" s="239" t="s">
        <v>153</v>
      </c>
      <c r="S220" s="7">
        <v>1040208</v>
      </c>
      <c r="T220" s="262"/>
      <c r="U220" s="263"/>
      <c r="V220" s="239" t="s">
        <v>841</v>
      </c>
      <c r="W220" s="57" t="s">
        <v>4052</v>
      </c>
      <c r="X220" s="57" t="s">
        <v>4052</v>
      </c>
      <c r="Y220" s="239"/>
      <c r="Z220" s="239"/>
      <c r="AA220" s="239"/>
      <c r="AB220" s="239"/>
      <c r="AC220" s="7"/>
      <c r="AD220" s="7"/>
      <c r="AE220" s="7">
        <v>0</v>
      </c>
      <c r="AF220" s="7"/>
      <c r="AG220" s="7"/>
      <c r="AH220" s="7"/>
      <c r="AI220" s="7"/>
      <c r="AJ220" s="7"/>
      <c r="AK220" s="273"/>
      <c r="AL220" s="273"/>
      <c r="AM220" s="273"/>
      <c r="AN220" s="7"/>
      <c r="AO220" s="7"/>
      <c r="AP220" s="7"/>
      <c r="AQ220" s="7" t="s">
        <v>989</v>
      </c>
      <c r="AR220" s="283"/>
    </row>
    <row r="221" spans="1:44" ht="15" customHeight="1">
      <c r="A221" s="7">
        <v>1040409</v>
      </c>
      <c r="B221" s="5" t="s">
        <v>3638</v>
      </c>
      <c r="C221" s="224" t="s">
        <v>4053</v>
      </c>
      <c r="D221" s="7" t="s">
        <v>81</v>
      </c>
      <c r="E221" s="7" t="s">
        <v>765</v>
      </c>
      <c r="F221" s="7">
        <v>6</v>
      </c>
      <c r="G221" s="7">
        <v>4</v>
      </c>
      <c r="H221" s="7" t="s">
        <v>136</v>
      </c>
      <c r="I221" s="5" t="s">
        <v>3640</v>
      </c>
      <c r="J221" s="7"/>
      <c r="K221" s="7"/>
      <c r="L221" s="350"/>
      <c r="M221" s="238"/>
      <c r="N221" s="238"/>
      <c r="O221" s="350"/>
      <c r="P221" s="239"/>
      <c r="Q221" s="239">
        <v>0</v>
      </c>
      <c r="R221" s="239" t="s">
        <v>153</v>
      </c>
      <c r="S221" s="7">
        <v>1040209</v>
      </c>
      <c r="T221" s="262"/>
      <c r="U221" s="263"/>
      <c r="V221" s="239" t="s">
        <v>841</v>
      </c>
      <c r="W221" s="57" t="s">
        <v>4054</v>
      </c>
      <c r="X221" s="57" t="s">
        <v>4054</v>
      </c>
      <c r="Y221" s="239"/>
      <c r="Z221" s="239"/>
      <c r="AA221" s="239"/>
      <c r="AB221" s="239"/>
      <c r="AC221" s="7"/>
      <c r="AD221" s="7"/>
      <c r="AE221" s="7">
        <v>0</v>
      </c>
      <c r="AF221" s="7"/>
      <c r="AG221" s="7"/>
      <c r="AH221" s="7"/>
      <c r="AI221" s="7"/>
      <c r="AJ221" s="7"/>
      <c r="AK221" s="273"/>
      <c r="AL221" s="273"/>
      <c r="AM221" s="273"/>
      <c r="AN221" s="7"/>
      <c r="AO221" s="7"/>
      <c r="AP221" s="7"/>
      <c r="AQ221" s="7" t="s">
        <v>992</v>
      </c>
      <c r="AR221" s="283"/>
    </row>
    <row r="222" spans="1:44" ht="15" customHeight="1">
      <c r="A222" s="3">
        <v>1040410</v>
      </c>
      <c r="B222" s="5" t="s">
        <v>3638</v>
      </c>
      <c r="C222" s="224" t="s">
        <v>4055</v>
      </c>
      <c r="D222" s="3" t="s">
        <v>81</v>
      </c>
      <c r="E222" s="3" t="s">
        <v>765</v>
      </c>
      <c r="F222" s="3">
        <v>7</v>
      </c>
      <c r="G222" s="3">
        <v>4</v>
      </c>
      <c r="H222" s="3" t="s">
        <v>136</v>
      </c>
      <c r="I222" s="5" t="s">
        <v>3640</v>
      </c>
      <c r="J222" s="3"/>
      <c r="K222" s="3"/>
      <c r="L222" s="236"/>
      <c r="M222" s="99"/>
      <c r="N222" s="99"/>
      <c r="O222" s="236"/>
      <c r="P222" s="22"/>
      <c r="Q222" s="22">
        <v>0</v>
      </c>
      <c r="R222" s="22" t="s">
        <v>153</v>
      </c>
      <c r="S222" s="3">
        <v>1040210</v>
      </c>
      <c r="T222" s="260"/>
      <c r="U222" s="261"/>
      <c r="V222" s="22" t="s">
        <v>841</v>
      </c>
      <c r="W222" s="57" t="s">
        <v>4056</v>
      </c>
      <c r="X222" s="57" t="s">
        <v>4056</v>
      </c>
      <c r="Y222" s="22"/>
      <c r="Z222" s="22"/>
      <c r="AA222" s="22"/>
      <c r="AB222" s="22"/>
      <c r="AC222" s="3"/>
      <c r="AD222" s="3"/>
      <c r="AE222" s="3">
        <v>0</v>
      </c>
      <c r="AF222" s="3"/>
      <c r="AG222" s="3"/>
      <c r="AH222" s="3"/>
      <c r="AI222" s="3"/>
      <c r="AJ222" s="3"/>
      <c r="AK222" s="89"/>
      <c r="AL222" s="89"/>
      <c r="AM222" s="89"/>
      <c r="AN222" s="3"/>
      <c r="AO222" s="3"/>
      <c r="AP222" s="3"/>
      <c r="AQ222" s="3" t="s">
        <v>995</v>
      </c>
      <c r="AR222" s="281"/>
    </row>
    <row r="223" spans="1:44" ht="15" customHeight="1">
      <c r="A223" s="3">
        <v>1040411</v>
      </c>
      <c r="B223" s="5" t="s">
        <v>3638</v>
      </c>
      <c r="C223" s="224" t="s">
        <v>4057</v>
      </c>
      <c r="D223" s="3" t="s">
        <v>81</v>
      </c>
      <c r="E223" s="3" t="s">
        <v>765</v>
      </c>
      <c r="F223" s="3">
        <v>8</v>
      </c>
      <c r="G223" s="3">
        <v>4</v>
      </c>
      <c r="H223" s="3" t="s">
        <v>136</v>
      </c>
      <c r="I223" s="5" t="s">
        <v>3640</v>
      </c>
      <c r="J223" s="3"/>
      <c r="K223" s="3"/>
      <c r="L223" s="236"/>
      <c r="M223" s="99"/>
      <c r="N223" s="99"/>
      <c r="O223" s="236"/>
      <c r="P223" s="22"/>
      <c r="Q223" s="22">
        <v>0</v>
      </c>
      <c r="R223" s="22" t="s">
        <v>153</v>
      </c>
      <c r="S223" s="3"/>
      <c r="T223" s="260"/>
      <c r="U223" s="261"/>
      <c r="V223" s="22"/>
      <c r="W223" s="57" t="s">
        <v>3773</v>
      </c>
      <c r="X223" s="57" t="s">
        <v>3773</v>
      </c>
      <c r="Y223" s="22"/>
      <c r="Z223" s="22"/>
      <c r="AA223" s="22"/>
      <c r="AB223" s="22" t="s">
        <v>114</v>
      </c>
      <c r="AC223" s="3"/>
      <c r="AD223" s="3"/>
      <c r="AE223" s="3">
        <v>0</v>
      </c>
      <c r="AF223" s="3">
        <v>0</v>
      </c>
      <c r="AG223" s="3">
        <v>0</v>
      </c>
      <c r="AH223" s="3"/>
      <c r="AI223" s="3">
        <v>0</v>
      </c>
      <c r="AJ223" s="3">
        <v>0</v>
      </c>
      <c r="AK223" s="3">
        <v>0</v>
      </c>
      <c r="AL223" s="3"/>
      <c r="AM223" s="3"/>
      <c r="AN223" s="3"/>
      <c r="AO223" s="3"/>
      <c r="AP223" s="3"/>
      <c r="AQ223" s="3" t="s">
        <v>997</v>
      </c>
      <c r="AR223" s="281"/>
    </row>
    <row r="224" spans="1:44" ht="15" customHeight="1">
      <c r="A224" s="3">
        <v>1040412</v>
      </c>
      <c r="B224" s="5" t="s">
        <v>3638</v>
      </c>
      <c r="C224" s="224" t="s">
        <v>4058</v>
      </c>
      <c r="D224" s="3" t="s">
        <v>81</v>
      </c>
      <c r="E224" s="3" t="s">
        <v>765</v>
      </c>
      <c r="F224" s="3">
        <v>9</v>
      </c>
      <c r="G224" s="3">
        <v>4</v>
      </c>
      <c r="H224" s="3" t="s">
        <v>136</v>
      </c>
      <c r="I224" s="5" t="s">
        <v>3640</v>
      </c>
      <c r="J224" s="3"/>
      <c r="K224" s="3"/>
      <c r="L224" s="236"/>
      <c r="M224" s="99"/>
      <c r="N224" s="99"/>
      <c r="O224" s="236"/>
      <c r="P224" s="22"/>
      <c r="Q224" s="22">
        <v>0</v>
      </c>
      <c r="R224" s="22" t="s">
        <v>153</v>
      </c>
      <c r="S224" s="3"/>
      <c r="T224" s="260"/>
      <c r="U224" s="261"/>
      <c r="V224" s="22"/>
      <c r="W224" s="57" t="s">
        <v>4059</v>
      </c>
      <c r="X224" s="57" t="s">
        <v>4059</v>
      </c>
      <c r="Y224" s="22"/>
      <c r="Z224" s="22"/>
      <c r="AA224" s="22"/>
      <c r="AB224" s="22" t="s">
        <v>114</v>
      </c>
      <c r="AC224" s="3"/>
      <c r="AD224" s="3"/>
      <c r="AE224" s="3">
        <v>0</v>
      </c>
      <c r="AF224" s="3">
        <v>0</v>
      </c>
      <c r="AG224" s="3">
        <v>0</v>
      </c>
      <c r="AH224" s="3"/>
      <c r="AI224" s="3">
        <v>0</v>
      </c>
      <c r="AJ224" s="3">
        <v>0</v>
      </c>
      <c r="AK224" s="3">
        <v>0</v>
      </c>
      <c r="AL224" s="3"/>
      <c r="AM224" s="3"/>
      <c r="AN224" s="3"/>
      <c r="AO224" s="3"/>
      <c r="AP224" s="3"/>
      <c r="AQ224" s="282" t="str">
        <f>"tricks/"&amp;A224</f>
        <v>tricks/1040412</v>
      </c>
    </row>
    <row r="225" spans="1:44" ht="15" customHeight="1">
      <c r="A225" s="3">
        <v>1040413</v>
      </c>
      <c r="B225" s="5" t="s">
        <v>3638</v>
      </c>
      <c r="C225" s="224" t="s">
        <v>4060</v>
      </c>
      <c r="D225" s="3" t="s">
        <v>81</v>
      </c>
      <c r="E225" s="3" t="s">
        <v>765</v>
      </c>
      <c r="F225" s="3">
        <v>10</v>
      </c>
      <c r="G225" s="3">
        <v>4</v>
      </c>
      <c r="H225" s="3" t="s">
        <v>136</v>
      </c>
      <c r="I225" s="5" t="s">
        <v>3640</v>
      </c>
      <c r="J225" s="3"/>
      <c r="K225" s="3"/>
      <c r="L225" s="236"/>
      <c r="M225" s="99"/>
      <c r="N225" s="99"/>
      <c r="O225" s="236"/>
      <c r="P225" s="22"/>
      <c r="Q225" s="22">
        <v>0</v>
      </c>
      <c r="R225" s="22" t="s">
        <v>153</v>
      </c>
      <c r="S225" s="3"/>
      <c r="T225" s="260"/>
      <c r="U225" s="261"/>
      <c r="V225" s="22"/>
      <c r="W225" s="57" t="s">
        <v>4061</v>
      </c>
      <c r="X225" s="57" t="s">
        <v>4061</v>
      </c>
      <c r="Y225" s="22"/>
      <c r="Z225" s="22"/>
      <c r="AA225" s="22"/>
      <c r="AB225" s="22" t="s">
        <v>114</v>
      </c>
      <c r="AC225" s="3"/>
      <c r="AD225" s="3"/>
      <c r="AE225" s="3">
        <v>0</v>
      </c>
      <c r="AF225" s="3">
        <v>0</v>
      </c>
      <c r="AG225" s="3">
        <v>0</v>
      </c>
      <c r="AH225" s="3"/>
      <c r="AI225" s="3">
        <v>0</v>
      </c>
      <c r="AJ225" s="3">
        <v>0</v>
      </c>
      <c r="AK225" s="3">
        <v>0</v>
      </c>
      <c r="AL225" s="3"/>
      <c r="AM225" s="3"/>
      <c r="AN225" s="3"/>
      <c r="AO225" s="3"/>
      <c r="AP225" s="3"/>
      <c r="AQ225" s="282" t="str">
        <f>"tricks/"&amp;A225</f>
        <v>tricks/1040413</v>
      </c>
    </row>
    <row r="226" spans="1:44" ht="15" customHeight="1">
      <c r="A226" s="3">
        <v>1046001</v>
      </c>
      <c r="B226" s="5" t="s">
        <v>3638</v>
      </c>
      <c r="C226" s="224" t="s">
        <v>4062</v>
      </c>
      <c r="D226" s="3" t="s">
        <v>81</v>
      </c>
      <c r="E226" s="3" t="s">
        <v>765</v>
      </c>
      <c r="F226" s="3">
        <v>1</v>
      </c>
      <c r="G226" s="3">
        <v>4</v>
      </c>
      <c r="H226" s="3" t="s">
        <v>136</v>
      </c>
      <c r="I226" s="5" t="s">
        <v>3640</v>
      </c>
      <c r="J226" s="3"/>
      <c r="K226" s="3"/>
      <c r="L226" s="365" t="s">
        <v>1003</v>
      </c>
      <c r="M226" s="99"/>
      <c r="N226" s="99"/>
      <c r="O226" s="22"/>
      <c r="P226" s="3"/>
      <c r="Q226" s="22">
        <v>0</v>
      </c>
      <c r="R226" s="22" t="s">
        <v>85</v>
      </c>
      <c r="S226" s="3">
        <v>1046001</v>
      </c>
      <c r="T226" s="260" t="s">
        <v>1004</v>
      </c>
      <c r="U226" s="261" t="s">
        <v>1005</v>
      </c>
      <c r="V226" s="22" t="s">
        <v>582</v>
      </c>
      <c r="W226" s="57" t="s">
        <v>4063</v>
      </c>
      <c r="X226" s="57" t="s">
        <v>4063</v>
      </c>
      <c r="AE226" s="1">
        <v>2</v>
      </c>
      <c r="AF226" s="1">
        <v>0</v>
      </c>
      <c r="AG226" s="1">
        <v>0</v>
      </c>
      <c r="AI226" s="1">
        <v>0</v>
      </c>
      <c r="AJ226" s="1">
        <v>0</v>
      </c>
      <c r="AN226" s="1" t="s">
        <v>1007</v>
      </c>
      <c r="AQ226" s="403" t="s">
        <v>1008</v>
      </c>
    </row>
    <row r="227" spans="1:44" ht="15" customHeight="1">
      <c r="A227" s="33">
        <v>1050001</v>
      </c>
      <c r="B227" s="5" t="s">
        <v>3638</v>
      </c>
      <c r="C227" s="224" t="s">
        <v>4064</v>
      </c>
      <c r="D227" s="33" t="s">
        <v>81</v>
      </c>
      <c r="E227" s="33" t="s">
        <v>1009</v>
      </c>
      <c r="F227" s="33">
        <v>1</v>
      </c>
      <c r="G227" s="33">
        <v>5</v>
      </c>
      <c r="H227" s="33" t="s">
        <v>82</v>
      </c>
      <c r="I227" s="5" t="s">
        <v>3640</v>
      </c>
      <c r="J227" s="33"/>
      <c r="K227" s="33">
        <v>4</v>
      </c>
      <c r="L227" s="366" t="s">
        <v>1011</v>
      </c>
      <c r="M227" s="367"/>
      <c r="N227" s="367"/>
      <c r="O227" s="368"/>
      <c r="P227" s="369">
        <v>5</v>
      </c>
      <c r="Q227" s="369">
        <v>0</v>
      </c>
      <c r="R227" s="369" t="s">
        <v>85</v>
      </c>
      <c r="S227" s="33">
        <v>1050001</v>
      </c>
      <c r="T227" s="380" t="s">
        <v>1012</v>
      </c>
      <c r="U227" s="381" t="s">
        <v>1013</v>
      </c>
      <c r="V227" s="369" t="s">
        <v>530</v>
      </c>
      <c r="W227" s="57" t="s">
        <v>4065</v>
      </c>
      <c r="X227" s="57" t="s">
        <v>4065</v>
      </c>
      <c r="Y227" s="369"/>
      <c r="Z227" s="369"/>
      <c r="AA227" s="369">
        <v>1</v>
      </c>
      <c r="AB227" s="369" t="s">
        <v>90</v>
      </c>
      <c r="AC227" s="33"/>
      <c r="AD227" s="33"/>
      <c r="AE227" s="33">
        <v>2</v>
      </c>
      <c r="AF227" s="33">
        <v>0</v>
      </c>
      <c r="AG227" s="33">
        <v>4</v>
      </c>
      <c r="AH227" s="33"/>
      <c r="AI227" s="33">
        <v>45</v>
      </c>
      <c r="AJ227" s="33">
        <v>32</v>
      </c>
      <c r="AK227" s="396" t="s">
        <v>1015</v>
      </c>
      <c r="AL227" s="396"/>
      <c r="AM227" s="396"/>
      <c r="AN227" s="397" t="s">
        <v>1016</v>
      </c>
      <c r="AO227" s="397"/>
      <c r="AP227" s="397"/>
      <c r="AQ227" s="33" t="s">
        <v>1017</v>
      </c>
      <c r="AR227" s="404">
        <v>265</v>
      </c>
    </row>
    <row r="228" spans="1:44" ht="15" customHeight="1">
      <c r="A228" s="33">
        <v>1050002</v>
      </c>
      <c r="B228" s="5" t="s">
        <v>3638</v>
      </c>
      <c r="C228" s="224" t="s">
        <v>4066</v>
      </c>
      <c r="D228" s="33" t="s">
        <v>81</v>
      </c>
      <c r="E228" s="33" t="s">
        <v>1009</v>
      </c>
      <c r="F228" s="33">
        <v>1</v>
      </c>
      <c r="G228" s="33">
        <v>5</v>
      </c>
      <c r="H228" s="33" t="s">
        <v>82</v>
      </c>
      <c r="I228" s="5" t="s">
        <v>3640</v>
      </c>
      <c r="J228" s="33"/>
      <c r="K228" s="33">
        <v>5</v>
      </c>
      <c r="L228" s="366" t="s">
        <v>1019</v>
      </c>
      <c r="M228" s="367"/>
      <c r="N228" s="367"/>
      <c r="O228" s="368"/>
      <c r="P228" s="369">
        <v>1</v>
      </c>
      <c r="Q228" s="369">
        <v>0</v>
      </c>
      <c r="R228" s="369" t="s">
        <v>85</v>
      </c>
      <c r="S228" s="33">
        <v>1050002</v>
      </c>
      <c r="T228" s="380" t="s">
        <v>1012</v>
      </c>
      <c r="U228" s="381" t="s">
        <v>1013</v>
      </c>
      <c r="V228" s="369" t="s">
        <v>530</v>
      </c>
      <c r="W228" s="57" t="s">
        <v>4067</v>
      </c>
      <c r="X228" s="57" t="s">
        <v>4067</v>
      </c>
      <c r="Y228" s="369"/>
      <c r="Z228" s="369"/>
      <c r="AA228" s="369">
        <v>1</v>
      </c>
      <c r="AB228" s="369" t="s">
        <v>90</v>
      </c>
      <c r="AC228" s="33" t="s">
        <v>1021</v>
      </c>
      <c r="AD228" s="33"/>
      <c r="AE228" s="33">
        <v>2</v>
      </c>
      <c r="AF228" s="33">
        <v>0</v>
      </c>
      <c r="AG228" s="33">
        <v>4</v>
      </c>
      <c r="AH228" s="33"/>
      <c r="AI228" s="33">
        <v>58</v>
      </c>
      <c r="AJ228" s="33">
        <v>39</v>
      </c>
      <c r="AK228" s="396"/>
      <c r="AL228" s="396"/>
      <c r="AM228" s="396"/>
      <c r="AN228" s="397" t="s">
        <v>1022</v>
      </c>
      <c r="AO228" s="397"/>
      <c r="AP228" s="397"/>
      <c r="AQ228" s="33" t="s">
        <v>1023</v>
      </c>
      <c r="AR228" s="404">
        <v>266</v>
      </c>
    </row>
    <row r="229" spans="1:44" ht="15" customHeight="1">
      <c r="A229" s="34">
        <v>1050101</v>
      </c>
      <c r="B229" s="5" t="s">
        <v>3638</v>
      </c>
      <c r="C229" s="224" t="s">
        <v>4068</v>
      </c>
      <c r="D229" s="34" t="s">
        <v>81</v>
      </c>
      <c r="E229" s="34" t="s">
        <v>1009</v>
      </c>
      <c r="F229" s="34">
        <v>1</v>
      </c>
      <c r="G229" s="34">
        <v>5</v>
      </c>
      <c r="H229" s="34" t="s">
        <v>82</v>
      </c>
      <c r="I229" s="5" t="s">
        <v>3640</v>
      </c>
      <c r="J229" s="34"/>
      <c r="K229" s="34">
        <v>1</v>
      </c>
      <c r="L229" s="370" t="s">
        <v>1026</v>
      </c>
      <c r="M229" s="371"/>
      <c r="N229" s="371"/>
      <c r="O229" s="34"/>
      <c r="P229" s="130">
        <v>2</v>
      </c>
      <c r="Q229" s="130">
        <v>0</v>
      </c>
      <c r="R229" s="130" t="s">
        <v>85</v>
      </c>
      <c r="S229" s="34">
        <v>1050101</v>
      </c>
      <c r="T229" s="382" t="s">
        <v>1027</v>
      </c>
      <c r="U229" s="383" t="s">
        <v>1028</v>
      </c>
      <c r="V229" s="130" t="s">
        <v>530</v>
      </c>
      <c r="W229" s="57" t="s">
        <v>4069</v>
      </c>
      <c r="X229" s="57" t="s">
        <v>4069</v>
      </c>
      <c r="Y229" s="130"/>
      <c r="Z229" s="130"/>
      <c r="AA229" s="130">
        <v>1</v>
      </c>
      <c r="AB229" s="130" t="s">
        <v>90</v>
      </c>
      <c r="AC229" s="34"/>
      <c r="AD229" s="34"/>
      <c r="AE229" s="34">
        <v>1</v>
      </c>
      <c r="AF229" s="34">
        <v>2</v>
      </c>
      <c r="AG229" s="34">
        <v>6</v>
      </c>
      <c r="AH229" s="34"/>
      <c r="AI229" s="34">
        <v>39</v>
      </c>
      <c r="AJ229" s="34">
        <v>26</v>
      </c>
      <c r="AK229" s="131"/>
      <c r="AL229" s="131"/>
      <c r="AM229" s="131"/>
      <c r="AN229" s="398" t="s">
        <v>1030</v>
      </c>
      <c r="AO229" s="398" t="s">
        <v>1031</v>
      </c>
      <c r="AP229" s="398"/>
      <c r="AQ229" s="34" t="s">
        <v>1032</v>
      </c>
      <c r="AR229" s="405">
        <v>262</v>
      </c>
    </row>
    <row r="230" spans="1:44" ht="15" customHeight="1">
      <c r="A230" s="34">
        <v>1050102</v>
      </c>
      <c r="B230" s="5" t="s">
        <v>3638</v>
      </c>
      <c r="C230" s="224" t="s">
        <v>4070</v>
      </c>
      <c r="D230" s="34" t="s">
        <v>81</v>
      </c>
      <c r="E230" s="34" t="s">
        <v>1009</v>
      </c>
      <c r="F230" s="34">
        <v>1</v>
      </c>
      <c r="G230" s="34">
        <v>5</v>
      </c>
      <c r="H230" s="34" t="s">
        <v>136</v>
      </c>
      <c r="I230" s="5" t="s">
        <v>3640</v>
      </c>
      <c r="J230" s="34"/>
      <c r="K230" s="34"/>
      <c r="L230" s="372" t="s">
        <v>1034</v>
      </c>
      <c r="M230" s="371"/>
      <c r="N230" s="371"/>
      <c r="O230" s="34"/>
      <c r="P230" s="130">
        <v>3</v>
      </c>
      <c r="Q230" s="130">
        <v>0</v>
      </c>
      <c r="R230" s="130" t="s">
        <v>153</v>
      </c>
      <c r="S230" s="34">
        <v>1050102</v>
      </c>
      <c r="T230" s="382"/>
      <c r="U230" s="383"/>
      <c r="V230" s="130" t="s">
        <v>530</v>
      </c>
      <c r="W230" s="57" t="s">
        <v>4071</v>
      </c>
      <c r="X230" s="57" t="s">
        <v>4071</v>
      </c>
      <c r="Y230" s="130"/>
      <c r="Z230" s="130"/>
      <c r="AA230" s="130">
        <v>1</v>
      </c>
      <c r="AB230" s="130"/>
      <c r="AC230" s="34"/>
      <c r="AD230" s="34"/>
      <c r="AE230" s="34">
        <v>0</v>
      </c>
      <c r="AF230" s="34">
        <v>0</v>
      </c>
      <c r="AG230" s="34">
        <v>0</v>
      </c>
      <c r="AH230" s="34"/>
      <c r="AI230" s="34">
        <v>0</v>
      </c>
      <c r="AJ230" s="34">
        <v>0</v>
      </c>
      <c r="AK230" s="131">
        <v>8050104</v>
      </c>
      <c r="AL230" s="131"/>
      <c r="AM230" s="131"/>
      <c r="AN230" s="398"/>
      <c r="AO230" s="398"/>
      <c r="AP230" s="398"/>
      <c r="AQ230" s="34" t="s">
        <v>1036</v>
      </c>
      <c r="AR230" s="405"/>
    </row>
    <row r="231" spans="1:44" ht="15" customHeight="1">
      <c r="A231" s="34">
        <v>1050103</v>
      </c>
      <c r="B231" s="5" t="s">
        <v>3638</v>
      </c>
      <c r="C231" s="224" t="s">
        <v>4072</v>
      </c>
      <c r="D231" s="34" t="s">
        <v>81</v>
      </c>
      <c r="E231" s="34" t="s">
        <v>1009</v>
      </c>
      <c r="F231" s="34">
        <v>1</v>
      </c>
      <c r="G231" s="34">
        <v>5</v>
      </c>
      <c r="H231" s="34" t="s">
        <v>82</v>
      </c>
      <c r="I231" s="5" t="s">
        <v>3640</v>
      </c>
      <c r="J231" s="34"/>
      <c r="K231" s="34">
        <v>2</v>
      </c>
      <c r="L231" s="370" t="s">
        <v>1038</v>
      </c>
      <c r="M231" s="371"/>
      <c r="N231" s="371"/>
      <c r="O231" s="34"/>
      <c r="P231" s="130">
        <v>1</v>
      </c>
      <c r="Q231" s="130">
        <v>0</v>
      </c>
      <c r="R231" s="130" t="s">
        <v>1039</v>
      </c>
      <c r="S231" s="34">
        <v>1050103</v>
      </c>
      <c r="T231" s="382"/>
      <c r="U231" s="383"/>
      <c r="V231" s="130" t="s">
        <v>530</v>
      </c>
      <c r="W231" s="57" t="s">
        <v>4073</v>
      </c>
      <c r="X231" s="57" t="s">
        <v>4073</v>
      </c>
      <c r="Y231" s="130"/>
      <c r="Z231" s="130"/>
      <c r="AA231" s="130">
        <v>1</v>
      </c>
      <c r="AB231" s="130" t="s">
        <v>90</v>
      </c>
      <c r="AC231" s="34"/>
      <c r="AD231" s="34"/>
      <c r="AE231" s="34">
        <v>1</v>
      </c>
      <c r="AF231" s="34">
        <v>1</v>
      </c>
      <c r="AG231" s="34">
        <v>5</v>
      </c>
      <c r="AH231" s="34"/>
      <c r="AI231" s="34">
        <v>39</v>
      </c>
      <c r="AJ231" s="34">
        <v>26</v>
      </c>
      <c r="AK231" s="131">
        <v>8050101</v>
      </c>
      <c r="AL231" s="131"/>
      <c r="AM231" s="131"/>
      <c r="AN231" s="398" t="s">
        <v>1041</v>
      </c>
      <c r="AO231" s="398"/>
      <c r="AP231" s="398"/>
      <c r="AQ231" s="34" t="s">
        <v>1042</v>
      </c>
      <c r="AR231" s="405">
        <v>263</v>
      </c>
    </row>
    <row r="232" spans="1:44" ht="15" customHeight="1">
      <c r="A232" s="34">
        <v>1050104</v>
      </c>
      <c r="B232" s="5" t="s">
        <v>3638</v>
      </c>
      <c r="C232" s="224" t="s">
        <v>4074</v>
      </c>
      <c r="D232" s="34" t="s">
        <v>81</v>
      </c>
      <c r="E232" s="34" t="s">
        <v>1009</v>
      </c>
      <c r="F232" s="34">
        <v>2</v>
      </c>
      <c r="G232" s="34">
        <v>5</v>
      </c>
      <c r="H232" s="34" t="s">
        <v>136</v>
      </c>
      <c r="I232" s="5" t="s">
        <v>3640</v>
      </c>
      <c r="J232" s="34"/>
      <c r="K232" s="34"/>
      <c r="L232" s="372" t="s">
        <v>1044</v>
      </c>
      <c r="M232" s="34"/>
      <c r="N232" s="34"/>
      <c r="O232" s="34"/>
      <c r="P232" s="34"/>
      <c r="Q232" s="130">
        <v>0</v>
      </c>
      <c r="R232" s="34" t="s">
        <v>153</v>
      </c>
      <c r="S232" s="34">
        <v>1050104</v>
      </c>
      <c r="T232" s="382"/>
      <c r="U232" s="383"/>
      <c r="V232" s="130" t="s">
        <v>530</v>
      </c>
      <c r="W232" s="57" t="s">
        <v>4075</v>
      </c>
      <c r="X232" s="57" t="s">
        <v>4075</v>
      </c>
      <c r="Y232" s="130"/>
      <c r="Z232" s="130"/>
      <c r="AA232" s="130">
        <v>2</v>
      </c>
      <c r="AB232" s="130" t="s">
        <v>114</v>
      </c>
      <c r="AC232" s="34"/>
      <c r="AD232" s="34"/>
      <c r="AE232" s="34">
        <v>0</v>
      </c>
      <c r="AF232" s="34">
        <v>0</v>
      </c>
      <c r="AG232" s="34">
        <v>0</v>
      </c>
      <c r="AH232" s="34"/>
      <c r="AI232" s="34">
        <v>0</v>
      </c>
      <c r="AJ232" s="34">
        <v>0</v>
      </c>
      <c r="AK232" s="131">
        <v>8050105</v>
      </c>
      <c r="AL232" s="131"/>
      <c r="AM232" s="131"/>
      <c r="AN232" s="398"/>
      <c r="AO232" s="398"/>
      <c r="AP232" s="398"/>
      <c r="AQ232" s="34" t="s">
        <v>1046</v>
      </c>
      <c r="AR232" s="405"/>
    </row>
    <row r="233" spans="1:44" ht="15" customHeight="1">
      <c r="A233" s="34">
        <v>1050105</v>
      </c>
      <c r="B233" s="5" t="s">
        <v>3638</v>
      </c>
      <c r="C233" s="224" t="s">
        <v>4076</v>
      </c>
      <c r="D233" s="34" t="s">
        <v>81</v>
      </c>
      <c r="E233" s="34" t="s">
        <v>1009</v>
      </c>
      <c r="F233" s="34">
        <v>1</v>
      </c>
      <c r="G233" s="34">
        <v>5</v>
      </c>
      <c r="H233" s="34" t="s">
        <v>82</v>
      </c>
      <c r="I233" s="5" t="s">
        <v>3640</v>
      </c>
      <c r="J233" s="34"/>
      <c r="K233" s="34">
        <v>3</v>
      </c>
      <c r="L233" s="372" t="s">
        <v>1048</v>
      </c>
      <c r="M233" s="371"/>
      <c r="N233" s="371"/>
      <c r="O233" s="34"/>
      <c r="P233" s="130">
        <v>2</v>
      </c>
      <c r="Q233" s="130">
        <v>0</v>
      </c>
      <c r="R233" s="130" t="s">
        <v>85</v>
      </c>
      <c r="S233" s="34">
        <v>1050105</v>
      </c>
      <c r="T233" s="382" t="s">
        <v>1049</v>
      </c>
      <c r="U233" s="383" t="s">
        <v>1050</v>
      </c>
      <c r="V233" s="130" t="s">
        <v>530</v>
      </c>
      <c r="W233" s="57" t="s">
        <v>4077</v>
      </c>
      <c r="X233" s="57" t="s">
        <v>4077</v>
      </c>
      <c r="Y233" s="130"/>
      <c r="Z233" s="130"/>
      <c r="AA233" s="130">
        <v>2</v>
      </c>
      <c r="AB233" s="130" t="s">
        <v>90</v>
      </c>
      <c r="AC233" s="34"/>
      <c r="AD233" s="34"/>
      <c r="AE233" s="34">
        <v>1</v>
      </c>
      <c r="AF233" s="34">
        <v>1</v>
      </c>
      <c r="AG233" s="34">
        <v>5</v>
      </c>
      <c r="AH233" s="34"/>
      <c r="AI233" s="34">
        <v>39</v>
      </c>
      <c r="AJ233" s="34">
        <v>26</v>
      </c>
      <c r="AK233" s="131"/>
      <c r="AL233" s="131"/>
      <c r="AM233" s="131"/>
      <c r="AN233" s="398" t="s">
        <v>1052</v>
      </c>
      <c r="AO233" s="398"/>
      <c r="AP233" s="398"/>
      <c r="AQ233" s="34" t="s">
        <v>1053</v>
      </c>
      <c r="AR233" s="405">
        <v>264</v>
      </c>
    </row>
    <row r="234" spans="1:44" ht="15" customHeight="1">
      <c r="A234" s="34">
        <v>1050106</v>
      </c>
      <c r="B234" s="5" t="s">
        <v>3638</v>
      </c>
      <c r="C234" s="224" t="s">
        <v>4078</v>
      </c>
      <c r="D234" s="34" t="s">
        <v>81</v>
      </c>
      <c r="E234" s="34" t="s">
        <v>1009</v>
      </c>
      <c r="F234" s="34">
        <v>3</v>
      </c>
      <c r="G234" s="34">
        <v>5</v>
      </c>
      <c r="H234" s="34" t="s">
        <v>136</v>
      </c>
      <c r="I234" s="5" t="s">
        <v>3640</v>
      </c>
      <c r="J234" s="34"/>
      <c r="K234" s="34"/>
      <c r="L234" s="372" t="s">
        <v>1055</v>
      </c>
      <c r="M234" s="371"/>
      <c r="N234" s="371"/>
      <c r="O234" s="34"/>
      <c r="P234" s="130"/>
      <c r="Q234" s="130">
        <v>0</v>
      </c>
      <c r="R234" s="130" t="s">
        <v>153</v>
      </c>
      <c r="S234" s="34">
        <v>1050106</v>
      </c>
      <c r="T234" s="382"/>
      <c r="U234" s="383"/>
      <c r="V234" s="130" t="s">
        <v>530</v>
      </c>
      <c r="W234" s="57" t="s">
        <v>4079</v>
      </c>
      <c r="X234" s="57" t="s">
        <v>4079</v>
      </c>
      <c r="Y234" s="130"/>
      <c r="Z234" s="130"/>
      <c r="AA234" s="130"/>
      <c r="AB234" s="130" t="s">
        <v>114</v>
      </c>
      <c r="AC234" s="34"/>
      <c r="AD234" s="34"/>
      <c r="AE234" s="34">
        <v>0</v>
      </c>
      <c r="AF234" s="34">
        <v>0</v>
      </c>
      <c r="AG234" s="34">
        <v>0</v>
      </c>
      <c r="AH234" s="34"/>
      <c r="AI234" s="34">
        <v>0</v>
      </c>
      <c r="AJ234" s="34">
        <v>0</v>
      </c>
      <c r="AK234" s="131" t="s">
        <v>1057</v>
      </c>
      <c r="AL234" s="131"/>
      <c r="AM234" s="131"/>
      <c r="AN234" s="34"/>
      <c r="AO234" s="34"/>
      <c r="AP234" s="34"/>
      <c r="AQ234" s="34" t="s">
        <v>1058</v>
      </c>
      <c r="AR234" s="405"/>
    </row>
    <row r="235" spans="1:44" ht="15" customHeight="1">
      <c r="A235" s="34">
        <v>1050107</v>
      </c>
      <c r="B235" s="5" t="s">
        <v>3638</v>
      </c>
      <c r="C235" s="224" t="s">
        <v>4080</v>
      </c>
      <c r="D235" s="34" t="s">
        <v>81</v>
      </c>
      <c r="E235" s="34" t="s">
        <v>1009</v>
      </c>
      <c r="F235" s="34">
        <v>4</v>
      </c>
      <c r="G235" s="34">
        <v>5</v>
      </c>
      <c r="H235" s="34" t="s">
        <v>136</v>
      </c>
      <c r="I235" s="5" t="s">
        <v>3640</v>
      </c>
      <c r="J235" s="34"/>
      <c r="K235" s="34"/>
      <c r="L235" s="372" t="s">
        <v>1060</v>
      </c>
      <c r="M235" s="371"/>
      <c r="N235" s="371"/>
      <c r="O235" s="34"/>
      <c r="P235" s="130"/>
      <c r="Q235" s="130">
        <v>0</v>
      </c>
      <c r="R235" s="130" t="s">
        <v>153</v>
      </c>
      <c r="S235" s="34">
        <v>1050107</v>
      </c>
      <c r="T235" s="384"/>
      <c r="U235" s="385"/>
      <c r="V235" s="130" t="s">
        <v>530</v>
      </c>
      <c r="W235" s="57" t="s">
        <v>4081</v>
      </c>
      <c r="X235" s="57" t="s">
        <v>4081</v>
      </c>
      <c r="Y235" s="34"/>
      <c r="Z235" s="34"/>
      <c r="AA235" s="130"/>
      <c r="AB235" s="130" t="s">
        <v>90</v>
      </c>
      <c r="AC235" s="34"/>
      <c r="AD235" s="34"/>
      <c r="AE235" s="34">
        <v>0</v>
      </c>
      <c r="AF235" s="34">
        <v>0</v>
      </c>
      <c r="AG235" s="34">
        <v>0</v>
      </c>
      <c r="AH235" s="34"/>
      <c r="AI235" s="34">
        <v>0</v>
      </c>
      <c r="AJ235" s="34">
        <v>0</v>
      </c>
      <c r="AK235" s="131"/>
      <c r="AL235" s="131"/>
      <c r="AM235" s="131"/>
      <c r="AN235" s="34"/>
      <c r="AO235" s="34"/>
      <c r="AP235" s="34"/>
      <c r="AQ235" s="34" t="s">
        <v>1062</v>
      </c>
      <c r="AR235" s="405"/>
    </row>
    <row r="236" spans="1:44" ht="15" customHeight="1">
      <c r="A236" s="34">
        <v>1050108</v>
      </c>
      <c r="B236" s="5" t="s">
        <v>3638</v>
      </c>
      <c r="C236" s="224" t="s">
        <v>4082</v>
      </c>
      <c r="D236" s="34" t="s">
        <v>81</v>
      </c>
      <c r="E236" s="34" t="s">
        <v>1009</v>
      </c>
      <c r="F236" s="34">
        <v>5</v>
      </c>
      <c r="G236" s="34">
        <v>5</v>
      </c>
      <c r="H236" s="34" t="s">
        <v>136</v>
      </c>
      <c r="I236" s="5" t="s">
        <v>3640</v>
      </c>
      <c r="J236" s="34"/>
      <c r="K236" s="34"/>
      <c r="L236" s="372" t="s">
        <v>1064</v>
      </c>
      <c r="M236" s="371"/>
      <c r="N236" s="371"/>
      <c r="O236" s="34"/>
      <c r="P236" s="130"/>
      <c r="Q236" s="130">
        <v>0</v>
      </c>
      <c r="R236" s="130" t="s">
        <v>153</v>
      </c>
      <c r="S236" s="34">
        <v>1050108</v>
      </c>
      <c r="T236" s="382"/>
      <c r="U236" s="383"/>
      <c r="V236" s="130" t="s">
        <v>530</v>
      </c>
      <c r="W236" s="57" t="s">
        <v>4083</v>
      </c>
      <c r="X236" s="57" t="s">
        <v>4083</v>
      </c>
      <c r="Y236" s="130"/>
      <c r="Z236" s="130"/>
      <c r="AA236" s="130"/>
      <c r="AB236" s="130" t="s">
        <v>114</v>
      </c>
      <c r="AC236" s="34"/>
      <c r="AD236" s="34"/>
      <c r="AE236" s="34">
        <v>0</v>
      </c>
      <c r="AF236" s="34">
        <v>0</v>
      </c>
      <c r="AG236" s="34">
        <v>0</v>
      </c>
      <c r="AH236" s="34"/>
      <c r="AI236" s="34">
        <v>0</v>
      </c>
      <c r="AJ236" s="34">
        <v>0</v>
      </c>
      <c r="AK236" s="131"/>
      <c r="AL236" s="131"/>
      <c r="AM236" s="131"/>
      <c r="AN236" s="34"/>
      <c r="AO236" s="34"/>
      <c r="AP236" s="34"/>
      <c r="AQ236" s="34" t="s">
        <v>1066</v>
      </c>
      <c r="AR236" s="405"/>
    </row>
    <row r="237" spans="1:44" ht="15" customHeight="1">
      <c r="A237" s="34">
        <v>1050109</v>
      </c>
      <c r="B237" s="5" t="s">
        <v>3638</v>
      </c>
      <c r="C237" s="224" t="s">
        <v>4084</v>
      </c>
      <c r="D237" s="34" t="s">
        <v>81</v>
      </c>
      <c r="E237" s="34" t="s">
        <v>1009</v>
      </c>
      <c r="F237" s="34">
        <v>6</v>
      </c>
      <c r="G237" s="34">
        <v>5</v>
      </c>
      <c r="H237" s="34" t="s">
        <v>136</v>
      </c>
      <c r="I237" s="5" t="s">
        <v>3640</v>
      </c>
      <c r="J237" s="34"/>
      <c r="K237" s="34"/>
      <c r="L237" s="372" t="s">
        <v>1068</v>
      </c>
      <c r="M237" s="371"/>
      <c r="N237" s="371"/>
      <c r="O237" s="34"/>
      <c r="P237" s="130"/>
      <c r="Q237" s="130">
        <v>0</v>
      </c>
      <c r="R237" s="130" t="s">
        <v>153</v>
      </c>
      <c r="S237" s="34">
        <v>1050109</v>
      </c>
      <c r="T237" s="382"/>
      <c r="U237" s="383"/>
      <c r="V237" s="130" t="s">
        <v>530</v>
      </c>
      <c r="W237" s="57" t="s">
        <v>4085</v>
      </c>
      <c r="X237" s="57" t="s">
        <v>4085</v>
      </c>
      <c r="Y237" s="130"/>
      <c r="Z237" s="130"/>
      <c r="AA237" s="130"/>
      <c r="AB237" s="130"/>
      <c r="AC237" s="34"/>
      <c r="AD237" s="34"/>
      <c r="AE237" s="34">
        <v>0</v>
      </c>
      <c r="AF237" s="34">
        <v>0</v>
      </c>
      <c r="AG237" s="34">
        <v>0</v>
      </c>
      <c r="AH237" s="34"/>
      <c r="AI237" s="34">
        <v>0</v>
      </c>
      <c r="AJ237" s="34">
        <v>0</v>
      </c>
      <c r="AK237" s="131"/>
      <c r="AL237" s="131"/>
      <c r="AM237" s="131"/>
      <c r="AN237" s="34"/>
      <c r="AO237" s="34"/>
      <c r="AP237" s="34"/>
      <c r="AQ237" s="34" t="s">
        <v>1070</v>
      </c>
      <c r="AR237" s="405"/>
    </row>
    <row r="238" spans="1:44" ht="15" customHeight="1">
      <c r="A238" s="34">
        <v>1050110</v>
      </c>
      <c r="B238" s="5" t="s">
        <v>3638</v>
      </c>
      <c r="C238" s="224" t="s">
        <v>4086</v>
      </c>
      <c r="D238" s="34" t="s">
        <v>81</v>
      </c>
      <c r="E238" s="34" t="s">
        <v>1009</v>
      </c>
      <c r="F238" s="34">
        <v>7</v>
      </c>
      <c r="G238" s="34">
        <v>5</v>
      </c>
      <c r="H238" s="34" t="s">
        <v>136</v>
      </c>
      <c r="I238" s="5" t="s">
        <v>3640</v>
      </c>
      <c r="J238" s="34"/>
      <c r="K238" s="34"/>
      <c r="L238" s="372" t="s">
        <v>1072</v>
      </c>
      <c r="M238" s="371"/>
      <c r="N238" s="371"/>
      <c r="O238" s="34"/>
      <c r="P238" s="130"/>
      <c r="Q238" s="130">
        <v>0</v>
      </c>
      <c r="R238" s="130" t="s">
        <v>153</v>
      </c>
      <c r="S238" s="34">
        <v>1050110</v>
      </c>
      <c r="T238" s="382"/>
      <c r="U238" s="383"/>
      <c r="V238" s="130" t="s">
        <v>530</v>
      </c>
      <c r="W238" s="57" t="s">
        <v>4087</v>
      </c>
      <c r="X238" s="57" t="s">
        <v>4087</v>
      </c>
      <c r="Y238" s="130"/>
      <c r="Z238" s="130"/>
      <c r="AA238" s="130"/>
      <c r="AB238" s="130" t="s">
        <v>90</v>
      </c>
      <c r="AC238" s="34"/>
      <c r="AD238" s="34"/>
      <c r="AE238" s="34">
        <v>0</v>
      </c>
      <c r="AF238" s="34">
        <v>0</v>
      </c>
      <c r="AG238" s="34">
        <v>0</v>
      </c>
      <c r="AH238" s="34"/>
      <c r="AI238" s="34">
        <v>0</v>
      </c>
      <c r="AJ238" s="34">
        <v>0</v>
      </c>
      <c r="AK238" s="131"/>
      <c r="AL238" s="131"/>
      <c r="AM238" s="131"/>
      <c r="AN238" s="34"/>
      <c r="AO238" s="34"/>
      <c r="AP238" s="34"/>
      <c r="AQ238" s="34" t="s">
        <v>1074</v>
      </c>
      <c r="AR238" s="405"/>
    </row>
    <row r="239" spans="1:44" ht="15" customHeight="1">
      <c r="A239" s="3">
        <v>1050111</v>
      </c>
      <c r="B239" s="5" t="s">
        <v>3638</v>
      </c>
      <c r="C239" s="224" t="s">
        <v>4088</v>
      </c>
      <c r="D239" s="3" t="s">
        <v>81</v>
      </c>
      <c r="E239" s="3" t="s">
        <v>1009</v>
      </c>
      <c r="F239" s="3">
        <v>8</v>
      </c>
      <c r="G239" s="3">
        <v>5</v>
      </c>
      <c r="H239" s="3" t="s">
        <v>136</v>
      </c>
      <c r="I239" s="5" t="s">
        <v>3640</v>
      </c>
      <c r="J239" s="3"/>
      <c r="K239" s="3"/>
      <c r="L239" s="236"/>
      <c r="M239" s="99"/>
      <c r="N239" s="99"/>
      <c r="O239" s="236"/>
      <c r="P239" s="22"/>
      <c r="Q239" s="22">
        <v>0</v>
      </c>
      <c r="R239" s="22" t="s">
        <v>153</v>
      </c>
      <c r="S239" s="3"/>
      <c r="T239" s="260"/>
      <c r="U239" s="261"/>
      <c r="V239" s="22"/>
      <c r="W239" s="57" t="s">
        <v>3716</v>
      </c>
      <c r="X239" s="57" t="s">
        <v>3716</v>
      </c>
      <c r="Y239" s="22"/>
      <c r="Z239" s="22"/>
      <c r="AA239" s="22"/>
      <c r="AB239" s="22" t="s">
        <v>114</v>
      </c>
      <c r="AC239" s="3"/>
      <c r="AD239" s="3"/>
      <c r="AE239" s="3">
        <v>0</v>
      </c>
      <c r="AF239" s="3">
        <v>0</v>
      </c>
      <c r="AG239" s="3">
        <v>0</v>
      </c>
      <c r="AH239" s="3"/>
      <c r="AI239" s="3">
        <v>0</v>
      </c>
      <c r="AJ239" s="3">
        <v>0</v>
      </c>
      <c r="AK239" s="3">
        <v>0</v>
      </c>
      <c r="AL239" s="3"/>
      <c r="AM239" s="3"/>
      <c r="AN239" s="3"/>
      <c r="AO239" s="3"/>
      <c r="AP239" s="3"/>
      <c r="AQ239" s="3" t="s">
        <v>1053</v>
      </c>
      <c r="AR239" s="281"/>
    </row>
    <row r="240" spans="1:44" ht="15" customHeight="1">
      <c r="A240" s="3">
        <v>1050112</v>
      </c>
      <c r="B240" s="5" t="s">
        <v>3638</v>
      </c>
      <c r="C240" s="224" t="s">
        <v>4089</v>
      </c>
      <c r="D240" s="3" t="s">
        <v>81</v>
      </c>
      <c r="E240" s="3" t="s">
        <v>1077</v>
      </c>
      <c r="F240" s="3">
        <v>9</v>
      </c>
      <c r="G240" s="3">
        <v>1</v>
      </c>
      <c r="H240" s="3" t="s">
        <v>136</v>
      </c>
      <c r="I240" s="5" t="s">
        <v>3640</v>
      </c>
      <c r="J240" s="3"/>
      <c r="K240" s="3"/>
      <c r="L240" s="236"/>
      <c r="M240" s="99"/>
      <c r="N240" s="99"/>
      <c r="O240" s="236"/>
      <c r="P240" s="22"/>
      <c r="Q240" s="22">
        <v>0</v>
      </c>
      <c r="R240" s="22" t="s">
        <v>153</v>
      </c>
      <c r="S240" s="3"/>
      <c r="T240" s="260"/>
      <c r="U240" s="261"/>
      <c r="V240" s="22"/>
      <c r="W240" s="57" t="s">
        <v>4090</v>
      </c>
      <c r="X240" s="57" t="s">
        <v>4090</v>
      </c>
      <c r="Y240" s="22"/>
      <c r="Z240" s="22"/>
      <c r="AA240" s="22"/>
      <c r="AB240" s="22" t="s">
        <v>114</v>
      </c>
      <c r="AC240" s="3"/>
      <c r="AD240" s="3"/>
      <c r="AE240" s="3">
        <v>0</v>
      </c>
      <c r="AF240" s="3">
        <v>0</v>
      </c>
      <c r="AG240" s="3">
        <v>0</v>
      </c>
      <c r="AH240" s="3"/>
      <c r="AI240" s="3">
        <v>0</v>
      </c>
      <c r="AJ240" s="3">
        <v>0</v>
      </c>
      <c r="AK240" s="3">
        <v>0</v>
      </c>
      <c r="AL240" s="3"/>
      <c r="AM240" s="3"/>
      <c r="AN240" s="3"/>
      <c r="AO240" s="3"/>
      <c r="AP240" s="3"/>
      <c r="AQ240" s="282" t="str">
        <f>"tricks/"&amp;A240</f>
        <v>tricks/1050112</v>
      </c>
    </row>
    <row r="241" spans="1:44" ht="15" customHeight="1">
      <c r="A241" s="3">
        <v>1050113</v>
      </c>
      <c r="B241" s="5" t="s">
        <v>3638</v>
      </c>
      <c r="C241" s="224" t="s">
        <v>4091</v>
      </c>
      <c r="D241" s="3" t="s">
        <v>81</v>
      </c>
      <c r="E241" s="3" t="s">
        <v>1077</v>
      </c>
      <c r="F241" s="3">
        <v>10</v>
      </c>
      <c r="G241" s="3">
        <v>1</v>
      </c>
      <c r="H241" s="3" t="s">
        <v>136</v>
      </c>
      <c r="I241" s="5" t="s">
        <v>3640</v>
      </c>
      <c r="J241" s="3"/>
      <c r="K241" s="3"/>
      <c r="L241" s="236"/>
      <c r="M241" s="99"/>
      <c r="N241" s="99"/>
      <c r="O241" s="236"/>
      <c r="P241" s="22"/>
      <c r="Q241" s="22">
        <v>0</v>
      </c>
      <c r="R241" s="22" t="s">
        <v>153</v>
      </c>
      <c r="S241" s="3"/>
      <c r="T241" s="260"/>
      <c r="U241" s="261"/>
      <c r="V241" s="22"/>
      <c r="W241" s="57" t="s">
        <v>4092</v>
      </c>
      <c r="X241" s="57" t="s">
        <v>4092</v>
      </c>
      <c r="Y241" s="22"/>
      <c r="Z241" s="22"/>
      <c r="AA241" s="22"/>
      <c r="AB241" s="22" t="s">
        <v>114</v>
      </c>
      <c r="AC241" s="3"/>
      <c r="AD241" s="3"/>
      <c r="AE241" s="3">
        <v>0</v>
      </c>
      <c r="AF241" s="3">
        <v>0</v>
      </c>
      <c r="AG241" s="3">
        <v>0</v>
      </c>
      <c r="AH241" s="3"/>
      <c r="AI241" s="3">
        <v>0</v>
      </c>
      <c r="AJ241" s="3">
        <v>0</v>
      </c>
      <c r="AK241" s="3">
        <v>0</v>
      </c>
      <c r="AL241" s="3"/>
      <c r="AM241" s="3"/>
      <c r="AN241" s="3"/>
      <c r="AO241" s="3"/>
      <c r="AP241" s="3"/>
      <c r="AQ241" s="282" t="str">
        <f>"tricks/"&amp;A241</f>
        <v>tricks/1050113</v>
      </c>
    </row>
    <row r="242" spans="1:44" ht="15" customHeight="1">
      <c r="A242" s="35">
        <v>1050201</v>
      </c>
      <c r="B242" s="5" t="s">
        <v>3638</v>
      </c>
      <c r="C242" s="224" t="s">
        <v>4093</v>
      </c>
      <c r="D242" s="35" t="s">
        <v>81</v>
      </c>
      <c r="E242" s="35" t="s">
        <v>1009</v>
      </c>
      <c r="F242" s="35">
        <v>1</v>
      </c>
      <c r="G242" s="35">
        <v>5</v>
      </c>
      <c r="H242" s="35" t="s">
        <v>82</v>
      </c>
      <c r="I242" s="5" t="s">
        <v>3640</v>
      </c>
      <c r="J242" s="35"/>
      <c r="K242" s="35">
        <v>1</v>
      </c>
      <c r="L242" s="373" t="s">
        <v>1026</v>
      </c>
      <c r="M242" s="374"/>
      <c r="N242" s="374"/>
      <c r="O242" s="35"/>
      <c r="P242" s="375">
        <v>2</v>
      </c>
      <c r="Q242" s="375">
        <v>0</v>
      </c>
      <c r="R242" s="375" t="s">
        <v>85</v>
      </c>
      <c r="S242" s="35">
        <v>1050101</v>
      </c>
      <c r="T242" s="386" t="s">
        <v>1083</v>
      </c>
      <c r="U242" s="387" t="s">
        <v>1084</v>
      </c>
      <c r="V242" s="375" t="s">
        <v>582</v>
      </c>
      <c r="W242" s="57" t="s">
        <v>4094</v>
      </c>
      <c r="X242" s="57" t="s">
        <v>4094</v>
      </c>
      <c r="Y242" s="375"/>
      <c r="Z242" s="375"/>
      <c r="AA242" s="375">
        <v>1</v>
      </c>
      <c r="AB242" s="375" t="s">
        <v>90</v>
      </c>
      <c r="AC242" s="35"/>
      <c r="AD242" s="35"/>
      <c r="AE242" s="35">
        <v>1</v>
      </c>
      <c r="AF242" s="35">
        <v>2</v>
      </c>
      <c r="AG242" s="35">
        <v>6</v>
      </c>
      <c r="AH242" s="35"/>
      <c r="AI242" s="35">
        <v>39</v>
      </c>
      <c r="AJ242" s="35">
        <v>26</v>
      </c>
      <c r="AK242" s="399"/>
      <c r="AL242" s="399"/>
      <c r="AM242" s="399"/>
      <c r="AN242" s="400" t="s">
        <v>1086</v>
      </c>
      <c r="AO242" s="400"/>
      <c r="AP242" s="400"/>
      <c r="AQ242" s="35" t="s">
        <v>1087</v>
      </c>
      <c r="AR242" s="406">
        <v>310</v>
      </c>
    </row>
    <row r="243" spans="1:44" ht="15" customHeight="1">
      <c r="A243" s="35">
        <v>1050202</v>
      </c>
      <c r="B243" s="5" t="s">
        <v>3638</v>
      </c>
      <c r="C243" s="224" t="s">
        <v>4095</v>
      </c>
      <c r="D243" s="35" t="s">
        <v>81</v>
      </c>
      <c r="E243" s="35" t="s">
        <v>1009</v>
      </c>
      <c r="F243" s="35">
        <v>1</v>
      </c>
      <c r="G243" s="35">
        <v>5</v>
      </c>
      <c r="H243" s="35" t="s">
        <v>136</v>
      </c>
      <c r="I243" s="5" t="s">
        <v>3640</v>
      </c>
      <c r="J243" s="35"/>
      <c r="K243" s="35"/>
      <c r="L243" s="376" t="s">
        <v>1034</v>
      </c>
      <c r="M243" s="374"/>
      <c r="N243" s="374"/>
      <c r="O243" s="35"/>
      <c r="P243" s="375">
        <v>3</v>
      </c>
      <c r="Q243" s="375">
        <v>0</v>
      </c>
      <c r="R243" s="375" t="s">
        <v>153</v>
      </c>
      <c r="S243" s="35">
        <v>1050102</v>
      </c>
      <c r="T243" s="386"/>
      <c r="U243" s="387"/>
      <c r="V243" s="375" t="s">
        <v>582</v>
      </c>
      <c r="W243" s="57" t="s">
        <v>4096</v>
      </c>
      <c r="X243" s="57" t="s">
        <v>4096</v>
      </c>
      <c r="Y243" s="375"/>
      <c r="Z243" s="375"/>
      <c r="AA243" s="375">
        <v>1</v>
      </c>
      <c r="AB243" s="375"/>
      <c r="AC243" s="35"/>
      <c r="AD243" s="35"/>
      <c r="AE243" s="35">
        <v>0</v>
      </c>
      <c r="AF243" s="35">
        <v>0</v>
      </c>
      <c r="AG243" s="35">
        <v>0</v>
      </c>
      <c r="AH243" s="35"/>
      <c r="AI243" s="35">
        <v>0</v>
      </c>
      <c r="AJ243" s="35">
        <v>0</v>
      </c>
      <c r="AK243" s="399"/>
      <c r="AL243" s="399"/>
      <c r="AM243" s="399"/>
      <c r="AN243" s="400"/>
      <c r="AO243" s="400"/>
      <c r="AP243" s="400"/>
      <c r="AQ243" s="35" t="s">
        <v>1090</v>
      </c>
      <c r="AR243" s="406"/>
    </row>
    <row r="244" spans="1:44" ht="15" customHeight="1">
      <c r="A244" s="35">
        <v>1050203</v>
      </c>
      <c r="B244" s="5" t="s">
        <v>3638</v>
      </c>
      <c r="C244" s="224" t="s">
        <v>4097</v>
      </c>
      <c r="D244" s="35" t="s">
        <v>81</v>
      </c>
      <c r="E244" s="35" t="s">
        <v>1009</v>
      </c>
      <c r="F244" s="35">
        <v>1</v>
      </c>
      <c r="G244" s="35">
        <v>5</v>
      </c>
      <c r="H244" s="35" t="s">
        <v>82</v>
      </c>
      <c r="I244" s="5" t="s">
        <v>3640</v>
      </c>
      <c r="J244" s="35"/>
      <c r="K244" s="35">
        <v>2</v>
      </c>
      <c r="L244" s="373" t="s">
        <v>1038</v>
      </c>
      <c r="M244" s="374"/>
      <c r="N244" s="374"/>
      <c r="O244" s="35"/>
      <c r="P244" s="375">
        <v>1</v>
      </c>
      <c r="Q244" s="375">
        <v>0</v>
      </c>
      <c r="R244" s="375" t="s">
        <v>85</v>
      </c>
      <c r="S244" s="35">
        <v>1050103</v>
      </c>
      <c r="T244" s="386" t="s">
        <v>1092</v>
      </c>
      <c r="U244" s="387" t="s">
        <v>1093</v>
      </c>
      <c r="V244" s="375" t="s">
        <v>582</v>
      </c>
      <c r="W244" s="57" t="s">
        <v>4098</v>
      </c>
      <c r="X244" s="57" t="s">
        <v>4098</v>
      </c>
      <c r="Y244" s="375"/>
      <c r="Z244" s="375"/>
      <c r="AA244" s="375">
        <v>1</v>
      </c>
      <c r="AB244" s="375" t="s">
        <v>90</v>
      </c>
      <c r="AC244" s="35"/>
      <c r="AD244" s="35"/>
      <c r="AE244" s="35">
        <v>1</v>
      </c>
      <c r="AF244" s="35">
        <v>1</v>
      </c>
      <c r="AG244" s="35">
        <v>5</v>
      </c>
      <c r="AH244" s="35"/>
      <c r="AI244" s="35">
        <v>39</v>
      </c>
      <c r="AJ244" s="35">
        <v>26</v>
      </c>
      <c r="AK244" s="399"/>
      <c r="AL244" s="399"/>
      <c r="AM244" s="399"/>
      <c r="AN244" s="400" t="s">
        <v>1095</v>
      </c>
      <c r="AO244" s="400"/>
      <c r="AP244" s="400"/>
      <c r="AQ244" s="35" t="s">
        <v>1096</v>
      </c>
      <c r="AR244" s="406">
        <v>311</v>
      </c>
    </row>
    <row r="245" spans="1:44" ht="15" customHeight="1">
      <c r="A245" s="35">
        <v>1050204</v>
      </c>
      <c r="B245" s="5" t="s">
        <v>3638</v>
      </c>
      <c r="C245" s="224" t="s">
        <v>4099</v>
      </c>
      <c r="D245" s="35" t="s">
        <v>81</v>
      </c>
      <c r="E245" s="35" t="s">
        <v>1009</v>
      </c>
      <c r="F245" s="35">
        <v>2</v>
      </c>
      <c r="G245" s="35">
        <v>5</v>
      </c>
      <c r="H245" s="35" t="s">
        <v>136</v>
      </c>
      <c r="I245" s="5" t="s">
        <v>3640</v>
      </c>
      <c r="J245" s="35"/>
      <c r="K245" s="35"/>
      <c r="L245" s="376" t="s">
        <v>1044</v>
      </c>
      <c r="M245" s="35"/>
      <c r="N245" s="35"/>
      <c r="O245" s="35"/>
      <c r="P245" s="35"/>
      <c r="Q245" s="375">
        <v>0</v>
      </c>
      <c r="R245" s="35" t="s">
        <v>153</v>
      </c>
      <c r="S245" s="35">
        <v>1050104</v>
      </c>
      <c r="T245" s="386"/>
      <c r="U245" s="387"/>
      <c r="V245" s="375" t="s">
        <v>582</v>
      </c>
      <c r="W245" s="57" t="s">
        <v>4100</v>
      </c>
      <c r="X245" s="57" t="s">
        <v>4100</v>
      </c>
      <c r="Y245" s="375"/>
      <c r="Z245" s="375"/>
      <c r="AA245" s="375">
        <v>2</v>
      </c>
      <c r="AB245" s="375" t="s">
        <v>114</v>
      </c>
      <c r="AC245" s="35"/>
      <c r="AD245" s="35"/>
      <c r="AE245" s="35">
        <v>0</v>
      </c>
      <c r="AF245" s="35">
        <v>0</v>
      </c>
      <c r="AG245" s="35">
        <v>0</v>
      </c>
      <c r="AH245" s="35"/>
      <c r="AI245" s="35">
        <v>0</v>
      </c>
      <c r="AJ245" s="35">
        <v>0</v>
      </c>
      <c r="AK245" s="399"/>
      <c r="AL245" s="399"/>
      <c r="AM245" s="399"/>
      <c r="AN245" s="400"/>
      <c r="AO245" s="400"/>
      <c r="AP245" s="400"/>
      <c r="AQ245" s="35" t="s">
        <v>1099</v>
      </c>
      <c r="AR245" s="406"/>
    </row>
    <row r="246" spans="1:44" ht="15" customHeight="1">
      <c r="A246" s="35">
        <v>1050205</v>
      </c>
      <c r="B246" s="5" t="s">
        <v>3638</v>
      </c>
      <c r="C246" s="224" t="s">
        <v>4101</v>
      </c>
      <c r="D246" s="35" t="s">
        <v>81</v>
      </c>
      <c r="E246" s="35" t="s">
        <v>1009</v>
      </c>
      <c r="F246" s="35">
        <v>1</v>
      </c>
      <c r="G246" s="35">
        <v>5</v>
      </c>
      <c r="H246" s="35" t="s">
        <v>82</v>
      </c>
      <c r="I246" s="5" t="s">
        <v>3640</v>
      </c>
      <c r="J246" s="35"/>
      <c r="K246" s="35">
        <v>3</v>
      </c>
      <c r="L246" s="376" t="s">
        <v>1048</v>
      </c>
      <c r="M246" s="374"/>
      <c r="N246" s="374"/>
      <c r="O246" s="35"/>
      <c r="P246" s="375">
        <v>2</v>
      </c>
      <c r="Q246" s="375">
        <v>0</v>
      </c>
      <c r="R246" s="375" t="s">
        <v>1039</v>
      </c>
      <c r="S246" s="35">
        <v>1050105</v>
      </c>
      <c r="T246" s="386"/>
      <c r="U246" s="387"/>
      <c r="V246" s="375" t="s">
        <v>582</v>
      </c>
      <c r="W246" s="57" t="s">
        <v>4102</v>
      </c>
      <c r="X246" s="57" t="s">
        <v>4102</v>
      </c>
      <c r="Y246" s="375"/>
      <c r="Z246" s="375"/>
      <c r="AA246" s="375">
        <v>2</v>
      </c>
      <c r="AB246" s="375" t="s">
        <v>90</v>
      </c>
      <c r="AC246" s="35"/>
      <c r="AD246" s="35"/>
      <c r="AE246" s="35">
        <v>1</v>
      </c>
      <c r="AF246" s="35">
        <v>1</v>
      </c>
      <c r="AG246" s="35">
        <v>5</v>
      </c>
      <c r="AH246" s="35"/>
      <c r="AI246" s="35">
        <v>39</v>
      </c>
      <c r="AJ246" s="35">
        <v>26</v>
      </c>
      <c r="AK246" s="399"/>
      <c r="AL246" s="399"/>
      <c r="AM246" s="399"/>
      <c r="AN246" s="400" t="s">
        <v>1102</v>
      </c>
      <c r="AO246" s="400"/>
      <c r="AP246" s="400"/>
      <c r="AQ246" s="35" t="s">
        <v>1103</v>
      </c>
      <c r="AR246" s="406">
        <v>312</v>
      </c>
    </row>
    <row r="247" spans="1:44" ht="15" customHeight="1">
      <c r="A247" s="35">
        <v>1050206</v>
      </c>
      <c r="B247" s="5" t="s">
        <v>3638</v>
      </c>
      <c r="C247" s="224" t="s">
        <v>4103</v>
      </c>
      <c r="D247" s="35" t="s">
        <v>81</v>
      </c>
      <c r="E247" s="35" t="s">
        <v>1009</v>
      </c>
      <c r="F247" s="35">
        <v>3</v>
      </c>
      <c r="G247" s="35">
        <v>5</v>
      </c>
      <c r="H247" s="35" t="s">
        <v>136</v>
      </c>
      <c r="I247" s="5" t="s">
        <v>3640</v>
      </c>
      <c r="J247" s="35"/>
      <c r="K247" s="35"/>
      <c r="L247" s="376" t="s">
        <v>1055</v>
      </c>
      <c r="M247" s="374"/>
      <c r="N247" s="374"/>
      <c r="O247" s="35"/>
      <c r="P247" s="375"/>
      <c r="Q247" s="375">
        <v>0</v>
      </c>
      <c r="R247" s="375" t="s">
        <v>153</v>
      </c>
      <c r="S247" s="35">
        <v>1050106</v>
      </c>
      <c r="T247" s="386"/>
      <c r="U247" s="387"/>
      <c r="V247" s="375" t="s">
        <v>582</v>
      </c>
      <c r="W247" s="57" t="s">
        <v>4104</v>
      </c>
      <c r="X247" s="57" t="s">
        <v>4104</v>
      </c>
      <c r="Y247" s="375"/>
      <c r="Z247" s="375"/>
      <c r="AA247" s="375"/>
      <c r="AB247" s="375" t="s">
        <v>114</v>
      </c>
      <c r="AC247" s="35"/>
      <c r="AD247" s="35"/>
      <c r="AE247" s="35">
        <v>0</v>
      </c>
      <c r="AF247" s="35">
        <v>0</v>
      </c>
      <c r="AG247" s="35">
        <v>0</v>
      </c>
      <c r="AH247" s="35"/>
      <c r="AI247" s="35">
        <v>0</v>
      </c>
      <c r="AJ247" s="35">
        <v>0</v>
      </c>
      <c r="AK247" s="399"/>
      <c r="AL247" s="399"/>
      <c r="AM247" s="399"/>
      <c r="AN247" s="35"/>
      <c r="AO247" s="35"/>
      <c r="AP247" s="35"/>
      <c r="AQ247" s="35" t="s">
        <v>1106</v>
      </c>
      <c r="AR247" s="406"/>
    </row>
    <row r="248" spans="1:44" ht="15" customHeight="1">
      <c r="A248" s="35">
        <v>1050207</v>
      </c>
      <c r="B248" s="5" t="s">
        <v>3638</v>
      </c>
      <c r="C248" s="224" t="s">
        <v>4105</v>
      </c>
      <c r="D248" s="35" t="s">
        <v>81</v>
      </c>
      <c r="E248" s="35" t="s">
        <v>1009</v>
      </c>
      <c r="F248" s="35">
        <v>4</v>
      </c>
      <c r="G248" s="35">
        <v>5</v>
      </c>
      <c r="H248" s="35" t="s">
        <v>136</v>
      </c>
      <c r="I248" s="5" t="s">
        <v>3640</v>
      </c>
      <c r="J248" s="35"/>
      <c r="K248" s="35"/>
      <c r="L248" s="376" t="s">
        <v>1060</v>
      </c>
      <c r="M248" s="374"/>
      <c r="N248" s="374"/>
      <c r="O248" s="35"/>
      <c r="P248" s="375"/>
      <c r="Q248" s="375">
        <v>0</v>
      </c>
      <c r="R248" s="375" t="s">
        <v>153</v>
      </c>
      <c r="S248" s="35">
        <v>1050107</v>
      </c>
      <c r="T248" s="388"/>
      <c r="U248" s="389"/>
      <c r="V248" s="375" t="s">
        <v>582</v>
      </c>
      <c r="W248" s="57" t="s">
        <v>4106</v>
      </c>
      <c r="X248" s="57" t="s">
        <v>4106</v>
      </c>
      <c r="Y248" s="35"/>
      <c r="Z248" s="35"/>
      <c r="AA248" s="375"/>
      <c r="AB248" s="375" t="s">
        <v>90</v>
      </c>
      <c r="AC248" s="35"/>
      <c r="AD248" s="35"/>
      <c r="AE248" s="35">
        <v>0</v>
      </c>
      <c r="AF248" s="35">
        <v>0</v>
      </c>
      <c r="AG248" s="35">
        <v>0</v>
      </c>
      <c r="AH248" s="35"/>
      <c r="AI248" s="35">
        <v>0</v>
      </c>
      <c r="AJ248" s="35">
        <v>0</v>
      </c>
      <c r="AK248" s="399"/>
      <c r="AL248" s="399"/>
      <c r="AM248" s="399"/>
      <c r="AN248" s="35"/>
      <c r="AO248" s="35"/>
      <c r="AP248" s="35"/>
      <c r="AQ248" s="35" t="s">
        <v>1109</v>
      </c>
      <c r="AR248" s="406"/>
    </row>
    <row r="249" spans="1:44" ht="15" customHeight="1">
      <c r="A249" s="35">
        <v>1050208</v>
      </c>
      <c r="B249" s="5" t="s">
        <v>3638</v>
      </c>
      <c r="C249" s="224" t="s">
        <v>4107</v>
      </c>
      <c r="D249" s="35" t="s">
        <v>81</v>
      </c>
      <c r="E249" s="35" t="s">
        <v>1009</v>
      </c>
      <c r="F249" s="35">
        <v>5</v>
      </c>
      <c r="G249" s="35">
        <v>5</v>
      </c>
      <c r="H249" s="35" t="s">
        <v>136</v>
      </c>
      <c r="I249" s="5" t="s">
        <v>3640</v>
      </c>
      <c r="J249" s="35"/>
      <c r="K249" s="35"/>
      <c r="L249" s="376" t="s">
        <v>1064</v>
      </c>
      <c r="M249" s="374"/>
      <c r="N249" s="374"/>
      <c r="O249" s="35"/>
      <c r="P249" s="375"/>
      <c r="Q249" s="375">
        <v>0</v>
      </c>
      <c r="R249" s="375" t="s">
        <v>153</v>
      </c>
      <c r="S249" s="35">
        <v>1050108</v>
      </c>
      <c r="T249" s="386"/>
      <c r="U249" s="387"/>
      <c r="V249" s="375" t="s">
        <v>582</v>
      </c>
      <c r="W249" s="57" t="s">
        <v>4108</v>
      </c>
      <c r="X249" s="57" t="s">
        <v>4108</v>
      </c>
      <c r="Y249" s="375"/>
      <c r="Z249" s="375"/>
      <c r="AA249" s="375"/>
      <c r="AB249" s="375" t="s">
        <v>114</v>
      </c>
      <c r="AC249" s="35"/>
      <c r="AD249" s="35"/>
      <c r="AE249" s="35">
        <v>0</v>
      </c>
      <c r="AF249" s="35">
        <v>0</v>
      </c>
      <c r="AG249" s="35">
        <v>0</v>
      </c>
      <c r="AH249" s="35"/>
      <c r="AI249" s="35">
        <v>0</v>
      </c>
      <c r="AJ249" s="35">
        <v>0</v>
      </c>
      <c r="AK249" s="399"/>
      <c r="AL249" s="399"/>
      <c r="AM249" s="399"/>
      <c r="AN249" s="35"/>
      <c r="AO249" s="35"/>
      <c r="AP249" s="35"/>
      <c r="AQ249" s="35" t="s">
        <v>1112</v>
      </c>
      <c r="AR249" s="406"/>
    </row>
    <row r="250" spans="1:44" ht="15" customHeight="1">
      <c r="A250" s="35">
        <v>1050209</v>
      </c>
      <c r="B250" s="5" t="s">
        <v>3638</v>
      </c>
      <c r="C250" s="224" t="s">
        <v>4109</v>
      </c>
      <c r="D250" s="35" t="s">
        <v>81</v>
      </c>
      <c r="E250" s="35" t="s">
        <v>1009</v>
      </c>
      <c r="F250" s="35">
        <v>6</v>
      </c>
      <c r="G250" s="35">
        <v>5</v>
      </c>
      <c r="H250" s="35" t="s">
        <v>136</v>
      </c>
      <c r="I250" s="5" t="s">
        <v>3640</v>
      </c>
      <c r="J250" s="35"/>
      <c r="K250" s="35"/>
      <c r="L250" s="376" t="s">
        <v>1068</v>
      </c>
      <c r="M250" s="374"/>
      <c r="N250" s="374"/>
      <c r="O250" s="35"/>
      <c r="P250" s="375"/>
      <c r="Q250" s="375">
        <v>0</v>
      </c>
      <c r="R250" s="375" t="s">
        <v>153</v>
      </c>
      <c r="S250" s="35">
        <v>1050109</v>
      </c>
      <c r="T250" s="386"/>
      <c r="U250" s="387"/>
      <c r="V250" s="375" t="s">
        <v>582</v>
      </c>
      <c r="W250" s="57" t="s">
        <v>4110</v>
      </c>
      <c r="X250" s="57" t="s">
        <v>4110</v>
      </c>
      <c r="Y250" s="375"/>
      <c r="Z250" s="375"/>
      <c r="AA250" s="375"/>
      <c r="AB250" s="375"/>
      <c r="AC250" s="35"/>
      <c r="AD250" s="35"/>
      <c r="AE250" s="35">
        <v>0</v>
      </c>
      <c r="AF250" s="35">
        <v>0</v>
      </c>
      <c r="AG250" s="35">
        <v>0</v>
      </c>
      <c r="AH250" s="35"/>
      <c r="AI250" s="35">
        <v>0</v>
      </c>
      <c r="AJ250" s="35">
        <v>0</v>
      </c>
      <c r="AK250" s="399"/>
      <c r="AL250" s="399"/>
      <c r="AM250" s="399"/>
      <c r="AN250" s="35"/>
      <c r="AO250" s="35"/>
      <c r="AP250" s="35"/>
      <c r="AQ250" s="35" t="s">
        <v>1115</v>
      </c>
      <c r="AR250" s="406"/>
    </row>
    <row r="251" spans="1:44" ht="15" customHeight="1">
      <c r="A251" s="35">
        <v>1050210</v>
      </c>
      <c r="B251" s="5" t="s">
        <v>3638</v>
      </c>
      <c r="C251" s="224" t="s">
        <v>4111</v>
      </c>
      <c r="D251" s="35" t="s">
        <v>81</v>
      </c>
      <c r="E251" s="35" t="s">
        <v>1009</v>
      </c>
      <c r="F251" s="35">
        <v>7</v>
      </c>
      <c r="G251" s="35">
        <v>5</v>
      </c>
      <c r="H251" s="35" t="s">
        <v>136</v>
      </c>
      <c r="I251" s="5" t="s">
        <v>3640</v>
      </c>
      <c r="J251" s="35"/>
      <c r="K251" s="35"/>
      <c r="L251" s="376" t="s">
        <v>1072</v>
      </c>
      <c r="M251" s="374"/>
      <c r="N251" s="374"/>
      <c r="O251" s="35"/>
      <c r="P251" s="375"/>
      <c r="Q251" s="375">
        <v>0</v>
      </c>
      <c r="R251" s="375" t="s">
        <v>153</v>
      </c>
      <c r="S251" s="35">
        <v>1050110</v>
      </c>
      <c r="T251" s="386"/>
      <c r="U251" s="387"/>
      <c r="V251" s="375" t="s">
        <v>582</v>
      </c>
      <c r="W251" s="57" t="s">
        <v>4112</v>
      </c>
      <c r="X251" s="57" t="s">
        <v>4112</v>
      </c>
      <c r="Y251" s="375"/>
      <c r="Z251" s="375"/>
      <c r="AA251" s="375"/>
      <c r="AB251" s="375" t="s">
        <v>90</v>
      </c>
      <c r="AC251" s="35"/>
      <c r="AD251" s="35"/>
      <c r="AE251" s="35">
        <v>0</v>
      </c>
      <c r="AF251" s="35">
        <v>0</v>
      </c>
      <c r="AG251" s="35">
        <v>0</v>
      </c>
      <c r="AH251" s="35"/>
      <c r="AI251" s="35">
        <v>0</v>
      </c>
      <c r="AJ251" s="35">
        <v>0</v>
      </c>
      <c r="AK251" s="399"/>
      <c r="AL251" s="399"/>
      <c r="AM251" s="399"/>
      <c r="AN251" s="35"/>
      <c r="AO251" s="35"/>
      <c r="AP251" s="35"/>
      <c r="AQ251" s="35" t="s">
        <v>1118</v>
      </c>
      <c r="AR251" s="406"/>
    </row>
    <row r="252" spans="1:44" ht="15" customHeight="1">
      <c r="A252" s="3">
        <v>1050211</v>
      </c>
      <c r="B252" s="5" t="s">
        <v>3638</v>
      </c>
      <c r="C252" s="224" t="s">
        <v>4113</v>
      </c>
      <c r="D252" s="3" t="s">
        <v>81</v>
      </c>
      <c r="E252" s="3" t="s">
        <v>1009</v>
      </c>
      <c r="F252" s="3">
        <v>8</v>
      </c>
      <c r="G252" s="3">
        <v>5</v>
      </c>
      <c r="H252" s="3" t="s">
        <v>136</v>
      </c>
      <c r="I252" s="5" t="s">
        <v>3640</v>
      </c>
      <c r="J252" s="3"/>
      <c r="K252" s="3"/>
      <c r="L252" s="236"/>
      <c r="M252" s="99"/>
      <c r="N252" s="99"/>
      <c r="O252" s="236"/>
      <c r="P252" s="22"/>
      <c r="Q252" s="22">
        <v>0</v>
      </c>
      <c r="R252" s="22" t="s">
        <v>153</v>
      </c>
      <c r="S252" s="3"/>
      <c r="T252" s="260"/>
      <c r="U252" s="261"/>
      <c r="V252" s="22"/>
      <c r="W252" s="57" t="s">
        <v>3716</v>
      </c>
      <c r="X252" s="57" t="s">
        <v>3716</v>
      </c>
      <c r="Y252" s="22"/>
      <c r="Z252" s="22"/>
      <c r="AA252" s="22"/>
      <c r="AB252" s="22" t="s">
        <v>114</v>
      </c>
      <c r="AC252" s="3"/>
      <c r="AD252" s="3"/>
      <c r="AE252" s="3">
        <v>0</v>
      </c>
      <c r="AF252" s="3">
        <v>0</v>
      </c>
      <c r="AG252" s="3">
        <v>0</v>
      </c>
      <c r="AH252" s="3"/>
      <c r="AI252" s="3">
        <v>0</v>
      </c>
      <c r="AJ252" s="3">
        <v>0</v>
      </c>
      <c r="AK252" s="3">
        <v>0</v>
      </c>
      <c r="AL252" s="3"/>
      <c r="AM252" s="3"/>
      <c r="AN252" s="3"/>
      <c r="AO252" s="3"/>
      <c r="AP252" s="3"/>
      <c r="AQ252" s="3" t="s">
        <v>1103</v>
      </c>
      <c r="AR252" s="281"/>
    </row>
    <row r="253" spans="1:44" ht="15" customHeight="1">
      <c r="A253" s="3">
        <v>1050212</v>
      </c>
      <c r="B253" s="5" t="s">
        <v>3638</v>
      </c>
      <c r="C253" s="224" t="s">
        <v>4114</v>
      </c>
      <c r="D253" s="3" t="s">
        <v>81</v>
      </c>
      <c r="E253" s="3" t="s">
        <v>1077</v>
      </c>
      <c r="F253" s="3">
        <v>9</v>
      </c>
      <c r="G253" s="3">
        <v>1</v>
      </c>
      <c r="H253" s="3" t="s">
        <v>136</v>
      </c>
      <c r="I253" s="5" t="s">
        <v>3640</v>
      </c>
      <c r="J253" s="3"/>
      <c r="K253" s="3"/>
      <c r="L253" s="236"/>
      <c r="M253" s="99"/>
      <c r="N253" s="99"/>
      <c r="O253" s="236"/>
      <c r="P253" s="22"/>
      <c r="Q253" s="22">
        <v>0</v>
      </c>
      <c r="R253" s="22" t="s">
        <v>153</v>
      </c>
      <c r="S253" s="3"/>
      <c r="T253" s="260"/>
      <c r="U253" s="261"/>
      <c r="V253" s="22"/>
      <c r="W253" s="57" t="s">
        <v>4115</v>
      </c>
      <c r="X253" s="57" t="s">
        <v>4115</v>
      </c>
      <c r="Y253" s="22"/>
      <c r="Z253" s="22"/>
      <c r="AA253" s="22"/>
      <c r="AB253" s="22" t="s">
        <v>114</v>
      </c>
      <c r="AC253" s="3"/>
      <c r="AD253" s="3"/>
      <c r="AE253" s="3">
        <v>0</v>
      </c>
      <c r="AF253" s="3">
        <v>0</v>
      </c>
      <c r="AG253" s="3">
        <v>0</v>
      </c>
      <c r="AH253" s="3"/>
      <c r="AI253" s="3">
        <v>0</v>
      </c>
      <c r="AJ253" s="3">
        <v>0</v>
      </c>
      <c r="AK253" s="3">
        <v>0</v>
      </c>
      <c r="AL253" s="3"/>
      <c r="AM253" s="3"/>
      <c r="AN253" s="3"/>
      <c r="AO253" s="3"/>
      <c r="AP253" s="3"/>
      <c r="AQ253" s="282" t="str">
        <f>"tricks/"&amp;A253</f>
        <v>tricks/1050212</v>
      </c>
    </row>
    <row r="254" spans="1:44" ht="15" customHeight="1">
      <c r="A254" s="3">
        <v>1050213</v>
      </c>
      <c r="B254" s="5" t="s">
        <v>3638</v>
      </c>
      <c r="C254" s="224" t="s">
        <v>4116</v>
      </c>
      <c r="D254" s="3" t="s">
        <v>81</v>
      </c>
      <c r="E254" s="3" t="s">
        <v>1077</v>
      </c>
      <c r="F254" s="3">
        <v>10</v>
      </c>
      <c r="G254" s="3">
        <v>1</v>
      </c>
      <c r="H254" s="3" t="s">
        <v>136</v>
      </c>
      <c r="I254" s="5" t="s">
        <v>3640</v>
      </c>
      <c r="J254" s="3"/>
      <c r="K254" s="3"/>
      <c r="L254" s="236"/>
      <c r="M254" s="99"/>
      <c r="N254" s="99"/>
      <c r="O254" s="236"/>
      <c r="P254" s="22"/>
      <c r="Q254" s="22">
        <v>0</v>
      </c>
      <c r="R254" s="22" t="s">
        <v>153</v>
      </c>
      <c r="S254" s="3"/>
      <c r="T254" s="260"/>
      <c r="U254" s="261"/>
      <c r="V254" s="22"/>
      <c r="W254" s="57" t="s">
        <v>4117</v>
      </c>
      <c r="X254" s="57" t="s">
        <v>4117</v>
      </c>
      <c r="Y254" s="22"/>
      <c r="Z254" s="22"/>
      <c r="AA254" s="22"/>
      <c r="AB254" s="22" t="s">
        <v>114</v>
      </c>
      <c r="AC254" s="3"/>
      <c r="AD254" s="3"/>
      <c r="AE254" s="3">
        <v>0</v>
      </c>
      <c r="AF254" s="3">
        <v>0</v>
      </c>
      <c r="AG254" s="3">
        <v>0</v>
      </c>
      <c r="AH254" s="3"/>
      <c r="AI254" s="3">
        <v>0</v>
      </c>
      <c r="AJ254" s="3">
        <v>0</v>
      </c>
      <c r="AK254" s="3">
        <v>0</v>
      </c>
      <c r="AL254" s="3"/>
      <c r="AM254" s="3"/>
      <c r="AN254" s="3"/>
      <c r="AO254" s="3"/>
      <c r="AP254" s="3"/>
      <c r="AQ254" s="282" t="str">
        <f>"tricks/"&amp;A254</f>
        <v>tricks/1050213</v>
      </c>
    </row>
    <row r="255" spans="1:44" ht="15" customHeight="1">
      <c r="A255" s="36">
        <v>1056001</v>
      </c>
      <c r="B255" s="5" t="s">
        <v>3638</v>
      </c>
      <c r="C255" s="224" t="s">
        <v>4118</v>
      </c>
      <c r="D255" s="36" t="s">
        <v>81</v>
      </c>
      <c r="E255" s="36" t="s">
        <v>1009</v>
      </c>
      <c r="F255" s="36">
        <v>1</v>
      </c>
      <c r="G255" s="36">
        <v>5</v>
      </c>
      <c r="H255" s="36" t="s">
        <v>82</v>
      </c>
      <c r="I255" s="5" t="s">
        <v>3640</v>
      </c>
      <c r="J255" s="36"/>
      <c r="K255" s="36"/>
      <c r="L255" s="377" t="s">
        <v>1125</v>
      </c>
      <c r="M255" s="378"/>
      <c r="N255" s="378"/>
      <c r="O255" s="379"/>
      <c r="P255" s="36"/>
      <c r="Q255" s="379">
        <v>0</v>
      </c>
      <c r="R255" s="379" t="s">
        <v>85</v>
      </c>
      <c r="S255" s="36">
        <v>1056001</v>
      </c>
      <c r="T255" s="390" t="s">
        <v>1004</v>
      </c>
      <c r="U255" s="391" t="s">
        <v>1005</v>
      </c>
      <c r="V255" s="379" t="s">
        <v>530</v>
      </c>
      <c r="W255" s="57" t="s">
        <v>4119</v>
      </c>
      <c r="X255" s="57" t="s">
        <v>4119</v>
      </c>
      <c r="Y255" s="379"/>
      <c r="Z255" s="379"/>
      <c r="AA255" s="379"/>
      <c r="AB255" s="379" t="s">
        <v>90</v>
      </c>
      <c r="AC255" s="36"/>
      <c r="AD255" s="36"/>
      <c r="AE255" s="36">
        <v>2</v>
      </c>
      <c r="AF255" s="36">
        <v>0</v>
      </c>
      <c r="AG255" s="36">
        <v>0</v>
      </c>
      <c r="AH255" s="36"/>
      <c r="AI255" s="36">
        <v>0</v>
      </c>
      <c r="AJ255" s="36">
        <v>0</v>
      </c>
      <c r="AK255" s="401"/>
      <c r="AL255" s="401"/>
      <c r="AM255" s="401"/>
      <c r="AN255" s="36" t="s">
        <v>1127</v>
      </c>
      <c r="AO255" s="36"/>
      <c r="AP255" s="36"/>
      <c r="AQ255" s="377" t="s">
        <v>1128</v>
      </c>
      <c r="AR255" s="407"/>
    </row>
    <row r="256" spans="1:44" ht="15" customHeight="1">
      <c r="A256" s="5">
        <v>1060001</v>
      </c>
      <c r="B256" s="5" t="s">
        <v>3638</v>
      </c>
      <c r="C256" s="224" t="s">
        <v>4120</v>
      </c>
      <c r="D256" s="5" t="s">
        <v>81</v>
      </c>
      <c r="E256" s="5" t="s">
        <v>1129</v>
      </c>
      <c r="F256" s="5">
        <v>1</v>
      </c>
      <c r="G256" s="5">
        <v>6</v>
      </c>
      <c r="H256" s="5" t="s">
        <v>82</v>
      </c>
      <c r="I256" s="5" t="s">
        <v>3640</v>
      </c>
      <c r="J256" s="5"/>
      <c r="K256" s="5">
        <v>4</v>
      </c>
      <c r="L256" s="230" t="s">
        <v>1131</v>
      </c>
      <c r="M256" s="231"/>
      <c r="N256" s="231"/>
      <c r="O256" s="5"/>
      <c r="P256" s="232"/>
      <c r="Q256" s="232">
        <v>0</v>
      </c>
      <c r="R256" s="232" t="s">
        <v>85</v>
      </c>
      <c r="S256" s="5">
        <v>1060001</v>
      </c>
      <c r="T256" s="256"/>
      <c r="U256" s="257"/>
      <c r="V256" s="232" t="s">
        <v>1132</v>
      </c>
      <c r="W256" s="57" t="s">
        <v>4121</v>
      </c>
      <c r="X256" s="57" t="s">
        <v>4121</v>
      </c>
      <c r="Y256" s="232"/>
      <c r="Z256" s="232"/>
      <c r="AA256" s="232"/>
      <c r="AB256" s="232" t="s">
        <v>90</v>
      </c>
      <c r="AC256" s="5"/>
      <c r="AD256" s="5"/>
      <c r="AE256" s="5">
        <v>2</v>
      </c>
      <c r="AF256" s="5">
        <v>0</v>
      </c>
      <c r="AG256" s="5">
        <v>4</v>
      </c>
      <c r="AH256" s="5"/>
      <c r="AI256" s="5">
        <v>58</v>
      </c>
      <c r="AJ256" s="5">
        <v>39</v>
      </c>
      <c r="AK256" s="270"/>
      <c r="AL256" s="270"/>
      <c r="AM256" s="270"/>
      <c r="AN256" s="402" t="s">
        <v>1134</v>
      </c>
      <c r="AO256" s="5"/>
      <c r="AP256" s="5"/>
      <c r="AQ256" s="5" t="s">
        <v>1135</v>
      </c>
      <c r="AR256" s="279">
        <v>271</v>
      </c>
    </row>
    <row r="257" spans="1:44" ht="15" customHeight="1">
      <c r="A257" s="5">
        <v>1060002</v>
      </c>
      <c r="B257" s="5" t="s">
        <v>3638</v>
      </c>
      <c r="C257" s="224" t="s">
        <v>4122</v>
      </c>
      <c r="D257" s="5" t="s">
        <v>81</v>
      </c>
      <c r="E257" s="5" t="s">
        <v>1129</v>
      </c>
      <c r="F257" s="5">
        <v>1</v>
      </c>
      <c r="G257" s="5">
        <v>6</v>
      </c>
      <c r="H257" s="5" t="s">
        <v>82</v>
      </c>
      <c r="I257" s="5" t="s">
        <v>3640</v>
      </c>
      <c r="J257" s="5"/>
      <c r="K257" s="5">
        <v>5</v>
      </c>
      <c r="L257" s="230" t="s">
        <v>1137</v>
      </c>
      <c r="M257" s="231"/>
      <c r="N257" s="231"/>
      <c r="O257" s="5"/>
      <c r="P257" s="232"/>
      <c r="Q257" s="232">
        <v>0</v>
      </c>
      <c r="R257" s="232" t="s">
        <v>85</v>
      </c>
      <c r="S257" s="5">
        <v>1060002</v>
      </c>
      <c r="T257" s="256" t="s">
        <v>1138</v>
      </c>
      <c r="U257" s="257" t="s">
        <v>769</v>
      </c>
      <c r="V257" s="232" t="s">
        <v>1132</v>
      </c>
      <c r="W257" s="57" t="s">
        <v>4123</v>
      </c>
      <c r="X257" s="57" t="s">
        <v>4123</v>
      </c>
      <c r="Y257" s="232"/>
      <c r="Z257" s="232"/>
      <c r="AA257" s="232"/>
      <c r="AB257" s="232" t="s">
        <v>90</v>
      </c>
      <c r="AC257" s="5"/>
      <c r="AD257" s="5"/>
      <c r="AE257" s="5">
        <v>2</v>
      </c>
      <c r="AF257" s="5">
        <v>0</v>
      </c>
      <c r="AG257" s="5">
        <v>4</v>
      </c>
      <c r="AH257" s="5"/>
      <c r="AI257" s="5">
        <v>45</v>
      </c>
      <c r="AJ257" s="5">
        <v>32</v>
      </c>
      <c r="AK257" s="270"/>
      <c r="AL257" s="270"/>
      <c r="AM257" s="270"/>
      <c r="AN257" s="402" t="s">
        <v>1140</v>
      </c>
      <c r="AO257" s="5"/>
      <c r="AP257" s="5"/>
      <c r="AQ257" s="5" t="s">
        <v>1141</v>
      </c>
      <c r="AR257" s="279">
        <v>272</v>
      </c>
    </row>
    <row r="258" spans="1:44" ht="15" customHeight="1">
      <c r="A258" s="37">
        <v>1060101</v>
      </c>
      <c r="B258" s="5" t="s">
        <v>3638</v>
      </c>
      <c r="C258" s="224" t="s">
        <v>4124</v>
      </c>
      <c r="D258" s="37" t="s">
        <v>81</v>
      </c>
      <c r="E258" s="37" t="s">
        <v>1129</v>
      </c>
      <c r="F258" s="37">
        <v>1</v>
      </c>
      <c r="G258" s="37">
        <v>6</v>
      </c>
      <c r="H258" s="37" t="s">
        <v>82</v>
      </c>
      <c r="I258" s="5" t="s">
        <v>3640</v>
      </c>
      <c r="J258" s="37"/>
      <c r="K258" s="37">
        <v>1</v>
      </c>
      <c r="L258" s="408" t="s">
        <v>1144</v>
      </c>
      <c r="M258" s="409"/>
      <c r="N258" s="409"/>
      <c r="O258" s="37"/>
      <c r="P258" s="410"/>
      <c r="Q258" s="410">
        <v>0</v>
      </c>
      <c r="R258" s="410" t="s">
        <v>85</v>
      </c>
      <c r="S258" s="37">
        <v>1060101</v>
      </c>
      <c r="T258" s="415"/>
      <c r="U258" s="416"/>
      <c r="V258" s="410" t="s">
        <v>902</v>
      </c>
      <c r="W258" s="57" t="s">
        <v>4125</v>
      </c>
      <c r="X258" s="57" t="s">
        <v>4125</v>
      </c>
      <c r="Y258" s="410"/>
      <c r="Z258" s="410"/>
      <c r="AA258" s="410"/>
      <c r="AB258" s="410" t="s">
        <v>90</v>
      </c>
      <c r="AC258" s="37"/>
      <c r="AD258" s="37"/>
      <c r="AE258" s="37">
        <v>1</v>
      </c>
      <c r="AF258" s="37">
        <v>2</v>
      </c>
      <c r="AG258" s="37">
        <v>6</v>
      </c>
      <c r="AH258" s="37"/>
      <c r="AI258" s="37">
        <v>39</v>
      </c>
      <c r="AJ258" s="37">
        <v>26</v>
      </c>
      <c r="AK258" s="420"/>
      <c r="AL258" s="420"/>
      <c r="AM258" s="420"/>
      <c r="AN258" s="421" t="s">
        <v>1146</v>
      </c>
      <c r="AO258" s="37"/>
      <c r="AP258" s="37"/>
      <c r="AQ258" s="37" t="s">
        <v>1147</v>
      </c>
      <c r="AR258" s="423">
        <v>268</v>
      </c>
    </row>
    <row r="259" spans="1:44" ht="15" customHeight="1">
      <c r="A259" s="37">
        <v>1060102</v>
      </c>
      <c r="B259" s="5" t="s">
        <v>3638</v>
      </c>
      <c r="C259" s="224" t="s">
        <v>4126</v>
      </c>
      <c r="D259" s="37" t="s">
        <v>81</v>
      </c>
      <c r="E259" s="37" t="s">
        <v>1129</v>
      </c>
      <c r="F259" s="37">
        <v>1</v>
      </c>
      <c r="G259" s="37">
        <v>6</v>
      </c>
      <c r="H259" s="37" t="s">
        <v>136</v>
      </c>
      <c r="I259" s="5" t="s">
        <v>3640</v>
      </c>
      <c r="J259" s="37"/>
      <c r="K259" s="37"/>
      <c r="L259" s="408" t="s">
        <v>1149</v>
      </c>
      <c r="M259" s="409"/>
      <c r="N259" s="409"/>
      <c r="O259" s="37"/>
      <c r="P259" s="410"/>
      <c r="Q259" s="410">
        <v>0</v>
      </c>
      <c r="R259" s="410"/>
      <c r="S259" s="37">
        <v>1060102</v>
      </c>
      <c r="T259" s="415"/>
      <c r="U259" s="416"/>
      <c r="V259" s="410" t="s">
        <v>902</v>
      </c>
      <c r="W259" s="57" t="s">
        <v>4127</v>
      </c>
      <c r="X259" s="57" t="s">
        <v>4127</v>
      </c>
      <c r="Y259" s="410"/>
      <c r="Z259" s="410"/>
      <c r="AA259" s="410"/>
      <c r="AB259" s="410" t="s">
        <v>114</v>
      </c>
      <c r="AC259" s="37"/>
      <c r="AD259" s="37"/>
      <c r="AE259" s="37">
        <v>0</v>
      </c>
      <c r="AF259" s="37">
        <v>0</v>
      </c>
      <c r="AG259" s="37">
        <v>0</v>
      </c>
      <c r="AH259" s="37"/>
      <c r="AI259" s="37">
        <v>0</v>
      </c>
      <c r="AJ259" s="37">
        <v>0</v>
      </c>
      <c r="AK259" s="420"/>
      <c r="AL259" s="420"/>
      <c r="AM259" s="420"/>
      <c r="AN259" s="421"/>
      <c r="AO259" s="37"/>
      <c r="AP259" s="37"/>
      <c r="AQ259" s="37" t="s">
        <v>1151</v>
      </c>
      <c r="AR259" s="423"/>
    </row>
    <row r="260" spans="1:44" ht="15" customHeight="1">
      <c r="A260" s="37">
        <v>1060103</v>
      </c>
      <c r="B260" s="5" t="s">
        <v>3638</v>
      </c>
      <c r="C260" s="224" t="s">
        <v>4128</v>
      </c>
      <c r="D260" s="37" t="s">
        <v>81</v>
      </c>
      <c r="E260" s="37" t="s">
        <v>1129</v>
      </c>
      <c r="F260" s="37">
        <v>1</v>
      </c>
      <c r="G260" s="37">
        <v>6</v>
      </c>
      <c r="H260" s="37" t="s">
        <v>82</v>
      </c>
      <c r="I260" s="5" t="s">
        <v>3640</v>
      </c>
      <c r="J260" s="37"/>
      <c r="K260" s="37">
        <v>2</v>
      </c>
      <c r="L260" s="408" t="s">
        <v>1153</v>
      </c>
      <c r="M260" s="409"/>
      <c r="N260" s="409"/>
      <c r="O260" s="37"/>
      <c r="P260" s="410"/>
      <c r="Q260" s="410">
        <v>0</v>
      </c>
      <c r="R260" s="410" t="s">
        <v>85</v>
      </c>
      <c r="S260" s="37">
        <v>1060103</v>
      </c>
      <c r="T260" s="415"/>
      <c r="U260" s="416"/>
      <c r="V260" s="410" t="s">
        <v>902</v>
      </c>
      <c r="W260" s="57" t="s">
        <v>4129</v>
      </c>
      <c r="X260" s="57" t="s">
        <v>4129</v>
      </c>
      <c r="Y260" s="410"/>
      <c r="Z260" s="410"/>
      <c r="AA260" s="410"/>
      <c r="AB260" s="410" t="s">
        <v>90</v>
      </c>
      <c r="AC260" s="419" t="s">
        <v>1155</v>
      </c>
      <c r="AD260" s="37"/>
      <c r="AE260" s="37">
        <v>1</v>
      </c>
      <c r="AF260" s="37">
        <v>1</v>
      </c>
      <c r="AG260" s="37">
        <v>5</v>
      </c>
      <c r="AH260" s="37"/>
      <c r="AI260" s="37">
        <v>39</v>
      </c>
      <c r="AJ260" s="37">
        <v>26</v>
      </c>
      <c r="AK260" s="420"/>
      <c r="AL260" s="420"/>
      <c r="AM260" s="420"/>
      <c r="AN260" s="421" t="s">
        <v>1156</v>
      </c>
      <c r="AO260" s="37" t="s">
        <v>1157</v>
      </c>
      <c r="AP260" s="37"/>
      <c r="AQ260" s="37" t="s">
        <v>1158</v>
      </c>
      <c r="AR260" s="423">
        <v>269</v>
      </c>
    </row>
    <row r="261" spans="1:44" ht="15" customHeight="1">
      <c r="A261" s="37">
        <v>1060104</v>
      </c>
      <c r="B261" s="5" t="s">
        <v>3638</v>
      </c>
      <c r="C261" s="224" t="s">
        <v>4130</v>
      </c>
      <c r="D261" s="37" t="s">
        <v>81</v>
      </c>
      <c r="E261" s="37" t="s">
        <v>1129</v>
      </c>
      <c r="F261" s="37">
        <v>2</v>
      </c>
      <c r="G261" s="37">
        <v>6</v>
      </c>
      <c r="H261" s="37" t="s">
        <v>136</v>
      </c>
      <c r="I261" s="5" t="s">
        <v>3640</v>
      </c>
      <c r="J261" s="37"/>
      <c r="K261" s="37"/>
      <c r="L261" s="408" t="s">
        <v>1160</v>
      </c>
      <c r="M261" s="409"/>
      <c r="N261" s="409"/>
      <c r="O261" s="37"/>
      <c r="P261" s="410"/>
      <c r="Q261" s="410">
        <v>0</v>
      </c>
      <c r="R261" s="410"/>
      <c r="S261" s="37">
        <v>1060104</v>
      </c>
      <c r="T261" s="415"/>
      <c r="U261" s="416"/>
      <c r="V261" s="410" t="s">
        <v>902</v>
      </c>
      <c r="W261" s="57" t="s">
        <v>4131</v>
      </c>
      <c r="X261" s="57" t="s">
        <v>4131</v>
      </c>
      <c r="Y261" s="410"/>
      <c r="Z261" s="410"/>
      <c r="AA261" s="410"/>
      <c r="AB261" s="410"/>
      <c r="AC261" s="37"/>
      <c r="AD261" s="37"/>
      <c r="AE261" s="37">
        <v>0</v>
      </c>
      <c r="AF261" s="37">
        <v>0</v>
      </c>
      <c r="AG261" s="37">
        <v>0</v>
      </c>
      <c r="AH261" s="37"/>
      <c r="AI261" s="37">
        <v>0</v>
      </c>
      <c r="AJ261" s="37">
        <v>0</v>
      </c>
      <c r="AK261" s="420"/>
      <c r="AL261" s="420"/>
      <c r="AM261" s="420"/>
      <c r="AN261" s="421"/>
      <c r="AO261" s="37"/>
      <c r="AP261" s="37"/>
      <c r="AQ261" s="37" t="s">
        <v>1162</v>
      </c>
      <c r="AR261" s="423"/>
    </row>
    <row r="262" spans="1:44" ht="15" customHeight="1">
      <c r="A262" s="37">
        <v>1060105</v>
      </c>
      <c r="B262" s="5" t="s">
        <v>3638</v>
      </c>
      <c r="C262" s="224" t="s">
        <v>4132</v>
      </c>
      <c r="D262" s="37" t="s">
        <v>81</v>
      </c>
      <c r="E262" s="37" t="s">
        <v>1129</v>
      </c>
      <c r="F262" s="37">
        <v>1</v>
      </c>
      <c r="G262" s="37">
        <v>6</v>
      </c>
      <c r="H262" s="37" t="s">
        <v>82</v>
      </c>
      <c r="I262" s="5" t="s">
        <v>3640</v>
      </c>
      <c r="J262" s="37"/>
      <c r="K262" s="37">
        <v>3</v>
      </c>
      <c r="L262" s="408" t="s">
        <v>1164</v>
      </c>
      <c r="M262" s="409"/>
      <c r="N262" s="409"/>
      <c r="O262" s="37"/>
      <c r="P262" s="410"/>
      <c r="Q262" s="410">
        <v>0</v>
      </c>
      <c r="R262" s="410" t="s">
        <v>85</v>
      </c>
      <c r="S262" s="37">
        <v>1060105</v>
      </c>
      <c r="T262" s="415"/>
      <c r="U262" s="416"/>
      <c r="V262" s="410" t="s">
        <v>902</v>
      </c>
      <c r="W262" s="57" t="s">
        <v>4133</v>
      </c>
      <c r="X262" s="57" t="s">
        <v>4133</v>
      </c>
      <c r="Y262" s="410"/>
      <c r="Z262" s="410"/>
      <c r="AA262" s="410"/>
      <c r="AB262" s="410" t="s">
        <v>90</v>
      </c>
      <c r="AC262" s="37"/>
      <c r="AD262" s="37"/>
      <c r="AE262" s="37">
        <v>1</v>
      </c>
      <c r="AF262" s="37">
        <v>1</v>
      </c>
      <c r="AG262" s="37">
        <v>5</v>
      </c>
      <c r="AH262" s="37"/>
      <c r="AI262" s="37">
        <v>39</v>
      </c>
      <c r="AJ262" s="37">
        <v>26</v>
      </c>
      <c r="AK262" s="420"/>
      <c r="AL262" s="420"/>
      <c r="AM262" s="420"/>
      <c r="AN262" s="422" t="s">
        <v>1166</v>
      </c>
      <c r="AO262" s="37"/>
      <c r="AP262" s="37"/>
      <c r="AQ262" s="37" t="s">
        <v>1167</v>
      </c>
      <c r="AR262" s="423">
        <v>270</v>
      </c>
    </row>
    <row r="263" spans="1:44" ht="15" customHeight="1">
      <c r="A263" s="37">
        <v>1060106</v>
      </c>
      <c r="B263" s="5" t="s">
        <v>3638</v>
      </c>
      <c r="C263" s="224" t="s">
        <v>4134</v>
      </c>
      <c r="D263" s="37" t="s">
        <v>81</v>
      </c>
      <c r="E263" s="37" t="s">
        <v>1129</v>
      </c>
      <c r="F263" s="37">
        <v>3</v>
      </c>
      <c r="G263" s="37">
        <v>6</v>
      </c>
      <c r="H263" s="37" t="s">
        <v>136</v>
      </c>
      <c r="I263" s="5" t="s">
        <v>3640</v>
      </c>
      <c r="J263" s="37"/>
      <c r="K263" s="37"/>
      <c r="L263" s="408" t="s">
        <v>1169</v>
      </c>
      <c r="M263" s="409"/>
      <c r="N263" s="409"/>
      <c r="O263" s="37"/>
      <c r="P263" s="410"/>
      <c r="Q263" s="410">
        <v>0</v>
      </c>
      <c r="R263" s="410"/>
      <c r="S263" s="37">
        <v>1060106</v>
      </c>
      <c r="T263" s="415"/>
      <c r="U263" s="416"/>
      <c r="V263" s="410" t="s">
        <v>902</v>
      </c>
      <c r="W263" s="57" t="s">
        <v>4135</v>
      </c>
      <c r="X263" s="57" t="s">
        <v>4135</v>
      </c>
      <c r="Y263" s="410"/>
      <c r="Z263" s="410"/>
      <c r="AA263" s="410"/>
      <c r="AB263" s="410" t="s">
        <v>114</v>
      </c>
      <c r="AC263" s="37"/>
      <c r="AD263" s="37"/>
      <c r="AE263" s="37">
        <v>0</v>
      </c>
      <c r="AF263" s="37">
        <v>0</v>
      </c>
      <c r="AG263" s="37">
        <v>0</v>
      </c>
      <c r="AH263" s="37"/>
      <c r="AI263" s="37">
        <v>0</v>
      </c>
      <c r="AJ263" s="37">
        <v>0</v>
      </c>
      <c r="AK263" s="420"/>
      <c r="AL263" s="420"/>
      <c r="AM263" s="420"/>
      <c r="AN263" s="37"/>
      <c r="AO263" s="37"/>
      <c r="AP263" s="37"/>
      <c r="AQ263" s="37" t="s">
        <v>1171</v>
      </c>
      <c r="AR263" s="423"/>
    </row>
    <row r="264" spans="1:44" ht="15" customHeight="1">
      <c r="A264" s="37">
        <v>1060107</v>
      </c>
      <c r="B264" s="5" t="s">
        <v>3638</v>
      </c>
      <c r="C264" s="224" t="s">
        <v>4136</v>
      </c>
      <c r="D264" s="37" t="s">
        <v>81</v>
      </c>
      <c r="E264" s="37" t="s">
        <v>1129</v>
      </c>
      <c r="F264" s="37">
        <v>4</v>
      </c>
      <c r="G264" s="37">
        <v>6</v>
      </c>
      <c r="H264" s="37" t="s">
        <v>136</v>
      </c>
      <c r="I264" s="5" t="s">
        <v>3640</v>
      </c>
      <c r="J264" s="37"/>
      <c r="K264" s="37"/>
      <c r="L264" s="408" t="s">
        <v>1173</v>
      </c>
      <c r="M264" s="409"/>
      <c r="N264" s="409"/>
      <c r="O264" s="37"/>
      <c r="P264" s="410"/>
      <c r="Q264" s="410">
        <v>0</v>
      </c>
      <c r="R264" s="410"/>
      <c r="S264" s="37">
        <v>1060107</v>
      </c>
      <c r="T264" s="415"/>
      <c r="U264" s="416"/>
      <c r="V264" s="410" t="s">
        <v>902</v>
      </c>
      <c r="W264" s="57" t="s">
        <v>4137</v>
      </c>
      <c r="X264" s="57" t="s">
        <v>4137</v>
      </c>
      <c r="Y264" s="410"/>
      <c r="Z264" s="410"/>
      <c r="AA264" s="410"/>
      <c r="AB264" s="410"/>
      <c r="AC264" s="37"/>
      <c r="AD264" s="37"/>
      <c r="AE264" s="37">
        <v>0</v>
      </c>
      <c r="AF264" s="37">
        <v>0</v>
      </c>
      <c r="AG264" s="37">
        <v>0</v>
      </c>
      <c r="AH264" s="37"/>
      <c r="AI264" s="37">
        <v>0</v>
      </c>
      <c r="AJ264" s="37">
        <v>0</v>
      </c>
      <c r="AK264" s="420"/>
      <c r="AL264" s="420"/>
      <c r="AM264" s="420"/>
      <c r="AN264" s="37"/>
      <c r="AO264" s="37"/>
      <c r="AP264" s="37"/>
      <c r="AQ264" s="37" t="s">
        <v>1175</v>
      </c>
      <c r="AR264" s="423"/>
    </row>
    <row r="265" spans="1:44" ht="15" customHeight="1">
      <c r="A265" s="37">
        <v>1060108</v>
      </c>
      <c r="B265" s="5" t="s">
        <v>3638</v>
      </c>
      <c r="C265" s="224" t="s">
        <v>4138</v>
      </c>
      <c r="D265" s="37" t="s">
        <v>81</v>
      </c>
      <c r="E265" s="37" t="s">
        <v>1129</v>
      </c>
      <c r="F265" s="37">
        <v>5</v>
      </c>
      <c r="G265" s="37">
        <v>6</v>
      </c>
      <c r="H265" s="37" t="s">
        <v>136</v>
      </c>
      <c r="I265" s="5" t="s">
        <v>3640</v>
      </c>
      <c r="J265" s="37"/>
      <c r="K265" s="37"/>
      <c r="L265" s="408" t="s">
        <v>1177</v>
      </c>
      <c r="M265" s="409"/>
      <c r="N265" s="409"/>
      <c r="O265" s="37"/>
      <c r="P265" s="410"/>
      <c r="Q265" s="410">
        <v>0</v>
      </c>
      <c r="R265" s="410"/>
      <c r="S265" s="37">
        <v>1060108</v>
      </c>
      <c r="T265" s="415"/>
      <c r="U265" s="416"/>
      <c r="V265" s="410" t="s">
        <v>902</v>
      </c>
      <c r="W265" s="57" t="s">
        <v>4139</v>
      </c>
      <c r="X265" s="57" t="s">
        <v>4139</v>
      </c>
      <c r="Y265" s="410"/>
      <c r="Z265" s="410"/>
      <c r="AA265" s="410"/>
      <c r="AB265" s="410" t="s">
        <v>114</v>
      </c>
      <c r="AC265" s="37"/>
      <c r="AD265" s="37"/>
      <c r="AE265" s="37">
        <v>0</v>
      </c>
      <c r="AF265" s="37">
        <v>0</v>
      </c>
      <c r="AG265" s="37">
        <v>0</v>
      </c>
      <c r="AH265" s="37"/>
      <c r="AI265" s="37">
        <v>0</v>
      </c>
      <c r="AJ265" s="37">
        <v>0</v>
      </c>
      <c r="AK265" s="420"/>
      <c r="AL265" s="420"/>
      <c r="AM265" s="420"/>
      <c r="AN265" s="37"/>
      <c r="AO265" s="37"/>
      <c r="AP265" s="37"/>
      <c r="AQ265" s="37" t="s">
        <v>1179</v>
      </c>
      <c r="AR265" s="423"/>
    </row>
    <row r="266" spans="1:44" ht="15" customHeight="1">
      <c r="A266" s="37">
        <v>1060109</v>
      </c>
      <c r="B266" s="5" t="s">
        <v>3638</v>
      </c>
      <c r="C266" s="224" t="s">
        <v>4140</v>
      </c>
      <c r="D266" s="37" t="s">
        <v>81</v>
      </c>
      <c r="E266" s="37" t="s">
        <v>1129</v>
      </c>
      <c r="F266" s="37">
        <v>6</v>
      </c>
      <c r="G266" s="37">
        <v>6</v>
      </c>
      <c r="H266" s="37" t="s">
        <v>136</v>
      </c>
      <c r="I266" s="5" t="s">
        <v>3640</v>
      </c>
      <c r="J266" s="37"/>
      <c r="K266" s="37"/>
      <c r="L266" s="408" t="s">
        <v>1181</v>
      </c>
      <c r="M266" s="409"/>
      <c r="N266" s="409"/>
      <c r="O266" s="37"/>
      <c r="P266" s="410"/>
      <c r="Q266" s="410">
        <v>0</v>
      </c>
      <c r="R266" s="410"/>
      <c r="S266" s="37">
        <v>1060109</v>
      </c>
      <c r="T266" s="415"/>
      <c r="U266" s="416"/>
      <c r="V266" s="410" t="s">
        <v>902</v>
      </c>
      <c r="W266" s="57" t="s">
        <v>4141</v>
      </c>
      <c r="X266" s="57" t="s">
        <v>4141</v>
      </c>
      <c r="Y266" s="410"/>
      <c r="Z266" s="410"/>
      <c r="AA266" s="410"/>
      <c r="AB266" s="410"/>
      <c r="AC266" s="37"/>
      <c r="AD266" s="37"/>
      <c r="AE266" s="37">
        <v>0</v>
      </c>
      <c r="AF266" s="37">
        <v>0</v>
      </c>
      <c r="AG266" s="37">
        <v>0</v>
      </c>
      <c r="AH266" s="37"/>
      <c r="AI266" s="37">
        <v>0</v>
      </c>
      <c r="AJ266" s="37">
        <v>0</v>
      </c>
      <c r="AK266" s="420"/>
      <c r="AL266" s="420"/>
      <c r="AM266" s="420"/>
      <c r="AN266" s="37"/>
      <c r="AO266" s="37"/>
      <c r="AP266" s="37"/>
      <c r="AQ266" s="37" t="s">
        <v>1183</v>
      </c>
      <c r="AR266" s="423"/>
    </row>
    <row r="267" spans="1:44" ht="15" customHeight="1">
      <c r="A267" s="37">
        <v>1060110</v>
      </c>
      <c r="B267" s="5" t="s">
        <v>3638</v>
      </c>
      <c r="C267" s="224" t="s">
        <v>4142</v>
      </c>
      <c r="D267" s="37" t="s">
        <v>81</v>
      </c>
      <c r="E267" s="37" t="s">
        <v>1129</v>
      </c>
      <c r="F267" s="37">
        <v>7</v>
      </c>
      <c r="G267" s="37">
        <v>6</v>
      </c>
      <c r="H267" s="37" t="s">
        <v>136</v>
      </c>
      <c r="I267" s="5" t="s">
        <v>3640</v>
      </c>
      <c r="J267" s="37"/>
      <c r="K267" s="37"/>
      <c r="L267" s="408" t="s">
        <v>1185</v>
      </c>
      <c r="M267" s="409"/>
      <c r="N267" s="409"/>
      <c r="O267" s="37"/>
      <c r="P267" s="410"/>
      <c r="Q267" s="410">
        <v>0</v>
      </c>
      <c r="R267" s="410"/>
      <c r="S267" s="37">
        <v>1060110</v>
      </c>
      <c r="T267" s="415"/>
      <c r="U267" s="416"/>
      <c r="V267" s="410" t="s">
        <v>902</v>
      </c>
      <c r="W267" s="57" t="s">
        <v>4143</v>
      </c>
      <c r="X267" s="57" t="s">
        <v>4143</v>
      </c>
      <c r="Y267" s="410"/>
      <c r="Z267" s="410"/>
      <c r="AA267" s="410"/>
      <c r="AB267" s="410"/>
      <c r="AC267" s="37"/>
      <c r="AD267" s="37"/>
      <c r="AE267" s="37">
        <v>0</v>
      </c>
      <c r="AF267" s="37">
        <v>0</v>
      </c>
      <c r="AG267" s="37">
        <v>0</v>
      </c>
      <c r="AH267" s="37"/>
      <c r="AI267" s="37">
        <v>0</v>
      </c>
      <c r="AJ267" s="37">
        <v>0</v>
      </c>
      <c r="AK267" s="420"/>
      <c r="AL267" s="420"/>
      <c r="AM267" s="420"/>
      <c r="AN267" s="37"/>
      <c r="AO267" s="37"/>
      <c r="AP267" s="37"/>
      <c r="AQ267" s="37" t="s">
        <v>1187</v>
      </c>
      <c r="AR267" s="423"/>
    </row>
    <row r="268" spans="1:44" ht="15" customHeight="1">
      <c r="A268" s="3">
        <v>1060111</v>
      </c>
      <c r="B268" s="5" t="s">
        <v>3638</v>
      </c>
      <c r="C268" s="224" t="s">
        <v>4144</v>
      </c>
      <c r="D268" s="3" t="s">
        <v>81</v>
      </c>
      <c r="E268" s="3" t="s">
        <v>1129</v>
      </c>
      <c r="F268" s="3">
        <v>8</v>
      </c>
      <c r="G268" s="3">
        <v>6</v>
      </c>
      <c r="H268" s="3" t="s">
        <v>136</v>
      </c>
      <c r="I268" s="5" t="s">
        <v>3640</v>
      </c>
      <c r="J268" s="3"/>
      <c r="K268" s="3"/>
      <c r="L268" s="236"/>
      <c r="M268" s="99"/>
      <c r="N268" s="99"/>
      <c r="O268" s="236"/>
      <c r="P268" s="22"/>
      <c r="Q268" s="22">
        <v>0</v>
      </c>
      <c r="R268" s="22" t="s">
        <v>153</v>
      </c>
      <c r="S268" s="3"/>
      <c r="T268" s="260"/>
      <c r="U268" s="261"/>
      <c r="V268" s="22"/>
      <c r="W268" s="57" t="s">
        <v>3716</v>
      </c>
      <c r="X268" s="57" t="s">
        <v>3716</v>
      </c>
      <c r="Y268" s="22"/>
      <c r="Z268" s="22"/>
      <c r="AA268" s="22"/>
      <c r="AB268" s="22" t="s">
        <v>114</v>
      </c>
      <c r="AC268" s="3"/>
      <c r="AD268" s="3"/>
      <c r="AE268" s="3">
        <v>0</v>
      </c>
      <c r="AF268" s="3">
        <v>0</v>
      </c>
      <c r="AG268" s="3">
        <v>0</v>
      </c>
      <c r="AH268" s="3"/>
      <c r="AI268" s="3">
        <v>0</v>
      </c>
      <c r="AJ268" s="3">
        <v>0</v>
      </c>
      <c r="AK268" s="3">
        <v>0</v>
      </c>
      <c r="AL268" s="3"/>
      <c r="AM268" s="3"/>
      <c r="AN268" s="3"/>
      <c r="AO268" s="3"/>
      <c r="AP268" s="3"/>
      <c r="AQ268" s="3" t="s">
        <v>1167</v>
      </c>
      <c r="AR268" s="281"/>
    </row>
    <row r="269" spans="1:44" ht="15" customHeight="1">
      <c r="A269" s="3">
        <v>1060112</v>
      </c>
      <c r="B269" s="5" t="s">
        <v>3638</v>
      </c>
      <c r="C269" s="224" t="s">
        <v>4145</v>
      </c>
      <c r="D269" s="3" t="s">
        <v>81</v>
      </c>
      <c r="E269" s="3" t="s">
        <v>1129</v>
      </c>
      <c r="F269" s="3">
        <v>9</v>
      </c>
      <c r="G269" s="3">
        <v>6</v>
      </c>
      <c r="H269" s="3" t="s">
        <v>136</v>
      </c>
      <c r="I269" s="5" t="s">
        <v>3640</v>
      </c>
      <c r="J269" s="3"/>
      <c r="K269" s="3"/>
      <c r="L269" s="236"/>
      <c r="M269" s="99"/>
      <c r="N269" s="99"/>
      <c r="O269" s="236"/>
      <c r="P269" s="22"/>
      <c r="Q269" s="22">
        <v>0</v>
      </c>
      <c r="R269" s="22" t="s">
        <v>153</v>
      </c>
      <c r="S269" s="3"/>
      <c r="T269" s="260"/>
      <c r="U269" s="261"/>
      <c r="V269" s="22"/>
      <c r="W269" s="57" t="s">
        <v>4110</v>
      </c>
      <c r="X269" s="57" t="s">
        <v>4110</v>
      </c>
      <c r="Y269" s="22"/>
      <c r="Z269" s="22"/>
      <c r="AA269" s="22"/>
      <c r="AB269" s="22" t="s">
        <v>114</v>
      </c>
      <c r="AC269" s="3"/>
      <c r="AD269" s="3"/>
      <c r="AE269" s="3">
        <v>0</v>
      </c>
      <c r="AF269" s="3">
        <v>0</v>
      </c>
      <c r="AG269" s="3">
        <v>0</v>
      </c>
      <c r="AH269" s="3"/>
      <c r="AI269" s="3">
        <v>0</v>
      </c>
      <c r="AJ269" s="3">
        <v>0</v>
      </c>
      <c r="AK269" s="3">
        <v>0</v>
      </c>
      <c r="AL269" s="3"/>
      <c r="AM269" s="3"/>
      <c r="AN269" s="3"/>
      <c r="AO269" s="3"/>
      <c r="AP269" s="3"/>
      <c r="AQ269" s="282" t="str">
        <f t="shared" ref="AQ269:AQ283" si="2">"tricks/"&amp;A269</f>
        <v>tricks/1060112</v>
      </c>
    </row>
    <row r="270" spans="1:44" ht="15" customHeight="1">
      <c r="A270" s="3">
        <v>1060113</v>
      </c>
      <c r="B270" s="5" t="s">
        <v>3638</v>
      </c>
      <c r="C270" s="224" t="s">
        <v>4146</v>
      </c>
      <c r="D270" s="3" t="s">
        <v>81</v>
      </c>
      <c r="E270" s="3" t="s">
        <v>1129</v>
      </c>
      <c r="F270" s="3">
        <v>10</v>
      </c>
      <c r="G270" s="3">
        <v>6</v>
      </c>
      <c r="H270" s="3" t="s">
        <v>136</v>
      </c>
      <c r="I270" s="5" t="s">
        <v>3640</v>
      </c>
      <c r="J270" s="3"/>
      <c r="K270" s="3"/>
      <c r="L270" s="236"/>
      <c r="M270" s="99"/>
      <c r="N270" s="99"/>
      <c r="O270" s="236"/>
      <c r="P270" s="22"/>
      <c r="Q270" s="22">
        <v>0</v>
      </c>
      <c r="R270" s="22" t="s">
        <v>153</v>
      </c>
      <c r="S270" s="3"/>
      <c r="T270" s="260"/>
      <c r="U270" s="261"/>
      <c r="V270" s="22"/>
      <c r="W270" s="57" t="s">
        <v>4147</v>
      </c>
      <c r="X270" s="57" t="s">
        <v>4147</v>
      </c>
      <c r="Y270" s="22"/>
      <c r="Z270" s="22"/>
      <c r="AA270" s="22"/>
      <c r="AB270" s="22" t="s">
        <v>114</v>
      </c>
      <c r="AC270" s="3"/>
      <c r="AD270" s="3"/>
      <c r="AE270" s="3">
        <v>0</v>
      </c>
      <c r="AF270" s="3">
        <v>0</v>
      </c>
      <c r="AG270" s="3">
        <v>0</v>
      </c>
      <c r="AH270" s="3"/>
      <c r="AI270" s="3">
        <v>0</v>
      </c>
      <c r="AJ270" s="3">
        <v>0</v>
      </c>
      <c r="AK270" s="3">
        <v>0</v>
      </c>
      <c r="AL270" s="3"/>
      <c r="AM270" s="3"/>
      <c r="AN270" s="3"/>
      <c r="AO270" s="3"/>
      <c r="AP270" s="3"/>
      <c r="AQ270" s="282" t="str">
        <f t="shared" si="2"/>
        <v>tricks/1060113</v>
      </c>
    </row>
    <row r="271" spans="1:44" ht="15" customHeight="1">
      <c r="A271" s="37">
        <v>1060201</v>
      </c>
      <c r="B271" s="5" t="s">
        <v>3638</v>
      </c>
      <c r="C271" s="224" t="s">
        <v>4148</v>
      </c>
      <c r="D271" s="37" t="s">
        <v>81</v>
      </c>
      <c r="E271" s="37" t="s">
        <v>1129</v>
      </c>
      <c r="F271" s="37">
        <v>1</v>
      </c>
      <c r="G271" s="37">
        <v>6</v>
      </c>
      <c r="H271" s="37" t="s">
        <v>82</v>
      </c>
      <c r="I271" s="5" t="s">
        <v>3640</v>
      </c>
      <c r="J271" s="37"/>
      <c r="K271" s="37">
        <v>1</v>
      </c>
      <c r="L271" s="408" t="s">
        <v>1144</v>
      </c>
      <c r="M271" s="409"/>
      <c r="N271" s="409"/>
      <c r="O271" s="37"/>
      <c r="P271" s="410"/>
      <c r="Q271" s="410">
        <v>0</v>
      </c>
      <c r="R271" s="410" t="s">
        <v>85</v>
      </c>
      <c r="S271" s="37">
        <v>1060101</v>
      </c>
      <c r="T271" s="415"/>
      <c r="U271" s="416"/>
      <c r="V271" s="410" t="s">
        <v>902</v>
      </c>
      <c r="W271" s="57" t="s">
        <v>4149</v>
      </c>
      <c r="X271" s="57" t="s">
        <v>4149</v>
      </c>
      <c r="Y271" s="410"/>
      <c r="Z271" s="410"/>
      <c r="AA271" s="410"/>
      <c r="AB271" s="410" t="s">
        <v>90</v>
      </c>
      <c r="AC271" s="37"/>
      <c r="AD271" s="37"/>
      <c r="AE271" s="37">
        <v>1</v>
      </c>
      <c r="AF271" s="37">
        <v>2</v>
      </c>
      <c r="AG271" s="37">
        <v>6</v>
      </c>
      <c r="AH271" s="37"/>
      <c r="AI271" s="37">
        <v>39</v>
      </c>
      <c r="AJ271" s="37">
        <v>26</v>
      </c>
      <c r="AK271" s="420"/>
      <c r="AL271" s="420"/>
      <c r="AM271" s="420"/>
      <c r="AN271" s="422" t="s">
        <v>1196</v>
      </c>
      <c r="AO271" s="37"/>
      <c r="AP271" s="37"/>
      <c r="AQ271" s="8" t="str">
        <f t="shared" si="2"/>
        <v>tricks/1060201</v>
      </c>
      <c r="AR271" s="423">
        <v>357</v>
      </c>
    </row>
    <row r="272" spans="1:44" ht="15" customHeight="1">
      <c r="A272" s="37">
        <v>1060202</v>
      </c>
      <c r="B272" s="5" t="s">
        <v>3638</v>
      </c>
      <c r="C272" s="224" t="s">
        <v>4150</v>
      </c>
      <c r="D272" s="37" t="s">
        <v>81</v>
      </c>
      <c r="E272" s="37" t="s">
        <v>1129</v>
      </c>
      <c r="F272" s="37">
        <v>1</v>
      </c>
      <c r="G272" s="37">
        <v>6</v>
      </c>
      <c r="H272" s="37" t="s">
        <v>136</v>
      </c>
      <c r="I272" s="5" t="s">
        <v>3640</v>
      </c>
      <c r="J272" s="37"/>
      <c r="K272" s="37"/>
      <c r="L272" s="408" t="s">
        <v>1149</v>
      </c>
      <c r="M272" s="409"/>
      <c r="N272" s="409"/>
      <c r="O272" s="37"/>
      <c r="P272" s="410"/>
      <c r="Q272" s="410">
        <v>0</v>
      </c>
      <c r="R272" s="410"/>
      <c r="S272" s="37">
        <v>1060102</v>
      </c>
      <c r="T272" s="415"/>
      <c r="U272" s="416"/>
      <c r="V272" s="410" t="s">
        <v>902</v>
      </c>
      <c r="W272" s="57" t="s">
        <v>4151</v>
      </c>
      <c r="X272" s="57" t="s">
        <v>4151</v>
      </c>
      <c r="Y272" s="410"/>
      <c r="Z272" s="410"/>
      <c r="AA272" s="410"/>
      <c r="AB272" s="410" t="s">
        <v>114</v>
      </c>
      <c r="AC272" s="37"/>
      <c r="AD272" s="37"/>
      <c r="AE272" s="37">
        <v>0</v>
      </c>
      <c r="AF272" s="37">
        <v>0</v>
      </c>
      <c r="AG272" s="37">
        <v>0</v>
      </c>
      <c r="AH272" s="37"/>
      <c r="AI272" s="37">
        <v>0</v>
      </c>
      <c r="AJ272" s="37">
        <v>0</v>
      </c>
      <c r="AK272" s="420"/>
      <c r="AL272" s="420"/>
      <c r="AM272" s="420"/>
      <c r="AN272" s="421"/>
      <c r="AO272" s="37"/>
      <c r="AP272" s="37"/>
      <c r="AQ272" s="8" t="str">
        <f t="shared" si="2"/>
        <v>tricks/1060202</v>
      </c>
      <c r="AR272" s="423"/>
    </row>
    <row r="273" spans="1:44" ht="15" customHeight="1">
      <c r="A273" s="37">
        <v>1060203</v>
      </c>
      <c r="B273" s="5" t="s">
        <v>3638</v>
      </c>
      <c r="C273" s="224" t="s">
        <v>4152</v>
      </c>
      <c r="D273" s="37" t="s">
        <v>81</v>
      </c>
      <c r="E273" s="37" t="s">
        <v>1129</v>
      </c>
      <c r="F273" s="37">
        <v>1</v>
      </c>
      <c r="G273" s="37">
        <v>6</v>
      </c>
      <c r="H273" s="37" t="s">
        <v>82</v>
      </c>
      <c r="I273" s="5" t="s">
        <v>3640</v>
      </c>
      <c r="J273" s="37"/>
      <c r="K273" s="37">
        <v>2</v>
      </c>
      <c r="L273" s="408" t="s">
        <v>1153</v>
      </c>
      <c r="M273" s="409"/>
      <c r="N273" s="409"/>
      <c r="O273" s="37"/>
      <c r="P273" s="410"/>
      <c r="Q273" s="410">
        <v>0</v>
      </c>
      <c r="R273" s="410" t="s">
        <v>85</v>
      </c>
      <c r="S273" s="37">
        <v>1060103</v>
      </c>
      <c r="T273" s="415"/>
      <c r="U273" s="416"/>
      <c r="V273" s="410" t="s">
        <v>902</v>
      </c>
      <c r="W273" s="57" t="s">
        <v>4153</v>
      </c>
      <c r="X273" s="57" t="s">
        <v>4153</v>
      </c>
      <c r="Y273" s="410"/>
      <c r="Z273" s="410"/>
      <c r="AA273" s="410"/>
      <c r="AB273" s="410" t="s">
        <v>90</v>
      </c>
      <c r="AC273" s="419" t="s">
        <v>1155</v>
      </c>
      <c r="AD273" s="37"/>
      <c r="AE273" s="37">
        <v>1</v>
      </c>
      <c r="AF273" s="37">
        <v>1</v>
      </c>
      <c r="AG273" s="37">
        <v>5</v>
      </c>
      <c r="AH273" s="37"/>
      <c r="AI273" s="37">
        <v>39</v>
      </c>
      <c r="AJ273" s="37">
        <v>26</v>
      </c>
      <c r="AK273" s="420"/>
      <c r="AL273" s="420"/>
      <c r="AM273" s="420"/>
      <c r="AN273" s="422" t="s">
        <v>1202</v>
      </c>
      <c r="AO273" s="37"/>
      <c r="AP273" s="37"/>
      <c r="AQ273" s="8" t="str">
        <f t="shared" si="2"/>
        <v>tricks/1060203</v>
      </c>
      <c r="AR273" s="423">
        <v>358</v>
      </c>
    </row>
    <row r="274" spans="1:44" ht="15" customHeight="1">
      <c r="A274" s="37">
        <v>1060204</v>
      </c>
      <c r="B274" s="5" t="s">
        <v>3638</v>
      </c>
      <c r="C274" s="224" t="s">
        <v>4154</v>
      </c>
      <c r="D274" s="37" t="s">
        <v>81</v>
      </c>
      <c r="E274" s="37" t="s">
        <v>1129</v>
      </c>
      <c r="F274" s="37">
        <v>2</v>
      </c>
      <c r="G274" s="37">
        <v>6</v>
      </c>
      <c r="H274" s="37" t="s">
        <v>136</v>
      </c>
      <c r="I274" s="5" t="s">
        <v>3640</v>
      </c>
      <c r="J274" s="37"/>
      <c r="K274" s="37"/>
      <c r="L274" s="408" t="s">
        <v>1160</v>
      </c>
      <c r="M274" s="409"/>
      <c r="N274" s="409"/>
      <c r="O274" s="37"/>
      <c r="P274" s="410"/>
      <c r="Q274" s="410">
        <v>0</v>
      </c>
      <c r="R274" s="410"/>
      <c r="S274" s="37">
        <v>1060104</v>
      </c>
      <c r="T274" s="415"/>
      <c r="U274" s="416"/>
      <c r="V274" s="410" t="s">
        <v>902</v>
      </c>
      <c r="W274" s="57" t="s">
        <v>4155</v>
      </c>
      <c r="X274" s="57" t="s">
        <v>4155</v>
      </c>
      <c r="Y274" s="410"/>
      <c r="Z274" s="410"/>
      <c r="AA274" s="410"/>
      <c r="AB274" s="410"/>
      <c r="AC274" s="37"/>
      <c r="AD274" s="37"/>
      <c r="AE274" s="37">
        <v>0</v>
      </c>
      <c r="AF274" s="37">
        <v>0</v>
      </c>
      <c r="AG274" s="37">
        <v>0</v>
      </c>
      <c r="AH274" s="37"/>
      <c r="AI274" s="37">
        <v>0</v>
      </c>
      <c r="AJ274" s="37">
        <v>0</v>
      </c>
      <c r="AK274" s="420"/>
      <c r="AL274" s="420"/>
      <c r="AM274" s="420"/>
      <c r="AN274" s="421"/>
      <c r="AO274" s="37"/>
      <c r="AP274" s="37"/>
      <c r="AQ274" s="8" t="str">
        <f t="shared" si="2"/>
        <v>tricks/1060204</v>
      </c>
      <c r="AR274" s="423"/>
    </row>
    <row r="275" spans="1:44" ht="15" customHeight="1">
      <c r="A275" s="37">
        <v>1060205</v>
      </c>
      <c r="B275" s="5" t="s">
        <v>3638</v>
      </c>
      <c r="C275" s="224" t="s">
        <v>4156</v>
      </c>
      <c r="D275" s="37" t="s">
        <v>81</v>
      </c>
      <c r="E275" s="37" t="s">
        <v>1129</v>
      </c>
      <c r="F275" s="37">
        <v>1</v>
      </c>
      <c r="G275" s="37">
        <v>6</v>
      </c>
      <c r="H275" s="37" t="s">
        <v>82</v>
      </c>
      <c r="I275" s="5" t="s">
        <v>3640</v>
      </c>
      <c r="J275" s="37"/>
      <c r="K275" s="37">
        <v>3</v>
      </c>
      <c r="L275" s="408" t="s">
        <v>1164</v>
      </c>
      <c r="M275" s="409"/>
      <c r="N275" s="409"/>
      <c r="O275" s="37"/>
      <c r="P275" s="410"/>
      <c r="Q275" s="410">
        <v>0</v>
      </c>
      <c r="R275" s="410" t="s">
        <v>85</v>
      </c>
      <c r="S275" s="37">
        <v>1060105</v>
      </c>
      <c r="T275" s="415" t="s">
        <v>1206</v>
      </c>
      <c r="U275" s="416" t="s">
        <v>1207</v>
      </c>
      <c r="V275" s="410" t="s">
        <v>902</v>
      </c>
      <c r="W275" s="57" t="s">
        <v>4157</v>
      </c>
      <c r="X275" s="57" t="s">
        <v>4157</v>
      </c>
      <c r="Y275" s="410"/>
      <c r="Z275" s="410"/>
      <c r="AA275" s="410"/>
      <c r="AB275" s="410" t="s">
        <v>90</v>
      </c>
      <c r="AC275" s="37"/>
      <c r="AD275" s="37"/>
      <c r="AE275" s="37">
        <v>1</v>
      </c>
      <c r="AF275" s="37">
        <v>1</v>
      </c>
      <c r="AG275" s="37">
        <v>5</v>
      </c>
      <c r="AH275" s="37"/>
      <c r="AI275" s="37">
        <v>39</v>
      </c>
      <c r="AJ275" s="37">
        <v>26</v>
      </c>
      <c r="AK275" s="420"/>
      <c r="AL275" s="420"/>
      <c r="AM275" s="420"/>
      <c r="AN275" s="422" t="s">
        <v>1210</v>
      </c>
      <c r="AO275" s="37"/>
      <c r="AP275" s="37"/>
      <c r="AQ275" s="8" t="str">
        <f t="shared" si="2"/>
        <v>tricks/1060205</v>
      </c>
      <c r="AR275" s="423">
        <v>359</v>
      </c>
    </row>
    <row r="276" spans="1:44" ht="15" customHeight="1">
      <c r="A276" s="37">
        <v>1060206</v>
      </c>
      <c r="B276" s="5" t="s">
        <v>3638</v>
      </c>
      <c r="C276" s="224" t="s">
        <v>4158</v>
      </c>
      <c r="D276" s="37" t="s">
        <v>81</v>
      </c>
      <c r="E276" s="37" t="s">
        <v>1129</v>
      </c>
      <c r="F276" s="37">
        <v>3</v>
      </c>
      <c r="G276" s="37">
        <v>6</v>
      </c>
      <c r="H276" s="37" t="s">
        <v>136</v>
      </c>
      <c r="I276" s="5" t="s">
        <v>3640</v>
      </c>
      <c r="J276" s="37"/>
      <c r="K276" s="37"/>
      <c r="L276" s="408" t="s">
        <v>1169</v>
      </c>
      <c r="M276" s="409"/>
      <c r="N276" s="409"/>
      <c r="O276" s="37"/>
      <c r="P276" s="410"/>
      <c r="Q276" s="410">
        <v>0</v>
      </c>
      <c r="R276" s="410"/>
      <c r="S276" s="37">
        <v>1060106</v>
      </c>
      <c r="T276" s="415"/>
      <c r="U276" s="416"/>
      <c r="V276" s="410" t="s">
        <v>902</v>
      </c>
      <c r="W276" s="57" t="s">
        <v>4159</v>
      </c>
      <c r="X276" s="57" t="s">
        <v>4159</v>
      </c>
      <c r="Y276" s="410"/>
      <c r="Z276" s="410"/>
      <c r="AA276" s="410"/>
      <c r="AB276" s="410" t="s">
        <v>114</v>
      </c>
      <c r="AC276" s="37"/>
      <c r="AD276" s="37"/>
      <c r="AE276" s="37">
        <v>0</v>
      </c>
      <c r="AF276" s="37">
        <v>0</v>
      </c>
      <c r="AG276" s="37">
        <v>0</v>
      </c>
      <c r="AH276" s="37"/>
      <c r="AI276" s="37">
        <v>0</v>
      </c>
      <c r="AJ276" s="37">
        <v>0</v>
      </c>
      <c r="AK276" s="420"/>
      <c r="AL276" s="420"/>
      <c r="AM276" s="420"/>
      <c r="AN276" s="37"/>
      <c r="AO276" s="37"/>
      <c r="AP276" s="37"/>
      <c r="AQ276" s="8" t="str">
        <f t="shared" si="2"/>
        <v>tricks/1060206</v>
      </c>
      <c r="AR276" s="423"/>
    </row>
    <row r="277" spans="1:44" ht="15" customHeight="1">
      <c r="A277" s="37">
        <v>1060207</v>
      </c>
      <c r="B277" s="5" t="s">
        <v>3638</v>
      </c>
      <c r="C277" s="224" t="s">
        <v>4160</v>
      </c>
      <c r="D277" s="37" t="s">
        <v>81</v>
      </c>
      <c r="E277" s="37" t="s">
        <v>1129</v>
      </c>
      <c r="F277" s="37">
        <v>4</v>
      </c>
      <c r="G277" s="37">
        <v>6</v>
      </c>
      <c r="H277" s="37" t="s">
        <v>136</v>
      </c>
      <c r="I277" s="5" t="s">
        <v>3640</v>
      </c>
      <c r="J277" s="37"/>
      <c r="K277" s="37"/>
      <c r="L277" s="408" t="s">
        <v>1173</v>
      </c>
      <c r="M277" s="409"/>
      <c r="N277" s="409"/>
      <c r="O277" s="37"/>
      <c r="P277" s="410"/>
      <c r="Q277" s="410">
        <v>0</v>
      </c>
      <c r="R277" s="410"/>
      <c r="S277" s="37">
        <v>1060107</v>
      </c>
      <c r="T277" s="415"/>
      <c r="U277" s="416"/>
      <c r="V277" s="410" t="s">
        <v>902</v>
      </c>
      <c r="W277" s="57" t="s">
        <v>4161</v>
      </c>
      <c r="X277" s="57" t="s">
        <v>4161</v>
      </c>
      <c r="Y277" s="410"/>
      <c r="Z277" s="410"/>
      <c r="AA277" s="410"/>
      <c r="AB277" s="410"/>
      <c r="AC277" s="37"/>
      <c r="AD277" s="37"/>
      <c r="AE277" s="37">
        <v>0</v>
      </c>
      <c r="AF277" s="37">
        <v>0</v>
      </c>
      <c r="AG277" s="37">
        <v>0</v>
      </c>
      <c r="AH277" s="37"/>
      <c r="AI277" s="37">
        <v>0</v>
      </c>
      <c r="AJ277" s="37">
        <v>0</v>
      </c>
      <c r="AK277" s="420"/>
      <c r="AL277" s="420"/>
      <c r="AM277" s="420"/>
      <c r="AN277" s="37"/>
      <c r="AO277" s="37"/>
      <c r="AP277" s="37"/>
      <c r="AQ277" s="8" t="str">
        <f t="shared" si="2"/>
        <v>tricks/1060207</v>
      </c>
      <c r="AR277" s="423"/>
    </row>
    <row r="278" spans="1:44" ht="15" customHeight="1">
      <c r="A278" s="37">
        <v>1060208</v>
      </c>
      <c r="B278" s="5" t="s">
        <v>3638</v>
      </c>
      <c r="C278" s="224" t="s">
        <v>4162</v>
      </c>
      <c r="D278" s="37" t="s">
        <v>81</v>
      </c>
      <c r="E278" s="37" t="s">
        <v>1129</v>
      </c>
      <c r="F278" s="37">
        <v>5</v>
      </c>
      <c r="G278" s="37">
        <v>6</v>
      </c>
      <c r="H278" s="37" t="s">
        <v>136</v>
      </c>
      <c r="I278" s="5" t="s">
        <v>3640</v>
      </c>
      <c r="J278" s="37"/>
      <c r="K278" s="37"/>
      <c r="L278" s="408" t="s">
        <v>1177</v>
      </c>
      <c r="M278" s="409"/>
      <c r="N278" s="409"/>
      <c r="O278" s="37"/>
      <c r="P278" s="410"/>
      <c r="Q278" s="410">
        <v>0</v>
      </c>
      <c r="R278" s="410"/>
      <c r="S278" s="37">
        <v>1060108</v>
      </c>
      <c r="T278" s="415"/>
      <c r="U278" s="416"/>
      <c r="V278" s="410" t="s">
        <v>902</v>
      </c>
      <c r="W278" s="57" t="s">
        <v>4163</v>
      </c>
      <c r="X278" s="57" t="s">
        <v>4163</v>
      </c>
      <c r="Y278" s="410"/>
      <c r="Z278" s="410"/>
      <c r="AA278" s="410"/>
      <c r="AB278" s="410" t="s">
        <v>114</v>
      </c>
      <c r="AC278" s="37"/>
      <c r="AD278" s="37"/>
      <c r="AE278" s="37">
        <v>0</v>
      </c>
      <c r="AF278" s="37">
        <v>0</v>
      </c>
      <c r="AG278" s="37">
        <v>0</v>
      </c>
      <c r="AH278" s="37"/>
      <c r="AI278" s="37">
        <v>0</v>
      </c>
      <c r="AJ278" s="37">
        <v>0</v>
      </c>
      <c r="AK278" s="420"/>
      <c r="AL278" s="420"/>
      <c r="AM278" s="420"/>
      <c r="AN278" s="37"/>
      <c r="AO278" s="37"/>
      <c r="AP278" s="37"/>
      <c r="AQ278" s="8" t="str">
        <f t="shared" si="2"/>
        <v>tricks/1060208</v>
      </c>
      <c r="AR278" s="423"/>
    </row>
    <row r="279" spans="1:44" ht="15" customHeight="1">
      <c r="A279" s="37">
        <v>1060209</v>
      </c>
      <c r="B279" s="5" t="s">
        <v>3638</v>
      </c>
      <c r="C279" s="224" t="s">
        <v>4164</v>
      </c>
      <c r="D279" s="37" t="s">
        <v>81</v>
      </c>
      <c r="E279" s="37" t="s">
        <v>1129</v>
      </c>
      <c r="F279" s="37">
        <v>6</v>
      </c>
      <c r="G279" s="37">
        <v>6</v>
      </c>
      <c r="H279" s="37" t="s">
        <v>136</v>
      </c>
      <c r="I279" s="5" t="s">
        <v>3640</v>
      </c>
      <c r="J279" s="37"/>
      <c r="K279" s="37"/>
      <c r="L279" s="408" t="s">
        <v>1181</v>
      </c>
      <c r="M279" s="409"/>
      <c r="N279" s="409"/>
      <c r="O279" s="37"/>
      <c r="P279" s="410"/>
      <c r="Q279" s="410">
        <v>0</v>
      </c>
      <c r="R279" s="410"/>
      <c r="S279" s="37">
        <v>1060109</v>
      </c>
      <c r="T279" s="415"/>
      <c r="U279" s="416"/>
      <c r="V279" s="410" t="s">
        <v>902</v>
      </c>
      <c r="W279" s="57" t="s">
        <v>4165</v>
      </c>
      <c r="X279" s="57" t="s">
        <v>4165</v>
      </c>
      <c r="Y279" s="410"/>
      <c r="Z279" s="410"/>
      <c r="AA279" s="410"/>
      <c r="AB279" s="410"/>
      <c r="AC279" s="37"/>
      <c r="AD279" s="37"/>
      <c r="AE279" s="37">
        <v>0</v>
      </c>
      <c r="AF279" s="37">
        <v>0</v>
      </c>
      <c r="AG279" s="37">
        <v>0</v>
      </c>
      <c r="AH279" s="37"/>
      <c r="AI279" s="37">
        <v>0</v>
      </c>
      <c r="AJ279" s="37">
        <v>0</v>
      </c>
      <c r="AK279" s="420"/>
      <c r="AL279" s="420"/>
      <c r="AM279" s="420"/>
      <c r="AN279" s="37"/>
      <c r="AO279" s="37"/>
      <c r="AP279" s="37"/>
      <c r="AQ279" s="8" t="str">
        <f t="shared" si="2"/>
        <v>tricks/1060209</v>
      </c>
      <c r="AR279" s="423"/>
    </row>
    <row r="280" spans="1:44" ht="15" customHeight="1">
      <c r="A280" s="37">
        <v>1060210</v>
      </c>
      <c r="B280" s="5" t="s">
        <v>3638</v>
      </c>
      <c r="C280" s="224" t="s">
        <v>4166</v>
      </c>
      <c r="D280" s="37" t="s">
        <v>81</v>
      </c>
      <c r="E280" s="37" t="s">
        <v>1129</v>
      </c>
      <c r="F280" s="37">
        <v>7</v>
      </c>
      <c r="G280" s="37">
        <v>6</v>
      </c>
      <c r="H280" s="37" t="s">
        <v>136</v>
      </c>
      <c r="I280" s="5" t="s">
        <v>3640</v>
      </c>
      <c r="J280" s="37"/>
      <c r="K280" s="37"/>
      <c r="L280" s="408" t="s">
        <v>1185</v>
      </c>
      <c r="M280" s="409"/>
      <c r="N280" s="409"/>
      <c r="O280" s="37"/>
      <c r="P280" s="410"/>
      <c r="Q280" s="410">
        <v>0</v>
      </c>
      <c r="R280" s="410"/>
      <c r="S280" s="37">
        <v>1060110</v>
      </c>
      <c r="T280" s="415"/>
      <c r="U280" s="416"/>
      <c r="V280" s="410" t="s">
        <v>902</v>
      </c>
      <c r="W280" s="57" t="s">
        <v>4167</v>
      </c>
      <c r="X280" s="57" t="s">
        <v>4167</v>
      </c>
      <c r="Y280" s="410"/>
      <c r="Z280" s="410"/>
      <c r="AA280" s="410"/>
      <c r="AB280" s="410"/>
      <c r="AC280" s="37"/>
      <c r="AD280" s="37"/>
      <c r="AE280" s="37">
        <v>0</v>
      </c>
      <c r="AF280" s="37">
        <v>0</v>
      </c>
      <c r="AG280" s="37">
        <v>0</v>
      </c>
      <c r="AH280" s="37"/>
      <c r="AI280" s="37">
        <v>0</v>
      </c>
      <c r="AJ280" s="37">
        <v>0</v>
      </c>
      <c r="AK280" s="420"/>
      <c r="AL280" s="420"/>
      <c r="AM280" s="420"/>
      <c r="AN280" s="37"/>
      <c r="AO280" s="37"/>
      <c r="AP280" s="37"/>
      <c r="AQ280" s="8" t="str">
        <f t="shared" si="2"/>
        <v>tricks/1060210</v>
      </c>
      <c r="AR280" s="423"/>
    </row>
    <row r="281" spans="1:44" ht="15" customHeight="1">
      <c r="A281" s="3">
        <v>1060211</v>
      </c>
      <c r="B281" s="5" t="s">
        <v>3638</v>
      </c>
      <c r="C281" s="224" t="s">
        <v>4168</v>
      </c>
      <c r="D281" s="3" t="s">
        <v>81</v>
      </c>
      <c r="E281" s="3" t="s">
        <v>1129</v>
      </c>
      <c r="F281" s="3">
        <v>8</v>
      </c>
      <c r="G281" s="3">
        <v>6</v>
      </c>
      <c r="H281" s="3" t="s">
        <v>136</v>
      </c>
      <c r="I281" s="5" t="s">
        <v>3640</v>
      </c>
      <c r="J281" s="3"/>
      <c r="K281" s="3"/>
      <c r="L281" s="236"/>
      <c r="M281" s="99"/>
      <c r="N281" s="99"/>
      <c r="O281" s="236"/>
      <c r="P281" s="22"/>
      <c r="Q281" s="22">
        <v>0</v>
      </c>
      <c r="R281" s="22" t="s">
        <v>153</v>
      </c>
      <c r="S281" s="3"/>
      <c r="T281" s="260"/>
      <c r="U281" s="261"/>
      <c r="V281" s="22"/>
      <c r="W281" s="57" t="s">
        <v>3665</v>
      </c>
      <c r="X281" s="57" t="s">
        <v>3665</v>
      </c>
      <c r="Y281" s="22"/>
      <c r="Z281" s="22"/>
      <c r="AA281" s="22"/>
      <c r="AB281" s="22" t="s">
        <v>114</v>
      </c>
      <c r="AC281" s="3"/>
      <c r="AD281" s="3"/>
      <c r="AE281" s="3">
        <v>0</v>
      </c>
      <c r="AF281" s="3">
        <v>0</v>
      </c>
      <c r="AG281" s="3">
        <v>0</v>
      </c>
      <c r="AH281" s="3"/>
      <c r="AI281" s="3">
        <v>0</v>
      </c>
      <c r="AJ281" s="3">
        <v>0</v>
      </c>
      <c r="AK281" s="3">
        <v>0</v>
      </c>
      <c r="AL281" s="3"/>
      <c r="AM281" s="3"/>
      <c r="AN281" s="3"/>
      <c r="AO281" s="3"/>
      <c r="AP281" s="3"/>
      <c r="AQ281" s="8" t="str">
        <f t="shared" si="2"/>
        <v>tricks/1060211</v>
      </c>
      <c r="AR281" s="281"/>
    </row>
    <row r="282" spans="1:44" ht="15" customHeight="1">
      <c r="A282" s="3">
        <v>1060212</v>
      </c>
      <c r="B282" s="5" t="s">
        <v>3638</v>
      </c>
      <c r="C282" s="224" t="s">
        <v>4169</v>
      </c>
      <c r="D282" s="3" t="s">
        <v>81</v>
      </c>
      <c r="E282" s="3" t="s">
        <v>1129</v>
      </c>
      <c r="F282" s="3">
        <v>9</v>
      </c>
      <c r="G282" s="3">
        <v>6</v>
      </c>
      <c r="H282" s="3" t="s">
        <v>136</v>
      </c>
      <c r="I282" s="5" t="s">
        <v>3640</v>
      </c>
      <c r="J282" s="3"/>
      <c r="K282" s="3"/>
      <c r="L282" s="236"/>
      <c r="M282" s="99"/>
      <c r="N282" s="99"/>
      <c r="O282" s="236"/>
      <c r="P282" s="22"/>
      <c r="Q282" s="22">
        <v>0</v>
      </c>
      <c r="R282" s="22" t="s">
        <v>153</v>
      </c>
      <c r="S282" s="3"/>
      <c r="T282" s="260"/>
      <c r="U282" s="261"/>
      <c r="V282" s="22"/>
      <c r="W282" s="57" t="s">
        <v>4170</v>
      </c>
      <c r="X282" s="57" t="s">
        <v>4170</v>
      </c>
      <c r="Y282" s="22"/>
      <c r="Z282" s="22"/>
      <c r="AA282" s="22"/>
      <c r="AB282" s="22" t="s">
        <v>114</v>
      </c>
      <c r="AC282" s="3"/>
      <c r="AD282" s="3"/>
      <c r="AE282" s="3">
        <v>0</v>
      </c>
      <c r="AF282" s="3">
        <v>0</v>
      </c>
      <c r="AG282" s="3">
        <v>0</v>
      </c>
      <c r="AH282" s="3"/>
      <c r="AI282" s="3">
        <v>0</v>
      </c>
      <c r="AJ282" s="3">
        <v>0</v>
      </c>
      <c r="AK282" s="3">
        <v>0</v>
      </c>
      <c r="AL282" s="3"/>
      <c r="AM282" s="3"/>
      <c r="AN282" s="3"/>
      <c r="AO282" s="3"/>
      <c r="AP282" s="3"/>
      <c r="AQ282" s="8" t="str">
        <f t="shared" si="2"/>
        <v>tricks/1060212</v>
      </c>
      <c r="AR282" s="281"/>
    </row>
    <row r="283" spans="1:44" ht="15" customHeight="1">
      <c r="A283" s="3">
        <v>1060213</v>
      </c>
      <c r="B283" s="5" t="s">
        <v>3638</v>
      </c>
      <c r="C283" s="224" t="s">
        <v>4171</v>
      </c>
      <c r="D283" s="3" t="s">
        <v>81</v>
      </c>
      <c r="E283" s="3" t="s">
        <v>1129</v>
      </c>
      <c r="F283" s="3">
        <v>10</v>
      </c>
      <c r="G283" s="3">
        <v>6</v>
      </c>
      <c r="H283" s="3" t="s">
        <v>136</v>
      </c>
      <c r="I283" s="5" t="s">
        <v>3640</v>
      </c>
      <c r="J283" s="3"/>
      <c r="K283" s="3"/>
      <c r="L283" s="236"/>
      <c r="M283" s="99"/>
      <c r="N283" s="99"/>
      <c r="O283" s="236"/>
      <c r="P283" s="22"/>
      <c r="Q283" s="22">
        <v>0</v>
      </c>
      <c r="R283" s="22" t="s">
        <v>153</v>
      </c>
      <c r="S283" s="3"/>
      <c r="T283" s="260"/>
      <c r="U283" s="261"/>
      <c r="V283" s="22"/>
      <c r="W283" s="57" t="s">
        <v>4172</v>
      </c>
      <c r="X283" s="57" t="s">
        <v>4172</v>
      </c>
      <c r="Y283" s="22"/>
      <c r="Z283" s="22"/>
      <c r="AA283" s="22"/>
      <c r="AB283" s="22" t="s">
        <v>114</v>
      </c>
      <c r="AC283" s="3"/>
      <c r="AD283" s="3"/>
      <c r="AE283" s="3">
        <v>0</v>
      </c>
      <c r="AF283" s="3">
        <v>0</v>
      </c>
      <c r="AG283" s="3">
        <v>0</v>
      </c>
      <c r="AH283" s="3"/>
      <c r="AI283" s="3">
        <v>0</v>
      </c>
      <c r="AJ283" s="3">
        <v>0</v>
      </c>
      <c r="AK283" s="3">
        <v>0</v>
      </c>
      <c r="AL283" s="3"/>
      <c r="AM283" s="3"/>
      <c r="AN283" s="3"/>
      <c r="AO283" s="3"/>
      <c r="AP283" s="3"/>
      <c r="AQ283" s="8" t="str">
        <f t="shared" si="2"/>
        <v>tricks/1060213</v>
      </c>
      <c r="AR283" s="281"/>
    </row>
    <row r="284" spans="1:44" ht="15" customHeight="1">
      <c r="A284" s="5">
        <v>1090001</v>
      </c>
      <c r="B284" s="5" t="s">
        <v>3638</v>
      </c>
      <c r="C284" s="224" t="s">
        <v>4173</v>
      </c>
      <c r="D284" s="5" t="s">
        <v>81</v>
      </c>
      <c r="E284" s="5" t="s">
        <v>1227</v>
      </c>
      <c r="F284" s="5">
        <v>1</v>
      </c>
      <c r="G284" s="5">
        <v>9</v>
      </c>
      <c r="H284" s="5" t="s">
        <v>82</v>
      </c>
      <c r="I284" s="5" t="s">
        <v>3640</v>
      </c>
      <c r="J284" s="5"/>
      <c r="K284" s="5">
        <v>4</v>
      </c>
      <c r="L284" s="230" t="s">
        <v>1229</v>
      </c>
      <c r="M284" s="231"/>
      <c r="N284" s="231"/>
      <c r="O284" s="5"/>
      <c r="P284" s="232"/>
      <c r="Q284" s="232">
        <v>0</v>
      </c>
      <c r="R284" s="232" t="s">
        <v>85</v>
      </c>
      <c r="S284" s="5">
        <v>1090001</v>
      </c>
      <c r="T284" s="256" t="s">
        <v>1230</v>
      </c>
      <c r="U284" s="257" t="s">
        <v>1231</v>
      </c>
      <c r="V284" s="232" t="s">
        <v>468</v>
      </c>
      <c r="W284" s="57" t="s">
        <v>4174</v>
      </c>
      <c r="X284" s="57" t="s">
        <v>4174</v>
      </c>
      <c r="Y284" s="232"/>
      <c r="Z284" s="232"/>
      <c r="AA284" s="232"/>
      <c r="AB284" s="232"/>
      <c r="AC284" s="5"/>
      <c r="AD284" s="5"/>
      <c r="AE284" s="5">
        <v>2</v>
      </c>
      <c r="AF284" s="5">
        <v>0</v>
      </c>
      <c r="AG284" s="5">
        <v>4</v>
      </c>
      <c r="AH284" s="5"/>
      <c r="AI284" s="5">
        <v>58</v>
      </c>
      <c r="AJ284" s="5">
        <v>39</v>
      </c>
      <c r="AK284" s="270"/>
      <c r="AL284" s="270"/>
      <c r="AM284" s="270"/>
      <c r="AN284" s="5" t="s">
        <v>1233</v>
      </c>
      <c r="AO284" s="5"/>
      <c r="AP284" s="5"/>
      <c r="AQ284" s="5" t="s">
        <v>1234</v>
      </c>
      <c r="AR284" s="279">
        <v>277</v>
      </c>
    </row>
    <row r="285" spans="1:44" ht="15" customHeight="1">
      <c r="A285" s="5">
        <v>1090002</v>
      </c>
      <c r="B285" s="5" t="s">
        <v>3638</v>
      </c>
      <c r="C285" s="224" t="s">
        <v>4175</v>
      </c>
      <c r="D285" s="5" t="s">
        <v>81</v>
      </c>
      <c r="E285" s="5" t="s">
        <v>1227</v>
      </c>
      <c r="F285" s="5">
        <v>1</v>
      </c>
      <c r="G285" s="5">
        <v>9</v>
      </c>
      <c r="H285" s="5" t="s">
        <v>82</v>
      </c>
      <c r="I285" s="5" t="s">
        <v>3640</v>
      </c>
      <c r="J285" s="5"/>
      <c r="K285" s="5">
        <v>5</v>
      </c>
      <c r="L285" s="230" t="s">
        <v>1236</v>
      </c>
      <c r="M285" s="231"/>
      <c r="N285" s="231"/>
      <c r="O285" s="5"/>
      <c r="P285" s="232"/>
      <c r="Q285" s="232">
        <v>0</v>
      </c>
      <c r="R285" s="232" t="s">
        <v>85</v>
      </c>
      <c r="S285" s="5">
        <v>1090002</v>
      </c>
      <c r="T285" s="256" t="s">
        <v>1230</v>
      </c>
      <c r="U285" s="257" t="s">
        <v>1231</v>
      </c>
      <c r="V285" s="232" t="s">
        <v>468</v>
      </c>
      <c r="W285" s="57" t="s">
        <v>4176</v>
      </c>
      <c r="X285" s="57" t="s">
        <v>4176</v>
      </c>
      <c r="Y285" s="232"/>
      <c r="Z285" s="232"/>
      <c r="AA285" s="232"/>
      <c r="AB285" s="232"/>
      <c r="AC285" s="5"/>
      <c r="AD285" s="5"/>
      <c r="AE285" s="5">
        <v>2</v>
      </c>
      <c r="AF285" s="5">
        <v>0</v>
      </c>
      <c r="AG285" s="5">
        <v>4</v>
      </c>
      <c r="AH285" s="5"/>
      <c r="AI285" s="5">
        <v>45</v>
      </c>
      <c r="AJ285" s="5">
        <v>32</v>
      </c>
      <c r="AK285" s="270"/>
      <c r="AL285" s="270"/>
      <c r="AM285" s="270"/>
      <c r="AN285" s="5" t="s">
        <v>1238</v>
      </c>
      <c r="AO285" s="5"/>
      <c r="AP285" s="5"/>
      <c r="AQ285" s="5" t="s">
        <v>1239</v>
      </c>
      <c r="AR285" s="279">
        <v>278</v>
      </c>
    </row>
    <row r="286" spans="1:44" ht="15" customHeight="1">
      <c r="A286" s="7">
        <v>1090101</v>
      </c>
      <c r="B286" s="5" t="s">
        <v>3638</v>
      </c>
      <c r="C286" s="224" t="s">
        <v>4177</v>
      </c>
      <c r="D286" s="7" t="s">
        <v>81</v>
      </c>
      <c r="E286" s="7" t="s">
        <v>1227</v>
      </c>
      <c r="F286" s="7">
        <v>1</v>
      </c>
      <c r="G286" s="7">
        <v>9</v>
      </c>
      <c r="H286" s="7" t="s">
        <v>82</v>
      </c>
      <c r="I286" s="5" t="s">
        <v>3640</v>
      </c>
      <c r="J286" s="7"/>
      <c r="K286" s="7">
        <v>1</v>
      </c>
      <c r="L286" s="350" t="s">
        <v>1242</v>
      </c>
      <c r="M286" s="238"/>
      <c r="N286" s="238"/>
      <c r="O286" s="350"/>
      <c r="P286" s="239"/>
      <c r="Q286" s="239">
        <v>0</v>
      </c>
      <c r="R286" s="239" t="s">
        <v>85</v>
      </c>
      <c r="S286" s="7">
        <v>1090101</v>
      </c>
      <c r="T286" s="262" t="s">
        <v>1243</v>
      </c>
      <c r="U286" s="263" t="s">
        <v>1244</v>
      </c>
      <c r="V286" s="239" t="s">
        <v>468</v>
      </c>
      <c r="W286" s="57" t="s">
        <v>4178</v>
      </c>
      <c r="X286" s="57" t="s">
        <v>4178</v>
      </c>
      <c r="Y286" s="239"/>
      <c r="Z286" s="239"/>
      <c r="AA286" s="239"/>
      <c r="AB286" s="239" t="s">
        <v>90</v>
      </c>
      <c r="AC286" s="7"/>
      <c r="AD286" s="7"/>
      <c r="AE286" s="7">
        <v>1</v>
      </c>
      <c r="AF286" s="7">
        <v>2</v>
      </c>
      <c r="AG286" s="7">
        <v>6</v>
      </c>
      <c r="AH286" s="7"/>
      <c r="AI286" s="7">
        <v>39</v>
      </c>
      <c r="AJ286" s="7">
        <v>26</v>
      </c>
      <c r="AK286" s="273" t="s">
        <v>1246</v>
      </c>
      <c r="AL286" s="273"/>
      <c r="AM286" s="273"/>
      <c r="AN286" s="7" t="s">
        <v>1247</v>
      </c>
      <c r="AO286" s="7"/>
      <c r="AP286" s="7"/>
      <c r="AQ286" s="7" t="s">
        <v>1248</v>
      </c>
      <c r="AR286" s="283">
        <v>274</v>
      </c>
    </row>
    <row r="287" spans="1:44" ht="15" customHeight="1">
      <c r="A287" s="7">
        <v>1090102</v>
      </c>
      <c r="B287" s="5" t="s">
        <v>3638</v>
      </c>
      <c r="C287" s="224" t="s">
        <v>4179</v>
      </c>
      <c r="D287" s="7" t="s">
        <v>81</v>
      </c>
      <c r="E287" s="7" t="s">
        <v>1227</v>
      </c>
      <c r="F287" s="7">
        <v>1</v>
      </c>
      <c r="G287" s="7">
        <v>9</v>
      </c>
      <c r="H287" s="7" t="s">
        <v>136</v>
      </c>
      <c r="I287" s="5" t="s">
        <v>3640</v>
      </c>
      <c r="J287" s="7"/>
      <c r="K287" s="7"/>
      <c r="L287" s="350" t="s">
        <v>1250</v>
      </c>
      <c r="M287" s="238"/>
      <c r="N287" s="238"/>
      <c r="O287" s="411"/>
      <c r="P287" s="239"/>
      <c r="Q287" s="239">
        <v>0</v>
      </c>
      <c r="R287" s="239" t="s">
        <v>153</v>
      </c>
      <c r="S287" s="7">
        <v>1090102</v>
      </c>
      <c r="T287" s="262"/>
      <c r="U287" s="263"/>
      <c r="V287" s="239" t="s">
        <v>468</v>
      </c>
      <c r="W287" s="57" t="s">
        <v>4180</v>
      </c>
      <c r="X287" s="57" t="s">
        <v>4180</v>
      </c>
      <c r="Y287" s="239"/>
      <c r="Z287" s="239"/>
      <c r="AA287" s="239"/>
      <c r="AB287" s="239"/>
      <c r="AC287" s="7"/>
      <c r="AD287" s="7"/>
      <c r="AE287" s="7">
        <v>0</v>
      </c>
      <c r="AF287" s="7">
        <v>0</v>
      </c>
      <c r="AG287" s="7">
        <v>0</v>
      </c>
      <c r="AH287" s="7"/>
      <c r="AI287" s="7">
        <v>0</v>
      </c>
      <c r="AJ287" s="7">
        <v>0</v>
      </c>
      <c r="AK287" s="273"/>
      <c r="AL287" s="273"/>
      <c r="AM287" s="273"/>
      <c r="AN287" s="7"/>
      <c r="AO287" s="7"/>
      <c r="AP287" s="7"/>
      <c r="AQ287" s="7" t="s">
        <v>1252</v>
      </c>
      <c r="AR287" s="283"/>
    </row>
    <row r="288" spans="1:44" ht="15" customHeight="1">
      <c r="A288" s="7">
        <v>1090103</v>
      </c>
      <c r="B288" s="5" t="s">
        <v>3638</v>
      </c>
      <c r="C288" s="224" t="s">
        <v>4181</v>
      </c>
      <c r="D288" s="7" t="s">
        <v>81</v>
      </c>
      <c r="E288" s="7" t="s">
        <v>1227</v>
      </c>
      <c r="F288" s="7">
        <v>1</v>
      </c>
      <c r="G288" s="7">
        <v>9</v>
      </c>
      <c r="H288" s="7" t="s">
        <v>82</v>
      </c>
      <c r="I288" s="5" t="s">
        <v>3640</v>
      </c>
      <c r="J288" s="7"/>
      <c r="K288" s="7">
        <v>2</v>
      </c>
      <c r="L288" s="350" t="s">
        <v>1254</v>
      </c>
      <c r="M288" s="238"/>
      <c r="N288" s="238"/>
      <c r="O288" s="350"/>
      <c r="P288" s="239"/>
      <c r="Q288" s="239">
        <v>0</v>
      </c>
      <c r="R288" s="239" t="s">
        <v>85</v>
      </c>
      <c r="S288" s="7">
        <v>1090103</v>
      </c>
      <c r="T288" s="262" t="s">
        <v>1255</v>
      </c>
      <c r="U288" s="263" t="s">
        <v>1244</v>
      </c>
      <c r="V288" s="239" t="s">
        <v>468</v>
      </c>
      <c r="W288" s="57" t="s">
        <v>4182</v>
      </c>
      <c r="X288" s="57" t="s">
        <v>4182</v>
      </c>
      <c r="Y288" s="239"/>
      <c r="Z288" s="239"/>
      <c r="AA288" s="239"/>
      <c r="AB288" s="239" t="s">
        <v>90</v>
      </c>
      <c r="AC288" s="7"/>
      <c r="AD288" s="7"/>
      <c r="AE288" s="7">
        <v>1</v>
      </c>
      <c r="AF288" s="7">
        <v>1</v>
      </c>
      <c r="AG288" s="7">
        <v>5</v>
      </c>
      <c r="AH288" s="7"/>
      <c r="AI288" s="7">
        <v>39</v>
      </c>
      <c r="AJ288" s="7">
        <v>26</v>
      </c>
      <c r="AK288" s="273" t="s">
        <v>1257</v>
      </c>
      <c r="AL288" s="273"/>
      <c r="AM288" s="273"/>
      <c r="AN288" s="7" t="s">
        <v>1258</v>
      </c>
      <c r="AO288" s="7" t="s">
        <v>1259</v>
      </c>
      <c r="AP288" s="7"/>
      <c r="AQ288" s="7" t="s">
        <v>1260</v>
      </c>
      <c r="AR288" s="283">
        <v>275</v>
      </c>
    </row>
    <row r="289" spans="1:44" ht="15" customHeight="1">
      <c r="A289" s="7">
        <v>1090104</v>
      </c>
      <c r="B289" s="5" t="s">
        <v>3638</v>
      </c>
      <c r="C289" s="224" t="s">
        <v>4183</v>
      </c>
      <c r="D289" s="7" t="s">
        <v>81</v>
      </c>
      <c r="E289" s="7" t="s">
        <v>1227</v>
      </c>
      <c r="F289" s="7">
        <v>2</v>
      </c>
      <c r="G289" s="7">
        <v>9</v>
      </c>
      <c r="H289" s="7" t="s">
        <v>136</v>
      </c>
      <c r="I289" s="5" t="s">
        <v>3640</v>
      </c>
      <c r="J289" s="7"/>
      <c r="K289" s="7"/>
      <c r="L289" s="350" t="s">
        <v>1262</v>
      </c>
      <c r="M289" s="238"/>
      <c r="N289" s="238"/>
      <c r="O289" s="350"/>
      <c r="P289" s="239"/>
      <c r="Q289" s="239">
        <v>0</v>
      </c>
      <c r="R289" s="239" t="s">
        <v>153</v>
      </c>
      <c r="S289" s="7">
        <v>1090104</v>
      </c>
      <c r="T289" s="262"/>
      <c r="U289" s="263"/>
      <c r="V289" s="239" t="s">
        <v>468</v>
      </c>
      <c r="W289" s="57" t="s">
        <v>4184</v>
      </c>
      <c r="X289" s="57" t="s">
        <v>4184</v>
      </c>
      <c r="Y289" s="239"/>
      <c r="Z289" s="239"/>
      <c r="AA289" s="239"/>
      <c r="AB289" s="239"/>
      <c r="AC289" s="7"/>
      <c r="AD289" s="7"/>
      <c r="AE289" s="7">
        <v>0</v>
      </c>
      <c r="AF289" s="7">
        <v>0</v>
      </c>
      <c r="AG289" s="7">
        <v>0</v>
      </c>
      <c r="AH289" s="7"/>
      <c r="AI289" s="7">
        <v>0</v>
      </c>
      <c r="AJ289" s="7">
        <v>0</v>
      </c>
      <c r="AK289" s="273"/>
      <c r="AL289" s="273"/>
      <c r="AM289" s="273"/>
      <c r="AN289" s="7"/>
      <c r="AO289" s="7"/>
      <c r="AP289" s="7"/>
      <c r="AQ289" s="7" t="s">
        <v>1264</v>
      </c>
      <c r="AR289" s="283"/>
    </row>
    <row r="290" spans="1:44" ht="15" customHeight="1">
      <c r="A290" s="7">
        <v>1090105</v>
      </c>
      <c r="B290" s="5" t="s">
        <v>3638</v>
      </c>
      <c r="C290" s="224" t="s">
        <v>4185</v>
      </c>
      <c r="D290" s="7" t="s">
        <v>81</v>
      </c>
      <c r="E290" s="7" t="s">
        <v>1227</v>
      </c>
      <c r="F290" s="7">
        <v>1</v>
      </c>
      <c r="G290" s="7">
        <v>9</v>
      </c>
      <c r="H290" s="7" t="s">
        <v>82</v>
      </c>
      <c r="I290" s="5" t="s">
        <v>3640</v>
      </c>
      <c r="J290" s="7"/>
      <c r="K290" s="7">
        <v>3</v>
      </c>
      <c r="L290" s="350" t="s">
        <v>1266</v>
      </c>
      <c r="M290" s="238"/>
      <c r="N290" s="238"/>
      <c r="O290" s="350"/>
      <c r="P290" s="239"/>
      <c r="Q290" s="239">
        <v>0</v>
      </c>
      <c r="R290" s="239" t="s">
        <v>85</v>
      </c>
      <c r="S290" s="7">
        <v>1090105</v>
      </c>
      <c r="T290" s="262" t="s">
        <v>1267</v>
      </c>
      <c r="U290" s="263" t="s">
        <v>1244</v>
      </c>
      <c r="V290" s="239" t="s">
        <v>468</v>
      </c>
      <c r="W290" s="57" t="s">
        <v>4186</v>
      </c>
      <c r="X290" s="57" t="s">
        <v>4186</v>
      </c>
      <c r="Y290" s="239"/>
      <c r="Z290" s="239"/>
      <c r="AA290" s="239"/>
      <c r="AB290" s="239" t="s">
        <v>90</v>
      </c>
      <c r="AC290" s="7"/>
      <c r="AD290" s="7"/>
      <c r="AE290" s="7">
        <v>1</v>
      </c>
      <c r="AF290" s="7">
        <v>1</v>
      </c>
      <c r="AG290" s="7">
        <v>5</v>
      </c>
      <c r="AH290" s="7"/>
      <c r="AI290" s="7">
        <v>39</v>
      </c>
      <c r="AJ290" s="7">
        <v>26</v>
      </c>
      <c r="AK290" s="273" t="s">
        <v>1269</v>
      </c>
      <c r="AL290" s="273"/>
      <c r="AM290" s="273"/>
      <c r="AN290" s="7" t="s">
        <v>1270</v>
      </c>
      <c r="AO290" s="7"/>
      <c r="AP290" s="7"/>
      <c r="AQ290" s="7" t="s">
        <v>1271</v>
      </c>
      <c r="AR290" s="283">
        <v>276</v>
      </c>
    </row>
    <row r="291" spans="1:44" ht="15" customHeight="1">
      <c r="A291" s="7">
        <v>1090106</v>
      </c>
      <c r="B291" s="5" t="s">
        <v>3638</v>
      </c>
      <c r="C291" s="224" t="s">
        <v>4187</v>
      </c>
      <c r="D291" s="7" t="s">
        <v>81</v>
      </c>
      <c r="E291" s="7" t="s">
        <v>1227</v>
      </c>
      <c r="F291" s="7">
        <v>3</v>
      </c>
      <c r="G291" s="7">
        <v>9</v>
      </c>
      <c r="H291" s="7" t="s">
        <v>136</v>
      </c>
      <c r="I291" s="5" t="s">
        <v>3640</v>
      </c>
      <c r="J291" s="7"/>
      <c r="K291" s="7"/>
      <c r="L291" s="350" t="s">
        <v>1273</v>
      </c>
      <c r="M291" s="238"/>
      <c r="N291" s="238"/>
      <c r="O291" s="350"/>
      <c r="P291" s="239"/>
      <c r="Q291" s="239">
        <v>0</v>
      </c>
      <c r="R291" s="239" t="s">
        <v>153</v>
      </c>
      <c r="S291" s="7">
        <v>1090106</v>
      </c>
      <c r="T291" s="262"/>
      <c r="U291" s="263"/>
      <c r="V291" s="239" t="s">
        <v>468</v>
      </c>
      <c r="W291" s="57" t="s">
        <v>4188</v>
      </c>
      <c r="X291" s="57" t="s">
        <v>4188</v>
      </c>
      <c r="Y291" s="239"/>
      <c r="Z291" s="239"/>
      <c r="AA291" s="239"/>
      <c r="AB291" s="239"/>
      <c r="AC291" s="7"/>
      <c r="AD291" s="7"/>
      <c r="AE291" s="7">
        <v>0</v>
      </c>
      <c r="AF291" s="7">
        <v>0</v>
      </c>
      <c r="AG291" s="7">
        <v>0</v>
      </c>
      <c r="AH291" s="7"/>
      <c r="AI291" s="7">
        <v>0</v>
      </c>
      <c r="AJ291" s="7">
        <v>0</v>
      </c>
      <c r="AK291" s="273"/>
      <c r="AL291" s="273"/>
      <c r="AM291" s="273"/>
      <c r="AN291" s="7"/>
      <c r="AO291" s="7"/>
      <c r="AP291" s="7"/>
      <c r="AQ291" s="7" t="s">
        <v>1275</v>
      </c>
      <c r="AR291" s="283"/>
    </row>
    <row r="292" spans="1:44" ht="15" customHeight="1">
      <c r="A292" s="7">
        <v>1090107</v>
      </c>
      <c r="B292" s="5" t="s">
        <v>3638</v>
      </c>
      <c r="C292" s="224" t="s">
        <v>4189</v>
      </c>
      <c r="D292" s="7" t="s">
        <v>81</v>
      </c>
      <c r="E292" s="7" t="s">
        <v>1227</v>
      </c>
      <c r="F292" s="7">
        <v>4</v>
      </c>
      <c r="G292" s="7">
        <v>9</v>
      </c>
      <c r="H292" s="7" t="s">
        <v>136</v>
      </c>
      <c r="I292" s="5" t="s">
        <v>3640</v>
      </c>
      <c r="J292" s="7"/>
      <c r="K292" s="7"/>
      <c r="L292" s="350" t="s">
        <v>1277</v>
      </c>
      <c r="M292" s="238"/>
      <c r="N292" s="238"/>
      <c r="O292" s="350"/>
      <c r="P292" s="239"/>
      <c r="Q292" s="239">
        <v>0</v>
      </c>
      <c r="R292" s="239" t="s">
        <v>153</v>
      </c>
      <c r="S292" s="7">
        <v>1090107</v>
      </c>
      <c r="T292" s="262"/>
      <c r="U292" s="263"/>
      <c r="V292" s="239" t="s">
        <v>468</v>
      </c>
      <c r="W292" s="57" t="s">
        <v>4190</v>
      </c>
      <c r="X292" s="57" t="s">
        <v>4190</v>
      </c>
      <c r="Y292" s="239"/>
      <c r="Z292" s="239"/>
      <c r="AA292" s="239"/>
      <c r="AB292" s="239"/>
      <c r="AC292" s="7"/>
      <c r="AD292" s="7"/>
      <c r="AE292" s="7">
        <v>0</v>
      </c>
      <c r="AF292" s="7">
        <v>0</v>
      </c>
      <c r="AG292" s="7">
        <v>0</v>
      </c>
      <c r="AH292" s="7"/>
      <c r="AI292" s="7">
        <v>0</v>
      </c>
      <c r="AJ292" s="7">
        <v>0</v>
      </c>
      <c r="AK292" s="273"/>
      <c r="AL292" s="273"/>
      <c r="AM292" s="273"/>
      <c r="AN292" s="7"/>
      <c r="AO292" s="7"/>
      <c r="AP292" s="7"/>
      <c r="AQ292" s="7" t="s">
        <v>1279</v>
      </c>
      <c r="AR292" s="283"/>
    </row>
    <row r="293" spans="1:44" ht="15" customHeight="1">
      <c r="A293" s="7">
        <v>1090108</v>
      </c>
      <c r="B293" s="5" t="s">
        <v>3638</v>
      </c>
      <c r="C293" s="224" t="s">
        <v>4191</v>
      </c>
      <c r="D293" s="7" t="s">
        <v>81</v>
      </c>
      <c r="E293" s="7" t="s">
        <v>1227</v>
      </c>
      <c r="F293" s="7">
        <v>5</v>
      </c>
      <c r="G293" s="7">
        <v>9</v>
      </c>
      <c r="H293" s="7" t="s">
        <v>136</v>
      </c>
      <c r="I293" s="5" t="s">
        <v>3640</v>
      </c>
      <c r="J293" s="7"/>
      <c r="K293" s="7"/>
      <c r="L293" s="350" t="s">
        <v>1281</v>
      </c>
      <c r="M293" s="238"/>
      <c r="N293" s="238"/>
      <c r="O293" s="350"/>
      <c r="P293" s="239"/>
      <c r="Q293" s="239">
        <v>0</v>
      </c>
      <c r="R293" s="239" t="s">
        <v>153</v>
      </c>
      <c r="S293" s="7">
        <v>1090108</v>
      </c>
      <c r="T293" s="262"/>
      <c r="U293" s="263"/>
      <c r="V293" s="239" t="s">
        <v>468</v>
      </c>
      <c r="W293" s="57" t="s">
        <v>4192</v>
      </c>
      <c r="X293" s="57" t="s">
        <v>4192</v>
      </c>
      <c r="Y293" s="239"/>
      <c r="Z293" s="239"/>
      <c r="AA293" s="239"/>
      <c r="AB293" s="239"/>
      <c r="AC293" s="7"/>
      <c r="AD293" s="7"/>
      <c r="AE293" s="7">
        <v>0</v>
      </c>
      <c r="AF293" s="7">
        <v>0</v>
      </c>
      <c r="AG293" s="7">
        <v>0</v>
      </c>
      <c r="AH293" s="7"/>
      <c r="AI293" s="7">
        <v>0</v>
      </c>
      <c r="AJ293" s="7">
        <v>0</v>
      </c>
      <c r="AK293" s="273"/>
      <c r="AL293" s="273"/>
      <c r="AM293" s="273"/>
      <c r="AN293" s="7"/>
      <c r="AO293" s="7"/>
      <c r="AP293" s="7"/>
      <c r="AQ293" s="7" t="s">
        <v>1283</v>
      </c>
      <c r="AR293" s="283"/>
    </row>
    <row r="294" spans="1:44" ht="15" customHeight="1">
      <c r="A294" s="7">
        <v>1090109</v>
      </c>
      <c r="B294" s="5" t="s">
        <v>3638</v>
      </c>
      <c r="C294" s="224" t="s">
        <v>4193</v>
      </c>
      <c r="D294" s="7" t="s">
        <v>81</v>
      </c>
      <c r="E294" s="7" t="s">
        <v>1227</v>
      </c>
      <c r="F294" s="7">
        <v>6</v>
      </c>
      <c r="G294" s="7">
        <v>9</v>
      </c>
      <c r="H294" s="7" t="s">
        <v>136</v>
      </c>
      <c r="I294" s="5" t="s">
        <v>3640</v>
      </c>
      <c r="J294" s="7"/>
      <c r="K294" s="7"/>
      <c r="L294" s="350" t="s">
        <v>1285</v>
      </c>
      <c r="M294" s="238"/>
      <c r="N294" s="238"/>
      <c r="O294" s="350"/>
      <c r="P294" s="239"/>
      <c r="Q294" s="239">
        <v>0</v>
      </c>
      <c r="R294" s="239" t="s">
        <v>153</v>
      </c>
      <c r="S294" s="7">
        <v>1090109</v>
      </c>
      <c r="T294" s="262"/>
      <c r="U294" s="263"/>
      <c r="V294" s="239" t="s">
        <v>468</v>
      </c>
      <c r="W294" s="57" t="s">
        <v>4194</v>
      </c>
      <c r="X294" s="57" t="s">
        <v>4194</v>
      </c>
      <c r="Y294" s="239"/>
      <c r="Z294" s="239"/>
      <c r="AA294" s="239"/>
      <c r="AB294" s="239"/>
      <c r="AC294" s="7"/>
      <c r="AD294" s="7"/>
      <c r="AE294" s="7">
        <v>0</v>
      </c>
      <c r="AF294" s="7">
        <v>0</v>
      </c>
      <c r="AG294" s="7">
        <v>0</v>
      </c>
      <c r="AH294" s="7"/>
      <c r="AI294" s="7">
        <v>0</v>
      </c>
      <c r="AJ294" s="7">
        <v>0</v>
      </c>
      <c r="AK294" s="273"/>
      <c r="AL294" s="273"/>
      <c r="AM294" s="273"/>
      <c r="AN294" s="7"/>
      <c r="AO294" s="7"/>
      <c r="AP294" s="7"/>
      <c r="AQ294" s="7" t="s">
        <v>1287</v>
      </c>
      <c r="AR294" s="283"/>
    </row>
    <row r="295" spans="1:44" ht="15" customHeight="1">
      <c r="A295" s="7">
        <v>1090110</v>
      </c>
      <c r="B295" s="5" t="s">
        <v>3638</v>
      </c>
      <c r="C295" s="224" t="s">
        <v>4195</v>
      </c>
      <c r="D295" s="7" t="s">
        <v>81</v>
      </c>
      <c r="E295" s="7" t="s">
        <v>1227</v>
      </c>
      <c r="F295" s="7">
        <v>7</v>
      </c>
      <c r="G295" s="7">
        <v>9</v>
      </c>
      <c r="H295" s="7" t="s">
        <v>136</v>
      </c>
      <c r="I295" s="5" t="s">
        <v>3640</v>
      </c>
      <c r="J295" s="7"/>
      <c r="K295" s="7"/>
      <c r="L295" s="350" t="s">
        <v>1289</v>
      </c>
      <c r="M295" s="238"/>
      <c r="N295" s="238"/>
      <c r="O295" s="350"/>
      <c r="P295" s="239"/>
      <c r="Q295" s="239">
        <v>0</v>
      </c>
      <c r="R295" s="239" t="s">
        <v>153</v>
      </c>
      <c r="S295" s="7">
        <v>1090110</v>
      </c>
      <c r="T295" s="262"/>
      <c r="U295" s="263"/>
      <c r="V295" s="239" t="s">
        <v>468</v>
      </c>
      <c r="W295" s="57" t="s">
        <v>4196</v>
      </c>
      <c r="X295" s="57" t="s">
        <v>4196</v>
      </c>
      <c r="Y295" s="239"/>
      <c r="Z295" s="239"/>
      <c r="AA295" s="239"/>
      <c r="AB295" s="239"/>
      <c r="AC295" s="7"/>
      <c r="AD295" s="7"/>
      <c r="AE295" s="7">
        <v>0</v>
      </c>
      <c r="AF295" s="7">
        <v>0</v>
      </c>
      <c r="AG295" s="7">
        <v>0</v>
      </c>
      <c r="AH295" s="7"/>
      <c r="AI295" s="7">
        <v>0</v>
      </c>
      <c r="AJ295" s="7">
        <v>0</v>
      </c>
      <c r="AK295" s="273"/>
      <c r="AL295" s="273"/>
      <c r="AM295" s="273"/>
      <c r="AN295" s="7"/>
      <c r="AO295" s="7"/>
      <c r="AP295" s="7"/>
      <c r="AQ295" s="7" t="s">
        <v>1291</v>
      </c>
      <c r="AR295" s="283"/>
    </row>
    <row r="296" spans="1:44" ht="15" customHeight="1">
      <c r="A296" s="3">
        <v>1090111</v>
      </c>
      <c r="B296" s="5" t="s">
        <v>3638</v>
      </c>
      <c r="C296" s="224" t="s">
        <v>4197</v>
      </c>
      <c r="D296" s="3" t="s">
        <v>81</v>
      </c>
      <c r="E296" s="3" t="s">
        <v>1227</v>
      </c>
      <c r="F296" s="3">
        <v>8</v>
      </c>
      <c r="G296" s="3">
        <v>9</v>
      </c>
      <c r="H296" s="3" t="s">
        <v>136</v>
      </c>
      <c r="I296" s="5" t="s">
        <v>3640</v>
      </c>
      <c r="J296" s="3"/>
      <c r="K296" s="3"/>
      <c r="L296" s="236"/>
      <c r="M296" s="99"/>
      <c r="N296" s="99"/>
      <c r="O296" s="236"/>
      <c r="P296" s="22"/>
      <c r="Q296" s="22">
        <v>0</v>
      </c>
      <c r="R296" s="22" t="s">
        <v>153</v>
      </c>
      <c r="S296" s="3"/>
      <c r="T296" s="260"/>
      <c r="U296" s="261"/>
      <c r="V296" s="22"/>
      <c r="W296" s="57" t="s">
        <v>3665</v>
      </c>
      <c r="X296" s="57" t="s">
        <v>3665</v>
      </c>
      <c r="Y296" s="22"/>
      <c r="Z296" s="22"/>
      <c r="AA296" s="22"/>
      <c r="AB296" s="22" t="s">
        <v>114</v>
      </c>
      <c r="AC296" s="3"/>
      <c r="AD296" s="3"/>
      <c r="AE296" s="3">
        <v>0</v>
      </c>
      <c r="AF296" s="3">
        <v>0</v>
      </c>
      <c r="AG296" s="3">
        <v>0</v>
      </c>
      <c r="AH296" s="3"/>
      <c r="AI296" s="3">
        <v>0</v>
      </c>
      <c r="AJ296" s="3">
        <v>0</v>
      </c>
      <c r="AK296" s="3">
        <v>0</v>
      </c>
      <c r="AL296" s="3"/>
      <c r="AM296" s="3"/>
      <c r="AN296" s="3"/>
      <c r="AO296" s="3"/>
      <c r="AP296" s="3"/>
      <c r="AQ296" s="3" t="s">
        <v>1271</v>
      </c>
      <c r="AR296" s="281"/>
    </row>
    <row r="297" spans="1:44" ht="15" customHeight="1">
      <c r="A297" s="3">
        <v>1090112</v>
      </c>
      <c r="B297" s="5" t="s">
        <v>3638</v>
      </c>
      <c r="C297" s="224" t="s">
        <v>4198</v>
      </c>
      <c r="D297" s="3" t="s">
        <v>81</v>
      </c>
      <c r="E297" s="3" t="s">
        <v>1227</v>
      </c>
      <c r="F297" s="3">
        <v>9</v>
      </c>
      <c r="G297" s="3">
        <v>9</v>
      </c>
      <c r="H297" s="3" t="s">
        <v>136</v>
      </c>
      <c r="I297" s="5" t="s">
        <v>3640</v>
      </c>
      <c r="J297" s="3"/>
      <c r="K297" s="3"/>
      <c r="L297" s="236"/>
      <c r="M297" s="99"/>
      <c r="N297" s="99"/>
      <c r="O297" s="236"/>
      <c r="P297" s="22"/>
      <c r="Q297" s="22">
        <v>0</v>
      </c>
      <c r="R297" s="22" t="s">
        <v>153</v>
      </c>
      <c r="S297" s="3"/>
      <c r="T297" s="260"/>
      <c r="U297" s="261"/>
      <c r="V297" s="22"/>
      <c r="W297" s="57" t="s">
        <v>4199</v>
      </c>
      <c r="X297" s="57" t="s">
        <v>4199</v>
      </c>
      <c r="Y297" s="22"/>
      <c r="Z297" s="22"/>
      <c r="AA297" s="22"/>
      <c r="AB297" s="22" t="s">
        <v>114</v>
      </c>
      <c r="AC297" s="3"/>
      <c r="AD297" s="3"/>
      <c r="AE297" s="3">
        <v>0</v>
      </c>
      <c r="AF297" s="3">
        <v>0</v>
      </c>
      <c r="AG297" s="3">
        <v>0</v>
      </c>
      <c r="AH297" s="3"/>
      <c r="AI297" s="3">
        <v>0</v>
      </c>
      <c r="AJ297" s="3">
        <v>0</v>
      </c>
      <c r="AK297" s="3">
        <v>0</v>
      </c>
      <c r="AL297" s="3"/>
      <c r="AM297" s="3"/>
      <c r="AN297" s="3"/>
      <c r="AO297" s="3"/>
      <c r="AP297" s="3"/>
      <c r="AQ297" s="282" t="str">
        <f>"tricks/"&amp;A297</f>
        <v>tricks/1090112</v>
      </c>
    </row>
    <row r="298" spans="1:44" ht="15" customHeight="1">
      <c r="A298" s="3">
        <v>1090113</v>
      </c>
      <c r="B298" s="5" t="s">
        <v>3638</v>
      </c>
      <c r="C298" s="224" t="s">
        <v>4200</v>
      </c>
      <c r="D298" s="3" t="s">
        <v>81</v>
      </c>
      <c r="E298" s="3" t="s">
        <v>1227</v>
      </c>
      <c r="F298" s="3">
        <v>10</v>
      </c>
      <c r="G298" s="3">
        <v>9</v>
      </c>
      <c r="H298" s="3" t="s">
        <v>136</v>
      </c>
      <c r="I298" s="5" t="s">
        <v>3640</v>
      </c>
      <c r="J298" s="3"/>
      <c r="K298" s="3"/>
      <c r="L298" s="236"/>
      <c r="M298" s="99"/>
      <c r="N298" s="99"/>
      <c r="O298" s="236"/>
      <c r="P298" s="22"/>
      <c r="Q298" s="22">
        <v>0</v>
      </c>
      <c r="R298" s="22" t="s">
        <v>153</v>
      </c>
      <c r="S298" s="3"/>
      <c r="T298" s="260"/>
      <c r="U298" s="261"/>
      <c r="V298" s="22"/>
      <c r="W298" s="57" t="s">
        <v>4201</v>
      </c>
      <c r="X298" s="57" t="s">
        <v>4201</v>
      </c>
      <c r="Y298" s="22"/>
      <c r="Z298" s="22"/>
      <c r="AA298" s="22"/>
      <c r="AB298" s="22" t="s">
        <v>114</v>
      </c>
      <c r="AC298" s="3"/>
      <c r="AD298" s="3"/>
      <c r="AE298" s="3">
        <v>0</v>
      </c>
      <c r="AF298" s="3">
        <v>0</v>
      </c>
      <c r="AG298" s="3">
        <v>0</v>
      </c>
      <c r="AH298" s="3"/>
      <c r="AI298" s="3">
        <v>0</v>
      </c>
      <c r="AJ298" s="3">
        <v>0</v>
      </c>
      <c r="AK298" s="3">
        <v>0</v>
      </c>
      <c r="AL298" s="3"/>
      <c r="AM298" s="3"/>
      <c r="AN298" s="3"/>
      <c r="AO298" s="3"/>
      <c r="AP298" s="3"/>
      <c r="AQ298" s="282" t="str">
        <f>"tricks/"&amp;A298</f>
        <v>tricks/1090113</v>
      </c>
    </row>
    <row r="299" spans="1:44" ht="15" customHeight="1">
      <c r="A299" s="34">
        <v>1090201</v>
      </c>
      <c r="B299" s="5" t="s">
        <v>3638</v>
      </c>
      <c r="C299" s="224" t="s">
        <v>4202</v>
      </c>
      <c r="D299" s="34" t="s">
        <v>81</v>
      </c>
      <c r="E299" s="34" t="s">
        <v>1227</v>
      </c>
      <c r="F299" s="34">
        <v>1</v>
      </c>
      <c r="G299" s="34">
        <v>9</v>
      </c>
      <c r="H299" s="34" t="s">
        <v>82</v>
      </c>
      <c r="I299" s="5" t="s">
        <v>3640</v>
      </c>
      <c r="J299" s="34"/>
      <c r="K299" s="34">
        <v>1</v>
      </c>
      <c r="L299" s="412"/>
      <c r="M299" s="371"/>
      <c r="N299" s="371"/>
      <c r="O299" s="412"/>
      <c r="P299" s="130"/>
      <c r="Q299" s="130">
        <v>0</v>
      </c>
      <c r="R299" s="130" t="s">
        <v>85</v>
      </c>
      <c r="S299" s="34">
        <v>1090101</v>
      </c>
      <c r="T299" s="382" t="s">
        <v>1299</v>
      </c>
      <c r="U299" s="383" t="s">
        <v>1300</v>
      </c>
      <c r="V299" s="130" t="s">
        <v>582</v>
      </c>
      <c r="W299" s="57" t="s">
        <v>4203</v>
      </c>
      <c r="X299" s="57" t="s">
        <v>4203</v>
      </c>
      <c r="Y299" s="130"/>
      <c r="Z299" s="130"/>
      <c r="AA299" s="130"/>
      <c r="AB299" s="130" t="s">
        <v>90</v>
      </c>
      <c r="AC299" s="34"/>
      <c r="AD299" s="34"/>
      <c r="AE299" s="34">
        <v>1</v>
      </c>
      <c r="AF299" s="34">
        <v>2</v>
      </c>
      <c r="AG299" s="34">
        <v>6</v>
      </c>
      <c r="AH299" s="34"/>
      <c r="AI299" s="34">
        <v>39</v>
      </c>
      <c r="AJ299" s="34">
        <v>26</v>
      </c>
      <c r="AK299" s="131"/>
      <c r="AL299" s="131"/>
      <c r="AM299" s="131"/>
      <c r="AN299" s="34" t="s">
        <v>1302</v>
      </c>
      <c r="AO299" s="34"/>
      <c r="AP299" s="34"/>
      <c r="AQ299" s="34" t="s">
        <v>1303</v>
      </c>
      <c r="AR299" s="405">
        <v>322</v>
      </c>
    </row>
    <row r="300" spans="1:44" ht="15" customHeight="1">
      <c r="A300" s="34">
        <v>1090202</v>
      </c>
      <c r="B300" s="5" t="s">
        <v>3638</v>
      </c>
      <c r="C300" s="224" t="s">
        <v>4204</v>
      </c>
      <c r="D300" s="34" t="s">
        <v>81</v>
      </c>
      <c r="E300" s="34" t="s">
        <v>1227</v>
      </c>
      <c r="F300" s="34">
        <v>1</v>
      </c>
      <c r="G300" s="34">
        <v>9</v>
      </c>
      <c r="H300" s="34" t="s">
        <v>136</v>
      </c>
      <c r="I300" s="5" t="s">
        <v>3640</v>
      </c>
      <c r="J300" s="34"/>
      <c r="K300" s="34"/>
      <c r="L300" s="412"/>
      <c r="M300" s="371"/>
      <c r="N300" s="371"/>
      <c r="O300" s="413"/>
      <c r="P300" s="130"/>
      <c r="Q300" s="130">
        <v>0</v>
      </c>
      <c r="R300" s="130" t="s">
        <v>153</v>
      </c>
      <c r="S300" s="34">
        <v>1090102</v>
      </c>
      <c r="T300" s="382"/>
      <c r="U300" s="383"/>
      <c r="V300" s="130" t="s">
        <v>582</v>
      </c>
      <c r="W300" s="57" t="s">
        <v>4205</v>
      </c>
      <c r="X300" s="57" t="s">
        <v>4205</v>
      </c>
      <c r="Y300" s="130"/>
      <c r="Z300" s="130"/>
      <c r="AA300" s="130"/>
      <c r="AB300" s="130"/>
      <c r="AC300" s="34"/>
      <c r="AD300" s="34"/>
      <c r="AE300" s="34">
        <v>0</v>
      </c>
      <c r="AF300" s="34">
        <v>0</v>
      </c>
      <c r="AG300" s="34">
        <v>0</v>
      </c>
      <c r="AH300" s="34"/>
      <c r="AI300" s="34">
        <v>0</v>
      </c>
      <c r="AJ300" s="34">
        <v>0</v>
      </c>
      <c r="AK300" s="131"/>
      <c r="AL300" s="131"/>
      <c r="AM300" s="131"/>
      <c r="AN300" s="34"/>
      <c r="AO300" s="34"/>
      <c r="AP300" s="34"/>
      <c r="AQ300" s="34" t="s">
        <v>1306</v>
      </c>
      <c r="AR300" s="405"/>
    </row>
    <row r="301" spans="1:44" ht="15" customHeight="1">
      <c r="A301" s="34">
        <v>1090203</v>
      </c>
      <c r="B301" s="5" t="s">
        <v>3638</v>
      </c>
      <c r="C301" s="224" t="s">
        <v>4206</v>
      </c>
      <c r="D301" s="34" t="s">
        <v>81</v>
      </c>
      <c r="E301" s="34" t="s">
        <v>1227</v>
      </c>
      <c r="F301" s="34">
        <v>1</v>
      </c>
      <c r="G301" s="34">
        <v>9</v>
      </c>
      <c r="H301" s="34" t="s">
        <v>82</v>
      </c>
      <c r="I301" s="5" t="s">
        <v>3640</v>
      </c>
      <c r="J301" s="34"/>
      <c r="K301" s="34">
        <v>2</v>
      </c>
      <c r="L301" s="412"/>
      <c r="M301" s="371"/>
      <c r="N301" s="371"/>
      <c r="O301" s="412"/>
      <c r="P301" s="130"/>
      <c r="Q301" s="130">
        <v>0</v>
      </c>
      <c r="R301" s="130" t="s">
        <v>85</v>
      </c>
      <c r="S301" s="34">
        <v>1090103</v>
      </c>
      <c r="T301" s="382" t="s">
        <v>1308</v>
      </c>
      <c r="U301" s="383" t="s">
        <v>1244</v>
      </c>
      <c r="V301" s="130" t="s">
        <v>582</v>
      </c>
      <c r="W301" s="57" t="s">
        <v>4207</v>
      </c>
      <c r="X301" s="57" t="s">
        <v>4207</v>
      </c>
      <c r="Y301" s="130"/>
      <c r="Z301" s="130"/>
      <c r="AA301" s="130"/>
      <c r="AB301" s="130" t="s">
        <v>90</v>
      </c>
      <c r="AC301" s="34"/>
      <c r="AD301" s="34"/>
      <c r="AE301" s="34">
        <v>1</v>
      </c>
      <c r="AF301" s="34">
        <v>1</v>
      </c>
      <c r="AG301" s="34">
        <v>5</v>
      </c>
      <c r="AH301" s="34"/>
      <c r="AI301" s="34">
        <v>39</v>
      </c>
      <c r="AJ301" s="34">
        <v>26</v>
      </c>
      <c r="AK301" s="131"/>
      <c r="AL301" s="131"/>
      <c r="AM301" s="131"/>
      <c r="AN301" s="34" t="s">
        <v>1310</v>
      </c>
      <c r="AO301" s="34"/>
      <c r="AP301" s="34"/>
      <c r="AQ301" s="34" t="s">
        <v>1311</v>
      </c>
      <c r="AR301" s="405">
        <v>323</v>
      </c>
    </row>
    <row r="302" spans="1:44" ht="15" customHeight="1">
      <c r="A302" s="34">
        <v>1090204</v>
      </c>
      <c r="B302" s="5" t="s">
        <v>3638</v>
      </c>
      <c r="C302" s="224" t="s">
        <v>4208</v>
      </c>
      <c r="D302" s="34" t="s">
        <v>81</v>
      </c>
      <c r="E302" s="34" t="s">
        <v>1227</v>
      </c>
      <c r="F302" s="34">
        <v>2</v>
      </c>
      <c r="G302" s="34">
        <v>9</v>
      </c>
      <c r="H302" s="34" t="s">
        <v>136</v>
      </c>
      <c r="I302" s="5" t="s">
        <v>3640</v>
      </c>
      <c r="J302" s="34"/>
      <c r="K302" s="34"/>
      <c r="L302" s="412"/>
      <c r="M302" s="371"/>
      <c r="N302" s="371"/>
      <c r="O302" s="412"/>
      <c r="P302" s="130"/>
      <c r="Q302" s="130">
        <v>0</v>
      </c>
      <c r="R302" s="130" t="s">
        <v>153</v>
      </c>
      <c r="S302" s="34">
        <v>1090104</v>
      </c>
      <c r="T302" s="382"/>
      <c r="U302" s="383"/>
      <c r="V302" s="130" t="s">
        <v>582</v>
      </c>
      <c r="W302" s="57" t="s">
        <v>4209</v>
      </c>
      <c r="X302" s="57" t="s">
        <v>4209</v>
      </c>
      <c r="Y302" s="130"/>
      <c r="Z302" s="130"/>
      <c r="AA302" s="130"/>
      <c r="AB302" s="130"/>
      <c r="AC302" s="34"/>
      <c r="AD302" s="34"/>
      <c r="AE302" s="34">
        <v>0</v>
      </c>
      <c r="AF302" s="34">
        <v>0</v>
      </c>
      <c r="AG302" s="34">
        <v>0</v>
      </c>
      <c r="AH302" s="34"/>
      <c r="AI302" s="34">
        <v>0</v>
      </c>
      <c r="AJ302" s="34">
        <v>0</v>
      </c>
      <c r="AK302" s="131"/>
      <c r="AL302" s="131"/>
      <c r="AM302" s="131"/>
      <c r="AN302" s="34"/>
      <c r="AO302" s="34"/>
      <c r="AP302" s="34"/>
      <c r="AQ302" s="34" t="s">
        <v>1314</v>
      </c>
      <c r="AR302" s="405"/>
    </row>
    <row r="303" spans="1:44" ht="15" customHeight="1">
      <c r="A303" s="34">
        <v>1090205</v>
      </c>
      <c r="B303" s="5" t="s">
        <v>3638</v>
      </c>
      <c r="C303" s="224" t="s">
        <v>4210</v>
      </c>
      <c r="D303" s="34" t="s">
        <v>81</v>
      </c>
      <c r="E303" s="34" t="s">
        <v>1227</v>
      </c>
      <c r="F303" s="34">
        <v>1</v>
      </c>
      <c r="G303" s="34">
        <v>9</v>
      </c>
      <c r="H303" s="34" t="s">
        <v>82</v>
      </c>
      <c r="I303" s="5" t="s">
        <v>3640</v>
      </c>
      <c r="J303" s="34"/>
      <c r="K303" s="34">
        <v>3</v>
      </c>
      <c r="L303" s="412"/>
      <c r="M303" s="371"/>
      <c r="N303" s="371"/>
      <c r="O303" s="412"/>
      <c r="P303" s="130"/>
      <c r="Q303" s="130">
        <v>0</v>
      </c>
      <c r="R303" s="130" t="s">
        <v>85</v>
      </c>
      <c r="S303" s="34">
        <v>1090105</v>
      </c>
      <c r="T303" s="382" t="s">
        <v>1316</v>
      </c>
      <c r="U303" s="383" t="s">
        <v>1317</v>
      </c>
      <c r="V303" s="130" t="s">
        <v>582</v>
      </c>
      <c r="W303" s="57" t="s">
        <v>4211</v>
      </c>
      <c r="X303" s="57" t="s">
        <v>4211</v>
      </c>
      <c r="Y303" s="130"/>
      <c r="Z303" s="130"/>
      <c r="AA303" s="130"/>
      <c r="AB303" s="130" t="s">
        <v>90</v>
      </c>
      <c r="AC303" s="34"/>
      <c r="AD303" s="34"/>
      <c r="AE303" s="34">
        <v>1</v>
      </c>
      <c r="AF303" s="34">
        <v>1</v>
      </c>
      <c r="AG303" s="34">
        <v>5</v>
      </c>
      <c r="AH303" s="34"/>
      <c r="AI303" s="34">
        <v>39</v>
      </c>
      <c r="AJ303" s="34">
        <v>26</v>
      </c>
      <c r="AK303" s="131"/>
      <c r="AL303" s="131"/>
      <c r="AM303" s="131"/>
      <c r="AN303" s="34" t="s">
        <v>1319</v>
      </c>
      <c r="AO303" s="34"/>
      <c r="AP303" s="34"/>
      <c r="AQ303" s="34" t="s">
        <v>1320</v>
      </c>
      <c r="AR303" s="405">
        <v>324</v>
      </c>
    </row>
    <row r="304" spans="1:44" ht="15" customHeight="1">
      <c r="A304" s="34">
        <v>1090206</v>
      </c>
      <c r="B304" s="5" t="s">
        <v>3638</v>
      </c>
      <c r="C304" s="224" t="s">
        <v>4212</v>
      </c>
      <c r="D304" s="34" t="s">
        <v>81</v>
      </c>
      <c r="E304" s="34" t="s">
        <v>1227</v>
      </c>
      <c r="F304" s="34">
        <v>3</v>
      </c>
      <c r="G304" s="34">
        <v>9</v>
      </c>
      <c r="H304" s="34" t="s">
        <v>136</v>
      </c>
      <c r="I304" s="5" t="s">
        <v>3640</v>
      </c>
      <c r="J304" s="34"/>
      <c r="K304" s="34"/>
      <c r="L304" s="412"/>
      <c r="M304" s="371"/>
      <c r="N304" s="371"/>
      <c r="O304" s="412"/>
      <c r="P304" s="130"/>
      <c r="Q304" s="130">
        <v>0</v>
      </c>
      <c r="R304" s="130" t="s">
        <v>153</v>
      </c>
      <c r="S304" s="34">
        <v>1090106</v>
      </c>
      <c r="T304" s="382"/>
      <c r="U304" s="383"/>
      <c r="V304" s="130" t="s">
        <v>582</v>
      </c>
      <c r="W304" s="57" t="s">
        <v>4213</v>
      </c>
      <c r="X304" s="57" t="s">
        <v>4213</v>
      </c>
      <c r="Y304" s="130"/>
      <c r="Z304" s="130"/>
      <c r="AA304" s="130"/>
      <c r="AB304" s="130"/>
      <c r="AC304" s="34"/>
      <c r="AD304" s="34"/>
      <c r="AE304" s="34">
        <v>0</v>
      </c>
      <c r="AF304" s="34">
        <v>0</v>
      </c>
      <c r="AG304" s="34">
        <v>0</v>
      </c>
      <c r="AH304" s="34"/>
      <c r="AI304" s="34">
        <v>0</v>
      </c>
      <c r="AJ304" s="34">
        <v>0</v>
      </c>
      <c r="AK304" s="131"/>
      <c r="AL304" s="131"/>
      <c r="AM304" s="131"/>
      <c r="AN304" s="34"/>
      <c r="AO304" s="34"/>
      <c r="AP304" s="34"/>
      <c r="AQ304" s="34" t="s">
        <v>1323</v>
      </c>
      <c r="AR304" s="405"/>
    </row>
    <row r="305" spans="1:44" ht="15" customHeight="1">
      <c r="A305" s="34">
        <v>1090207</v>
      </c>
      <c r="B305" s="5" t="s">
        <v>3638</v>
      </c>
      <c r="C305" s="224" t="s">
        <v>4214</v>
      </c>
      <c r="D305" s="34" t="s">
        <v>81</v>
      </c>
      <c r="E305" s="34" t="s">
        <v>1227</v>
      </c>
      <c r="F305" s="34">
        <v>4</v>
      </c>
      <c r="G305" s="34">
        <v>9</v>
      </c>
      <c r="H305" s="34" t="s">
        <v>136</v>
      </c>
      <c r="I305" s="5" t="s">
        <v>3640</v>
      </c>
      <c r="J305" s="34"/>
      <c r="K305" s="34"/>
      <c r="L305" s="412"/>
      <c r="M305" s="371"/>
      <c r="N305" s="371"/>
      <c r="O305" s="412"/>
      <c r="P305" s="130"/>
      <c r="Q305" s="130">
        <v>0</v>
      </c>
      <c r="R305" s="130" t="s">
        <v>153</v>
      </c>
      <c r="S305" s="34">
        <v>1090107</v>
      </c>
      <c r="T305" s="382"/>
      <c r="U305" s="383"/>
      <c r="V305" s="130" t="s">
        <v>582</v>
      </c>
      <c r="W305" s="57" t="s">
        <v>4215</v>
      </c>
      <c r="X305" s="57" t="s">
        <v>4215</v>
      </c>
      <c r="Y305" s="130"/>
      <c r="Z305" s="130"/>
      <c r="AA305" s="130"/>
      <c r="AB305" s="130"/>
      <c r="AC305" s="34"/>
      <c r="AD305" s="34"/>
      <c r="AE305" s="34">
        <v>0</v>
      </c>
      <c r="AF305" s="34">
        <v>0</v>
      </c>
      <c r="AG305" s="34">
        <v>0</v>
      </c>
      <c r="AH305" s="34"/>
      <c r="AI305" s="34">
        <v>0</v>
      </c>
      <c r="AJ305" s="34">
        <v>0</v>
      </c>
      <c r="AK305" s="131"/>
      <c r="AL305" s="131"/>
      <c r="AM305" s="131"/>
      <c r="AN305" s="34"/>
      <c r="AO305" s="34"/>
      <c r="AP305" s="34"/>
      <c r="AQ305" s="34" t="s">
        <v>1326</v>
      </c>
      <c r="AR305" s="405"/>
    </row>
    <row r="306" spans="1:44" ht="15" customHeight="1">
      <c r="A306" s="34">
        <v>1090208</v>
      </c>
      <c r="B306" s="5" t="s">
        <v>3638</v>
      </c>
      <c r="C306" s="224" t="s">
        <v>4216</v>
      </c>
      <c r="D306" s="34" t="s">
        <v>81</v>
      </c>
      <c r="E306" s="34" t="s">
        <v>1227</v>
      </c>
      <c r="F306" s="34">
        <v>5</v>
      </c>
      <c r="G306" s="34">
        <v>9</v>
      </c>
      <c r="H306" s="34" t="s">
        <v>136</v>
      </c>
      <c r="I306" s="5" t="s">
        <v>3640</v>
      </c>
      <c r="J306" s="34"/>
      <c r="K306" s="34"/>
      <c r="L306" s="412"/>
      <c r="M306" s="371"/>
      <c r="N306" s="371"/>
      <c r="O306" s="412"/>
      <c r="P306" s="130"/>
      <c r="Q306" s="130">
        <v>0</v>
      </c>
      <c r="R306" s="130" t="s">
        <v>153</v>
      </c>
      <c r="S306" s="34">
        <v>1090108</v>
      </c>
      <c r="T306" s="382"/>
      <c r="U306" s="383"/>
      <c r="V306" s="130" t="s">
        <v>582</v>
      </c>
      <c r="W306" s="57" t="s">
        <v>4217</v>
      </c>
      <c r="X306" s="57" t="s">
        <v>4217</v>
      </c>
      <c r="Y306" s="130"/>
      <c r="Z306" s="130"/>
      <c r="AA306" s="130"/>
      <c r="AB306" s="130"/>
      <c r="AC306" s="34"/>
      <c r="AD306" s="34"/>
      <c r="AE306" s="34">
        <v>0</v>
      </c>
      <c r="AF306" s="34">
        <v>0</v>
      </c>
      <c r="AG306" s="34">
        <v>0</v>
      </c>
      <c r="AH306" s="34"/>
      <c r="AI306" s="34">
        <v>0</v>
      </c>
      <c r="AJ306" s="34">
        <v>0</v>
      </c>
      <c r="AK306" s="131"/>
      <c r="AL306" s="131"/>
      <c r="AM306" s="131"/>
      <c r="AN306" s="34"/>
      <c r="AO306" s="34"/>
      <c r="AP306" s="34"/>
      <c r="AQ306" s="34" t="s">
        <v>1329</v>
      </c>
      <c r="AR306" s="405"/>
    </row>
    <row r="307" spans="1:44" ht="15" customHeight="1">
      <c r="A307" s="34">
        <v>1090209</v>
      </c>
      <c r="B307" s="5" t="s">
        <v>3638</v>
      </c>
      <c r="C307" s="224" t="s">
        <v>4218</v>
      </c>
      <c r="D307" s="34" t="s">
        <v>81</v>
      </c>
      <c r="E307" s="34" t="s">
        <v>1227</v>
      </c>
      <c r="F307" s="34">
        <v>6</v>
      </c>
      <c r="G307" s="34">
        <v>9</v>
      </c>
      <c r="H307" s="34" t="s">
        <v>136</v>
      </c>
      <c r="I307" s="5" t="s">
        <v>3640</v>
      </c>
      <c r="J307" s="34"/>
      <c r="K307" s="34"/>
      <c r="L307" s="412"/>
      <c r="M307" s="371"/>
      <c r="N307" s="371"/>
      <c r="O307" s="412"/>
      <c r="P307" s="130"/>
      <c r="Q307" s="130">
        <v>0</v>
      </c>
      <c r="R307" s="130" t="s">
        <v>153</v>
      </c>
      <c r="S307" s="34">
        <v>1090109</v>
      </c>
      <c r="T307" s="382"/>
      <c r="U307" s="383"/>
      <c r="V307" s="130" t="s">
        <v>582</v>
      </c>
      <c r="W307" s="57" t="s">
        <v>4219</v>
      </c>
      <c r="X307" s="57" t="s">
        <v>4219</v>
      </c>
      <c r="Y307" s="130"/>
      <c r="Z307" s="130"/>
      <c r="AA307" s="130"/>
      <c r="AB307" s="130"/>
      <c r="AC307" s="34"/>
      <c r="AD307" s="34"/>
      <c r="AE307" s="34">
        <v>0</v>
      </c>
      <c r="AF307" s="34">
        <v>0</v>
      </c>
      <c r="AG307" s="34">
        <v>0</v>
      </c>
      <c r="AH307" s="34"/>
      <c r="AI307" s="34">
        <v>0</v>
      </c>
      <c r="AJ307" s="34">
        <v>0</v>
      </c>
      <c r="AK307" s="131"/>
      <c r="AL307" s="131"/>
      <c r="AM307" s="131"/>
      <c r="AN307" s="34"/>
      <c r="AO307" s="34"/>
      <c r="AP307" s="34"/>
      <c r="AQ307" s="34" t="s">
        <v>1332</v>
      </c>
      <c r="AR307" s="405"/>
    </row>
    <row r="308" spans="1:44" ht="15" customHeight="1">
      <c r="A308" s="34">
        <v>1090210</v>
      </c>
      <c r="B308" s="5" t="s">
        <v>3638</v>
      </c>
      <c r="C308" s="224" t="s">
        <v>4220</v>
      </c>
      <c r="D308" s="34" t="s">
        <v>81</v>
      </c>
      <c r="E308" s="34" t="s">
        <v>1227</v>
      </c>
      <c r="F308" s="34">
        <v>7</v>
      </c>
      <c r="G308" s="34">
        <v>9</v>
      </c>
      <c r="H308" s="34" t="s">
        <v>136</v>
      </c>
      <c r="I308" s="5" t="s">
        <v>3640</v>
      </c>
      <c r="J308" s="34"/>
      <c r="K308" s="34"/>
      <c r="L308" s="412"/>
      <c r="M308" s="371"/>
      <c r="N308" s="371"/>
      <c r="O308" s="412"/>
      <c r="P308" s="130"/>
      <c r="Q308" s="130">
        <v>0</v>
      </c>
      <c r="R308" s="130" t="s">
        <v>153</v>
      </c>
      <c r="S308" s="34">
        <v>1090110</v>
      </c>
      <c r="T308" s="382"/>
      <c r="U308" s="383"/>
      <c r="V308" s="130" t="s">
        <v>582</v>
      </c>
      <c r="W308" s="57" t="s">
        <v>4221</v>
      </c>
      <c r="X308" s="57" t="s">
        <v>4221</v>
      </c>
      <c r="Y308" s="130"/>
      <c r="Z308" s="130"/>
      <c r="AA308" s="130"/>
      <c r="AB308" s="130"/>
      <c r="AC308" s="34"/>
      <c r="AD308" s="34"/>
      <c r="AE308" s="34">
        <v>0</v>
      </c>
      <c r="AF308" s="34">
        <v>0</v>
      </c>
      <c r="AG308" s="34">
        <v>0</v>
      </c>
      <c r="AH308" s="34"/>
      <c r="AI308" s="34">
        <v>0</v>
      </c>
      <c r="AJ308" s="34">
        <v>0</v>
      </c>
      <c r="AK308" s="131"/>
      <c r="AL308" s="131"/>
      <c r="AM308" s="131"/>
      <c r="AN308" s="34"/>
      <c r="AO308" s="34"/>
      <c r="AP308" s="34"/>
      <c r="AQ308" s="34" t="s">
        <v>1335</v>
      </c>
      <c r="AR308" s="405"/>
    </row>
    <row r="309" spans="1:44" ht="15" customHeight="1">
      <c r="A309" s="3">
        <v>1090211</v>
      </c>
      <c r="B309" s="5" t="s">
        <v>3638</v>
      </c>
      <c r="C309" s="224" t="s">
        <v>4222</v>
      </c>
      <c r="D309" s="3" t="s">
        <v>81</v>
      </c>
      <c r="E309" s="3" t="s">
        <v>1227</v>
      </c>
      <c r="F309" s="3">
        <v>8</v>
      </c>
      <c r="G309" s="3">
        <v>9</v>
      </c>
      <c r="H309" s="3" t="s">
        <v>136</v>
      </c>
      <c r="I309" s="5" t="s">
        <v>3640</v>
      </c>
      <c r="J309" s="3"/>
      <c r="K309" s="3"/>
      <c r="L309" s="236"/>
      <c r="M309" s="99"/>
      <c r="N309" s="99"/>
      <c r="O309" s="236"/>
      <c r="P309" s="22"/>
      <c r="Q309" s="22">
        <v>0</v>
      </c>
      <c r="R309" s="22" t="s">
        <v>153</v>
      </c>
      <c r="S309" s="3"/>
      <c r="T309" s="260"/>
      <c r="U309" s="261"/>
      <c r="V309" s="22"/>
      <c r="W309" s="57" t="s">
        <v>3665</v>
      </c>
      <c r="X309" s="57" t="s">
        <v>3665</v>
      </c>
      <c r="Y309" s="22"/>
      <c r="Z309" s="22"/>
      <c r="AA309" s="22"/>
      <c r="AB309" s="22" t="s">
        <v>114</v>
      </c>
      <c r="AC309" s="3"/>
      <c r="AD309" s="3"/>
      <c r="AE309" s="3">
        <v>0</v>
      </c>
      <c r="AF309" s="3">
        <v>0</v>
      </c>
      <c r="AG309" s="3">
        <v>0</v>
      </c>
      <c r="AH309" s="3"/>
      <c r="AI309" s="3">
        <v>0</v>
      </c>
      <c r="AJ309" s="3">
        <v>0</v>
      </c>
      <c r="AK309" s="3">
        <v>0</v>
      </c>
      <c r="AL309" s="3"/>
      <c r="AM309" s="3"/>
      <c r="AN309" s="3"/>
      <c r="AO309" s="3"/>
      <c r="AP309" s="3"/>
      <c r="AQ309" s="3" t="s">
        <v>1320</v>
      </c>
      <c r="AR309" s="281"/>
    </row>
    <row r="310" spans="1:44" ht="15" customHeight="1">
      <c r="A310" s="3">
        <v>1090212</v>
      </c>
      <c r="B310" s="5" t="s">
        <v>3638</v>
      </c>
      <c r="C310" s="224" t="s">
        <v>4223</v>
      </c>
      <c r="D310" s="3" t="s">
        <v>81</v>
      </c>
      <c r="E310" s="3" t="s">
        <v>1227</v>
      </c>
      <c r="F310" s="3">
        <v>9</v>
      </c>
      <c r="G310" s="3">
        <v>9</v>
      </c>
      <c r="H310" s="3" t="s">
        <v>136</v>
      </c>
      <c r="I310" s="5" t="s">
        <v>3640</v>
      </c>
      <c r="J310" s="3"/>
      <c r="K310" s="3"/>
      <c r="L310" s="236"/>
      <c r="M310" s="99"/>
      <c r="N310" s="99"/>
      <c r="O310" s="236"/>
      <c r="P310" s="22"/>
      <c r="Q310" s="22">
        <v>0</v>
      </c>
      <c r="R310" s="22" t="s">
        <v>153</v>
      </c>
      <c r="S310" s="3"/>
      <c r="T310" s="260"/>
      <c r="U310" s="261"/>
      <c r="V310" s="22"/>
      <c r="W310" s="57" t="s">
        <v>4224</v>
      </c>
      <c r="X310" s="57" t="s">
        <v>4224</v>
      </c>
      <c r="Y310" s="22"/>
      <c r="Z310" s="22"/>
      <c r="AA310" s="22"/>
      <c r="AB310" s="22" t="s">
        <v>114</v>
      </c>
      <c r="AC310" s="3"/>
      <c r="AD310" s="3"/>
      <c r="AE310" s="3">
        <v>0</v>
      </c>
      <c r="AF310" s="3">
        <v>0</v>
      </c>
      <c r="AG310" s="3">
        <v>0</v>
      </c>
      <c r="AH310" s="3"/>
      <c r="AI310" s="3">
        <v>0</v>
      </c>
      <c r="AJ310" s="3">
        <v>0</v>
      </c>
      <c r="AK310" s="3">
        <v>0</v>
      </c>
      <c r="AL310" s="3"/>
      <c r="AM310" s="3"/>
      <c r="AN310" s="3"/>
      <c r="AO310" s="3"/>
      <c r="AP310" s="3"/>
      <c r="AQ310" s="282" t="str">
        <f>"tricks/"&amp;A310</f>
        <v>tricks/1090212</v>
      </c>
    </row>
    <row r="311" spans="1:44" ht="15" customHeight="1">
      <c r="A311" s="3">
        <v>1090213</v>
      </c>
      <c r="B311" s="5" t="s">
        <v>3638</v>
      </c>
      <c r="C311" s="224" t="s">
        <v>4225</v>
      </c>
      <c r="D311" s="3" t="s">
        <v>81</v>
      </c>
      <c r="E311" s="3" t="s">
        <v>1227</v>
      </c>
      <c r="F311" s="3">
        <v>10</v>
      </c>
      <c r="G311" s="3">
        <v>9</v>
      </c>
      <c r="H311" s="3" t="s">
        <v>136</v>
      </c>
      <c r="I311" s="5" t="s">
        <v>3640</v>
      </c>
      <c r="J311" s="3"/>
      <c r="K311" s="3"/>
      <c r="L311" s="236"/>
      <c r="M311" s="99"/>
      <c r="N311" s="99"/>
      <c r="O311" s="236"/>
      <c r="P311" s="22"/>
      <c r="Q311" s="22">
        <v>0</v>
      </c>
      <c r="R311" s="22" t="s">
        <v>153</v>
      </c>
      <c r="S311" s="3"/>
      <c r="T311" s="260"/>
      <c r="U311" s="261"/>
      <c r="V311" s="22"/>
      <c r="W311" s="57" t="s">
        <v>4226</v>
      </c>
      <c r="X311" s="57" t="s">
        <v>4226</v>
      </c>
      <c r="Y311" s="22"/>
      <c r="Z311" s="22"/>
      <c r="AA311" s="22"/>
      <c r="AB311" s="22" t="s">
        <v>114</v>
      </c>
      <c r="AC311" s="3"/>
      <c r="AD311" s="3"/>
      <c r="AE311" s="3">
        <v>0</v>
      </c>
      <c r="AF311" s="3">
        <v>0</v>
      </c>
      <c r="AG311" s="3">
        <v>0</v>
      </c>
      <c r="AH311" s="3"/>
      <c r="AI311" s="3">
        <v>0</v>
      </c>
      <c r="AJ311" s="3">
        <v>0</v>
      </c>
      <c r="AK311" s="3">
        <v>0</v>
      </c>
      <c r="AL311" s="3"/>
      <c r="AM311" s="3"/>
      <c r="AN311" s="3"/>
      <c r="AO311" s="3"/>
      <c r="AP311" s="3"/>
      <c r="AQ311" s="282" t="str">
        <f>"tricks/"&amp;A311</f>
        <v>tricks/1090213</v>
      </c>
    </row>
    <row r="312" spans="1:44" ht="15" customHeight="1">
      <c r="A312" s="5">
        <v>1100001</v>
      </c>
      <c r="B312" s="5" t="s">
        <v>3638</v>
      </c>
      <c r="C312" s="224" t="s">
        <v>4227</v>
      </c>
      <c r="D312" s="5" t="s">
        <v>81</v>
      </c>
      <c r="E312" s="5" t="s">
        <v>1341</v>
      </c>
      <c r="F312" s="5">
        <v>1</v>
      </c>
      <c r="G312" s="5">
        <v>10</v>
      </c>
      <c r="H312" s="5" t="s">
        <v>82</v>
      </c>
      <c r="I312" s="5" t="s">
        <v>3640</v>
      </c>
      <c r="J312" s="5"/>
      <c r="K312" s="5">
        <v>4</v>
      </c>
      <c r="L312" s="230" t="s">
        <v>1343</v>
      </c>
      <c r="M312" s="231"/>
      <c r="N312" s="231"/>
      <c r="O312" s="5"/>
      <c r="P312" s="232"/>
      <c r="Q312" s="232">
        <v>0</v>
      </c>
      <c r="R312" s="232" t="s">
        <v>85</v>
      </c>
      <c r="S312" s="5">
        <v>1100001</v>
      </c>
      <c r="T312" s="256" t="s">
        <v>1344</v>
      </c>
      <c r="U312" s="257" t="s">
        <v>1345</v>
      </c>
      <c r="V312" s="232" t="s">
        <v>105</v>
      </c>
      <c r="W312" s="57" t="s">
        <v>4228</v>
      </c>
      <c r="X312" s="57" t="s">
        <v>4228</v>
      </c>
      <c r="Y312" s="232"/>
      <c r="Z312" s="232"/>
      <c r="AA312" s="232">
        <v>1</v>
      </c>
      <c r="AB312" s="232" t="s">
        <v>90</v>
      </c>
      <c r="AC312" s="5"/>
      <c r="AD312" s="5"/>
      <c r="AE312" s="5">
        <v>2</v>
      </c>
      <c r="AF312" s="5">
        <v>0</v>
      </c>
      <c r="AG312" s="5">
        <v>4</v>
      </c>
      <c r="AH312" s="5"/>
      <c r="AI312" s="5">
        <v>52</v>
      </c>
      <c r="AJ312" s="5">
        <v>39</v>
      </c>
      <c r="AK312" s="270"/>
      <c r="AL312" s="270"/>
      <c r="AM312" s="270"/>
      <c r="AN312" s="5" t="s">
        <v>1347</v>
      </c>
      <c r="AO312" s="5"/>
      <c r="AP312" s="5"/>
      <c r="AQ312" s="5" t="s">
        <v>1348</v>
      </c>
      <c r="AR312" s="279">
        <v>283</v>
      </c>
    </row>
    <row r="313" spans="1:44" ht="15" customHeight="1">
      <c r="A313" s="5">
        <v>1100002</v>
      </c>
      <c r="B313" s="5" t="s">
        <v>3638</v>
      </c>
      <c r="C313" s="224" t="s">
        <v>4229</v>
      </c>
      <c r="D313" s="5" t="s">
        <v>81</v>
      </c>
      <c r="E313" s="5" t="s">
        <v>1341</v>
      </c>
      <c r="F313" s="5">
        <v>1</v>
      </c>
      <c r="G313" s="5">
        <v>10</v>
      </c>
      <c r="H313" s="5" t="s">
        <v>82</v>
      </c>
      <c r="I313" s="5" t="s">
        <v>3640</v>
      </c>
      <c r="J313" s="5"/>
      <c r="K313" s="5">
        <v>5</v>
      </c>
      <c r="L313" s="230" t="s">
        <v>1350</v>
      </c>
      <c r="M313" s="231"/>
      <c r="N313" s="231"/>
      <c r="O313" s="5"/>
      <c r="P313" s="232"/>
      <c r="Q313" s="232">
        <v>0</v>
      </c>
      <c r="R313" s="232" t="s">
        <v>85</v>
      </c>
      <c r="S313" s="5">
        <v>1100002</v>
      </c>
      <c r="T313" s="256" t="s">
        <v>1344</v>
      </c>
      <c r="U313" s="257" t="s">
        <v>1345</v>
      </c>
      <c r="V313" s="232" t="s">
        <v>105</v>
      </c>
      <c r="W313" s="57" t="s">
        <v>4230</v>
      </c>
      <c r="X313" s="57" t="s">
        <v>4230</v>
      </c>
      <c r="Y313" s="232"/>
      <c r="Z313" s="232"/>
      <c r="AA313" s="232">
        <v>1</v>
      </c>
      <c r="AB313" s="232" t="s">
        <v>90</v>
      </c>
      <c r="AC313" s="5"/>
      <c r="AD313" s="5"/>
      <c r="AE313" s="5">
        <v>2</v>
      </c>
      <c r="AF313" s="5">
        <v>0</v>
      </c>
      <c r="AG313" s="5">
        <v>4</v>
      </c>
      <c r="AH313" s="5"/>
      <c r="AI313" s="5">
        <v>65</v>
      </c>
      <c r="AJ313" s="5">
        <v>45</v>
      </c>
      <c r="AK313" s="270"/>
      <c r="AL313" s="270"/>
      <c r="AM313" s="270"/>
      <c r="AN313" s="5" t="s">
        <v>1352</v>
      </c>
      <c r="AO313" s="5"/>
      <c r="AP313" s="5"/>
      <c r="AQ313" s="5" t="s">
        <v>1353</v>
      </c>
      <c r="AR313" s="279">
        <v>284</v>
      </c>
    </row>
    <row r="314" spans="1:44" ht="15" customHeight="1">
      <c r="A314" s="31">
        <v>1100101</v>
      </c>
      <c r="B314" s="5" t="s">
        <v>3638</v>
      </c>
      <c r="C314" s="224" t="s">
        <v>4231</v>
      </c>
      <c r="D314" s="31" t="s">
        <v>81</v>
      </c>
      <c r="E314" s="31" t="s">
        <v>1341</v>
      </c>
      <c r="F314" s="31">
        <v>1</v>
      </c>
      <c r="G314" s="31">
        <v>10</v>
      </c>
      <c r="H314" s="31" t="s">
        <v>82</v>
      </c>
      <c r="I314" s="5" t="s">
        <v>3640</v>
      </c>
      <c r="J314" s="31"/>
      <c r="K314" s="31">
        <v>1</v>
      </c>
      <c r="L314" s="414" t="s">
        <v>1356</v>
      </c>
      <c r="M314" s="343"/>
      <c r="N314" s="343"/>
      <c r="O314" s="414"/>
      <c r="P314" s="344">
        <v>1</v>
      </c>
      <c r="Q314" s="344">
        <v>0</v>
      </c>
      <c r="R314" s="344" t="s">
        <v>85</v>
      </c>
      <c r="S314" s="31">
        <v>1100101</v>
      </c>
      <c r="T314" s="417" t="s">
        <v>1357</v>
      </c>
      <c r="U314" s="418" t="s">
        <v>1358</v>
      </c>
      <c r="V314" s="344" t="s">
        <v>105</v>
      </c>
      <c r="W314" s="57" t="s">
        <v>4232</v>
      </c>
      <c r="X314" s="57" t="s">
        <v>4232</v>
      </c>
      <c r="Y314" s="344"/>
      <c r="Z314" s="344"/>
      <c r="AA314" s="344">
        <v>1</v>
      </c>
      <c r="AB314" s="344" t="s">
        <v>90</v>
      </c>
      <c r="AC314" s="31"/>
      <c r="AD314" s="31"/>
      <c r="AE314" s="31">
        <v>1</v>
      </c>
      <c r="AF314" s="31">
        <v>2</v>
      </c>
      <c r="AG314" s="31">
        <v>6</v>
      </c>
      <c r="AH314" s="31"/>
      <c r="AI314" s="31">
        <v>39</v>
      </c>
      <c r="AJ314" s="31">
        <v>26</v>
      </c>
      <c r="AK314" s="359" t="s">
        <v>1360</v>
      </c>
      <c r="AL314" s="359"/>
      <c r="AM314" s="359"/>
      <c r="AN314" s="31" t="s">
        <v>1361</v>
      </c>
      <c r="AO314" s="31"/>
      <c r="AP314" s="31"/>
      <c r="AQ314" s="31" t="s">
        <v>1362</v>
      </c>
      <c r="AR314" s="424">
        <v>280</v>
      </c>
    </row>
    <row r="315" spans="1:44" ht="19.2">
      <c r="A315" s="31" t="s">
        <v>1363</v>
      </c>
      <c r="B315" s="5" t="s">
        <v>3638</v>
      </c>
      <c r="C315" s="224" t="s">
        <v>4231</v>
      </c>
      <c r="D315" s="31" t="s">
        <v>81</v>
      </c>
      <c r="E315" s="31" t="s">
        <v>1341</v>
      </c>
      <c r="F315" s="31">
        <v>1</v>
      </c>
      <c r="G315" s="31">
        <v>10</v>
      </c>
      <c r="H315" s="31" t="s">
        <v>82</v>
      </c>
      <c r="I315" s="5" t="s">
        <v>3640</v>
      </c>
      <c r="J315" s="31"/>
      <c r="K315" s="31">
        <v>1</v>
      </c>
      <c r="L315" s="414" t="s">
        <v>1356</v>
      </c>
      <c r="M315" s="343"/>
      <c r="N315" s="343"/>
      <c r="O315" s="414"/>
      <c r="P315" s="344">
        <v>1</v>
      </c>
      <c r="Q315" s="344">
        <v>0</v>
      </c>
      <c r="R315" s="344" t="s">
        <v>85</v>
      </c>
      <c r="S315" s="31" t="s">
        <v>1363</v>
      </c>
      <c r="T315" s="417" t="s">
        <v>1357</v>
      </c>
      <c r="U315" s="418" t="s">
        <v>1358</v>
      </c>
      <c r="V315" s="344" t="s">
        <v>105</v>
      </c>
      <c r="W315" s="57" t="s">
        <v>4232</v>
      </c>
      <c r="X315" s="57" t="s">
        <v>4232</v>
      </c>
      <c r="Y315" s="344"/>
      <c r="Z315" s="344"/>
      <c r="AA315" s="344">
        <v>1</v>
      </c>
      <c r="AB315" s="344" t="s">
        <v>90</v>
      </c>
      <c r="AC315" s="31"/>
      <c r="AD315" s="31"/>
      <c r="AE315" s="31">
        <v>1</v>
      </c>
      <c r="AF315" s="31">
        <v>1</v>
      </c>
      <c r="AG315" s="31">
        <v>0</v>
      </c>
      <c r="AH315" s="31"/>
      <c r="AI315" s="31">
        <v>39</v>
      </c>
      <c r="AJ315" s="31">
        <v>26</v>
      </c>
      <c r="AK315" s="359" t="s">
        <v>1360</v>
      </c>
      <c r="AL315" s="359"/>
      <c r="AM315" s="359"/>
      <c r="AN315" s="31" t="s">
        <v>1364</v>
      </c>
      <c r="AO315" s="31"/>
      <c r="AP315" s="31"/>
      <c r="AQ315" s="31" t="s">
        <v>1362</v>
      </c>
      <c r="AR315" s="424"/>
    </row>
    <row r="316" spans="1:44" ht="15" customHeight="1">
      <c r="A316" s="31">
        <v>1100102</v>
      </c>
      <c r="B316" s="5" t="s">
        <v>3638</v>
      </c>
      <c r="C316" s="224" t="s">
        <v>4233</v>
      </c>
      <c r="D316" s="31" t="s">
        <v>81</v>
      </c>
      <c r="E316" s="31" t="s">
        <v>1341</v>
      </c>
      <c r="F316" s="31">
        <v>1</v>
      </c>
      <c r="G316" s="31">
        <v>10</v>
      </c>
      <c r="H316" s="31" t="s">
        <v>136</v>
      </c>
      <c r="I316" s="5" t="s">
        <v>3640</v>
      </c>
      <c r="J316" s="31"/>
      <c r="K316" s="31"/>
      <c r="L316" s="414" t="s">
        <v>1366</v>
      </c>
      <c r="M316" s="343"/>
      <c r="N316" s="343"/>
      <c r="O316" s="414"/>
      <c r="P316" s="344"/>
      <c r="Q316" s="344">
        <v>0</v>
      </c>
      <c r="R316" s="344"/>
      <c r="S316" s="31">
        <v>1100102</v>
      </c>
      <c r="T316" s="417"/>
      <c r="U316" s="418"/>
      <c r="V316" s="344" t="s">
        <v>105</v>
      </c>
      <c r="W316" s="57" t="s">
        <v>4234</v>
      </c>
      <c r="X316" s="57" t="s">
        <v>4234</v>
      </c>
      <c r="Y316" s="344"/>
      <c r="Z316" s="344"/>
      <c r="AA316" s="344"/>
      <c r="AB316" s="344"/>
      <c r="AC316" s="31"/>
      <c r="AD316" s="31"/>
      <c r="AE316" s="31">
        <v>0</v>
      </c>
      <c r="AF316" s="31">
        <v>0</v>
      </c>
      <c r="AG316" s="31">
        <v>0</v>
      </c>
      <c r="AH316" s="31"/>
      <c r="AI316" s="31">
        <v>0</v>
      </c>
      <c r="AJ316" s="31">
        <v>0</v>
      </c>
      <c r="AK316" s="359"/>
      <c r="AL316" s="359"/>
      <c r="AM316" s="359"/>
      <c r="AN316" s="31"/>
      <c r="AO316" s="31"/>
      <c r="AP316" s="31"/>
      <c r="AQ316" s="31" t="s">
        <v>1368</v>
      </c>
      <c r="AR316" s="424"/>
    </row>
    <row r="317" spans="1:44" ht="15" customHeight="1">
      <c r="A317" s="31">
        <v>1100103</v>
      </c>
      <c r="B317" s="5" t="s">
        <v>3638</v>
      </c>
      <c r="C317" s="224" t="s">
        <v>4235</v>
      </c>
      <c r="D317" s="31" t="s">
        <v>81</v>
      </c>
      <c r="E317" s="31" t="s">
        <v>1341</v>
      </c>
      <c r="F317" s="31">
        <v>1</v>
      </c>
      <c r="G317" s="31">
        <v>10</v>
      </c>
      <c r="H317" s="31" t="s">
        <v>82</v>
      </c>
      <c r="I317" s="5" t="s">
        <v>3640</v>
      </c>
      <c r="J317" s="31"/>
      <c r="K317" s="31">
        <v>2</v>
      </c>
      <c r="L317" s="414" t="s">
        <v>1370</v>
      </c>
      <c r="M317" s="343"/>
      <c r="N317" s="343"/>
      <c r="O317" s="414"/>
      <c r="P317" s="344">
        <v>1</v>
      </c>
      <c r="Q317" s="344">
        <v>0</v>
      </c>
      <c r="R317" s="344" t="s">
        <v>85</v>
      </c>
      <c r="S317" s="31">
        <v>1100103</v>
      </c>
      <c r="T317" s="417" t="s">
        <v>1371</v>
      </c>
      <c r="U317" s="418" t="s">
        <v>1372</v>
      </c>
      <c r="V317" s="344" t="s">
        <v>105</v>
      </c>
      <c r="W317" s="57" t="s">
        <v>4236</v>
      </c>
      <c r="X317" s="57" t="s">
        <v>4236</v>
      </c>
      <c r="Y317" s="344"/>
      <c r="Z317" s="344"/>
      <c r="AA317" s="344">
        <v>1</v>
      </c>
      <c r="AB317" s="344" t="s">
        <v>90</v>
      </c>
      <c r="AC317" s="31"/>
      <c r="AD317" s="31"/>
      <c r="AE317" s="31">
        <v>1</v>
      </c>
      <c r="AF317" s="31">
        <v>1</v>
      </c>
      <c r="AG317" s="31">
        <v>5</v>
      </c>
      <c r="AH317" s="31"/>
      <c r="AI317" s="31">
        <v>39</v>
      </c>
      <c r="AJ317" s="31">
        <v>26</v>
      </c>
      <c r="AK317" s="359" t="s">
        <v>1374</v>
      </c>
      <c r="AL317" s="359"/>
      <c r="AM317" s="359"/>
      <c r="AN317" s="31" t="s">
        <v>1375</v>
      </c>
      <c r="AO317" s="31" t="s">
        <v>1376</v>
      </c>
      <c r="AP317" s="31"/>
      <c r="AQ317" s="31" t="s">
        <v>1377</v>
      </c>
      <c r="AR317" s="424">
        <v>281</v>
      </c>
    </row>
    <row r="318" spans="1:44" ht="15" customHeight="1">
      <c r="A318" s="31">
        <v>1100104</v>
      </c>
      <c r="B318" s="5" t="s">
        <v>3638</v>
      </c>
      <c r="C318" s="224" t="s">
        <v>4237</v>
      </c>
      <c r="D318" s="31" t="s">
        <v>81</v>
      </c>
      <c r="E318" s="31" t="s">
        <v>1341</v>
      </c>
      <c r="F318" s="31">
        <v>2</v>
      </c>
      <c r="G318" s="31">
        <v>10</v>
      </c>
      <c r="H318" s="31" t="s">
        <v>136</v>
      </c>
      <c r="I318" s="5" t="s">
        <v>3640</v>
      </c>
      <c r="J318" s="31"/>
      <c r="K318" s="31"/>
      <c r="L318" s="414" t="s">
        <v>1379</v>
      </c>
      <c r="M318" s="343"/>
      <c r="N318" s="343"/>
      <c r="O318" s="414"/>
      <c r="P318" s="344"/>
      <c r="Q318" s="344">
        <v>0</v>
      </c>
      <c r="R318" s="344"/>
      <c r="S318" s="31">
        <v>1100104</v>
      </c>
      <c r="T318" s="417"/>
      <c r="U318" s="418"/>
      <c r="V318" s="344" t="s">
        <v>105</v>
      </c>
      <c r="W318" s="57" t="s">
        <v>4238</v>
      </c>
      <c r="X318" s="57" t="s">
        <v>4238</v>
      </c>
      <c r="Y318" s="344"/>
      <c r="Z318" s="344"/>
      <c r="AA318" s="344"/>
      <c r="AB318" s="344"/>
      <c r="AC318" s="31"/>
      <c r="AD318" s="31"/>
      <c r="AE318" s="31">
        <v>0</v>
      </c>
      <c r="AF318" s="31">
        <v>0</v>
      </c>
      <c r="AG318" s="31">
        <v>0</v>
      </c>
      <c r="AH318" s="31"/>
      <c r="AI318" s="31">
        <v>0</v>
      </c>
      <c r="AJ318" s="31">
        <v>0</v>
      </c>
      <c r="AK318" s="359"/>
      <c r="AL318" s="359"/>
      <c r="AM318" s="359"/>
      <c r="AN318" s="31"/>
      <c r="AO318" s="31"/>
      <c r="AP318" s="31"/>
      <c r="AQ318" s="31" t="s">
        <v>1381</v>
      </c>
      <c r="AR318" s="424"/>
    </row>
    <row r="319" spans="1:44" ht="15" customHeight="1">
      <c r="A319" s="31">
        <v>1100105</v>
      </c>
      <c r="B319" s="5" t="s">
        <v>3638</v>
      </c>
      <c r="C319" s="224" t="s">
        <v>4239</v>
      </c>
      <c r="D319" s="31" t="s">
        <v>81</v>
      </c>
      <c r="E319" s="31" t="s">
        <v>1341</v>
      </c>
      <c r="F319" s="31">
        <v>1</v>
      </c>
      <c r="G319" s="31">
        <v>10</v>
      </c>
      <c r="H319" s="31" t="s">
        <v>82</v>
      </c>
      <c r="I319" s="5" t="s">
        <v>3640</v>
      </c>
      <c r="J319" s="31"/>
      <c r="K319" s="31">
        <v>3</v>
      </c>
      <c r="L319" s="414" t="s">
        <v>1383</v>
      </c>
      <c r="M319" s="343"/>
      <c r="N319" s="343"/>
      <c r="O319" s="414"/>
      <c r="P319" s="344">
        <v>1</v>
      </c>
      <c r="Q319" s="344">
        <v>0</v>
      </c>
      <c r="R319" s="344" t="s">
        <v>85</v>
      </c>
      <c r="S319" s="31">
        <v>1100105</v>
      </c>
      <c r="T319" s="417" t="s">
        <v>1384</v>
      </c>
      <c r="U319" s="418" t="s">
        <v>1372</v>
      </c>
      <c r="V319" s="344" t="s">
        <v>105</v>
      </c>
      <c r="W319" s="57" t="s">
        <v>4240</v>
      </c>
      <c r="X319" s="57" t="s">
        <v>4240</v>
      </c>
      <c r="Y319" s="344"/>
      <c r="Z319" s="344"/>
      <c r="AA319" s="344">
        <v>1</v>
      </c>
      <c r="AB319" s="344" t="s">
        <v>90</v>
      </c>
      <c r="AC319" s="31"/>
      <c r="AD319" s="31"/>
      <c r="AE319" s="31">
        <v>1</v>
      </c>
      <c r="AF319" s="31">
        <v>1</v>
      </c>
      <c r="AG319" s="31">
        <v>5</v>
      </c>
      <c r="AH319" s="31"/>
      <c r="AI319" s="31">
        <v>39</v>
      </c>
      <c r="AJ319" s="31">
        <v>26</v>
      </c>
      <c r="AK319" s="359"/>
      <c r="AL319" s="359"/>
      <c r="AM319" s="359"/>
      <c r="AN319" s="31" t="s">
        <v>1386</v>
      </c>
      <c r="AO319" s="31"/>
      <c r="AP319" s="31"/>
      <c r="AQ319" s="31" t="s">
        <v>1387</v>
      </c>
      <c r="AR319" s="424">
        <v>282</v>
      </c>
    </row>
    <row r="320" spans="1:44" ht="15" customHeight="1">
      <c r="A320" s="31">
        <v>1100106</v>
      </c>
      <c r="B320" s="5" t="s">
        <v>3638</v>
      </c>
      <c r="C320" s="224" t="s">
        <v>4241</v>
      </c>
      <c r="D320" s="31" t="s">
        <v>81</v>
      </c>
      <c r="E320" s="31" t="s">
        <v>1341</v>
      </c>
      <c r="F320" s="31">
        <v>3</v>
      </c>
      <c r="G320" s="31">
        <v>10</v>
      </c>
      <c r="H320" s="31" t="s">
        <v>136</v>
      </c>
      <c r="I320" s="5" t="s">
        <v>3640</v>
      </c>
      <c r="J320" s="31"/>
      <c r="K320" s="31"/>
      <c r="L320" s="414" t="s">
        <v>1389</v>
      </c>
      <c r="M320" s="343"/>
      <c r="N320" s="343"/>
      <c r="O320" s="414"/>
      <c r="P320" s="344"/>
      <c r="Q320" s="344">
        <v>0</v>
      </c>
      <c r="R320" s="344" t="s">
        <v>153</v>
      </c>
      <c r="S320" s="31">
        <v>1100106</v>
      </c>
      <c r="T320" s="417"/>
      <c r="U320" s="418"/>
      <c r="V320" s="344" t="s">
        <v>105</v>
      </c>
      <c r="W320" s="57" t="s">
        <v>4242</v>
      </c>
      <c r="X320" s="57" t="s">
        <v>4242</v>
      </c>
      <c r="Y320" s="344"/>
      <c r="Z320" s="344"/>
      <c r="AA320" s="344"/>
      <c r="AB320" s="344"/>
      <c r="AC320" s="31"/>
      <c r="AD320" s="31"/>
      <c r="AE320" s="31">
        <v>0</v>
      </c>
      <c r="AF320" s="31">
        <v>0</v>
      </c>
      <c r="AG320" s="31">
        <v>0</v>
      </c>
      <c r="AH320" s="31"/>
      <c r="AI320" s="31">
        <v>0</v>
      </c>
      <c r="AJ320" s="31">
        <v>0</v>
      </c>
      <c r="AK320" s="359"/>
      <c r="AL320" s="359"/>
      <c r="AM320" s="359"/>
      <c r="AN320" s="31"/>
      <c r="AO320" s="31"/>
      <c r="AP320" s="31"/>
      <c r="AQ320" s="31" t="s">
        <v>1391</v>
      </c>
      <c r="AR320" s="424"/>
    </row>
    <row r="321" spans="1:44" ht="15" customHeight="1">
      <c r="A321" s="31">
        <v>1100107</v>
      </c>
      <c r="B321" s="5" t="s">
        <v>3638</v>
      </c>
      <c r="C321" s="224" t="s">
        <v>4243</v>
      </c>
      <c r="D321" s="31" t="s">
        <v>81</v>
      </c>
      <c r="E321" s="31" t="s">
        <v>1341</v>
      </c>
      <c r="F321" s="31">
        <v>4</v>
      </c>
      <c r="G321" s="31">
        <v>10</v>
      </c>
      <c r="H321" s="31" t="s">
        <v>136</v>
      </c>
      <c r="I321" s="5" t="s">
        <v>3640</v>
      </c>
      <c r="J321" s="31"/>
      <c r="K321" s="31"/>
      <c r="L321" s="414" t="s">
        <v>1393</v>
      </c>
      <c r="M321" s="343"/>
      <c r="N321" s="343"/>
      <c r="O321" s="414"/>
      <c r="P321" s="344"/>
      <c r="Q321" s="344">
        <v>0</v>
      </c>
      <c r="R321" s="344" t="s">
        <v>153</v>
      </c>
      <c r="S321" s="31">
        <v>1100107</v>
      </c>
      <c r="T321" s="417"/>
      <c r="U321" s="433"/>
      <c r="V321" s="344" t="s">
        <v>105</v>
      </c>
      <c r="W321" s="57" t="s">
        <v>4244</v>
      </c>
      <c r="X321" s="57" t="s">
        <v>4244</v>
      </c>
      <c r="Y321" s="344"/>
      <c r="Z321" s="344"/>
      <c r="AA321" s="344"/>
      <c r="AB321" s="344"/>
      <c r="AC321" s="31"/>
      <c r="AD321" s="31"/>
      <c r="AE321" s="31">
        <v>0</v>
      </c>
      <c r="AF321" s="31">
        <v>0</v>
      </c>
      <c r="AG321" s="31">
        <v>0</v>
      </c>
      <c r="AH321" s="31"/>
      <c r="AI321" s="31">
        <v>0</v>
      </c>
      <c r="AJ321" s="31">
        <v>0</v>
      </c>
      <c r="AK321" s="359"/>
      <c r="AL321" s="359"/>
      <c r="AM321" s="359"/>
      <c r="AN321" s="31"/>
      <c r="AO321" s="31"/>
      <c r="AP321" s="31"/>
      <c r="AQ321" s="31" t="s">
        <v>1395</v>
      </c>
      <c r="AR321" s="424"/>
    </row>
    <row r="322" spans="1:44" ht="15" customHeight="1">
      <c r="A322" s="31">
        <v>1100108</v>
      </c>
      <c r="B322" s="5" t="s">
        <v>3638</v>
      </c>
      <c r="C322" s="224" t="s">
        <v>4245</v>
      </c>
      <c r="D322" s="31" t="s">
        <v>81</v>
      </c>
      <c r="E322" s="31" t="s">
        <v>1341</v>
      </c>
      <c r="F322" s="31">
        <v>5</v>
      </c>
      <c r="G322" s="31">
        <v>10</v>
      </c>
      <c r="H322" s="31" t="s">
        <v>136</v>
      </c>
      <c r="I322" s="5" t="s">
        <v>3640</v>
      </c>
      <c r="J322" s="31"/>
      <c r="K322" s="31"/>
      <c r="L322" s="414" t="s">
        <v>1397</v>
      </c>
      <c r="M322" s="343"/>
      <c r="N322" s="343"/>
      <c r="O322" s="414"/>
      <c r="P322" s="344"/>
      <c r="Q322" s="344">
        <v>0</v>
      </c>
      <c r="R322" s="344" t="s">
        <v>153</v>
      </c>
      <c r="S322" s="31">
        <v>1100108</v>
      </c>
      <c r="T322" s="417"/>
      <c r="U322" s="418"/>
      <c r="V322" s="344" t="s">
        <v>105</v>
      </c>
      <c r="W322" s="57" t="s">
        <v>4246</v>
      </c>
      <c r="X322" s="57" t="s">
        <v>4246</v>
      </c>
      <c r="Y322" s="344"/>
      <c r="Z322" s="344"/>
      <c r="AA322" s="344"/>
      <c r="AB322" s="344"/>
      <c r="AC322" s="31"/>
      <c r="AD322" s="31"/>
      <c r="AE322" s="31">
        <v>0</v>
      </c>
      <c r="AF322" s="31">
        <v>0</v>
      </c>
      <c r="AG322" s="31">
        <v>0</v>
      </c>
      <c r="AH322" s="31"/>
      <c r="AI322" s="31">
        <v>0</v>
      </c>
      <c r="AJ322" s="31">
        <v>0</v>
      </c>
      <c r="AK322" s="359"/>
      <c r="AL322" s="359"/>
      <c r="AM322" s="359"/>
      <c r="AN322" s="31"/>
      <c r="AO322" s="31"/>
      <c r="AP322" s="31"/>
      <c r="AQ322" s="31" t="s">
        <v>1399</v>
      </c>
      <c r="AR322" s="424"/>
    </row>
    <row r="323" spans="1:44" ht="15" customHeight="1">
      <c r="A323" s="31">
        <v>1100109</v>
      </c>
      <c r="B323" s="5" t="s">
        <v>3638</v>
      </c>
      <c r="C323" s="224" t="s">
        <v>4247</v>
      </c>
      <c r="D323" s="31" t="s">
        <v>81</v>
      </c>
      <c r="E323" s="31" t="s">
        <v>1341</v>
      </c>
      <c r="F323" s="31">
        <v>6</v>
      </c>
      <c r="G323" s="31">
        <v>10</v>
      </c>
      <c r="H323" s="31" t="s">
        <v>136</v>
      </c>
      <c r="I323" s="5" t="s">
        <v>3640</v>
      </c>
      <c r="J323" s="31"/>
      <c r="K323" s="31"/>
      <c r="L323" s="414" t="s">
        <v>1401</v>
      </c>
      <c r="M323" s="343"/>
      <c r="N323" s="343"/>
      <c r="O323" s="414"/>
      <c r="P323" s="344"/>
      <c r="Q323" s="344">
        <v>0</v>
      </c>
      <c r="R323" s="344" t="s">
        <v>153</v>
      </c>
      <c r="S323" s="31">
        <v>1100109</v>
      </c>
      <c r="T323" s="417"/>
      <c r="U323" s="418"/>
      <c r="V323" s="344" t="s">
        <v>105</v>
      </c>
      <c r="W323" s="57" t="s">
        <v>4248</v>
      </c>
      <c r="X323" s="57" t="s">
        <v>4248</v>
      </c>
      <c r="Y323" s="344"/>
      <c r="Z323" s="344"/>
      <c r="AA323" s="344"/>
      <c r="AB323" s="344"/>
      <c r="AC323" s="31"/>
      <c r="AD323" s="31"/>
      <c r="AE323" s="31">
        <v>0</v>
      </c>
      <c r="AF323" s="31">
        <v>0</v>
      </c>
      <c r="AG323" s="31">
        <v>0</v>
      </c>
      <c r="AH323" s="31"/>
      <c r="AI323" s="31">
        <v>0</v>
      </c>
      <c r="AJ323" s="31">
        <v>0</v>
      </c>
      <c r="AK323" s="359"/>
      <c r="AL323" s="359"/>
      <c r="AM323" s="359"/>
      <c r="AN323" s="31"/>
      <c r="AO323" s="31"/>
      <c r="AP323" s="31"/>
      <c r="AQ323" s="31" t="s">
        <v>1403</v>
      </c>
      <c r="AR323" s="424"/>
    </row>
    <row r="324" spans="1:44" ht="15" customHeight="1">
      <c r="A324" s="31">
        <v>1100110</v>
      </c>
      <c r="B324" s="5" t="s">
        <v>3638</v>
      </c>
      <c r="C324" s="224" t="s">
        <v>4247</v>
      </c>
      <c r="D324" s="31" t="s">
        <v>81</v>
      </c>
      <c r="E324" s="31" t="s">
        <v>1341</v>
      </c>
      <c r="F324" s="31">
        <v>7</v>
      </c>
      <c r="G324" s="31">
        <v>10</v>
      </c>
      <c r="H324" s="31" t="s">
        <v>136</v>
      </c>
      <c r="I324" s="5" t="s">
        <v>3640</v>
      </c>
      <c r="J324" s="31"/>
      <c r="K324" s="31"/>
      <c r="L324" s="414" t="s">
        <v>1405</v>
      </c>
      <c r="M324" s="343"/>
      <c r="N324" s="343"/>
      <c r="O324" s="414"/>
      <c r="P324" s="344"/>
      <c r="Q324" s="344">
        <v>0</v>
      </c>
      <c r="R324" s="344" t="s">
        <v>153</v>
      </c>
      <c r="S324" s="31">
        <v>1100110</v>
      </c>
      <c r="T324" s="417"/>
      <c r="U324" s="418"/>
      <c r="V324" s="344" t="s">
        <v>105</v>
      </c>
      <c r="W324" s="57" t="s">
        <v>4249</v>
      </c>
      <c r="X324" s="57" t="s">
        <v>4249</v>
      </c>
      <c r="Y324" s="344"/>
      <c r="Z324" s="344"/>
      <c r="AA324" s="344"/>
      <c r="AB324" s="344"/>
      <c r="AC324" s="31"/>
      <c r="AD324" s="31"/>
      <c r="AE324" s="31">
        <v>0</v>
      </c>
      <c r="AF324" s="31">
        <v>0</v>
      </c>
      <c r="AG324" s="31">
        <v>0</v>
      </c>
      <c r="AH324" s="31"/>
      <c r="AI324" s="31">
        <v>0</v>
      </c>
      <c r="AJ324" s="31">
        <v>0</v>
      </c>
      <c r="AK324" s="359"/>
      <c r="AL324" s="359"/>
      <c r="AM324" s="359"/>
      <c r="AN324" s="31"/>
      <c r="AO324" s="31"/>
      <c r="AP324" s="31"/>
      <c r="AQ324" s="31" t="s">
        <v>1407</v>
      </c>
      <c r="AR324" s="424"/>
    </row>
    <row r="325" spans="1:44" ht="15" customHeight="1">
      <c r="A325" s="3">
        <v>1100111</v>
      </c>
      <c r="B325" s="5" t="s">
        <v>3638</v>
      </c>
      <c r="C325" s="224" t="s">
        <v>4250</v>
      </c>
      <c r="D325" s="3" t="s">
        <v>81</v>
      </c>
      <c r="E325" s="3" t="s">
        <v>1341</v>
      </c>
      <c r="F325" s="3">
        <v>8</v>
      </c>
      <c r="G325" s="3">
        <v>10</v>
      </c>
      <c r="H325" s="3" t="s">
        <v>136</v>
      </c>
      <c r="I325" s="5" t="s">
        <v>3640</v>
      </c>
      <c r="J325" s="3"/>
      <c r="K325" s="3"/>
      <c r="L325" s="236"/>
      <c r="M325" s="99"/>
      <c r="N325" s="99"/>
      <c r="O325" s="236"/>
      <c r="P325" s="22"/>
      <c r="Q325" s="22">
        <v>0</v>
      </c>
      <c r="R325" s="22" t="s">
        <v>153</v>
      </c>
      <c r="S325" s="3"/>
      <c r="T325" s="260"/>
      <c r="U325" s="261"/>
      <c r="V325" s="22"/>
      <c r="W325" s="57" t="s">
        <v>3665</v>
      </c>
      <c r="X325" s="57" t="s">
        <v>3665</v>
      </c>
      <c r="Y325" s="22"/>
      <c r="Z325" s="22"/>
      <c r="AA325" s="22"/>
      <c r="AB325" s="22" t="s">
        <v>114</v>
      </c>
      <c r="AC325" s="3"/>
      <c r="AD325" s="3"/>
      <c r="AE325" s="3">
        <v>0</v>
      </c>
      <c r="AF325" s="3">
        <v>0</v>
      </c>
      <c r="AG325" s="3">
        <v>0</v>
      </c>
      <c r="AH325" s="3"/>
      <c r="AI325" s="3">
        <v>0</v>
      </c>
      <c r="AJ325" s="3">
        <v>0</v>
      </c>
      <c r="AK325" s="3">
        <v>0</v>
      </c>
      <c r="AL325" s="3"/>
      <c r="AM325" s="3"/>
      <c r="AN325" s="3"/>
      <c r="AO325" s="3"/>
      <c r="AP325" s="3"/>
      <c r="AQ325" s="3" t="s">
        <v>1387</v>
      </c>
      <c r="AR325" s="281"/>
    </row>
    <row r="326" spans="1:44" ht="15" customHeight="1">
      <c r="A326" s="3">
        <v>1100112</v>
      </c>
      <c r="B326" s="5" t="s">
        <v>3638</v>
      </c>
      <c r="C326" s="224" t="s">
        <v>4251</v>
      </c>
      <c r="D326" s="3" t="s">
        <v>81</v>
      </c>
      <c r="E326" s="3" t="s">
        <v>1341</v>
      </c>
      <c r="F326" s="3">
        <v>9</v>
      </c>
      <c r="G326" s="3">
        <v>10</v>
      </c>
      <c r="H326" s="3" t="s">
        <v>136</v>
      </c>
      <c r="I326" s="5" t="s">
        <v>3640</v>
      </c>
      <c r="J326" s="3"/>
      <c r="K326" s="3"/>
      <c r="L326" s="236"/>
      <c r="M326" s="99"/>
      <c r="N326" s="99"/>
      <c r="O326" s="236"/>
      <c r="P326" s="22"/>
      <c r="Q326" s="22">
        <v>0</v>
      </c>
      <c r="R326" s="22" t="s">
        <v>153</v>
      </c>
      <c r="S326" s="3"/>
      <c r="T326" s="260"/>
      <c r="U326" s="261"/>
      <c r="V326" s="22"/>
      <c r="W326" s="57" t="s">
        <v>4252</v>
      </c>
      <c r="X326" s="57" t="s">
        <v>4252</v>
      </c>
      <c r="Y326" s="22"/>
      <c r="Z326" s="22"/>
      <c r="AA326" s="22"/>
      <c r="AB326" s="22" t="s">
        <v>114</v>
      </c>
      <c r="AC326" s="3"/>
      <c r="AD326" s="3"/>
      <c r="AE326" s="3">
        <v>0</v>
      </c>
      <c r="AF326" s="3">
        <v>0</v>
      </c>
      <c r="AG326" s="3">
        <v>0</v>
      </c>
      <c r="AH326" s="3"/>
      <c r="AI326" s="3">
        <v>0</v>
      </c>
      <c r="AJ326" s="3">
        <v>0</v>
      </c>
      <c r="AK326" s="3">
        <v>0</v>
      </c>
      <c r="AL326" s="3"/>
      <c r="AM326" s="3"/>
      <c r="AN326" s="3"/>
      <c r="AO326" s="3"/>
      <c r="AP326" s="3"/>
      <c r="AQ326" s="282" t="str">
        <f>"tricks/"&amp;A326</f>
        <v>tricks/1100112</v>
      </c>
    </row>
    <row r="327" spans="1:44" ht="15" customHeight="1">
      <c r="A327" s="3">
        <v>1100113</v>
      </c>
      <c r="B327" s="5" t="s">
        <v>3638</v>
      </c>
      <c r="C327" s="224" t="s">
        <v>4253</v>
      </c>
      <c r="D327" s="3" t="s">
        <v>81</v>
      </c>
      <c r="E327" s="3" t="s">
        <v>1341</v>
      </c>
      <c r="F327" s="3">
        <v>10</v>
      </c>
      <c r="G327" s="3">
        <v>10</v>
      </c>
      <c r="H327" s="3" t="s">
        <v>136</v>
      </c>
      <c r="I327" s="5" t="s">
        <v>3640</v>
      </c>
      <c r="J327" s="3"/>
      <c r="K327" s="3"/>
      <c r="L327" s="236"/>
      <c r="M327" s="99"/>
      <c r="N327" s="99"/>
      <c r="O327" s="236"/>
      <c r="P327" s="22"/>
      <c r="Q327" s="22">
        <v>0</v>
      </c>
      <c r="R327" s="22" t="s">
        <v>153</v>
      </c>
      <c r="S327" s="3"/>
      <c r="T327" s="260"/>
      <c r="U327" s="261"/>
      <c r="V327" s="22"/>
      <c r="W327" s="57" t="s">
        <v>4254</v>
      </c>
      <c r="X327" s="57" t="s">
        <v>4254</v>
      </c>
      <c r="Y327" s="22"/>
      <c r="Z327" s="22"/>
      <c r="AA327" s="22"/>
      <c r="AB327" s="22" t="s">
        <v>114</v>
      </c>
      <c r="AC327" s="3"/>
      <c r="AD327" s="3"/>
      <c r="AE327" s="3">
        <v>0</v>
      </c>
      <c r="AF327" s="3">
        <v>0</v>
      </c>
      <c r="AG327" s="3">
        <v>0</v>
      </c>
      <c r="AH327" s="3"/>
      <c r="AI327" s="3">
        <v>0</v>
      </c>
      <c r="AJ327" s="3">
        <v>0</v>
      </c>
      <c r="AK327" s="3">
        <v>0</v>
      </c>
      <c r="AL327" s="3"/>
      <c r="AM327" s="3"/>
      <c r="AN327" s="3"/>
      <c r="AO327" s="3"/>
      <c r="AP327" s="3"/>
      <c r="AQ327" s="282" t="str">
        <f>"tricks/"&amp;A327</f>
        <v>tricks/1100113</v>
      </c>
    </row>
    <row r="328" spans="1:44" ht="15" customHeight="1">
      <c r="A328" s="34">
        <v>1100201</v>
      </c>
      <c r="B328" s="5" t="s">
        <v>3638</v>
      </c>
      <c r="C328" s="224" t="s">
        <v>4255</v>
      </c>
      <c r="D328" s="34" t="s">
        <v>81</v>
      </c>
      <c r="E328" s="34" t="s">
        <v>1341</v>
      </c>
      <c r="F328" s="34">
        <v>1</v>
      </c>
      <c r="G328" s="34">
        <v>10</v>
      </c>
      <c r="H328" s="34" t="s">
        <v>82</v>
      </c>
      <c r="I328" s="5" t="s">
        <v>3640</v>
      </c>
      <c r="J328" s="34"/>
      <c r="K328" s="34">
        <v>1</v>
      </c>
      <c r="L328" s="412"/>
      <c r="M328" s="371"/>
      <c r="N328" s="371"/>
      <c r="O328" s="412"/>
      <c r="P328" s="130">
        <v>1</v>
      </c>
      <c r="Q328" s="130">
        <v>0</v>
      </c>
      <c r="R328" s="130" t="s">
        <v>85</v>
      </c>
      <c r="S328" s="34">
        <v>1100101</v>
      </c>
      <c r="T328" s="382" t="s">
        <v>1415</v>
      </c>
      <c r="U328" s="383" t="s">
        <v>1372</v>
      </c>
      <c r="V328" s="130" t="s">
        <v>582</v>
      </c>
      <c r="W328" s="57" t="s">
        <v>4256</v>
      </c>
      <c r="X328" s="57" t="s">
        <v>4256</v>
      </c>
      <c r="Y328" s="130"/>
      <c r="Z328" s="130"/>
      <c r="AA328" s="130">
        <v>1</v>
      </c>
      <c r="AB328" s="130" t="s">
        <v>90</v>
      </c>
      <c r="AC328" s="34"/>
      <c r="AD328" s="34"/>
      <c r="AE328" s="34">
        <v>1</v>
      </c>
      <c r="AF328" s="34">
        <v>2</v>
      </c>
      <c r="AG328" s="34">
        <v>6</v>
      </c>
      <c r="AH328" s="34"/>
      <c r="AI328" s="34">
        <v>39</v>
      </c>
      <c r="AJ328" s="34">
        <v>26</v>
      </c>
      <c r="AK328" s="131"/>
      <c r="AL328" s="131"/>
      <c r="AM328" s="131"/>
      <c r="AN328" s="34" t="s">
        <v>1417</v>
      </c>
      <c r="AO328" s="34"/>
      <c r="AP328" s="34"/>
      <c r="AQ328" s="34" t="s">
        <v>1418</v>
      </c>
      <c r="AR328" s="405">
        <v>316</v>
      </c>
    </row>
    <row r="329" spans="1:44" ht="15" customHeight="1">
      <c r="A329" s="34">
        <v>1100202</v>
      </c>
      <c r="B329" s="5" t="s">
        <v>3638</v>
      </c>
      <c r="C329" s="224" t="s">
        <v>4257</v>
      </c>
      <c r="D329" s="34" t="s">
        <v>81</v>
      </c>
      <c r="E329" s="34" t="s">
        <v>1341</v>
      </c>
      <c r="F329" s="34">
        <v>1</v>
      </c>
      <c r="G329" s="34">
        <v>10</v>
      </c>
      <c r="H329" s="34" t="s">
        <v>136</v>
      </c>
      <c r="I329" s="5" t="s">
        <v>3640</v>
      </c>
      <c r="J329" s="34"/>
      <c r="K329" s="34"/>
      <c r="L329" s="412"/>
      <c r="M329" s="371"/>
      <c r="N329" s="371"/>
      <c r="O329" s="412"/>
      <c r="P329" s="130"/>
      <c r="Q329" s="130">
        <v>0</v>
      </c>
      <c r="R329" s="130"/>
      <c r="S329" s="34">
        <v>1100102</v>
      </c>
      <c r="T329" s="382"/>
      <c r="U329" s="383"/>
      <c r="V329" s="130" t="s">
        <v>582</v>
      </c>
      <c r="W329" s="57" t="s">
        <v>4258</v>
      </c>
      <c r="X329" s="57" t="s">
        <v>4258</v>
      </c>
      <c r="Y329" s="130"/>
      <c r="Z329" s="130"/>
      <c r="AA329" s="130"/>
      <c r="AB329" s="130"/>
      <c r="AC329" s="34"/>
      <c r="AD329" s="34"/>
      <c r="AE329" s="34">
        <v>0</v>
      </c>
      <c r="AF329" s="34">
        <v>0</v>
      </c>
      <c r="AG329" s="34">
        <v>0</v>
      </c>
      <c r="AH329" s="34"/>
      <c r="AI329" s="34">
        <v>0</v>
      </c>
      <c r="AJ329" s="34">
        <v>0</v>
      </c>
      <c r="AK329" s="131"/>
      <c r="AL329" s="131"/>
      <c r="AM329" s="131"/>
      <c r="AN329" s="34"/>
      <c r="AO329" s="34"/>
      <c r="AP329" s="34"/>
      <c r="AQ329" s="34" t="s">
        <v>1421</v>
      </c>
      <c r="AR329" s="405"/>
    </row>
    <row r="330" spans="1:44" ht="15" customHeight="1">
      <c r="A330" s="34">
        <v>1100203</v>
      </c>
      <c r="B330" s="5" t="s">
        <v>3638</v>
      </c>
      <c r="C330" s="224" t="s">
        <v>4259</v>
      </c>
      <c r="D330" s="34" t="s">
        <v>81</v>
      </c>
      <c r="E330" s="34" t="s">
        <v>1341</v>
      </c>
      <c r="F330" s="34">
        <v>1</v>
      </c>
      <c r="G330" s="34">
        <v>10</v>
      </c>
      <c r="H330" s="34" t="s">
        <v>82</v>
      </c>
      <c r="I330" s="5" t="s">
        <v>3640</v>
      </c>
      <c r="J330" s="34"/>
      <c r="K330" s="34">
        <v>2</v>
      </c>
      <c r="L330" s="412"/>
      <c r="M330" s="371"/>
      <c r="N330" s="371"/>
      <c r="O330" s="412"/>
      <c r="P330" s="130">
        <v>1</v>
      </c>
      <c r="Q330" s="130">
        <v>0</v>
      </c>
      <c r="R330" s="130" t="s">
        <v>85</v>
      </c>
      <c r="S330" s="34">
        <v>1100103</v>
      </c>
      <c r="T330" s="262" t="s">
        <v>1423</v>
      </c>
      <c r="U330" s="383" t="s">
        <v>1372</v>
      </c>
      <c r="V330" s="130" t="s">
        <v>582</v>
      </c>
      <c r="W330" s="57" t="s">
        <v>4260</v>
      </c>
      <c r="X330" s="57" t="s">
        <v>4260</v>
      </c>
      <c r="Y330" s="130"/>
      <c r="Z330" s="130"/>
      <c r="AA330" s="130">
        <v>1</v>
      </c>
      <c r="AB330" s="130" t="s">
        <v>90</v>
      </c>
      <c r="AC330" s="34"/>
      <c r="AD330" s="34"/>
      <c r="AE330" s="34">
        <v>1</v>
      </c>
      <c r="AF330" s="34">
        <v>1</v>
      </c>
      <c r="AG330" s="34">
        <v>5</v>
      </c>
      <c r="AH330" s="34"/>
      <c r="AI330" s="34">
        <v>39</v>
      </c>
      <c r="AJ330" s="34">
        <v>26</v>
      </c>
      <c r="AK330" s="131"/>
      <c r="AL330" s="131"/>
      <c r="AM330" s="131"/>
      <c r="AN330" s="34" t="s">
        <v>1425</v>
      </c>
      <c r="AO330" s="34"/>
      <c r="AP330" s="34"/>
      <c r="AQ330" s="34" t="s">
        <v>1426</v>
      </c>
      <c r="AR330" s="405">
        <v>317</v>
      </c>
    </row>
    <row r="331" spans="1:44" ht="15" customHeight="1">
      <c r="A331" s="34">
        <v>1100204</v>
      </c>
      <c r="B331" s="5" t="s">
        <v>3638</v>
      </c>
      <c r="C331" s="224" t="s">
        <v>4261</v>
      </c>
      <c r="D331" s="34" t="s">
        <v>81</v>
      </c>
      <c r="E331" s="34" t="s">
        <v>1341</v>
      </c>
      <c r="F331" s="34">
        <v>2</v>
      </c>
      <c r="G331" s="34">
        <v>10</v>
      </c>
      <c r="H331" s="34" t="s">
        <v>136</v>
      </c>
      <c r="I331" s="5" t="s">
        <v>3640</v>
      </c>
      <c r="J331" s="34"/>
      <c r="K331" s="34"/>
      <c r="L331" s="412"/>
      <c r="M331" s="371"/>
      <c r="N331" s="371"/>
      <c r="O331" s="412"/>
      <c r="P331" s="130"/>
      <c r="Q331" s="130">
        <v>0</v>
      </c>
      <c r="R331" s="130"/>
      <c r="S331" s="34">
        <v>1100104</v>
      </c>
      <c r="T331" s="382"/>
      <c r="U331" s="383"/>
      <c r="V331" s="130" t="s">
        <v>582</v>
      </c>
      <c r="W331" s="57" t="s">
        <v>4262</v>
      </c>
      <c r="X331" s="57" t="s">
        <v>4262</v>
      </c>
      <c r="Y331" s="130"/>
      <c r="Z331" s="130"/>
      <c r="AA331" s="130"/>
      <c r="AB331" s="130"/>
      <c r="AC331" s="34"/>
      <c r="AD331" s="34"/>
      <c r="AE331" s="34">
        <v>0</v>
      </c>
      <c r="AF331" s="34">
        <v>0</v>
      </c>
      <c r="AG331" s="34">
        <v>0</v>
      </c>
      <c r="AH331" s="34"/>
      <c r="AI331" s="34">
        <v>0</v>
      </c>
      <c r="AJ331" s="34">
        <v>0</v>
      </c>
      <c r="AK331" s="131"/>
      <c r="AL331" s="131"/>
      <c r="AM331" s="131"/>
      <c r="AN331" s="34"/>
      <c r="AO331" s="34"/>
      <c r="AP331" s="34"/>
      <c r="AQ331" s="34" t="s">
        <v>1429</v>
      </c>
      <c r="AR331" s="405"/>
    </row>
    <row r="332" spans="1:44" ht="15" customHeight="1">
      <c r="A332" s="34">
        <v>1100205</v>
      </c>
      <c r="B332" s="5" t="s">
        <v>3638</v>
      </c>
      <c r="C332" s="224" t="s">
        <v>4263</v>
      </c>
      <c r="D332" s="34" t="s">
        <v>81</v>
      </c>
      <c r="E332" s="34" t="s">
        <v>1341</v>
      </c>
      <c r="F332" s="34">
        <v>1</v>
      </c>
      <c r="G332" s="34">
        <v>10</v>
      </c>
      <c r="H332" s="34" t="s">
        <v>82</v>
      </c>
      <c r="I332" s="5" t="s">
        <v>3640</v>
      </c>
      <c r="J332" s="34"/>
      <c r="K332" s="34">
        <v>3</v>
      </c>
      <c r="L332" s="412"/>
      <c r="M332" s="371"/>
      <c r="N332" s="371"/>
      <c r="O332" s="412"/>
      <c r="P332" s="130">
        <v>1</v>
      </c>
      <c r="Q332" s="130">
        <v>0</v>
      </c>
      <c r="R332" s="130" t="s">
        <v>85</v>
      </c>
      <c r="S332" s="34">
        <v>1100105</v>
      </c>
      <c r="T332" s="382" t="s">
        <v>1431</v>
      </c>
      <c r="U332" s="383" t="s">
        <v>1372</v>
      </c>
      <c r="V332" s="130" t="s">
        <v>582</v>
      </c>
      <c r="W332" s="57" t="s">
        <v>4264</v>
      </c>
      <c r="X332" s="57" t="s">
        <v>4264</v>
      </c>
      <c r="Y332" s="130"/>
      <c r="Z332" s="130"/>
      <c r="AA332" s="130">
        <v>1</v>
      </c>
      <c r="AB332" s="130" t="s">
        <v>90</v>
      </c>
      <c r="AC332" s="34"/>
      <c r="AD332" s="34"/>
      <c r="AE332" s="34">
        <v>1</v>
      </c>
      <c r="AF332" s="34">
        <v>1</v>
      </c>
      <c r="AG332" s="34">
        <v>5</v>
      </c>
      <c r="AH332" s="34"/>
      <c r="AI332" s="34">
        <v>39</v>
      </c>
      <c r="AJ332" s="34">
        <v>26</v>
      </c>
      <c r="AK332" s="131"/>
      <c r="AL332" s="131"/>
      <c r="AM332" s="131"/>
      <c r="AN332" s="435" t="s">
        <v>1433</v>
      </c>
      <c r="AO332" s="34"/>
      <c r="AP332" s="34"/>
      <c r="AQ332" s="34" t="s">
        <v>1434</v>
      </c>
      <c r="AR332" s="405">
        <v>318</v>
      </c>
    </row>
    <row r="333" spans="1:44" ht="15" customHeight="1">
      <c r="A333" s="34">
        <v>1100206</v>
      </c>
      <c r="B333" s="5" t="s">
        <v>3638</v>
      </c>
      <c r="C333" s="224" t="s">
        <v>4265</v>
      </c>
      <c r="D333" s="34" t="s">
        <v>81</v>
      </c>
      <c r="E333" s="34" t="s">
        <v>1341</v>
      </c>
      <c r="F333" s="34">
        <v>3</v>
      </c>
      <c r="G333" s="34">
        <v>10</v>
      </c>
      <c r="H333" s="34" t="s">
        <v>136</v>
      </c>
      <c r="I333" s="5" t="s">
        <v>3640</v>
      </c>
      <c r="J333" s="34"/>
      <c r="K333" s="34"/>
      <c r="L333" s="412"/>
      <c r="M333" s="371"/>
      <c r="N333" s="371"/>
      <c r="O333" s="412"/>
      <c r="P333" s="130"/>
      <c r="Q333" s="130">
        <v>0</v>
      </c>
      <c r="R333" s="130" t="s">
        <v>153</v>
      </c>
      <c r="S333" s="34">
        <v>1100106</v>
      </c>
      <c r="T333" s="382"/>
      <c r="U333" s="383"/>
      <c r="V333" s="130" t="s">
        <v>582</v>
      </c>
      <c r="W333" s="57" t="s">
        <v>4266</v>
      </c>
      <c r="X333" s="57" t="s">
        <v>4266</v>
      </c>
      <c r="Y333" s="130"/>
      <c r="Z333" s="130"/>
      <c r="AA333" s="130"/>
      <c r="AB333" s="130"/>
      <c r="AC333" s="34"/>
      <c r="AD333" s="34"/>
      <c r="AE333" s="34">
        <v>0</v>
      </c>
      <c r="AF333" s="34">
        <v>0</v>
      </c>
      <c r="AG333" s="34">
        <v>0</v>
      </c>
      <c r="AH333" s="34"/>
      <c r="AI333" s="34">
        <v>0</v>
      </c>
      <c r="AJ333" s="34">
        <v>0</v>
      </c>
      <c r="AK333" s="131"/>
      <c r="AL333" s="131"/>
      <c r="AM333" s="131"/>
      <c r="AN333" s="34"/>
      <c r="AO333" s="34"/>
      <c r="AP333" s="34"/>
      <c r="AQ333" s="34" t="s">
        <v>1437</v>
      </c>
      <c r="AR333" s="405"/>
    </row>
    <row r="334" spans="1:44" ht="15" customHeight="1">
      <c r="A334" s="34">
        <v>1100207</v>
      </c>
      <c r="B334" s="5" t="s">
        <v>3638</v>
      </c>
      <c r="C334" s="224" t="s">
        <v>4267</v>
      </c>
      <c r="D334" s="34" t="s">
        <v>81</v>
      </c>
      <c r="E334" s="34" t="s">
        <v>1341</v>
      </c>
      <c r="F334" s="34">
        <v>4</v>
      </c>
      <c r="G334" s="34">
        <v>10</v>
      </c>
      <c r="H334" s="34" t="s">
        <v>136</v>
      </c>
      <c r="I334" s="5" t="s">
        <v>3640</v>
      </c>
      <c r="J334" s="34"/>
      <c r="K334" s="34"/>
      <c r="L334" s="412"/>
      <c r="M334" s="371"/>
      <c r="N334" s="371"/>
      <c r="O334" s="412"/>
      <c r="P334" s="130"/>
      <c r="Q334" s="130">
        <v>0</v>
      </c>
      <c r="R334" s="130" t="s">
        <v>153</v>
      </c>
      <c r="S334" s="34">
        <v>1100107</v>
      </c>
      <c r="T334" s="382"/>
      <c r="U334" s="385"/>
      <c r="V334" s="130" t="s">
        <v>582</v>
      </c>
      <c r="W334" s="57" t="s">
        <v>4268</v>
      </c>
      <c r="X334" s="57" t="s">
        <v>4268</v>
      </c>
      <c r="Y334" s="130"/>
      <c r="Z334" s="130"/>
      <c r="AA334" s="130"/>
      <c r="AB334" s="130"/>
      <c r="AC334" s="34"/>
      <c r="AD334" s="34"/>
      <c r="AE334" s="34">
        <v>0</v>
      </c>
      <c r="AF334" s="34">
        <v>0</v>
      </c>
      <c r="AG334" s="34">
        <v>0</v>
      </c>
      <c r="AH334" s="34"/>
      <c r="AI334" s="34">
        <v>0</v>
      </c>
      <c r="AJ334" s="34">
        <v>0</v>
      </c>
      <c r="AK334" s="131"/>
      <c r="AL334" s="131"/>
      <c r="AM334" s="131"/>
      <c r="AN334" s="34"/>
      <c r="AO334" s="34"/>
      <c r="AP334" s="34"/>
      <c r="AQ334" s="34" t="s">
        <v>1440</v>
      </c>
      <c r="AR334" s="405"/>
    </row>
    <row r="335" spans="1:44" ht="15" customHeight="1">
      <c r="A335" s="34">
        <v>1100208</v>
      </c>
      <c r="B335" s="5" t="s">
        <v>3638</v>
      </c>
      <c r="C335" s="224" t="s">
        <v>4269</v>
      </c>
      <c r="D335" s="34" t="s">
        <v>81</v>
      </c>
      <c r="E335" s="34" t="s">
        <v>1341</v>
      </c>
      <c r="F335" s="34">
        <v>5</v>
      </c>
      <c r="G335" s="34">
        <v>10</v>
      </c>
      <c r="H335" s="34" t="s">
        <v>136</v>
      </c>
      <c r="I335" s="5" t="s">
        <v>3640</v>
      </c>
      <c r="J335" s="34"/>
      <c r="K335" s="34"/>
      <c r="L335" s="412"/>
      <c r="M335" s="371"/>
      <c r="N335" s="371"/>
      <c r="O335" s="412"/>
      <c r="P335" s="130"/>
      <c r="Q335" s="130">
        <v>0</v>
      </c>
      <c r="R335" s="130" t="s">
        <v>153</v>
      </c>
      <c r="S335" s="34">
        <v>1100108</v>
      </c>
      <c r="T335" s="382"/>
      <c r="U335" s="383"/>
      <c r="V335" s="130" t="s">
        <v>582</v>
      </c>
      <c r="W335" s="57" t="s">
        <v>4270</v>
      </c>
      <c r="X335" s="57" t="s">
        <v>4270</v>
      </c>
      <c r="Y335" s="130"/>
      <c r="Z335" s="130"/>
      <c r="AA335" s="130"/>
      <c r="AB335" s="130"/>
      <c r="AC335" s="34"/>
      <c r="AD335" s="34"/>
      <c r="AE335" s="34">
        <v>0</v>
      </c>
      <c r="AF335" s="34">
        <v>0</v>
      </c>
      <c r="AG335" s="34">
        <v>0</v>
      </c>
      <c r="AH335" s="34"/>
      <c r="AI335" s="34">
        <v>0</v>
      </c>
      <c r="AJ335" s="34">
        <v>0</v>
      </c>
      <c r="AK335" s="131"/>
      <c r="AL335" s="131"/>
      <c r="AM335" s="131"/>
      <c r="AN335" s="34"/>
      <c r="AO335" s="34"/>
      <c r="AP335" s="34"/>
      <c r="AQ335" s="34" t="s">
        <v>1443</v>
      </c>
      <c r="AR335" s="405"/>
    </row>
    <row r="336" spans="1:44" ht="15" customHeight="1">
      <c r="A336" s="34">
        <v>1100209</v>
      </c>
      <c r="B336" s="5" t="s">
        <v>3638</v>
      </c>
      <c r="C336" s="224" t="s">
        <v>4271</v>
      </c>
      <c r="D336" s="34" t="s">
        <v>81</v>
      </c>
      <c r="E336" s="34" t="s">
        <v>1341</v>
      </c>
      <c r="F336" s="34">
        <v>6</v>
      </c>
      <c r="G336" s="34">
        <v>10</v>
      </c>
      <c r="H336" s="34" t="s">
        <v>136</v>
      </c>
      <c r="I336" s="5" t="s">
        <v>3640</v>
      </c>
      <c r="J336" s="34"/>
      <c r="K336" s="34"/>
      <c r="L336" s="412"/>
      <c r="M336" s="371"/>
      <c r="N336" s="371"/>
      <c r="O336" s="412"/>
      <c r="P336" s="130"/>
      <c r="Q336" s="130">
        <v>0</v>
      </c>
      <c r="R336" s="130" t="s">
        <v>153</v>
      </c>
      <c r="S336" s="34">
        <v>1100109</v>
      </c>
      <c r="T336" s="382"/>
      <c r="U336" s="383"/>
      <c r="V336" s="130" t="s">
        <v>582</v>
      </c>
      <c r="W336" s="57" t="s">
        <v>4272</v>
      </c>
      <c r="X336" s="57" t="s">
        <v>4272</v>
      </c>
      <c r="Y336" s="130"/>
      <c r="Z336" s="130"/>
      <c r="AA336" s="130"/>
      <c r="AB336" s="130"/>
      <c r="AC336" s="34"/>
      <c r="AD336" s="34"/>
      <c r="AE336" s="34">
        <v>0</v>
      </c>
      <c r="AF336" s="34">
        <v>0</v>
      </c>
      <c r="AG336" s="34">
        <v>0</v>
      </c>
      <c r="AH336" s="34"/>
      <c r="AI336" s="34">
        <v>0</v>
      </c>
      <c r="AJ336" s="34">
        <v>0</v>
      </c>
      <c r="AK336" s="131"/>
      <c r="AL336" s="131"/>
      <c r="AM336" s="131"/>
      <c r="AN336" s="34"/>
      <c r="AO336" s="34"/>
      <c r="AP336" s="34"/>
      <c r="AQ336" s="34" t="s">
        <v>1446</v>
      </c>
      <c r="AR336" s="405"/>
    </row>
    <row r="337" spans="1:44" ht="15" customHeight="1">
      <c r="A337" s="34">
        <v>1100210</v>
      </c>
      <c r="B337" s="5" t="s">
        <v>3638</v>
      </c>
      <c r="C337" s="224" t="s">
        <v>4273</v>
      </c>
      <c r="D337" s="34" t="s">
        <v>81</v>
      </c>
      <c r="E337" s="34" t="s">
        <v>1341</v>
      </c>
      <c r="F337" s="34">
        <v>7</v>
      </c>
      <c r="G337" s="34">
        <v>10</v>
      </c>
      <c r="H337" s="34" t="s">
        <v>136</v>
      </c>
      <c r="I337" s="5" t="s">
        <v>3640</v>
      </c>
      <c r="J337" s="34"/>
      <c r="K337" s="34"/>
      <c r="L337" s="412"/>
      <c r="M337" s="371"/>
      <c r="N337" s="371"/>
      <c r="O337" s="412"/>
      <c r="P337" s="130"/>
      <c r="Q337" s="130">
        <v>0</v>
      </c>
      <c r="R337" s="130" t="s">
        <v>153</v>
      </c>
      <c r="S337" s="34">
        <v>1100110</v>
      </c>
      <c r="T337" s="382"/>
      <c r="U337" s="383"/>
      <c r="V337" s="130" t="s">
        <v>582</v>
      </c>
      <c r="W337" s="57" t="s">
        <v>4274</v>
      </c>
      <c r="X337" s="57" t="s">
        <v>4274</v>
      </c>
      <c r="Y337" s="130"/>
      <c r="Z337" s="130"/>
      <c r="AA337" s="130"/>
      <c r="AB337" s="130"/>
      <c r="AC337" s="34"/>
      <c r="AD337" s="34"/>
      <c r="AE337" s="34">
        <v>0</v>
      </c>
      <c r="AF337" s="34">
        <v>0</v>
      </c>
      <c r="AG337" s="34">
        <v>0</v>
      </c>
      <c r="AH337" s="34"/>
      <c r="AI337" s="34">
        <v>0</v>
      </c>
      <c r="AJ337" s="34">
        <v>0</v>
      </c>
      <c r="AK337" s="131"/>
      <c r="AL337" s="131"/>
      <c r="AM337" s="131"/>
      <c r="AN337" s="34"/>
      <c r="AO337" s="34"/>
      <c r="AP337" s="34"/>
      <c r="AQ337" s="34" t="s">
        <v>1449</v>
      </c>
      <c r="AR337" s="405"/>
    </row>
    <row r="338" spans="1:44" ht="15" customHeight="1">
      <c r="A338" s="3">
        <v>1100211</v>
      </c>
      <c r="B338" s="5" t="s">
        <v>3638</v>
      </c>
      <c r="C338" s="224" t="s">
        <v>4275</v>
      </c>
      <c r="D338" s="3" t="s">
        <v>81</v>
      </c>
      <c r="E338" s="3" t="s">
        <v>1341</v>
      </c>
      <c r="F338" s="3">
        <v>8</v>
      </c>
      <c r="G338" s="3">
        <v>10</v>
      </c>
      <c r="H338" s="3" t="s">
        <v>136</v>
      </c>
      <c r="I338" s="5" t="s">
        <v>3640</v>
      </c>
      <c r="J338" s="3"/>
      <c r="K338" s="3"/>
      <c r="L338" s="236"/>
      <c r="M338" s="99"/>
      <c r="N338" s="99"/>
      <c r="O338" s="236"/>
      <c r="P338" s="22"/>
      <c r="Q338" s="22">
        <v>0</v>
      </c>
      <c r="R338" s="22" t="s">
        <v>153</v>
      </c>
      <c r="S338" s="3"/>
      <c r="T338" s="260"/>
      <c r="U338" s="261"/>
      <c r="V338" s="22"/>
      <c r="W338" s="57" t="s">
        <v>3665</v>
      </c>
      <c r="X338" s="57" t="s">
        <v>3665</v>
      </c>
      <c r="Y338" s="22"/>
      <c r="Z338" s="22"/>
      <c r="AA338" s="22"/>
      <c r="AB338" s="22" t="s">
        <v>114</v>
      </c>
      <c r="AC338" s="3"/>
      <c r="AD338" s="3"/>
      <c r="AE338" s="3">
        <v>0</v>
      </c>
      <c r="AF338" s="3">
        <v>0</v>
      </c>
      <c r="AG338" s="3">
        <v>0</v>
      </c>
      <c r="AH338" s="3"/>
      <c r="AI338" s="3">
        <v>0</v>
      </c>
      <c r="AJ338" s="3">
        <v>0</v>
      </c>
      <c r="AK338" s="3">
        <v>0</v>
      </c>
      <c r="AL338" s="3"/>
      <c r="AM338" s="3"/>
      <c r="AN338" s="3"/>
      <c r="AO338" s="3"/>
      <c r="AP338" s="3"/>
      <c r="AQ338" s="3" t="s">
        <v>1434</v>
      </c>
      <c r="AR338" s="281"/>
    </row>
    <row r="339" spans="1:44" ht="15" customHeight="1">
      <c r="A339" s="3">
        <v>1100212</v>
      </c>
      <c r="B339" s="5" t="s">
        <v>3638</v>
      </c>
      <c r="C339" s="224" t="s">
        <v>4276</v>
      </c>
      <c r="D339" s="3" t="s">
        <v>81</v>
      </c>
      <c r="E339" s="3" t="s">
        <v>1341</v>
      </c>
      <c r="F339" s="3">
        <v>9</v>
      </c>
      <c r="G339" s="3">
        <v>10</v>
      </c>
      <c r="H339" s="3" t="s">
        <v>136</v>
      </c>
      <c r="I339" s="5" t="s">
        <v>3640</v>
      </c>
      <c r="J339" s="3"/>
      <c r="K339" s="3"/>
      <c r="L339" s="236"/>
      <c r="M339" s="99"/>
      <c r="N339" s="99"/>
      <c r="O339" s="236"/>
      <c r="P339" s="22"/>
      <c r="Q339" s="22">
        <v>0</v>
      </c>
      <c r="R339" s="22" t="s">
        <v>153</v>
      </c>
      <c r="S339" s="3"/>
      <c r="T339" s="260"/>
      <c r="U339" s="261"/>
      <c r="V339" s="22"/>
      <c r="W339" s="57" t="s">
        <v>4277</v>
      </c>
      <c r="X339" s="57" t="s">
        <v>4277</v>
      </c>
      <c r="Y339" s="22"/>
      <c r="Z339" s="22"/>
      <c r="AA339" s="22"/>
      <c r="AB339" s="22" t="s">
        <v>114</v>
      </c>
      <c r="AC339" s="3"/>
      <c r="AD339" s="3"/>
      <c r="AE339" s="3">
        <v>0</v>
      </c>
      <c r="AF339" s="3">
        <v>0</v>
      </c>
      <c r="AG339" s="3">
        <v>0</v>
      </c>
      <c r="AH339" s="3"/>
      <c r="AI339" s="3">
        <v>0</v>
      </c>
      <c r="AJ339" s="3">
        <v>0</v>
      </c>
      <c r="AK339" s="3">
        <v>0</v>
      </c>
      <c r="AL339" s="3"/>
      <c r="AM339" s="3"/>
      <c r="AN339" s="3"/>
      <c r="AO339" s="3"/>
      <c r="AP339" s="3"/>
      <c r="AQ339" s="282" t="str">
        <f t="shared" ref="AQ339:AQ366" si="3">"tricks/"&amp;A339</f>
        <v>tricks/1100212</v>
      </c>
    </row>
    <row r="340" spans="1:44" ht="15" customHeight="1">
      <c r="A340" s="3">
        <v>1100213</v>
      </c>
      <c r="B340" s="5" t="s">
        <v>3638</v>
      </c>
      <c r="C340" s="224" t="s">
        <v>4278</v>
      </c>
      <c r="D340" s="3" t="s">
        <v>81</v>
      </c>
      <c r="E340" s="3" t="s">
        <v>1341</v>
      </c>
      <c r="F340" s="3">
        <v>10</v>
      </c>
      <c r="G340" s="3">
        <v>10</v>
      </c>
      <c r="H340" s="3" t="s">
        <v>136</v>
      </c>
      <c r="I340" s="5" t="s">
        <v>3640</v>
      </c>
      <c r="J340" s="3"/>
      <c r="K340" s="3"/>
      <c r="L340" s="236"/>
      <c r="M340" s="99"/>
      <c r="N340" s="99"/>
      <c r="O340" s="236"/>
      <c r="P340" s="22"/>
      <c r="Q340" s="22">
        <v>0</v>
      </c>
      <c r="R340" s="22" t="s">
        <v>153</v>
      </c>
      <c r="S340" s="3"/>
      <c r="T340" s="260"/>
      <c r="U340" s="261"/>
      <c r="V340" s="22"/>
      <c r="W340" s="57" t="s">
        <v>4279</v>
      </c>
      <c r="X340" s="57" t="s">
        <v>4279</v>
      </c>
      <c r="Y340" s="22"/>
      <c r="Z340" s="22"/>
      <c r="AA340" s="22"/>
      <c r="AB340" s="22" t="s">
        <v>114</v>
      </c>
      <c r="AC340" s="3"/>
      <c r="AD340" s="3"/>
      <c r="AE340" s="3">
        <v>0</v>
      </c>
      <c r="AF340" s="3">
        <v>0</v>
      </c>
      <c r="AG340" s="3">
        <v>0</v>
      </c>
      <c r="AH340" s="3"/>
      <c r="AI340" s="3">
        <v>0</v>
      </c>
      <c r="AJ340" s="3">
        <v>0</v>
      </c>
      <c r="AK340" s="3">
        <v>0</v>
      </c>
      <c r="AL340" s="3"/>
      <c r="AM340" s="3"/>
      <c r="AN340" s="3"/>
      <c r="AO340" s="3"/>
      <c r="AP340" s="3"/>
      <c r="AQ340" s="282" t="str">
        <f t="shared" si="3"/>
        <v>tricks/1100213</v>
      </c>
    </row>
    <row r="341" spans="1:44" ht="15" customHeight="1">
      <c r="A341" s="34">
        <v>1100301</v>
      </c>
      <c r="B341" s="5" t="s">
        <v>3638</v>
      </c>
      <c r="C341" s="224" t="s">
        <v>4280</v>
      </c>
      <c r="D341" s="34" t="s">
        <v>81</v>
      </c>
      <c r="E341" s="34" t="s">
        <v>1341</v>
      </c>
      <c r="F341" s="34">
        <v>1</v>
      </c>
      <c r="G341" s="34">
        <v>10</v>
      </c>
      <c r="H341" s="34" t="s">
        <v>82</v>
      </c>
      <c r="I341" s="5" t="s">
        <v>3640</v>
      </c>
      <c r="J341" s="34"/>
      <c r="K341" s="34">
        <v>1</v>
      </c>
      <c r="L341" s="412"/>
      <c r="M341" s="371"/>
      <c r="N341" s="371"/>
      <c r="O341" s="412"/>
      <c r="P341" s="130">
        <v>1</v>
      </c>
      <c r="Q341" s="130">
        <v>0</v>
      </c>
      <c r="R341" s="130" t="s">
        <v>85</v>
      </c>
      <c r="S341" s="34">
        <v>1100101</v>
      </c>
      <c r="T341" s="382" t="s">
        <v>1457</v>
      </c>
      <c r="U341" s="383" t="s">
        <v>1372</v>
      </c>
      <c r="V341" s="130" t="s">
        <v>582</v>
      </c>
      <c r="W341" s="57" t="s">
        <v>4281</v>
      </c>
      <c r="X341" s="57" t="s">
        <v>4281</v>
      </c>
      <c r="Y341" s="130"/>
      <c r="Z341" s="130"/>
      <c r="AA341" s="130">
        <v>1</v>
      </c>
      <c r="AB341" s="130" t="s">
        <v>90</v>
      </c>
      <c r="AC341" s="34"/>
      <c r="AD341" s="34"/>
      <c r="AE341" s="34">
        <v>1</v>
      </c>
      <c r="AF341" s="34">
        <v>2</v>
      </c>
      <c r="AG341" s="34">
        <v>6</v>
      </c>
      <c r="AH341" s="34"/>
      <c r="AI341" s="34">
        <v>39</v>
      </c>
      <c r="AJ341" s="34">
        <v>26</v>
      </c>
      <c r="AK341" s="131"/>
      <c r="AL341" s="131"/>
      <c r="AM341" s="131"/>
      <c r="AN341" s="34" t="s">
        <v>1459</v>
      </c>
      <c r="AO341" s="34"/>
      <c r="AP341" s="34"/>
      <c r="AQ341" s="8" t="str">
        <f t="shared" si="3"/>
        <v>tricks/1100301</v>
      </c>
      <c r="AR341" s="405">
        <v>363</v>
      </c>
    </row>
    <row r="342" spans="1:44" ht="15" customHeight="1">
      <c r="A342" s="34">
        <v>1100302</v>
      </c>
      <c r="B342" s="5" t="s">
        <v>3638</v>
      </c>
      <c r="C342" s="224" t="s">
        <v>4282</v>
      </c>
      <c r="D342" s="34" t="s">
        <v>81</v>
      </c>
      <c r="E342" s="34" t="s">
        <v>1341</v>
      </c>
      <c r="F342" s="34">
        <v>1</v>
      </c>
      <c r="G342" s="34">
        <v>10</v>
      </c>
      <c r="H342" s="34" t="s">
        <v>136</v>
      </c>
      <c r="I342" s="5" t="s">
        <v>3640</v>
      </c>
      <c r="J342" s="34"/>
      <c r="K342" s="34"/>
      <c r="L342" s="412"/>
      <c r="M342" s="371"/>
      <c r="N342" s="371"/>
      <c r="O342" s="412"/>
      <c r="P342" s="130"/>
      <c r="Q342" s="130">
        <v>0</v>
      </c>
      <c r="R342" s="130"/>
      <c r="S342" s="34">
        <v>1100102</v>
      </c>
      <c r="T342" s="382"/>
      <c r="U342" s="383"/>
      <c r="V342" s="130" t="s">
        <v>582</v>
      </c>
      <c r="W342" s="57" t="s">
        <v>4283</v>
      </c>
      <c r="X342" s="57" t="s">
        <v>4283</v>
      </c>
      <c r="Y342" s="130"/>
      <c r="Z342" s="130"/>
      <c r="AA342" s="130"/>
      <c r="AB342" s="130"/>
      <c r="AC342" s="34"/>
      <c r="AD342" s="34"/>
      <c r="AE342" s="34">
        <v>0</v>
      </c>
      <c r="AF342" s="34">
        <v>0</v>
      </c>
      <c r="AG342" s="34">
        <v>0</v>
      </c>
      <c r="AH342" s="34"/>
      <c r="AI342" s="34">
        <v>0</v>
      </c>
      <c r="AJ342" s="34">
        <v>0</v>
      </c>
      <c r="AK342" s="131"/>
      <c r="AL342" s="131"/>
      <c r="AM342" s="131"/>
      <c r="AN342" s="34"/>
      <c r="AO342" s="34"/>
      <c r="AP342" s="34"/>
      <c r="AQ342" s="8" t="str">
        <f t="shared" si="3"/>
        <v>tricks/1100302</v>
      </c>
      <c r="AR342" s="405"/>
    </row>
    <row r="343" spans="1:44" ht="15" customHeight="1">
      <c r="A343" s="34">
        <v>1100303</v>
      </c>
      <c r="B343" s="5" t="s">
        <v>3638</v>
      </c>
      <c r="C343" s="224" t="s">
        <v>4284</v>
      </c>
      <c r="D343" s="34" t="s">
        <v>81</v>
      </c>
      <c r="E343" s="34" t="s">
        <v>1341</v>
      </c>
      <c r="F343" s="34">
        <v>1</v>
      </c>
      <c r="G343" s="34">
        <v>10</v>
      </c>
      <c r="H343" s="34" t="s">
        <v>82</v>
      </c>
      <c r="I343" s="5" t="s">
        <v>3640</v>
      </c>
      <c r="J343" s="34"/>
      <c r="K343" s="34">
        <v>2</v>
      </c>
      <c r="L343" s="412"/>
      <c r="M343" s="371"/>
      <c r="N343" s="371"/>
      <c r="O343" s="412"/>
      <c r="P343" s="130">
        <v>1</v>
      </c>
      <c r="Q343" s="130">
        <v>0</v>
      </c>
      <c r="R343" s="130" t="s">
        <v>85</v>
      </c>
      <c r="S343" s="34">
        <v>1100103</v>
      </c>
      <c r="T343" s="262" t="s">
        <v>1463</v>
      </c>
      <c r="U343" s="383" t="s">
        <v>1372</v>
      </c>
      <c r="V343" s="130" t="s">
        <v>582</v>
      </c>
      <c r="W343" s="57" t="s">
        <v>4285</v>
      </c>
      <c r="X343" s="57" t="s">
        <v>4285</v>
      </c>
      <c r="Y343" s="130"/>
      <c r="Z343" s="130"/>
      <c r="AA343" s="130">
        <v>1</v>
      </c>
      <c r="AB343" s="130" t="s">
        <v>90</v>
      </c>
      <c r="AC343" s="34"/>
      <c r="AD343" s="34"/>
      <c r="AE343" s="34">
        <v>1</v>
      </c>
      <c r="AF343" s="34">
        <v>1</v>
      </c>
      <c r="AG343" s="34">
        <v>5</v>
      </c>
      <c r="AH343" s="34"/>
      <c r="AI343" s="34">
        <v>39</v>
      </c>
      <c r="AJ343" s="34">
        <v>26</v>
      </c>
      <c r="AK343" s="131"/>
      <c r="AL343" s="131"/>
      <c r="AM343" s="131"/>
      <c r="AN343" s="34" t="s">
        <v>1465</v>
      </c>
      <c r="AO343" s="34"/>
      <c r="AP343" s="34"/>
      <c r="AQ343" s="8" t="str">
        <f t="shared" si="3"/>
        <v>tricks/1100303</v>
      </c>
      <c r="AR343" s="405">
        <v>364</v>
      </c>
    </row>
    <row r="344" spans="1:44" ht="15" customHeight="1">
      <c r="A344" s="34">
        <v>1100304</v>
      </c>
      <c r="B344" s="5" t="s">
        <v>3638</v>
      </c>
      <c r="C344" s="224" t="s">
        <v>4286</v>
      </c>
      <c r="D344" s="34" t="s">
        <v>81</v>
      </c>
      <c r="E344" s="34" t="s">
        <v>1341</v>
      </c>
      <c r="F344" s="34">
        <v>2</v>
      </c>
      <c r="G344" s="34">
        <v>10</v>
      </c>
      <c r="H344" s="34" t="s">
        <v>136</v>
      </c>
      <c r="I344" s="5" t="s">
        <v>3640</v>
      </c>
      <c r="J344" s="34"/>
      <c r="K344" s="34"/>
      <c r="L344" s="412"/>
      <c r="M344" s="371"/>
      <c r="N344" s="371"/>
      <c r="O344" s="412"/>
      <c r="P344" s="130"/>
      <c r="Q344" s="130">
        <v>0</v>
      </c>
      <c r="R344" s="130"/>
      <c r="S344" s="34">
        <v>1100104</v>
      </c>
      <c r="T344" s="382"/>
      <c r="U344" s="383"/>
      <c r="V344" s="130" t="s">
        <v>582</v>
      </c>
      <c r="W344" s="57" t="s">
        <v>4287</v>
      </c>
      <c r="X344" s="57" t="s">
        <v>4287</v>
      </c>
      <c r="Y344" s="130"/>
      <c r="Z344" s="130"/>
      <c r="AA344" s="130"/>
      <c r="AB344" s="130"/>
      <c r="AC344" s="34"/>
      <c r="AD344" s="34"/>
      <c r="AE344" s="34">
        <v>0</v>
      </c>
      <c r="AF344" s="34">
        <v>0</v>
      </c>
      <c r="AG344" s="34">
        <v>0</v>
      </c>
      <c r="AH344" s="34"/>
      <c r="AI344" s="34">
        <v>0</v>
      </c>
      <c r="AJ344" s="34">
        <v>0</v>
      </c>
      <c r="AK344" s="131"/>
      <c r="AL344" s="131"/>
      <c r="AM344" s="131"/>
      <c r="AN344" s="34"/>
      <c r="AO344" s="34"/>
      <c r="AP344" s="34"/>
      <c r="AQ344" s="8" t="str">
        <f t="shared" si="3"/>
        <v>tricks/1100304</v>
      </c>
      <c r="AR344" s="405"/>
    </row>
    <row r="345" spans="1:44" ht="15" customHeight="1">
      <c r="A345" s="34">
        <v>1100305</v>
      </c>
      <c r="B345" s="5" t="s">
        <v>3638</v>
      </c>
      <c r="C345" s="224" t="s">
        <v>4288</v>
      </c>
      <c r="D345" s="34" t="s">
        <v>81</v>
      </c>
      <c r="E345" s="34" t="s">
        <v>1341</v>
      </c>
      <c r="F345" s="34">
        <v>1</v>
      </c>
      <c r="G345" s="34">
        <v>10</v>
      </c>
      <c r="H345" s="34" t="s">
        <v>82</v>
      </c>
      <c r="I345" s="5" t="s">
        <v>3640</v>
      </c>
      <c r="J345" s="34"/>
      <c r="K345" s="34">
        <v>3</v>
      </c>
      <c r="L345" s="412"/>
      <c r="M345" s="371"/>
      <c r="N345" s="371"/>
      <c r="O345" s="412"/>
      <c r="P345" s="130">
        <v>1</v>
      </c>
      <c r="Q345" s="130">
        <v>0</v>
      </c>
      <c r="R345" s="130" t="s">
        <v>85</v>
      </c>
      <c r="S345" s="34">
        <v>1100105</v>
      </c>
      <c r="T345" s="382" t="s">
        <v>1469</v>
      </c>
      <c r="U345" s="383" t="s">
        <v>1372</v>
      </c>
      <c r="V345" s="130" t="s">
        <v>582</v>
      </c>
      <c r="W345" s="57" t="s">
        <v>4289</v>
      </c>
      <c r="X345" s="57" t="s">
        <v>4289</v>
      </c>
      <c r="Y345" s="130"/>
      <c r="Z345" s="130"/>
      <c r="AA345" s="130">
        <v>1</v>
      </c>
      <c r="AB345" s="130" t="s">
        <v>90</v>
      </c>
      <c r="AC345" s="34"/>
      <c r="AD345" s="34"/>
      <c r="AE345" s="34">
        <v>1</v>
      </c>
      <c r="AF345" s="34">
        <v>1</v>
      </c>
      <c r="AG345" s="34">
        <v>5</v>
      </c>
      <c r="AH345" s="34"/>
      <c r="AI345" s="34">
        <v>39</v>
      </c>
      <c r="AJ345" s="34">
        <v>26</v>
      </c>
      <c r="AK345" s="131"/>
      <c r="AL345" s="131"/>
      <c r="AM345" s="131"/>
      <c r="AN345" s="34" t="s">
        <v>1471</v>
      </c>
      <c r="AO345" s="34"/>
      <c r="AP345" s="34"/>
      <c r="AQ345" s="8" t="str">
        <f t="shared" si="3"/>
        <v>tricks/1100305</v>
      </c>
      <c r="AR345" s="405">
        <v>365</v>
      </c>
    </row>
    <row r="346" spans="1:44" ht="15" customHeight="1">
      <c r="A346" s="34">
        <v>1100306</v>
      </c>
      <c r="B346" s="5" t="s">
        <v>3638</v>
      </c>
      <c r="C346" s="224" t="s">
        <v>4290</v>
      </c>
      <c r="D346" s="34" t="s">
        <v>81</v>
      </c>
      <c r="E346" s="34" t="s">
        <v>1341</v>
      </c>
      <c r="F346" s="34">
        <v>3</v>
      </c>
      <c r="G346" s="34">
        <v>10</v>
      </c>
      <c r="H346" s="34" t="s">
        <v>136</v>
      </c>
      <c r="I346" s="5" t="s">
        <v>3640</v>
      </c>
      <c r="J346" s="34"/>
      <c r="K346" s="34"/>
      <c r="L346" s="412"/>
      <c r="M346" s="371"/>
      <c r="N346" s="371"/>
      <c r="O346" s="412"/>
      <c r="P346" s="130"/>
      <c r="Q346" s="130">
        <v>0</v>
      </c>
      <c r="R346" s="130" t="s">
        <v>153</v>
      </c>
      <c r="S346" s="34">
        <v>1100106</v>
      </c>
      <c r="T346" s="382"/>
      <c r="U346" s="383"/>
      <c r="V346" s="130" t="s">
        <v>582</v>
      </c>
      <c r="W346" s="57" t="s">
        <v>4291</v>
      </c>
      <c r="X346" s="57" t="s">
        <v>4291</v>
      </c>
      <c r="Y346" s="130"/>
      <c r="Z346" s="130"/>
      <c r="AA346" s="130"/>
      <c r="AB346" s="130"/>
      <c r="AC346" s="34"/>
      <c r="AD346" s="34"/>
      <c r="AE346" s="34">
        <v>0</v>
      </c>
      <c r="AF346" s="34">
        <v>0</v>
      </c>
      <c r="AG346" s="34">
        <v>0</v>
      </c>
      <c r="AH346" s="34"/>
      <c r="AI346" s="34">
        <v>0</v>
      </c>
      <c r="AJ346" s="34">
        <v>0</v>
      </c>
      <c r="AK346" s="131"/>
      <c r="AL346" s="131"/>
      <c r="AM346" s="131"/>
      <c r="AN346" s="34"/>
      <c r="AO346" s="34"/>
      <c r="AP346" s="34"/>
      <c r="AQ346" s="8" t="str">
        <f t="shared" si="3"/>
        <v>tricks/1100306</v>
      </c>
      <c r="AR346" s="405"/>
    </row>
    <row r="347" spans="1:44" ht="15" customHeight="1">
      <c r="A347" s="34">
        <v>1100307</v>
      </c>
      <c r="B347" s="5" t="s">
        <v>3638</v>
      </c>
      <c r="C347" s="224" t="s">
        <v>4292</v>
      </c>
      <c r="D347" s="34" t="s">
        <v>81</v>
      </c>
      <c r="E347" s="34" t="s">
        <v>1341</v>
      </c>
      <c r="F347" s="34">
        <v>4</v>
      </c>
      <c r="G347" s="34">
        <v>10</v>
      </c>
      <c r="H347" s="34" t="s">
        <v>136</v>
      </c>
      <c r="I347" s="5" t="s">
        <v>3640</v>
      </c>
      <c r="J347" s="34"/>
      <c r="K347" s="34"/>
      <c r="L347" s="412"/>
      <c r="M347" s="371"/>
      <c r="N347" s="371"/>
      <c r="O347" s="412"/>
      <c r="P347" s="130"/>
      <c r="Q347" s="130">
        <v>0</v>
      </c>
      <c r="R347" s="130" t="s">
        <v>153</v>
      </c>
      <c r="S347" s="34">
        <v>1100107</v>
      </c>
      <c r="T347" s="382"/>
      <c r="U347" s="385"/>
      <c r="V347" s="130" t="s">
        <v>582</v>
      </c>
      <c r="W347" s="57" t="s">
        <v>4293</v>
      </c>
      <c r="X347" s="57" t="s">
        <v>4293</v>
      </c>
      <c r="Y347" s="130"/>
      <c r="Z347" s="130"/>
      <c r="AA347" s="130"/>
      <c r="AB347" s="130"/>
      <c r="AC347" s="34"/>
      <c r="AD347" s="34"/>
      <c r="AE347" s="34">
        <v>0</v>
      </c>
      <c r="AF347" s="34">
        <v>0</v>
      </c>
      <c r="AG347" s="34">
        <v>0</v>
      </c>
      <c r="AH347" s="34"/>
      <c r="AI347" s="34">
        <v>0</v>
      </c>
      <c r="AJ347" s="34">
        <v>0</v>
      </c>
      <c r="AK347" s="131"/>
      <c r="AL347" s="131"/>
      <c r="AM347" s="131"/>
      <c r="AN347" s="34"/>
      <c r="AO347" s="34"/>
      <c r="AP347" s="34"/>
      <c r="AQ347" s="8" t="str">
        <f t="shared" si="3"/>
        <v>tricks/1100307</v>
      </c>
      <c r="AR347" s="405"/>
    </row>
    <row r="348" spans="1:44" ht="15" customHeight="1">
      <c r="A348" s="34">
        <v>1100308</v>
      </c>
      <c r="B348" s="5" t="s">
        <v>3638</v>
      </c>
      <c r="C348" s="224" t="s">
        <v>4294</v>
      </c>
      <c r="D348" s="34" t="s">
        <v>81</v>
      </c>
      <c r="E348" s="34" t="s">
        <v>1341</v>
      </c>
      <c r="F348" s="34">
        <v>5</v>
      </c>
      <c r="G348" s="34">
        <v>10</v>
      </c>
      <c r="H348" s="34" t="s">
        <v>136</v>
      </c>
      <c r="I348" s="5" t="s">
        <v>3640</v>
      </c>
      <c r="J348" s="34"/>
      <c r="K348" s="34"/>
      <c r="L348" s="412"/>
      <c r="M348" s="371"/>
      <c r="N348" s="371"/>
      <c r="O348" s="412"/>
      <c r="P348" s="130"/>
      <c r="Q348" s="130">
        <v>0</v>
      </c>
      <c r="R348" s="130" t="s">
        <v>153</v>
      </c>
      <c r="S348" s="34">
        <v>1100108</v>
      </c>
      <c r="T348" s="382"/>
      <c r="U348" s="383"/>
      <c r="V348" s="130" t="s">
        <v>582</v>
      </c>
      <c r="W348" s="57" t="s">
        <v>4295</v>
      </c>
      <c r="X348" s="57" t="s">
        <v>4295</v>
      </c>
      <c r="Y348" s="130"/>
      <c r="Z348" s="130"/>
      <c r="AA348" s="130"/>
      <c r="AB348" s="130"/>
      <c r="AC348" s="34"/>
      <c r="AD348" s="34"/>
      <c r="AE348" s="34">
        <v>0</v>
      </c>
      <c r="AF348" s="34">
        <v>0</v>
      </c>
      <c r="AG348" s="34">
        <v>0</v>
      </c>
      <c r="AH348" s="34"/>
      <c r="AI348" s="34">
        <v>0</v>
      </c>
      <c r="AJ348" s="34">
        <v>0</v>
      </c>
      <c r="AK348" s="131"/>
      <c r="AL348" s="131"/>
      <c r="AM348" s="131"/>
      <c r="AN348" s="34"/>
      <c r="AO348" s="34"/>
      <c r="AP348" s="34"/>
      <c r="AQ348" s="8" t="str">
        <f t="shared" si="3"/>
        <v>tricks/1100308</v>
      </c>
      <c r="AR348" s="405"/>
    </row>
    <row r="349" spans="1:44" ht="15" customHeight="1">
      <c r="A349" s="34">
        <v>1100309</v>
      </c>
      <c r="B349" s="5" t="s">
        <v>3638</v>
      </c>
      <c r="C349" s="224" t="s">
        <v>4296</v>
      </c>
      <c r="D349" s="34" t="s">
        <v>81</v>
      </c>
      <c r="E349" s="34" t="s">
        <v>1341</v>
      </c>
      <c r="F349" s="34">
        <v>6</v>
      </c>
      <c r="G349" s="34">
        <v>10</v>
      </c>
      <c r="H349" s="34" t="s">
        <v>136</v>
      </c>
      <c r="I349" s="5" t="s">
        <v>3640</v>
      </c>
      <c r="J349" s="34"/>
      <c r="K349" s="34"/>
      <c r="L349" s="412"/>
      <c r="M349" s="371"/>
      <c r="N349" s="371"/>
      <c r="O349" s="412"/>
      <c r="P349" s="130"/>
      <c r="Q349" s="130">
        <v>0</v>
      </c>
      <c r="R349" s="130" t="s">
        <v>153</v>
      </c>
      <c r="S349" s="34">
        <v>1100109</v>
      </c>
      <c r="T349" s="382"/>
      <c r="U349" s="383"/>
      <c r="V349" s="130" t="s">
        <v>582</v>
      </c>
      <c r="W349" s="57" t="s">
        <v>4297</v>
      </c>
      <c r="X349" s="57" t="s">
        <v>4297</v>
      </c>
      <c r="Y349" s="130"/>
      <c r="Z349" s="130"/>
      <c r="AA349" s="130"/>
      <c r="AB349" s="130"/>
      <c r="AC349" s="34"/>
      <c r="AD349" s="34"/>
      <c r="AE349" s="34">
        <v>0</v>
      </c>
      <c r="AF349" s="34">
        <v>0</v>
      </c>
      <c r="AG349" s="34">
        <v>0</v>
      </c>
      <c r="AH349" s="34"/>
      <c r="AI349" s="34">
        <v>0</v>
      </c>
      <c r="AJ349" s="34">
        <v>0</v>
      </c>
      <c r="AK349" s="131"/>
      <c r="AL349" s="131"/>
      <c r="AM349" s="131"/>
      <c r="AN349" s="34"/>
      <c r="AO349" s="34"/>
      <c r="AP349" s="34"/>
      <c r="AQ349" s="8" t="str">
        <f t="shared" si="3"/>
        <v>tricks/1100309</v>
      </c>
      <c r="AR349" s="405"/>
    </row>
    <row r="350" spans="1:44" ht="15" customHeight="1">
      <c r="A350" s="34">
        <v>1100310</v>
      </c>
      <c r="B350" s="5" t="s">
        <v>3638</v>
      </c>
      <c r="C350" s="224" t="s">
        <v>4298</v>
      </c>
      <c r="D350" s="34" t="s">
        <v>81</v>
      </c>
      <c r="E350" s="34" t="s">
        <v>1341</v>
      </c>
      <c r="F350" s="34">
        <v>7</v>
      </c>
      <c r="G350" s="34">
        <v>10</v>
      </c>
      <c r="H350" s="34" t="s">
        <v>136</v>
      </c>
      <c r="I350" s="5" t="s">
        <v>3640</v>
      </c>
      <c r="J350" s="34"/>
      <c r="K350" s="34"/>
      <c r="L350" s="412"/>
      <c r="M350" s="371"/>
      <c r="N350" s="371"/>
      <c r="O350" s="412"/>
      <c r="P350" s="130"/>
      <c r="Q350" s="130">
        <v>0</v>
      </c>
      <c r="R350" s="130" t="s">
        <v>153</v>
      </c>
      <c r="S350" s="34">
        <v>1100110</v>
      </c>
      <c r="T350" s="382"/>
      <c r="U350" s="383"/>
      <c r="V350" s="130" t="s">
        <v>582</v>
      </c>
      <c r="W350" s="57" t="s">
        <v>4299</v>
      </c>
      <c r="X350" s="57" t="s">
        <v>4299</v>
      </c>
      <c r="Y350" s="130"/>
      <c r="Z350" s="130"/>
      <c r="AA350" s="130"/>
      <c r="AB350" s="130"/>
      <c r="AC350" s="34"/>
      <c r="AD350" s="34"/>
      <c r="AE350" s="34">
        <v>0</v>
      </c>
      <c r="AF350" s="34">
        <v>0</v>
      </c>
      <c r="AG350" s="34">
        <v>0</v>
      </c>
      <c r="AH350" s="34"/>
      <c r="AI350" s="34">
        <v>0</v>
      </c>
      <c r="AJ350" s="34">
        <v>0</v>
      </c>
      <c r="AK350" s="131"/>
      <c r="AL350" s="131"/>
      <c r="AM350" s="131"/>
      <c r="AN350" s="34"/>
      <c r="AO350" s="34"/>
      <c r="AP350" s="34"/>
      <c r="AQ350" s="8" t="str">
        <f t="shared" si="3"/>
        <v>tricks/1100310</v>
      </c>
      <c r="AR350" s="405"/>
    </row>
    <row r="351" spans="1:44" ht="15" customHeight="1">
      <c r="A351" s="3">
        <v>1100311</v>
      </c>
      <c r="B351" s="5" t="s">
        <v>3638</v>
      </c>
      <c r="C351" s="224" t="s">
        <v>4300</v>
      </c>
      <c r="D351" s="3" t="s">
        <v>81</v>
      </c>
      <c r="E351" s="3" t="s">
        <v>1341</v>
      </c>
      <c r="F351" s="3">
        <v>8</v>
      </c>
      <c r="G351" s="3">
        <v>10</v>
      </c>
      <c r="H351" s="3" t="s">
        <v>136</v>
      </c>
      <c r="I351" s="5" t="s">
        <v>3640</v>
      </c>
      <c r="J351" s="3"/>
      <c r="K351" s="3"/>
      <c r="L351" s="236"/>
      <c r="M351" s="99"/>
      <c r="N351" s="99"/>
      <c r="O351" s="236"/>
      <c r="P351" s="22"/>
      <c r="Q351" s="22">
        <v>0</v>
      </c>
      <c r="R351" s="22" t="s">
        <v>153</v>
      </c>
      <c r="S351" s="3"/>
      <c r="T351" s="260"/>
      <c r="U351" s="261"/>
      <c r="V351" s="22"/>
      <c r="W351" s="57" t="s">
        <v>3665</v>
      </c>
      <c r="X351" s="57" t="s">
        <v>3665</v>
      </c>
      <c r="Y351" s="22"/>
      <c r="Z351" s="22"/>
      <c r="AA351" s="22"/>
      <c r="AB351" s="22" t="s">
        <v>114</v>
      </c>
      <c r="AC351" s="3"/>
      <c r="AD351" s="3"/>
      <c r="AE351" s="3">
        <v>0</v>
      </c>
      <c r="AF351" s="3">
        <v>0</v>
      </c>
      <c r="AG351" s="3">
        <v>0</v>
      </c>
      <c r="AH351" s="3"/>
      <c r="AI351" s="3">
        <v>0</v>
      </c>
      <c r="AJ351" s="3">
        <v>0</v>
      </c>
      <c r="AK351" s="3">
        <v>0</v>
      </c>
      <c r="AL351" s="3"/>
      <c r="AM351" s="3"/>
      <c r="AN351" s="3"/>
      <c r="AO351" s="3"/>
      <c r="AP351" s="3"/>
      <c r="AQ351" s="8" t="str">
        <f t="shared" si="3"/>
        <v>tricks/1100311</v>
      </c>
      <c r="AR351" s="281"/>
    </row>
    <row r="352" spans="1:44" ht="15" customHeight="1">
      <c r="A352" s="3">
        <v>1100312</v>
      </c>
      <c r="B352" s="5" t="s">
        <v>3638</v>
      </c>
      <c r="C352" s="224" t="s">
        <v>4301</v>
      </c>
      <c r="D352" s="3" t="s">
        <v>81</v>
      </c>
      <c r="E352" s="3" t="s">
        <v>1341</v>
      </c>
      <c r="F352" s="3">
        <v>9</v>
      </c>
      <c r="G352" s="3">
        <v>10</v>
      </c>
      <c r="H352" s="3" t="s">
        <v>136</v>
      </c>
      <c r="I352" s="5" t="s">
        <v>3640</v>
      </c>
      <c r="J352" s="3"/>
      <c r="K352" s="3"/>
      <c r="L352" s="236"/>
      <c r="M352" s="99"/>
      <c r="N352" s="99"/>
      <c r="O352" s="236"/>
      <c r="P352" s="22"/>
      <c r="Q352" s="22">
        <v>0</v>
      </c>
      <c r="R352" s="22" t="s">
        <v>153</v>
      </c>
      <c r="S352" s="3"/>
      <c r="T352" s="260"/>
      <c r="U352" s="261"/>
      <c r="V352" s="22"/>
      <c r="W352" s="57" t="s">
        <v>4302</v>
      </c>
      <c r="X352" s="57" t="s">
        <v>4302</v>
      </c>
      <c r="Y352" s="22"/>
      <c r="Z352" s="22"/>
      <c r="AA352" s="22"/>
      <c r="AB352" s="22" t="s">
        <v>114</v>
      </c>
      <c r="AC352" s="3"/>
      <c r="AD352" s="3"/>
      <c r="AE352" s="3">
        <v>0</v>
      </c>
      <c r="AF352" s="3">
        <v>0</v>
      </c>
      <c r="AG352" s="3">
        <v>0</v>
      </c>
      <c r="AH352" s="3"/>
      <c r="AI352" s="3">
        <v>0</v>
      </c>
      <c r="AJ352" s="3">
        <v>0</v>
      </c>
      <c r="AK352" s="3">
        <v>0</v>
      </c>
      <c r="AL352" s="3"/>
      <c r="AM352" s="3"/>
      <c r="AN352" s="3"/>
      <c r="AO352" s="3"/>
      <c r="AP352" s="3"/>
      <c r="AQ352" s="8" t="str">
        <f t="shared" si="3"/>
        <v>tricks/1100312</v>
      </c>
    </row>
    <row r="353" spans="1:44" ht="15" customHeight="1">
      <c r="A353" s="3">
        <v>1100313</v>
      </c>
      <c r="B353" s="5" t="s">
        <v>3638</v>
      </c>
      <c r="C353" s="224" t="s">
        <v>4303</v>
      </c>
      <c r="D353" s="3" t="s">
        <v>81</v>
      </c>
      <c r="E353" s="3" t="s">
        <v>1341</v>
      </c>
      <c r="F353" s="3">
        <v>10</v>
      </c>
      <c r="G353" s="3">
        <v>10</v>
      </c>
      <c r="H353" s="3" t="s">
        <v>136</v>
      </c>
      <c r="I353" s="5" t="s">
        <v>3640</v>
      </c>
      <c r="J353" s="3"/>
      <c r="K353" s="3"/>
      <c r="L353" s="236"/>
      <c r="M353" s="99"/>
      <c r="N353" s="99"/>
      <c r="O353" s="236"/>
      <c r="P353" s="22"/>
      <c r="Q353" s="22">
        <v>0</v>
      </c>
      <c r="R353" s="22" t="s">
        <v>153</v>
      </c>
      <c r="S353" s="3"/>
      <c r="T353" s="260"/>
      <c r="U353" s="261"/>
      <c r="V353" s="22"/>
      <c r="W353" s="57" t="s">
        <v>4304</v>
      </c>
      <c r="X353" s="57" t="s">
        <v>4304</v>
      </c>
      <c r="Y353" s="22"/>
      <c r="Z353" s="22"/>
      <c r="AA353" s="22"/>
      <c r="AB353" s="22" t="s">
        <v>114</v>
      </c>
      <c r="AC353" s="3"/>
      <c r="AD353" s="3"/>
      <c r="AE353" s="3">
        <v>0</v>
      </c>
      <c r="AF353" s="3">
        <v>0</v>
      </c>
      <c r="AG353" s="3">
        <v>0</v>
      </c>
      <c r="AH353" s="3"/>
      <c r="AI353" s="3">
        <v>0</v>
      </c>
      <c r="AJ353" s="3">
        <v>0</v>
      </c>
      <c r="AK353" s="3">
        <v>0</v>
      </c>
      <c r="AL353" s="3"/>
      <c r="AM353" s="3"/>
      <c r="AN353" s="3"/>
      <c r="AO353" s="3"/>
      <c r="AP353" s="3"/>
      <c r="AQ353" s="8" t="str">
        <f t="shared" si="3"/>
        <v>tricks/1100313</v>
      </c>
    </row>
    <row r="354" spans="1:44" ht="15" customHeight="1">
      <c r="A354" s="34">
        <v>1100401</v>
      </c>
      <c r="B354" s="5" t="s">
        <v>3638</v>
      </c>
      <c r="C354" s="224" t="s">
        <v>4305</v>
      </c>
      <c r="D354" s="34" t="s">
        <v>81</v>
      </c>
      <c r="E354" s="34" t="s">
        <v>1341</v>
      </c>
      <c r="F354" s="34">
        <v>1</v>
      </c>
      <c r="G354" s="34">
        <v>10</v>
      </c>
      <c r="H354" s="34" t="s">
        <v>82</v>
      </c>
      <c r="I354" s="5" t="s">
        <v>3640</v>
      </c>
      <c r="J354" s="34"/>
      <c r="K354" s="34">
        <v>1</v>
      </c>
      <c r="L354" s="412"/>
      <c r="M354" s="371"/>
      <c r="N354" s="371"/>
      <c r="O354" s="412"/>
      <c r="P354" s="130">
        <v>1</v>
      </c>
      <c r="Q354" s="130">
        <v>0</v>
      </c>
      <c r="R354" s="130" t="s">
        <v>85</v>
      </c>
      <c r="S354" s="34">
        <v>1100101</v>
      </c>
      <c r="T354" s="382" t="s">
        <v>1489</v>
      </c>
      <c r="U354" s="383" t="s">
        <v>1372</v>
      </c>
      <c r="V354" s="130" t="s">
        <v>582</v>
      </c>
      <c r="W354" s="57" t="s">
        <v>4306</v>
      </c>
      <c r="X354" s="57" t="s">
        <v>4306</v>
      </c>
      <c r="Y354" s="130"/>
      <c r="Z354" s="130"/>
      <c r="AA354" s="130">
        <v>1</v>
      </c>
      <c r="AB354" s="130" t="s">
        <v>90</v>
      </c>
      <c r="AC354" s="34"/>
      <c r="AD354" s="34"/>
      <c r="AE354" s="34">
        <v>1</v>
      </c>
      <c r="AF354" s="34">
        <v>2</v>
      </c>
      <c r="AG354" s="34">
        <v>6</v>
      </c>
      <c r="AH354" s="34"/>
      <c r="AI354" s="34">
        <v>39</v>
      </c>
      <c r="AJ354" s="34">
        <v>26</v>
      </c>
      <c r="AK354" s="131"/>
      <c r="AL354" s="131"/>
      <c r="AM354" s="131"/>
      <c r="AN354" s="34" t="s">
        <v>1491</v>
      </c>
      <c r="AO354" s="34"/>
      <c r="AP354" s="34"/>
      <c r="AQ354" s="8" t="str">
        <f t="shared" si="3"/>
        <v>tricks/1100401</v>
      </c>
      <c r="AR354" s="405">
        <v>360</v>
      </c>
    </row>
    <row r="355" spans="1:44" ht="15" customHeight="1">
      <c r="A355" s="34">
        <v>1100402</v>
      </c>
      <c r="B355" s="5" t="s">
        <v>3638</v>
      </c>
      <c r="C355" s="224" t="s">
        <v>4307</v>
      </c>
      <c r="D355" s="34" t="s">
        <v>81</v>
      </c>
      <c r="E355" s="34" t="s">
        <v>1341</v>
      </c>
      <c r="F355" s="34">
        <v>1</v>
      </c>
      <c r="G355" s="34">
        <v>10</v>
      </c>
      <c r="H355" s="34" t="s">
        <v>136</v>
      </c>
      <c r="I355" s="5" t="s">
        <v>3640</v>
      </c>
      <c r="J355" s="34"/>
      <c r="K355" s="34"/>
      <c r="L355" s="412"/>
      <c r="M355" s="371"/>
      <c r="N355" s="371"/>
      <c r="O355" s="412"/>
      <c r="P355" s="130"/>
      <c r="Q355" s="130">
        <v>0</v>
      </c>
      <c r="R355" s="130"/>
      <c r="S355" s="34">
        <v>1100102</v>
      </c>
      <c r="T355" s="382"/>
      <c r="U355" s="383"/>
      <c r="V355" s="130" t="s">
        <v>582</v>
      </c>
      <c r="W355" s="57" t="s">
        <v>4308</v>
      </c>
      <c r="X355" s="57" t="s">
        <v>4308</v>
      </c>
      <c r="Y355" s="130"/>
      <c r="Z355" s="130"/>
      <c r="AA355" s="130"/>
      <c r="AB355" s="130"/>
      <c r="AC355" s="34"/>
      <c r="AD355" s="34"/>
      <c r="AE355" s="34">
        <v>0</v>
      </c>
      <c r="AF355" s="34">
        <v>0</v>
      </c>
      <c r="AG355" s="34">
        <v>0</v>
      </c>
      <c r="AH355" s="34"/>
      <c r="AI355" s="34">
        <v>0</v>
      </c>
      <c r="AJ355" s="34">
        <v>0</v>
      </c>
      <c r="AK355" s="131"/>
      <c r="AL355" s="131"/>
      <c r="AM355" s="131"/>
      <c r="AN355" s="34"/>
      <c r="AO355" s="34"/>
      <c r="AP355" s="34"/>
      <c r="AQ355" s="8" t="str">
        <f t="shared" si="3"/>
        <v>tricks/1100402</v>
      </c>
      <c r="AR355" s="405"/>
    </row>
    <row r="356" spans="1:44" ht="15" customHeight="1">
      <c r="A356" s="34">
        <v>1100403</v>
      </c>
      <c r="B356" s="5" t="s">
        <v>3638</v>
      </c>
      <c r="C356" s="224" t="s">
        <v>4309</v>
      </c>
      <c r="D356" s="34" t="s">
        <v>81</v>
      </c>
      <c r="E356" s="34" t="s">
        <v>1341</v>
      </c>
      <c r="F356" s="34">
        <v>1</v>
      </c>
      <c r="G356" s="34">
        <v>10</v>
      </c>
      <c r="H356" s="34" t="s">
        <v>82</v>
      </c>
      <c r="I356" s="5" t="s">
        <v>3640</v>
      </c>
      <c r="J356" s="34"/>
      <c r="K356" s="34">
        <v>2</v>
      </c>
      <c r="L356" s="412"/>
      <c r="M356" s="371"/>
      <c r="N356" s="371"/>
      <c r="O356" s="412"/>
      <c r="P356" s="130">
        <v>1</v>
      </c>
      <c r="Q356" s="130">
        <v>0</v>
      </c>
      <c r="R356" s="130" t="s">
        <v>85</v>
      </c>
      <c r="S356" s="34">
        <v>1100103</v>
      </c>
      <c r="T356" s="262" t="s">
        <v>1423</v>
      </c>
      <c r="U356" s="383" t="s">
        <v>1372</v>
      </c>
      <c r="V356" s="130" t="s">
        <v>582</v>
      </c>
      <c r="W356" s="57" t="s">
        <v>4310</v>
      </c>
      <c r="X356" s="57" t="s">
        <v>4310</v>
      </c>
      <c r="Y356" s="130"/>
      <c r="Z356" s="130"/>
      <c r="AA356" s="130">
        <v>1</v>
      </c>
      <c r="AB356" s="130" t="s">
        <v>90</v>
      </c>
      <c r="AC356" s="34"/>
      <c r="AD356" s="34"/>
      <c r="AE356" s="34">
        <v>1</v>
      </c>
      <c r="AF356" s="34">
        <v>1</v>
      </c>
      <c r="AG356" s="34">
        <v>5</v>
      </c>
      <c r="AH356" s="34"/>
      <c r="AI356" s="34">
        <v>39</v>
      </c>
      <c r="AJ356" s="34">
        <v>26</v>
      </c>
      <c r="AK356" s="131"/>
      <c r="AL356" s="131"/>
      <c r="AM356" s="131"/>
      <c r="AN356" s="34" t="s">
        <v>1496</v>
      </c>
      <c r="AO356" s="34"/>
      <c r="AP356" s="34"/>
      <c r="AQ356" s="8" t="str">
        <f t="shared" si="3"/>
        <v>tricks/1100403</v>
      </c>
      <c r="AR356" s="405">
        <v>361</v>
      </c>
    </row>
    <row r="357" spans="1:44" ht="15" customHeight="1">
      <c r="A357" s="34">
        <v>1100404</v>
      </c>
      <c r="B357" s="5" t="s">
        <v>3638</v>
      </c>
      <c r="C357" s="224" t="s">
        <v>4311</v>
      </c>
      <c r="D357" s="34" t="s">
        <v>81</v>
      </c>
      <c r="E357" s="34" t="s">
        <v>1341</v>
      </c>
      <c r="F357" s="34">
        <v>2</v>
      </c>
      <c r="G357" s="34">
        <v>10</v>
      </c>
      <c r="H357" s="34" t="s">
        <v>136</v>
      </c>
      <c r="I357" s="5" t="s">
        <v>3640</v>
      </c>
      <c r="J357" s="34"/>
      <c r="K357" s="34"/>
      <c r="L357" s="412"/>
      <c r="M357" s="371"/>
      <c r="N357" s="371"/>
      <c r="O357" s="412"/>
      <c r="P357" s="130"/>
      <c r="Q357" s="130">
        <v>0</v>
      </c>
      <c r="R357" s="130"/>
      <c r="S357" s="34">
        <v>1100104</v>
      </c>
      <c r="T357" s="382"/>
      <c r="U357" s="383"/>
      <c r="V357" s="130" t="s">
        <v>582</v>
      </c>
      <c r="W357" s="57" t="s">
        <v>4312</v>
      </c>
      <c r="X357" s="57" t="s">
        <v>4312</v>
      </c>
      <c r="Y357" s="130"/>
      <c r="Z357" s="130"/>
      <c r="AA357" s="130"/>
      <c r="AB357" s="130"/>
      <c r="AC357" s="34"/>
      <c r="AD357" s="34"/>
      <c r="AE357" s="34">
        <v>0</v>
      </c>
      <c r="AF357" s="34">
        <v>0</v>
      </c>
      <c r="AG357" s="34">
        <v>0</v>
      </c>
      <c r="AH357" s="34"/>
      <c r="AI357" s="34">
        <v>0</v>
      </c>
      <c r="AJ357" s="34">
        <v>0</v>
      </c>
      <c r="AK357" s="131"/>
      <c r="AL357" s="131"/>
      <c r="AM357" s="131"/>
      <c r="AN357" s="34"/>
      <c r="AO357" s="34"/>
      <c r="AP357" s="34"/>
      <c r="AQ357" s="8" t="str">
        <f t="shared" si="3"/>
        <v>tricks/1100404</v>
      </c>
      <c r="AR357" s="405"/>
    </row>
    <row r="358" spans="1:44" ht="15" customHeight="1">
      <c r="A358" s="34">
        <v>1100405</v>
      </c>
      <c r="B358" s="5" t="s">
        <v>3638</v>
      </c>
      <c r="C358" s="224" t="s">
        <v>4313</v>
      </c>
      <c r="D358" s="34" t="s">
        <v>81</v>
      </c>
      <c r="E358" s="34" t="s">
        <v>1341</v>
      </c>
      <c r="F358" s="34">
        <v>1</v>
      </c>
      <c r="G358" s="34">
        <v>10</v>
      </c>
      <c r="H358" s="34" t="s">
        <v>82</v>
      </c>
      <c r="I358" s="5" t="s">
        <v>3640</v>
      </c>
      <c r="J358" s="34"/>
      <c r="K358" s="34">
        <v>3</v>
      </c>
      <c r="L358" s="412"/>
      <c r="M358" s="371"/>
      <c r="N358" s="371"/>
      <c r="O358" s="412"/>
      <c r="P358" s="130">
        <v>1</v>
      </c>
      <c r="Q358" s="130">
        <v>0</v>
      </c>
      <c r="R358" s="130" t="s">
        <v>85</v>
      </c>
      <c r="S358" s="34">
        <v>1100105</v>
      </c>
      <c r="T358" s="382" t="s">
        <v>1500</v>
      </c>
      <c r="U358" s="383" t="s">
        <v>1372</v>
      </c>
      <c r="V358" s="130" t="s">
        <v>582</v>
      </c>
      <c r="W358" s="57" t="s">
        <v>4314</v>
      </c>
      <c r="X358" s="57" t="s">
        <v>4314</v>
      </c>
      <c r="Y358" s="130"/>
      <c r="Z358" s="130"/>
      <c r="AA358" s="130">
        <v>1</v>
      </c>
      <c r="AB358" s="130" t="s">
        <v>90</v>
      </c>
      <c r="AC358" s="34"/>
      <c r="AD358" s="34"/>
      <c r="AE358" s="34">
        <v>1</v>
      </c>
      <c r="AF358" s="34">
        <v>1</v>
      </c>
      <c r="AG358" s="34">
        <v>5</v>
      </c>
      <c r="AH358" s="34"/>
      <c r="AI358" s="34">
        <v>39</v>
      </c>
      <c r="AJ358" s="34">
        <v>26</v>
      </c>
      <c r="AK358" s="131"/>
      <c r="AL358" s="131"/>
      <c r="AM358" s="131"/>
      <c r="AN358" s="34" t="s">
        <v>1502</v>
      </c>
      <c r="AO358" s="34"/>
      <c r="AP358" s="34"/>
      <c r="AQ358" s="8" t="str">
        <f t="shared" si="3"/>
        <v>tricks/1100405</v>
      </c>
      <c r="AR358" s="405">
        <v>362</v>
      </c>
    </row>
    <row r="359" spans="1:44" ht="15" customHeight="1">
      <c r="A359" s="34">
        <v>1100406</v>
      </c>
      <c r="B359" s="5" t="s">
        <v>3638</v>
      </c>
      <c r="C359" s="224" t="s">
        <v>4315</v>
      </c>
      <c r="D359" s="34" t="s">
        <v>81</v>
      </c>
      <c r="E359" s="34" t="s">
        <v>1341</v>
      </c>
      <c r="F359" s="34">
        <v>3</v>
      </c>
      <c r="G359" s="34">
        <v>10</v>
      </c>
      <c r="H359" s="34" t="s">
        <v>136</v>
      </c>
      <c r="I359" s="5" t="s">
        <v>3640</v>
      </c>
      <c r="J359" s="34"/>
      <c r="K359" s="34"/>
      <c r="L359" s="412"/>
      <c r="M359" s="371"/>
      <c r="N359" s="371"/>
      <c r="O359" s="412"/>
      <c r="P359" s="130"/>
      <c r="Q359" s="130">
        <v>0</v>
      </c>
      <c r="R359" s="130" t="s">
        <v>153</v>
      </c>
      <c r="S359" s="34">
        <v>1100106</v>
      </c>
      <c r="T359" s="382"/>
      <c r="U359" s="383"/>
      <c r="V359" s="130" t="s">
        <v>582</v>
      </c>
      <c r="W359" s="57" t="s">
        <v>4316</v>
      </c>
      <c r="X359" s="57" t="s">
        <v>4316</v>
      </c>
      <c r="Y359" s="130"/>
      <c r="Z359" s="130"/>
      <c r="AA359" s="130"/>
      <c r="AB359" s="130"/>
      <c r="AC359" s="34"/>
      <c r="AD359" s="34"/>
      <c r="AE359" s="34">
        <v>0</v>
      </c>
      <c r="AF359" s="34">
        <v>0</v>
      </c>
      <c r="AG359" s="34">
        <v>0</v>
      </c>
      <c r="AH359" s="34"/>
      <c r="AI359" s="34">
        <v>0</v>
      </c>
      <c r="AJ359" s="34">
        <v>0</v>
      </c>
      <c r="AK359" s="131"/>
      <c r="AL359" s="131"/>
      <c r="AM359" s="131"/>
      <c r="AN359" s="34"/>
      <c r="AO359" s="34"/>
      <c r="AP359" s="34"/>
      <c r="AQ359" s="8" t="str">
        <f t="shared" si="3"/>
        <v>tricks/1100406</v>
      </c>
      <c r="AR359" s="405"/>
    </row>
    <row r="360" spans="1:44" ht="15" customHeight="1">
      <c r="A360" s="34">
        <v>1100407</v>
      </c>
      <c r="B360" s="5" t="s">
        <v>3638</v>
      </c>
      <c r="C360" s="224" t="s">
        <v>4317</v>
      </c>
      <c r="D360" s="34" t="s">
        <v>81</v>
      </c>
      <c r="E360" s="34" t="s">
        <v>1341</v>
      </c>
      <c r="F360" s="34">
        <v>4</v>
      </c>
      <c r="G360" s="34">
        <v>10</v>
      </c>
      <c r="H360" s="34" t="s">
        <v>136</v>
      </c>
      <c r="I360" s="5" t="s">
        <v>3640</v>
      </c>
      <c r="J360" s="34"/>
      <c r="K360" s="34"/>
      <c r="L360" s="412"/>
      <c r="M360" s="371"/>
      <c r="N360" s="371"/>
      <c r="O360" s="412"/>
      <c r="P360" s="130"/>
      <c r="Q360" s="130">
        <v>0</v>
      </c>
      <c r="R360" s="130" t="s">
        <v>153</v>
      </c>
      <c r="S360" s="34">
        <v>1100107</v>
      </c>
      <c r="T360" s="382"/>
      <c r="U360" s="385"/>
      <c r="V360" s="130" t="s">
        <v>582</v>
      </c>
      <c r="W360" s="57" t="s">
        <v>4318</v>
      </c>
      <c r="X360" s="57" t="s">
        <v>4318</v>
      </c>
      <c r="Y360" s="130"/>
      <c r="Z360" s="130"/>
      <c r="AA360" s="130"/>
      <c r="AB360" s="130"/>
      <c r="AC360" s="34"/>
      <c r="AD360" s="34"/>
      <c r="AE360" s="34">
        <v>0</v>
      </c>
      <c r="AF360" s="34">
        <v>0</v>
      </c>
      <c r="AG360" s="34">
        <v>0</v>
      </c>
      <c r="AH360" s="34"/>
      <c r="AI360" s="34">
        <v>0</v>
      </c>
      <c r="AJ360" s="34">
        <v>0</v>
      </c>
      <c r="AK360" s="131"/>
      <c r="AL360" s="131"/>
      <c r="AM360" s="131"/>
      <c r="AN360" s="34"/>
      <c r="AO360" s="34"/>
      <c r="AP360" s="34"/>
      <c r="AQ360" s="8" t="str">
        <f t="shared" si="3"/>
        <v>tricks/1100407</v>
      </c>
      <c r="AR360" s="405"/>
    </row>
    <row r="361" spans="1:44" ht="15" customHeight="1">
      <c r="A361" s="34">
        <v>1100408</v>
      </c>
      <c r="B361" s="5" t="s">
        <v>3638</v>
      </c>
      <c r="C361" s="224" t="s">
        <v>4319</v>
      </c>
      <c r="D361" s="34" t="s">
        <v>81</v>
      </c>
      <c r="E361" s="34" t="s">
        <v>1341</v>
      </c>
      <c r="F361" s="34">
        <v>5</v>
      </c>
      <c r="G361" s="34">
        <v>10</v>
      </c>
      <c r="H361" s="34" t="s">
        <v>136</v>
      </c>
      <c r="I361" s="5" t="s">
        <v>3640</v>
      </c>
      <c r="J361" s="34"/>
      <c r="K361" s="34"/>
      <c r="L361" s="412"/>
      <c r="M361" s="371"/>
      <c r="N361" s="371"/>
      <c r="O361" s="412"/>
      <c r="P361" s="130"/>
      <c r="Q361" s="130">
        <v>0</v>
      </c>
      <c r="R361" s="130" t="s">
        <v>153</v>
      </c>
      <c r="S361" s="34">
        <v>1100108</v>
      </c>
      <c r="T361" s="382"/>
      <c r="U361" s="383"/>
      <c r="V361" s="130" t="s">
        <v>582</v>
      </c>
      <c r="W361" s="57" t="s">
        <v>4320</v>
      </c>
      <c r="X361" s="57" t="s">
        <v>4320</v>
      </c>
      <c r="Y361" s="130"/>
      <c r="Z361" s="130"/>
      <c r="AA361" s="130"/>
      <c r="AB361" s="130"/>
      <c r="AC361" s="34"/>
      <c r="AD361" s="34"/>
      <c r="AE361" s="34">
        <v>0</v>
      </c>
      <c r="AF361" s="34">
        <v>0</v>
      </c>
      <c r="AG361" s="34">
        <v>0</v>
      </c>
      <c r="AH361" s="34"/>
      <c r="AI361" s="34">
        <v>0</v>
      </c>
      <c r="AJ361" s="34">
        <v>0</v>
      </c>
      <c r="AK361" s="131"/>
      <c r="AL361" s="131"/>
      <c r="AM361" s="131"/>
      <c r="AN361" s="34"/>
      <c r="AO361" s="34"/>
      <c r="AP361" s="34"/>
      <c r="AQ361" s="8" t="str">
        <f t="shared" si="3"/>
        <v>tricks/1100408</v>
      </c>
      <c r="AR361" s="405"/>
    </row>
    <row r="362" spans="1:44" ht="15" customHeight="1">
      <c r="A362" s="34">
        <v>1100409</v>
      </c>
      <c r="B362" s="5" t="s">
        <v>3638</v>
      </c>
      <c r="C362" s="224" t="s">
        <v>4321</v>
      </c>
      <c r="D362" s="34" t="s">
        <v>81</v>
      </c>
      <c r="E362" s="34" t="s">
        <v>1341</v>
      </c>
      <c r="F362" s="34">
        <v>6</v>
      </c>
      <c r="G362" s="34">
        <v>10</v>
      </c>
      <c r="H362" s="34" t="s">
        <v>136</v>
      </c>
      <c r="I362" s="5" t="s">
        <v>3640</v>
      </c>
      <c r="J362" s="34"/>
      <c r="K362" s="34"/>
      <c r="L362" s="412"/>
      <c r="M362" s="371"/>
      <c r="N362" s="371"/>
      <c r="O362" s="412"/>
      <c r="P362" s="130"/>
      <c r="Q362" s="130">
        <v>0</v>
      </c>
      <c r="R362" s="130" t="s">
        <v>153</v>
      </c>
      <c r="S362" s="34">
        <v>1100109</v>
      </c>
      <c r="T362" s="382"/>
      <c r="U362" s="383"/>
      <c r="V362" s="130" t="s">
        <v>582</v>
      </c>
      <c r="W362" s="57" t="s">
        <v>4322</v>
      </c>
      <c r="X362" s="57" t="s">
        <v>4322</v>
      </c>
      <c r="Y362" s="130"/>
      <c r="Z362" s="130"/>
      <c r="AA362" s="130"/>
      <c r="AB362" s="130"/>
      <c r="AC362" s="34"/>
      <c r="AD362" s="34"/>
      <c r="AE362" s="34">
        <v>0</v>
      </c>
      <c r="AF362" s="34">
        <v>0</v>
      </c>
      <c r="AG362" s="34">
        <v>0</v>
      </c>
      <c r="AH362" s="34"/>
      <c r="AI362" s="34">
        <v>0</v>
      </c>
      <c r="AJ362" s="34">
        <v>0</v>
      </c>
      <c r="AK362" s="131"/>
      <c r="AL362" s="131"/>
      <c r="AM362" s="131"/>
      <c r="AN362" s="34"/>
      <c r="AO362" s="34"/>
      <c r="AP362" s="34"/>
      <c r="AQ362" s="8" t="str">
        <f t="shared" si="3"/>
        <v>tricks/1100409</v>
      </c>
      <c r="AR362" s="405"/>
    </row>
    <row r="363" spans="1:44" ht="15" customHeight="1">
      <c r="A363" s="34">
        <v>1100410</v>
      </c>
      <c r="B363" s="5" t="s">
        <v>3638</v>
      </c>
      <c r="C363" s="224" t="s">
        <v>4323</v>
      </c>
      <c r="D363" s="34" t="s">
        <v>81</v>
      </c>
      <c r="E363" s="34" t="s">
        <v>1341</v>
      </c>
      <c r="F363" s="34">
        <v>7</v>
      </c>
      <c r="G363" s="34">
        <v>10</v>
      </c>
      <c r="H363" s="34" t="s">
        <v>136</v>
      </c>
      <c r="I363" s="5" t="s">
        <v>3640</v>
      </c>
      <c r="J363" s="34"/>
      <c r="K363" s="34"/>
      <c r="L363" s="412"/>
      <c r="M363" s="371"/>
      <c r="N363" s="371"/>
      <c r="O363" s="412"/>
      <c r="P363" s="130"/>
      <c r="Q363" s="130">
        <v>0</v>
      </c>
      <c r="R363" s="130" t="s">
        <v>153</v>
      </c>
      <c r="S363" s="34">
        <v>1100110</v>
      </c>
      <c r="T363" s="382"/>
      <c r="U363" s="383"/>
      <c r="V363" s="130" t="s">
        <v>582</v>
      </c>
      <c r="W363" s="57" t="s">
        <v>4324</v>
      </c>
      <c r="X363" s="57" t="s">
        <v>4324</v>
      </c>
      <c r="Y363" s="130"/>
      <c r="Z363" s="130"/>
      <c r="AA363" s="130"/>
      <c r="AB363" s="130"/>
      <c r="AC363" s="34"/>
      <c r="AD363" s="34"/>
      <c r="AE363" s="34">
        <v>0</v>
      </c>
      <c r="AF363" s="34">
        <v>0</v>
      </c>
      <c r="AG363" s="34">
        <v>0</v>
      </c>
      <c r="AH363" s="34"/>
      <c r="AI363" s="34">
        <v>0</v>
      </c>
      <c r="AJ363" s="34">
        <v>0</v>
      </c>
      <c r="AK363" s="131"/>
      <c r="AL363" s="131"/>
      <c r="AM363" s="131"/>
      <c r="AN363" s="34"/>
      <c r="AO363" s="34"/>
      <c r="AP363" s="34"/>
      <c r="AQ363" s="8" t="str">
        <f t="shared" si="3"/>
        <v>tricks/1100410</v>
      </c>
      <c r="AR363" s="405"/>
    </row>
    <row r="364" spans="1:44" ht="15" customHeight="1">
      <c r="A364" s="3">
        <v>1100411</v>
      </c>
      <c r="B364" s="5" t="s">
        <v>3638</v>
      </c>
      <c r="C364" s="224" t="s">
        <v>4325</v>
      </c>
      <c r="D364" s="3" t="s">
        <v>81</v>
      </c>
      <c r="E364" s="3" t="s">
        <v>1341</v>
      </c>
      <c r="F364" s="3">
        <v>8</v>
      </c>
      <c r="G364" s="3">
        <v>10</v>
      </c>
      <c r="H364" s="3" t="s">
        <v>136</v>
      </c>
      <c r="I364" s="5" t="s">
        <v>3640</v>
      </c>
      <c r="J364" s="3"/>
      <c r="K364" s="3"/>
      <c r="L364" s="236"/>
      <c r="M364" s="99"/>
      <c r="N364" s="99"/>
      <c r="O364" s="236"/>
      <c r="P364" s="22"/>
      <c r="Q364" s="22">
        <v>0</v>
      </c>
      <c r="R364" s="22" t="s">
        <v>153</v>
      </c>
      <c r="S364" s="3"/>
      <c r="T364" s="260"/>
      <c r="U364" s="261"/>
      <c r="V364" s="22"/>
      <c r="W364" s="57" t="s">
        <v>3665</v>
      </c>
      <c r="X364" s="57" t="s">
        <v>3665</v>
      </c>
      <c r="Y364" s="22"/>
      <c r="Z364" s="22"/>
      <c r="AA364" s="22"/>
      <c r="AB364" s="22" t="s">
        <v>114</v>
      </c>
      <c r="AC364" s="3"/>
      <c r="AD364" s="3"/>
      <c r="AE364" s="3">
        <v>0</v>
      </c>
      <c r="AF364" s="3">
        <v>0</v>
      </c>
      <c r="AG364" s="3">
        <v>0</v>
      </c>
      <c r="AH364" s="3"/>
      <c r="AI364" s="3">
        <v>0</v>
      </c>
      <c r="AJ364" s="3">
        <v>0</v>
      </c>
      <c r="AK364" s="3">
        <v>0</v>
      </c>
      <c r="AL364" s="3"/>
      <c r="AM364" s="3"/>
      <c r="AN364" s="3"/>
      <c r="AO364" s="3"/>
      <c r="AP364" s="3"/>
      <c r="AQ364" s="8" t="str">
        <f t="shared" si="3"/>
        <v>tricks/1100411</v>
      </c>
      <c r="AR364" s="281"/>
    </row>
    <row r="365" spans="1:44" ht="15" customHeight="1">
      <c r="A365" s="3">
        <v>1100412</v>
      </c>
      <c r="B365" s="5" t="s">
        <v>3638</v>
      </c>
      <c r="C365" s="224" t="s">
        <v>4326</v>
      </c>
      <c r="D365" s="3" t="s">
        <v>81</v>
      </c>
      <c r="E365" s="3" t="s">
        <v>1341</v>
      </c>
      <c r="F365" s="3">
        <v>9</v>
      </c>
      <c r="G365" s="3">
        <v>10</v>
      </c>
      <c r="H365" s="3" t="s">
        <v>136</v>
      </c>
      <c r="I365" s="5" t="s">
        <v>3640</v>
      </c>
      <c r="J365" s="3"/>
      <c r="K365" s="3"/>
      <c r="L365" s="236"/>
      <c r="M365" s="99"/>
      <c r="N365" s="99"/>
      <c r="O365" s="236"/>
      <c r="P365" s="22"/>
      <c r="Q365" s="22">
        <v>0</v>
      </c>
      <c r="R365" s="22" t="s">
        <v>153</v>
      </c>
      <c r="S365" s="3"/>
      <c r="T365" s="260"/>
      <c r="U365" s="261"/>
      <c r="V365" s="22"/>
      <c r="W365" s="57" t="s">
        <v>4327</v>
      </c>
      <c r="X365" s="57" t="s">
        <v>4327</v>
      </c>
      <c r="Y365" s="22"/>
      <c r="Z365" s="22"/>
      <c r="AA365" s="22"/>
      <c r="AB365" s="22" t="s">
        <v>114</v>
      </c>
      <c r="AC365" s="3"/>
      <c r="AD365" s="3"/>
      <c r="AE365" s="3">
        <v>0</v>
      </c>
      <c r="AF365" s="3">
        <v>0</v>
      </c>
      <c r="AG365" s="3">
        <v>0</v>
      </c>
      <c r="AH365" s="3"/>
      <c r="AI365" s="3">
        <v>0</v>
      </c>
      <c r="AJ365" s="3">
        <v>0</v>
      </c>
      <c r="AK365" s="3">
        <v>0</v>
      </c>
      <c r="AL365" s="3"/>
      <c r="AM365" s="3"/>
      <c r="AN365" s="3"/>
      <c r="AO365" s="3"/>
      <c r="AP365" s="3"/>
      <c r="AQ365" s="8" t="str">
        <f t="shared" si="3"/>
        <v>tricks/1100412</v>
      </c>
      <c r="AR365" s="281"/>
    </row>
    <row r="366" spans="1:44" ht="15" customHeight="1">
      <c r="A366" s="3">
        <v>1100413</v>
      </c>
      <c r="B366" s="5" t="s">
        <v>3638</v>
      </c>
      <c r="C366" s="224" t="s">
        <v>4328</v>
      </c>
      <c r="D366" s="3" t="s">
        <v>81</v>
      </c>
      <c r="E366" s="3" t="s">
        <v>1341</v>
      </c>
      <c r="F366" s="3">
        <v>10</v>
      </c>
      <c r="G366" s="3">
        <v>10</v>
      </c>
      <c r="H366" s="3" t="s">
        <v>136</v>
      </c>
      <c r="I366" s="5" t="s">
        <v>3640</v>
      </c>
      <c r="J366" s="3"/>
      <c r="K366" s="3"/>
      <c r="L366" s="236"/>
      <c r="M366" s="99"/>
      <c r="N366" s="99"/>
      <c r="O366" s="236"/>
      <c r="P366" s="22"/>
      <c r="Q366" s="22">
        <v>0</v>
      </c>
      <c r="R366" s="22" t="s">
        <v>153</v>
      </c>
      <c r="S366" s="3"/>
      <c r="T366" s="260"/>
      <c r="U366" s="261"/>
      <c r="V366" s="22"/>
      <c r="W366" s="57" t="s">
        <v>4329</v>
      </c>
      <c r="X366" s="57" t="s">
        <v>4329</v>
      </c>
      <c r="Y366" s="22"/>
      <c r="Z366" s="22"/>
      <c r="AA366" s="22"/>
      <c r="AB366" s="22" t="s">
        <v>114</v>
      </c>
      <c r="AC366" s="3"/>
      <c r="AD366" s="3"/>
      <c r="AE366" s="3">
        <v>0</v>
      </c>
      <c r="AF366" s="3">
        <v>0</v>
      </c>
      <c r="AG366" s="3">
        <v>0</v>
      </c>
      <c r="AH366" s="3"/>
      <c r="AI366" s="3">
        <v>0</v>
      </c>
      <c r="AJ366" s="3">
        <v>0</v>
      </c>
      <c r="AK366" s="3">
        <v>0</v>
      </c>
      <c r="AL366" s="3"/>
      <c r="AM366" s="3"/>
      <c r="AN366" s="3"/>
      <c r="AO366" s="3"/>
      <c r="AP366" s="3"/>
      <c r="AQ366" s="8" t="str">
        <f t="shared" si="3"/>
        <v>tricks/1100413</v>
      </c>
      <c r="AR366" s="281"/>
    </row>
    <row r="367" spans="1:44" ht="15" customHeight="1">
      <c r="A367" s="38">
        <v>1110001</v>
      </c>
      <c r="B367" s="5" t="s">
        <v>3638</v>
      </c>
      <c r="C367" s="224" t="s">
        <v>4330</v>
      </c>
      <c r="D367" s="38" t="s">
        <v>81</v>
      </c>
      <c r="E367" s="38" t="s">
        <v>1520</v>
      </c>
      <c r="F367" s="38">
        <v>1</v>
      </c>
      <c r="G367" s="38">
        <v>11</v>
      </c>
      <c r="H367" s="38" t="s">
        <v>82</v>
      </c>
      <c r="I367" s="5" t="s">
        <v>3640</v>
      </c>
      <c r="J367" s="38"/>
      <c r="K367" s="38">
        <v>4</v>
      </c>
      <c r="L367" s="425" t="s">
        <v>1343</v>
      </c>
      <c r="M367" s="426"/>
      <c r="N367" s="426"/>
      <c r="O367" s="38"/>
      <c r="P367" s="427"/>
      <c r="Q367" s="427">
        <v>0</v>
      </c>
      <c r="R367" s="427" t="s">
        <v>85</v>
      </c>
      <c r="S367" s="38">
        <v>1100001</v>
      </c>
      <c r="T367" s="388" t="s">
        <v>1521</v>
      </c>
      <c r="U367" s="389" t="s">
        <v>1522</v>
      </c>
      <c r="V367" s="427" t="s">
        <v>105</v>
      </c>
      <c r="W367" s="57" t="s">
        <v>4331</v>
      </c>
      <c r="X367" s="57" t="s">
        <v>4331</v>
      </c>
      <c r="Y367" s="427"/>
      <c r="Z367" s="427"/>
      <c r="AA367" s="427">
        <v>1</v>
      </c>
      <c r="AB367" s="427" t="s">
        <v>90</v>
      </c>
      <c r="AC367" s="38"/>
      <c r="AD367" s="38"/>
      <c r="AE367" s="38">
        <v>2</v>
      </c>
      <c r="AF367" s="38">
        <v>0</v>
      </c>
      <c r="AG367" s="38">
        <v>4</v>
      </c>
      <c r="AH367" s="38"/>
      <c r="AI367" s="38">
        <v>52</v>
      </c>
      <c r="AJ367" s="38">
        <v>39</v>
      </c>
      <c r="AK367" s="436"/>
      <c r="AL367" s="436"/>
      <c r="AM367" s="436"/>
      <c r="AN367" s="38" t="s">
        <v>1524</v>
      </c>
      <c r="AO367" s="38"/>
      <c r="AP367" s="38"/>
      <c r="AQ367" s="38" t="s">
        <v>1525</v>
      </c>
      <c r="AR367" s="406">
        <v>289</v>
      </c>
    </row>
    <row r="368" spans="1:44" ht="15" customHeight="1">
      <c r="A368" s="38">
        <v>1110002</v>
      </c>
      <c r="B368" s="5" t="s">
        <v>3638</v>
      </c>
      <c r="C368" s="224" t="s">
        <v>4332</v>
      </c>
      <c r="D368" s="38" t="s">
        <v>81</v>
      </c>
      <c r="E368" s="38" t="s">
        <v>1520</v>
      </c>
      <c r="F368" s="38">
        <v>1</v>
      </c>
      <c r="G368" s="38">
        <v>11</v>
      </c>
      <c r="H368" s="38" t="s">
        <v>82</v>
      </c>
      <c r="I368" s="5" t="s">
        <v>3640</v>
      </c>
      <c r="J368" s="38"/>
      <c r="K368" s="38">
        <v>5</v>
      </c>
      <c r="L368" s="428"/>
      <c r="M368" s="426"/>
      <c r="N368" s="426"/>
      <c r="O368" s="428"/>
      <c r="P368" s="427">
        <v>1</v>
      </c>
      <c r="Q368" s="427">
        <v>0</v>
      </c>
      <c r="R368" s="427" t="s">
        <v>85</v>
      </c>
      <c r="S368" s="38">
        <v>1100101</v>
      </c>
      <c r="T368" s="388" t="s">
        <v>1521</v>
      </c>
      <c r="U368" s="389" t="s">
        <v>1522</v>
      </c>
      <c r="V368" s="427" t="s">
        <v>582</v>
      </c>
      <c r="W368" s="57" t="s">
        <v>4333</v>
      </c>
      <c r="X368" s="57" t="s">
        <v>4333</v>
      </c>
      <c r="Y368" s="427"/>
      <c r="Z368" s="427"/>
      <c r="AA368" s="427">
        <v>1</v>
      </c>
      <c r="AB368" s="427" t="s">
        <v>90</v>
      </c>
      <c r="AC368" s="38"/>
      <c r="AD368" s="38"/>
      <c r="AE368" s="38">
        <v>2</v>
      </c>
      <c r="AF368" s="38">
        <v>0</v>
      </c>
      <c r="AG368" s="38">
        <v>4</v>
      </c>
      <c r="AH368" s="38"/>
      <c r="AI368" s="38">
        <v>39</v>
      </c>
      <c r="AJ368" s="38">
        <v>45</v>
      </c>
      <c r="AK368" s="436"/>
      <c r="AL368" s="436"/>
      <c r="AM368" s="436"/>
      <c r="AN368" s="38" t="s">
        <v>1528</v>
      </c>
      <c r="AO368" s="38"/>
      <c r="AP368" s="38"/>
      <c r="AQ368" s="38" t="s">
        <v>1529</v>
      </c>
      <c r="AR368" s="406">
        <v>290</v>
      </c>
    </row>
    <row r="369" spans="1:44" ht="15" customHeight="1">
      <c r="A369" s="33">
        <v>1110101</v>
      </c>
      <c r="B369" s="5" t="s">
        <v>3638</v>
      </c>
      <c r="C369" s="224" t="s">
        <v>4334</v>
      </c>
      <c r="D369" s="33" t="s">
        <v>81</v>
      </c>
      <c r="E369" s="33" t="s">
        <v>1520</v>
      </c>
      <c r="F369" s="33">
        <v>1</v>
      </c>
      <c r="G369" s="33">
        <v>11</v>
      </c>
      <c r="H369" s="33" t="s">
        <v>82</v>
      </c>
      <c r="I369" s="5" t="s">
        <v>3640</v>
      </c>
      <c r="J369" s="33"/>
      <c r="K369" s="33">
        <v>1</v>
      </c>
      <c r="L369" s="429"/>
      <c r="M369" s="367"/>
      <c r="N369" s="367"/>
      <c r="O369" s="429"/>
      <c r="P369" s="369">
        <v>1</v>
      </c>
      <c r="Q369" s="369">
        <v>0</v>
      </c>
      <c r="R369" s="369" t="s">
        <v>85</v>
      </c>
      <c r="S369" s="33">
        <v>1100103</v>
      </c>
      <c r="T369" s="380" t="s">
        <v>1531</v>
      </c>
      <c r="U369" s="381" t="s">
        <v>1532</v>
      </c>
      <c r="V369" s="369" t="s">
        <v>582</v>
      </c>
      <c r="W369" s="57" t="s">
        <v>4335</v>
      </c>
      <c r="X369" s="57" t="s">
        <v>4335</v>
      </c>
      <c r="Y369" s="369"/>
      <c r="Z369" s="369"/>
      <c r="AA369" s="369">
        <v>1</v>
      </c>
      <c r="AB369" s="369" t="s">
        <v>90</v>
      </c>
      <c r="AC369" s="33"/>
      <c r="AD369" s="33"/>
      <c r="AE369" s="33">
        <v>1</v>
      </c>
      <c r="AF369" s="33">
        <v>2</v>
      </c>
      <c r="AG369" s="33">
        <v>6</v>
      </c>
      <c r="AH369" s="33"/>
      <c r="AI369" s="33">
        <v>39</v>
      </c>
      <c r="AJ369" s="33">
        <v>26</v>
      </c>
      <c r="AK369" s="396"/>
      <c r="AL369" s="396"/>
      <c r="AM369" s="396"/>
      <c r="AN369" s="33" t="s">
        <v>1534</v>
      </c>
      <c r="AO369" s="33"/>
      <c r="AP369" s="33"/>
      <c r="AQ369" s="33" t="s">
        <v>1535</v>
      </c>
      <c r="AR369" s="404">
        <v>286</v>
      </c>
    </row>
    <row r="370" spans="1:44" ht="15" customHeight="1">
      <c r="A370" s="33">
        <v>1110102</v>
      </c>
      <c r="B370" s="5" t="s">
        <v>3638</v>
      </c>
      <c r="C370" s="224" t="s">
        <v>4336</v>
      </c>
      <c r="D370" s="33" t="s">
        <v>81</v>
      </c>
      <c r="E370" s="33" t="s">
        <v>1520</v>
      </c>
      <c r="F370" s="33">
        <v>1</v>
      </c>
      <c r="G370" s="33">
        <v>11</v>
      </c>
      <c r="H370" s="33" t="s">
        <v>136</v>
      </c>
      <c r="I370" s="5" t="s">
        <v>3640</v>
      </c>
      <c r="J370" s="33"/>
      <c r="K370" s="33"/>
      <c r="L370" s="429"/>
      <c r="M370" s="367"/>
      <c r="N370" s="367"/>
      <c r="O370" s="429"/>
      <c r="P370" s="369"/>
      <c r="Q370" s="369">
        <v>0</v>
      </c>
      <c r="R370" s="369"/>
      <c r="S370" s="33">
        <v>1100102</v>
      </c>
      <c r="T370" s="380"/>
      <c r="U370" s="381"/>
      <c r="V370" s="369" t="s">
        <v>582</v>
      </c>
      <c r="W370" s="57" t="s">
        <v>4337</v>
      </c>
      <c r="X370" s="57" t="s">
        <v>4337</v>
      </c>
      <c r="Y370" s="369"/>
      <c r="Z370" s="369"/>
      <c r="AA370" s="369"/>
      <c r="AB370" s="369"/>
      <c r="AC370" s="33"/>
      <c r="AD370" s="33"/>
      <c r="AE370" s="33">
        <v>0</v>
      </c>
      <c r="AF370" s="33">
        <v>0</v>
      </c>
      <c r="AG370" s="33">
        <v>0</v>
      </c>
      <c r="AH370" s="33"/>
      <c r="AI370" s="33">
        <v>0</v>
      </c>
      <c r="AJ370" s="33">
        <v>0</v>
      </c>
      <c r="AK370" s="396"/>
      <c r="AL370" s="396"/>
      <c r="AM370" s="396"/>
      <c r="AN370" s="33"/>
      <c r="AO370" s="33"/>
      <c r="AP370" s="33"/>
      <c r="AQ370" s="33" t="s">
        <v>1538</v>
      </c>
      <c r="AR370" s="404"/>
    </row>
    <row r="371" spans="1:44" ht="15" customHeight="1">
      <c r="A371" s="33">
        <v>1110103</v>
      </c>
      <c r="B371" s="5" t="s">
        <v>3638</v>
      </c>
      <c r="C371" s="224" t="s">
        <v>4338</v>
      </c>
      <c r="D371" s="33" t="s">
        <v>81</v>
      </c>
      <c r="E371" s="33" t="s">
        <v>1520</v>
      </c>
      <c r="F371" s="33">
        <v>1</v>
      </c>
      <c r="G371" s="33">
        <v>11</v>
      </c>
      <c r="H371" s="33" t="s">
        <v>82</v>
      </c>
      <c r="I371" s="5" t="s">
        <v>3640</v>
      </c>
      <c r="J371" s="33"/>
      <c r="K371" s="33">
        <v>3</v>
      </c>
      <c r="L371" s="429"/>
      <c r="M371" s="367"/>
      <c r="N371" s="367"/>
      <c r="O371" s="429"/>
      <c r="P371" s="369">
        <v>1</v>
      </c>
      <c r="Q371" s="369">
        <v>0</v>
      </c>
      <c r="R371" s="369" t="s">
        <v>85</v>
      </c>
      <c r="S371" s="33">
        <v>1100105</v>
      </c>
      <c r="T371" s="380" t="s">
        <v>1540</v>
      </c>
      <c r="U371" s="381" t="s">
        <v>1532</v>
      </c>
      <c r="V371" s="369" t="s">
        <v>582</v>
      </c>
      <c r="W371" s="57" t="s">
        <v>4339</v>
      </c>
      <c r="X371" s="57" t="s">
        <v>4339</v>
      </c>
      <c r="Y371" s="369"/>
      <c r="Z371" s="369"/>
      <c r="AA371" s="369">
        <v>1</v>
      </c>
      <c r="AB371" s="369" t="s">
        <v>90</v>
      </c>
      <c r="AC371" s="33"/>
      <c r="AD371" s="33"/>
      <c r="AE371" s="33">
        <v>1</v>
      </c>
      <c r="AF371" s="33">
        <v>1</v>
      </c>
      <c r="AG371" s="33">
        <v>5</v>
      </c>
      <c r="AH371" s="33"/>
      <c r="AI371" s="33">
        <v>39</v>
      </c>
      <c r="AJ371" s="33">
        <v>26</v>
      </c>
      <c r="AK371" s="396"/>
      <c r="AL371" s="396"/>
      <c r="AM371" s="396"/>
      <c r="AN371" s="33" t="s">
        <v>1542</v>
      </c>
      <c r="AO371" s="33"/>
      <c r="AP371" s="33"/>
      <c r="AQ371" s="33" t="s">
        <v>1543</v>
      </c>
      <c r="AR371" s="404">
        <v>287</v>
      </c>
    </row>
    <row r="372" spans="1:44" ht="15" customHeight="1">
      <c r="A372" s="33">
        <v>1110104</v>
      </c>
      <c r="B372" s="5" t="s">
        <v>3638</v>
      </c>
      <c r="C372" s="224" t="s">
        <v>4340</v>
      </c>
      <c r="D372" s="33" t="s">
        <v>81</v>
      </c>
      <c r="E372" s="33" t="s">
        <v>1520</v>
      </c>
      <c r="F372" s="33">
        <v>2</v>
      </c>
      <c r="G372" s="33">
        <v>11</v>
      </c>
      <c r="H372" s="33" t="s">
        <v>136</v>
      </c>
      <c r="I372" s="5" t="s">
        <v>3640</v>
      </c>
      <c r="J372" s="33"/>
      <c r="K372" s="33"/>
      <c r="L372" s="429"/>
      <c r="M372" s="367"/>
      <c r="N372" s="367"/>
      <c r="O372" s="429"/>
      <c r="P372" s="369"/>
      <c r="Q372" s="369">
        <v>0</v>
      </c>
      <c r="R372" s="369"/>
      <c r="S372" s="33">
        <v>1100104</v>
      </c>
      <c r="T372" s="380"/>
      <c r="U372" s="434"/>
      <c r="V372" s="369" t="s">
        <v>582</v>
      </c>
      <c r="W372" s="57" t="s">
        <v>4341</v>
      </c>
      <c r="X372" s="57" t="s">
        <v>4341</v>
      </c>
      <c r="Y372" s="369"/>
      <c r="Z372" s="369"/>
      <c r="AA372" s="369"/>
      <c r="AB372" s="369"/>
      <c r="AC372" s="33"/>
      <c r="AD372" s="33"/>
      <c r="AE372" s="33">
        <v>0</v>
      </c>
      <c r="AF372" s="33">
        <v>0</v>
      </c>
      <c r="AG372" s="33">
        <v>0</v>
      </c>
      <c r="AH372" s="33"/>
      <c r="AI372" s="33">
        <v>0</v>
      </c>
      <c r="AJ372" s="33">
        <v>0</v>
      </c>
      <c r="AK372" s="396"/>
      <c r="AL372" s="396"/>
      <c r="AM372" s="396"/>
      <c r="AN372" s="33"/>
      <c r="AO372" s="33"/>
      <c r="AP372" s="33"/>
      <c r="AQ372" s="33" t="s">
        <v>1546</v>
      </c>
      <c r="AR372" s="404"/>
    </row>
    <row r="373" spans="1:44" ht="15" customHeight="1">
      <c r="A373" s="33">
        <v>1110105</v>
      </c>
      <c r="B373" s="5" t="s">
        <v>3638</v>
      </c>
      <c r="C373" s="224" t="s">
        <v>4342</v>
      </c>
      <c r="D373" s="33" t="s">
        <v>81</v>
      </c>
      <c r="E373" s="33" t="s">
        <v>1520</v>
      </c>
      <c r="F373" s="33">
        <v>1</v>
      </c>
      <c r="G373" s="33">
        <v>11</v>
      </c>
      <c r="H373" s="33" t="s">
        <v>82</v>
      </c>
      <c r="I373" s="5" t="s">
        <v>3640</v>
      </c>
      <c r="J373" s="33"/>
      <c r="K373" s="33">
        <v>5</v>
      </c>
      <c r="L373" s="430" t="s">
        <v>1350</v>
      </c>
      <c r="M373" s="367"/>
      <c r="N373" s="367"/>
      <c r="O373" s="33"/>
      <c r="P373" s="369"/>
      <c r="Q373" s="369">
        <v>0</v>
      </c>
      <c r="R373" s="369" t="s">
        <v>85</v>
      </c>
      <c r="S373" s="33">
        <v>1100002</v>
      </c>
      <c r="T373" s="380" t="s">
        <v>1548</v>
      </c>
      <c r="U373" s="434" t="s">
        <v>1532</v>
      </c>
      <c r="V373" s="369" t="s">
        <v>105</v>
      </c>
      <c r="W373" s="57" t="s">
        <v>4343</v>
      </c>
      <c r="X373" s="57" t="s">
        <v>4343</v>
      </c>
      <c r="Y373" s="369"/>
      <c r="Z373" s="369"/>
      <c r="AA373" s="369">
        <v>1</v>
      </c>
      <c r="AB373" s="369" t="s">
        <v>90</v>
      </c>
      <c r="AC373" s="33"/>
      <c r="AD373" s="33"/>
      <c r="AE373" s="33">
        <v>1</v>
      </c>
      <c r="AF373" s="33">
        <v>1</v>
      </c>
      <c r="AG373" s="33">
        <v>5</v>
      </c>
      <c r="AH373" s="33"/>
      <c r="AI373" s="33">
        <v>39</v>
      </c>
      <c r="AJ373" s="33">
        <v>26</v>
      </c>
      <c r="AK373" s="396"/>
      <c r="AL373" s="396"/>
      <c r="AM373" s="396"/>
      <c r="AN373" s="33" t="s">
        <v>1550</v>
      </c>
      <c r="AO373" s="33"/>
      <c r="AP373" s="33"/>
      <c r="AQ373" s="33" t="s">
        <v>1551</v>
      </c>
      <c r="AR373" s="404">
        <v>288</v>
      </c>
    </row>
    <row r="374" spans="1:44" ht="15" customHeight="1">
      <c r="A374" s="33">
        <v>1110106</v>
      </c>
      <c r="B374" s="5" t="s">
        <v>3638</v>
      </c>
      <c r="C374" s="224" t="s">
        <v>4344</v>
      </c>
      <c r="D374" s="33" t="s">
        <v>81</v>
      </c>
      <c r="E374" s="33" t="s">
        <v>1520</v>
      </c>
      <c r="F374" s="33">
        <v>3</v>
      </c>
      <c r="G374" s="33">
        <v>11</v>
      </c>
      <c r="H374" s="33" t="s">
        <v>136</v>
      </c>
      <c r="I374" s="5" t="s">
        <v>3640</v>
      </c>
      <c r="J374" s="33"/>
      <c r="K374" s="33"/>
      <c r="L374" s="429"/>
      <c r="M374" s="367"/>
      <c r="N374" s="367"/>
      <c r="O374" s="429"/>
      <c r="P374" s="369"/>
      <c r="Q374" s="369">
        <v>0</v>
      </c>
      <c r="R374" s="369" t="s">
        <v>153</v>
      </c>
      <c r="S374" s="33">
        <v>1100106</v>
      </c>
      <c r="T374" s="380"/>
      <c r="U374" s="434"/>
      <c r="V374" s="369" t="s">
        <v>582</v>
      </c>
      <c r="W374" s="57" t="s">
        <v>4345</v>
      </c>
      <c r="X374" s="57" t="s">
        <v>4345</v>
      </c>
      <c r="Y374" s="369"/>
      <c r="Z374" s="369"/>
      <c r="AA374" s="369"/>
      <c r="AB374" s="369"/>
      <c r="AC374" s="33"/>
      <c r="AD374" s="33"/>
      <c r="AE374" s="33">
        <v>0</v>
      </c>
      <c r="AF374" s="33">
        <v>0</v>
      </c>
      <c r="AG374" s="33">
        <v>0</v>
      </c>
      <c r="AH374" s="33"/>
      <c r="AI374" s="33">
        <v>0</v>
      </c>
      <c r="AJ374" s="33">
        <v>0</v>
      </c>
      <c r="AK374" s="396"/>
      <c r="AL374" s="396"/>
      <c r="AM374" s="396"/>
      <c r="AN374" s="33"/>
      <c r="AO374" s="33"/>
      <c r="AP374" s="33"/>
      <c r="AQ374" s="33" t="s">
        <v>1554</v>
      </c>
      <c r="AR374" s="404"/>
    </row>
    <row r="375" spans="1:44" ht="15" customHeight="1">
      <c r="A375" s="33">
        <v>1110107</v>
      </c>
      <c r="B375" s="5" t="s">
        <v>3638</v>
      </c>
      <c r="C375" s="224" t="s">
        <v>4346</v>
      </c>
      <c r="D375" s="33" t="s">
        <v>81</v>
      </c>
      <c r="E375" s="33" t="s">
        <v>1520</v>
      </c>
      <c r="F375" s="33">
        <v>4</v>
      </c>
      <c r="G375" s="33">
        <v>11</v>
      </c>
      <c r="H375" s="33" t="s">
        <v>136</v>
      </c>
      <c r="I375" s="5" t="s">
        <v>3640</v>
      </c>
      <c r="J375" s="33"/>
      <c r="K375" s="33"/>
      <c r="L375" s="429"/>
      <c r="M375" s="367"/>
      <c r="N375" s="367"/>
      <c r="O375" s="429"/>
      <c r="P375" s="369"/>
      <c r="Q375" s="369">
        <v>0</v>
      </c>
      <c r="R375" s="369" t="s">
        <v>153</v>
      </c>
      <c r="S375" s="33">
        <v>1100107</v>
      </c>
      <c r="T375" s="380"/>
      <c r="U375" s="434"/>
      <c r="V375" s="369" t="s">
        <v>582</v>
      </c>
      <c r="W375" s="57" t="s">
        <v>4347</v>
      </c>
      <c r="X375" s="57" t="s">
        <v>4347</v>
      </c>
      <c r="Y375" s="369"/>
      <c r="Z375" s="369"/>
      <c r="AA375" s="369"/>
      <c r="AB375" s="369"/>
      <c r="AC375" s="33"/>
      <c r="AD375" s="33"/>
      <c r="AE375" s="33">
        <v>0</v>
      </c>
      <c r="AF375" s="33">
        <v>0</v>
      </c>
      <c r="AG375" s="33">
        <v>0</v>
      </c>
      <c r="AH375" s="33"/>
      <c r="AI375" s="33">
        <v>0</v>
      </c>
      <c r="AJ375" s="33">
        <v>0</v>
      </c>
      <c r="AK375" s="396"/>
      <c r="AL375" s="396"/>
      <c r="AM375" s="396"/>
      <c r="AN375" s="33"/>
      <c r="AO375" s="33"/>
      <c r="AP375" s="33"/>
      <c r="AQ375" s="33" t="s">
        <v>1557</v>
      </c>
      <c r="AR375" s="404"/>
    </row>
    <row r="376" spans="1:44" ht="15" customHeight="1">
      <c r="A376" s="33">
        <v>1110108</v>
      </c>
      <c r="B376" s="5" t="s">
        <v>3638</v>
      </c>
      <c r="C376" s="224" t="s">
        <v>4348</v>
      </c>
      <c r="D376" s="33" t="s">
        <v>81</v>
      </c>
      <c r="E376" s="33" t="s">
        <v>1520</v>
      </c>
      <c r="F376" s="33">
        <v>5</v>
      </c>
      <c r="G376" s="33">
        <v>11</v>
      </c>
      <c r="H376" s="33" t="s">
        <v>136</v>
      </c>
      <c r="I376" s="5" t="s">
        <v>3640</v>
      </c>
      <c r="J376" s="33"/>
      <c r="K376" s="33"/>
      <c r="L376" s="429"/>
      <c r="M376" s="367"/>
      <c r="N376" s="367"/>
      <c r="O376" s="429"/>
      <c r="P376" s="369"/>
      <c r="Q376" s="369">
        <v>0</v>
      </c>
      <c r="R376" s="369" t="s">
        <v>153</v>
      </c>
      <c r="S376" s="33">
        <v>1100108</v>
      </c>
      <c r="T376" s="380"/>
      <c r="U376" s="381"/>
      <c r="V376" s="369" t="s">
        <v>582</v>
      </c>
      <c r="W376" s="57" t="s">
        <v>4349</v>
      </c>
      <c r="X376" s="57" t="s">
        <v>4349</v>
      </c>
      <c r="Y376" s="369"/>
      <c r="Z376" s="369"/>
      <c r="AA376" s="369"/>
      <c r="AB376" s="369"/>
      <c r="AC376" s="33"/>
      <c r="AD376" s="33"/>
      <c r="AE376" s="33">
        <v>0</v>
      </c>
      <c r="AF376" s="33">
        <v>0</v>
      </c>
      <c r="AG376" s="33">
        <v>0</v>
      </c>
      <c r="AH376" s="33"/>
      <c r="AI376" s="33">
        <v>0</v>
      </c>
      <c r="AJ376" s="33">
        <v>0</v>
      </c>
      <c r="AK376" s="396"/>
      <c r="AL376" s="396"/>
      <c r="AM376" s="396"/>
      <c r="AN376" s="33"/>
      <c r="AO376" s="33"/>
      <c r="AP376" s="33"/>
      <c r="AQ376" s="33" t="s">
        <v>1560</v>
      </c>
      <c r="AR376" s="404"/>
    </row>
    <row r="377" spans="1:44" ht="15" customHeight="1">
      <c r="A377" s="33">
        <v>1110109</v>
      </c>
      <c r="B377" s="5" t="s">
        <v>3638</v>
      </c>
      <c r="C377" s="224" t="s">
        <v>4350</v>
      </c>
      <c r="D377" s="33" t="s">
        <v>81</v>
      </c>
      <c r="E377" s="33" t="s">
        <v>1520</v>
      </c>
      <c r="F377" s="33">
        <v>6</v>
      </c>
      <c r="G377" s="33">
        <v>11</v>
      </c>
      <c r="H377" s="33" t="s">
        <v>136</v>
      </c>
      <c r="I377" s="5" t="s">
        <v>3640</v>
      </c>
      <c r="J377" s="33"/>
      <c r="K377" s="33"/>
      <c r="L377" s="429"/>
      <c r="M377" s="367"/>
      <c r="N377" s="367"/>
      <c r="O377" s="429"/>
      <c r="P377" s="369"/>
      <c r="Q377" s="369">
        <v>0</v>
      </c>
      <c r="R377" s="369" t="s">
        <v>153</v>
      </c>
      <c r="S377" s="33">
        <v>1100109</v>
      </c>
      <c r="T377" s="380"/>
      <c r="U377" s="381"/>
      <c r="V377" s="369" t="s">
        <v>582</v>
      </c>
      <c r="W377" s="57" t="s">
        <v>4351</v>
      </c>
      <c r="X377" s="57" t="s">
        <v>4351</v>
      </c>
      <c r="Y377" s="369"/>
      <c r="Z377" s="369"/>
      <c r="AA377" s="369"/>
      <c r="AB377" s="369"/>
      <c r="AC377" s="33"/>
      <c r="AD377" s="33"/>
      <c r="AE377" s="33">
        <v>0</v>
      </c>
      <c r="AF377" s="33">
        <v>0</v>
      </c>
      <c r="AG377" s="33">
        <v>0</v>
      </c>
      <c r="AH377" s="33"/>
      <c r="AI377" s="33">
        <v>0</v>
      </c>
      <c r="AJ377" s="33">
        <v>0</v>
      </c>
      <c r="AK377" s="396"/>
      <c r="AL377" s="396"/>
      <c r="AM377" s="396"/>
      <c r="AN377" s="33"/>
      <c r="AO377" s="33"/>
      <c r="AP377" s="33"/>
      <c r="AQ377" s="33" t="s">
        <v>1563</v>
      </c>
      <c r="AR377" s="404"/>
    </row>
    <row r="378" spans="1:44" ht="15" customHeight="1">
      <c r="A378" s="33">
        <v>1110110</v>
      </c>
      <c r="B378" s="5" t="s">
        <v>3638</v>
      </c>
      <c r="C378" s="224" t="s">
        <v>4352</v>
      </c>
      <c r="D378" s="33" t="s">
        <v>81</v>
      </c>
      <c r="E378" s="33" t="s">
        <v>1520</v>
      </c>
      <c r="F378" s="33">
        <v>7</v>
      </c>
      <c r="G378" s="33">
        <v>11</v>
      </c>
      <c r="H378" s="33" t="s">
        <v>136</v>
      </c>
      <c r="I378" s="5" t="s">
        <v>3640</v>
      </c>
      <c r="J378" s="33"/>
      <c r="K378" s="33"/>
      <c r="L378" s="429"/>
      <c r="M378" s="367"/>
      <c r="N378" s="367"/>
      <c r="O378" s="429"/>
      <c r="P378" s="369"/>
      <c r="Q378" s="369">
        <v>0</v>
      </c>
      <c r="R378" s="369" t="s">
        <v>153</v>
      </c>
      <c r="S378" s="33">
        <v>1100110</v>
      </c>
      <c r="T378" s="380"/>
      <c r="U378" s="381"/>
      <c r="V378" s="369" t="s">
        <v>582</v>
      </c>
      <c r="W378" s="57" t="s">
        <v>4353</v>
      </c>
      <c r="X378" s="57" t="s">
        <v>4353</v>
      </c>
      <c r="Y378" s="369"/>
      <c r="Z378" s="369"/>
      <c r="AA378" s="369"/>
      <c r="AB378" s="369"/>
      <c r="AC378" s="33"/>
      <c r="AD378" s="33"/>
      <c r="AE378" s="33">
        <v>0</v>
      </c>
      <c r="AF378" s="33">
        <v>0</v>
      </c>
      <c r="AG378" s="33">
        <v>0</v>
      </c>
      <c r="AH378" s="33"/>
      <c r="AI378" s="33">
        <v>0</v>
      </c>
      <c r="AJ378" s="33">
        <v>0</v>
      </c>
      <c r="AK378" s="396"/>
      <c r="AL378" s="396"/>
      <c r="AM378" s="396"/>
      <c r="AN378" s="33"/>
      <c r="AO378" s="33"/>
      <c r="AP378" s="33"/>
      <c r="AQ378" s="33" t="s">
        <v>1566</v>
      </c>
      <c r="AR378" s="404"/>
    </row>
    <row r="379" spans="1:44" ht="15" customHeight="1">
      <c r="A379" s="3">
        <v>1110111</v>
      </c>
      <c r="B379" s="5" t="s">
        <v>3638</v>
      </c>
      <c r="C379" s="224" t="s">
        <v>4354</v>
      </c>
      <c r="D379" s="3" t="s">
        <v>81</v>
      </c>
      <c r="E379" s="3" t="s">
        <v>1520</v>
      </c>
      <c r="F379" s="3">
        <v>8</v>
      </c>
      <c r="G379" s="3">
        <v>11</v>
      </c>
      <c r="H379" s="3" t="s">
        <v>136</v>
      </c>
      <c r="I379" s="5" t="s">
        <v>3640</v>
      </c>
      <c r="J379" s="3"/>
      <c r="K379" s="3"/>
      <c r="L379" s="236"/>
      <c r="M379" s="99"/>
      <c r="N379" s="99"/>
      <c r="O379" s="236"/>
      <c r="P379" s="22"/>
      <c r="Q379" s="22">
        <v>0</v>
      </c>
      <c r="R379" s="22" t="s">
        <v>153</v>
      </c>
      <c r="S379" s="3"/>
      <c r="T379" s="260"/>
      <c r="U379" s="261"/>
      <c r="V379" s="22"/>
      <c r="W379" s="57" t="s">
        <v>3665</v>
      </c>
      <c r="X379" s="57" t="s">
        <v>3665</v>
      </c>
      <c r="Y379" s="22"/>
      <c r="Z379" s="22"/>
      <c r="AA379" s="22"/>
      <c r="AB379" s="22" t="s">
        <v>114</v>
      </c>
      <c r="AC379" s="3"/>
      <c r="AD379" s="3"/>
      <c r="AE379" s="3">
        <v>0</v>
      </c>
      <c r="AF379" s="3">
        <v>0</v>
      </c>
      <c r="AG379" s="3">
        <v>0</v>
      </c>
      <c r="AH379" s="3"/>
      <c r="AI379" s="3">
        <v>0</v>
      </c>
      <c r="AJ379" s="3">
        <v>0</v>
      </c>
      <c r="AK379" s="3">
        <v>0</v>
      </c>
      <c r="AL379" s="3"/>
      <c r="AM379" s="3"/>
      <c r="AN379" s="3"/>
      <c r="AO379" s="3"/>
      <c r="AP379" s="3"/>
      <c r="AQ379" s="3" t="s">
        <v>1551</v>
      </c>
      <c r="AR379" s="281"/>
    </row>
    <row r="380" spans="1:44" ht="15" customHeight="1">
      <c r="A380" s="3">
        <v>1110112</v>
      </c>
      <c r="B380" s="5" t="s">
        <v>3638</v>
      </c>
      <c r="C380" s="224" t="s">
        <v>4355</v>
      </c>
      <c r="D380" s="3" t="s">
        <v>81</v>
      </c>
      <c r="E380" s="3" t="s">
        <v>1520</v>
      </c>
      <c r="F380" s="3">
        <v>9</v>
      </c>
      <c r="G380" s="3">
        <v>11</v>
      </c>
      <c r="H380" s="3" t="s">
        <v>136</v>
      </c>
      <c r="I380" s="5" t="s">
        <v>3640</v>
      </c>
      <c r="J380" s="3"/>
      <c r="K380" s="3"/>
      <c r="L380" s="236"/>
      <c r="M380" s="99"/>
      <c r="N380" s="99"/>
      <c r="O380" s="236"/>
      <c r="P380" s="22"/>
      <c r="Q380" s="22">
        <v>0</v>
      </c>
      <c r="R380" s="22" t="s">
        <v>153</v>
      </c>
      <c r="S380" s="3"/>
      <c r="T380" s="260"/>
      <c r="U380" s="261"/>
      <c r="V380" s="22"/>
      <c r="W380" s="57" t="s">
        <v>4356</v>
      </c>
      <c r="X380" s="57" t="s">
        <v>4356</v>
      </c>
      <c r="Y380" s="22"/>
      <c r="Z380" s="22"/>
      <c r="AA380" s="22"/>
      <c r="AB380" s="22" t="s">
        <v>114</v>
      </c>
      <c r="AC380" s="3"/>
      <c r="AD380" s="3"/>
      <c r="AE380" s="3">
        <v>0</v>
      </c>
      <c r="AF380" s="3">
        <v>0</v>
      </c>
      <c r="AG380" s="3">
        <v>0</v>
      </c>
      <c r="AH380" s="3"/>
      <c r="AI380" s="3">
        <v>0</v>
      </c>
      <c r="AJ380" s="3">
        <v>0</v>
      </c>
      <c r="AK380" s="3">
        <v>0</v>
      </c>
      <c r="AL380" s="3"/>
      <c r="AM380" s="3"/>
      <c r="AN380" s="3"/>
      <c r="AO380" s="3"/>
      <c r="AP380" s="3"/>
      <c r="AQ380" s="282" t="str">
        <f>"tricks/"&amp;A380</f>
        <v>tricks/1110112</v>
      </c>
    </row>
    <row r="381" spans="1:44" ht="15" customHeight="1">
      <c r="A381" s="3">
        <v>1110113</v>
      </c>
      <c r="B381" s="5" t="s">
        <v>3638</v>
      </c>
      <c r="C381" s="224" t="s">
        <v>4357</v>
      </c>
      <c r="D381" s="3" t="s">
        <v>81</v>
      </c>
      <c r="E381" s="3" t="s">
        <v>1520</v>
      </c>
      <c r="F381" s="3">
        <v>10</v>
      </c>
      <c r="G381" s="3">
        <v>11</v>
      </c>
      <c r="H381" s="3" t="s">
        <v>136</v>
      </c>
      <c r="I381" s="5" t="s">
        <v>3640</v>
      </c>
      <c r="J381" s="3"/>
      <c r="K381" s="3"/>
      <c r="L381" s="236"/>
      <c r="M381" s="99"/>
      <c r="N381" s="99"/>
      <c r="O381" s="236"/>
      <c r="P381" s="22"/>
      <c r="Q381" s="22">
        <v>0</v>
      </c>
      <c r="R381" s="22" t="s">
        <v>153</v>
      </c>
      <c r="S381" s="3"/>
      <c r="T381" s="260"/>
      <c r="U381" s="261"/>
      <c r="V381" s="22"/>
      <c r="W381" s="57" t="s">
        <v>4358</v>
      </c>
      <c r="X381" s="57" t="s">
        <v>4358</v>
      </c>
      <c r="Y381" s="22"/>
      <c r="Z381" s="22"/>
      <c r="AA381" s="22"/>
      <c r="AB381" s="22" t="s">
        <v>114</v>
      </c>
      <c r="AC381" s="3"/>
      <c r="AD381" s="3"/>
      <c r="AE381" s="3">
        <v>0</v>
      </c>
      <c r="AF381" s="3">
        <v>0</v>
      </c>
      <c r="AG381" s="3">
        <v>0</v>
      </c>
      <c r="AH381" s="3"/>
      <c r="AI381" s="3">
        <v>0</v>
      </c>
      <c r="AJ381" s="3">
        <v>0</v>
      </c>
      <c r="AK381" s="3">
        <v>0</v>
      </c>
      <c r="AL381" s="3"/>
      <c r="AM381" s="3"/>
      <c r="AN381" s="3"/>
      <c r="AO381" s="3"/>
      <c r="AP381" s="3"/>
      <c r="AQ381" s="282" t="str">
        <f>"tricks/"&amp;A381</f>
        <v>tricks/1110113</v>
      </c>
    </row>
    <row r="382" spans="1:44" ht="15" customHeight="1">
      <c r="A382" s="37">
        <v>1120001</v>
      </c>
      <c r="B382" s="5" t="s">
        <v>3638</v>
      </c>
      <c r="C382" s="224" t="s">
        <v>4359</v>
      </c>
      <c r="D382" s="37" t="s">
        <v>81</v>
      </c>
      <c r="E382" s="37" t="s">
        <v>1574</v>
      </c>
      <c r="F382" s="37">
        <v>1</v>
      </c>
      <c r="G382" s="37">
        <v>12</v>
      </c>
      <c r="H382" s="37" t="s">
        <v>82</v>
      </c>
      <c r="I382" s="5" t="s">
        <v>3640</v>
      </c>
      <c r="J382" s="37"/>
      <c r="K382" s="37">
        <v>4</v>
      </c>
      <c r="L382" s="431" t="s">
        <v>1575</v>
      </c>
      <c r="M382" s="409"/>
      <c r="N382" s="409"/>
      <c r="O382" s="37"/>
      <c r="P382" s="410"/>
      <c r="Q382" s="410">
        <v>0</v>
      </c>
      <c r="R382" s="410" t="s">
        <v>85</v>
      </c>
      <c r="S382" s="37">
        <v>1500001</v>
      </c>
      <c r="T382" s="415"/>
      <c r="U382" s="416"/>
      <c r="V382" s="410" t="s">
        <v>342</v>
      </c>
      <c r="W382" s="57" t="s">
        <v>4360</v>
      </c>
      <c r="X382" s="57" t="s">
        <v>4360</v>
      </c>
      <c r="Y382" s="410"/>
      <c r="Z382" s="410"/>
      <c r="AA382" s="410">
        <v>1</v>
      </c>
      <c r="AB382" s="410" t="s">
        <v>90</v>
      </c>
      <c r="AC382" s="37"/>
      <c r="AD382" s="37"/>
      <c r="AE382" s="37">
        <v>2</v>
      </c>
      <c r="AF382" s="37">
        <v>0</v>
      </c>
      <c r="AG382" s="37">
        <v>5</v>
      </c>
      <c r="AH382" s="37"/>
      <c r="AI382" s="37">
        <v>52</v>
      </c>
      <c r="AJ382" s="37">
        <v>39</v>
      </c>
      <c r="AK382" s="420"/>
      <c r="AL382" s="420"/>
      <c r="AM382" s="420"/>
      <c r="AN382" s="37" t="s">
        <v>1577</v>
      </c>
      <c r="AO382" s="37"/>
      <c r="AP382" s="37"/>
      <c r="AQ382" s="37" t="s">
        <v>1578</v>
      </c>
      <c r="AR382" s="423">
        <v>310</v>
      </c>
    </row>
    <row r="383" spans="1:44" ht="15" customHeight="1">
      <c r="A383" s="37">
        <v>1120002</v>
      </c>
      <c r="B383" s="5" t="s">
        <v>3638</v>
      </c>
      <c r="C383" s="224" t="s">
        <v>4361</v>
      </c>
      <c r="D383" s="37" t="s">
        <v>81</v>
      </c>
      <c r="E383" s="37" t="s">
        <v>1574</v>
      </c>
      <c r="F383" s="37">
        <v>1</v>
      </c>
      <c r="G383" s="37">
        <v>12</v>
      </c>
      <c r="H383" s="37" t="s">
        <v>82</v>
      </c>
      <c r="I383" s="5" t="s">
        <v>3640</v>
      </c>
      <c r="J383" s="37"/>
      <c r="K383" s="37">
        <v>5</v>
      </c>
      <c r="L383" s="431" t="s">
        <v>1580</v>
      </c>
      <c r="M383" s="409"/>
      <c r="N383" s="409"/>
      <c r="O383" s="37"/>
      <c r="P383" s="410"/>
      <c r="Q383" s="410">
        <v>0</v>
      </c>
      <c r="R383" s="410" t="s">
        <v>85</v>
      </c>
      <c r="S383" s="37">
        <v>1500002</v>
      </c>
      <c r="T383" s="415"/>
      <c r="U383" s="416"/>
      <c r="V383" s="410" t="s">
        <v>342</v>
      </c>
      <c r="W383" s="57" t="s">
        <v>4362</v>
      </c>
      <c r="X383" s="57" t="s">
        <v>4362</v>
      </c>
      <c r="Y383" s="410"/>
      <c r="Z383" s="410"/>
      <c r="AA383" s="410">
        <v>1</v>
      </c>
      <c r="AB383" s="410" t="s">
        <v>90</v>
      </c>
      <c r="AC383" s="37"/>
      <c r="AD383" s="37"/>
      <c r="AE383" s="37">
        <v>2</v>
      </c>
      <c r="AF383" s="37">
        <v>0</v>
      </c>
      <c r="AG383" s="37">
        <v>6</v>
      </c>
      <c r="AH383" s="37"/>
      <c r="AI383" s="37">
        <v>65</v>
      </c>
      <c r="AJ383" s="37">
        <v>45</v>
      </c>
      <c r="AK383" s="420"/>
      <c r="AL383" s="420"/>
      <c r="AM383" s="420"/>
      <c r="AN383" s="37" t="s">
        <v>1582</v>
      </c>
      <c r="AO383" s="37"/>
      <c r="AP383" s="37"/>
      <c r="AQ383" s="37" t="s">
        <v>1583</v>
      </c>
      <c r="AR383" s="423">
        <v>320</v>
      </c>
    </row>
    <row r="384" spans="1:44" ht="15" customHeight="1">
      <c r="A384" s="37">
        <v>1120101</v>
      </c>
      <c r="B384" s="5" t="s">
        <v>3638</v>
      </c>
      <c r="C384" s="224" t="s">
        <v>4363</v>
      </c>
      <c r="D384" s="37" t="s">
        <v>81</v>
      </c>
      <c r="E384" s="37" t="s">
        <v>1574</v>
      </c>
      <c r="F384" s="37">
        <v>1</v>
      </c>
      <c r="G384" s="37">
        <v>12</v>
      </c>
      <c r="H384" s="37" t="s">
        <v>82</v>
      </c>
      <c r="I384" s="5" t="s">
        <v>3640</v>
      </c>
      <c r="J384" s="37"/>
      <c r="K384" s="37">
        <v>1</v>
      </c>
      <c r="L384" s="431" t="s">
        <v>1585</v>
      </c>
      <c r="M384" s="409"/>
      <c r="N384" s="409"/>
      <c r="O384" s="432"/>
      <c r="P384" s="410">
        <v>1</v>
      </c>
      <c r="Q384" s="410">
        <v>0</v>
      </c>
      <c r="R384" s="410" t="s">
        <v>85</v>
      </c>
      <c r="S384" s="37">
        <v>1500101</v>
      </c>
      <c r="T384" s="415"/>
      <c r="U384" s="416"/>
      <c r="V384" s="410" t="s">
        <v>342</v>
      </c>
      <c r="W384" s="57" t="s">
        <v>4364</v>
      </c>
      <c r="X384" s="57" t="s">
        <v>4364</v>
      </c>
      <c r="Y384" s="410"/>
      <c r="Z384" s="410"/>
      <c r="AA384" s="410">
        <v>1</v>
      </c>
      <c r="AB384" s="410" t="s">
        <v>90</v>
      </c>
      <c r="AC384" s="37"/>
      <c r="AD384" s="37"/>
      <c r="AE384" s="37">
        <v>1</v>
      </c>
      <c r="AF384" s="37">
        <v>2</v>
      </c>
      <c r="AG384" s="37">
        <v>6</v>
      </c>
      <c r="AH384" s="37"/>
      <c r="AI384" s="37">
        <v>39</v>
      </c>
      <c r="AJ384" s="37">
        <v>26</v>
      </c>
      <c r="AK384" s="420"/>
      <c r="AL384" s="420"/>
      <c r="AM384" s="420"/>
      <c r="AN384" s="37" t="s">
        <v>1587</v>
      </c>
      <c r="AO384" s="37"/>
      <c r="AP384" s="37"/>
      <c r="AQ384" s="37" t="s">
        <v>1588</v>
      </c>
      <c r="AR384" s="423">
        <v>298</v>
      </c>
    </row>
    <row r="385" spans="1:44" ht="15" customHeight="1">
      <c r="A385" s="37">
        <v>1120102</v>
      </c>
      <c r="B385" s="5" t="s">
        <v>3638</v>
      </c>
      <c r="C385" s="224" t="s">
        <v>4365</v>
      </c>
      <c r="D385" s="37" t="s">
        <v>81</v>
      </c>
      <c r="E385" s="37" t="s">
        <v>1574</v>
      </c>
      <c r="F385" s="37">
        <v>1</v>
      </c>
      <c r="G385" s="37">
        <v>12</v>
      </c>
      <c r="H385" s="37" t="s">
        <v>136</v>
      </c>
      <c r="I385" s="5" t="s">
        <v>3640</v>
      </c>
      <c r="J385" s="37"/>
      <c r="K385" s="37"/>
      <c r="L385" s="431" t="s">
        <v>1590</v>
      </c>
      <c r="M385" s="409"/>
      <c r="N385" s="409"/>
      <c r="O385" s="432"/>
      <c r="P385" s="410"/>
      <c r="Q385" s="410">
        <v>0</v>
      </c>
      <c r="R385" s="410" t="s">
        <v>153</v>
      </c>
      <c r="S385" s="37">
        <v>1500102</v>
      </c>
      <c r="T385" s="415"/>
      <c r="U385" s="416"/>
      <c r="V385" s="410" t="s">
        <v>342</v>
      </c>
      <c r="W385" s="57" t="s">
        <v>4366</v>
      </c>
      <c r="X385" s="57" t="s">
        <v>4366</v>
      </c>
      <c r="Y385" s="410"/>
      <c r="Z385" s="410"/>
      <c r="AA385" s="410"/>
      <c r="AB385" s="410"/>
      <c r="AC385" s="37"/>
      <c r="AD385" s="37"/>
      <c r="AE385" s="37">
        <v>0</v>
      </c>
      <c r="AF385" s="37">
        <v>0</v>
      </c>
      <c r="AG385" s="37">
        <v>0</v>
      </c>
      <c r="AH385" s="37"/>
      <c r="AI385" s="37">
        <v>0</v>
      </c>
      <c r="AJ385" s="37">
        <v>0</v>
      </c>
      <c r="AK385" s="420"/>
      <c r="AL385" s="420"/>
      <c r="AM385" s="420"/>
      <c r="AN385" s="37"/>
      <c r="AO385" s="37"/>
      <c r="AP385" s="37"/>
      <c r="AQ385" s="37" t="s">
        <v>1591</v>
      </c>
      <c r="AR385" s="423"/>
    </row>
    <row r="386" spans="1:44" ht="15" customHeight="1">
      <c r="A386" s="37">
        <v>1120103</v>
      </c>
      <c r="B386" s="5" t="s">
        <v>3638</v>
      </c>
      <c r="C386" s="224" t="s">
        <v>4367</v>
      </c>
      <c r="D386" s="37" t="s">
        <v>81</v>
      </c>
      <c r="E386" s="37" t="s">
        <v>1574</v>
      </c>
      <c r="F386" s="37">
        <v>1</v>
      </c>
      <c r="G386" s="37">
        <v>12</v>
      </c>
      <c r="H386" s="37" t="s">
        <v>82</v>
      </c>
      <c r="I386" s="5" t="s">
        <v>3640</v>
      </c>
      <c r="J386" s="37"/>
      <c r="K386" s="37">
        <v>2</v>
      </c>
      <c r="L386" s="431" t="s">
        <v>1593</v>
      </c>
      <c r="M386" s="409"/>
      <c r="N386" s="409"/>
      <c r="O386" s="432"/>
      <c r="P386" s="410">
        <v>1</v>
      </c>
      <c r="Q386" s="410">
        <v>0</v>
      </c>
      <c r="R386" s="410" t="s">
        <v>85</v>
      </c>
      <c r="S386" s="37">
        <v>1500103</v>
      </c>
      <c r="T386" s="415" t="s">
        <v>1594</v>
      </c>
      <c r="U386" s="416"/>
      <c r="V386" s="410" t="s">
        <v>342</v>
      </c>
      <c r="W386" s="57" t="s">
        <v>4368</v>
      </c>
      <c r="X386" s="57" t="s">
        <v>4368</v>
      </c>
      <c r="Y386" s="410"/>
      <c r="Z386" s="410"/>
      <c r="AA386" s="410">
        <v>1</v>
      </c>
      <c r="AB386" s="410" t="s">
        <v>90</v>
      </c>
      <c r="AC386" s="37"/>
      <c r="AD386" s="37"/>
      <c r="AE386" s="37">
        <v>1</v>
      </c>
      <c r="AF386" s="37">
        <v>1</v>
      </c>
      <c r="AG386" s="37">
        <v>5</v>
      </c>
      <c r="AH386" s="37"/>
      <c r="AI386" s="37">
        <v>39</v>
      </c>
      <c r="AJ386" s="37">
        <v>26</v>
      </c>
      <c r="AK386" s="420"/>
      <c r="AL386" s="420"/>
      <c r="AM386" s="420"/>
      <c r="AN386" s="37" t="s">
        <v>1596</v>
      </c>
      <c r="AO386" s="37"/>
      <c r="AP386" s="37"/>
      <c r="AQ386" s="37" t="s">
        <v>1597</v>
      </c>
      <c r="AR386" s="423">
        <v>299</v>
      </c>
    </row>
    <row r="387" spans="1:44" ht="15" customHeight="1">
      <c r="A387" s="37">
        <v>1120104</v>
      </c>
      <c r="B387" s="5" t="s">
        <v>3638</v>
      </c>
      <c r="C387" s="224" t="s">
        <v>4369</v>
      </c>
      <c r="D387" s="37" t="s">
        <v>81</v>
      </c>
      <c r="E387" s="37" t="s">
        <v>1574</v>
      </c>
      <c r="F387" s="37">
        <v>2</v>
      </c>
      <c r="G387" s="37">
        <v>12</v>
      </c>
      <c r="H387" s="37" t="s">
        <v>136</v>
      </c>
      <c r="I387" s="5" t="s">
        <v>3640</v>
      </c>
      <c r="J387" s="37"/>
      <c r="K387" s="37"/>
      <c r="L387" s="431" t="s">
        <v>1599</v>
      </c>
      <c r="M387" s="409"/>
      <c r="N387" s="409"/>
      <c r="O387" s="432"/>
      <c r="P387" s="410"/>
      <c r="Q387" s="410">
        <v>0</v>
      </c>
      <c r="R387" s="410" t="s">
        <v>153</v>
      </c>
      <c r="S387" s="37">
        <v>1500104</v>
      </c>
      <c r="T387" s="415"/>
      <c r="U387" s="416"/>
      <c r="V387" s="410" t="s">
        <v>342</v>
      </c>
      <c r="W387" s="57" t="s">
        <v>4370</v>
      </c>
      <c r="X387" s="57" t="s">
        <v>4370</v>
      </c>
      <c r="Y387" s="410"/>
      <c r="Z387" s="410"/>
      <c r="AA387" s="410"/>
      <c r="AB387" s="410"/>
      <c r="AC387" s="37"/>
      <c r="AD387" s="37"/>
      <c r="AE387" s="37">
        <v>0</v>
      </c>
      <c r="AF387" s="37">
        <v>0</v>
      </c>
      <c r="AG387" s="37">
        <v>0</v>
      </c>
      <c r="AH387" s="37"/>
      <c r="AI387" s="37">
        <v>0</v>
      </c>
      <c r="AJ387" s="37">
        <v>0</v>
      </c>
      <c r="AK387" s="420"/>
      <c r="AL387" s="420"/>
      <c r="AM387" s="420"/>
      <c r="AN387" s="37"/>
      <c r="AO387" s="37"/>
      <c r="AP387" s="37"/>
      <c r="AQ387" s="37" t="s">
        <v>1600</v>
      </c>
      <c r="AR387" s="423"/>
    </row>
    <row r="388" spans="1:44" ht="15" customHeight="1">
      <c r="A388" s="37">
        <v>1120105</v>
      </c>
      <c r="B388" s="5" t="s">
        <v>3638</v>
      </c>
      <c r="C388" s="224" t="s">
        <v>4371</v>
      </c>
      <c r="D388" s="37" t="s">
        <v>81</v>
      </c>
      <c r="E388" s="37" t="s">
        <v>1574</v>
      </c>
      <c r="F388" s="37">
        <v>1</v>
      </c>
      <c r="G388" s="37">
        <v>12</v>
      </c>
      <c r="H388" s="37" t="s">
        <v>82</v>
      </c>
      <c r="I388" s="5" t="s">
        <v>3640</v>
      </c>
      <c r="J388" s="37"/>
      <c r="K388" s="37">
        <v>3</v>
      </c>
      <c r="L388" s="431" t="s">
        <v>1602</v>
      </c>
      <c r="M388" s="409"/>
      <c r="N388" s="409"/>
      <c r="O388" s="432"/>
      <c r="P388" s="410">
        <v>1</v>
      </c>
      <c r="Q388" s="410">
        <v>0</v>
      </c>
      <c r="R388" s="410" t="s">
        <v>85</v>
      </c>
      <c r="S388" s="37">
        <v>1500105</v>
      </c>
      <c r="T388" s="415"/>
      <c r="U388" s="416"/>
      <c r="V388" s="410" t="s">
        <v>342</v>
      </c>
      <c r="W388" s="57" t="s">
        <v>4372</v>
      </c>
      <c r="X388" s="57" t="s">
        <v>4372</v>
      </c>
      <c r="Y388" s="410"/>
      <c r="Z388" s="410"/>
      <c r="AA388" s="410">
        <v>1</v>
      </c>
      <c r="AB388" s="410" t="s">
        <v>90</v>
      </c>
      <c r="AC388" s="37"/>
      <c r="AD388" s="37"/>
      <c r="AE388" s="37">
        <v>1</v>
      </c>
      <c r="AF388" s="37">
        <v>1</v>
      </c>
      <c r="AG388" s="37">
        <v>5</v>
      </c>
      <c r="AH388" s="37"/>
      <c r="AI388" s="37">
        <v>39</v>
      </c>
      <c r="AJ388" s="37">
        <v>26</v>
      </c>
      <c r="AK388" s="420"/>
      <c r="AL388" s="420"/>
      <c r="AM388" s="420"/>
      <c r="AN388" s="37" t="s">
        <v>1604</v>
      </c>
      <c r="AO388" s="37"/>
      <c r="AP388" s="37"/>
      <c r="AQ388" s="37" t="s">
        <v>1605</v>
      </c>
      <c r="AR388" s="423">
        <v>300</v>
      </c>
    </row>
    <row r="389" spans="1:44" ht="15" customHeight="1">
      <c r="A389" s="37">
        <v>1120106</v>
      </c>
      <c r="B389" s="5" t="s">
        <v>3638</v>
      </c>
      <c r="C389" s="224" t="s">
        <v>4373</v>
      </c>
      <c r="D389" s="37" t="s">
        <v>81</v>
      </c>
      <c r="E389" s="37" t="s">
        <v>1574</v>
      </c>
      <c r="F389" s="37">
        <v>3</v>
      </c>
      <c r="G389" s="37">
        <v>12</v>
      </c>
      <c r="H389" s="37" t="s">
        <v>136</v>
      </c>
      <c r="I389" s="5" t="s">
        <v>3640</v>
      </c>
      <c r="J389" s="37"/>
      <c r="K389" s="37"/>
      <c r="L389" s="431" t="s">
        <v>1607</v>
      </c>
      <c r="M389" s="409"/>
      <c r="N389" s="409"/>
      <c r="O389" s="432"/>
      <c r="P389" s="410"/>
      <c r="Q389" s="410">
        <v>0</v>
      </c>
      <c r="R389" s="410" t="s">
        <v>153</v>
      </c>
      <c r="S389" s="37">
        <v>1500106</v>
      </c>
      <c r="T389" s="415"/>
      <c r="U389" s="416"/>
      <c r="V389" s="410" t="s">
        <v>342</v>
      </c>
      <c r="W389" s="57" t="s">
        <v>4374</v>
      </c>
      <c r="X389" s="57" t="s">
        <v>4374</v>
      </c>
      <c r="Y389" s="410"/>
      <c r="Z389" s="410"/>
      <c r="AA389" s="410"/>
      <c r="AB389" s="410"/>
      <c r="AC389" s="37"/>
      <c r="AD389" s="37"/>
      <c r="AE389" s="37">
        <v>0</v>
      </c>
      <c r="AF389" s="37">
        <v>0</v>
      </c>
      <c r="AG389" s="37">
        <v>0</v>
      </c>
      <c r="AH389" s="37"/>
      <c r="AI389" s="37">
        <v>0</v>
      </c>
      <c r="AJ389" s="37">
        <v>0</v>
      </c>
      <c r="AK389" s="420"/>
      <c r="AL389" s="420"/>
      <c r="AM389" s="420"/>
      <c r="AN389" s="37"/>
      <c r="AO389" s="37"/>
      <c r="AP389" s="37"/>
      <c r="AQ389" s="37" t="s">
        <v>1609</v>
      </c>
      <c r="AR389" s="423"/>
    </row>
    <row r="390" spans="1:44" ht="15" customHeight="1">
      <c r="A390" s="37">
        <v>1120107</v>
      </c>
      <c r="B390" s="5" t="s">
        <v>3638</v>
      </c>
      <c r="C390" s="224" t="s">
        <v>4375</v>
      </c>
      <c r="D390" s="37" t="s">
        <v>81</v>
      </c>
      <c r="E390" s="37" t="s">
        <v>1574</v>
      </c>
      <c r="F390" s="37">
        <v>4</v>
      </c>
      <c r="G390" s="37">
        <v>12</v>
      </c>
      <c r="H390" s="37" t="s">
        <v>136</v>
      </c>
      <c r="I390" s="5" t="s">
        <v>3640</v>
      </c>
      <c r="J390" s="37"/>
      <c r="K390" s="37"/>
      <c r="L390" s="431" t="s">
        <v>1114</v>
      </c>
      <c r="M390" s="409"/>
      <c r="N390" s="409"/>
      <c r="O390" s="432"/>
      <c r="P390" s="410"/>
      <c r="Q390" s="410">
        <v>0</v>
      </c>
      <c r="R390" s="410" t="s">
        <v>153</v>
      </c>
      <c r="S390" s="37">
        <v>1500107</v>
      </c>
      <c r="T390" s="415"/>
      <c r="U390" s="416"/>
      <c r="V390" s="410" t="s">
        <v>342</v>
      </c>
      <c r="W390" s="57" t="s">
        <v>4110</v>
      </c>
      <c r="X390" s="57" t="s">
        <v>4110</v>
      </c>
      <c r="Y390" s="410"/>
      <c r="Z390" s="410"/>
      <c r="AA390" s="410"/>
      <c r="AB390" s="410"/>
      <c r="AC390" s="37"/>
      <c r="AD390" s="37"/>
      <c r="AE390" s="37">
        <v>0</v>
      </c>
      <c r="AF390" s="37">
        <v>0</v>
      </c>
      <c r="AG390" s="37">
        <v>0</v>
      </c>
      <c r="AH390" s="37"/>
      <c r="AI390" s="37">
        <v>0</v>
      </c>
      <c r="AJ390" s="37">
        <v>0</v>
      </c>
      <c r="AK390" s="420"/>
      <c r="AL390" s="420"/>
      <c r="AM390" s="420"/>
      <c r="AN390" s="37"/>
      <c r="AO390" s="37"/>
      <c r="AP390" s="37"/>
      <c r="AQ390" s="37" t="s">
        <v>1611</v>
      </c>
      <c r="AR390" s="423"/>
    </row>
    <row r="391" spans="1:44" ht="15" customHeight="1">
      <c r="A391" s="37">
        <v>1120108</v>
      </c>
      <c r="B391" s="5" t="s">
        <v>3638</v>
      </c>
      <c r="C391" s="224" t="s">
        <v>4376</v>
      </c>
      <c r="D391" s="37" t="s">
        <v>81</v>
      </c>
      <c r="E391" s="37" t="s">
        <v>1574</v>
      </c>
      <c r="F391" s="37">
        <v>5</v>
      </c>
      <c r="G391" s="37">
        <v>12</v>
      </c>
      <c r="H391" s="37" t="s">
        <v>136</v>
      </c>
      <c r="I391" s="5" t="s">
        <v>3640</v>
      </c>
      <c r="J391" s="37"/>
      <c r="K391" s="37"/>
      <c r="L391" s="431" t="s">
        <v>1613</v>
      </c>
      <c r="M391" s="409"/>
      <c r="N391" s="409"/>
      <c r="O391" s="432"/>
      <c r="P391" s="410"/>
      <c r="Q391" s="410">
        <v>0</v>
      </c>
      <c r="R391" s="410" t="s">
        <v>153</v>
      </c>
      <c r="S391" s="37">
        <v>1500108</v>
      </c>
      <c r="T391" s="415"/>
      <c r="U391" s="416"/>
      <c r="V391" s="410" t="s">
        <v>342</v>
      </c>
      <c r="W391" s="57" t="s">
        <v>4096</v>
      </c>
      <c r="X391" s="57" t="s">
        <v>4096</v>
      </c>
      <c r="Y391" s="410"/>
      <c r="Z391" s="410"/>
      <c r="AA391" s="410"/>
      <c r="AB391" s="410"/>
      <c r="AC391" s="37"/>
      <c r="AD391" s="37"/>
      <c r="AE391" s="37">
        <v>0</v>
      </c>
      <c r="AF391" s="37">
        <v>0</v>
      </c>
      <c r="AG391" s="37">
        <v>0</v>
      </c>
      <c r="AH391" s="37"/>
      <c r="AI391" s="37">
        <v>0</v>
      </c>
      <c r="AJ391" s="37">
        <v>0</v>
      </c>
      <c r="AK391" s="420"/>
      <c r="AL391" s="420"/>
      <c r="AM391" s="420"/>
      <c r="AN391" s="37"/>
      <c r="AO391" s="37"/>
      <c r="AP391" s="37"/>
      <c r="AQ391" s="37" t="s">
        <v>1615</v>
      </c>
      <c r="AR391" s="423"/>
    </row>
    <row r="392" spans="1:44" ht="15" customHeight="1">
      <c r="A392" s="37">
        <v>1120109</v>
      </c>
      <c r="B392" s="5" t="s">
        <v>3638</v>
      </c>
      <c r="C392" s="224" t="s">
        <v>4377</v>
      </c>
      <c r="D392" s="37" t="s">
        <v>81</v>
      </c>
      <c r="E392" s="37" t="s">
        <v>1574</v>
      </c>
      <c r="F392" s="37">
        <v>6</v>
      </c>
      <c r="G392" s="37">
        <v>12</v>
      </c>
      <c r="H392" s="37" t="s">
        <v>136</v>
      </c>
      <c r="I392" s="5" t="s">
        <v>3640</v>
      </c>
      <c r="J392" s="37"/>
      <c r="K392" s="37"/>
      <c r="L392" s="431" t="s">
        <v>1607</v>
      </c>
      <c r="M392" s="409"/>
      <c r="N392" s="409"/>
      <c r="O392" s="432"/>
      <c r="P392" s="410"/>
      <c r="Q392" s="410">
        <v>0</v>
      </c>
      <c r="R392" s="410" t="s">
        <v>153</v>
      </c>
      <c r="S392" s="37">
        <v>1500109</v>
      </c>
      <c r="T392" s="415"/>
      <c r="U392" s="416"/>
      <c r="V392" s="410" t="s">
        <v>342</v>
      </c>
      <c r="W392" s="57" t="s">
        <v>4378</v>
      </c>
      <c r="X392" s="57" t="s">
        <v>4378</v>
      </c>
      <c r="Y392" s="410"/>
      <c r="Z392" s="410"/>
      <c r="AA392" s="410"/>
      <c r="AB392" s="410"/>
      <c r="AC392" s="37"/>
      <c r="AD392" s="37"/>
      <c r="AE392" s="37">
        <v>0</v>
      </c>
      <c r="AF392" s="37">
        <v>0</v>
      </c>
      <c r="AG392" s="37">
        <v>0</v>
      </c>
      <c r="AH392" s="37"/>
      <c r="AI392" s="37">
        <v>0</v>
      </c>
      <c r="AJ392" s="37">
        <v>0</v>
      </c>
      <c r="AK392" s="420"/>
      <c r="AL392" s="420"/>
      <c r="AM392" s="420"/>
      <c r="AN392" s="37"/>
      <c r="AO392" s="37"/>
      <c r="AP392" s="37"/>
      <c r="AQ392" s="37" t="s">
        <v>1618</v>
      </c>
      <c r="AR392" s="423"/>
    </row>
    <row r="393" spans="1:44" ht="15" customHeight="1">
      <c r="A393" s="37">
        <v>1120110</v>
      </c>
      <c r="B393" s="5" t="s">
        <v>3638</v>
      </c>
      <c r="C393" s="224" t="s">
        <v>4379</v>
      </c>
      <c r="D393" s="37" t="s">
        <v>81</v>
      </c>
      <c r="E393" s="37" t="s">
        <v>1574</v>
      </c>
      <c r="F393" s="37">
        <v>7</v>
      </c>
      <c r="G393" s="37">
        <v>12</v>
      </c>
      <c r="H393" s="37" t="s">
        <v>136</v>
      </c>
      <c r="I393" s="5" t="s">
        <v>3640</v>
      </c>
      <c r="J393" s="37"/>
      <c r="K393" s="37"/>
      <c r="L393" s="431" t="s">
        <v>1620</v>
      </c>
      <c r="M393" s="409"/>
      <c r="N393" s="409"/>
      <c r="O393" s="432"/>
      <c r="P393" s="410"/>
      <c r="Q393" s="410">
        <v>0</v>
      </c>
      <c r="R393" s="410" t="s">
        <v>153</v>
      </c>
      <c r="S393" s="37">
        <v>1500110</v>
      </c>
      <c r="T393" s="415"/>
      <c r="U393" s="416"/>
      <c r="V393" s="410" t="s">
        <v>342</v>
      </c>
      <c r="W393" s="57" t="s">
        <v>4380</v>
      </c>
      <c r="X393" s="57" t="s">
        <v>4380</v>
      </c>
      <c r="Y393" s="410"/>
      <c r="Z393" s="410"/>
      <c r="AA393" s="410"/>
      <c r="AB393" s="410"/>
      <c r="AC393" s="37"/>
      <c r="AD393" s="37"/>
      <c r="AE393" s="37">
        <v>0</v>
      </c>
      <c r="AF393" s="37">
        <v>0</v>
      </c>
      <c r="AG393" s="37">
        <v>0</v>
      </c>
      <c r="AH393" s="37"/>
      <c r="AI393" s="37">
        <v>0</v>
      </c>
      <c r="AJ393" s="37">
        <v>0</v>
      </c>
      <c r="AK393" s="420"/>
      <c r="AL393" s="420"/>
      <c r="AM393" s="420"/>
      <c r="AN393" s="37"/>
      <c r="AO393" s="37"/>
      <c r="AP393" s="37"/>
      <c r="AQ393" s="37" t="s">
        <v>1622</v>
      </c>
      <c r="AR393" s="423"/>
    </row>
    <row r="394" spans="1:44" ht="15" customHeight="1">
      <c r="A394" s="3">
        <v>1120111</v>
      </c>
      <c r="B394" s="5" t="s">
        <v>3638</v>
      </c>
      <c r="C394" s="224" t="s">
        <v>4381</v>
      </c>
      <c r="D394" s="3" t="s">
        <v>81</v>
      </c>
      <c r="E394" s="3" t="s">
        <v>1574</v>
      </c>
      <c r="F394" s="3">
        <v>8</v>
      </c>
      <c r="G394" s="3">
        <v>12</v>
      </c>
      <c r="H394" s="3" t="s">
        <v>136</v>
      </c>
      <c r="I394" s="5" t="s">
        <v>3640</v>
      </c>
      <c r="J394" s="3"/>
      <c r="K394" s="3"/>
      <c r="L394" s="236"/>
      <c r="M394" s="99"/>
      <c r="N394" s="99"/>
      <c r="O394" s="236"/>
      <c r="P394" s="22"/>
      <c r="Q394" s="22">
        <v>0</v>
      </c>
      <c r="R394" s="22" t="s">
        <v>153</v>
      </c>
      <c r="S394" s="3"/>
      <c r="T394" s="260"/>
      <c r="U394" s="261"/>
      <c r="V394" s="22"/>
      <c r="W394" s="57" t="s">
        <v>3665</v>
      </c>
      <c r="X394" s="57" t="s">
        <v>3665</v>
      </c>
      <c r="Y394" s="22"/>
      <c r="Z394" s="22"/>
      <c r="AA394" s="22"/>
      <c r="AB394" s="22" t="s">
        <v>114</v>
      </c>
      <c r="AC394" s="3"/>
      <c r="AD394" s="3"/>
      <c r="AE394" s="3">
        <v>0</v>
      </c>
      <c r="AF394" s="3">
        <v>0</v>
      </c>
      <c r="AG394" s="3">
        <v>0</v>
      </c>
      <c r="AH394" s="3"/>
      <c r="AI394" s="3">
        <v>0</v>
      </c>
      <c r="AJ394" s="3">
        <v>0</v>
      </c>
      <c r="AK394" s="3">
        <v>0</v>
      </c>
      <c r="AL394" s="3"/>
      <c r="AM394" s="3"/>
      <c r="AN394" s="3"/>
      <c r="AO394" s="3"/>
      <c r="AP394" s="3"/>
      <c r="AQ394" s="3" t="s">
        <v>1605</v>
      </c>
      <c r="AR394" s="281"/>
    </row>
    <row r="395" spans="1:44" ht="15" customHeight="1">
      <c r="A395" s="3">
        <v>1120112</v>
      </c>
      <c r="B395" s="5" t="s">
        <v>3638</v>
      </c>
      <c r="C395" s="224" t="s">
        <v>4382</v>
      </c>
      <c r="D395" s="3" t="s">
        <v>81</v>
      </c>
      <c r="E395" s="3" t="s">
        <v>1574</v>
      </c>
      <c r="F395" s="3">
        <v>9</v>
      </c>
      <c r="G395" s="3">
        <v>12</v>
      </c>
      <c r="H395" s="3" t="s">
        <v>136</v>
      </c>
      <c r="I395" s="5" t="s">
        <v>3640</v>
      </c>
      <c r="J395" s="3"/>
      <c r="K395" s="3"/>
      <c r="L395" s="236"/>
      <c r="M395" s="99"/>
      <c r="N395" s="99"/>
      <c r="O395" s="236"/>
      <c r="P395" s="22"/>
      <c r="Q395" s="22">
        <v>0</v>
      </c>
      <c r="R395" s="22" t="s">
        <v>153</v>
      </c>
      <c r="S395" s="3"/>
      <c r="T395" s="260"/>
      <c r="U395" s="261"/>
      <c r="V395" s="22"/>
      <c r="W395" s="57" t="s">
        <v>4383</v>
      </c>
      <c r="X395" s="57" t="s">
        <v>4383</v>
      </c>
      <c r="Y395" s="22"/>
      <c r="Z395" s="22"/>
      <c r="AA395" s="22"/>
      <c r="AB395" s="22" t="s">
        <v>114</v>
      </c>
      <c r="AC395" s="3"/>
      <c r="AD395" s="3"/>
      <c r="AE395" s="3">
        <v>0</v>
      </c>
      <c r="AF395" s="3">
        <v>0</v>
      </c>
      <c r="AG395" s="3">
        <v>0</v>
      </c>
      <c r="AH395" s="3"/>
      <c r="AI395" s="3">
        <v>0</v>
      </c>
      <c r="AJ395" s="3">
        <v>0</v>
      </c>
      <c r="AK395" s="3">
        <v>0</v>
      </c>
      <c r="AL395" s="3"/>
      <c r="AM395" s="3"/>
      <c r="AN395" s="3"/>
      <c r="AO395" s="3"/>
      <c r="AP395" s="3"/>
      <c r="AQ395" s="282" t="str">
        <f>"tricks/"&amp;A395</f>
        <v>tricks/1120112</v>
      </c>
    </row>
    <row r="396" spans="1:44" ht="15" customHeight="1">
      <c r="A396" s="3">
        <v>1120113</v>
      </c>
      <c r="B396" s="5" t="s">
        <v>3638</v>
      </c>
      <c r="C396" s="224" t="s">
        <v>4384</v>
      </c>
      <c r="D396" s="3" t="s">
        <v>81</v>
      </c>
      <c r="E396" s="3" t="s">
        <v>1574</v>
      </c>
      <c r="F396" s="3">
        <v>10</v>
      </c>
      <c r="G396" s="3">
        <v>12</v>
      </c>
      <c r="H396" s="3" t="s">
        <v>136</v>
      </c>
      <c r="I396" s="5" t="s">
        <v>3640</v>
      </c>
      <c r="J396" s="3"/>
      <c r="K396" s="3"/>
      <c r="L396" s="236"/>
      <c r="M396" s="99"/>
      <c r="N396" s="99"/>
      <c r="O396" s="236"/>
      <c r="P396" s="22"/>
      <c r="Q396" s="22">
        <v>0</v>
      </c>
      <c r="R396" s="22" t="s">
        <v>153</v>
      </c>
      <c r="S396" s="3"/>
      <c r="T396" s="260"/>
      <c r="U396" s="261"/>
      <c r="V396" s="22"/>
      <c r="W396" s="57" t="s">
        <v>4385</v>
      </c>
      <c r="X396" s="57" t="s">
        <v>4385</v>
      </c>
      <c r="Y396" s="22"/>
      <c r="Z396" s="22"/>
      <c r="AA396" s="22"/>
      <c r="AB396" s="22" t="s">
        <v>114</v>
      </c>
      <c r="AC396" s="3"/>
      <c r="AD396" s="3"/>
      <c r="AE396" s="3">
        <v>0</v>
      </c>
      <c r="AF396" s="3">
        <v>0</v>
      </c>
      <c r="AG396" s="3">
        <v>0</v>
      </c>
      <c r="AH396" s="3"/>
      <c r="AI396" s="3">
        <v>0</v>
      </c>
      <c r="AJ396" s="3">
        <v>0</v>
      </c>
      <c r="AK396" s="3">
        <v>0</v>
      </c>
      <c r="AL396" s="3"/>
      <c r="AM396" s="3"/>
      <c r="AN396" s="3"/>
      <c r="AO396" s="3"/>
      <c r="AP396" s="3"/>
      <c r="AQ396" s="282" t="str">
        <f>"tricks/"&amp;A396</f>
        <v>tricks/1120113</v>
      </c>
    </row>
    <row r="397" spans="1:44" ht="15" customHeight="1">
      <c r="A397" s="37">
        <v>1130001</v>
      </c>
      <c r="B397" s="5" t="s">
        <v>3638</v>
      </c>
      <c r="C397" s="224" t="s">
        <v>4386</v>
      </c>
      <c r="D397" s="37" t="s">
        <v>81</v>
      </c>
      <c r="E397" s="37" t="s">
        <v>1630</v>
      </c>
      <c r="F397" s="37">
        <v>1</v>
      </c>
      <c r="G397" s="37">
        <v>13</v>
      </c>
      <c r="H397" s="37" t="s">
        <v>82</v>
      </c>
      <c r="I397" s="5" t="s">
        <v>3640</v>
      </c>
      <c r="J397" s="37"/>
      <c r="K397" s="37">
        <v>4</v>
      </c>
      <c r="L397" s="431"/>
      <c r="M397" s="409"/>
      <c r="N397" s="409"/>
      <c r="O397" s="37"/>
      <c r="P397" s="410"/>
      <c r="Q397" s="410">
        <v>0</v>
      </c>
      <c r="R397" s="410" t="s">
        <v>85</v>
      </c>
      <c r="S397" s="37">
        <v>1500001</v>
      </c>
      <c r="T397" s="415" t="s">
        <v>1521</v>
      </c>
      <c r="U397" s="416" t="s">
        <v>1522</v>
      </c>
      <c r="V397" s="410" t="s">
        <v>342</v>
      </c>
      <c r="W397" s="57" t="s">
        <v>4387</v>
      </c>
      <c r="X397" s="57" t="s">
        <v>4387</v>
      </c>
      <c r="Y397" s="410"/>
      <c r="Z397" s="410"/>
      <c r="AA397" s="410">
        <v>1</v>
      </c>
      <c r="AB397" s="410" t="s">
        <v>90</v>
      </c>
      <c r="AC397" s="37"/>
      <c r="AD397" s="37"/>
      <c r="AE397" s="37">
        <v>2</v>
      </c>
      <c r="AF397" s="37">
        <v>0</v>
      </c>
      <c r="AG397" s="37">
        <v>5</v>
      </c>
      <c r="AH397" s="37"/>
      <c r="AI397" s="37">
        <v>52</v>
      </c>
      <c r="AJ397" s="37">
        <v>39</v>
      </c>
      <c r="AK397" s="420"/>
      <c r="AL397" s="420"/>
      <c r="AM397" s="420"/>
      <c r="AN397" s="37" t="s">
        <v>1632</v>
      </c>
      <c r="AO397" s="37"/>
      <c r="AP397" s="37"/>
      <c r="AQ397" s="37" t="s">
        <v>1633</v>
      </c>
      <c r="AR397" s="423">
        <v>337</v>
      </c>
    </row>
    <row r="398" spans="1:44" ht="15" customHeight="1">
      <c r="A398" s="37">
        <v>1130002</v>
      </c>
      <c r="B398" s="5" t="s">
        <v>3638</v>
      </c>
      <c r="C398" s="224" t="s">
        <v>4388</v>
      </c>
      <c r="D398" s="37" t="s">
        <v>81</v>
      </c>
      <c r="E398" s="37" t="s">
        <v>1630</v>
      </c>
      <c r="F398" s="37">
        <v>1</v>
      </c>
      <c r="G398" s="37">
        <v>13</v>
      </c>
      <c r="H398" s="37" t="s">
        <v>82</v>
      </c>
      <c r="I398" s="5" t="s">
        <v>3640</v>
      </c>
      <c r="J398" s="37"/>
      <c r="K398" s="37">
        <v>5</v>
      </c>
      <c r="L398" s="431"/>
      <c r="M398" s="409"/>
      <c r="N398" s="409"/>
      <c r="O398" s="37"/>
      <c r="P398" s="410"/>
      <c r="Q398" s="410">
        <v>0</v>
      </c>
      <c r="R398" s="410" t="s">
        <v>85</v>
      </c>
      <c r="S398" s="37">
        <v>1500002</v>
      </c>
      <c r="T398" s="415" t="s">
        <v>1521</v>
      </c>
      <c r="U398" s="416" t="s">
        <v>1522</v>
      </c>
      <c r="V398" s="410" t="s">
        <v>342</v>
      </c>
      <c r="W398" s="57" t="s">
        <v>4389</v>
      </c>
      <c r="X398" s="57" t="s">
        <v>4389</v>
      </c>
      <c r="Y398" s="410"/>
      <c r="Z398" s="410"/>
      <c r="AA398" s="410">
        <v>1</v>
      </c>
      <c r="AB398" s="410" t="s">
        <v>90</v>
      </c>
      <c r="AC398" s="37"/>
      <c r="AD398" s="37"/>
      <c r="AE398" s="37">
        <v>2</v>
      </c>
      <c r="AF398" s="37">
        <v>0</v>
      </c>
      <c r="AG398" s="37">
        <v>6</v>
      </c>
      <c r="AH398" s="37"/>
      <c r="AI398" s="37">
        <v>65</v>
      </c>
      <c r="AJ398" s="37">
        <v>45</v>
      </c>
      <c r="AK398" s="420"/>
      <c r="AL398" s="420"/>
      <c r="AM398" s="420"/>
      <c r="AN398" s="37" t="s">
        <v>1636</v>
      </c>
      <c r="AO398" s="37"/>
      <c r="AP398" s="37"/>
      <c r="AQ398" s="37" t="s">
        <v>1637</v>
      </c>
      <c r="AR398" s="423">
        <v>338</v>
      </c>
    </row>
    <row r="399" spans="1:44" ht="15" customHeight="1">
      <c r="A399" s="37">
        <v>1130101</v>
      </c>
      <c r="B399" s="5" t="s">
        <v>3638</v>
      </c>
      <c r="C399" s="224" t="s">
        <v>4390</v>
      </c>
      <c r="D399" s="37" t="s">
        <v>81</v>
      </c>
      <c r="E399" s="37" t="s">
        <v>1630</v>
      </c>
      <c r="F399" s="37">
        <v>1</v>
      </c>
      <c r="G399" s="37">
        <v>13</v>
      </c>
      <c r="H399" s="37" t="s">
        <v>82</v>
      </c>
      <c r="I399" s="5" t="s">
        <v>3640</v>
      </c>
      <c r="J399" s="37"/>
      <c r="K399" s="37">
        <v>1</v>
      </c>
      <c r="L399" s="431"/>
      <c r="M399" s="409"/>
      <c r="N399" s="409"/>
      <c r="O399" s="432"/>
      <c r="P399" s="410">
        <v>1</v>
      </c>
      <c r="Q399" s="410">
        <v>0</v>
      </c>
      <c r="R399" s="410" t="s">
        <v>85</v>
      </c>
      <c r="S399" s="37">
        <v>1500101</v>
      </c>
      <c r="T399" s="258" t="s">
        <v>1639</v>
      </c>
      <c r="U399" s="259"/>
      <c r="V399" s="410" t="s">
        <v>342</v>
      </c>
      <c r="W399" s="57" t="s">
        <v>4391</v>
      </c>
      <c r="X399" s="57" t="s">
        <v>4391</v>
      </c>
      <c r="Y399" s="410"/>
      <c r="Z399" s="410"/>
      <c r="AA399" s="410">
        <v>1</v>
      </c>
      <c r="AB399" s="410" t="s">
        <v>90</v>
      </c>
      <c r="AC399" s="37"/>
      <c r="AD399" s="37"/>
      <c r="AE399" s="37">
        <v>1</v>
      </c>
      <c r="AF399" s="37">
        <v>2</v>
      </c>
      <c r="AG399" s="37">
        <v>6</v>
      </c>
      <c r="AH399" s="37"/>
      <c r="AI399" s="37">
        <v>39</v>
      </c>
      <c r="AJ399" s="37">
        <v>26</v>
      </c>
      <c r="AK399" s="420"/>
      <c r="AL399" s="420"/>
      <c r="AM399" s="420"/>
      <c r="AN399" s="37" t="s">
        <v>1641</v>
      </c>
      <c r="AO399" s="37"/>
      <c r="AP399" s="37"/>
      <c r="AQ399" s="37" t="s">
        <v>1642</v>
      </c>
      <c r="AR399" s="423">
        <v>334</v>
      </c>
    </row>
    <row r="400" spans="1:44" ht="15" customHeight="1">
      <c r="A400" s="37">
        <v>1130102</v>
      </c>
      <c r="B400" s="5" t="s">
        <v>3638</v>
      </c>
      <c r="C400" s="224" t="s">
        <v>4392</v>
      </c>
      <c r="D400" s="37" t="s">
        <v>81</v>
      </c>
      <c r="E400" s="37" t="s">
        <v>1630</v>
      </c>
      <c r="F400" s="37">
        <v>1</v>
      </c>
      <c r="G400" s="37">
        <v>13</v>
      </c>
      <c r="H400" s="37" t="s">
        <v>136</v>
      </c>
      <c r="I400" s="5" t="s">
        <v>3640</v>
      </c>
      <c r="J400" s="37"/>
      <c r="K400" s="37"/>
      <c r="L400" s="431"/>
      <c r="M400" s="409"/>
      <c r="N400" s="409"/>
      <c r="O400" s="432"/>
      <c r="P400" s="410"/>
      <c r="Q400" s="410">
        <v>0</v>
      </c>
      <c r="R400" s="410" t="s">
        <v>153</v>
      </c>
      <c r="S400" s="37">
        <v>1500102</v>
      </c>
      <c r="T400" s="415" t="s">
        <v>1644</v>
      </c>
      <c r="U400" s="416"/>
      <c r="V400" s="410" t="s">
        <v>342</v>
      </c>
      <c r="W400" s="57" t="s">
        <v>4393</v>
      </c>
      <c r="X400" s="57" t="s">
        <v>4393</v>
      </c>
      <c r="Y400" s="410"/>
      <c r="Z400" s="410"/>
      <c r="AA400" s="410"/>
      <c r="AB400" s="410"/>
      <c r="AC400" s="37"/>
      <c r="AD400" s="37"/>
      <c r="AE400" s="37">
        <v>0</v>
      </c>
      <c r="AF400" s="37">
        <v>0</v>
      </c>
      <c r="AG400" s="37">
        <v>0</v>
      </c>
      <c r="AH400" s="37"/>
      <c r="AI400" s="37">
        <v>0</v>
      </c>
      <c r="AJ400" s="37">
        <v>0</v>
      </c>
      <c r="AK400" s="420"/>
      <c r="AL400" s="420"/>
      <c r="AM400" s="420"/>
      <c r="AN400" s="37"/>
      <c r="AO400" s="37"/>
      <c r="AP400" s="37"/>
      <c r="AQ400" s="37" t="s">
        <v>1646</v>
      </c>
      <c r="AR400" s="423"/>
    </row>
    <row r="401" spans="1:44" ht="15" customHeight="1">
      <c r="A401" s="37">
        <v>1130103</v>
      </c>
      <c r="B401" s="5" t="s">
        <v>3638</v>
      </c>
      <c r="C401" s="224" t="s">
        <v>4394</v>
      </c>
      <c r="D401" s="37" t="s">
        <v>81</v>
      </c>
      <c r="E401" s="37" t="s">
        <v>1630</v>
      </c>
      <c r="F401" s="37">
        <v>1</v>
      </c>
      <c r="G401" s="37">
        <v>13</v>
      </c>
      <c r="H401" s="37" t="s">
        <v>82</v>
      </c>
      <c r="I401" s="5" t="s">
        <v>3640</v>
      </c>
      <c r="J401" s="37"/>
      <c r="K401" s="37">
        <v>2</v>
      </c>
      <c r="L401" s="431"/>
      <c r="M401" s="409"/>
      <c r="N401" s="409"/>
      <c r="O401" s="432"/>
      <c r="P401" s="410">
        <v>1</v>
      </c>
      <c r="Q401" s="410">
        <v>0</v>
      </c>
      <c r="R401" s="410" t="s">
        <v>85</v>
      </c>
      <c r="S401" s="37">
        <v>1500103</v>
      </c>
      <c r="T401" s="307" t="s">
        <v>1648</v>
      </c>
      <c r="U401" s="308"/>
      <c r="V401" s="410" t="s">
        <v>342</v>
      </c>
      <c r="W401" s="57" t="s">
        <v>4395</v>
      </c>
      <c r="X401" s="57" t="s">
        <v>4395</v>
      </c>
      <c r="Y401" s="410"/>
      <c r="Z401" s="410"/>
      <c r="AA401" s="410">
        <v>1</v>
      </c>
      <c r="AB401" s="410" t="s">
        <v>90</v>
      </c>
      <c r="AC401" s="37"/>
      <c r="AD401" s="37"/>
      <c r="AE401" s="37">
        <v>1</v>
      </c>
      <c r="AF401" s="37">
        <v>1</v>
      </c>
      <c r="AG401" s="37">
        <v>5</v>
      </c>
      <c r="AH401" s="37"/>
      <c r="AI401" s="37">
        <v>39</v>
      </c>
      <c r="AJ401" s="37">
        <v>26</v>
      </c>
      <c r="AK401" s="420"/>
      <c r="AL401" s="420"/>
      <c r="AM401" s="420"/>
      <c r="AN401" s="37" t="s">
        <v>1650</v>
      </c>
      <c r="AO401" s="37" t="s">
        <v>1651</v>
      </c>
      <c r="AP401" s="37"/>
      <c r="AQ401" s="37" t="s">
        <v>1652</v>
      </c>
      <c r="AR401" s="423">
        <v>335</v>
      </c>
    </row>
    <row r="402" spans="1:44" ht="15" customHeight="1">
      <c r="A402" s="37">
        <v>1130104</v>
      </c>
      <c r="B402" s="5" t="s">
        <v>3638</v>
      </c>
      <c r="C402" s="224" t="s">
        <v>4396</v>
      </c>
      <c r="D402" s="37" t="s">
        <v>81</v>
      </c>
      <c r="E402" s="37" t="s">
        <v>1630</v>
      </c>
      <c r="F402" s="37">
        <v>2</v>
      </c>
      <c r="G402" s="37">
        <v>13</v>
      </c>
      <c r="H402" s="37" t="s">
        <v>136</v>
      </c>
      <c r="I402" s="5" t="s">
        <v>3640</v>
      </c>
      <c r="J402" s="37"/>
      <c r="K402" s="37"/>
      <c r="L402" s="431"/>
      <c r="M402" s="409"/>
      <c r="N402" s="409"/>
      <c r="O402" s="432"/>
      <c r="P402" s="410"/>
      <c r="Q402" s="410">
        <v>0</v>
      </c>
      <c r="R402" s="410" t="s">
        <v>153</v>
      </c>
      <c r="S402" s="37">
        <v>1500104</v>
      </c>
      <c r="T402" s="311" t="s">
        <v>1644</v>
      </c>
      <c r="U402" s="310"/>
      <c r="V402" s="410" t="s">
        <v>342</v>
      </c>
      <c r="W402" s="57" t="s">
        <v>4397</v>
      </c>
      <c r="X402" s="57" t="s">
        <v>4397</v>
      </c>
      <c r="Y402" s="410"/>
      <c r="Z402" s="410"/>
      <c r="AA402" s="410"/>
      <c r="AB402" s="410"/>
      <c r="AC402" s="37"/>
      <c r="AD402" s="37"/>
      <c r="AE402" s="37">
        <v>0</v>
      </c>
      <c r="AF402" s="37">
        <v>0</v>
      </c>
      <c r="AG402" s="37">
        <v>0</v>
      </c>
      <c r="AH402" s="37"/>
      <c r="AI402" s="37">
        <v>0</v>
      </c>
      <c r="AJ402" s="37">
        <v>0</v>
      </c>
      <c r="AK402" s="420"/>
      <c r="AL402" s="420"/>
      <c r="AM402" s="420"/>
      <c r="AN402" s="37"/>
      <c r="AO402" s="37"/>
      <c r="AP402" s="37"/>
      <c r="AQ402" s="37" t="s">
        <v>1655</v>
      </c>
      <c r="AR402" s="423"/>
    </row>
    <row r="403" spans="1:44" ht="15" customHeight="1">
      <c r="A403" s="37">
        <v>1130105</v>
      </c>
      <c r="B403" s="5" t="s">
        <v>3638</v>
      </c>
      <c r="C403" s="224" t="s">
        <v>4398</v>
      </c>
      <c r="D403" s="37" t="s">
        <v>81</v>
      </c>
      <c r="E403" s="37" t="s">
        <v>1630</v>
      </c>
      <c r="F403" s="37">
        <v>1</v>
      </c>
      <c r="G403" s="37">
        <v>13</v>
      </c>
      <c r="H403" s="37" t="s">
        <v>82</v>
      </c>
      <c r="I403" s="5" t="s">
        <v>3640</v>
      </c>
      <c r="J403" s="37"/>
      <c r="K403" s="37">
        <v>3</v>
      </c>
      <c r="L403" s="431"/>
      <c r="M403" s="409"/>
      <c r="N403" s="409"/>
      <c r="O403" s="432"/>
      <c r="P403" s="410">
        <v>1</v>
      </c>
      <c r="Q403" s="410">
        <v>0</v>
      </c>
      <c r="R403" s="410" t="s">
        <v>85</v>
      </c>
      <c r="S403" s="37">
        <v>1500105</v>
      </c>
      <c r="T403" s="307" t="s">
        <v>1657</v>
      </c>
      <c r="U403" s="308"/>
      <c r="V403" s="410" t="s">
        <v>342</v>
      </c>
      <c r="W403" s="57" t="s">
        <v>4399</v>
      </c>
      <c r="X403" s="57" t="s">
        <v>4399</v>
      </c>
      <c r="Y403" s="410"/>
      <c r="Z403" s="410"/>
      <c r="AA403" s="410">
        <v>1</v>
      </c>
      <c r="AB403" s="410" t="s">
        <v>90</v>
      </c>
      <c r="AC403" s="37"/>
      <c r="AD403" s="37"/>
      <c r="AE403" s="37">
        <v>1</v>
      </c>
      <c r="AF403" s="37">
        <v>1</v>
      </c>
      <c r="AG403" s="37">
        <v>5</v>
      </c>
      <c r="AH403" s="37"/>
      <c r="AI403" s="37">
        <v>39</v>
      </c>
      <c r="AJ403" s="37">
        <v>26</v>
      </c>
      <c r="AK403" s="420"/>
      <c r="AL403" s="420"/>
      <c r="AM403" s="420"/>
      <c r="AN403" s="37" t="s">
        <v>1659</v>
      </c>
      <c r="AO403" s="37"/>
      <c r="AP403" s="37"/>
      <c r="AQ403" s="37" t="s">
        <v>1660</v>
      </c>
      <c r="AR403" s="423">
        <v>336</v>
      </c>
    </row>
    <row r="404" spans="1:44" ht="15" customHeight="1">
      <c r="A404" s="37">
        <v>1130106</v>
      </c>
      <c r="B404" s="5" t="s">
        <v>3638</v>
      </c>
      <c r="C404" s="224" t="s">
        <v>4400</v>
      </c>
      <c r="D404" s="37" t="s">
        <v>81</v>
      </c>
      <c r="E404" s="37" t="s">
        <v>1630</v>
      </c>
      <c r="F404" s="37">
        <v>3</v>
      </c>
      <c r="G404" s="37">
        <v>13</v>
      </c>
      <c r="H404" s="37" t="s">
        <v>136</v>
      </c>
      <c r="I404" s="5" t="s">
        <v>3640</v>
      </c>
      <c r="J404" s="37"/>
      <c r="K404" s="37"/>
      <c r="L404" s="431"/>
      <c r="M404" s="409"/>
      <c r="N404" s="409"/>
      <c r="O404" s="432"/>
      <c r="P404" s="410"/>
      <c r="Q404" s="410">
        <v>0</v>
      </c>
      <c r="R404" s="410" t="s">
        <v>153</v>
      </c>
      <c r="S404" s="37">
        <v>1500106</v>
      </c>
      <c r="T404" s="415"/>
      <c r="U404" s="416"/>
      <c r="V404" s="410" t="s">
        <v>342</v>
      </c>
      <c r="W404" s="57" t="s">
        <v>4401</v>
      </c>
      <c r="X404" s="57" t="s">
        <v>4401</v>
      </c>
      <c r="Y404" s="410"/>
      <c r="Z404" s="410"/>
      <c r="AA404" s="410"/>
      <c r="AB404" s="410"/>
      <c r="AC404" s="37"/>
      <c r="AD404" s="37"/>
      <c r="AE404" s="37">
        <v>0</v>
      </c>
      <c r="AF404" s="37">
        <v>0</v>
      </c>
      <c r="AG404" s="37">
        <v>0</v>
      </c>
      <c r="AH404" s="37"/>
      <c r="AI404" s="37">
        <v>0</v>
      </c>
      <c r="AJ404" s="37">
        <v>0</v>
      </c>
      <c r="AK404" s="420"/>
      <c r="AL404" s="420"/>
      <c r="AM404" s="420"/>
      <c r="AN404" s="37"/>
      <c r="AO404" s="37"/>
      <c r="AP404" s="37"/>
      <c r="AQ404" s="37" t="s">
        <v>1663</v>
      </c>
      <c r="AR404" s="423"/>
    </row>
    <row r="405" spans="1:44" ht="15" customHeight="1">
      <c r="A405" s="37">
        <v>1130107</v>
      </c>
      <c r="B405" s="5" t="s">
        <v>3638</v>
      </c>
      <c r="C405" s="224" t="s">
        <v>4402</v>
      </c>
      <c r="D405" s="37" t="s">
        <v>81</v>
      </c>
      <c r="E405" s="37" t="s">
        <v>1630</v>
      </c>
      <c r="F405" s="37">
        <v>4</v>
      </c>
      <c r="G405" s="37">
        <v>13</v>
      </c>
      <c r="H405" s="37" t="s">
        <v>136</v>
      </c>
      <c r="I405" s="5" t="s">
        <v>3640</v>
      </c>
      <c r="J405" s="37"/>
      <c r="K405" s="37"/>
      <c r="L405" s="431"/>
      <c r="M405" s="409"/>
      <c r="N405" s="409"/>
      <c r="O405" s="432"/>
      <c r="P405" s="410"/>
      <c r="Q405" s="410">
        <v>0</v>
      </c>
      <c r="R405" s="410" t="s">
        <v>153</v>
      </c>
      <c r="S405" s="37">
        <v>1500107</v>
      </c>
      <c r="T405" s="415"/>
      <c r="U405" s="416"/>
      <c r="V405" s="410" t="s">
        <v>342</v>
      </c>
      <c r="W405" s="57" t="s">
        <v>4403</v>
      </c>
      <c r="X405" s="57" t="s">
        <v>4403</v>
      </c>
      <c r="Y405" s="410"/>
      <c r="Z405" s="410"/>
      <c r="AA405" s="410"/>
      <c r="AB405" s="410"/>
      <c r="AC405" s="37"/>
      <c r="AD405" s="37"/>
      <c r="AE405" s="37">
        <v>0</v>
      </c>
      <c r="AF405" s="37">
        <v>0</v>
      </c>
      <c r="AG405" s="37">
        <v>0</v>
      </c>
      <c r="AH405" s="37"/>
      <c r="AI405" s="37">
        <v>0</v>
      </c>
      <c r="AJ405" s="37">
        <v>0</v>
      </c>
      <c r="AK405" s="420"/>
      <c r="AL405" s="420"/>
      <c r="AM405" s="420"/>
      <c r="AN405" s="37"/>
      <c r="AO405" s="37"/>
      <c r="AP405" s="37"/>
      <c r="AQ405" s="37" t="s">
        <v>1666</v>
      </c>
      <c r="AR405" s="423"/>
    </row>
    <row r="406" spans="1:44" ht="15" customHeight="1">
      <c r="A406" s="37">
        <v>1130108</v>
      </c>
      <c r="B406" s="5" t="s">
        <v>3638</v>
      </c>
      <c r="C406" s="224" t="s">
        <v>4404</v>
      </c>
      <c r="D406" s="37" t="s">
        <v>81</v>
      </c>
      <c r="E406" s="37" t="s">
        <v>1630</v>
      </c>
      <c r="F406" s="37">
        <v>5</v>
      </c>
      <c r="G406" s="37">
        <v>13</v>
      </c>
      <c r="H406" s="37" t="s">
        <v>136</v>
      </c>
      <c r="I406" s="5" t="s">
        <v>3640</v>
      </c>
      <c r="J406" s="37"/>
      <c r="K406" s="37"/>
      <c r="L406" s="431"/>
      <c r="M406" s="409"/>
      <c r="N406" s="409"/>
      <c r="O406" s="432"/>
      <c r="P406" s="410"/>
      <c r="Q406" s="410">
        <v>0</v>
      </c>
      <c r="R406" s="410" t="s">
        <v>153</v>
      </c>
      <c r="S406" s="37">
        <v>1500108</v>
      </c>
      <c r="T406" s="415"/>
      <c r="U406" s="416"/>
      <c r="V406" s="410" t="s">
        <v>342</v>
      </c>
      <c r="W406" s="57" t="s">
        <v>4405</v>
      </c>
      <c r="X406" s="57" t="s">
        <v>4405</v>
      </c>
      <c r="Y406" s="410"/>
      <c r="Z406" s="410"/>
      <c r="AA406" s="410"/>
      <c r="AB406" s="410"/>
      <c r="AC406" s="37"/>
      <c r="AD406" s="37"/>
      <c r="AE406" s="37">
        <v>0</v>
      </c>
      <c r="AF406" s="37">
        <v>0</v>
      </c>
      <c r="AG406" s="37">
        <v>0</v>
      </c>
      <c r="AH406" s="37"/>
      <c r="AI406" s="37">
        <v>0</v>
      </c>
      <c r="AJ406" s="37">
        <v>0</v>
      </c>
      <c r="AK406" s="420"/>
      <c r="AL406" s="420"/>
      <c r="AM406" s="420"/>
      <c r="AN406" s="37"/>
      <c r="AO406" s="37"/>
      <c r="AP406" s="37"/>
      <c r="AQ406" s="37" t="s">
        <v>1669</v>
      </c>
      <c r="AR406" s="423"/>
    </row>
    <row r="407" spans="1:44" ht="15" customHeight="1">
      <c r="A407" s="37">
        <v>1130109</v>
      </c>
      <c r="B407" s="5" t="s">
        <v>3638</v>
      </c>
      <c r="C407" s="224" t="s">
        <v>4406</v>
      </c>
      <c r="D407" s="37" t="s">
        <v>81</v>
      </c>
      <c r="E407" s="37" t="s">
        <v>1630</v>
      </c>
      <c r="F407" s="37">
        <v>6</v>
      </c>
      <c r="G407" s="37">
        <v>13</v>
      </c>
      <c r="H407" s="37" t="s">
        <v>136</v>
      </c>
      <c r="I407" s="5" t="s">
        <v>3640</v>
      </c>
      <c r="J407" s="37"/>
      <c r="K407" s="37"/>
      <c r="L407" s="431"/>
      <c r="M407" s="409"/>
      <c r="N407" s="409"/>
      <c r="O407" s="432"/>
      <c r="P407" s="410"/>
      <c r="Q407" s="410">
        <v>0</v>
      </c>
      <c r="R407" s="410" t="s">
        <v>153</v>
      </c>
      <c r="S407" s="37">
        <v>1500109</v>
      </c>
      <c r="T407" s="415"/>
      <c r="U407" s="416"/>
      <c r="V407" s="410" t="s">
        <v>342</v>
      </c>
      <c r="W407" s="57" t="s">
        <v>4407</v>
      </c>
      <c r="X407" s="57" t="s">
        <v>4407</v>
      </c>
      <c r="Y407" s="410"/>
      <c r="Z407" s="410"/>
      <c r="AA407" s="410"/>
      <c r="AB407" s="410"/>
      <c r="AC407" s="37"/>
      <c r="AD407" s="37"/>
      <c r="AE407" s="37">
        <v>0</v>
      </c>
      <c r="AF407" s="37">
        <v>0</v>
      </c>
      <c r="AG407" s="37">
        <v>0</v>
      </c>
      <c r="AH407" s="37"/>
      <c r="AI407" s="37">
        <v>0</v>
      </c>
      <c r="AJ407" s="37">
        <v>0</v>
      </c>
      <c r="AK407" s="420"/>
      <c r="AL407" s="420"/>
      <c r="AM407" s="420"/>
      <c r="AN407" s="37"/>
      <c r="AO407" s="37"/>
      <c r="AP407" s="37"/>
      <c r="AQ407" s="37" t="s">
        <v>1672</v>
      </c>
      <c r="AR407" s="423"/>
    </row>
    <row r="408" spans="1:44" ht="15" customHeight="1">
      <c r="A408" s="37">
        <v>1130110</v>
      </c>
      <c r="B408" s="5" t="s">
        <v>3638</v>
      </c>
      <c r="C408" s="224" t="s">
        <v>4408</v>
      </c>
      <c r="D408" s="37" t="s">
        <v>81</v>
      </c>
      <c r="E408" s="37" t="s">
        <v>1630</v>
      </c>
      <c r="F408" s="37">
        <v>7</v>
      </c>
      <c r="G408" s="37">
        <v>13</v>
      </c>
      <c r="H408" s="37" t="s">
        <v>136</v>
      </c>
      <c r="I408" s="5" t="s">
        <v>3640</v>
      </c>
      <c r="J408" s="37"/>
      <c r="K408" s="37"/>
      <c r="L408" s="431"/>
      <c r="M408" s="409"/>
      <c r="N408" s="409"/>
      <c r="O408" s="432"/>
      <c r="P408" s="410"/>
      <c r="Q408" s="410">
        <v>0</v>
      </c>
      <c r="R408" s="410" t="s">
        <v>153</v>
      </c>
      <c r="S408" s="37">
        <v>1500110</v>
      </c>
      <c r="T408" s="415"/>
      <c r="U408" s="416"/>
      <c r="V408" s="410" t="s">
        <v>342</v>
      </c>
      <c r="W408" s="57" t="s">
        <v>4409</v>
      </c>
      <c r="X408" s="57" t="s">
        <v>4409</v>
      </c>
      <c r="Y408" s="410"/>
      <c r="Z408" s="410"/>
      <c r="AA408" s="410"/>
      <c r="AB408" s="410"/>
      <c r="AC408" s="37"/>
      <c r="AD408" s="37"/>
      <c r="AE408" s="37">
        <v>0</v>
      </c>
      <c r="AF408" s="37">
        <v>0</v>
      </c>
      <c r="AG408" s="37">
        <v>0</v>
      </c>
      <c r="AH408" s="37"/>
      <c r="AI408" s="37">
        <v>0</v>
      </c>
      <c r="AJ408" s="37">
        <v>0</v>
      </c>
      <c r="AK408" s="420"/>
      <c r="AL408" s="420"/>
      <c r="AM408" s="420"/>
      <c r="AN408" s="37"/>
      <c r="AO408" s="37"/>
      <c r="AP408" s="37"/>
      <c r="AQ408" s="37" t="s">
        <v>1675</v>
      </c>
      <c r="AR408" s="423"/>
    </row>
    <row r="409" spans="1:44" ht="15" customHeight="1">
      <c r="A409" s="3">
        <v>1130111</v>
      </c>
      <c r="B409" s="5" t="s">
        <v>3638</v>
      </c>
      <c r="C409" s="224" t="s">
        <v>4410</v>
      </c>
      <c r="D409" s="3" t="s">
        <v>81</v>
      </c>
      <c r="E409" s="3" t="s">
        <v>1630</v>
      </c>
      <c r="F409" s="3">
        <v>8</v>
      </c>
      <c r="G409" s="3">
        <v>13</v>
      </c>
      <c r="H409" s="3" t="s">
        <v>136</v>
      </c>
      <c r="I409" s="5" t="s">
        <v>3640</v>
      </c>
      <c r="J409" s="3"/>
      <c r="K409" s="3"/>
      <c r="L409" s="236"/>
      <c r="M409" s="99"/>
      <c r="N409" s="99"/>
      <c r="O409" s="236"/>
      <c r="P409" s="22"/>
      <c r="Q409" s="22">
        <v>0</v>
      </c>
      <c r="R409" s="22" t="s">
        <v>153</v>
      </c>
      <c r="S409" s="3"/>
      <c r="T409" s="260"/>
      <c r="U409" s="261"/>
      <c r="V409" s="22"/>
      <c r="W409" s="57" t="s">
        <v>3665</v>
      </c>
      <c r="X409" s="57" t="s">
        <v>3665</v>
      </c>
      <c r="Y409" s="22"/>
      <c r="Z409" s="22"/>
      <c r="AA409" s="22"/>
      <c r="AB409" s="22" t="s">
        <v>114</v>
      </c>
      <c r="AC409" s="3"/>
      <c r="AD409" s="3"/>
      <c r="AE409" s="3">
        <v>0</v>
      </c>
      <c r="AF409" s="3">
        <v>0</v>
      </c>
      <c r="AG409" s="3">
        <v>0</v>
      </c>
      <c r="AH409" s="3"/>
      <c r="AI409" s="3">
        <v>0</v>
      </c>
      <c r="AJ409" s="3">
        <v>0</v>
      </c>
      <c r="AK409" s="3">
        <v>0</v>
      </c>
      <c r="AL409" s="3"/>
      <c r="AM409" s="3"/>
      <c r="AN409" s="3"/>
      <c r="AO409" s="3"/>
      <c r="AP409" s="3"/>
      <c r="AQ409" s="3" t="s">
        <v>1660</v>
      </c>
      <c r="AR409" s="281"/>
    </row>
    <row r="410" spans="1:44" ht="15" customHeight="1">
      <c r="A410" s="3">
        <v>1130112</v>
      </c>
      <c r="B410" s="5" t="s">
        <v>3638</v>
      </c>
      <c r="C410" s="224" t="s">
        <v>4411</v>
      </c>
      <c r="D410" s="3" t="s">
        <v>81</v>
      </c>
      <c r="E410" s="3" t="s">
        <v>1630</v>
      </c>
      <c r="F410" s="3">
        <v>9</v>
      </c>
      <c r="G410" s="3">
        <v>13</v>
      </c>
      <c r="H410" s="3" t="s">
        <v>136</v>
      </c>
      <c r="I410" s="5" t="s">
        <v>3640</v>
      </c>
      <c r="J410" s="3"/>
      <c r="K410" s="3"/>
      <c r="L410" s="236"/>
      <c r="M410" s="99"/>
      <c r="N410" s="99"/>
      <c r="O410" s="236"/>
      <c r="P410" s="22"/>
      <c r="Q410" s="22">
        <v>0</v>
      </c>
      <c r="R410" s="22" t="s">
        <v>153</v>
      </c>
      <c r="S410" s="3"/>
      <c r="T410" s="260"/>
      <c r="U410" s="261"/>
      <c r="V410" s="22"/>
      <c r="W410" s="57" t="s">
        <v>4412</v>
      </c>
      <c r="X410" s="57" t="s">
        <v>4412</v>
      </c>
      <c r="Y410" s="22"/>
      <c r="Z410" s="22"/>
      <c r="AA410" s="22"/>
      <c r="AB410" s="22" t="s">
        <v>114</v>
      </c>
      <c r="AC410" s="3"/>
      <c r="AD410" s="3"/>
      <c r="AE410" s="3">
        <v>0</v>
      </c>
      <c r="AF410" s="3">
        <v>0</v>
      </c>
      <c r="AG410" s="3">
        <v>0</v>
      </c>
      <c r="AH410" s="3"/>
      <c r="AI410" s="3">
        <v>0</v>
      </c>
      <c r="AJ410" s="3">
        <v>0</v>
      </c>
      <c r="AK410" s="3">
        <v>0</v>
      </c>
      <c r="AL410" s="3"/>
      <c r="AM410" s="3"/>
      <c r="AN410" s="3"/>
      <c r="AO410" s="3"/>
      <c r="AP410" s="3"/>
      <c r="AQ410" s="282" t="str">
        <f t="shared" ref="AQ410:AQ424" si="4">"tricks/"&amp;A410</f>
        <v>tricks/1130112</v>
      </c>
    </row>
    <row r="411" spans="1:44" ht="15" customHeight="1">
      <c r="A411" s="3">
        <v>1130113</v>
      </c>
      <c r="B411" s="5" t="s">
        <v>3638</v>
      </c>
      <c r="C411" s="224" t="s">
        <v>4413</v>
      </c>
      <c r="D411" s="3" t="s">
        <v>81</v>
      </c>
      <c r="E411" s="3" t="s">
        <v>1630</v>
      </c>
      <c r="F411" s="3">
        <v>10</v>
      </c>
      <c r="G411" s="3">
        <v>13</v>
      </c>
      <c r="H411" s="3" t="s">
        <v>136</v>
      </c>
      <c r="I411" s="5" t="s">
        <v>3640</v>
      </c>
      <c r="J411" s="3"/>
      <c r="K411" s="3"/>
      <c r="L411" s="236"/>
      <c r="M411" s="99"/>
      <c r="N411" s="99"/>
      <c r="O411" s="236"/>
      <c r="P411" s="22"/>
      <c r="Q411" s="22">
        <v>0</v>
      </c>
      <c r="R411" s="22" t="s">
        <v>153</v>
      </c>
      <c r="S411" s="3"/>
      <c r="T411" s="260"/>
      <c r="U411" s="261"/>
      <c r="V411" s="22"/>
      <c r="W411" s="57" t="s">
        <v>4414</v>
      </c>
      <c r="X411" s="57" t="s">
        <v>4414</v>
      </c>
      <c r="Y411" s="22"/>
      <c r="Z411" s="22"/>
      <c r="AA411" s="22"/>
      <c r="AB411" s="22" t="s">
        <v>114</v>
      </c>
      <c r="AC411" s="3"/>
      <c r="AD411" s="3"/>
      <c r="AE411" s="3">
        <v>0</v>
      </c>
      <c r="AF411" s="3">
        <v>0</v>
      </c>
      <c r="AG411" s="3">
        <v>0</v>
      </c>
      <c r="AH411" s="3"/>
      <c r="AI411" s="3">
        <v>0</v>
      </c>
      <c r="AJ411" s="3">
        <v>0</v>
      </c>
      <c r="AK411" s="3">
        <v>0</v>
      </c>
      <c r="AL411" s="3"/>
      <c r="AM411" s="3"/>
      <c r="AN411" s="3"/>
      <c r="AO411" s="3"/>
      <c r="AP411" s="3"/>
      <c r="AQ411" s="282" t="str">
        <f t="shared" si="4"/>
        <v>tricks/1130113</v>
      </c>
    </row>
    <row r="412" spans="1:44" s="214" customFormat="1" ht="15" customHeight="1">
      <c r="A412" s="41">
        <v>1130201</v>
      </c>
      <c r="B412" s="5" t="s">
        <v>3638</v>
      </c>
      <c r="C412" s="224" t="s">
        <v>4415</v>
      </c>
      <c r="D412" s="41" t="s">
        <v>81</v>
      </c>
      <c r="E412" s="41" t="s">
        <v>1630</v>
      </c>
      <c r="F412" s="41">
        <v>1</v>
      </c>
      <c r="G412" s="41">
        <v>13</v>
      </c>
      <c r="H412" s="41" t="s">
        <v>82</v>
      </c>
      <c r="I412" s="5" t="s">
        <v>3640</v>
      </c>
      <c r="J412" s="41"/>
      <c r="K412" s="41">
        <v>1</v>
      </c>
      <c r="L412" s="437"/>
      <c r="M412" s="438"/>
      <c r="N412" s="438"/>
      <c r="O412" s="174"/>
      <c r="P412" s="137">
        <v>1</v>
      </c>
      <c r="Q412" s="137">
        <v>0</v>
      </c>
      <c r="R412" s="137" t="s">
        <v>85</v>
      </c>
      <c r="S412" s="41">
        <v>1500101</v>
      </c>
      <c r="T412" s="441" t="s">
        <v>1683</v>
      </c>
      <c r="U412" s="441"/>
      <c r="V412" s="137" t="s">
        <v>342</v>
      </c>
      <c r="W412" s="57" t="s">
        <v>4416</v>
      </c>
      <c r="X412" s="57" t="s">
        <v>4416</v>
      </c>
      <c r="Y412" s="137"/>
      <c r="Z412" s="137"/>
      <c r="AA412" s="137">
        <v>1</v>
      </c>
      <c r="AB412" s="137" t="s">
        <v>90</v>
      </c>
      <c r="AC412" s="41"/>
      <c r="AD412" s="41"/>
      <c r="AE412" s="41">
        <v>1</v>
      </c>
      <c r="AF412" s="41">
        <v>2</v>
      </c>
      <c r="AG412" s="41">
        <v>6</v>
      </c>
      <c r="AH412" s="41"/>
      <c r="AI412" s="41">
        <v>39</v>
      </c>
      <c r="AJ412" s="41">
        <v>26</v>
      </c>
      <c r="AK412" s="139"/>
      <c r="AL412" s="139"/>
      <c r="AM412" s="139"/>
      <c r="AN412" s="448" t="s">
        <v>1685</v>
      </c>
      <c r="AO412" s="41"/>
      <c r="AP412" s="41"/>
      <c r="AQ412" s="8" t="str">
        <f t="shared" si="4"/>
        <v>tricks/1130201</v>
      </c>
      <c r="AR412" s="449">
        <v>372</v>
      </c>
    </row>
    <row r="413" spans="1:44" s="214" customFormat="1" ht="15" customHeight="1">
      <c r="A413" s="41">
        <v>1130202</v>
      </c>
      <c r="B413" s="5" t="s">
        <v>3638</v>
      </c>
      <c r="C413" s="224" t="s">
        <v>4417</v>
      </c>
      <c r="D413" s="41" t="s">
        <v>81</v>
      </c>
      <c r="E413" s="41" t="s">
        <v>1630</v>
      </c>
      <c r="F413" s="41">
        <v>1</v>
      </c>
      <c r="G413" s="41">
        <v>13</v>
      </c>
      <c r="H413" s="41" t="s">
        <v>136</v>
      </c>
      <c r="I413" s="5" t="s">
        <v>3640</v>
      </c>
      <c r="J413" s="41"/>
      <c r="K413" s="41"/>
      <c r="L413" s="437"/>
      <c r="M413" s="438"/>
      <c r="N413" s="438"/>
      <c r="O413" s="174"/>
      <c r="P413" s="137"/>
      <c r="Q413" s="137">
        <v>0</v>
      </c>
      <c r="R413" s="137" t="s">
        <v>153</v>
      </c>
      <c r="S413" s="41">
        <v>1500102</v>
      </c>
      <c r="T413" s="441" t="s">
        <v>1644</v>
      </c>
      <c r="U413" s="441"/>
      <c r="V413" s="137" t="s">
        <v>342</v>
      </c>
      <c r="W413" s="57" t="s">
        <v>4418</v>
      </c>
      <c r="X413" s="57" t="s">
        <v>4418</v>
      </c>
      <c r="Y413" s="137"/>
      <c r="Z413" s="137"/>
      <c r="AA413" s="137"/>
      <c r="AB413" s="137"/>
      <c r="AC413" s="41"/>
      <c r="AD413" s="41"/>
      <c r="AE413" s="41">
        <v>0</v>
      </c>
      <c r="AF413" s="41">
        <v>0</v>
      </c>
      <c r="AG413" s="41">
        <v>0</v>
      </c>
      <c r="AH413" s="41"/>
      <c r="AI413" s="41">
        <v>0</v>
      </c>
      <c r="AJ413" s="41">
        <v>0</v>
      </c>
      <c r="AK413" s="139"/>
      <c r="AL413" s="139"/>
      <c r="AM413" s="139"/>
      <c r="AN413" s="41"/>
      <c r="AO413" s="41"/>
      <c r="AP413" s="41"/>
      <c r="AQ413" s="8" t="str">
        <f t="shared" si="4"/>
        <v>tricks/1130202</v>
      </c>
      <c r="AR413" s="449"/>
    </row>
    <row r="414" spans="1:44" s="214" customFormat="1" ht="15" customHeight="1">
      <c r="A414" s="41">
        <v>1130203</v>
      </c>
      <c r="B414" s="5" t="s">
        <v>3638</v>
      </c>
      <c r="C414" s="224" t="s">
        <v>4419</v>
      </c>
      <c r="D414" s="41" t="s">
        <v>81</v>
      </c>
      <c r="E414" s="41" t="s">
        <v>1630</v>
      </c>
      <c r="F414" s="41">
        <v>1</v>
      </c>
      <c r="G414" s="41">
        <v>13</v>
      </c>
      <c r="H414" s="41" t="s">
        <v>82</v>
      </c>
      <c r="I414" s="5" t="s">
        <v>3640</v>
      </c>
      <c r="J414" s="41"/>
      <c r="K414" s="41">
        <v>2</v>
      </c>
      <c r="L414" s="437"/>
      <c r="M414" s="438"/>
      <c r="N414" s="438"/>
      <c r="O414" s="174"/>
      <c r="P414" s="137">
        <v>1</v>
      </c>
      <c r="Q414" s="137">
        <v>0</v>
      </c>
      <c r="R414" s="137" t="s">
        <v>85</v>
      </c>
      <c r="S414" s="41">
        <v>1500103</v>
      </c>
      <c r="T414" s="441" t="s">
        <v>1689</v>
      </c>
      <c r="U414" s="441"/>
      <c r="V414" s="137" t="s">
        <v>342</v>
      </c>
      <c r="W414" s="57" t="s">
        <v>4420</v>
      </c>
      <c r="X414" s="57" t="s">
        <v>4420</v>
      </c>
      <c r="Y414" s="137"/>
      <c r="Z414" s="137"/>
      <c r="AA414" s="137">
        <v>1</v>
      </c>
      <c r="AB414" s="137" t="s">
        <v>90</v>
      </c>
      <c r="AC414" s="41"/>
      <c r="AD414" s="41"/>
      <c r="AE414" s="41">
        <v>1</v>
      </c>
      <c r="AF414" s="41">
        <v>1</v>
      </c>
      <c r="AG414" s="41">
        <v>5</v>
      </c>
      <c r="AH414" s="41"/>
      <c r="AI414" s="41">
        <v>39</v>
      </c>
      <c r="AJ414" s="41">
        <v>26</v>
      </c>
      <c r="AK414" s="139"/>
      <c r="AL414" s="139"/>
      <c r="AM414" s="139"/>
      <c r="AN414" s="448" t="s">
        <v>1691</v>
      </c>
      <c r="AO414" s="448" t="s">
        <v>1692</v>
      </c>
      <c r="AP414" s="41"/>
      <c r="AQ414" s="8" t="str">
        <f t="shared" si="4"/>
        <v>tricks/1130203</v>
      </c>
      <c r="AR414" s="449">
        <v>373</v>
      </c>
    </row>
    <row r="415" spans="1:44" s="214" customFormat="1" ht="15" customHeight="1">
      <c r="A415" s="41">
        <v>1130204</v>
      </c>
      <c r="B415" s="5" t="s">
        <v>3638</v>
      </c>
      <c r="C415" s="224" t="s">
        <v>4421</v>
      </c>
      <c r="D415" s="41" t="s">
        <v>81</v>
      </c>
      <c r="E415" s="41" t="s">
        <v>1630</v>
      </c>
      <c r="F415" s="41">
        <v>2</v>
      </c>
      <c r="G415" s="41">
        <v>13</v>
      </c>
      <c r="H415" s="41" t="s">
        <v>136</v>
      </c>
      <c r="I415" s="5" t="s">
        <v>3640</v>
      </c>
      <c r="J415" s="41"/>
      <c r="K415" s="41"/>
      <c r="L415" s="437"/>
      <c r="M415" s="438"/>
      <c r="N415" s="438"/>
      <c r="O415" s="174"/>
      <c r="P415" s="137"/>
      <c r="Q415" s="137">
        <v>0</v>
      </c>
      <c r="R415" s="137" t="s">
        <v>153</v>
      </c>
      <c r="S415" s="41">
        <v>1500104</v>
      </c>
      <c r="T415" s="442" t="s">
        <v>1644</v>
      </c>
      <c r="U415" s="442"/>
      <c r="V415" s="137" t="s">
        <v>342</v>
      </c>
      <c r="W415" s="57" t="s">
        <v>4170</v>
      </c>
      <c r="X415" s="57" t="s">
        <v>4170</v>
      </c>
      <c r="Y415" s="137"/>
      <c r="Z415" s="137"/>
      <c r="AA415" s="137"/>
      <c r="AB415" s="137"/>
      <c r="AC415" s="41"/>
      <c r="AD415" s="41"/>
      <c r="AE415" s="41">
        <v>0</v>
      </c>
      <c r="AF415" s="41">
        <v>0</v>
      </c>
      <c r="AG415" s="41">
        <v>0</v>
      </c>
      <c r="AH415" s="41"/>
      <c r="AI415" s="41">
        <v>0</v>
      </c>
      <c r="AJ415" s="41">
        <v>0</v>
      </c>
      <c r="AK415" s="139"/>
      <c r="AL415" s="139"/>
      <c r="AM415" s="139"/>
      <c r="AN415" s="41"/>
      <c r="AO415" s="41"/>
      <c r="AP415" s="41"/>
      <c r="AQ415" s="8" t="str">
        <f t="shared" si="4"/>
        <v>tricks/1130204</v>
      </c>
      <c r="AR415" s="449"/>
    </row>
    <row r="416" spans="1:44" s="214" customFormat="1" ht="15" customHeight="1">
      <c r="A416" s="41">
        <v>1130205</v>
      </c>
      <c r="B416" s="5" t="s">
        <v>3638</v>
      </c>
      <c r="C416" s="224" t="s">
        <v>4422</v>
      </c>
      <c r="D416" s="41" t="s">
        <v>81</v>
      </c>
      <c r="E416" s="41" t="s">
        <v>1630</v>
      </c>
      <c r="F416" s="41">
        <v>1</v>
      </c>
      <c r="G416" s="41">
        <v>13</v>
      </c>
      <c r="H416" s="41" t="s">
        <v>82</v>
      </c>
      <c r="I416" s="5" t="s">
        <v>3640</v>
      </c>
      <c r="J416" s="41"/>
      <c r="K416" s="41">
        <v>3</v>
      </c>
      <c r="L416" s="437"/>
      <c r="M416" s="438"/>
      <c r="N416" s="438"/>
      <c r="O416" s="174"/>
      <c r="P416" s="137">
        <v>1</v>
      </c>
      <c r="Q416" s="137">
        <v>0</v>
      </c>
      <c r="R416" s="137" t="s">
        <v>85</v>
      </c>
      <c r="S416" s="41">
        <v>1500105</v>
      </c>
      <c r="T416" s="441" t="s">
        <v>1689</v>
      </c>
      <c r="U416" s="441"/>
      <c r="V416" s="137" t="s">
        <v>342</v>
      </c>
      <c r="W416" s="57" t="s">
        <v>4423</v>
      </c>
      <c r="X416" s="57" t="s">
        <v>4423</v>
      </c>
      <c r="Y416" s="137"/>
      <c r="Z416" s="137"/>
      <c r="AA416" s="137">
        <v>1</v>
      </c>
      <c r="AB416" s="137" t="s">
        <v>90</v>
      </c>
      <c r="AC416" s="41"/>
      <c r="AD416" s="41"/>
      <c r="AE416" s="41">
        <v>1</v>
      </c>
      <c r="AF416" s="41">
        <v>1</v>
      </c>
      <c r="AG416" s="41">
        <v>5</v>
      </c>
      <c r="AH416" s="41"/>
      <c r="AI416" s="41">
        <v>39</v>
      </c>
      <c r="AJ416" s="41">
        <v>26</v>
      </c>
      <c r="AK416" s="139"/>
      <c r="AL416" s="139"/>
      <c r="AM416" s="139"/>
      <c r="AN416" s="448" t="s">
        <v>1697</v>
      </c>
      <c r="AO416" s="41"/>
      <c r="AP416" s="41"/>
      <c r="AQ416" s="8" t="str">
        <f t="shared" si="4"/>
        <v>tricks/1130205</v>
      </c>
      <c r="AR416" s="449">
        <v>374</v>
      </c>
    </row>
    <row r="417" spans="1:44" s="214" customFormat="1" ht="15" customHeight="1">
      <c r="A417" s="41">
        <v>1130206</v>
      </c>
      <c r="B417" s="5" t="s">
        <v>3638</v>
      </c>
      <c r="C417" s="224" t="s">
        <v>4424</v>
      </c>
      <c r="D417" s="41" t="s">
        <v>81</v>
      </c>
      <c r="E417" s="41" t="s">
        <v>1630</v>
      </c>
      <c r="F417" s="41">
        <v>3</v>
      </c>
      <c r="G417" s="41">
        <v>13</v>
      </c>
      <c r="H417" s="41" t="s">
        <v>136</v>
      </c>
      <c r="I417" s="5" t="s">
        <v>3640</v>
      </c>
      <c r="J417" s="41"/>
      <c r="K417" s="41"/>
      <c r="L417" s="437"/>
      <c r="M417" s="438"/>
      <c r="N417" s="438"/>
      <c r="O417" s="174"/>
      <c r="P417" s="137"/>
      <c r="Q417" s="137">
        <v>0</v>
      </c>
      <c r="R417" s="137" t="s">
        <v>153</v>
      </c>
      <c r="S417" s="41">
        <v>1500106</v>
      </c>
      <c r="T417" s="441"/>
      <c r="U417" s="443"/>
      <c r="V417" s="137" t="s">
        <v>342</v>
      </c>
      <c r="W417" s="57" t="s">
        <v>4425</v>
      </c>
      <c r="X417" s="57" t="s">
        <v>4425</v>
      </c>
      <c r="Y417" s="137"/>
      <c r="Z417" s="137"/>
      <c r="AA417" s="137"/>
      <c r="AB417" s="137"/>
      <c r="AC417" s="41"/>
      <c r="AD417" s="41"/>
      <c r="AE417" s="41">
        <v>0</v>
      </c>
      <c r="AF417" s="41">
        <v>0</v>
      </c>
      <c r="AG417" s="41">
        <v>0</v>
      </c>
      <c r="AH417" s="41"/>
      <c r="AI417" s="41">
        <v>0</v>
      </c>
      <c r="AJ417" s="41">
        <v>0</v>
      </c>
      <c r="AK417" s="139"/>
      <c r="AL417" s="139"/>
      <c r="AM417" s="139"/>
      <c r="AN417" s="41"/>
      <c r="AO417" s="41"/>
      <c r="AP417" s="41"/>
      <c r="AQ417" s="8" t="str">
        <f t="shared" si="4"/>
        <v>tricks/1130206</v>
      </c>
      <c r="AR417" s="449"/>
    </row>
    <row r="418" spans="1:44" s="214" customFormat="1" ht="15" customHeight="1">
      <c r="A418" s="41">
        <v>1130207</v>
      </c>
      <c r="B418" s="5" t="s">
        <v>3638</v>
      </c>
      <c r="C418" s="224" t="s">
        <v>4426</v>
      </c>
      <c r="D418" s="41" t="s">
        <v>81</v>
      </c>
      <c r="E418" s="41" t="s">
        <v>1630</v>
      </c>
      <c r="F418" s="41">
        <v>4</v>
      </c>
      <c r="G418" s="41">
        <v>13</v>
      </c>
      <c r="H418" s="41" t="s">
        <v>136</v>
      </c>
      <c r="I418" s="5" t="s">
        <v>3640</v>
      </c>
      <c r="J418" s="41"/>
      <c r="K418" s="41"/>
      <c r="L418" s="437"/>
      <c r="M418" s="438"/>
      <c r="N418" s="438"/>
      <c r="O418" s="174"/>
      <c r="P418" s="137"/>
      <c r="Q418" s="137">
        <v>0</v>
      </c>
      <c r="R418" s="137" t="s">
        <v>153</v>
      </c>
      <c r="S418" s="41">
        <v>1500107</v>
      </c>
      <c r="T418" s="441"/>
      <c r="U418" s="441"/>
      <c r="V418" s="137" t="s">
        <v>342</v>
      </c>
      <c r="W418" s="57" t="s">
        <v>3888</v>
      </c>
      <c r="X418" s="57" t="s">
        <v>3888</v>
      </c>
      <c r="Y418" s="137"/>
      <c r="Z418" s="137"/>
      <c r="AA418" s="137"/>
      <c r="AB418" s="137"/>
      <c r="AC418" s="41"/>
      <c r="AD418" s="41"/>
      <c r="AE418" s="41">
        <v>0</v>
      </c>
      <c r="AF418" s="41">
        <v>0</v>
      </c>
      <c r="AG418" s="41">
        <v>0</v>
      </c>
      <c r="AH418" s="41"/>
      <c r="AI418" s="41">
        <v>0</v>
      </c>
      <c r="AJ418" s="41">
        <v>0</v>
      </c>
      <c r="AK418" s="139"/>
      <c r="AL418" s="139"/>
      <c r="AM418" s="139"/>
      <c r="AN418" s="41"/>
      <c r="AO418" s="41"/>
      <c r="AP418" s="41"/>
      <c r="AQ418" s="8" t="str">
        <f t="shared" si="4"/>
        <v>tricks/1130207</v>
      </c>
      <c r="AR418" s="449"/>
    </row>
    <row r="419" spans="1:44" s="214" customFormat="1" ht="15" customHeight="1">
      <c r="A419" s="41">
        <v>1130208</v>
      </c>
      <c r="B419" s="5" t="s">
        <v>3638</v>
      </c>
      <c r="C419" s="224" t="s">
        <v>4427</v>
      </c>
      <c r="D419" s="41" t="s">
        <v>81</v>
      </c>
      <c r="E419" s="41" t="s">
        <v>1630</v>
      </c>
      <c r="F419" s="41">
        <v>5</v>
      </c>
      <c r="G419" s="41">
        <v>13</v>
      </c>
      <c r="H419" s="41" t="s">
        <v>136</v>
      </c>
      <c r="I419" s="5" t="s">
        <v>3640</v>
      </c>
      <c r="J419" s="41"/>
      <c r="K419" s="41"/>
      <c r="L419" s="437"/>
      <c r="M419" s="438"/>
      <c r="N419" s="438"/>
      <c r="O419" s="174"/>
      <c r="P419" s="137"/>
      <c r="Q419" s="137">
        <v>0</v>
      </c>
      <c r="R419" s="137" t="s">
        <v>153</v>
      </c>
      <c r="S419" s="41">
        <v>1500108</v>
      </c>
      <c r="T419" s="441"/>
      <c r="U419" s="441"/>
      <c r="V419" s="137" t="s">
        <v>342</v>
      </c>
      <c r="W419" s="57" t="s">
        <v>4428</v>
      </c>
      <c r="X419" s="57" t="s">
        <v>4428</v>
      </c>
      <c r="Y419" s="137"/>
      <c r="Z419" s="137"/>
      <c r="AA419" s="137"/>
      <c r="AB419" s="137"/>
      <c r="AC419" s="41"/>
      <c r="AD419" s="41"/>
      <c r="AE419" s="41">
        <v>0</v>
      </c>
      <c r="AF419" s="41">
        <v>0</v>
      </c>
      <c r="AG419" s="41">
        <v>0</v>
      </c>
      <c r="AH419" s="41"/>
      <c r="AI419" s="41">
        <v>0</v>
      </c>
      <c r="AJ419" s="41">
        <v>0</v>
      </c>
      <c r="AK419" s="139"/>
      <c r="AL419" s="139"/>
      <c r="AM419" s="139"/>
      <c r="AN419" s="41"/>
      <c r="AO419" s="41"/>
      <c r="AP419" s="41"/>
      <c r="AQ419" s="8" t="str">
        <f t="shared" si="4"/>
        <v>tricks/1130208</v>
      </c>
      <c r="AR419" s="449"/>
    </row>
    <row r="420" spans="1:44" s="214" customFormat="1" ht="15" customHeight="1">
      <c r="A420" s="41">
        <v>1130209</v>
      </c>
      <c r="B420" s="5" t="s">
        <v>3638</v>
      </c>
      <c r="C420" s="224" t="s">
        <v>4429</v>
      </c>
      <c r="D420" s="41" t="s">
        <v>81</v>
      </c>
      <c r="E420" s="41" t="s">
        <v>1630</v>
      </c>
      <c r="F420" s="41">
        <v>6</v>
      </c>
      <c r="G420" s="41">
        <v>13</v>
      </c>
      <c r="H420" s="41" t="s">
        <v>136</v>
      </c>
      <c r="I420" s="5" t="s">
        <v>3640</v>
      </c>
      <c r="J420" s="41"/>
      <c r="K420" s="41"/>
      <c r="L420" s="437"/>
      <c r="M420" s="438"/>
      <c r="N420" s="438"/>
      <c r="O420" s="174"/>
      <c r="P420" s="137"/>
      <c r="Q420" s="137">
        <v>0</v>
      </c>
      <c r="R420" s="137" t="s">
        <v>153</v>
      </c>
      <c r="S420" s="41">
        <v>1500109</v>
      </c>
      <c r="T420" s="441"/>
      <c r="U420" s="441"/>
      <c r="V420" s="137" t="s">
        <v>342</v>
      </c>
      <c r="W420" s="57" t="s">
        <v>4430</v>
      </c>
      <c r="X420" s="57" t="s">
        <v>4430</v>
      </c>
      <c r="Y420" s="137"/>
      <c r="Z420" s="137"/>
      <c r="AA420" s="137"/>
      <c r="AB420" s="137"/>
      <c r="AC420" s="41"/>
      <c r="AD420" s="41"/>
      <c r="AE420" s="41">
        <v>0</v>
      </c>
      <c r="AF420" s="41">
        <v>0</v>
      </c>
      <c r="AG420" s="41">
        <v>0</v>
      </c>
      <c r="AH420" s="41"/>
      <c r="AI420" s="41">
        <v>0</v>
      </c>
      <c r="AJ420" s="41">
        <v>0</v>
      </c>
      <c r="AK420" s="139"/>
      <c r="AL420" s="139"/>
      <c r="AM420" s="139"/>
      <c r="AN420" s="41"/>
      <c r="AO420" s="41"/>
      <c r="AP420" s="41"/>
      <c r="AQ420" s="8" t="str">
        <f t="shared" si="4"/>
        <v>tricks/1130209</v>
      </c>
      <c r="AR420" s="449"/>
    </row>
    <row r="421" spans="1:44" s="214" customFormat="1" ht="15" customHeight="1">
      <c r="A421" s="41">
        <v>1130210</v>
      </c>
      <c r="B421" s="5" t="s">
        <v>3638</v>
      </c>
      <c r="C421" s="224" t="s">
        <v>4431</v>
      </c>
      <c r="D421" s="41" t="s">
        <v>81</v>
      </c>
      <c r="E421" s="41" t="s">
        <v>1630</v>
      </c>
      <c r="F421" s="41">
        <v>7</v>
      </c>
      <c r="G421" s="41">
        <v>13</v>
      </c>
      <c r="H421" s="41" t="s">
        <v>136</v>
      </c>
      <c r="I421" s="5" t="s">
        <v>3640</v>
      </c>
      <c r="J421" s="41"/>
      <c r="K421" s="41"/>
      <c r="L421" s="437"/>
      <c r="M421" s="438"/>
      <c r="N421" s="438"/>
      <c r="O421" s="174"/>
      <c r="P421" s="137"/>
      <c r="Q421" s="137">
        <v>0</v>
      </c>
      <c r="R421" s="137" t="s">
        <v>153</v>
      </c>
      <c r="S421" s="41">
        <v>1500110</v>
      </c>
      <c r="T421" s="441"/>
      <c r="U421" s="442"/>
      <c r="V421" s="137" t="s">
        <v>342</v>
      </c>
      <c r="W421" s="57" t="s">
        <v>4432</v>
      </c>
      <c r="X421" s="57" t="s">
        <v>4432</v>
      </c>
      <c r="Y421" s="137"/>
      <c r="Z421" s="137"/>
      <c r="AA421" s="137"/>
      <c r="AB421" s="137"/>
      <c r="AC421" s="41"/>
      <c r="AD421" s="41"/>
      <c r="AE421" s="41">
        <v>0</v>
      </c>
      <c r="AF421" s="41">
        <v>0</v>
      </c>
      <c r="AG421" s="41">
        <v>0</v>
      </c>
      <c r="AH421" s="41"/>
      <c r="AI421" s="41">
        <v>0</v>
      </c>
      <c r="AJ421" s="41">
        <v>0</v>
      </c>
      <c r="AK421" s="139"/>
      <c r="AL421" s="139"/>
      <c r="AM421" s="139"/>
      <c r="AN421" s="41"/>
      <c r="AO421" s="41"/>
      <c r="AP421" s="41"/>
      <c r="AQ421" s="8" t="str">
        <f t="shared" si="4"/>
        <v>tricks/1130210</v>
      </c>
      <c r="AR421" s="449"/>
    </row>
    <row r="422" spans="1:44" s="214" customFormat="1" ht="15" customHeight="1">
      <c r="A422" s="41">
        <v>1130211</v>
      </c>
      <c r="B422" s="5" t="s">
        <v>3638</v>
      </c>
      <c r="C422" s="224" t="s">
        <v>4433</v>
      </c>
      <c r="D422" s="41" t="s">
        <v>81</v>
      </c>
      <c r="E422" s="41" t="s">
        <v>1630</v>
      </c>
      <c r="F422" s="41">
        <v>8</v>
      </c>
      <c r="G422" s="41">
        <v>13</v>
      </c>
      <c r="H422" s="41" t="s">
        <v>136</v>
      </c>
      <c r="I422" s="5" t="s">
        <v>3640</v>
      </c>
      <c r="J422" s="41"/>
      <c r="K422" s="41"/>
      <c r="L422" s="174"/>
      <c r="M422" s="438"/>
      <c r="N422" s="438"/>
      <c r="O422" s="174"/>
      <c r="P422" s="137"/>
      <c r="Q422" s="137">
        <v>0</v>
      </c>
      <c r="R422" s="137" t="s">
        <v>153</v>
      </c>
      <c r="S422" s="41"/>
      <c r="T422" s="444"/>
      <c r="U422" s="441"/>
      <c r="V422" s="137"/>
      <c r="W422" s="57" t="s">
        <v>3665</v>
      </c>
      <c r="X422" s="57" t="s">
        <v>3665</v>
      </c>
      <c r="Y422" s="137"/>
      <c r="Z422" s="137"/>
      <c r="AA422" s="137"/>
      <c r="AB422" s="137" t="s">
        <v>114</v>
      </c>
      <c r="AC422" s="41"/>
      <c r="AD422" s="41"/>
      <c r="AE422" s="41">
        <v>0</v>
      </c>
      <c r="AF422" s="41">
        <v>0</v>
      </c>
      <c r="AG422" s="41">
        <v>0</v>
      </c>
      <c r="AH422" s="41"/>
      <c r="AI422" s="41">
        <v>0</v>
      </c>
      <c r="AJ422" s="41">
        <v>0</v>
      </c>
      <c r="AK422" s="41">
        <v>0</v>
      </c>
      <c r="AL422" s="41"/>
      <c r="AM422" s="41"/>
      <c r="AN422" s="41"/>
      <c r="AO422" s="41"/>
      <c r="AP422" s="41"/>
      <c r="AQ422" s="8" t="str">
        <f t="shared" si="4"/>
        <v>tricks/1130211</v>
      </c>
      <c r="AR422" s="449"/>
    </row>
    <row r="423" spans="1:44" s="214" customFormat="1" ht="15" customHeight="1">
      <c r="A423" s="41">
        <v>1130212</v>
      </c>
      <c r="B423" s="5" t="s">
        <v>3638</v>
      </c>
      <c r="C423" s="224" t="s">
        <v>4434</v>
      </c>
      <c r="D423" s="41" t="s">
        <v>81</v>
      </c>
      <c r="E423" s="41" t="s">
        <v>1630</v>
      </c>
      <c r="F423" s="41">
        <v>9</v>
      </c>
      <c r="G423" s="41">
        <v>13</v>
      </c>
      <c r="H423" s="41" t="s">
        <v>136</v>
      </c>
      <c r="I423" s="5" t="s">
        <v>3640</v>
      </c>
      <c r="J423" s="41"/>
      <c r="K423" s="41"/>
      <c r="L423" s="174"/>
      <c r="M423" s="438"/>
      <c r="N423" s="438"/>
      <c r="O423" s="174"/>
      <c r="P423" s="137"/>
      <c r="Q423" s="137">
        <v>0</v>
      </c>
      <c r="R423" s="137" t="s">
        <v>153</v>
      </c>
      <c r="S423" s="41"/>
      <c r="T423" s="444"/>
      <c r="U423" s="445"/>
      <c r="V423" s="137"/>
      <c r="W423" s="57" t="s">
        <v>4435</v>
      </c>
      <c r="X423" s="57" t="s">
        <v>4435</v>
      </c>
      <c r="Y423" s="137"/>
      <c r="Z423" s="137"/>
      <c r="AA423" s="137"/>
      <c r="AB423" s="137" t="s">
        <v>114</v>
      </c>
      <c r="AC423" s="41"/>
      <c r="AD423" s="41"/>
      <c r="AE423" s="41">
        <v>0</v>
      </c>
      <c r="AF423" s="41">
        <v>0</v>
      </c>
      <c r="AG423" s="41">
        <v>0</v>
      </c>
      <c r="AH423" s="41"/>
      <c r="AI423" s="41">
        <v>0</v>
      </c>
      <c r="AJ423" s="41">
        <v>0</v>
      </c>
      <c r="AK423" s="41">
        <v>0</v>
      </c>
      <c r="AL423" s="41"/>
      <c r="AM423" s="41"/>
      <c r="AN423" s="41"/>
      <c r="AO423" s="41"/>
      <c r="AP423" s="41"/>
      <c r="AQ423" s="8" t="str">
        <f t="shared" si="4"/>
        <v>tricks/1130212</v>
      </c>
      <c r="AR423" s="449"/>
    </row>
    <row r="424" spans="1:44" s="214" customFormat="1" ht="15" customHeight="1">
      <c r="A424" s="41">
        <v>1130213</v>
      </c>
      <c r="B424" s="5" t="s">
        <v>3638</v>
      </c>
      <c r="C424" s="224" t="s">
        <v>4436</v>
      </c>
      <c r="D424" s="41" t="s">
        <v>81</v>
      </c>
      <c r="E424" s="41" t="s">
        <v>1630</v>
      </c>
      <c r="F424" s="41">
        <v>10</v>
      </c>
      <c r="G424" s="41">
        <v>13</v>
      </c>
      <c r="H424" s="41" t="s">
        <v>136</v>
      </c>
      <c r="I424" s="5" t="s">
        <v>3640</v>
      </c>
      <c r="J424" s="41"/>
      <c r="K424" s="41"/>
      <c r="L424" s="174"/>
      <c r="M424" s="438"/>
      <c r="N424" s="438"/>
      <c r="O424" s="174"/>
      <c r="P424" s="137"/>
      <c r="Q424" s="137">
        <v>0</v>
      </c>
      <c r="R424" s="137" t="s">
        <v>153</v>
      </c>
      <c r="S424" s="41"/>
      <c r="T424" s="444"/>
      <c r="U424" s="445"/>
      <c r="V424" s="137"/>
      <c r="W424" s="57" t="s">
        <v>4437</v>
      </c>
      <c r="X424" s="57" t="s">
        <v>4437</v>
      </c>
      <c r="Y424" s="137"/>
      <c r="Z424" s="137"/>
      <c r="AA424" s="137"/>
      <c r="AB424" s="137" t="s">
        <v>114</v>
      </c>
      <c r="AC424" s="41"/>
      <c r="AD424" s="41"/>
      <c r="AE424" s="41">
        <v>0</v>
      </c>
      <c r="AF424" s="41">
        <v>0</v>
      </c>
      <c r="AG424" s="41">
        <v>0</v>
      </c>
      <c r="AH424" s="41"/>
      <c r="AI424" s="41">
        <v>0</v>
      </c>
      <c r="AJ424" s="41">
        <v>0</v>
      </c>
      <c r="AK424" s="41">
        <v>0</v>
      </c>
      <c r="AL424" s="41"/>
      <c r="AM424" s="41"/>
      <c r="AN424" s="41"/>
      <c r="AO424" s="41"/>
      <c r="AP424" s="41"/>
      <c r="AQ424" s="8" t="str">
        <f t="shared" si="4"/>
        <v>tricks/1130213</v>
      </c>
      <c r="AR424" s="449"/>
    </row>
    <row r="425" spans="1:44" ht="15" customHeight="1">
      <c r="A425" s="5">
        <v>1140001</v>
      </c>
      <c r="B425" s="5" t="s">
        <v>3638</v>
      </c>
      <c r="C425" s="224" t="s">
        <v>4438</v>
      </c>
      <c r="D425" s="5" t="s">
        <v>81</v>
      </c>
      <c r="E425" s="5" t="s">
        <v>1715</v>
      </c>
      <c r="F425" s="5">
        <v>1</v>
      </c>
      <c r="G425" s="5">
        <v>14</v>
      </c>
      <c r="H425" s="5" t="s">
        <v>82</v>
      </c>
      <c r="I425" s="5" t="s">
        <v>3640</v>
      </c>
      <c r="J425" s="5"/>
      <c r="K425" s="5">
        <v>4</v>
      </c>
      <c r="L425" s="439" t="s">
        <v>1716</v>
      </c>
      <c r="M425" s="231"/>
      <c r="N425" s="231"/>
      <c r="O425" s="5"/>
      <c r="P425" s="232"/>
      <c r="Q425" s="232">
        <v>0</v>
      </c>
      <c r="R425" s="232" t="s">
        <v>85</v>
      </c>
      <c r="S425" s="5">
        <v>1400001</v>
      </c>
      <c r="T425" s="256"/>
      <c r="U425" s="257"/>
      <c r="V425" s="232" t="s">
        <v>342</v>
      </c>
      <c r="W425" s="57" t="s">
        <v>4439</v>
      </c>
      <c r="X425" s="57" t="s">
        <v>4439</v>
      </c>
      <c r="Y425" s="232"/>
      <c r="Z425" s="232"/>
      <c r="AA425" s="232">
        <v>1</v>
      </c>
      <c r="AB425" s="232" t="s">
        <v>90</v>
      </c>
      <c r="AC425" s="5"/>
      <c r="AD425" s="5"/>
      <c r="AE425" s="5">
        <v>2</v>
      </c>
      <c r="AF425" s="5">
        <v>0</v>
      </c>
      <c r="AG425" s="5">
        <v>6</v>
      </c>
      <c r="AH425" s="5"/>
      <c r="AI425" s="5">
        <v>25</v>
      </c>
      <c r="AJ425" s="5">
        <v>15</v>
      </c>
      <c r="AK425" s="270"/>
      <c r="AL425" s="270"/>
      <c r="AM425" s="270"/>
      <c r="AN425" s="5" t="s">
        <v>1718</v>
      </c>
      <c r="AO425" s="5"/>
      <c r="AP425" s="5"/>
      <c r="AQ425" s="5" t="s">
        <v>1719</v>
      </c>
      <c r="AR425" s="279">
        <v>295</v>
      </c>
    </row>
    <row r="426" spans="1:44" ht="15" customHeight="1">
      <c r="A426" s="5">
        <v>1140002</v>
      </c>
      <c r="B426" s="5" t="s">
        <v>3638</v>
      </c>
      <c r="C426" s="224" t="s">
        <v>4440</v>
      </c>
      <c r="D426" s="5" t="s">
        <v>81</v>
      </c>
      <c r="E426" s="5" t="s">
        <v>1715</v>
      </c>
      <c r="F426" s="5">
        <v>1</v>
      </c>
      <c r="G426" s="5">
        <v>14</v>
      </c>
      <c r="H426" s="5" t="s">
        <v>82</v>
      </c>
      <c r="I426" s="5" t="s">
        <v>3640</v>
      </c>
      <c r="J426" s="5"/>
      <c r="K426" s="5">
        <v>5</v>
      </c>
      <c r="L426" s="439" t="s">
        <v>1721</v>
      </c>
      <c r="M426" s="231"/>
      <c r="N426" s="231"/>
      <c r="O426" s="5"/>
      <c r="P426" s="232"/>
      <c r="Q426" s="232">
        <v>0</v>
      </c>
      <c r="R426" s="232" t="s">
        <v>85</v>
      </c>
      <c r="S426" s="5">
        <v>1400002</v>
      </c>
      <c r="T426" s="256"/>
      <c r="U426" s="257"/>
      <c r="V426" s="232" t="s">
        <v>342</v>
      </c>
      <c r="W426" s="57" t="s">
        <v>4441</v>
      </c>
      <c r="X426" s="57" t="s">
        <v>4441</v>
      </c>
      <c r="Y426" s="232"/>
      <c r="Z426" s="232"/>
      <c r="AA426" s="232">
        <v>1</v>
      </c>
      <c r="AB426" s="232" t="s">
        <v>90</v>
      </c>
      <c r="AC426" s="5"/>
      <c r="AD426" s="5"/>
      <c r="AE426" s="5">
        <v>2</v>
      </c>
      <c r="AF426" s="5">
        <v>0</v>
      </c>
      <c r="AG426" s="5">
        <v>7</v>
      </c>
      <c r="AH426" s="5"/>
      <c r="AI426" s="5">
        <v>25</v>
      </c>
      <c r="AJ426" s="5">
        <v>15</v>
      </c>
      <c r="AK426" s="270"/>
      <c r="AL426" s="270"/>
      <c r="AM426" s="270"/>
      <c r="AN426" s="5" t="s">
        <v>1723</v>
      </c>
      <c r="AO426" s="5"/>
      <c r="AP426" s="5"/>
      <c r="AQ426" s="5" t="s">
        <v>1724</v>
      </c>
      <c r="AR426" s="279">
        <v>296</v>
      </c>
    </row>
    <row r="427" spans="1:44" ht="15" customHeight="1">
      <c r="A427" s="6">
        <v>1140101</v>
      </c>
      <c r="B427" s="5" t="s">
        <v>3638</v>
      </c>
      <c r="C427" s="224" t="s">
        <v>4442</v>
      </c>
      <c r="D427" s="6" t="s">
        <v>81</v>
      </c>
      <c r="E427" s="6" t="s">
        <v>1715</v>
      </c>
      <c r="F427" s="6">
        <v>1</v>
      </c>
      <c r="G427" s="6">
        <v>14</v>
      </c>
      <c r="H427" s="6" t="s">
        <v>82</v>
      </c>
      <c r="I427" s="5" t="s">
        <v>3640</v>
      </c>
      <c r="J427" s="6"/>
      <c r="K427" s="6">
        <v>1</v>
      </c>
      <c r="L427" s="394" t="s">
        <v>1726</v>
      </c>
      <c r="M427" s="235"/>
      <c r="N427" s="235"/>
      <c r="O427" s="234"/>
      <c r="P427" s="40">
        <v>1</v>
      </c>
      <c r="Q427" s="40">
        <v>0</v>
      </c>
      <c r="R427" s="40" t="s">
        <v>85</v>
      </c>
      <c r="S427" s="6">
        <v>1400101</v>
      </c>
      <c r="T427" s="258"/>
      <c r="U427" s="259"/>
      <c r="V427" s="40" t="s">
        <v>342</v>
      </c>
      <c r="W427" s="57" t="s">
        <v>4443</v>
      </c>
      <c r="X427" s="57" t="s">
        <v>4443</v>
      </c>
      <c r="Y427" s="40"/>
      <c r="Z427" s="40"/>
      <c r="AA427" s="40">
        <v>1</v>
      </c>
      <c r="AB427" s="40" t="s">
        <v>90</v>
      </c>
      <c r="AC427" s="6"/>
      <c r="AD427" s="6"/>
      <c r="AE427" s="6">
        <v>1</v>
      </c>
      <c r="AF427" s="6">
        <v>0</v>
      </c>
      <c r="AG427" s="6">
        <v>6</v>
      </c>
      <c r="AH427" s="6"/>
      <c r="AI427" s="6">
        <v>30</v>
      </c>
      <c r="AJ427" s="6">
        <v>20</v>
      </c>
      <c r="AK427" s="272"/>
      <c r="AL427" s="272"/>
      <c r="AM427" s="272"/>
      <c r="AN427" s="6" t="s">
        <v>1728</v>
      </c>
      <c r="AO427" s="6"/>
      <c r="AP427" s="6"/>
      <c r="AQ427" s="6" t="s">
        <v>1729</v>
      </c>
      <c r="AR427" s="280">
        <v>292</v>
      </c>
    </row>
    <row r="428" spans="1:44" ht="15" customHeight="1">
      <c r="A428" s="6">
        <v>1140102</v>
      </c>
      <c r="B428" s="5" t="s">
        <v>3638</v>
      </c>
      <c r="C428" s="224" t="s">
        <v>4444</v>
      </c>
      <c r="D428" s="6" t="s">
        <v>81</v>
      </c>
      <c r="E428" s="6" t="s">
        <v>1715</v>
      </c>
      <c r="F428" s="6">
        <v>1</v>
      </c>
      <c r="G428" s="6">
        <v>14</v>
      </c>
      <c r="H428" s="6" t="s">
        <v>136</v>
      </c>
      <c r="I428" s="5" t="s">
        <v>3640</v>
      </c>
      <c r="J428" s="6"/>
      <c r="K428" s="6"/>
      <c r="L428" s="394" t="s">
        <v>1731</v>
      </c>
      <c r="M428" s="235"/>
      <c r="N428" s="235"/>
      <c r="O428" s="234"/>
      <c r="P428" s="40"/>
      <c r="Q428" s="40">
        <v>0</v>
      </c>
      <c r="R428" s="40"/>
      <c r="S428" s="6">
        <v>1400102</v>
      </c>
      <c r="T428" s="258"/>
      <c r="U428" s="259"/>
      <c r="V428" s="40" t="s">
        <v>342</v>
      </c>
      <c r="W428" s="57" t="s">
        <v>4445</v>
      </c>
      <c r="X428" s="57" t="s">
        <v>4445</v>
      </c>
      <c r="Y428" s="40"/>
      <c r="Z428" s="40"/>
      <c r="AA428" s="40"/>
      <c r="AB428" s="40"/>
      <c r="AC428" s="6"/>
      <c r="AD428" s="6"/>
      <c r="AE428" s="6">
        <v>0</v>
      </c>
      <c r="AF428" s="6">
        <v>0</v>
      </c>
      <c r="AG428" s="6">
        <v>0</v>
      </c>
      <c r="AH428" s="6"/>
      <c r="AI428" s="6">
        <v>0</v>
      </c>
      <c r="AJ428" s="6">
        <v>0</v>
      </c>
      <c r="AK428" s="272"/>
      <c r="AL428" s="272"/>
      <c r="AM428" s="272"/>
      <c r="AN428" s="6"/>
      <c r="AO428" s="6"/>
      <c r="AP428" s="6"/>
      <c r="AQ428" s="6" t="s">
        <v>1733</v>
      </c>
      <c r="AR428" s="280"/>
    </row>
    <row r="429" spans="1:44" ht="15" customHeight="1">
      <c r="A429" s="6">
        <v>1140103</v>
      </c>
      <c r="B429" s="5" t="s">
        <v>3638</v>
      </c>
      <c r="C429" s="224" t="s">
        <v>4446</v>
      </c>
      <c r="D429" s="6" t="s">
        <v>81</v>
      </c>
      <c r="E429" s="6" t="s">
        <v>1715</v>
      </c>
      <c r="F429" s="6">
        <v>1</v>
      </c>
      <c r="G429" s="6">
        <v>14</v>
      </c>
      <c r="H429" s="6" t="s">
        <v>82</v>
      </c>
      <c r="I429" s="5" t="s">
        <v>3640</v>
      </c>
      <c r="J429" s="6"/>
      <c r="K429" s="6">
        <v>2</v>
      </c>
      <c r="L429" s="394" t="s">
        <v>1735</v>
      </c>
      <c r="M429" s="235"/>
      <c r="N429" s="235"/>
      <c r="O429" s="234"/>
      <c r="P429" s="40">
        <v>1</v>
      </c>
      <c r="Q429" s="40">
        <v>0</v>
      </c>
      <c r="R429" s="40" t="s">
        <v>85</v>
      </c>
      <c r="S429" s="6">
        <v>1400103</v>
      </c>
      <c r="T429" s="258"/>
      <c r="U429" s="259"/>
      <c r="V429" s="40" t="s">
        <v>342</v>
      </c>
      <c r="W429" s="57" t="s">
        <v>4447</v>
      </c>
      <c r="X429" s="57" t="s">
        <v>4447</v>
      </c>
      <c r="Y429" s="40"/>
      <c r="Z429" s="40"/>
      <c r="AA429" s="40">
        <v>1</v>
      </c>
      <c r="AB429" s="40" t="s">
        <v>90</v>
      </c>
      <c r="AC429" s="6"/>
      <c r="AD429" s="6"/>
      <c r="AE429" s="6">
        <v>1</v>
      </c>
      <c r="AF429" s="6">
        <v>0</v>
      </c>
      <c r="AG429" s="6">
        <v>7</v>
      </c>
      <c r="AH429" s="6"/>
      <c r="AI429" s="6">
        <v>30</v>
      </c>
      <c r="AJ429" s="6">
        <v>20</v>
      </c>
      <c r="AK429" s="272"/>
      <c r="AL429" s="272"/>
      <c r="AM429" s="272"/>
      <c r="AN429" s="6" t="s">
        <v>1737</v>
      </c>
      <c r="AO429" s="6"/>
      <c r="AP429" s="6"/>
      <c r="AQ429" s="6" t="s">
        <v>1738</v>
      </c>
      <c r="AR429" s="280">
        <v>293</v>
      </c>
    </row>
    <row r="430" spans="1:44" ht="15" customHeight="1">
      <c r="A430" s="6">
        <v>1140104</v>
      </c>
      <c r="B430" s="5" t="s">
        <v>3638</v>
      </c>
      <c r="C430" s="224" t="s">
        <v>4448</v>
      </c>
      <c r="D430" s="6" t="s">
        <v>81</v>
      </c>
      <c r="E430" s="6" t="s">
        <v>1715</v>
      </c>
      <c r="F430" s="6">
        <v>2</v>
      </c>
      <c r="G430" s="6">
        <v>14</v>
      </c>
      <c r="H430" s="6" t="s">
        <v>136</v>
      </c>
      <c r="I430" s="5" t="s">
        <v>3640</v>
      </c>
      <c r="J430" s="6"/>
      <c r="K430" s="6"/>
      <c r="L430" s="234" t="s">
        <v>1740</v>
      </c>
      <c r="M430" s="235"/>
      <c r="N430" s="235"/>
      <c r="O430" s="234"/>
      <c r="P430" s="40"/>
      <c r="Q430" s="40">
        <v>0</v>
      </c>
      <c r="R430" s="40"/>
      <c r="S430" s="6">
        <v>1400104</v>
      </c>
      <c r="T430" s="258"/>
      <c r="U430" s="259"/>
      <c r="V430" s="40" t="s">
        <v>342</v>
      </c>
      <c r="W430" s="57" t="s">
        <v>4449</v>
      </c>
      <c r="X430" s="57" t="s">
        <v>4449</v>
      </c>
      <c r="Y430" s="40"/>
      <c r="Z430" s="40"/>
      <c r="AA430" s="40"/>
      <c r="AB430" s="40"/>
      <c r="AC430" s="6"/>
      <c r="AD430" s="6"/>
      <c r="AE430" s="6">
        <v>0</v>
      </c>
      <c r="AF430" s="6">
        <v>0</v>
      </c>
      <c r="AG430" s="6">
        <v>0</v>
      </c>
      <c r="AH430" s="6"/>
      <c r="AI430" s="6">
        <v>0</v>
      </c>
      <c r="AJ430" s="6">
        <v>0</v>
      </c>
      <c r="AK430" s="272"/>
      <c r="AL430" s="272"/>
      <c r="AM430" s="272"/>
      <c r="AN430" s="6"/>
      <c r="AO430" s="6"/>
      <c r="AP430" s="6"/>
      <c r="AQ430" s="6" t="s">
        <v>1742</v>
      </c>
      <c r="AR430" s="280"/>
    </row>
    <row r="431" spans="1:44" s="215" customFormat="1" ht="15" customHeight="1">
      <c r="A431" s="6">
        <v>1140105</v>
      </c>
      <c r="B431" s="5" t="s">
        <v>3638</v>
      </c>
      <c r="C431" s="224" t="s">
        <v>4450</v>
      </c>
      <c r="D431" s="6" t="s">
        <v>81</v>
      </c>
      <c r="E431" s="6" t="s">
        <v>1715</v>
      </c>
      <c r="F431" s="6">
        <v>1</v>
      </c>
      <c r="G431" s="6">
        <v>14</v>
      </c>
      <c r="H431" s="6" t="s">
        <v>82</v>
      </c>
      <c r="I431" s="5" t="s">
        <v>3640</v>
      </c>
      <c r="J431" s="6"/>
      <c r="K431" s="6">
        <v>3</v>
      </c>
      <c r="L431" s="234" t="s">
        <v>1744</v>
      </c>
      <c r="M431" s="235"/>
      <c r="N431" s="235"/>
      <c r="O431" s="234"/>
      <c r="P431" s="40">
        <v>1</v>
      </c>
      <c r="Q431" s="40">
        <v>0</v>
      </c>
      <c r="R431" s="40" t="s">
        <v>85</v>
      </c>
      <c r="S431" s="6">
        <v>1400105</v>
      </c>
      <c r="T431" s="258"/>
      <c r="U431" s="259"/>
      <c r="V431" s="40" t="s">
        <v>342</v>
      </c>
      <c r="W431" s="57" t="s">
        <v>4451</v>
      </c>
      <c r="X431" s="57" t="s">
        <v>4451</v>
      </c>
      <c r="Y431" s="40"/>
      <c r="Z431" s="40"/>
      <c r="AA431" s="40">
        <v>1</v>
      </c>
      <c r="AB431" s="40" t="s">
        <v>90</v>
      </c>
      <c r="AC431" s="6"/>
      <c r="AD431" s="6"/>
      <c r="AE431" s="6">
        <v>1</v>
      </c>
      <c r="AF431" s="6">
        <v>0</v>
      </c>
      <c r="AG431" s="6">
        <v>7</v>
      </c>
      <c r="AH431" s="6"/>
      <c r="AI431" s="6">
        <v>30</v>
      </c>
      <c r="AJ431" s="6">
        <v>20</v>
      </c>
      <c r="AK431" s="272"/>
      <c r="AL431" s="272"/>
      <c r="AM431" s="272"/>
      <c r="AN431" s="6" t="s">
        <v>1746</v>
      </c>
      <c r="AO431" s="6"/>
      <c r="AP431" s="6"/>
      <c r="AQ431" s="6" t="s">
        <v>1747</v>
      </c>
      <c r="AR431" s="280">
        <v>294</v>
      </c>
    </row>
    <row r="432" spans="1:44" ht="15" customHeight="1">
      <c r="A432" s="6">
        <v>1140106</v>
      </c>
      <c r="B432" s="5" t="s">
        <v>3638</v>
      </c>
      <c r="C432" s="224" t="s">
        <v>4452</v>
      </c>
      <c r="D432" s="6" t="s">
        <v>81</v>
      </c>
      <c r="E432" s="6" t="s">
        <v>1715</v>
      </c>
      <c r="F432" s="6">
        <v>3</v>
      </c>
      <c r="G432" s="6">
        <v>14</v>
      </c>
      <c r="H432" s="6" t="s">
        <v>136</v>
      </c>
      <c r="I432" s="5" t="s">
        <v>3640</v>
      </c>
      <c r="J432" s="6"/>
      <c r="K432" s="6"/>
      <c r="L432" s="234" t="s">
        <v>1749</v>
      </c>
      <c r="M432" s="235"/>
      <c r="N432" s="235"/>
      <c r="O432" s="234"/>
      <c r="P432" s="40"/>
      <c r="Q432" s="40">
        <v>0</v>
      </c>
      <c r="R432" s="40" t="s">
        <v>153</v>
      </c>
      <c r="S432" s="6">
        <v>1400106</v>
      </c>
      <c r="T432" s="258"/>
      <c r="U432" s="259"/>
      <c r="V432" s="40" t="s">
        <v>342</v>
      </c>
      <c r="W432" s="57" t="s">
        <v>4453</v>
      </c>
      <c r="X432" s="57" t="s">
        <v>4453</v>
      </c>
      <c r="Y432" s="40"/>
      <c r="Z432" s="40"/>
      <c r="AA432" s="40"/>
      <c r="AB432" s="40"/>
      <c r="AC432" s="6"/>
      <c r="AD432" s="6"/>
      <c r="AE432" s="6">
        <v>0</v>
      </c>
      <c r="AF432" s="6">
        <v>0</v>
      </c>
      <c r="AG432" s="6">
        <v>0</v>
      </c>
      <c r="AH432" s="6"/>
      <c r="AI432" s="6">
        <v>0</v>
      </c>
      <c r="AJ432" s="6">
        <v>0</v>
      </c>
      <c r="AK432" s="272"/>
      <c r="AL432" s="272"/>
      <c r="AM432" s="272"/>
      <c r="AN432" s="6"/>
      <c r="AO432" s="6"/>
      <c r="AP432" s="6"/>
      <c r="AQ432" s="6" t="s">
        <v>1751</v>
      </c>
      <c r="AR432" s="280"/>
    </row>
    <row r="433" spans="1:44" ht="15" customHeight="1">
      <c r="A433" s="6">
        <v>1140107</v>
      </c>
      <c r="B433" s="5" t="s">
        <v>3638</v>
      </c>
      <c r="C433" s="224" t="s">
        <v>4454</v>
      </c>
      <c r="D433" s="6" t="s">
        <v>81</v>
      </c>
      <c r="E433" s="6" t="s">
        <v>1715</v>
      </c>
      <c r="F433" s="6">
        <v>4</v>
      </c>
      <c r="G433" s="6">
        <v>14</v>
      </c>
      <c r="H433" s="6" t="s">
        <v>136</v>
      </c>
      <c r="I433" s="5" t="s">
        <v>3640</v>
      </c>
      <c r="J433" s="6"/>
      <c r="K433" s="6"/>
      <c r="L433" s="394" t="s">
        <v>1753</v>
      </c>
      <c r="M433" s="235"/>
      <c r="N433" s="235"/>
      <c r="O433" s="234"/>
      <c r="P433" s="40"/>
      <c r="Q433" s="40">
        <v>0</v>
      </c>
      <c r="R433" s="40" t="s">
        <v>153</v>
      </c>
      <c r="S433" s="6">
        <v>1400107</v>
      </c>
      <c r="T433" s="258"/>
      <c r="U433" s="259"/>
      <c r="V433" s="40" t="s">
        <v>342</v>
      </c>
      <c r="W433" s="57" t="s">
        <v>4455</v>
      </c>
      <c r="X433" s="57" t="s">
        <v>4455</v>
      </c>
      <c r="Y433" s="40"/>
      <c r="Z433" s="40"/>
      <c r="AA433" s="40"/>
      <c r="AB433" s="40"/>
      <c r="AC433" s="6"/>
      <c r="AD433" s="6"/>
      <c r="AE433" s="6">
        <v>0</v>
      </c>
      <c r="AF433" s="6">
        <v>0</v>
      </c>
      <c r="AG433" s="6">
        <v>0</v>
      </c>
      <c r="AH433" s="6"/>
      <c r="AI433" s="6">
        <v>0</v>
      </c>
      <c r="AJ433" s="6">
        <v>0</v>
      </c>
      <c r="AK433" s="272"/>
      <c r="AL433" s="272"/>
      <c r="AM433" s="272"/>
      <c r="AN433" s="6"/>
      <c r="AO433" s="6"/>
      <c r="AP433" s="6"/>
      <c r="AQ433" s="6" t="s">
        <v>1755</v>
      </c>
      <c r="AR433" s="280"/>
    </row>
    <row r="434" spans="1:44" ht="15" customHeight="1">
      <c r="A434" s="6">
        <v>1140108</v>
      </c>
      <c r="B434" s="5" t="s">
        <v>3638</v>
      </c>
      <c r="C434" s="224" t="s">
        <v>4456</v>
      </c>
      <c r="D434" s="6" t="s">
        <v>81</v>
      </c>
      <c r="E434" s="6" t="s">
        <v>1715</v>
      </c>
      <c r="F434" s="6">
        <v>5</v>
      </c>
      <c r="G434" s="6">
        <v>14</v>
      </c>
      <c r="H434" s="6" t="s">
        <v>136</v>
      </c>
      <c r="I434" s="5" t="s">
        <v>3640</v>
      </c>
      <c r="J434" s="6"/>
      <c r="K434" s="6"/>
      <c r="L434" s="394" t="s">
        <v>1757</v>
      </c>
      <c r="M434" s="235"/>
      <c r="N434" s="235"/>
      <c r="O434" s="234"/>
      <c r="P434" s="40"/>
      <c r="Q434" s="40">
        <v>0</v>
      </c>
      <c r="R434" s="40" t="s">
        <v>153</v>
      </c>
      <c r="S434" s="6">
        <v>1400108</v>
      </c>
      <c r="T434" s="258"/>
      <c r="U434" s="259"/>
      <c r="V434" s="40" t="s">
        <v>342</v>
      </c>
      <c r="W434" s="57" t="s">
        <v>4449</v>
      </c>
      <c r="X434" s="57" t="s">
        <v>4449</v>
      </c>
      <c r="Y434" s="40"/>
      <c r="Z434" s="40"/>
      <c r="AA434" s="40"/>
      <c r="AB434" s="40"/>
      <c r="AC434" s="6"/>
      <c r="AD434" s="6"/>
      <c r="AE434" s="6">
        <v>0</v>
      </c>
      <c r="AF434" s="6">
        <v>0</v>
      </c>
      <c r="AG434" s="6">
        <v>0</v>
      </c>
      <c r="AH434" s="6"/>
      <c r="AI434" s="6">
        <v>0</v>
      </c>
      <c r="AJ434" s="6">
        <v>0</v>
      </c>
      <c r="AK434" s="272"/>
      <c r="AL434" s="272"/>
      <c r="AM434" s="272"/>
      <c r="AN434" s="6"/>
      <c r="AO434" s="6"/>
      <c r="AP434" s="6"/>
      <c r="AQ434" s="6" t="s">
        <v>1758</v>
      </c>
      <c r="AR434" s="280"/>
    </row>
    <row r="435" spans="1:44" ht="15" customHeight="1">
      <c r="A435" s="6">
        <v>1140109</v>
      </c>
      <c r="B435" s="5" t="s">
        <v>3638</v>
      </c>
      <c r="C435" s="224" t="s">
        <v>4457</v>
      </c>
      <c r="D435" s="6" t="s">
        <v>81</v>
      </c>
      <c r="E435" s="6" t="s">
        <v>1715</v>
      </c>
      <c r="F435" s="6">
        <v>6</v>
      </c>
      <c r="G435" s="6">
        <v>14</v>
      </c>
      <c r="H435" s="6" t="s">
        <v>136</v>
      </c>
      <c r="I435" s="5" t="s">
        <v>3640</v>
      </c>
      <c r="J435" s="6"/>
      <c r="K435" s="6"/>
      <c r="L435" s="234" t="s">
        <v>1749</v>
      </c>
      <c r="M435" s="235"/>
      <c r="N435" s="235"/>
      <c r="O435" s="234"/>
      <c r="P435" s="40"/>
      <c r="Q435" s="40">
        <v>0</v>
      </c>
      <c r="R435" s="40" t="s">
        <v>153</v>
      </c>
      <c r="S435" s="6">
        <v>1400109</v>
      </c>
      <c r="T435" s="258"/>
      <c r="U435" s="259"/>
      <c r="V435" s="40" t="s">
        <v>342</v>
      </c>
      <c r="W435" s="57" t="s">
        <v>4453</v>
      </c>
      <c r="X435" s="57" t="s">
        <v>4453</v>
      </c>
      <c r="Y435" s="40"/>
      <c r="Z435" s="40"/>
      <c r="AA435" s="40"/>
      <c r="AB435" s="40"/>
      <c r="AC435" s="6"/>
      <c r="AD435" s="6"/>
      <c r="AE435" s="6">
        <v>0</v>
      </c>
      <c r="AF435" s="6">
        <v>0</v>
      </c>
      <c r="AG435" s="6">
        <v>0</v>
      </c>
      <c r="AH435" s="6"/>
      <c r="AI435" s="6">
        <v>0</v>
      </c>
      <c r="AJ435" s="6">
        <v>0</v>
      </c>
      <c r="AK435" s="272"/>
      <c r="AL435" s="272"/>
      <c r="AM435" s="272"/>
      <c r="AN435" s="6"/>
      <c r="AO435" s="6"/>
      <c r="AP435" s="6"/>
      <c r="AQ435" s="6" t="s">
        <v>1760</v>
      </c>
      <c r="AR435" s="280"/>
    </row>
    <row r="436" spans="1:44" ht="15" customHeight="1">
      <c r="A436" s="6">
        <v>1140110</v>
      </c>
      <c r="B436" s="5" t="s">
        <v>3638</v>
      </c>
      <c r="C436" s="224" t="s">
        <v>4458</v>
      </c>
      <c r="D436" s="6" t="s">
        <v>81</v>
      </c>
      <c r="E436" s="6" t="s">
        <v>1715</v>
      </c>
      <c r="F436" s="6">
        <v>7</v>
      </c>
      <c r="G436" s="6">
        <v>14</v>
      </c>
      <c r="H436" s="6" t="s">
        <v>136</v>
      </c>
      <c r="I436" s="5" t="s">
        <v>3640</v>
      </c>
      <c r="J436" s="6"/>
      <c r="K436" s="6"/>
      <c r="L436" s="234" t="s">
        <v>1762</v>
      </c>
      <c r="M436" s="235"/>
      <c r="N436" s="235"/>
      <c r="O436" s="234"/>
      <c r="P436" s="40"/>
      <c r="Q436" s="40">
        <v>0</v>
      </c>
      <c r="R436" s="40" t="s">
        <v>153</v>
      </c>
      <c r="S436" s="6">
        <v>1400110</v>
      </c>
      <c r="T436" s="258"/>
      <c r="U436" s="259"/>
      <c r="V436" s="40" t="s">
        <v>342</v>
      </c>
      <c r="W436" s="57" t="s">
        <v>4459</v>
      </c>
      <c r="X436" s="57" t="s">
        <v>4459</v>
      </c>
      <c r="Y436" s="40"/>
      <c r="Z436" s="40"/>
      <c r="AA436" s="40"/>
      <c r="AB436" s="40"/>
      <c r="AC436" s="6"/>
      <c r="AD436" s="6"/>
      <c r="AE436" s="6">
        <v>0</v>
      </c>
      <c r="AF436" s="6">
        <v>0</v>
      </c>
      <c r="AG436" s="6">
        <v>0</v>
      </c>
      <c r="AH436" s="6"/>
      <c r="AI436" s="6">
        <v>0</v>
      </c>
      <c r="AJ436" s="6">
        <v>0</v>
      </c>
      <c r="AK436" s="272"/>
      <c r="AL436" s="272"/>
      <c r="AM436" s="272"/>
      <c r="AN436" s="6"/>
      <c r="AO436" s="6"/>
      <c r="AP436" s="6"/>
      <c r="AQ436" s="6" t="s">
        <v>1764</v>
      </c>
      <c r="AR436" s="280"/>
    </row>
    <row r="437" spans="1:44" ht="15" customHeight="1">
      <c r="A437" s="3">
        <v>1140111</v>
      </c>
      <c r="B437" s="5" t="s">
        <v>3638</v>
      </c>
      <c r="C437" s="224" t="s">
        <v>4460</v>
      </c>
      <c r="D437" s="3" t="s">
        <v>81</v>
      </c>
      <c r="E437" s="3" t="s">
        <v>1715</v>
      </c>
      <c r="F437" s="3">
        <v>8</v>
      </c>
      <c r="G437" s="3">
        <v>14</v>
      </c>
      <c r="H437" s="3" t="s">
        <v>136</v>
      </c>
      <c r="I437" s="5" t="s">
        <v>3640</v>
      </c>
      <c r="J437" s="3"/>
      <c r="K437" s="3"/>
      <c r="L437" s="236"/>
      <c r="M437" s="99"/>
      <c r="N437" s="99"/>
      <c r="O437" s="236"/>
      <c r="P437" s="22"/>
      <c r="Q437" s="22">
        <v>0</v>
      </c>
      <c r="R437" s="22" t="s">
        <v>153</v>
      </c>
      <c r="S437" s="3"/>
      <c r="T437" s="260"/>
      <c r="U437" s="261"/>
      <c r="V437" s="22"/>
      <c r="W437" s="57" t="s">
        <v>3665</v>
      </c>
      <c r="X437" s="57" t="s">
        <v>3665</v>
      </c>
      <c r="Y437" s="22"/>
      <c r="Z437" s="22"/>
      <c r="AA437" s="22"/>
      <c r="AB437" s="22" t="s">
        <v>114</v>
      </c>
      <c r="AC437" s="3"/>
      <c r="AD437" s="3"/>
      <c r="AE437" s="3">
        <v>0</v>
      </c>
      <c r="AF437" s="3">
        <v>0</v>
      </c>
      <c r="AG437" s="3">
        <v>0</v>
      </c>
      <c r="AH437" s="3"/>
      <c r="AI437" s="3">
        <v>0</v>
      </c>
      <c r="AJ437" s="3">
        <v>0</v>
      </c>
      <c r="AK437" s="3">
        <v>0</v>
      </c>
      <c r="AL437" s="3"/>
      <c r="AM437" s="3"/>
      <c r="AN437" s="3"/>
      <c r="AO437" s="3"/>
      <c r="AP437" s="3"/>
      <c r="AQ437" s="3" t="s">
        <v>1747</v>
      </c>
      <c r="AR437" s="281"/>
    </row>
    <row r="438" spans="1:44" ht="15" customHeight="1">
      <c r="A438" s="3">
        <v>1140112</v>
      </c>
      <c r="B438" s="5" t="s">
        <v>3638</v>
      </c>
      <c r="C438" s="224" t="s">
        <v>4461</v>
      </c>
      <c r="D438" s="3" t="s">
        <v>81</v>
      </c>
      <c r="E438" s="3" t="s">
        <v>1715</v>
      </c>
      <c r="F438" s="3">
        <v>9</v>
      </c>
      <c r="G438" s="3">
        <v>14</v>
      </c>
      <c r="H438" s="3" t="s">
        <v>136</v>
      </c>
      <c r="I438" s="5" t="s">
        <v>3640</v>
      </c>
      <c r="J438" s="3"/>
      <c r="K438" s="3"/>
      <c r="L438" s="236"/>
      <c r="M438" s="99"/>
      <c r="N438" s="99"/>
      <c r="O438" s="236"/>
      <c r="P438" s="22"/>
      <c r="Q438" s="22">
        <v>0</v>
      </c>
      <c r="R438" s="22" t="s">
        <v>153</v>
      </c>
      <c r="S438" s="3"/>
      <c r="T438" s="260"/>
      <c r="U438" s="261"/>
      <c r="V438" s="22"/>
      <c r="W438" s="57" t="s">
        <v>4453</v>
      </c>
      <c r="X438" s="57" t="s">
        <v>4453</v>
      </c>
      <c r="Y438" s="22"/>
      <c r="Z438" s="22"/>
      <c r="AA438" s="22"/>
      <c r="AB438" s="22" t="s">
        <v>114</v>
      </c>
      <c r="AC438" s="3"/>
      <c r="AD438" s="3"/>
      <c r="AE438" s="3">
        <v>0</v>
      </c>
      <c r="AF438" s="3">
        <v>0</v>
      </c>
      <c r="AG438" s="3">
        <v>0</v>
      </c>
      <c r="AH438" s="3"/>
      <c r="AI438" s="3">
        <v>0</v>
      </c>
      <c r="AJ438" s="3">
        <v>0</v>
      </c>
      <c r="AK438" s="3">
        <v>0</v>
      </c>
      <c r="AL438" s="3"/>
      <c r="AM438" s="3"/>
      <c r="AN438" s="3"/>
      <c r="AO438" s="3"/>
      <c r="AP438" s="3"/>
      <c r="AQ438" s="282" t="str">
        <f>"tricks/"&amp;A438</f>
        <v>tricks/1140112</v>
      </c>
    </row>
    <row r="439" spans="1:44" ht="15" customHeight="1">
      <c r="A439" s="3">
        <v>1140113</v>
      </c>
      <c r="B439" s="5" t="s">
        <v>3638</v>
      </c>
      <c r="C439" s="224" t="s">
        <v>4462</v>
      </c>
      <c r="D439" s="3" t="s">
        <v>81</v>
      </c>
      <c r="E439" s="3" t="s">
        <v>1715</v>
      </c>
      <c r="F439" s="3">
        <v>10</v>
      </c>
      <c r="G439" s="3">
        <v>14</v>
      </c>
      <c r="H439" s="3" t="s">
        <v>136</v>
      </c>
      <c r="I439" s="5" t="s">
        <v>3640</v>
      </c>
      <c r="J439" s="3"/>
      <c r="K439" s="3"/>
      <c r="L439" s="236"/>
      <c r="M439" s="99"/>
      <c r="N439" s="99"/>
      <c r="O439" s="236"/>
      <c r="P439" s="22"/>
      <c r="Q439" s="22">
        <v>0</v>
      </c>
      <c r="R439" s="22" t="s">
        <v>153</v>
      </c>
      <c r="S439" s="3"/>
      <c r="T439" s="260"/>
      <c r="U439" s="261"/>
      <c r="V439" s="22"/>
      <c r="W439" s="57" t="s">
        <v>4449</v>
      </c>
      <c r="X439" s="57" t="s">
        <v>4449</v>
      </c>
      <c r="Y439" s="22"/>
      <c r="Z439" s="22"/>
      <c r="AA439" s="22"/>
      <c r="AB439" s="22" t="s">
        <v>114</v>
      </c>
      <c r="AC439" s="3"/>
      <c r="AD439" s="3"/>
      <c r="AE439" s="3">
        <v>0</v>
      </c>
      <c r="AF439" s="3">
        <v>0</v>
      </c>
      <c r="AG439" s="3">
        <v>0</v>
      </c>
      <c r="AH439" s="3"/>
      <c r="AI439" s="3">
        <v>0</v>
      </c>
      <c r="AJ439" s="3">
        <v>0</v>
      </c>
      <c r="AK439" s="3">
        <v>0</v>
      </c>
      <c r="AL439" s="3"/>
      <c r="AM439" s="3"/>
      <c r="AN439" s="3"/>
      <c r="AO439" s="3"/>
      <c r="AP439" s="3"/>
      <c r="AQ439" s="282" t="str">
        <f>"tricks/"&amp;A439</f>
        <v>tricks/1140113</v>
      </c>
    </row>
    <row r="440" spans="1:44" ht="15" customHeight="1">
      <c r="A440" s="5">
        <v>1150001</v>
      </c>
      <c r="B440" s="5" t="s">
        <v>3638</v>
      </c>
      <c r="C440" s="224" t="s">
        <v>4463</v>
      </c>
      <c r="D440" s="5" t="s">
        <v>81</v>
      </c>
      <c r="E440" s="5" t="s">
        <v>1770</v>
      </c>
      <c r="F440" s="5">
        <v>1</v>
      </c>
      <c r="G440" s="5">
        <v>15</v>
      </c>
      <c r="H440" s="5" t="s">
        <v>82</v>
      </c>
      <c r="I440" s="5" t="s">
        <v>3640</v>
      </c>
      <c r="J440" s="5"/>
      <c r="K440" s="5">
        <v>4</v>
      </c>
      <c r="L440" s="230" t="s">
        <v>1343</v>
      </c>
      <c r="M440" s="231"/>
      <c r="N440" s="231"/>
      <c r="O440" s="5"/>
      <c r="P440" s="232"/>
      <c r="Q440" s="232">
        <v>0</v>
      </c>
      <c r="R440" s="232" t="s">
        <v>85</v>
      </c>
      <c r="S440" s="5">
        <v>1200001</v>
      </c>
      <c r="T440" s="256"/>
      <c r="U440" s="257" t="s">
        <v>1771</v>
      </c>
      <c r="V440" s="446" t="s">
        <v>1772</v>
      </c>
      <c r="W440" s="57" t="s">
        <v>4464</v>
      </c>
      <c r="X440" s="57" t="s">
        <v>4464</v>
      </c>
      <c r="Y440" s="232"/>
      <c r="Z440" s="232"/>
      <c r="AA440" s="232">
        <v>1</v>
      </c>
      <c r="AB440" s="232" t="s">
        <v>90</v>
      </c>
      <c r="AC440" s="5"/>
      <c r="AD440" s="5"/>
      <c r="AE440" s="5">
        <v>2</v>
      </c>
      <c r="AF440" s="5">
        <v>0</v>
      </c>
      <c r="AG440" s="5">
        <v>4</v>
      </c>
      <c r="AH440" s="5"/>
      <c r="AI440" s="5">
        <v>52</v>
      </c>
      <c r="AJ440" s="5">
        <v>39</v>
      </c>
      <c r="AK440" s="270"/>
      <c r="AL440" s="270"/>
      <c r="AM440" s="270"/>
      <c r="AN440" s="5" t="s">
        <v>1774</v>
      </c>
      <c r="AO440" s="5"/>
      <c r="AP440" s="5"/>
      <c r="AQ440" s="5" t="s">
        <v>1775</v>
      </c>
      <c r="AR440" s="279">
        <v>307</v>
      </c>
    </row>
    <row r="441" spans="1:44" ht="15" customHeight="1">
      <c r="A441" s="5">
        <v>1150002</v>
      </c>
      <c r="B441" s="5" t="s">
        <v>3638</v>
      </c>
      <c r="C441" s="224" t="s">
        <v>4465</v>
      </c>
      <c r="D441" s="5" t="s">
        <v>81</v>
      </c>
      <c r="E441" s="5" t="s">
        <v>1770</v>
      </c>
      <c r="F441" s="5">
        <v>1</v>
      </c>
      <c r="G441" s="5">
        <v>15</v>
      </c>
      <c r="H441" s="5" t="s">
        <v>82</v>
      </c>
      <c r="I441" s="5" t="s">
        <v>3640</v>
      </c>
      <c r="J441" s="5"/>
      <c r="K441" s="5">
        <v>5</v>
      </c>
      <c r="L441" s="230" t="s">
        <v>1350</v>
      </c>
      <c r="M441" s="231"/>
      <c r="N441" s="231"/>
      <c r="O441" s="5"/>
      <c r="P441" s="232"/>
      <c r="Q441" s="232">
        <v>0</v>
      </c>
      <c r="R441" s="232" t="s">
        <v>85</v>
      </c>
      <c r="S441" s="5">
        <v>1200002</v>
      </c>
      <c r="T441" s="256"/>
      <c r="U441" s="257" t="s">
        <v>1771</v>
      </c>
      <c r="V441" s="446" t="s">
        <v>1772</v>
      </c>
      <c r="W441" s="57" t="s">
        <v>4466</v>
      </c>
      <c r="X441" s="57" t="s">
        <v>4466</v>
      </c>
      <c r="Y441" s="232"/>
      <c r="Z441" s="232"/>
      <c r="AA441" s="232">
        <v>1</v>
      </c>
      <c r="AB441" s="232" t="s">
        <v>90</v>
      </c>
      <c r="AC441" s="5"/>
      <c r="AD441" s="5"/>
      <c r="AE441" s="5">
        <v>2</v>
      </c>
      <c r="AF441" s="5">
        <v>0</v>
      </c>
      <c r="AG441" s="5">
        <v>4</v>
      </c>
      <c r="AH441" s="5"/>
      <c r="AI441" s="5">
        <v>65</v>
      </c>
      <c r="AJ441" s="5">
        <v>45</v>
      </c>
      <c r="AK441" s="270"/>
      <c r="AL441" s="270"/>
      <c r="AM441" s="270"/>
      <c r="AN441" s="5" t="s">
        <v>1778</v>
      </c>
      <c r="AO441" s="5"/>
      <c r="AP441" s="5"/>
      <c r="AQ441" s="5" t="s">
        <v>1779</v>
      </c>
      <c r="AR441" s="279">
        <v>308</v>
      </c>
    </row>
    <row r="442" spans="1:44" ht="15" customHeight="1">
      <c r="A442" s="5">
        <v>1150101</v>
      </c>
      <c r="B442" s="5" t="s">
        <v>3638</v>
      </c>
      <c r="C442" s="224" t="s">
        <v>4467</v>
      </c>
      <c r="D442" s="5" t="s">
        <v>81</v>
      </c>
      <c r="E442" s="5" t="s">
        <v>1770</v>
      </c>
      <c r="F442" s="5">
        <v>1</v>
      </c>
      <c r="G442" s="5">
        <v>15</v>
      </c>
      <c r="H442" s="5" t="s">
        <v>82</v>
      </c>
      <c r="I442" s="5" t="s">
        <v>3640</v>
      </c>
      <c r="J442" s="5"/>
      <c r="K442" s="5">
        <v>1</v>
      </c>
      <c r="L442" s="440" t="s">
        <v>1781</v>
      </c>
      <c r="M442" s="231"/>
      <c r="N442" s="231"/>
      <c r="O442" s="440"/>
      <c r="P442" s="232">
        <v>1</v>
      </c>
      <c r="Q442" s="232">
        <v>0</v>
      </c>
      <c r="R442" s="232" t="s">
        <v>85</v>
      </c>
      <c r="S442" s="5" t="s">
        <v>1782</v>
      </c>
      <c r="T442" s="256"/>
      <c r="U442" s="257" t="s">
        <v>1783</v>
      </c>
      <c r="V442" s="446" t="s">
        <v>1772</v>
      </c>
      <c r="W442" s="57" t="s">
        <v>4468</v>
      </c>
      <c r="X442" s="57" t="s">
        <v>4468</v>
      </c>
      <c r="Y442" s="232"/>
      <c r="Z442" s="232"/>
      <c r="AA442" s="232">
        <v>1</v>
      </c>
      <c r="AB442" s="232" t="s">
        <v>90</v>
      </c>
      <c r="AC442" s="5"/>
      <c r="AD442" s="5"/>
      <c r="AE442" s="5">
        <v>1</v>
      </c>
      <c r="AF442" s="5">
        <v>1</v>
      </c>
      <c r="AG442" s="5">
        <v>6</v>
      </c>
      <c r="AH442" s="5"/>
      <c r="AI442" s="5">
        <v>39</v>
      </c>
      <c r="AJ442" s="5">
        <v>26</v>
      </c>
      <c r="AK442" s="270"/>
      <c r="AL442" s="270"/>
      <c r="AM442" s="270"/>
      <c r="AN442" s="5" t="s">
        <v>1785</v>
      </c>
      <c r="AO442" s="5" t="s">
        <v>1786</v>
      </c>
      <c r="AP442" s="5"/>
      <c r="AQ442" s="5" t="s">
        <v>1787</v>
      </c>
      <c r="AR442" s="279">
        <v>304</v>
      </c>
    </row>
    <row r="443" spans="1:44" ht="15" customHeight="1">
      <c r="A443" s="5">
        <v>1150102</v>
      </c>
      <c r="B443" s="5" t="s">
        <v>3638</v>
      </c>
      <c r="C443" s="224" t="s">
        <v>4469</v>
      </c>
      <c r="D443" s="5" t="s">
        <v>81</v>
      </c>
      <c r="E443" s="5" t="s">
        <v>1770</v>
      </c>
      <c r="F443" s="5">
        <v>1</v>
      </c>
      <c r="G443" s="5">
        <v>15</v>
      </c>
      <c r="H443" s="5" t="s">
        <v>136</v>
      </c>
      <c r="I443" s="5" t="s">
        <v>3640</v>
      </c>
      <c r="J443" s="5"/>
      <c r="K443" s="5"/>
      <c r="L443" s="440" t="s">
        <v>1366</v>
      </c>
      <c r="M443" s="231"/>
      <c r="N443" s="231"/>
      <c r="O443" s="440"/>
      <c r="P443" s="232"/>
      <c r="Q443" s="232">
        <v>0</v>
      </c>
      <c r="R443" s="232"/>
      <c r="S443" s="5">
        <v>1200102</v>
      </c>
      <c r="T443" s="256"/>
      <c r="U443" s="447"/>
      <c r="V443" s="446" t="s">
        <v>1772</v>
      </c>
      <c r="W443" s="57" t="s">
        <v>4470</v>
      </c>
      <c r="X443" s="57" t="s">
        <v>4470</v>
      </c>
      <c r="Y443" s="232"/>
      <c r="Z443" s="232"/>
      <c r="AA443" s="232"/>
      <c r="AB443" s="232"/>
      <c r="AC443" s="5"/>
      <c r="AD443" s="5"/>
      <c r="AE443" s="5">
        <v>0</v>
      </c>
      <c r="AF443" s="5">
        <v>0</v>
      </c>
      <c r="AG443" s="5">
        <v>0</v>
      </c>
      <c r="AH443" s="5"/>
      <c r="AI443" s="5">
        <v>0</v>
      </c>
      <c r="AJ443" s="5">
        <v>0</v>
      </c>
      <c r="AK443" s="270"/>
      <c r="AL443" s="270"/>
      <c r="AM443" s="270"/>
      <c r="AN443" s="5"/>
      <c r="AO443" s="5"/>
      <c r="AP443" s="5"/>
      <c r="AQ443" s="5" t="s">
        <v>1790</v>
      </c>
      <c r="AR443" s="279"/>
    </row>
    <row r="444" spans="1:44" ht="15" customHeight="1">
      <c r="A444" s="5">
        <v>1150103</v>
      </c>
      <c r="B444" s="5" t="s">
        <v>3638</v>
      </c>
      <c r="C444" s="224" t="s">
        <v>4471</v>
      </c>
      <c r="D444" s="5" t="s">
        <v>81</v>
      </c>
      <c r="E444" s="5" t="s">
        <v>1770</v>
      </c>
      <c r="F444" s="5">
        <v>1</v>
      </c>
      <c r="G444" s="5">
        <v>15</v>
      </c>
      <c r="H444" s="5" t="s">
        <v>82</v>
      </c>
      <c r="I444" s="5" t="s">
        <v>3640</v>
      </c>
      <c r="J444" s="5"/>
      <c r="K444" s="5">
        <v>2</v>
      </c>
      <c r="L444" s="440" t="s">
        <v>1370</v>
      </c>
      <c r="M444" s="231"/>
      <c r="N444" s="231"/>
      <c r="O444" s="440"/>
      <c r="P444" s="232">
        <v>1</v>
      </c>
      <c r="Q444" s="232">
        <v>0</v>
      </c>
      <c r="R444" s="232" t="s">
        <v>85</v>
      </c>
      <c r="S444" s="5">
        <v>1200103</v>
      </c>
      <c r="T444" s="256"/>
      <c r="U444" s="257" t="s">
        <v>1792</v>
      </c>
      <c r="V444" s="446" t="s">
        <v>1772</v>
      </c>
      <c r="W444" s="57" t="s">
        <v>4472</v>
      </c>
      <c r="X444" s="57" t="s">
        <v>4472</v>
      </c>
      <c r="Y444" s="232"/>
      <c r="Z444" s="232"/>
      <c r="AA444" s="232">
        <v>1</v>
      </c>
      <c r="AB444" s="232" t="s">
        <v>90</v>
      </c>
      <c r="AC444" s="5"/>
      <c r="AD444" s="5"/>
      <c r="AE444" s="5">
        <v>1</v>
      </c>
      <c r="AF444" s="5">
        <v>1</v>
      </c>
      <c r="AG444" s="5">
        <v>5</v>
      </c>
      <c r="AH444" s="5"/>
      <c r="AI444" s="5">
        <v>39</v>
      </c>
      <c r="AJ444" s="5">
        <v>26</v>
      </c>
      <c r="AK444" s="270"/>
      <c r="AL444" s="270"/>
      <c r="AM444" s="270"/>
      <c r="AN444" s="5" t="s">
        <v>1794</v>
      </c>
      <c r="AO444" s="5" t="s">
        <v>1795</v>
      </c>
      <c r="AP444" s="5"/>
      <c r="AQ444" s="5" t="s">
        <v>1796</v>
      </c>
      <c r="AR444" s="279">
        <v>305</v>
      </c>
    </row>
    <row r="445" spans="1:44" ht="15" customHeight="1">
      <c r="A445" s="5">
        <v>1150104</v>
      </c>
      <c r="B445" s="5" t="s">
        <v>3638</v>
      </c>
      <c r="C445" s="224" t="s">
        <v>4473</v>
      </c>
      <c r="D445" s="5" t="s">
        <v>81</v>
      </c>
      <c r="E445" s="5" t="s">
        <v>1770</v>
      </c>
      <c r="F445" s="5">
        <v>2</v>
      </c>
      <c r="G445" s="5">
        <v>15</v>
      </c>
      <c r="H445" s="5" t="s">
        <v>136</v>
      </c>
      <c r="I445" s="5" t="s">
        <v>3640</v>
      </c>
      <c r="J445" s="5"/>
      <c r="K445" s="5"/>
      <c r="L445" s="440" t="s">
        <v>1379</v>
      </c>
      <c r="M445" s="231"/>
      <c r="N445" s="231"/>
      <c r="O445" s="440"/>
      <c r="P445" s="232"/>
      <c r="Q445" s="232">
        <v>0</v>
      </c>
      <c r="R445" s="232"/>
      <c r="S445" s="5">
        <v>1200104</v>
      </c>
      <c r="T445" s="256"/>
      <c r="U445" s="447"/>
      <c r="V445" s="446" t="s">
        <v>1772</v>
      </c>
      <c r="W445" s="57" t="s">
        <v>4474</v>
      </c>
      <c r="X445" s="57" t="s">
        <v>4474</v>
      </c>
      <c r="Y445" s="232"/>
      <c r="Z445" s="232"/>
      <c r="AA445" s="232"/>
      <c r="AB445" s="232"/>
      <c r="AC445" s="5"/>
      <c r="AD445" s="5"/>
      <c r="AE445" s="5">
        <v>0</v>
      </c>
      <c r="AF445" s="5">
        <v>0</v>
      </c>
      <c r="AG445" s="5">
        <v>0</v>
      </c>
      <c r="AH445" s="5"/>
      <c r="AI445" s="5">
        <v>0</v>
      </c>
      <c r="AJ445" s="5">
        <v>0</v>
      </c>
      <c r="AK445" s="270"/>
      <c r="AL445" s="270"/>
      <c r="AM445" s="270"/>
      <c r="AN445" s="5"/>
      <c r="AO445" s="5"/>
      <c r="AP445" s="5"/>
      <c r="AQ445" s="5" t="s">
        <v>1799</v>
      </c>
      <c r="AR445" s="279"/>
    </row>
    <row r="446" spans="1:44" ht="15" customHeight="1">
      <c r="A446" s="5">
        <v>1150105</v>
      </c>
      <c r="B446" s="5" t="s">
        <v>3638</v>
      </c>
      <c r="C446" s="224" t="s">
        <v>4475</v>
      </c>
      <c r="D446" s="5" t="s">
        <v>81</v>
      </c>
      <c r="E446" s="5" t="s">
        <v>1770</v>
      </c>
      <c r="F446" s="5">
        <v>1</v>
      </c>
      <c r="G446" s="5">
        <v>15</v>
      </c>
      <c r="H446" s="5" t="s">
        <v>82</v>
      </c>
      <c r="I446" s="5" t="s">
        <v>3640</v>
      </c>
      <c r="J446" s="5"/>
      <c r="K446" s="5">
        <v>3</v>
      </c>
      <c r="L446" s="440" t="s">
        <v>1383</v>
      </c>
      <c r="M446" s="231"/>
      <c r="N446" s="231"/>
      <c r="O446" s="440"/>
      <c r="P446" s="232">
        <v>1</v>
      </c>
      <c r="Q446" s="232">
        <v>0</v>
      </c>
      <c r="R446" s="232" t="s">
        <v>85</v>
      </c>
      <c r="S446" s="5">
        <v>1200105</v>
      </c>
      <c r="T446" s="256"/>
      <c r="U446" s="257" t="s">
        <v>1801</v>
      </c>
      <c r="V446" s="446" t="s">
        <v>1772</v>
      </c>
      <c r="W446" s="57" t="s">
        <v>4476</v>
      </c>
      <c r="X446" s="57" t="s">
        <v>4476</v>
      </c>
      <c r="Y446" s="232"/>
      <c r="Z446" s="232"/>
      <c r="AA446" s="232">
        <v>1</v>
      </c>
      <c r="AB446" s="232" t="s">
        <v>90</v>
      </c>
      <c r="AC446" s="5"/>
      <c r="AD446" s="5"/>
      <c r="AE446" s="5">
        <v>1</v>
      </c>
      <c r="AF446" s="5">
        <v>1</v>
      </c>
      <c r="AG446" s="5">
        <v>5</v>
      </c>
      <c r="AH446" s="5"/>
      <c r="AI446" s="5">
        <v>39</v>
      </c>
      <c r="AJ446" s="5">
        <v>26</v>
      </c>
      <c r="AK446" s="270"/>
      <c r="AL446" s="270"/>
      <c r="AM446" s="270"/>
      <c r="AN446" s="5" t="s">
        <v>1803</v>
      </c>
      <c r="AO446" s="5" t="s">
        <v>1804</v>
      </c>
      <c r="AP446" s="5" t="s">
        <v>1805</v>
      </c>
      <c r="AQ446" s="5" t="s">
        <v>1806</v>
      </c>
      <c r="AR446" s="279">
        <v>306</v>
      </c>
    </row>
    <row r="447" spans="1:44" ht="15" customHeight="1">
      <c r="A447" s="5">
        <v>1150106</v>
      </c>
      <c r="B447" s="5" t="s">
        <v>3638</v>
      </c>
      <c r="C447" s="224" t="s">
        <v>4477</v>
      </c>
      <c r="D447" s="5" t="s">
        <v>81</v>
      </c>
      <c r="E447" s="5" t="s">
        <v>1770</v>
      </c>
      <c r="F447" s="5">
        <v>3</v>
      </c>
      <c r="G447" s="5">
        <v>15</v>
      </c>
      <c r="H447" s="5" t="s">
        <v>136</v>
      </c>
      <c r="I447" s="5" t="s">
        <v>3640</v>
      </c>
      <c r="J447" s="5"/>
      <c r="K447" s="5"/>
      <c r="L447" s="440" t="s">
        <v>1389</v>
      </c>
      <c r="M447" s="231"/>
      <c r="N447" s="231"/>
      <c r="O447" s="440"/>
      <c r="P447" s="232"/>
      <c r="Q447" s="232">
        <v>0</v>
      </c>
      <c r="R447" s="232" t="s">
        <v>153</v>
      </c>
      <c r="S447" s="5">
        <v>1200106</v>
      </c>
      <c r="T447" s="256"/>
      <c r="U447" s="257"/>
      <c r="V447" s="446" t="s">
        <v>1772</v>
      </c>
      <c r="W447" s="57" t="s">
        <v>4478</v>
      </c>
      <c r="X447" s="57" t="s">
        <v>4478</v>
      </c>
      <c r="Y447" s="232"/>
      <c r="Z447" s="232"/>
      <c r="AA447" s="232"/>
      <c r="AB447" s="232"/>
      <c r="AC447" s="5"/>
      <c r="AD447" s="5"/>
      <c r="AE447" s="5">
        <v>0</v>
      </c>
      <c r="AF447" s="5">
        <v>0</v>
      </c>
      <c r="AG447" s="5">
        <v>0</v>
      </c>
      <c r="AH447" s="5"/>
      <c r="AI447" s="5">
        <v>0</v>
      </c>
      <c r="AJ447" s="5">
        <v>0</v>
      </c>
      <c r="AK447" s="270"/>
      <c r="AL447" s="270"/>
      <c r="AM447" s="270"/>
      <c r="AN447" s="5"/>
      <c r="AO447" s="5"/>
      <c r="AP447" s="5"/>
      <c r="AQ447" s="5" t="s">
        <v>1809</v>
      </c>
      <c r="AR447" s="279"/>
    </row>
    <row r="448" spans="1:44" ht="15" customHeight="1">
      <c r="A448" s="5">
        <v>1150107</v>
      </c>
      <c r="B448" s="5" t="s">
        <v>3638</v>
      </c>
      <c r="C448" s="224" t="s">
        <v>4479</v>
      </c>
      <c r="D448" s="5" t="s">
        <v>81</v>
      </c>
      <c r="E448" s="5" t="s">
        <v>1770</v>
      </c>
      <c r="F448" s="5">
        <v>4</v>
      </c>
      <c r="G448" s="5">
        <v>15</v>
      </c>
      <c r="H448" s="5" t="s">
        <v>136</v>
      </c>
      <c r="I448" s="5" t="s">
        <v>3640</v>
      </c>
      <c r="J448" s="5"/>
      <c r="K448" s="5"/>
      <c r="L448" s="440" t="s">
        <v>1393</v>
      </c>
      <c r="M448" s="231"/>
      <c r="N448" s="231"/>
      <c r="O448" s="440"/>
      <c r="P448" s="232"/>
      <c r="Q448" s="232">
        <v>0</v>
      </c>
      <c r="R448" s="232" t="s">
        <v>153</v>
      </c>
      <c r="S448" s="5">
        <v>1200107</v>
      </c>
      <c r="T448" s="256"/>
      <c r="U448" s="257"/>
      <c r="V448" s="446" t="s">
        <v>1772</v>
      </c>
      <c r="W448" s="57" t="s">
        <v>4480</v>
      </c>
      <c r="X448" s="57" t="s">
        <v>4480</v>
      </c>
      <c r="Y448" s="232"/>
      <c r="Z448" s="232"/>
      <c r="AA448" s="232"/>
      <c r="AB448" s="232"/>
      <c r="AC448" s="5"/>
      <c r="AD448" s="5"/>
      <c r="AE448" s="5">
        <v>0</v>
      </c>
      <c r="AF448" s="5">
        <v>0</v>
      </c>
      <c r="AG448" s="5">
        <v>0</v>
      </c>
      <c r="AH448" s="5"/>
      <c r="AI448" s="5">
        <v>0</v>
      </c>
      <c r="AJ448" s="5">
        <v>0</v>
      </c>
      <c r="AK448" s="270"/>
      <c r="AL448" s="270"/>
      <c r="AM448" s="270"/>
      <c r="AN448" s="5"/>
      <c r="AO448" s="5"/>
      <c r="AP448" s="5"/>
      <c r="AQ448" s="5" t="s">
        <v>1812</v>
      </c>
      <c r="AR448" s="279"/>
    </row>
    <row r="449" spans="1:44" ht="15" customHeight="1">
      <c r="A449" s="5">
        <v>1150108</v>
      </c>
      <c r="B449" s="5" t="s">
        <v>3638</v>
      </c>
      <c r="C449" s="224" t="s">
        <v>4481</v>
      </c>
      <c r="D449" s="5" t="s">
        <v>81</v>
      </c>
      <c r="E449" s="5" t="s">
        <v>1770</v>
      </c>
      <c r="F449" s="5">
        <v>5</v>
      </c>
      <c r="G449" s="5">
        <v>15</v>
      </c>
      <c r="H449" s="5" t="s">
        <v>136</v>
      </c>
      <c r="I449" s="5" t="s">
        <v>3640</v>
      </c>
      <c r="J449" s="5"/>
      <c r="K449" s="5"/>
      <c r="L449" s="440" t="s">
        <v>1397</v>
      </c>
      <c r="M449" s="231"/>
      <c r="N449" s="231"/>
      <c r="O449" s="440"/>
      <c r="P449" s="232"/>
      <c r="Q449" s="232">
        <v>0</v>
      </c>
      <c r="R449" s="232" t="s">
        <v>153</v>
      </c>
      <c r="S449" s="5">
        <v>1200108</v>
      </c>
      <c r="T449" s="256"/>
      <c r="U449" s="257"/>
      <c r="V449" s="446" t="s">
        <v>1772</v>
      </c>
      <c r="W449" s="57" t="s">
        <v>4482</v>
      </c>
      <c r="X449" s="57" t="s">
        <v>4482</v>
      </c>
      <c r="Y449" s="232"/>
      <c r="Z449" s="232"/>
      <c r="AA449" s="232"/>
      <c r="AB449" s="232"/>
      <c r="AC449" s="5"/>
      <c r="AD449" s="5"/>
      <c r="AE449" s="5">
        <v>0</v>
      </c>
      <c r="AF449" s="5">
        <v>0</v>
      </c>
      <c r="AG449" s="5">
        <v>0</v>
      </c>
      <c r="AH449" s="5"/>
      <c r="AI449" s="5">
        <v>0</v>
      </c>
      <c r="AJ449" s="5">
        <v>0</v>
      </c>
      <c r="AK449" s="270"/>
      <c r="AL449" s="270"/>
      <c r="AM449" s="270"/>
      <c r="AN449" s="5"/>
      <c r="AO449" s="5"/>
      <c r="AP449" s="5"/>
      <c r="AQ449" s="5" t="s">
        <v>1815</v>
      </c>
      <c r="AR449" s="279"/>
    </row>
    <row r="450" spans="1:44" ht="15" customHeight="1">
      <c r="A450" s="5">
        <v>1150109</v>
      </c>
      <c r="B450" s="5" t="s">
        <v>3638</v>
      </c>
      <c r="C450" s="224" t="s">
        <v>4483</v>
      </c>
      <c r="D450" s="5" t="s">
        <v>81</v>
      </c>
      <c r="E450" s="5" t="s">
        <v>1770</v>
      </c>
      <c r="F450" s="5">
        <v>6</v>
      </c>
      <c r="G450" s="5">
        <v>15</v>
      </c>
      <c r="H450" s="5" t="s">
        <v>136</v>
      </c>
      <c r="I450" s="5" t="s">
        <v>3640</v>
      </c>
      <c r="J450" s="5"/>
      <c r="K450" s="5"/>
      <c r="L450" s="440" t="s">
        <v>1401</v>
      </c>
      <c r="M450" s="231"/>
      <c r="N450" s="231"/>
      <c r="O450" s="440"/>
      <c r="P450" s="232"/>
      <c r="Q450" s="232">
        <v>0</v>
      </c>
      <c r="R450" s="232" t="s">
        <v>153</v>
      </c>
      <c r="S450" s="5">
        <v>1200109</v>
      </c>
      <c r="T450" s="256"/>
      <c r="U450" s="257"/>
      <c r="V450" s="446" t="s">
        <v>1772</v>
      </c>
      <c r="W450" s="57" t="s">
        <v>4484</v>
      </c>
      <c r="X450" s="57" t="s">
        <v>4484</v>
      </c>
      <c r="Y450" s="232"/>
      <c r="Z450" s="232"/>
      <c r="AA450" s="232"/>
      <c r="AB450" s="232"/>
      <c r="AC450" s="5"/>
      <c r="AD450" s="5"/>
      <c r="AE450" s="5">
        <v>0</v>
      </c>
      <c r="AF450" s="5">
        <v>0</v>
      </c>
      <c r="AG450" s="5">
        <v>0</v>
      </c>
      <c r="AH450" s="5"/>
      <c r="AI450" s="5">
        <v>0</v>
      </c>
      <c r="AJ450" s="5">
        <v>0</v>
      </c>
      <c r="AK450" s="270"/>
      <c r="AL450" s="270"/>
      <c r="AM450" s="270"/>
      <c r="AN450" s="5"/>
      <c r="AO450" s="5"/>
      <c r="AP450" s="5"/>
      <c r="AQ450" s="5" t="s">
        <v>1818</v>
      </c>
      <c r="AR450" s="279"/>
    </row>
    <row r="451" spans="1:44" ht="15" customHeight="1">
      <c r="A451" s="5">
        <v>1150110</v>
      </c>
      <c r="B451" s="5" t="s">
        <v>3638</v>
      </c>
      <c r="C451" s="224" t="s">
        <v>4485</v>
      </c>
      <c r="D451" s="5" t="s">
        <v>81</v>
      </c>
      <c r="E451" s="5" t="s">
        <v>1770</v>
      </c>
      <c r="F451" s="5">
        <v>7</v>
      </c>
      <c r="G451" s="5">
        <v>15</v>
      </c>
      <c r="H451" s="5" t="s">
        <v>136</v>
      </c>
      <c r="I451" s="5" t="s">
        <v>3640</v>
      </c>
      <c r="J451" s="5"/>
      <c r="K451" s="5"/>
      <c r="L451" s="440" t="s">
        <v>1405</v>
      </c>
      <c r="M451" s="231"/>
      <c r="N451" s="231"/>
      <c r="O451" s="440"/>
      <c r="P451" s="232"/>
      <c r="Q451" s="232">
        <v>0</v>
      </c>
      <c r="R451" s="232" t="s">
        <v>153</v>
      </c>
      <c r="S451" s="5">
        <v>1200110</v>
      </c>
      <c r="T451" s="256"/>
      <c r="U451" s="257"/>
      <c r="V451" s="446" t="s">
        <v>1772</v>
      </c>
      <c r="W451" s="57" t="s">
        <v>4486</v>
      </c>
      <c r="X451" s="57" t="s">
        <v>4486</v>
      </c>
      <c r="Y451" s="232"/>
      <c r="Z451" s="232"/>
      <c r="AA451" s="232"/>
      <c r="AB451" s="232"/>
      <c r="AC451" s="5"/>
      <c r="AD451" s="5"/>
      <c r="AE451" s="5">
        <v>0</v>
      </c>
      <c r="AF451" s="5">
        <v>0</v>
      </c>
      <c r="AG451" s="5">
        <v>0</v>
      </c>
      <c r="AH451" s="5"/>
      <c r="AI451" s="5">
        <v>0</v>
      </c>
      <c r="AJ451" s="5">
        <v>0</v>
      </c>
      <c r="AK451" s="270"/>
      <c r="AL451" s="270"/>
      <c r="AM451" s="270"/>
      <c r="AN451" s="5"/>
      <c r="AO451" s="5"/>
      <c r="AP451" s="5"/>
      <c r="AQ451" s="5" t="s">
        <v>1821</v>
      </c>
      <c r="AR451" s="279"/>
    </row>
    <row r="452" spans="1:44" ht="15" customHeight="1">
      <c r="A452" s="3">
        <v>1150111</v>
      </c>
      <c r="B452" s="5" t="s">
        <v>3638</v>
      </c>
      <c r="C452" s="224" t="s">
        <v>4487</v>
      </c>
      <c r="D452" s="3" t="s">
        <v>81</v>
      </c>
      <c r="E452" s="3" t="s">
        <v>1770</v>
      </c>
      <c r="F452" s="3">
        <v>8</v>
      </c>
      <c r="G452" s="3">
        <v>15</v>
      </c>
      <c r="H452" s="3" t="s">
        <v>136</v>
      </c>
      <c r="I452" s="5" t="s">
        <v>3640</v>
      </c>
      <c r="J452" s="3"/>
      <c r="K452" s="3"/>
      <c r="L452" s="236"/>
      <c r="M452" s="99"/>
      <c r="N452" s="99"/>
      <c r="O452" s="236"/>
      <c r="P452" s="22"/>
      <c r="Q452" s="22">
        <v>0</v>
      </c>
      <c r="R452" s="22" t="s">
        <v>153</v>
      </c>
      <c r="S452" s="3"/>
      <c r="T452" s="260"/>
      <c r="U452" s="261"/>
      <c r="V452" s="22"/>
      <c r="W452" s="57" t="s">
        <v>3716</v>
      </c>
      <c r="X452" s="57" t="s">
        <v>3716</v>
      </c>
      <c r="Y452" s="22"/>
      <c r="Z452" s="22"/>
      <c r="AA452" s="22"/>
      <c r="AB452" s="22" t="s">
        <v>114</v>
      </c>
      <c r="AC452" s="3"/>
      <c r="AD452" s="3"/>
      <c r="AE452" s="3">
        <v>0</v>
      </c>
      <c r="AF452" s="3">
        <v>0</v>
      </c>
      <c r="AG452" s="3">
        <v>0</v>
      </c>
      <c r="AH452" s="3"/>
      <c r="AI452" s="3">
        <v>0</v>
      </c>
      <c r="AJ452" s="3">
        <v>0</v>
      </c>
      <c r="AK452" s="3">
        <v>0</v>
      </c>
      <c r="AL452" s="3"/>
      <c r="AM452" s="3"/>
      <c r="AN452" s="3"/>
      <c r="AO452" s="3"/>
      <c r="AP452" s="3"/>
      <c r="AQ452" s="3" t="s">
        <v>1806</v>
      </c>
      <c r="AR452" s="281"/>
    </row>
    <row r="453" spans="1:44" ht="15" customHeight="1">
      <c r="A453" s="3">
        <v>1150112</v>
      </c>
      <c r="B453" s="5" t="s">
        <v>3638</v>
      </c>
      <c r="C453" s="224" t="s">
        <v>4488</v>
      </c>
      <c r="D453" s="3" t="s">
        <v>81</v>
      </c>
      <c r="E453" s="3" t="s">
        <v>1770</v>
      </c>
      <c r="F453" s="3">
        <v>9</v>
      </c>
      <c r="G453" s="3">
        <v>15</v>
      </c>
      <c r="H453" s="3" t="s">
        <v>136</v>
      </c>
      <c r="I453" s="5" t="s">
        <v>3640</v>
      </c>
      <c r="J453" s="3"/>
      <c r="K453" s="3"/>
      <c r="L453" s="236"/>
      <c r="M453" s="99"/>
      <c r="N453" s="99"/>
      <c r="O453" s="236"/>
      <c r="P453" s="22"/>
      <c r="Q453" s="22">
        <v>0</v>
      </c>
      <c r="R453" s="22" t="s">
        <v>153</v>
      </c>
      <c r="S453" s="3"/>
      <c r="T453" s="260"/>
      <c r="U453" s="261"/>
      <c r="V453" s="22"/>
      <c r="W453" s="57" t="s">
        <v>4489</v>
      </c>
      <c r="X453" s="57" t="s">
        <v>4489</v>
      </c>
      <c r="Y453" s="22"/>
      <c r="Z453" s="22"/>
      <c r="AA453" s="22"/>
      <c r="AB453" s="22" t="s">
        <v>114</v>
      </c>
      <c r="AC453" s="3"/>
      <c r="AD453" s="3"/>
      <c r="AE453" s="3">
        <v>0</v>
      </c>
      <c r="AF453" s="3">
        <v>0</v>
      </c>
      <c r="AG453" s="3">
        <v>0</v>
      </c>
      <c r="AH453" s="3"/>
      <c r="AI453" s="3">
        <v>0</v>
      </c>
      <c r="AJ453" s="3">
        <v>0</v>
      </c>
      <c r="AK453" s="3">
        <v>0</v>
      </c>
      <c r="AL453" s="3"/>
      <c r="AM453" s="3"/>
      <c r="AN453" s="3"/>
      <c r="AO453" s="3"/>
      <c r="AP453" s="3"/>
      <c r="AQ453" s="282" t="str">
        <f>"tricks/"&amp;A453</f>
        <v>tricks/1150112</v>
      </c>
    </row>
    <row r="454" spans="1:44" ht="15" customHeight="1">
      <c r="A454" s="3">
        <v>1150113</v>
      </c>
      <c r="B454" s="5" t="s">
        <v>3638</v>
      </c>
      <c r="C454" s="224" t="s">
        <v>4490</v>
      </c>
      <c r="D454" s="3" t="s">
        <v>81</v>
      </c>
      <c r="E454" s="3" t="s">
        <v>1770</v>
      </c>
      <c r="F454" s="3">
        <v>10</v>
      </c>
      <c r="G454" s="3">
        <v>15</v>
      </c>
      <c r="H454" s="3" t="s">
        <v>136</v>
      </c>
      <c r="I454" s="5" t="s">
        <v>3640</v>
      </c>
      <c r="J454" s="3"/>
      <c r="K454" s="3"/>
      <c r="L454" s="236"/>
      <c r="M454" s="99"/>
      <c r="N454" s="99"/>
      <c r="O454" s="236"/>
      <c r="P454" s="22"/>
      <c r="Q454" s="22">
        <v>0</v>
      </c>
      <c r="R454" s="22" t="s">
        <v>153</v>
      </c>
      <c r="S454" s="3"/>
      <c r="T454" s="260"/>
      <c r="U454" s="261"/>
      <c r="V454" s="22"/>
      <c r="W454" s="57" t="s">
        <v>4414</v>
      </c>
      <c r="X454" s="57" t="s">
        <v>4414</v>
      </c>
      <c r="Y454" s="22"/>
      <c r="Z454" s="22"/>
      <c r="AA454" s="22"/>
      <c r="AB454" s="22" t="s">
        <v>114</v>
      </c>
      <c r="AC454" s="3"/>
      <c r="AD454" s="3"/>
      <c r="AE454" s="3">
        <v>0</v>
      </c>
      <c r="AF454" s="3">
        <v>0</v>
      </c>
      <c r="AG454" s="3">
        <v>0</v>
      </c>
      <c r="AH454" s="3"/>
      <c r="AI454" s="3">
        <v>0</v>
      </c>
      <c r="AJ454" s="3">
        <v>0</v>
      </c>
      <c r="AK454" s="3">
        <v>0</v>
      </c>
      <c r="AL454" s="3"/>
      <c r="AM454" s="3"/>
      <c r="AN454" s="3"/>
      <c r="AO454" s="3"/>
      <c r="AP454" s="3"/>
      <c r="AQ454" s="282" t="str">
        <f>"tricks/"&amp;A454</f>
        <v>tricks/1150113</v>
      </c>
    </row>
    <row r="455" spans="1:44" ht="15" customHeight="1">
      <c r="A455" s="33">
        <v>1150201</v>
      </c>
      <c r="B455" s="5" t="s">
        <v>3638</v>
      </c>
      <c r="C455" s="224" t="s">
        <v>4491</v>
      </c>
      <c r="D455" s="33" t="s">
        <v>81</v>
      </c>
      <c r="E455" s="33" t="s">
        <v>1770</v>
      </c>
      <c r="F455" s="33">
        <v>1</v>
      </c>
      <c r="G455" s="33">
        <v>15</v>
      </c>
      <c r="H455" s="33" t="s">
        <v>82</v>
      </c>
      <c r="I455" s="5" t="s">
        <v>3640</v>
      </c>
      <c r="J455" s="33"/>
      <c r="K455" s="33">
        <v>1</v>
      </c>
      <c r="L455" s="429"/>
      <c r="M455" s="367"/>
      <c r="N455" s="367"/>
      <c r="O455" s="429"/>
      <c r="P455" s="369">
        <v>1</v>
      </c>
      <c r="Q455" s="369">
        <v>0</v>
      </c>
      <c r="R455" s="369" t="s">
        <v>85</v>
      </c>
      <c r="S455" s="33">
        <v>1100103</v>
      </c>
      <c r="T455" s="380"/>
      <c r="U455" s="381"/>
      <c r="V455" s="369" t="s">
        <v>582</v>
      </c>
      <c r="W455" s="57" t="s">
        <v>4492</v>
      </c>
      <c r="X455" s="57" t="s">
        <v>4492</v>
      </c>
      <c r="Y455" s="369"/>
      <c r="Z455" s="369"/>
      <c r="AA455" s="369">
        <v>1</v>
      </c>
      <c r="AB455" s="369" t="s">
        <v>90</v>
      </c>
      <c r="AC455" s="33"/>
      <c r="AD455" s="33"/>
      <c r="AE455" s="33">
        <v>1</v>
      </c>
      <c r="AF455" s="33">
        <v>2</v>
      </c>
      <c r="AG455" s="33">
        <v>7</v>
      </c>
      <c r="AH455" s="33"/>
      <c r="AI455" s="33">
        <v>39</v>
      </c>
      <c r="AJ455" s="33">
        <v>26</v>
      </c>
      <c r="AK455" s="396"/>
      <c r="AL455" s="396"/>
      <c r="AM455" s="396"/>
      <c r="AN455" s="33" t="s">
        <v>1830</v>
      </c>
      <c r="AO455" s="33" t="s">
        <v>1831</v>
      </c>
      <c r="AP455" s="33"/>
      <c r="AQ455" s="33" t="s">
        <v>1832</v>
      </c>
      <c r="AR455" s="404">
        <v>328</v>
      </c>
    </row>
    <row r="456" spans="1:44" ht="15" customHeight="1">
      <c r="A456" s="33">
        <v>1150202</v>
      </c>
      <c r="B456" s="5" t="s">
        <v>3638</v>
      </c>
      <c r="C456" s="224" t="s">
        <v>4493</v>
      </c>
      <c r="D456" s="33" t="s">
        <v>81</v>
      </c>
      <c r="E456" s="33" t="s">
        <v>1770</v>
      </c>
      <c r="F456" s="33">
        <v>1</v>
      </c>
      <c r="G456" s="33">
        <v>15</v>
      </c>
      <c r="H456" s="33" t="s">
        <v>136</v>
      </c>
      <c r="I456" s="5" t="s">
        <v>3640</v>
      </c>
      <c r="J456" s="33"/>
      <c r="K456" s="33"/>
      <c r="L456" s="429"/>
      <c r="M456" s="367"/>
      <c r="N456" s="367"/>
      <c r="O456" s="429"/>
      <c r="P456" s="369"/>
      <c r="Q456" s="369">
        <v>0</v>
      </c>
      <c r="R456" s="369" t="s">
        <v>153</v>
      </c>
      <c r="S456" s="33">
        <v>1100102</v>
      </c>
      <c r="T456" s="380"/>
      <c r="U456" s="381"/>
      <c r="V456" s="369" t="s">
        <v>582</v>
      </c>
      <c r="W456" s="57" t="s">
        <v>4494</v>
      </c>
      <c r="X456" s="57" t="s">
        <v>4494</v>
      </c>
      <c r="Y456" s="369"/>
      <c r="Z456" s="369"/>
      <c r="AA456" s="369"/>
      <c r="AB456" s="369"/>
      <c r="AC456" s="33"/>
      <c r="AD456" s="33"/>
      <c r="AE456" s="33">
        <v>0</v>
      </c>
      <c r="AF456" s="33">
        <v>0</v>
      </c>
      <c r="AG456" s="33">
        <v>0</v>
      </c>
      <c r="AH456" s="33"/>
      <c r="AI456" s="33">
        <v>0</v>
      </c>
      <c r="AJ456" s="33">
        <v>0</v>
      </c>
      <c r="AK456" s="396"/>
      <c r="AL456" s="396"/>
      <c r="AM456" s="396"/>
      <c r="AN456" s="33"/>
      <c r="AO456" s="33"/>
      <c r="AP456" s="33"/>
      <c r="AQ456" s="33" t="s">
        <v>1835</v>
      </c>
      <c r="AR456" s="404"/>
    </row>
    <row r="457" spans="1:44" s="195" customFormat="1" ht="15" customHeight="1">
      <c r="A457" s="33">
        <v>1150203</v>
      </c>
      <c r="B457" s="5" t="s">
        <v>3638</v>
      </c>
      <c r="C457" s="224" t="s">
        <v>4495</v>
      </c>
      <c r="D457" s="33" t="s">
        <v>81</v>
      </c>
      <c r="E457" s="33" t="s">
        <v>1770</v>
      </c>
      <c r="F457" s="33">
        <v>1</v>
      </c>
      <c r="G457" s="33">
        <v>15</v>
      </c>
      <c r="H457" s="33" t="s">
        <v>82</v>
      </c>
      <c r="I457" s="5" t="s">
        <v>3640</v>
      </c>
      <c r="J457" s="33"/>
      <c r="K457" s="33">
        <v>3</v>
      </c>
      <c r="L457" s="429"/>
      <c r="M457" s="367"/>
      <c r="N457" s="367"/>
      <c r="O457" s="429"/>
      <c r="P457" s="369">
        <v>1</v>
      </c>
      <c r="Q457" s="369">
        <v>0</v>
      </c>
      <c r="R457" s="369" t="s">
        <v>85</v>
      </c>
      <c r="S457" s="33">
        <v>1100105</v>
      </c>
      <c r="T457" s="380"/>
      <c r="U457" s="381" t="s">
        <v>1837</v>
      </c>
      <c r="V457" s="369" t="s">
        <v>582</v>
      </c>
      <c r="W457" s="57" t="s">
        <v>4496</v>
      </c>
      <c r="X457" s="57" t="s">
        <v>4496</v>
      </c>
      <c r="Y457" s="369"/>
      <c r="Z457" s="369"/>
      <c r="AA457" s="369">
        <v>1</v>
      </c>
      <c r="AB457" s="369" t="s">
        <v>90</v>
      </c>
      <c r="AC457" s="33"/>
      <c r="AD457" s="33"/>
      <c r="AE457" s="33">
        <v>1</v>
      </c>
      <c r="AF457" s="33">
        <v>1</v>
      </c>
      <c r="AG457" s="33">
        <v>6</v>
      </c>
      <c r="AH457" s="33"/>
      <c r="AI457" s="33">
        <v>39</v>
      </c>
      <c r="AJ457" s="33">
        <v>26</v>
      </c>
      <c r="AK457" s="396"/>
      <c r="AL457" s="396"/>
      <c r="AM457" s="396"/>
      <c r="AN457" s="33" t="s">
        <v>1839</v>
      </c>
      <c r="AO457" s="33"/>
      <c r="AP457" s="33"/>
      <c r="AQ457" s="33" t="s">
        <v>1840</v>
      </c>
      <c r="AR457" s="404">
        <v>329</v>
      </c>
    </row>
    <row r="458" spans="1:44" ht="15" customHeight="1">
      <c r="A458" s="33">
        <v>1150204</v>
      </c>
      <c r="B458" s="5" t="s">
        <v>3638</v>
      </c>
      <c r="C458" s="224" t="s">
        <v>4497</v>
      </c>
      <c r="D458" s="33" t="s">
        <v>81</v>
      </c>
      <c r="E458" s="33" t="s">
        <v>1770</v>
      </c>
      <c r="F458" s="33">
        <v>2</v>
      </c>
      <c r="G458" s="33">
        <v>15</v>
      </c>
      <c r="H458" s="33" t="s">
        <v>136</v>
      </c>
      <c r="I458" s="5" t="s">
        <v>3640</v>
      </c>
      <c r="J458" s="33"/>
      <c r="K458" s="33"/>
      <c r="L458" s="429"/>
      <c r="M458" s="367"/>
      <c r="N458" s="367"/>
      <c r="O458" s="429"/>
      <c r="P458" s="369"/>
      <c r="Q458" s="369">
        <v>0</v>
      </c>
      <c r="R458" s="369" t="s">
        <v>153</v>
      </c>
      <c r="S458" s="33">
        <v>1100104</v>
      </c>
      <c r="T458" s="380"/>
      <c r="U458" s="434"/>
      <c r="V458" s="369" t="s">
        <v>582</v>
      </c>
      <c r="W458" s="57" t="s">
        <v>4498</v>
      </c>
      <c r="X458" s="57" t="s">
        <v>4498</v>
      </c>
      <c r="Y458" s="369"/>
      <c r="Z458" s="369"/>
      <c r="AA458" s="369"/>
      <c r="AB458" s="369"/>
      <c r="AC458" s="33"/>
      <c r="AD458" s="33"/>
      <c r="AE458" s="33">
        <v>0</v>
      </c>
      <c r="AF458" s="33">
        <v>0</v>
      </c>
      <c r="AG458" s="33">
        <v>0</v>
      </c>
      <c r="AH458" s="33"/>
      <c r="AI458" s="33">
        <v>0</v>
      </c>
      <c r="AJ458" s="33">
        <v>0</v>
      </c>
      <c r="AK458" s="396"/>
      <c r="AL458" s="396"/>
      <c r="AM458" s="396"/>
      <c r="AN458" s="33"/>
      <c r="AO458" s="33"/>
      <c r="AP458" s="33"/>
      <c r="AQ458" s="33" t="s">
        <v>1844</v>
      </c>
      <c r="AR458" s="404"/>
    </row>
    <row r="459" spans="1:44" ht="15" customHeight="1">
      <c r="A459" s="33">
        <v>1150205</v>
      </c>
      <c r="B459" s="5" t="s">
        <v>3638</v>
      </c>
      <c r="C459" s="224" t="s">
        <v>4499</v>
      </c>
      <c r="D459" s="33" t="s">
        <v>81</v>
      </c>
      <c r="E459" s="33" t="s">
        <v>1770</v>
      </c>
      <c r="F459" s="33">
        <v>1</v>
      </c>
      <c r="G459" s="33">
        <v>15</v>
      </c>
      <c r="H459" s="33" t="s">
        <v>82</v>
      </c>
      <c r="I459" s="5" t="s">
        <v>3640</v>
      </c>
      <c r="J459" s="33"/>
      <c r="K459" s="33">
        <v>5</v>
      </c>
      <c r="L459" s="430" t="s">
        <v>1350</v>
      </c>
      <c r="M459" s="367"/>
      <c r="N459" s="367"/>
      <c r="O459" s="33"/>
      <c r="P459" s="369"/>
      <c r="Q459" s="369">
        <v>0</v>
      </c>
      <c r="R459" s="369" t="s">
        <v>85</v>
      </c>
      <c r="S459" s="33">
        <v>1100002</v>
      </c>
      <c r="T459" s="380"/>
      <c r="U459" s="381" t="s">
        <v>1846</v>
      </c>
      <c r="V459" s="369" t="s">
        <v>105</v>
      </c>
      <c r="W459" s="57" t="s">
        <v>4500</v>
      </c>
      <c r="X459" s="57" t="s">
        <v>4500</v>
      </c>
      <c r="Y459" s="369"/>
      <c r="Z459" s="369"/>
      <c r="AA459" s="369">
        <v>1</v>
      </c>
      <c r="AB459" s="369" t="s">
        <v>90</v>
      </c>
      <c r="AC459" s="33"/>
      <c r="AD459" s="33"/>
      <c r="AE459" s="33">
        <v>1</v>
      </c>
      <c r="AF459" s="33">
        <v>1</v>
      </c>
      <c r="AG459" s="33">
        <v>5</v>
      </c>
      <c r="AH459" s="33"/>
      <c r="AI459" s="33">
        <v>39</v>
      </c>
      <c r="AJ459" s="33">
        <v>26</v>
      </c>
      <c r="AK459" s="396"/>
      <c r="AL459" s="396"/>
      <c r="AM459" s="396"/>
      <c r="AN459" s="33" t="s">
        <v>1848</v>
      </c>
      <c r="AO459" s="33"/>
      <c r="AP459" s="33"/>
      <c r="AQ459" s="33" t="s">
        <v>1849</v>
      </c>
      <c r="AR459" s="404">
        <v>330</v>
      </c>
    </row>
    <row r="460" spans="1:44" ht="15" customHeight="1">
      <c r="A460" s="33">
        <v>1150206</v>
      </c>
      <c r="B460" s="5" t="s">
        <v>3638</v>
      </c>
      <c r="C460" s="224" t="s">
        <v>4501</v>
      </c>
      <c r="D460" s="33" t="s">
        <v>81</v>
      </c>
      <c r="E460" s="33" t="s">
        <v>1770</v>
      </c>
      <c r="F460" s="33">
        <v>3</v>
      </c>
      <c r="G460" s="33">
        <v>15</v>
      </c>
      <c r="H460" s="33" t="s">
        <v>136</v>
      </c>
      <c r="I460" s="5" t="s">
        <v>3640</v>
      </c>
      <c r="J460" s="33"/>
      <c r="K460" s="33"/>
      <c r="L460" s="429"/>
      <c r="M460" s="367"/>
      <c r="N460" s="367"/>
      <c r="O460" s="429"/>
      <c r="P460" s="369"/>
      <c r="Q460" s="369">
        <v>0</v>
      </c>
      <c r="R460" s="369" t="s">
        <v>153</v>
      </c>
      <c r="S460" s="33">
        <v>1100106</v>
      </c>
      <c r="T460" s="380"/>
      <c r="U460" s="434"/>
      <c r="V460" s="369" t="s">
        <v>582</v>
      </c>
      <c r="W460" s="57" t="s">
        <v>4502</v>
      </c>
      <c r="X460" s="57" t="s">
        <v>4502</v>
      </c>
      <c r="Y460" s="369"/>
      <c r="Z460" s="369"/>
      <c r="AA460" s="369"/>
      <c r="AB460" s="369"/>
      <c r="AC460" s="33"/>
      <c r="AD460" s="33"/>
      <c r="AE460" s="33">
        <v>0</v>
      </c>
      <c r="AF460" s="33">
        <v>0</v>
      </c>
      <c r="AG460" s="33">
        <v>0</v>
      </c>
      <c r="AH460" s="33"/>
      <c r="AI460" s="33">
        <v>0</v>
      </c>
      <c r="AJ460" s="33">
        <v>0</v>
      </c>
      <c r="AK460" s="396"/>
      <c r="AL460" s="396"/>
      <c r="AM460" s="396"/>
      <c r="AN460" s="33"/>
      <c r="AO460" s="33"/>
      <c r="AP460" s="33"/>
      <c r="AQ460" s="33" t="s">
        <v>1853</v>
      </c>
      <c r="AR460" s="404"/>
    </row>
    <row r="461" spans="1:44" ht="15" customHeight="1">
      <c r="A461" s="33">
        <v>1150207</v>
      </c>
      <c r="B461" s="5" t="s">
        <v>3638</v>
      </c>
      <c r="C461" s="224" t="s">
        <v>4503</v>
      </c>
      <c r="D461" s="33" t="s">
        <v>81</v>
      </c>
      <c r="E461" s="33" t="s">
        <v>1770</v>
      </c>
      <c r="F461" s="33">
        <v>4</v>
      </c>
      <c r="G461" s="33">
        <v>15</v>
      </c>
      <c r="H461" s="33" t="s">
        <v>136</v>
      </c>
      <c r="I461" s="5" t="s">
        <v>3640</v>
      </c>
      <c r="J461" s="33"/>
      <c r="K461" s="33"/>
      <c r="L461" s="429"/>
      <c r="M461" s="367"/>
      <c r="N461" s="367"/>
      <c r="O461" s="429"/>
      <c r="P461" s="369"/>
      <c r="Q461" s="369">
        <v>0</v>
      </c>
      <c r="R461" s="369" t="s">
        <v>153</v>
      </c>
      <c r="S461" s="33">
        <v>1100107</v>
      </c>
      <c r="T461" s="380"/>
      <c r="U461" s="434"/>
      <c r="V461" s="369" t="s">
        <v>582</v>
      </c>
      <c r="W461" s="57" t="s">
        <v>4504</v>
      </c>
      <c r="X461" s="57" t="s">
        <v>4504</v>
      </c>
      <c r="Y461" s="369"/>
      <c r="Z461" s="369"/>
      <c r="AA461" s="369"/>
      <c r="AB461" s="369"/>
      <c r="AC461" s="33"/>
      <c r="AD461" s="33"/>
      <c r="AE461" s="33">
        <v>0</v>
      </c>
      <c r="AF461" s="33">
        <v>0</v>
      </c>
      <c r="AG461" s="33">
        <v>0</v>
      </c>
      <c r="AH461" s="33"/>
      <c r="AI461" s="33">
        <v>0</v>
      </c>
      <c r="AJ461" s="33">
        <v>0</v>
      </c>
      <c r="AK461" s="396"/>
      <c r="AL461" s="396"/>
      <c r="AM461" s="396"/>
      <c r="AN461" s="33"/>
      <c r="AO461" s="33"/>
      <c r="AP461" s="33"/>
      <c r="AQ461" s="33" t="s">
        <v>1856</v>
      </c>
      <c r="AR461" s="404"/>
    </row>
    <row r="462" spans="1:44" ht="15" customHeight="1">
      <c r="A462" s="33">
        <v>1150208</v>
      </c>
      <c r="B462" s="5" t="s">
        <v>3638</v>
      </c>
      <c r="C462" s="224" t="s">
        <v>4505</v>
      </c>
      <c r="D462" s="33" t="s">
        <v>81</v>
      </c>
      <c r="E462" s="33" t="s">
        <v>1770</v>
      </c>
      <c r="F462" s="33">
        <v>5</v>
      </c>
      <c r="G462" s="33">
        <v>15</v>
      </c>
      <c r="H462" s="33" t="s">
        <v>136</v>
      </c>
      <c r="I462" s="5" t="s">
        <v>3640</v>
      </c>
      <c r="J462" s="33"/>
      <c r="K462" s="33"/>
      <c r="L462" s="429"/>
      <c r="M462" s="367"/>
      <c r="N462" s="367"/>
      <c r="O462" s="429"/>
      <c r="P462" s="369"/>
      <c r="Q462" s="369">
        <v>0</v>
      </c>
      <c r="R462" s="369" t="s">
        <v>153</v>
      </c>
      <c r="S462" s="33">
        <v>1100108</v>
      </c>
      <c r="T462" s="380"/>
      <c r="U462" s="381"/>
      <c r="V462" s="369" t="s">
        <v>582</v>
      </c>
      <c r="W462" s="57" t="s">
        <v>4506</v>
      </c>
      <c r="X462" s="57" t="s">
        <v>4506</v>
      </c>
      <c r="Y462" s="369"/>
      <c r="Z462" s="369"/>
      <c r="AA462" s="369"/>
      <c r="AB462" s="369"/>
      <c r="AC462" s="33"/>
      <c r="AD462" s="33"/>
      <c r="AE462" s="33">
        <v>0</v>
      </c>
      <c r="AF462" s="33">
        <v>0</v>
      </c>
      <c r="AG462" s="33">
        <v>0</v>
      </c>
      <c r="AH462" s="33"/>
      <c r="AI462" s="33">
        <v>0</v>
      </c>
      <c r="AJ462" s="33">
        <v>0</v>
      </c>
      <c r="AK462" s="396"/>
      <c r="AL462" s="396"/>
      <c r="AM462" s="396"/>
      <c r="AN462" s="33"/>
      <c r="AO462" s="33"/>
      <c r="AP462" s="33"/>
      <c r="AQ462" s="33" t="s">
        <v>1859</v>
      </c>
      <c r="AR462" s="404"/>
    </row>
    <row r="463" spans="1:44" ht="15" customHeight="1">
      <c r="A463" s="33">
        <v>1150209</v>
      </c>
      <c r="B463" s="5" t="s">
        <v>3638</v>
      </c>
      <c r="C463" s="224" t="s">
        <v>4507</v>
      </c>
      <c r="D463" s="33" t="s">
        <v>81</v>
      </c>
      <c r="E463" s="33" t="s">
        <v>1770</v>
      </c>
      <c r="F463" s="33">
        <v>6</v>
      </c>
      <c r="G463" s="33">
        <v>15</v>
      </c>
      <c r="H463" s="33" t="s">
        <v>136</v>
      </c>
      <c r="I463" s="5" t="s">
        <v>3640</v>
      </c>
      <c r="J463" s="33"/>
      <c r="K463" s="33"/>
      <c r="L463" s="429"/>
      <c r="M463" s="367"/>
      <c r="N463" s="367"/>
      <c r="O463" s="429"/>
      <c r="P463" s="369"/>
      <c r="Q463" s="369">
        <v>0</v>
      </c>
      <c r="R463" s="369" t="s">
        <v>153</v>
      </c>
      <c r="S463" s="33">
        <v>1100109</v>
      </c>
      <c r="T463" s="380"/>
      <c r="U463" s="381"/>
      <c r="V463" s="369" t="s">
        <v>582</v>
      </c>
      <c r="W463" s="57" t="s">
        <v>4508</v>
      </c>
      <c r="X463" s="57" t="s">
        <v>4508</v>
      </c>
      <c r="Y463" s="369"/>
      <c r="Z463" s="369"/>
      <c r="AA463" s="369"/>
      <c r="AB463" s="369"/>
      <c r="AC463" s="33"/>
      <c r="AD463" s="33"/>
      <c r="AE463" s="33">
        <v>0</v>
      </c>
      <c r="AF463" s="33">
        <v>0</v>
      </c>
      <c r="AG463" s="33">
        <v>0</v>
      </c>
      <c r="AH463" s="33"/>
      <c r="AI463" s="33">
        <v>0</v>
      </c>
      <c r="AJ463" s="33">
        <v>0</v>
      </c>
      <c r="AK463" s="396"/>
      <c r="AL463" s="396"/>
      <c r="AM463" s="396"/>
      <c r="AN463" s="33"/>
      <c r="AO463" s="33"/>
      <c r="AP463" s="33"/>
      <c r="AQ463" s="33" t="s">
        <v>1862</v>
      </c>
      <c r="AR463" s="404"/>
    </row>
    <row r="464" spans="1:44" ht="15" customHeight="1">
      <c r="A464" s="33">
        <v>1150210</v>
      </c>
      <c r="B464" s="5" t="s">
        <v>3638</v>
      </c>
      <c r="C464" s="224" t="s">
        <v>4509</v>
      </c>
      <c r="D464" s="33" t="s">
        <v>81</v>
      </c>
      <c r="E464" s="33" t="s">
        <v>1770</v>
      </c>
      <c r="F464" s="33">
        <v>7</v>
      </c>
      <c r="G464" s="33">
        <v>15</v>
      </c>
      <c r="H464" s="33" t="s">
        <v>136</v>
      </c>
      <c r="I464" s="5" t="s">
        <v>3640</v>
      </c>
      <c r="J464" s="33"/>
      <c r="K464" s="33"/>
      <c r="L464" s="429"/>
      <c r="M464" s="367"/>
      <c r="N464" s="367"/>
      <c r="O464" s="429"/>
      <c r="P464" s="369"/>
      <c r="Q464" s="369">
        <v>0</v>
      </c>
      <c r="R464" s="369" t="s">
        <v>153</v>
      </c>
      <c r="S464" s="33">
        <v>1100110</v>
      </c>
      <c r="T464" s="380"/>
      <c r="U464" s="381"/>
      <c r="V464" s="369" t="s">
        <v>582</v>
      </c>
      <c r="W464" s="57" t="s">
        <v>4510</v>
      </c>
      <c r="X464" s="57" t="s">
        <v>4510</v>
      </c>
      <c r="Y464" s="369"/>
      <c r="Z464" s="369"/>
      <c r="AA464" s="369"/>
      <c r="AB464" s="369"/>
      <c r="AC464" s="33"/>
      <c r="AD464" s="33"/>
      <c r="AE464" s="33">
        <v>0</v>
      </c>
      <c r="AF464" s="33">
        <v>0</v>
      </c>
      <c r="AG464" s="33">
        <v>0</v>
      </c>
      <c r="AH464" s="33"/>
      <c r="AI464" s="33">
        <v>0</v>
      </c>
      <c r="AJ464" s="33">
        <v>0</v>
      </c>
      <c r="AK464" s="396"/>
      <c r="AL464" s="396"/>
      <c r="AM464" s="396"/>
      <c r="AN464" s="33"/>
      <c r="AO464" s="33"/>
      <c r="AP464" s="33"/>
      <c r="AQ464" s="33" t="s">
        <v>1865</v>
      </c>
      <c r="AR464" s="404"/>
    </row>
    <row r="465" spans="1:44" ht="15" customHeight="1">
      <c r="A465" s="3">
        <v>1150211</v>
      </c>
      <c r="B465" s="5" t="s">
        <v>3638</v>
      </c>
      <c r="C465" s="224" t="s">
        <v>4511</v>
      </c>
      <c r="D465" s="3" t="s">
        <v>81</v>
      </c>
      <c r="E465" s="3" t="s">
        <v>1770</v>
      </c>
      <c r="F465" s="3">
        <v>8</v>
      </c>
      <c r="G465" s="3">
        <v>15</v>
      </c>
      <c r="H465" s="3" t="s">
        <v>136</v>
      </c>
      <c r="I465" s="5" t="s">
        <v>3640</v>
      </c>
      <c r="J465" s="3"/>
      <c r="K465" s="3"/>
      <c r="L465" s="236"/>
      <c r="M465" s="99"/>
      <c r="N465" s="99"/>
      <c r="O465" s="236"/>
      <c r="P465" s="22"/>
      <c r="Q465" s="22">
        <v>0</v>
      </c>
      <c r="R465" s="22" t="s">
        <v>153</v>
      </c>
      <c r="S465" s="3"/>
      <c r="T465" s="260"/>
      <c r="U465" s="261"/>
      <c r="V465" s="22"/>
      <c r="W465" s="57" t="s">
        <v>3716</v>
      </c>
      <c r="X465" s="57" t="s">
        <v>3716</v>
      </c>
      <c r="Y465" s="22"/>
      <c r="Z465" s="22"/>
      <c r="AA465" s="22"/>
      <c r="AB465" s="22" t="s">
        <v>114</v>
      </c>
      <c r="AC465" s="3"/>
      <c r="AD465" s="3"/>
      <c r="AE465" s="3">
        <v>0</v>
      </c>
      <c r="AF465" s="3">
        <v>0</v>
      </c>
      <c r="AG465" s="3">
        <v>0</v>
      </c>
      <c r="AH465" s="3"/>
      <c r="AI465" s="3">
        <v>0</v>
      </c>
      <c r="AJ465" s="3">
        <v>0</v>
      </c>
      <c r="AK465" s="3">
        <v>0</v>
      </c>
      <c r="AL465" s="3"/>
      <c r="AM465" s="3"/>
      <c r="AN465" s="3"/>
      <c r="AO465" s="3"/>
      <c r="AP465" s="3"/>
      <c r="AQ465" s="3" t="s">
        <v>1849</v>
      </c>
      <c r="AR465" s="281"/>
    </row>
    <row r="466" spans="1:44" ht="15" customHeight="1">
      <c r="A466" s="3">
        <v>1150212</v>
      </c>
      <c r="B466" s="5" t="s">
        <v>3638</v>
      </c>
      <c r="C466" s="224" t="s">
        <v>4512</v>
      </c>
      <c r="D466" s="3" t="s">
        <v>81</v>
      </c>
      <c r="E466" s="3" t="s">
        <v>1770</v>
      </c>
      <c r="F466" s="3">
        <v>9</v>
      </c>
      <c r="G466" s="3">
        <v>15</v>
      </c>
      <c r="H466" s="3" t="s">
        <v>136</v>
      </c>
      <c r="I466" s="5" t="s">
        <v>3640</v>
      </c>
      <c r="J466" s="3"/>
      <c r="K466" s="3"/>
      <c r="L466" s="236"/>
      <c r="M466" s="99"/>
      <c r="N466" s="99"/>
      <c r="O466" s="236"/>
      <c r="P466" s="22"/>
      <c r="Q466" s="22">
        <v>0</v>
      </c>
      <c r="R466" s="22" t="s">
        <v>153</v>
      </c>
      <c r="S466" s="3"/>
      <c r="T466" s="260"/>
      <c r="U466" s="261"/>
      <c r="V466" s="22"/>
      <c r="W466" s="57" t="s">
        <v>4513</v>
      </c>
      <c r="X466" s="57" t="s">
        <v>4513</v>
      </c>
      <c r="Y466" s="22"/>
      <c r="Z466" s="22"/>
      <c r="AA466" s="22"/>
      <c r="AB466" s="22" t="s">
        <v>114</v>
      </c>
      <c r="AC466" s="3"/>
      <c r="AD466" s="3"/>
      <c r="AE466" s="3">
        <v>0</v>
      </c>
      <c r="AF466" s="3">
        <v>0</v>
      </c>
      <c r="AG466" s="3">
        <v>0</v>
      </c>
      <c r="AH466" s="3"/>
      <c r="AI466" s="3">
        <v>0</v>
      </c>
      <c r="AJ466" s="3">
        <v>0</v>
      </c>
      <c r="AK466" s="3">
        <v>0</v>
      </c>
      <c r="AL466" s="3"/>
      <c r="AM466" s="3"/>
      <c r="AN466" s="3"/>
      <c r="AO466" s="3"/>
      <c r="AP466" s="3"/>
      <c r="AQ466" s="282" t="str">
        <f>"tricks/"&amp;A466</f>
        <v>tricks/1150212</v>
      </c>
    </row>
    <row r="467" spans="1:44" ht="15" customHeight="1">
      <c r="A467" s="3">
        <v>1150213</v>
      </c>
      <c r="B467" s="5" t="s">
        <v>3638</v>
      </c>
      <c r="C467" s="224" t="s">
        <v>4514</v>
      </c>
      <c r="D467" s="3" t="s">
        <v>81</v>
      </c>
      <c r="E467" s="3" t="s">
        <v>1770</v>
      </c>
      <c r="F467" s="3">
        <v>10</v>
      </c>
      <c r="G467" s="3">
        <v>15</v>
      </c>
      <c r="H467" s="3" t="s">
        <v>136</v>
      </c>
      <c r="I467" s="5" t="s">
        <v>3640</v>
      </c>
      <c r="J467" s="3"/>
      <c r="K467" s="3"/>
      <c r="L467" s="236"/>
      <c r="M467" s="99"/>
      <c r="N467" s="99"/>
      <c r="O467" s="236"/>
      <c r="P467" s="22"/>
      <c r="Q467" s="22">
        <v>0</v>
      </c>
      <c r="R467" s="22" t="s">
        <v>153</v>
      </c>
      <c r="S467" s="3"/>
      <c r="T467" s="260"/>
      <c r="U467" s="261"/>
      <c r="V467" s="22"/>
      <c r="W467" s="57" t="s">
        <v>4515</v>
      </c>
      <c r="X467" s="57" t="s">
        <v>4515</v>
      </c>
      <c r="Y467" s="22"/>
      <c r="Z467" s="22"/>
      <c r="AA467" s="22"/>
      <c r="AB467" s="22" t="s">
        <v>114</v>
      </c>
      <c r="AC467" s="3"/>
      <c r="AD467" s="3"/>
      <c r="AE467" s="3">
        <v>0</v>
      </c>
      <c r="AF467" s="3">
        <v>0</v>
      </c>
      <c r="AG467" s="3">
        <v>0</v>
      </c>
      <c r="AH467" s="3"/>
      <c r="AI467" s="3">
        <v>0</v>
      </c>
      <c r="AJ467" s="3">
        <v>0</v>
      </c>
      <c r="AK467" s="3">
        <v>0</v>
      </c>
      <c r="AL467" s="3"/>
      <c r="AM467" s="3"/>
      <c r="AN467" s="3"/>
      <c r="AO467" s="3"/>
      <c r="AP467" s="3"/>
      <c r="AQ467" s="282" t="str">
        <f>"tricks/"&amp;A467</f>
        <v>tricks/1150213</v>
      </c>
    </row>
    <row r="468" spans="1:44" ht="15" customHeight="1">
      <c r="A468" s="39">
        <v>1999999</v>
      </c>
      <c r="B468" s="5" t="s">
        <v>3638</v>
      </c>
      <c r="C468" s="224" t="s">
        <v>4516</v>
      </c>
      <c r="D468" s="39" t="s">
        <v>81</v>
      </c>
      <c r="E468" s="39" t="s">
        <v>325</v>
      </c>
      <c r="F468" s="39">
        <v>1</v>
      </c>
      <c r="G468" s="39">
        <v>2</v>
      </c>
      <c r="H468" s="39" t="s">
        <v>82</v>
      </c>
      <c r="I468" s="5" t="s">
        <v>3640</v>
      </c>
      <c r="J468" s="39"/>
      <c r="K468" s="39"/>
      <c r="L468" s="450"/>
      <c r="M468" s="451"/>
      <c r="N468" s="451"/>
      <c r="O468" s="450"/>
      <c r="P468" s="452"/>
      <c r="Q468" s="452">
        <v>0</v>
      </c>
      <c r="R468" s="452" t="s">
        <v>85</v>
      </c>
      <c r="S468" s="39"/>
      <c r="T468" s="461"/>
      <c r="U468" s="462"/>
      <c r="V468" s="452"/>
      <c r="W468" s="57" t="s">
        <v>4517</v>
      </c>
      <c r="X468" s="57" t="s">
        <v>4517</v>
      </c>
      <c r="Y468" s="452"/>
      <c r="Z468" s="452"/>
      <c r="AA468" s="452"/>
      <c r="AB468" s="452" t="s">
        <v>114</v>
      </c>
      <c r="AC468" s="39"/>
      <c r="AD468" s="39"/>
      <c r="AE468" s="39">
        <v>0</v>
      </c>
      <c r="AF468" s="39">
        <v>0</v>
      </c>
      <c r="AG468" s="39">
        <v>0</v>
      </c>
      <c r="AH468" s="39"/>
      <c r="AI468" s="39">
        <v>0</v>
      </c>
      <c r="AJ468" s="39">
        <v>0</v>
      </c>
      <c r="AK468" s="39">
        <v>0</v>
      </c>
      <c r="AL468" s="39"/>
      <c r="AM468" s="39"/>
      <c r="AN468" s="39"/>
      <c r="AO468" s="39"/>
      <c r="AP468" s="39"/>
      <c r="AQ468" s="39" t="s">
        <v>1853</v>
      </c>
      <c r="AR468" s="470"/>
    </row>
    <row r="469" spans="1:44" ht="15" customHeight="1">
      <c r="A469" s="43">
        <v>2010101</v>
      </c>
      <c r="B469" s="5" t="s">
        <v>3638</v>
      </c>
      <c r="C469" s="224" t="s">
        <v>4518</v>
      </c>
      <c r="D469" s="43" t="s">
        <v>1876</v>
      </c>
      <c r="E469" s="36"/>
      <c r="F469" s="36">
        <v>1</v>
      </c>
      <c r="G469" s="36">
        <v>7</v>
      </c>
      <c r="H469" s="43" t="s">
        <v>82</v>
      </c>
      <c r="I469" s="5" t="s">
        <v>3640</v>
      </c>
      <c r="J469" s="43"/>
      <c r="K469" s="36"/>
      <c r="L469" s="453" t="s">
        <v>1877</v>
      </c>
      <c r="M469" s="378"/>
      <c r="N469" s="378">
        <v>1</v>
      </c>
      <c r="O469" s="454"/>
      <c r="P469" s="379"/>
      <c r="Q469" s="379">
        <v>0</v>
      </c>
      <c r="R469" s="463"/>
      <c r="S469" s="36"/>
      <c r="T469" s="390"/>
      <c r="U469" s="391"/>
      <c r="V469" s="464"/>
      <c r="W469" s="57" t="s">
        <v>4519</v>
      </c>
      <c r="X469" s="57" t="s">
        <v>4519</v>
      </c>
      <c r="Y469" s="379">
        <v>0</v>
      </c>
      <c r="Z469" s="379">
        <v>0</v>
      </c>
      <c r="AA469" s="379"/>
      <c r="AB469" s="379"/>
      <c r="AC469" s="36"/>
      <c r="AD469" s="43"/>
      <c r="AE469" s="43">
        <v>1</v>
      </c>
      <c r="AF469" s="43">
        <v>1</v>
      </c>
      <c r="AG469" s="43">
        <v>20</v>
      </c>
      <c r="AH469" s="43"/>
      <c r="AI469" s="43"/>
      <c r="AJ469" s="43"/>
      <c r="AK469" s="401"/>
      <c r="AL469" s="401"/>
      <c r="AM469" s="401"/>
      <c r="AN469" s="43" t="s">
        <v>1879</v>
      </c>
      <c r="AO469" s="43"/>
      <c r="AP469" s="43"/>
      <c r="AQ469" s="36" t="s">
        <v>1880</v>
      </c>
      <c r="AR469" s="407"/>
    </row>
    <row r="470" spans="1:44" ht="15" customHeight="1">
      <c r="A470" s="43">
        <v>2010102</v>
      </c>
      <c r="B470" s="5" t="s">
        <v>3638</v>
      </c>
      <c r="C470" s="224" t="s">
        <v>4520</v>
      </c>
      <c r="D470" s="43" t="s">
        <v>1876</v>
      </c>
      <c r="E470" s="36"/>
      <c r="F470" s="36">
        <v>1</v>
      </c>
      <c r="G470" s="36">
        <v>7</v>
      </c>
      <c r="H470" s="36" t="s">
        <v>136</v>
      </c>
      <c r="I470" s="5" t="s">
        <v>3640</v>
      </c>
      <c r="J470" s="36"/>
      <c r="K470" s="36"/>
      <c r="L470" s="455" t="s">
        <v>1882</v>
      </c>
      <c r="M470" s="378"/>
      <c r="N470" s="378"/>
      <c r="O470" s="454"/>
      <c r="P470" s="379"/>
      <c r="Q470" s="379">
        <v>0</v>
      </c>
      <c r="R470" s="463"/>
      <c r="S470" s="36"/>
      <c r="T470" s="465"/>
      <c r="U470" s="391"/>
      <c r="V470" s="464"/>
      <c r="W470" s="57" t="s">
        <v>4521</v>
      </c>
      <c r="X470" s="57" t="s">
        <v>4521</v>
      </c>
      <c r="Y470" s="379">
        <v>0</v>
      </c>
      <c r="Z470" s="379">
        <v>0</v>
      </c>
      <c r="AA470" s="379"/>
      <c r="AB470" s="379"/>
      <c r="AC470" s="36"/>
      <c r="AD470" s="43"/>
      <c r="AE470" s="43">
        <v>0</v>
      </c>
      <c r="AF470" s="43">
        <v>0</v>
      </c>
      <c r="AG470" s="43">
        <v>0</v>
      </c>
      <c r="AH470" s="43"/>
      <c r="AI470" s="43">
        <v>0</v>
      </c>
      <c r="AJ470" s="43">
        <v>0</v>
      </c>
      <c r="AK470" s="401"/>
      <c r="AL470" s="401"/>
      <c r="AM470" s="401"/>
      <c r="AN470" s="36"/>
      <c r="AO470" s="36"/>
      <c r="AP470" s="36"/>
      <c r="AQ470" s="43" t="s">
        <v>1884</v>
      </c>
      <c r="AR470" s="407"/>
    </row>
    <row r="471" spans="1:44" ht="15" customHeight="1">
      <c r="A471" s="43">
        <v>2010103</v>
      </c>
      <c r="B471" s="5" t="s">
        <v>3638</v>
      </c>
      <c r="C471" s="224" t="s">
        <v>4522</v>
      </c>
      <c r="D471" s="43" t="s">
        <v>1876</v>
      </c>
      <c r="E471" s="36"/>
      <c r="F471" s="36">
        <v>2</v>
      </c>
      <c r="G471" s="36">
        <v>7</v>
      </c>
      <c r="H471" s="36" t="s">
        <v>136</v>
      </c>
      <c r="I471" s="5" t="s">
        <v>3640</v>
      </c>
      <c r="J471" s="36"/>
      <c r="K471" s="36"/>
      <c r="L471" s="455" t="s">
        <v>1886</v>
      </c>
      <c r="M471" s="378"/>
      <c r="N471" s="378"/>
      <c r="O471" s="454"/>
      <c r="P471" s="379"/>
      <c r="Q471" s="379">
        <v>0</v>
      </c>
      <c r="R471" s="463"/>
      <c r="S471" s="36"/>
      <c r="T471" s="465"/>
      <c r="U471" s="391"/>
      <c r="V471" s="464"/>
      <c r="W471" s="57" t="s">
        <v>4523</v>
      </c>
      <c r="X471" s="57" t="s">
        <v>4523</v>
      </c>
      <c r="Y471" s="379">
        <v>0</v>
      </c>
      <c r="Z471" s="379">
        <v>0</v>
      </c>
      <c r="AA471" s="379"/>
      <c r="AB471" s="379"/>
      <c r="AC471" s="36"/>
      <c r="AD471" s="43"/>
      <c r="AE471" s="43">
        <v>0</v>
      </c>
      <c r="AF471" s="43">
        <v>0</v>
      </c>
      <c r="AG471" s="43">
        <v>0</v>
      </c>
      <c r="AH471" s="43"/>
      <c r="AI471" s="43">
        <v>0</v>
      </c>
      <c r="AJ471" s="43">
        <v>0</v>
      </c>
      <c r="AK471" s="401"/>
      <c r="AL471" s="401"/>
      <c r="AM471" s="401"/>
      <c r="AN471" s="36"/>
      <c r="AO471" s="36"/>
      <c r="AP471" s="36"/>
      <c r="AQ471" s="43" t="s">
        <v>1888</v>
      </c>
      <c r="AR471" s="407"/>
    </row>
    <row r="472" spans="1:44" ht="15" customHeight="1">
      <c r="A472" s="43">
        <v>2010104</v>
      </c>
      <c r="B472" s="5" t="s">
        <v>3638</v>
      </c>
      <c r="C472" s="224" t="s">
        <v>4524</v>
      </c>
      <c r="D472" s="36" t="s">
        <v>1876</v>
      </c>
      <c r="E472" s="36"/>
      <c r="F472" s="36">
        <v>3</v>
      </c>
      <c r="G472" s="36">
        <v>7</v>
      </c>
      <c r="H472" s="36" t="s">
        <v>136</v>
      </c>
      <c r="I472" s="5" t="s">
        <v>3640</v>
      </c>
      <c r="J472" s="43"/>
      <c r="K472" s="36"/>
      <c r="L472" s="454" t="s">
        <v>1890</v>
      </c>
      <c r="M472" s="378"/>
      <c r="N472" s="378"/>
      <c r="O472" s="36"/>
      <c r="P472" s="379"/>
      <c r="Q472" s="379">
        <v>0</v>
      </c>
      <c r="R472" s="379"/>
      <c r="S472" s="36">
        <v>2010105</v>
      </c>
      <c r="T472" s="390"/>
      <c r="U472" s="466"/>
      <c r="V472" s="379" t="s">
        <v>582</v>
      </c>
      <c r="W472" s="57" t="s">
        <v>4525</v>
      </c>
      <c r="X472" s="57" t="s">
        <v>4525</v>
      </c>
      <c r="Y472" s="379">
        <v>0</v>
      </c>
      <c r="Z472" s="379">
        <v>0</v>
      </c>
      <c r="AA472" s="379"/>
      <c r="AB472" s="379"/>
      <c r="AC472" s="36"/>
      <c r="AD472" s="36"/>
      <c r="AE472" s="36">
        <v>0</v>
      </c>
      <c r="AF472" s="36">
        <v>0</v>
      </c>
      <c r="AG472" s="36">
        <v>15</v>
      </c>
      <c r="AH472" s="36"/>
      <c r="AI472" s="36">
        <v>0</v>
      </c>
      <c r="AJ472" s="36">
        <v>0</v>
      </c>
      <c r="AK472" s="401"/>
      <c r="AL472" s="401"/>
      <c r="AM472" s="401"/>
      <c r="AN472" s="36"/>
      <c r="AO472" s="36"/>
      <c r="AP472" s="36"/>
      <c r="AQ472" s="36" t="s">
        <v>1892</v>
      </c>
      <c r="AR472" s="407"/>
    </row>
    <row r="473" spans="1:44" ht="15" customHeight="1">
      <c r="A473" s="43">
        <v>2010105</v>
      </c>
      <c r="B473" s="5" t="s">
        <v>3638</v>
      </c>
      <c r="C473" s="224" t="s">
        <v>4526</v>
      </c>
      <c r="D473" s="36" t="s">
        <v>1876</v>
      </c>
      <c r="E473" s="36"/>
      <c r="F473" s="36">
        <v>4</v>
      </c>
      <c r="G473" s="36">
        <v>7</v>
      </c>
      <c r="H473" s="36" t="s">
        <v>136</v>
      </c>
      <c r="I473" s="5" t="s">
        <v>3640</v>
      </c>
      <c r="J473" s="36"/>
      <c r="K473" s="36"/>
      <c r="L473" s="456" t="s">
        <v>1894</v>
      </c>
      <c r="M473" s="378"/>
      <c r="N473" s="378"/>
      <c r="O473" s="36"/>
      <c r="P473" s="379"/>
      <c r="Q473" s="379">
        <v>0</v>
      </c>
      <c r="R473" s="379"/>
      <c r="S473" s="36">
        <v>2010106</v>
      </c>
      <c r="T473" s="390"/>
      <c r="U473" s="466"/>
      <c r="V473" s="379" t="s">
        <v>582</v>
      </c>
      <c r="W473" s="57" t="s">
        <v>4527</v>
      </c>
      <c r="X473" s="57" t="s">
        <v>4527</v>
      </c>
      <c r="Y473" s="379">
        <v>0</v>
      </c>
      <c r="Z473" s="379">
        <v>0</v>
      </c>
      <c r="AA473" s="379"/>
      <c r="AB473" s="379"/>
      <c r="AC473" s="36"/>
      <c r="AD473" s="36"/>
      <c r="AE473" s="36">
        <v>0</v>
      </c>
      <c r="AF473" s="36">
        <v>0</v>
      </c>
      <c r="AG473" s="36">
        <v>0</v>
      </c>
      <c r="AH473" s="36"/>
      <c r="AI473" s="36">
        <v>0</v>
      </c>
      <c r="AJ473" s="36">
        <v>0</v>
      </c>
      <c r="AK473" s="401"/>
      <c r="AL473" s="401"/>
      <c r="AM473" s="401"/>
      <c r="AN473" s="36"/>
      <c r="AO473" s="36"/>
      <c r="AP473" s="36"/>
      <c r="AQ473" s="36" t="s">
        <v>1896</v>
      </c>
      <c r="AR473" s="407"/>
    </row>
    <row r="474" spans="1:44" ht="15" customHeight="1">
      <c r="A474" s="43">
        <v>2010106</v>
      </c>
      <c r="B474" s="5" t="s">
        <v>3638</v>
      </c>
      <c r="C474" s="224" t="s">
        <v>4528</v>
      </c>
      <c r="D474" s="36" t="s">
        <v>1876</v>
      </c>
      <c r="E474" s="36"/>
      <c r="F474" s="36">
        <v>5</v>
      </c>
      <c r="G474" s="36">
        <v>7</v>
      </c>
      <c r="H474" s="36" t="s">
        <v>136</v>
      </c>
      <c r="I474" s="5" t="s">
        <v>3640</v>
      </c>
      <c r="J474" s="36"/>
      <c r="K474" s="36"/>
      <c r="L474" s="456" t="s">
        <v>1898</v>
      </c>
      <c r="M474" s="378"/>
      <c r="N474" s="378"/>
      <c r="O474" s="36"/>
      <c r="P474" s="379"/>
      <c r="Q474" s="379">
        <v>0</v>
      </c>
      <c r="R474" s="379"/>
      <c r="S474" s="36">
        <v>2010107</v>
      </c>
      <c r="T474" s="390"/>
      <c r="U474" s="466"/>
      <c r="V474" s="379" t="s">
        <v>582</v>
      </c>
      <c r="W474" s="57" t="s">
        <v>4529</v>
      </c>
      <c r="X474" s="57" t="s">
        <v>4529</v>
      </c>
      <c r="Y474" s="379">
        <v>0</v>
      </c>
      <c r="Z474" s="379">
        <v>0</v>
      </c>
      <c r="AA474" s="379"/>
      <c r="AB474" s="379"/>
      <c r="AC474" s="36"/>
      <c r="AD474" s="36"/>
      <c r="AE474" s="36">
        <v>0</v>
      </c>
      <c r="AF474" s="36">
        <v>0</v>
      </c>
      <c r="AG474" s="36">
        <v>0</v>
      </c>
      <c r="AH474" s="36"/>
      <c r="AI474" s="36">
        <v>0</v>
      </c>
      <c r="AJ474" s="36">
        <v>0</v>
      </c>
      <c r="AK474" s="401"/>
      <c r="AL474" s="401"/>
      <c r="AM474" s="401"/>
      <c r="AN474" s="36"/>
      <c r="AO474" s="36"/>
      <c r="AP474" s="36"/>
      <c r="AQ474" s="36" t="s">
        <v>1900</v>
      </c>
      <c r="AR474" s="407"/>
    </row>
    <row r="475" spans="1:44" ht="15" customHeight="1">
      <c r="A475" s="43">
        <v>2010107</v>
      </c>
      <c r="B475" s="5" t="s">
        <v>3638</v>
      </c>
      <c r="C475" s="224" t="s">
        <v>4530</v>
      </c>
      <c r="D475" s="36" t="s">
        <v>1876</v>
      </c>
      <c r="E475" s="36"/>
      <c r="F475" s="36">
        <v>6</v>
      </c>
      <c r="G475" s="36">
        <v>7</v>
      </c>
      <c r="H475" s="36" t="s">
        <v>136</v>
      </c>
      <c r="I475" s="5" t="s">
        <v>3640</v>
      </c>
      <c r="J475" s="43"/>
      <c r="K475" s="36"/>
      <c r="L475" s="456" t="s">
        <v>1902</v>
      </c>
      <c r="M475" s="378"/>
      <c r="N475" s="378"/>
      <c r="O475" s="36"/>
      <c r="P475" s="379"/>
      <c r="Q475" s="379">
        <v>0</v>
      </c>
      <c r="R475" s="379"/>
      <c r="S475" s="36">
        <v>2010109</v>
      </c>
      <c r="T475" s="390"/>
      <c r="U475" s="466"/>
      <c r="V475" s="379" t="s">
        <v>582</v>
      </c>
      <c r="W475" s="57" t="s">
        <v>4531</v>
      </c>
      <c r="X475" s="57" t="s">
        <v>4531</v>
      </c>
      <c r="Y475" s="379">
        <v>0</v>
      </c>
      <c r="Z475" s="379">
        <v>0</v>
      </c>
      <c r="AA475" s="379"/>
      <c r="AB475" s="379"/>
      <c r="AC475" s="36"/>
      <c r="AD475" s="36"/>
      <c r="AE475" s="36">
        <v>0</v>
      </c>
      <c r="AF475" s="36">
        <v>0</v>
      </c>
      <c r="AG475" s="36">
        <v>10</v>
      </c>
      <c r="AH475" s="36"/>
      <c r="AI475" s="36">
        <v>0</v>
      </c>
      <c r="AJ475" s="36">
        <v>0</v>
      </c>
      <c r="AK475" s="401"/>
      <c r="AL475" s="401"/>
      <c r="AM475" s="401"/>
      <c r="AN475" s="36"/>
      <c r="AO475" s="36"/>
      <c r="AP475" s="36"/>
      <c r="AQ475" s="36" t="s">
        <v>1904</v>
      </c>
      <c r="AR475" s="407"/>
    </row>
    <row r="476" spans="1:44" ht="15" customHeight="1">
      <c r="A476" s="43">
        <v>2010108</v>
      </c>
      <c r="B476" s="5" t="s">
        <v>3638</v>
      </c>
      <c r="C476" s="224" t="s">
        <v>4532</v>
      </c>
      <c r="D476" s="36" t="s">
        <v>1876</v>
      </c>
      <c r="E476" s="36"/>
      <c r="F476" s="36">
        <v>7</v>
      </c>
      <c r="G476" s="36">
        <v>7</v>
      </c>
      <c r="H476" s="36" t="s">
        <v>136</v>
      </c>
      <c r="I476" s="5" t="s">
        <v>3640</v>
      </c>
      <c r="J476" s="36"/>
      <c r="K476" s="36"/>
      <c r="L476" s="456" t="s">
        <v>1906</v>
      </c>
      <c r="M476" s="378"/>
      <c r="N476" s="378"/>
      <c r="O476" s="36"/>
      <c r="P476" s="379"/>
      <c r="Q476" s="379">
        <v>0</v>
      </c>
      <c r="R476" s="379"/>
      <c r="S476" s="36">
        <v>2010110</v>
      </c>
      <c r="T476" s="390"/>
      <c r="U476" s="466"/>
      <c r="V476" s="379" t="s">
        <v>582</v>
      </c>
      <c r="W476" s="57" t="s">
        <v>4533</v>
      </c>
      <c r="X476" s="57" t="s">
        <v>4533</v>
      </c>
      <c r="Y476" s="456"/>
      <c r="Z476" s="456"/>
      <c r="AA476" s="379"/>
      <c r="AB476" s="379"/>
      <c r="AC476" s="36"/>
      <c r="AD476" s="36"/>
      <c r="AE476" s="36">
        <v>0</v>
      </c>
      <c r="AF476" s="36">
        <v>0</v>
      </c>
      <c r="AG476" s="36">
        <v>0</v>
      </c>
      <c r="AH476" s="36"/>
      <c r="AI476" s="36">
        <v>0</v>
      </c>
      <c r="AJ476" s="36">
        <v>0</v>
      </c>
      <c r="AK476" s="401"/>
      <c r="AL476" s="401"/>
      <c r="AM476" s="401"/>
      <c r="AN476" s="36"/>
      <c r="AO476" s="36"/>
      <c r="AP476" s="36"/>
      <c r="AQ476" s="36" t="s">
        <v>1908</v>
      </c>
      <c r="AR476" s="407"/>
    </row>
    <row r="477" spans="1:44" ht="15" customHeight="1">
      <c r="A477" s="3">
        <v>2010109</v>
      </c>
      <c r="B477" s="5" t="s">
        <v>3638</v>
      </c>
      <c r="C477" s="224" t="s">
        <v>4534</v>
      </c>
      <c r="D477" s="44" t="s">
        <v>1876</v>
      </c>
      <c r="E477" s="41"/>
      <c r="F477" s="3">
        <v>8</v>
      </c>
      <c r="G477" s="36">
        <v>7</v>
      </c>
      <c r="H477" s="3" t="s">
        <v>136</v>
      </c>
      <c r="I477" s="5" t="s">
        <v>3640</v>
      </c>
      <c r="J477" s="3"/>
      <c r="K477" s="3"/>
      <c r="L477" s="236"/>
      <c r="M477" s="99"/>
      <c r="N477" s="99"/>
      <c r="O477" s="236"/>
      <c r="P477" s="22"/>
      <c r="Q477" s="22">
        <v>0</v>
      </c>
      <c r="R477" s="22" t="s">
        <v>153</v>
      </c>
      <c r="S477" s="3"/>
      <c r="T477" s="260"/>
      <c r="U477" s="261"/>
      <c r="V477" s="22"/>
      <c r="W477" s="57" t="s">
        <v>4535</v>
      </c>
      <c r="X477" s="57" t="s">
        <v>4535</v>
      </c>
      <c r="Y477" s="22"/>
      <c r="Z477" s="22"/>
      <c r="AA477" s="22"/>
      <c r="AB477" s="22" t="s">
        <v>114</v>
      </c>
      <c r="AC477" s="3"/>
      <c r="AD477" s="3"/>
      <c r="AE477" s="3">
        <v>0</v>
      </c>
      <c r="AF477" s="3">
        <v>0</v>
      </c>
      <c r="AG477" s="3">
        <v>0</v>
      </c>
      <c r="AH477" s="3"/>
      <c r="AI477" s="3">
        <v>0</v>
      </c>
      <c r="AJ477" s="3">
        <v>0</v>
      </c>
      <c r="AK477" s="3">
        <v>0</v>
      </c>
      <c r="AL477" s="3"/>
      <c r="AM477" s="3"/>
      <c r="AN477" s="3"/>
      <c r="AO477" s="3"/>
      <c r="AP477" s="3"/>
      <c r="AQ477" s="3" t="s">
        <v>1888</v>
      </c>
      <c r="AR477" s="281"/>
    </row>
    <row r="478" spans="1:44" ht="15" customHeight="1">
      <c r="A478" s="3">
        <v>2010110</v>
      </c>
      <c r="B478" s="5" t="s">
        <v>3638</v>
      </c>
      <c r="C478" s="224" t="s">
        <v>4536</v>
      </c>
      <c r="D478" s="3" t="s">
        <v>1876</v>
      </c>
      <c r="F478" s="3">
        <v>9</v>
      </c>
      <c r="G478" s="36">
        <v>7</v>
      </c>
      <c r="H478" s="3" t="s">
        <v>136</v>
      </c>
      <c r="I478" s="5" t="s">
        <v>3640</v>
      </c>
      <c r="J478" s="3"/>
      <c r="K478" s="3"/>
      <c r="L478" s="236"/>
      <c r="M478" s="99"/>
      <c r="N478" s="99"/>
      <c r="O478" s="236"/>
      <c r="P478" s="22"/>
      <c r="Q478" s="22">
        <v>0</v>
      </c>
      <c r="R478" s="22" t="s">
        <v>153</v>
      </c>
      <c r="S478" s="3"/>
      <c r="T478" s="260"/>
      <c r="U478" s="261"/>
      <c r="V478" s="22"/>
      <c r="W478" s="57" t="s">
        <v>4537</v>
      </c>
      <c r="X478" s="57" t="s">
        <v>4537</v>
      </c>
      <c r="Y478" s="22"/>
      <c r="Z478" s="22"/>
      <c r="AA478" s="22"/>
      <c r="AB478" s="22" t="s">
        <v>114</v>
      </c>
      <c r="AC478" s="3"/>
      <c r="AD478" s="3"/>
      <c r="AE478" s="3">
        <v>0</v>
      </c>
      <c r="AF478" s="3">
        <v>0</v>
      </c>
      <c r="AG478" s="3">
        <v>0</v>
      </c>
      <c r="AH478" s="3"/>
      <c r="AI478" s="3">
        <v>0</v>
      </c>
      <c r="AJ478" s="3">
        <v>0</v>
      </c>
      <c r="AK478" s="3">
        <v>0</v>
      </c>
      <c r="AL478" s="3"/>
      <c r="AM478" s="3"/>
      <c r="AN478" s="3"/>
      <c r="AO478" s="3"/>
      <c r="AP478" s="3"/>
      <c r="AQ478" s="282" t="str">
        <f>"tricks/"&amp;A478</f>
        <v>tricks/2010110</v>
      </c>
    </row>
    <row r="479" spans="1:44" ht="15" customHeight="1">
      <c r="A479" s="3">
        <v>2010111</v>
      </c>
      <c r="B479" s="5" t="s">
        <v>3638</v>
      </c>
      <c r="C479" s="224" t="s">
        <v>4538</v>
      </c>
      <c r="D479" s="3" t="s">
        <v>1876</v>
      </c>
      <c r="F479" s="3">
        <v>10</v>
      </c>
      <c r="G479" s="36">
        <v>7</v>
      </c>
      <c r="H479" s="3" t="s">
        <v>136</v>
      </c>
      <c r="I479" s="5" t="s">
        <v>3640</v>
      </c>
      <c r="J479" s="3"/>
      <c r="K479" s="3"/>
      <c r="L479" s="236"/>
      <c r="M479" s="99"/>
      <c r="N479" s="99"/>
      <c r="O479" s="236"/>
      <c r="P479" s="22"/>
      <c r="Q479" s="22">
        <v>0</v>
      </c>
      <c r="R479" s="22" t="s">
        <v>153</v>
      </c>
      <c r="S479" s="3"/>
      <c r="T479" s="260"/>
      <c r="U479" s="261"/>
      <c r="V479" s="22"/>
      <c r="W479" s="57" t="s">
        <v>4539</v>
      </c>
      <c r="X479" s="57" t="s">
        <v>4539</v>
      </c>
      <c r="Y479" s="22"/>
      <c r="Z479" s="22"/>
      <c r="AA479" s="22"/>
      <c r="AB479" s="22" t="s">
        <v>114</v>
      </c>
      <c r="AC479" s="3"/>
      <c r="AD479" s="3"/>
      <c r="AE479" s="3">
        <v>0</v>
      </c>
      <c r="AF479" s="3">
        <v>0</v>
      </c>
      <c r="AG479" s="3">
        <v>0</v>
      </c>
      <c r="AH479" s="3"/>
      <c r="AI479" s="3">
        <v>0</v>
      </c>
      <c r="AJ479" s="3">
        <v>0</v>
      </c>
      <c r="AK479" s="3">
        <v>0</v>
      </c>
      <c r="AL479" s="3"/>
      <c r="AM479" s="3"/>
      <c r="AN479" s="3"/>
      <c r="AO479" s="3"/>
      <c r="AP479" s="3"/>
      <c r="AQ479" s="282" t="str">
        <f>"tricks/"&amp;A479</f>
        <v>tricks/2010111</v>
      </c>
    </row>
    <row r="480" spans="1:44" ht="15" customHeight="1">
      <c r="A480" s="37">
        <v>2010201</v>
      </c>
      <c r="B480" s="5" t="s">
        <v>3638</v>
      </c>
      <c r="C480" s="224" t="s">
        <v>4540</v>
      </c>
      <c r="D480" s="37" t="s">
        <v>1876</v>
      </c>
      <c r="E480" s="37"/>
      <c r="F480" s="36">
        <v>1</v>
      </c>
      <c r="G480" s="36">
        <v>7</v>
      </c>
      <c r="H480" s="37" t="s">
        <v>82</v>
      </c>
      <c r="I480" s="5" t="s">
        <v>3640</v>
      </c>
      <c r="J480" s="37"/>
      <c r="K480" s="37"/>
      <c r="L480" s="457" t="s">
        <v>1917</v>
      </c>
      <c r="M480" s="409"/>
      <c r="N480" s="409"/>
      <c r="O480" s="37"/>
      <c r="P480" s="410"/>
      <c r="Q480" s="410">
        <v>0</v>
      </c>
      <c r="R480" s="410" t="s">
        <v>85</v>
      </c>
      <c r="S480" s="37">
        <v>2010201</v>
      </c>
      <c r="T480" s="415"/>
      <c r="U480" s="416"/>
      <c r="V480" s="410" t="s">
        <v>582</v>
      </c>
      <c r="W480" s="57" t="s">
        <v>4541</v>
      </c>
      <c r="X480" s="57" t="s">
        <v>4541</v>
      </c>
      <c r="Y480" s="457">
        <v>0</v>
      </c>
      <c r="Z480" s="457">
        <v>0</v>
      </c>
      <c r="AA480" s="410"/>
      <c r="AB480" s="410"/>
      <c r="AC480" s="37"/>
      <c r="AD480" s="37"/>
      <c r="AE480" s="37"/>
      <c r="AF480" s="37"/>
      <c r="AG480" s="37"/>
      <c r="AH480" s="37"/>
      <c r="AI480" s="37"/>
      <c r="AJ480" s="37"/>
      <c r="AK480" s="420"/>
      <c r="AL480" s="420"/>
      <c r="AM480" s="420"/>
      <c r="AN480" s="43"/>
      <c r="AO480" s="37"/>
      <c r="AP480" s="37"/>
      <c r="AQ480" s="37" t="s">
        <v>1919</v>
      </c>
      <c r="AR480" s="423"/>
    </row>
    <row r="481" spans="1:44" ht="15" customHeight="1">
      <c r="A481" s="37">
        <v>2010202</v>
      </c>
      <c r="B481" s="5" t="s">
        <v>3638</v>
      </c>
      <c r="C481" s="224" t="s">
        <v>4542</v>
      </c>
      <c r="D481" s="37" t="s">
        <v>1876</v>
      </c>
      <c r="E481" s="37"/>
      <c r="F481" s="36">
        <v>1</v>
      </c>
      <c r="G481" s="36">
        <v>7</v>
      </c>
      <c r="H481" s="37" t="s">
        <v>136</v>
      </c>
      <c r="I481" s="5" t="s">
        <v>3640</v>
      </c>
      <c r="J481" s="37"/>
      <c r="K481" s="37"/>
      <c r="L481" s="457" t="s">
        <v>1921</v>
      </c>
      <c r="M481" s="409"/>
      <c r="N481" s="409"/>
      <c r="O481" s="37"/>
      <c r="P481" s="410"/>
      <c r="Q481" s="410">
        <v>0</v>
      </c>
      <c r="R481" s="410" t="s">
        <v>85</v>
      </c>
      <c r="S481" s="37">
        <v>2010204</v>
      </c>
      <c r="T481" s="415"/>
      <c r="U481" s="416"/>
      <c r="V481" s="410" t="s">
        <v>582</v>
      </c>
      <c r="W481" s="57" t="s">
        <v>4543</v>
      </c>
      <c r="X481" s="57" t="s">
        <v>4543</v>
      </c>
      <c r="Y481" s="457">
        <v>0</v>
      </c>
      <c r="Z481" s="457">
        <v>0</v>
      </c>
      <c r="AA481" s="410"/>
      <c r="AB481" s="410"/>
      <c r="AC481" s="37"/>
      <c r="AD481" s="37"/>
      <c r="AE481" s="37">
        <v>0</v>
      </c>
      <c r="AF481" s="37">
        <v>0</v>
      </c>
      <c r="AG481" s="37">
        <v>11</v>
      </c>
      <c r="AH481" s="37"/>
      <c r="AI481" s="37">
        <v>0</v>
      </c>
      <c r="AJ481" s="37">
        <v>0</v>
      </c>
      <c r="AK481" s="420"/>
      <c r="AL481" s="420"/>
      <c r="AM481" s="420"/>
      <c r="AN481" s="37"/>
      <c r="AO481" s="37"/>
      <c r="AP481" s="37"/>
      <c r="AQ481" s="37" t="s">
        <v>1923</v>
      </c>
      <c r="AR481" s="423"/>
    </row>
    <row r="482" spans="1:44" ht="15" customHeight="1">
      <c r="A482" s="37">
        <v>2010203</v>
      </c>
      <c r="B482" s="5" t="s">
        <v>3638</v>
      </c>
      <c r="C482" s="224" t="s">
        <v>4544</v>
      </c>
      <c r="D482" s="37" t="s">
        <v>1876</v>
      </c>
      <c r="E482" s="37"/>
      <c r="F482" s="36">
        <v>2</v>
      </c>
      <c r="G482" s="36">
        <v>7</v>
      </c>
      <c r="H482" s="37" t="s">
        <v>136</v>
      </c>
      <c r="I482" s="5" t="s">
        <v>3640</v>
      </c>
      <c r="J482" s="37"/>
      <c r="K482" s="457"/>
      <c r="L482" s="408" t="s">
        <v>1925</v>
      </c>
      <c r="M482" s="409"/>
      <c r="N482" s="409"/>
      <c r="O482" s="37"/>
      <c r="P482" s="410"/>
      <c r="Q482" s="410">
        <v>0</v>
      </c>
      <c r="R482" s="410" t="s">
        <v>153</v>
      </c>
      <c r="S482" s="37">
        <v>2010205</v>
      </c>
      <c r="T482" s="415"/>
      <c r="U482" s="416"/>
      <c r="V482" s="410" t="s">
        <v>582</v>
      </c>
      <c r="W482" s="57" t="s">
        <v>4545</v>
      </c>
      <c r="X482" s="57" t="s">
        <v>4545</v>
      </c>
      <c r="Y482" s="410">
        <v>0</v>
      </c>
      <c r="Z482" s="410">
        <v>0</v>
      </c>
      <c r="AA482" s="410"/>
      <c r="AB482" s="410"/>
      <c r="AC482" s="37" t="s">
        <v>1927</v>
      </c>
      <c r="AD482" s="37"/>
      <c r="AE482" s="37">
        <v>0</v>
      </c>
      <c r="AF482" s="37">
        <v>0</v>
      </c>
      <c r="AG482" s="37">
        <v>0</v>
      </c>
      <c r="AH482" s="37"/>
      <c r="AI482" s="37">
        <v>0</v>
      </c>
      <c r="AJ482" s="37">
        <v>0</v>
      </c>
      <c r="AK482" s="420"/>
      <c r="AL482" s="420"/>
      <c r="AM482" s="420"/>
      <c r="AN482" s="37"/>
      <c r="AO482" s="37"/>
      <c r="AP482" s="37"/>
      <c r="AQ482" s="37" t="s">
        <v>1928</v>
      </c>
      <c r="AR482" s="423"/>
    </row>
    <row r="483" spans="1:44" ht="15" customHeight="1">
      <c r="A483" s="37">
        <v>2010204</v>
      </c>
      <c r="B483" s="5" t="s">
        <v>3638</v>
      </c>
      <c r="C483" s="224" t="s">
        <v>4546</v>
      </c>
      <c r="D483" s="37" t="s">
        <v>1876</v>
      </c>
      <c r="E483" s="37"/>
      <c r="F483" s="36">
        <v>3</v>
      </c>
      <c r="G483" s="36">
        <v>7</v>
      </c>
      <c r="H483" s="37" t="s">
        <v>136</v>
      </c>
      <c r="I483" s="5" t="s">
        <v>3640</v>
      </c>
      <c r="J483" s="37"/>
      <c r="K483" s="37"/>
      <c r="L483" s="457" t="s">
        <v>1930</v>
      </c>
      <c r="M483" s="409"/>
      <c r="N483" s="409"/>
      <c r="O483" s="37"/>
      <c r="P483" s="410"/>
      <c r="Q483" s="410">
        <v>0</v>
      </c>
      <c r="R483" s="410" t="s">
        <v>153</v>
      </c>
      <c r="S483" s="37">
        <v>2010203</v>
      </c>
      <c r="T483" s="415"/>
      <c r="U483" s="416"/>
      <c r="V483" s="410" t="s">
        <v>582</v>
      </c>
      <c r="W483" s="57" t="s">
        <v>4541</v>
      </c>
      <c r="X483" s="57" t="s">
        <v>4541</v>
      </c>
      <c r="Y483" s="457">
        <v>0</v>
      </c>
      <c r="Z483" s="457">
        <v>0</v>
      </c>
      <c r="AA483" s="410"/>
      <c r="AB483" s="410"/>
      <c r="AC483" s="37" t="s">
        <v>1932</v>
      </c>
      <c r="AD483" s="37"/>
      <c r="AE483" s="37">
        <v>0</v>
      </c>
      <c r="AF483" s="37">
        <v>0</v>
      </c>
      <c r="AG483" s="37">
        <v>0</v>
      </c>
      <c r="AH483" s="37"/>
      <c r="AI483" s="37">
        <v>0</v>
      </c>
      <c r="AJ483" s="37">
        <v>0</v>
      </c>
      <c r="AK483" s="420"/>
      <c r="AL483" s="420"/>
      <c r="AM483" s="420"/>
      <c r="AN483" s="37"/>
      <c r="AO483" s="37"/>
      <c r="AP483" s="37"/>
      <c r="AQ483" s="37" t="s">
        <v>1933</v>
      </c>
      <c r="AR483" s="423"/>
    </row>
    <row r="484" spans="1:44" ht="15" customHeight="1">
      <c r="A484" s="37">
        <v>2010205</v>
      </c>
      <c r="B484" s="5" t="s">
        <v>3638</v>
      </c>
      <c r="C484" s="224" t="s">
        <v>4547</v>
      </c>
      <c r="D484" s="37" t="s">
        <v>1876</v>
      </c>
      <c r="E484" s="37"/>
      <c r="F484" s="36">
        <v>4</v>
      </c>
      <c r="G484" s="36">
        <v>7</v>
      </c>
      <c r="H484" s="37" t="s">
        <v>136</v>
      </c>
      <c r="I484" s="5" t="s">
        <v>3640</v>
      </c>
      <c r="J484" s="37"/>
      <c r="K484" s="457"/>
      <c r="L484" s="408" t="s">
        <v>1935</v>
      </c>
      <c r="M484" s="409"/>
      <c r="N484" s="409"/>
      <c r="O484" s="37"/>
      <c r="P484" s="410"/>
      <c r="Q484" s="410">
        <v>0</v>
      </c>
      <c r="R484" s="410" t="s">
        <v>1936</v>
      </c>
      <c r="S484" s="37">
        <v>2010206</v>
      </c>
      <c r="T484" s="415"/>
      <c r="U484" s="416"/>
      <c r="V484" s="410" t="s">
        <v>582</v>
      </c>
      <c r="W484" s="57" t="s">
        <v>4548</v>
      </c>
      <c r="X484" s="57" t="s">
        <v>4548</v>
      </c>
      <c r="Y484" s="432">
        <v>0</v>
      </c>
      <c r="Z484" s="432">
        <v>0</v>
      </c>
      <c r="AA484" s="410"/>
      <c r="AB484" s="410"/>
      <c r="AC484" s="37"/>
      <c r="AD484" s="37"/>
      <c r="AE484" s="37">
        <v>0</v>
      </c>
      <c r="AF484" s="37">
        <v>0</v>
      </c>
      <c r="AG484" s="37">
        <v>0</v>
      </c>
      <c r="AH484" s="37"/>
      <c r="AI484" s="37">
        <v>0</v>
      </c>
      <c r="AJ484" s="37">
        <v>0</v>
      </c>
      <c r="AK484" s="420"/>
      <c r="AL484" s="420"/>
      <c r="AM484" s="420"/>
      <c r="AN484" s="37"/>
      <c r="AO484" s="37"/>
      <c r="AP484" s="37"/>
      <c r="AQ484" s="37" t="s">
        <v>1938</v>
      </c>
      <c r="AR484" s="423"/>
    </row>
    <row r="485" spans="1:44" ht="15" customHeight="1">
      <c r="A485" s="37">
        <v>2010206</v>
      </c>
      <c r="B485" s="5" t="s">
        <v>3638</v>
      </c>
      <c r="C485" s="224" t="s">
        <v>4549</v>
      </c>
      <c r="D485" s="37" t="s">
        <v>1876</v>
      </c>
      <c r="E485" s="37"/>
      <c r="F485" s="36">
        <v>5</v>
      </c>
      <c r="G485" s="36">
        <v>7</v>
      </c>
      <c r="H485" s="37" t="s">
        <v>136</v>
      </c>
      <c r="I485" s="5" t="s">
        <v>3640</v>
      </c>
      <c r="J485" s="37"/>
      <c r="K485" s="457"/>
      <c r="L485" s="408" t="s">
        <v>1940</v>
      </c>
      <c r="M485" s="409"/>
      <c r="N485" s="409"/>
      <c r="O485" s="37"/>
      <c r="P485" s="410"/>
      <c r="Q485" s="410">
        <v>0</v>
      </c>
      <c r="R485" s="410" t="s">
        <v>1936</v>
      </c>
      <c r="S485" s="37">
        <v>2010208</v>
      </c>
      <c r="T485" s="415"/>
      <c r="U485" s="416"/>
      <c r="V485" s="410" t="s">
        <v>582</v>
      </c>
      <c r="W485" s="57" t="s">
        <v>4550</v>
      </c>
      <c r="X485" s="57" t="s">
        <v>4550</v>
      </c>
      <c r="Y485" s="410">
        <v>0</v>
      </c>
      <c r="Z485" s="410">
        <v>0</v>
      </c>
      <c r="AA485" s="410"/>
      <c r="AB485" s="410"/>
      <c r="AC485" s="37"/>
      <c r="AD485" s="37"/>
      <c r="AE485" s="37">
        <v>0</v>
      </c>
      <c r="AF485" s="37">
        <v>0</v>
      </c>
      <c r="AG485" s="37">
        <v>0</v>
      </c>
      <c r="AH485" s="37"/>
      <c r="AI485" s="37">
        <v>0</v>
      </c>
      <c r="AJ485" s="37">
        <v>0</v>
      </c>
      <c r="AK485" s="420"/>
      <c r="AL485" s="420"/>
      <c r="AM485" s="420"/>
      <c r="AN485" s="37"/>
      <c r="AO485" s="37"/>
      <c r="AP485" s="37"/>
      <c r="AQ485" s="37" t="s">
        <v>1942</v>
      </c>
      <c r="AR485" s="423"/>
    </row>
    <row r="486" spans="1:44" ht="15" customHeight="1">
      <c r="A486" s="37">
        <v>2010207</v>
      </c>
      <c r="B486" s="5" t="s">
        <v>3638</v>
      </c>
      <c r="C486" s="224" t="s">
        <v>4551</v>
      </c>
      <c r="D486" s="37" t="s">
        <v>1876</v>
      </c>
      <c r="E486" s="37"/>
      <c r="F486" s="36">
        <v>6</v>
      </c>
      <c r="G486" s="36">
        <v>7</v>
      </c>
      <c r="H486" s="37" t="s">
        <v>136</v>
      </c>
      <c r="I486" s="5" t="s">
        <v>3640</v>
      </c>
      <c r="J486" s="37"/>
      <c r="K486" s="457"/>
      <c r="L486" s="408" t="s">
        <v>1944</v>
      </c>
      <c r="M486" s="409"/>
      <c r="N486" s="409"/>
      <c r="O486" s="37"/>
      <c r="P486" s="410"/>
      <c r="Q486" s="410">
        <v>0</v>
      </c>
      <c r="R486" s="410" t="s">
        <v>85</v>
      </c>
      <c r="S486" s="37">
        <v>2010209</v>
      </c>
      <c r="T486" s="415"/>
      <c r="U486" s="416"/>
      <c r="V486" s="410" t="s">
        <v>582</v>
      </c>
      <c r="W486" s="57" t="s">
        <v>4552</v>
      </c>
      <c r="X486" s="57" t="s">
        <v>4552</v>
      </c>
      <c r="Y486" s="410">
        <v>0</v>
      </c>
      <c r="Z486" s="410">
        <v>0</v>
      </c>
      <c r="AA486" s="410"/>
      <c r="AB486" s="410"/>
      <c r="AC486" s="37"/>
      <c r="AD486" s="37"/>
      <c r="AE486" s="37">
        <v>0</v>
      </c>
      <c r="AF486" s="37">
        <v>0</v>
      </c>
      <c r="AG486" s="37">
        <v>8</v>
      </c>
      <c r="AH486" s="37"/>
      <c r="AI486" s="37">
        <v>0</v>
      </c>
      <c r="AJ486" s="37">
        <v>0</v>
      </c>
      <c r="AK486" s="420"/>
      <c r="AL486" s="420"/>
      <c r="AM486" s="420"/>
      <c r="AN486" s="37"/>
      <c r="AO486" s="37"/>
      <c r="AP486" s="37"/>
      <c r="AQ486" s="37" t="s">
        <v>1946</v>
      </c>
      <c r="AR486" s="423"/>
    </row>
    <row r="487" spans="1:44" ht="15" customHeight="1">
      <c r="A487" s="37">
        <v>2010208</v>
      </c>
      <c r="B487" s="5" t="s">
        <v>3638</v>
      </c>
      <c r="C487" s="224" t="s">
        <v>4553</v>
      </c>
      <c r="D487" s="37" t="s">
        <v>1876</v>
      </c>
      <c r="E487" s="37"/>
      <c r="F487" s="36">
        <v>7</v>
      </c>
      <c r="G487" s="36">
        <v>7</v>
      </c>
      <c r="H487" s="37" t="s">
        <v>136</v>
      </c>
      <c r="I487" s="5" t="s">
        <v>3640</v>
      </c>
      <c r="J487" s="37"/>
      <c r="K487" s="457"/>
      <c r="L487" s="408" t="s">
        <v>1948</v>
      </c>
      <c r="M487" s="409"/>
      <c r="N487" s="409"/>
      <c r="O487" s="37"/>
      <c r="P487" s="410"/>
      <c r="Q487" s="410">
        <v>0</v>
      </c>
      <c r="R487" s="410" t="s">
        <v>1936</v>
      </c>
      <c r="S487" s="37">
        <v>2010210</v>
      </c>
      <c r="T487" s="415"/>
      <c r="U487" s="416"/>
      <c r="V487" s="410" t="s">
        <v>582</v>
      </c>
      <c r="W487" s="57" t="s">
        <v>4554</v>
      </c>
      <c r="X487" s="57" t="s">
        <v>4554</v>
      </c>
      <c r="Y487" s="410">
        <v>0</v>
      </c>
      <c r="Z487" s="410">
        <v>0</v>
      </c>
      <c r="AA487" s="410"/>
      <c r="AB487" s="410"/>
      <c r="AC487" s="37"/>
      <c r="AD487" s="37"/>
      <c r="AE487" s="37">
        <v>0</v>
      </c>
      <c r="AF487" s="37">
        <v>0</v>
      </c>
      <c r="AG487" s="37">
        <v>0</v>
      </c>
      <c r="AH487" s="37"/>
      <c r="AI487" s="37">
        <v>0</v>
      </c>
      <c r="AJ487" s="37">
        <v>0</v>
      </c>
      <c r="AK487" s="420"/>
      <c r="AL487" s="420"/>
      <c r="AM487" s="420"/>
      <c r="AN487" s="37"/>
      <c r="AO487" s="37"/>
      <c r="AP487" s="37"/>
      <c r="AQ487" s="37" t="s">
        <v>1950</v>
      </c>
      <c r="AR487" s="423"/>
    </row>
    <row r="488" spans="1:44" ht="15" customHeight="1">
      <c r="A488" s="3">
        <v>2010209</v>
      </c>
      <c r="B488" s="5" t="s">
        <v>3638</v>
      </c>
      <c r="C488" s="224" t="s">
        <v>4555</v>
      </c>
      <c r="D488" s="44" t="s">
        <v>1876</v>
      </c>
      <c r="E488" s="41"/>
      <c r="F488" s="3">
        <v>8</v>
      </c>
      <c r="G488" s="36">
        <v>7</v>
      </c>
      <c r="H488" s="3" t="s">
        <v>136</v>
      </c>
      <c r="I488" s="5" t="s">
        <v>3640</v>
      </c>
      <c r="J488" s="3"/>
      <c r="K488" s="3"/>
      <c r="L488" s="236"/>
      <c r="M488" s="99"/>
      <c r="N488" s="99"/>
      <c r="O488" s="236"/>
      <c r="P488" s="22"/>
      <c r="Q488" s="22">
        <v>0</v>
      </c>
      <c r="R488" s="22" t="s">
        <v>153</v>
      </c>
      <c r="S488" s="3"/>
      <c r="T488" s="260"/>
      <c r="U488" s="261"/>
      <c r="V488" s="22"/>
      <c r="W488" s="57" t="s">
        <v>4556</v>
      </c>
      <c r="X488" s="57" t="s">
        <v>4556</v>
      </c>
      <c r="Y488" s="22"/>
      <c r="Z488" s="22"/>
      <c r="AA488" s="22"/>
      <c r="AB488" s="22" t="s">
        <v>114</v>
      </c>
      <c r="AC488" s="3"/>
      <c r="AD488" s="3"/>
      <c r="AE488" s="3">
        <v>0</v>
      </c>
      <c r="AF488" s="3">
        <v>0</v>
      </c>
      <c r="AG488" s="3">
        <v>0</v>
      </c>
      <c r="AH488" s="3"/>
      <c r="AI488" s="3">
        <v>0</v>
      </c>
      <c r="AJ488" s="3">
        <v>0</v>
      </c>
      <c r="AK488" s="3">
        <v>0</v>
      </c>
      <c r="AL488" s="3"/>
      <c r="AM488" s="3"/>
      <c r="AN488" s="3"/>
      <c r="AO488" s="3"/>
      <c r="AP488" s="3"/>
      <c r="AQ488" s="3" t="s">
        <v>1928</v>
      </c>
      <c r="AR488" s="281"/>
    </row>
    <row r="489" spans="1:44" ht="15" customHeight="1">
      <c r="A489" s="3">
        <v>2010210</v>
      </c>
      <c r="B489" s="5" t="s">
        <v>3638</v>
      </c>
      <c r="C489" s="224" t="s">
        <v>4557</v>
      </c>
      <c r="D489" s="3" t="s">
        <v>1876</v>
      </c>
      <c r="F489" s="3">
        <v>9</v>
      </c>
      <c r="G489" s="36">
        <v>7</v>
      </c>
      <c r="H489" s="3" t="s">
        <v>136</v>
      </c>
      <c r="I489" s="5" t="s">
        <v>3640</v>
      </c>
      <c r="J489" s="3"/>
      <c r="K489" s="3"/>
      <c r="L489" s="236"/>
      <c r="M489" s="99"/>
      <c r="N489" s="99"/>
      <c r="O489" s="236"/>
      <c r="P489" s="22"/>
      <c r="Q489" s="22">
        <v>0</v>
      </c>
      <c r="R489" s="22" t="s">
        <v>153</v>
      </c>
      <c r="S489" s="3"/>
      <c r="T489" s="260"/>
      <c r="U489" s="261"/>
      <c r="V489" s="22"/>
      <c r="W489" s="57" t="s">
        <v>4558</v>
      </c>
      <c r="X489" s="57" t="s">
        <v>4558</v>
      </c>
      <c r="Y489" s="22"/>
      <c r="Z489" s="22"/>
      <c r="AA489" s="22"/>
      <c r="AB489" s="22" t="s">
        <v>114</v>
      </c>
      <c r="AC489" s="3"/>
      <c r="AD489" s="3"/>
      <c r="AE489" s="3">
        <v>0</v>
      </c>
      <c r="AF489" s="3">
        <v>0</v>
      </c>
      <c r="AG489" s="3">
        <v>0</v>
      </c>
      <c r="AH489" s="3"/>
      <c r="AI489" s="3">
        <v>0</v>
      </c>
      <c r="AJ489" s="3">
        <v>0</v>
      </c>
      <c r="AK489" s="3">
        <v>0</v>
      </c>
      <c r="AL489" s="3"/>
      <c r="AM489" s="3"/>
      <c r="AN489" s="3"/>
      <c r="AO489" s="3"/>
      <c r="AP489" s="3"/>
      <c r="AQ489" s="282" t="str">
        <f>"tricks/"&amp;A489</f>
        <v>tricks/2010210</v>
      </c>
    </row>
    <row r="490" spans="1:44" ht="15" customHeight="1">
      <c r="A490" s="3">
        <v>2010211</v>
      </c>
      <c r="B490" s="5" t="s">
        <v>3638</v>
      </c>
      <c r="C490" s="224" t="s">
        <v>4559</v>
      </c>
      <c r="D490" s="3" t="s">
        <v>1876</v>
      </c>
      <c r="F490" s="3">
        <v>10</v>
      </c>
      <c r="G490" s="36">
        <v>7</v>
      </c>
      <c r="H490" s="3" t="s">
        <v>136</v>
      </c>
      <c r="I490" s="5" t="s">
        <v>3640</v>
      </c>
      <c r="J490" s="3"/>
      <c r="K490" s="3"/>
      <c r="L490" s="236"/>
      <c r="M490" s="99"/>
      <c r="N490" s="99"/>
      <c r="O490" s="236"/>
      <c r="P490" s="22"/>
      <c r="Q490" s="22">
        <v>0</v>
      </c>
      <c r="R490" s="22" t="s">
        <v>153</v>
      </c>
      <c r="S490" s="3"/>
      <c r="T490" s="260"/>
      <c r="U490" s="261"/>
      <c r="V490" s="22"/>
      <c r="W490" s="57" t="s">
        <v>4560</v>
      </c>
      <c r="X490" s="57" t="s">
        <v>4560</v>
      </c>
      <c r="Y490" s="22"/>
      <c r="Z490" s="22"/>
      <c r="AA490" s="22"/>
      <c r="AB490" s="22" t="s">
        <v>114</v>
      </c>
      <c r="AC490" s="3"/>
      <c r="AD490" s="3"/>
      <c r="AE490" s="3">
        <v>0</v>
      </c>
      <c r="AF490" s="3">
        <v>0</v>
      </c>
      <c r="AG490" s="3">
        <v>0</v>
      </c>
      <c r="AH490" s="3"/>
      <c r="AI490" s="3">
        <v>0</v>
      </c>
      <c r="AJ490" s="3">
        <v>0</v>
      </c>
      <c r="AK490" s="3">
        <v>0</v>
      </c>
      <c r="AL490" s="3"/>
      <c r="AM490" s="3"/>
      <c r="AN490" s="3"/>
      <c r="AO490" s="3"/>
      <c r="AP490" s="3"/>
      <c r="AQ490" s="282" t="str">
        <f>"tricks/"&amp;A490</f>
        <v>tricks/2010211</v>
      </c>
    </row>
    <row r="491" spans="1:44" ht="15" customHeight="1">
      <c r="A491" s="6">
        <v>2010301</v>
      </c>
      <c r="B491" s="5" t="s">
        <v>3638</v>
      </c>
      <c r="C491" s="224" t="s">
        <v>4561</v>
      </c>
      <c r="D491" s="6" t="s">
        <v>1876</v>
      </c>
      <c r="E491" s="6"/>
      <c r="F491" s="36">
        <v>1</v>
      </c>
      <c r="G491" s="36">
        <v>7</v>
      </c>
      <c r="H491" s="6" t="s">
        <v>82</v>
      </c>
      <c r="I491" s="5" t="s">
        <v>3640</v>
      </c>
      <c r="J491" s="6">
        <v>1</v>
      </c>
      <c r="K491" s="458"/>
      <c r="L491" s="459" t="s">
        <v>1959</v>
      </c>
      <c r="M491" s="235"/>
      <c r="N491" s="235"/>
      <c r="O491" s="6"/>
      <c r="P491" s="40"/>
      <c r="Q491" s="40">
        <v>0</v>
      </c>
      <c r="R491" s="40" t="s">
        <v>153</v>
      </c>
      <c r="S491" s="6">
        <v>2010301</v>
      </c>
      <c r="T491" s="258"/>
      <c r="U491" s="259"/>
      <c r="V491" s="40" t="s">
        <v>582</v>
      </c>
      <c r="W491" s="57" t="s">
        <v>4562</v>
      </c>
      <c r="X491" s="57" t="s">
        <v>4562</v>
      </c>
      <c r="Y491" s="6">
        <v>0</v>
      </c>
      <c r="Z491" s="6">
        <v>0</v>
      </c>
      <c r="AA491" s="40"/>
      <c r="AB491" s="40"/>
      <c r="AC491" s="6"/>
      <c r="AD491" s="6"/>
      <c r="AE491" s="6">
        <v>0</v>
      </c>
      <c r="AF491" s="6">
        <v>0</v>
      </c>
      <c r="AG491" s="6">
        <v>0</v>
      </c>
      <c r="AH491" s="6"/>
      <c r="AI491" s="6">
        <v>0</v>
      </c>
      <c r="AJ491" s="6">
        <v>0</v>
      </c>
      <c r="AK491" s="272"/>
      <c r="AL491" s="272"/>
      <c r="AM491" s="272"/>
      <c r="AN491" s="43"/>
      <c r="AO491" s="6"/>
      <c r="AP491" s="6"/>
      <c r="AQ491" s="6" t="s">
        <v>1961</v>
      </c>
      <c r="AR491" s="280"/>
    </row>
    <row r="492" spans="1:44" ht="15" customHeight="1">
      <c r="A492" s="6">
        <v>2010302</v>
      </c>
      <c r="B492" s="5" t="s">
        <v>3638</v>
      </c>
      <c r="C492" s="224" t="s">
        <v>4563</v>
      </c>
      <c r="D492" s="6" t="s">
        <v>1876</v>
      </c>
      <c r="E492" s="6"/>
      <c r="F492" s="36">
        <v>1</v>
      </c>
      <c r="G492" s="36">
        <v>7</v>
      </c>
      <c r="H492" s="6" t="s">
        <v>136</v>
      </c>
      <c r="I492" s="5" t="s">
        <v>3640</v>
      </c>
      <c r="J492" s="6"/>
      <c r="K492" s="458"/>
      <c r="L492" s="459" t="s">
        <v>1963</v>
      </c>
      <c r="M492" s="235"/>
      <c r="N492" s="235"/>
      <c r="O492" s="6"/>
      <c r="P492" s="40"/>
      <c r="Q492" s="40">
        <v>0</v>
      </c>
      <c r="R492" s="40" t="s">
        <v>153</v>
      </c>
      <c r="S492" s="6">
        <v>2010302</v>
      </c>
      <c r="T492" s="258"/>
      <c r="U492" s="259"/>
      <c r="V492" s="40" t="s">
        <v>582</v>
      </c>
      <c r="W492" s="57" t="s">
        <v>4564</v>
      </c>
      <c r="X492" s="57" t="s">
        <v>4564</v>
      </c>
      <c r="Y492" s="40">
        <v>0</v>
      </c>
      <c r="Z492" s="40">
        <v>0</v>
      </c>
      <c r="AA492" s="40"/>
      <c r="AB492" s="40"/>
      <c r="AC492" s="6"/>
      <c r="AD492" s="6"/>
      <c r="AE492" s="6">
        <v>0</v>
      </c>
      <c r="AF492" s="6">
        <v>0</v>
      </c>
      <c r="AG492" s="6">
        <v>0</v>
      </c>
      <c r="AH492" s="6"/>
      <c r="AI492" s="6">
        <v>0</v>
      </c>
      <c r="AJ492" s="6">
        <v>0</v>
      </c>
      <c r="AK492" s="272"/>
      <c r="AL492" s="272"/>
      <c r="AM492" s="272"/>
      <c r="AN492" s="6"/>
      <c r="AO492" s="6"/>
      <c r="AP492" s="6"/>
      <c r="AQ492" s="6" t="s">
        <v>1965</v>
      </c>
      <c r="AR492" s="280"/>
    </row>
    <row r="493" spans="1:44" ht="15" customHeight="1">
      <c r="A493" s="6">
        <v>2010303</v>
      </c>
      <c r="B493" s="5" t="s">
        <v>3638</v>
      </c>
      <c r="C493" s="224" t="s">
        <v>4565</v>
      </c>
      <c r="D493" s="6" t="s">
        <v>1876</v>
      </c>
      <c r="E493" s="6"/>
      <c r="F493" s="36">
        <v>2</v>
      </c>
      <c r="G493" s="36">
        <v>7</v>
      </c>
      <c r="H493" s="6" t="s">
        <v>136</v>
      </c>
      <c r="I493" s="5" t="s">
        <v>3640</v>
      </c>
      <c r="J493" s="6"/>
      <c r="K493" s="458"/>
      <c r="L493" s="459" t="s">
        <v>1967</v>
      </c>
      <c r="M493" s="235"/>
      <c r="N493" s="235"/>
      <c r="O493" s="6"/>
      <c r="P493" s="40"/>
      <c r="Q493" s="40">
        <v>0</v>
      </c>
      <c r="R493" s="40" t="s">
        <v>153</v>
      </c>
      <c r="S493" s="6">
        <v>2010303</v>
      </c>
      <c r="T493" s="258"/>
      <c r="U493" s="259"/>
      <c r="V493" s="40" t="s">
        <v>582</v>
      </c>
      <c r="W493" s="57" t="s">
        <v>4566</v>
      </c>
      <c r="X493" s="57" t="s">
        <v>4566</v>
      </c>
      <c r="Y493" s="40">
        <v>0</v>
      </c>
      <c r="Z493" s="40">
        <v>0</v>
      </c>
      <c r="AA493" s="40"/>
      <c r="AB493" s="40"/>
      <c r="AC493" s="6"/>
      <c r="AD493" s="6"/>
      <c r="AE493" s="6">
        <v>0</v>
      </c>
      <c r="AF493" s="6">
        <v>0</v>
      </c>
      <c r="AG493" s="6">
        <v>0</v>
      </c>
      <c r="AH493" s="6"/>
      <c r="AI493" s="6">
        <v>0</v>
      </c>
      <c r="AJ493" s="6">
        <v>0</v>
      </c>
      <c r="AK493" s="272"/>
      <c r="AL493" s="272"/>
      <c r="AM493" s="272"/>
      <c r="AN493" s="6"/>
      <c r="AO493" s="6"/>
      <c r="AP493" s="6"/>
      <c r="AQ493" s="6" t="s">
        <v>1969</v>
      </c>
      <c r="AR493" s="280"/>
    </row>
    <row r="494" spans="1:44" ht="15" customHeight="1">
      <c r="A494" s="6">
        <v>2010304</v>
      </c>
      <c r="B494" s="5" t="s">
        <v>3638</v>
      </c>
      <c r="C494" s="224" t="s">
        <v>4567</v>
      </c>
      <c r="D494" s="6" t="s">
        <v>1876</v>
      </c>
      <c r="E494" s="6"/>
      <c r="F494" s="36">
        <v>3</v>
      </c>
      <c r="G494" s="36">
        <v>7</v>
      </c>
      <c r="H494" s="6" t="s">
        <v>136</v>
      </c>
      <c r="I494" s="5" t="s">
        <v>3640</v>
      </c>
      <c r="J494" s="6"/>
      <c r="K494" s="458"/>
      <c r="L494" s="234" t="s">
        <v>1971</v>
      </c>
      <c r="M494" s="235"/>
      <c r="N494" s="235"/>
      <c r="O494" s="234"/>
      <c r="P494" s="40"/>
      <c r="Q494" s="40">
        <v>0</v>
      </c>
      <c r="R494" s="40" t="s">
        <v>153</v>
      </c>
      <c r="S494" s="6">
        <v>2010305</v>
      </c>
      <c r="T494" s="258"/>
      <c r="U494" s="259"/>
      <c r="V494" s="40" t="s">
        <v>582</v>
      </c>
      <c r="W494" s="57" t="s">
        <v>4568</v>
      </c>
      <c r="X494" s="57" t="s">
        <v>4568</v>
      </c>
      <c r="Y494" s="40">
        <v>0</v>
      </c>
      <c r="Z494" s="40">
        <v>0</v>
      </c>
      <c r="AA494" s="40"/>
      <c r="AB494" s="40"/>
      <c r="AC494" s="6"/>
      <c r="AD494" s="6"/>
      <c r="AE494" s="6">
        <v>0</v>
      </c>
      <c r="AF494" s="6">
        <v>0</v>
      </c>
      <c r="AG494" s="6">
        <v>0</v>
      </c>
      <c r="AH494" s="6"/>
      <c r="AI494" s="6">
        <v>0</v>
      </c>
      <c r="AJ494" s="6">
        <v>0</v>
      </c>
      <c r="AK494" s="272"/>
      <c r="AL494" s="272"/>
      <c r="AM494" s="272"/>
      <c r="AN494" s="6"/>
      <c r="AO494" s="6"/>
      <c r="AP494" s="6"/>
      <c r="AQ494" s="6" t="s">
        <v>1973</v>
      </c>
      <c r="AR494" s="280"/>
    </row>
    <row r="495" spans="1:44" ht="15" customHeight="1">
      <c r="A495" s="6">
        <v>2010305</v>
      </c>
      <c r="B495" s="5" t="s">
        <v>3638</v>
      </c>
      <c r="C495" s="224" t="s">
        <v>4569</v>
      </c>
      <c r="D495" s="6" t="s">
        <v>1876</v>
      </c>
      <c r="E495" s="6"/>
      <c r="F495" s="36">
        <v>4</v>
      </c>
      <c r="G495" s="36">
        <v>7</v>
      </c>
      <c r="H495" s="6" t="s">
        <v>136</v>
      </c>
      <c r="I495" s="5" t="s">
        <v>3640</v>
      </c>
      <c r="J495" s="6"/>
      <c r="K495" s="458"/>
      <c r="L495" s="234" t="s">
        <v>1975</v>
      </c>
      <c r="M495" s="235"/>
      <c r="N495" s="235"/>
      <c r="O495" s="234"/>
      <c r="P495" s="40"/>
      <c r="Q495" s="40">
        <v>0</v>
      </c>
      <c r="R495" s="40" t="s">
        <v>153</v>
      </c>
      <c r="S495" s="6">
        <v>2010304</v>
      </c>
      <c r="T495" s="258"/>
      <c r="U495" s="259"/>
      <c r="V495" s="40" t="s">
        <v>582</v>
      </c>
      <c r="W495" s="57" t="s">
        <v>4570</v>
      </c>
      <c r="X495" s="57" t="s">
        <v>4570</v>
      </c>
      <c r="Y495" s="40">
        <v>0</v>
      </c>
      <c r="Z495" s="40">
        <v>0</v>
      </c>
      <c r="AA495" s="40"/>
      <c r="AB495" s="40"/>
      <c r="AC495" s="6"/>
      <c r="AD495" s="6"/>
      <c r="AE495" s="6">
        <v>0</v>
      </c>
      <c r="AF495" s="6">
        <v>0</v>
      </c>
      <c r="AG495" s="6">
        <v>0</v>
      </c>
      <c r="AH495" s="6"/>
      <c r="AI495" s="6">
        <v>0</v>
      </c>
      <c r="AJ495" s="6">
        <v>0</v>
      </c>
      <c r="AK495" s="272"/>
      <c r="AL495" s="272"/>
      <c r="AM495" s="272"/>
      <c r="AN495" s="6"/>
      <c r="AO495" s="6"/>
      <c r="AP495" s="6"/>
      <c r="AQ495" s="6" t="s">
        <v>1977</v>
      </c>
      <c r="AR495" s="280"/>
    </row>
    <row r="496" spans="1:44" ht="15" customHeight="1">
      <c r="A496" s="6">
        <v>2010306</v>
      </c>
      <c r="B496" s="5" t="s">
        <v>3638</v>
      </c>
      <c r="C496" s="224" t="s">
        <v>4571</v>
      </c>
      <c r="D496" s="6" t="s">
        <v>1876</v>
      </c>
      <c r="E496" s="6"/>
      <c r="F496" s="36">
        <v>5</v>
      </c>
      <c r="G496" s="36">
        <v>7</v>
      </c>
      <c r="H496" s="6" t="s">
        <v>136</v>
      </c>
      <c r="I496" s="5" t="s">
        <v>3640</v>
      </c>
      <c r="J496" s="6"/>
      <c r="K496" s="6"/>
      <c r="L496" s="234" t="s">
        <v>1979</v>
      </c>
      <c r="M496" s="235"/>
      <c r="N496" s="235"/>
      <c r="O496" s="234"/>
      <c r="P496" s="40"/>
      <c r="Q496" s="40">
        <v>0</v>
      </c>
      <c r="R496" s="40" t="s">
        <v>153</v>
      </c>
      <c r="S496" s="6">
        <v>2010306</v>
      </c>
      <c r="T496" s="258"/>
      <c r="U496" s="259"/>
      <c r="V496" s="40" t="s">
        <v>582</v>
      </c>
      <c r="W496" s="57" t="s">
        <v>4572</v>
      </c>
      <c r="X496" s="57" t="s">
        <v>4572</v>
      </c>
      <c r="Y496" s="40">
        <v>0</v>
      </c>
      <c r="Z496" s="40">
        <v>0</v>
      </c>
      <c r="AA496" s="40"/>
      <c r="AB496" s="40"/>
      <c r="AC496" s="6"/>
      <c r="AD496" s="6"/>
      <c r="AE496" s="6">
        <v>0</v>
      </c>
      <c r="AF496" s="6">
        <v>0</v>
      </c>
      <c r="AG496" s="6">
        <v>0</v>
      </c>
      <c r="AH496" s="6"/>
      <c r="AI496" s="6">
        <v>0</v>
      </c>
      <c r="AJ496" s="6">
        <v>0</v>
      </c>
      <c r="AK496" s="272"/>
      <c r="AL496" s="272"/>
      <c r="AM496" s="272"/>
      <c r="AN496" s="6"/>
      <c r="AO496" s="6"/>
      <c r="AP496" s="6"/>
      <c r="AQ496" s="6" t="s">
        <v>1981</v>
      </c>
      <c r="AR496" s="280"/>
    </row>
    <row r="497" spans="1:44" ht="15" customHeight="1">
      <c r="A497" s="6">
        <v>2010307</v>
      </c>
      <c r="B497" s="5" t="s">
        <v>3638</v>
      </c>
      <c r="C497" s="224" t="s">
        <v>4573</v>
      </c>
      <c r="D497" s="6" t="s">
        <v>1876</v>
      </c>
      <c r="E497" s="6"/>
      <c r="F497" s="36">
        <v>6</v>
      </c>
      <c r="G497" s="36">
        <v>7</v>
      </c>
      <c r="H497" s="6" t="s">
        <v>136</v>
      </c>
      <c r="I497" s="5" t="s">
        <v>3640</v>
      </c>
      <c r="J497" s="6"/>
      <c r="K497" s="6"/>
      <c r="L497" s="234" t="s">
        <v>1983</v>
      </c>
      <c r="M497" s="235"/>
      <c r="N497" s="235"/>
      <c r="O497" s="234"/>
      <c r="P497" s="40"/>
      <c r="Q497" s="40">
        <v>0</v>
      </c>
      <c r="R497" s="40" t="s">
        <v>153</v>
      </c>
      <c r="S497" s="6">
        <v>2010307</v>
      </c>
      <c r="T497" s="258"/>
      <c r="U497" s="259"/>
      <c r="V497" s="40" t="s">
        <v>582</v>
      </c>
      <c r="W497" s="57" t="s">
        <v>4568</v>
      </c>
      <c r="X497" s="57" t="s">
        <v>4568</v>
      </c>
      <c r="Y497" s="40">
        <v>0</v>
      </c>
      <c r="Z497" s="40">
        <v>0</v>
      </c>
      <c r="AA497" s="40"/>
      <c r="AB497" s="40"/>
      <c r="AC497" s="6"/>
      <c r="AD497" s="6"/>
      <c r="AE497" s="6">
        <v>0</v>
      </c>
      <c r="AF497" s="6">
        <v>0</v>
      </c>
      <c r="AG497" s="6">
        <v>0</v>
      </c>
      <c r="AH497" s="6"/>
      <c r="AI497" s="6">
        <v>0</v>
      </c>
      <c r="AJ497" s="6">
        <v>0</v>
      </c>
      <c r="AK497" s="272"/>
      <c r="AL497" s="272"/>
      <c r="AM497" s="272"/>
      <c r="AN497" s="6"/>
      <c r="AO497" s="6"/>
      <c r="AP497" s="6"/>
      <c r="AQ497" s="6" t="s">
        <v>1984</v>
      </c>
      <c r="AR497" s="280"/>
    </row>
    <row r="498" spans="1:44" ht="15" customHeight="1">
      <c r="A498" s="40">
        <v>2010308</v>
      </c>
      <c r="B498" s="5" t="s">
        <v>3638</v>
      </c>
      <c r="C498" s="224" t="s">
        <v>4574</v>
      </c>
      <c r="D498" s="40" t="s">
        <v>1876</v>
      </c>
      <c r="E498" s="40"/>
      <c r="F498" s="36">
        <v>7</v>
      </c>
      <c r="G498" s="36">
        <v>7</v>
      </c>
      <c r="H498" s="40" t="s">
        <v>136</v>
      </c>
      <c r="I498" s="5" t="s">
        <v>3640</v>
      </c>
      <c r="J498" s="40"/>
      <c r="K498" s="40"/>
      <c r="L498" s="460" t="s">
        <v>1986</v>
      </c>
      <c r="M498" s="40"/>
      <c r="N498" s="40"/>
      <c r="O498" s="460"/>
      <c r="P498" s="40"/>
      <c r="Q498" s="40">
        <v>0</v>
      </c>
      <c r="R498" s="40" t="s">
        <v>153</v>
      </c>
      <c r="S498" s="40">
        <v>2010308</v>
      </c>
      <c r="T498" s="258"/>
      <c r="U498" s="259"/>
      <c r="V498" s="40" t="s">
        <v>582</v>
      </c>
      <c r="W498" s="57" t="s">
        <v>4575</v>
      </c>
      <c r="X498" s="57" t="s">
        <v>4575</v>
      </c>
      <c r="Y498" s="40">
        <v>0</v>
      </c>
      <c r="Z498" s="40">
        <v>0</v>
      </c>
      <c r="AA498" s="40"/>
      <c r="AB498" s="40"/>
      <c r="AC498" s="40"/>
      <c r="AD498" s="40"/>
      <c r="AE498" s="40">
        <v>0</v>
      </c>
      <c r="AF498" s="40">
        <v>0</v>
      </c>
      <c r="AG498" s="40">
        <v>0</v>
      </c>
      <c r="AH498" s="40"/>
      <c r="AI498" s="40">
        <v>0</v>
      </c>
      <c r="AJ498" s="40">
        <v>0</v>
      </c>
      <c r="AK498" s="469"/>
      <c r="AL498" s="469"/>
      <c r="AM498" s="469"/>
      <c r="AN498" s="40"/>
      <c r="AO498" s="40"/>
      <c r="AP498" s="40"/>
      <c r="AQ498" s="40" t="s">
        <v>1988</v>
      </c>
      <c r="AR498" s="471"/>
    </row>
    <row r="499" spans="1:44" ht="15" customHeight="1">
      <c r="A499" s="3">
        <v>2010309</v>
      </c>
      <c r="B499" s="5" t="s">
        <v>3638</v>
      </c>
      <c r="C499" s="224" t="s">
        <v>4576</v>
      </c>
      <c r="D499" s="44" t="s">
        <v>1876</v>
      </c>
      <c r="E499" s="41"/>
      <c r="F499" s="3">
        <v>8</v>
      </c>
      <c r="G499" s="36">
        <v>7</v>
      </c>
      <c r="H499" s="3" t="s">
        <v>136</v>
      </c>
      <c r="I499" s="5" t="s">
        <v>3640</v>
      </c>
      <c r="J499" s="3"/>
      <c r="K499" s="3"/>
      <c r="L499" s="236"/>
      <c r="M499" s="99"/>
      <c r="N499" s="99"/>
      <c r="O499" s="236"/>
      <c r="P499" s="22"/>
      <c r="Q499" s="22">
        <v>0</v>
      </c>
      <c r="R499" s="22" t="s">
        <v>153</v>
      </c>
      <c r="S499" s="3"/>
      <c r="T499" s="260"/>
      <c r="U499" s="261"/>
      <c r="V499" s="22"/>
      <c r="W499" s="57" t="s">
        <v>4577</v>
      </c>
      <c r="X499" s="57" t="s">
        <v>4577</v>
      </c>
      <c r="Y499" s="22"/>
      <c r="Z499" s="22"/>
      <c r="AA499" s="22"/>
      <c r="AB499" s="22" t="s">
        <v>114</v>
      </c>
      <c r="AC499" s="3"/>
      <c r="AD499" s="3"/>
      <c r="AE499" s="3">
        <v>0</v>
      </c>
      <c r="AF499" s="3">
        <v>0</v>
      </c>
      <c r="AG499" s="3">
        <v>0</v>
      </c>
      <c r="AH499" s="3"/>
      <c r="AI499" s="3">
        <v>0</v>
      </c>
      <c r="AJ499" s="3">
        <v>0</v>
      </c>
      <c r="AK499" s="3">
        <v>0</v>
      </c>
      <c r="AL499" s="3"/>
      <c r="AM499" s="3"/>
      <c r="AN499" s="3"/>
      <c r="AO499" s="3"/>
      <c r="AP499" s="3"/>
      <c r="AQ499" s="3" t="s">
        <v>1969</v>
      </c>
      <c r="AR499" s="281"/>
    </row>
    <row r="500" spans="1:44" ht="15" customHeight="1">
      <c r="A500" s="3">
        <v>2010310</v>
      </c>
      <c r="B500" s="5" t="s">
        <v>3638</v>
      </c>
      <c r="C500" s="224" t="s">
        <v>4578</v>
      </c>
      <c r="D500" s="3" t="s">
        <v>1876</v>
      </c>
      <c r="F500" s="3">
        <v>9</v>
      </c>
      <c r="G500" s="36">
        <v>7</v>
      </c>
      <c r="H500" s="3" t="s">
        <v>136</v>
      </c>
      <c r="I500" s="5" t="s">
        <v>3640</v>
      </c>
      <c r="J500" s="3"/>
      <c r="K500" s="3"/>
      <c r="L500" s="236"/>
      <c r="M500" s="99"/>
      <c r="N500" s="99"/>
      <c r="O500" s="236"/>
      <c r="P500" s="22"/>
      <c r="Q500" s="22">
        <v>0</v>
      </c>
      <c r="R500" s="22" t="s">
        <v>153</v>
      </c>
      <c r="S500" s="3"/>
      <c r="T500" s="260"/>
      <c r="U500" s="261"/>
      <c r="V500" s="22"/>
      <c r="W500" s="57" t="s">
        <v>4558</v>
      </c>
      <c r="X500" s="57" t="s">
        <v>4558</v>
      </c>
      <c r="Y500" s="22"/>
      <c r="Z500" s="22"/>
      <c r="AA500" s="22"/>
      <c r="AB500" s="22" t="s">
        <v>114</v>
      </c>
      <c r="AC500" s="3"/>
      <c r="AD500" s="3"/>
      <c r="AE500" s="3">
        <v>0</v>
      </c>
      <c r="AF500" s="3">
        <v>0</v>
      </c>
      <c r="AG500" s="3">
        <v>0</v>
      </c>
      <c r="AH500" s="3"/>
      <c r="AI500" s="3">
        <v>0</v>
      </c>
      <c r="AJ500" s="3">
        <v>0</v>
      </c>
      <c r="AK500" s="3">
        <v>0</v>
      </c>
      <c r="AL500" s="3"/>
      <c r="AM500" s="3"/>
      <c r="AN500" s="3"/>
      <c r="AO500" s="3"/>
      <c r="AP500" s="3"/>
      <c r="AQ500" s="282" t="str">
        <f>"tricks/"&amp;A500</f>
        <v>tricks/2010310</v>
      </c>
    </row>
    <row r="501" spans="1:44" ht="15" customHeight="1">
      <c r="A501" s="3">
        <v>2010311</v>
      </c>
      <c r="B501" s="5" t="s">
        <v>3638</v>
      </c>
      <c r="C501" s="224" t="s">
        <v>4579</v>
      </c>
      <c r="D501" s="3" t="s">
        <v>1876</v>
      </c>
      <c r="F501" s="3">
        <v>10</v>
      </c>
      <c r="G501" s="36">
        <v>7</v>
      </c>
      <c r="H501" s="3" t="s">
        <v>136</v>
      </c>
      <c r="I501" s="5" t="s">
        <v>3640</v>
      </c>
      <c r="J501" s="3"/>
      <c r="K501" s="3"/>
      <c r="L501" s="236"/>
      <c r="M501" s="99"/>
      <c r="N501" s="99"/>
      <c r="O501" s="236"/>
      <c r="P501" s="22"/>
      <c r="Q501" s="22">
        <v>0</v>
      </c>
      <c r="R501" s="22" t="s">
        <v>153</v>
      </c>
      <c r="S501" s="3"/>
      <c r="T501" s="260"/>
      <c r="U501" s="261"/>
      <c r="V501" s="22"/>
      <c r="W501" s="57" t="s">
        <v>4580</v>
      </c>
      <c r="X501" s="57" t="s">
        <v>4580</v>
      </c>
      <c r="Y501" s="22"/>
      <c r="Z501" s="22"/>
      <c r="AA501" s="22"/>
      <c r="AB501" s="22" t="s">
        <v>114</v>
      </c>
      <c r="AC501" s="3"/>
      <c r="AD501" s="3"/>
      <c r="AE501" s="3">
        <v>0</v>
      </c>
      <c r="AF501" s="3">
        <v>0</v>
      </c>
      <c r="AG501" s="3">
        <v>0</v>
      </c>
      <c r="AH501" s="3"/>
      <c r="AI501" s="3">
        <v>0</v>
      </c>
      <c r="AJ501" s="3">
        <v>0</v>
      </c>
      <c r="AK501" s="3">
        <v>0</v>
      </c>
      <c r="AL501" s="3"/>
      <c r="AM501" s="3"/>
      <c r="AN501" s="3"/>
      <c r="AO501" s="3"/>
      <c r="AP501" s="3"/>
      <c r="AQ501" s="282" t="str">
        <f>"tricks/"&amp;A501</f>
        <v>tricks/2010311</v>
      </c>
    </row>
    <row r="502" spans="1:44" ht="15" customHeight="1">
      <c r="A502" s="41">
        <v>2010401</v>
      </c>
      <c r="B502" s="5" t="s">
        <v>3638</v>
      </c>
      <c r="C502" s="224" t="s">
        <v>4581</v>
      </c>
      <c r="D502" s="41" t="s">
        <v>1876</v>
      </c>
      <c r="E502" s="41"/>
      <c r="F502" s="36">
        <v>1</v>
      </c>
      <c r="G502" s="36">
        <v>7</v>
      </c>
      <c r="H502" s="6" t="s">
        <v>82</v>
      </c>
      <c r="I502" s="5" t="s">
        <v>3640</v>
      </c>
      <c r="J502" s="41">
        <v>1</v>
      </c>
      <c r="K502" s="41"/>
      <c r="L502" s="438" t="s">
        <v>1996</v>
      </c>
      <c r="M502" s="438"/>
      <c r="N502" s="438"/>
      <c r="O502" s="174"/>
      <c r="P502" s="137"/>
      <c r="Q502" s="137">
        <v>0</v>
      </c>
      <c r="R502" s="137" t="s">
        <v>153</v>
      </c>
      <c r="S502" s="41">
        <v>2010401</v>
      </c>
      <c r="T502" s="467"/>
      <c r="U502" s="468"/>
      <c r="V502" s="137" t="s">
        <v>582</v>
      </c>
      <c r="W502" s="57" t="s">
        <v>4582</v>
      </c>
      <c r="X502" s="57" t="s">
        <v>4582</v>
      </c>
      <c r="Y502" s="137">
        <v>0</v>
      </c>
      <c r="Z502" s="137">
        <v>0</v>
      </c>
      <c r="AA502" s="137"/>
      <c r="AB502" s="137"/>
      <c r="AC502" s="41"/>
      <c r="AD502" s="41"/>
      <c r="AE502" s="41"/>
      <c r="AF502" s="41"/>
      <c r="AG502" s="41"/>
      <c r="AH502" s="41"/>
      <c r="AI502" s="41"/>
      <c r="AJ502" s="41"/>
      <c r="AK502" s="139"/>
      <c r="AL502" s="139"/>
      <c r="AM502" s="139"/>
      <c r="AN502" s="43"/>
      <c r="AO502" s="41"/>
      <c r="AP502" s="41"/>
      <c r="AQ502" s="41" t="s">
        <v>1998</v>
      </c>
      <c r="AR502" s="472"/>
    </row>
    <row r="503" spans="1:44" ht="15" customHeight="1">
      <c r="A503" s="41">
        <v>2010402</v>
      </c>
      <c r="B503" s="5" t="s">
        <v>3638</v>
      </c>
      <c r="C503" s="224" t="s">
        <v>4583</v>
      </c>
      <c r="D503" s="41" t="s">
        <v>1876</v>
      </c>
      <c r="E503" s="41"/>
      <c r="F503" s="36">
        <v>1</v>
      </c>
      <c r="G503" s="36">
        <v>7</v>
      </c>
      <c r="H503" s="41" t="s">
        <v>136</v>
      </c>
      <c r="I503" s="5" t="s">
        <v>3640</v>
      </c>
      <c r="J503" s="41"/>
      <c r="K503" s="41"/>
      <c r="L503" s="174" t="s">
        <v>2000</v>
      </c>
      <c r="M503" s="438"/>
      <c r="N503" s="438"/>
      <c r="O503" s="174"/>
      <c r="P503" s="137"/>
      <c r="Q503" s="137">
        <v>0</v>
      </c>
      <c r="R503" s="137" t="s">
        <v>153</v>
      </c>
      <c r="S503" s="41">
        <v>2010402</v>
      </c>
      <c r="T503" s="467"/>
      <c r="U503" s="468"/>
      <c r="V503" s="137" t="s">
        <v>582</v>
      </c>
      <c r="W503" s="57" t="s">
        <v>4584</v>
      </c>
      <c r="X503" s="57" t="s">
        <v>4584</v>
      </c>
      <c r="Y503" s="137">
        <v>0</v>
      </c>
      <c r="Z503" s="137">
        <v>0</v>
      </c>
      <c r="AA503" s="137"/>
      <c r="AB503" s="137"/>
      <c r="AC503" s="41"/>
      <c r="AD503" s="41"/>
      <c r="AE503" s="41">
        <v>0</v>
      </c>
      <c r="AF503" s="41">
        <v>0</v>
      </c>
      <c r="AG503" s="41">
        <v>0</v>
      </c>
      <c r="AH503" s="41"/>
      <c r="AI503" s="41">
        <v>0</v>
      </c>
      <c r="AJ503" s="41">
        <v>0</v>
      </c>
      <c r="AK503" s="139"/>
      <c r="AL503" s="139"/>
      <c r="AM503" s="139"/>
      <c r="AN503" s="41"/>
      <c r="AO503" s="41"/>
      <c r="AP503" s="41"/>
      <c r="AQ503" s="41" t="s">
        <v>2002</v>
      </c>
      <c r="AR503" s="472"/>
    </row>
    <row r="504" spans="1:44" ht="16.2" customHeight="1">
      <c r="A504" s="41">
        <v>2010403</v>
      </c>
      <c r="B504" s="5" t="s">
        <v>3638</v>
      </c>
      <c r="C504" s="224" t="s">
        <v>4585</v>
      </c>
      <c r="D504" s="41" t="s">
        <v>1876</v>
      </c>
      <c r="E504" s="41"/>
      <c r="F504" s="36">
        <v>2</v>
      </c>
      <c r="G504" s="36">
        <v>7</v>
      </c>
      <c r="H504" s="41" t="s">
        <v>136</v>
      </c>
      <c r="I504" s="5" t="s">
        <v>3640</v>
      </c>
      <c r="J504" s="41"/>
      <c r="K504" s="41"/>
      <c r="L504" s="174" t="s">
        <v>2004</v>
      </c>
      <c r="M504" s="438"/>
      <c r="N504" s="438"/>
      <c r="O504" s="174"/>
      <c r="P504" s="137"/>
      <c r="Q504" s="137">
        <v>0</v>
      </c>
      <c r="R504" s="137" t="s">
        <v>153</v>
      </c>
      <c r="S504" s="41">
        <v>2010403</v>
      </c>
      <c r="T504" s="467"/>
      <c r="U504" s="468"/>
      <c r="V504" s="137" t="s">
        <v>582</v>
      </c>
      <c r="W504" s="57" t="s">
        <v>4586</v>
      </c>
      <c r="X504" s="57" t="s">
        <v>4586</v>
      </c>
      <c r="Y504" s="137">
        <v>0</v>
      </c>
      <c r="Z504" s="137">
        <v>0</v>
      </c>
      <c r="AA504" s="137"/>
      <c r="AB504" s="137"/>
      <c r="AC504" s="41"/>
      <c r="AD504" s="41"/>
      <c r="AE504" s="41">
        <v>0</v>
      </c>
      <c r="AF504" s="41">
        <v>0</v>
      </c>
      <c r="AG504" s="41">
        <v>0</v>
      </c>
      <c r="AH504" s="41"/>
      <c r="AI504" s="41">
        <v>0</v>
      </c>
      <c r="AJ504" s="41">
        <v>0</v>
      </c>
      <c r="AK504" s="139"/>
      <c r="AL504" s="139"/>
      <c r="AM504" s="139"/>
      <c r="AN504" s="41"/>
      <c r="AO504" s="41"/>
      <c r="AP504" s="41"/>
      <c r="AQ504" s="41" t="s">
        <v>2006</v>
      </c>
      <c r="AR504" s="472"/>
    </row>
    <row r="505" spans="1:44" ht="15" customHeight="1">
      <c r="A505" s="41">
        <v>2010404</v>
      </c>
      <c r="B505" s="5" t="s">
        <v>3638</v>
      </c>
      <c r="C505" s="224" t="s">
        <v>4587</v>
      </c>
      <c r="D505" s="41" t="s">
        <v>1876</v>
      </c>
      <c r="E505" s="41"/>
      <c r="F505" s="36">
        <v>3</v>
      </c>
      <c r="G505" s="36">
        <v>7</v>
      </c>
      <c r="H505" s="41" t="s">
        <v>136</v>
      </c>
      <c r="I505" s="5" t="s">
        <v>3640</v>
      </c>
      <c r="J505" s="41"/>
      <c r="K505" s="41"/>
      <c r="L505" s="174" t="s">
        <v>2008</v>
      </c>
      <c r="M505" s="438"/>
      <c r="N505" s="438"/>
      <c r="O505" s="174"/>
      <c r="P505" s="137"/>
      <c r="Q505" s="137">
        <v>0</v>
      </c>
      <c r="R505" s="137" t="s">
        <v>153</v>
      </c>
      <c r="S505" s="41">
        <v>2010404</v>
      </c>
      <c r="T505" s="467"/>
      <c r="U505" s="468"/>
      <c r="V505" s="137" t="s">
        <v>582</v>
      </c>
      <c r="W505" s="57" t="s">
        <v>4588</v>
      </c>
      <c r="X505" s="57" t="s">
        <v>4588</v>
      </c>
      <c r="Y505" s="137">
        <v>0</v>
      </c>
      <c r="Z505" s="137">
        <v>0</v>
      </c>
      <c r="AA505" s="137"/>
      <c r="AB505" s="137"/>
      <c r="AC505" s="41"/>
      <c r="AD505" s="41"/>
      <c r="AE505" s="41">
        <v>0</v>
      </c>
      <c r="AF505" s="41">
        <v>0</v>
      </c>
      <c r="AG505" s="41">
        <v>0</v>
      </c>
      <c r="AH505" s="41"/>
      <c r="AI505" s="41">
        <v>0</v>
      </c>
      <c r="AJ505" s="41">
        <v>0</v>
      </c>
      <c r="AK505" s="139"/>
      <c r="AL505" s="139"/>
      <c r="AM505" s="139"/>
      <c r="AN505" s="41"/>
      <c r="AO505" s="41"/>
      <c r="AP505" s="41"/>
      <c r="AQ505" s="41" t="s">
        <v>2010</v>
      </c>
      <c r="AR505" s="472"/>
    </row>
    <row r="506" spans="1:44" ht="15" customHeight="1">
      <c r="A506" s="41">
        <v>2010405</v>
      </c>
      <c r="B506" s="5" t="s">
        <v>3638</v>
      </c>
      <c r="C506" s="224" t="s">
        <v>4589</v>
      </c>
      <c r="D506" s="41" t="s">
        <v>1876</v>
      </c>
      <c r="E506" s="41"/>
      <c r="F506" s="36">
        <v>4</v>
      </c>
      <c r="G506" s="36">
        <v>7</v>
      </c>
      <c r="H506" s="41" t="s">
        <v>136</v>
      </c>
      <c r="I506" s="5" t="s">
        <v>3640</v>
      </c>
      <c r="J506" s="41"/>
      <c r="K506" s="41"/>
      <c r="L506" s="174" t="s">
        <v>2012</v>
      </c>
      <c r="M506" s="438"/>
      <c r="N506" s="438"/>
      <c r="O506" s="174"/>
      <c r="P506" s="137"/>
      <c r="Q506" s="137">
        <v>0</v>
      </c>
      <c r="R506" s="137" t="s">
        <v>153</v>
      </c>
      <c r="S506" s="41">
        <v>2010405</v>
      </c>
      <c r="T506" s="467"/>
      <c r="U506" s="468"/>
      <c r="V506" s="137" t="s">
        <v>582</v>
      </c>
      <c r="W506" s="57" t="s">
        <v>4590</v>
      </c>
      <c r="X506" s="57" t="s">
        <v>4590</v>
      </c>
      <c r="Y506" s="137">
        <v>0</v>
      </c>
      <c r="Z506" s="137">
        <v>0</v>
      </c>
      <c r="AA506" s="137"/>
      <c r="AB506" s="137"/>
      <c r="AC506" s="41"/>
      <c r="AD506" s="41"/>
      <c r="AE506" s="41">
        <v>0</v>
      </c>
      <c r="AF506" s="41">
        <v>0</v>
      </c>
      <c r="AG506" s="41">
        <v>0</v>
      </c>
      <c r="AH506" s="41"/>
      <c r="AI506" s="41">
        <v>0</v>
      </c>
      <c r="AJ506" s="41">
        <v>0</v>
      </c>
      <c r="AK506" s="139"/>
      <c r="AL506" s="139"/>
      <c r="AM506" s="139"/>
      <c r="AN506" s="41"/>
      <c r="AO506" s="41"/>
      <c r="AP506" s="41"/>
      <c r="AQ506" s="41" t="s">
        <v>2014</v>
      </c>
      <c r="AR506" s="472"/>
    </row>
    <row r="507" spans="1:44" ht="15" customHeight="1">
      <c r="A507" s="41">
        <v>2010406</v>
      </c>
      <c r="B507" s="5" t="s">
        <v>3638</v>
      </c>
      <c r="C507" s="224" t="s">
        <v>4591</v>
      </c>
      <c r="D507" s="41" t="s">
        <v>1876</v>
      </c>
      <c r="E507" s="41"/>
      <c r="F507" s="36">
        <v>5</v>
      </c>
      <c r="G507" s="36">
        <v>7</v>
      </c>
      <c r="H507" s="41" t="s">
        <v>136</v>
      </c>
      <c r="I507" s="5" t="s">
        <v>3640</v>
      </c>
      <c r="J507" s="41"/>
      <c r="K507" s="41"/>
      <c r="L507" s="174" t="s">
        <v>2016</v>
      </c>
      <c r="M507" s="438"/>
      <c r="N507" s="438"/>
      <c r="O507" s="174"/>
      <c r="P507" s="137"/>
      <c r="Q507" s="137">
        <v>0</v>
      </c>
      <c r="R507" s="137" t="s">
        <v>153</v>
      </c>
      <c r="S507" s="41">
        <v>2010406</v>
      </c>
      <c r="T507" s="467"/>
      <c r="U507" s="468"/>
      <c r="V507" s="137" t="s">
        <v>582</v>
      </c>
      <c r="W507" s="57" t="s">
        <v>4592</v>
      </c>
      <c r="X507" s="57" t="s">
        <v>4592</v>
      </c>
      <c r="Y507" s="137">
        <v>0</v>
      </c>
      <c r="Z507" s="137">
        <v>0</v>
      </c>
      <c r="AA507" s="137"/>
      <c r="AB507" s="137"/>
      <c r="AC507" s="41"/>
      <c r="AD507" s="41"/>
      <c r="AE507" s="41">
        <v>0</v>
      </c>
      <c r="AF507" s="41">
        <v>0</v>
      </c>
      <c r="AG507" s="41">
        <v>0</v>
      </c>
      <c r="AH507" s="41"/>
      <c r="AI507" s="41">
        <v>0</v>
      </c>
      <c r="AJ507" s="41">
        <v>0</v>
      </c>
      <c r="AK507" s="139"/>
      <c r="AL507" s="139"/>
      <c r="AM507" s="139"/>
      <c r="AN507" s="41"/>
      <c r="AO507" s="41"/>
      <c r="AP507" s="41"/>
      <c r="AQ507" s="41" t="s">
        <v>2018</v>
      </c>
      <c r="AR507" s="472"/>
    </row>
    <row r="508" spans="1:44" ht="15" customHeight="1">
      <c r="A508" s="41">
        <v>2010407</v>
      </c>
      <c r="B508" s="5" t="s">
        <v>3638</v>
      </c>
      <c r="C508" s="224" t="s">
        <v>4593</v>
      </c>
      <c r="D508" s="41" t="s">
        <v>1876</v>
      </c>
      <c r="E508" s="41"/>
      <c r="F508" s="36">
        <v>6</v>
      </c>
      <c r="G508" s="36">
        <v>7</v>
      </c>
      <c r="H508" s="41" t="s">
        <v>136</v>
      </c>
      <c r="I508" s="5" t="s">
        <v>3640</v>
      </c>
      <c r="J508" s="41"/>
      <c r="K508" s="41"/>
      <c r="L508" s="174" t="s">
        <v>2020</v>
      </c>
      <c r="M508" s="438"/>
      <c r="N508" s="438"/>
      <c r="O508" s="174"/>
      <c r="P508" s="137"/>
      <c r="Q508" s="137">
        <v>0</v>
      </c>
      <c r="R508" s="137" t="s">
        <v>153</v>
      </c>
      <c r="S508" s="41">
        <v>2010407</v>
      </c>
      <c r="T508" s="467"/>
      <c r="U508" s="468"/>
      <c r="V508" s="137" t="s">
        <v>582</v>
      </c>
      <c r="W508" s="57" t="s">
        <v>4588</v>
      </c>
      <c r="X508" s="57" t="s">
        <v>4588</v>
      </c>
      <c r="Y508" s="137">
        <v>0</v>
      </c>
      <c r="Z508" s="137">
        <v>0</v>
      </c>
      <c r="AA508" s="137"/>
      <c r="AB508" s="137"/>
      <c r="AC508" s="41"/>
      <c r="AD508" s="41"/>
      <c r="AE508" s="41">
        <v>0</v>
      </c>
      <c r="AF508" s="41">
        <v>0</v>
      </c>
      <c r="AG508" s="41">
        <v>0</v>
      </c>
      <c r="AH508" s="41"/>
      <c r="AI508" s="41">
        <v>0</v>
      </c>
      <c r="AJ508" s="41">
        <v>0</v>
      </c>
      <c r="AK508" s="139"/>
      <c r="AL508" s="139"/>
      <c r="AM508" s="139"/>
      <c r="AN508" s="41"/>
      <c r="AO508" s="41"/>
      <c r="AP508" s="41"/>
      <c r="AQ508" s="41" t="s">
        <v>2021</v>
      </c>
      <c r="AR508" s="472"/>
    </row>
    <row r="509" spans="1:44" ht="15" customHeight="1">
      <c r="A509" s="41">
        <v>2010408</v>
      </c>
      <c r="B509" s="5" t="s">
        <v>3638</v>
      </c>
      <c r="C509" s="224" t="s">
        <v>4594</v>
      </c>
      <c r="D509" s="41" t="s">
        <v>1876</v>
      </c>
      <c r="E509" s="41"/>
      <c r="F509" s="36">
        <v>7</v>
      </c>
      <c r="G509" s="36">
        <v>7</v>
      </c>
      <c r="H509" s="41" t="s">
        <v>136</v>
      </c>
      <c r="I509" s="5" t="s">
        <v>3640</v>
      </c>
      <c r="J509" s="41"/>
      <c r="K509" s="41"/>
      <c r="L509" s="174" t="s">
        <v>2023</v>
      </c>
      <c r="M509" s="438"/>
      <c r="N509" s="438"/>
      <c r="O509" s="174"/>
      <c r="P509" s="137"/>
      <c r="Q509" s="137">
        <v>0</v>
      </c>
      <c r="R509" s="137" t="s">
        <v>153</v>
      </c>
      <c r="S509" s="41">
        <v>2010408</v>
      </c>
      <c r="T509" s="467"/>
      <c r="U509" s="468"/>
      <c r="V509" s="137" t="s">
        <v>582</v>
      </c>
      <c r="W509" s="57" t="s">
        <v>4595</v>
      </c>
      <c r="X509" s="57" t="s">
        <v>4595</v>
      </c>
      <c r="Y509" s="137">
        <v>0</v>
      </c>
      <c r="Z509" s="137">
        <v>0</v>
      </c>
      <c r="AA509" s="137"/>
      <c r="AB509" s="137"/>
      <c r="AC509" s="41"/>
      <c r="AD509" s="41"/>
      <c r="AE509" s="41">
        <v>0</v>
      </c>
      <c r="AF509" s="41">
        <v>0</v>
      </c>
      <c r="AG509" s="41">
        <v>0</v>
      </c>
      <c r="AH509" s="41"/>
      <c r="AI509" s="41">
        <v>0</v>
      </c>
      <c r="AJ509" s="41">
        <v>0</v>
      </c>
      <c r="AK509" s="139"/>
      <c r="AL509" s="139"/>
      <c r="AM509" s="139"/>
      <c r="AN509" s="41"/>
      <c r="AO509" s="41"/>
      <c r="AP509" s="41"/>
      <c r="AQ509" s="41" t="s">
        <v>2025</v>
      </c>
      <c r="AR509" s="472"/>
    </row>
    <row r="510" spans="1:44" ht="15" customHeight="1">
      <c r="A510" s="3">
        <v>2010409</v>
      </c>
      <c r="B510" s="5" t="s">
        <v>3638</v>
      </c>
      <c r="C510" s="224" t="s">
        <v>4596</v>
      </c>
      <c r="D510" s="44" t="s">
        <v>1876</v>
      </c>
      <c r="E510" s="41"/>
      <c r="F510" s="3">
        <v>8</v>
      </c>
      <c r="G510" s="36">
        <v>7</v>
      </c>
      <c r="H510" s="3" t="s">
        <v>136</v>
      </c>
      <c r="I510" s="5" t="s">
        <v>3640</v>
      </c>
      <c r="J510" s="3"/>
      <c r="K510" s="3"/>
      <c r="L510" s="236"/>
      <c r="M510" s="99"/>
      <c r="N510" s="99"/>
      <c r="O510" s="236"/>
      <c r="P510" s="22"/>
      <c r="Q510" s="22">
        <v>0</v>
      </c>
      <c r="R510" s="22" t="s">
        <v>153</v>
      </c>
      <c r="S510" s="3"/>
      <c r="T510" s="260"/>
      <c r="U510" s="261"/>
      <c r="V510" s="22"/>
      <c r="W510" s="57" t="s">
        <v>4556</v>
      </c>
      <c r="X510" s="57" t="s">
        <v>4556</v>
      </c>
      <c r="Y510" s="22"/>
      <c r="Z510" s="22"/>
      <c r="AA510" s="22"/>
      <c r="AB510" s="22" t="s">
        <v>114</v>
      </c>
      <c r="AC510" s="3"/>
      <c r="AD510" s="3"/>
      <c r="AE510" s="3">
        <v>0</v>
      </c>
      <c r="AF510" s="3">
        <v>0</v>
      </c>
      <c r="AG510" s="3">
        <v>0</v>
      </c>
      <c r="AH510" s="3"/>
      <c r="AI510" s="3">
        <v>0</v>
      </c>
      <c r="AJ510" s="3">
        <v>0</v>
      </c>
      <c r="AK510" s="3">
        <v>0</v>
      </c>
      <c r="AL510" s="3"/>
      <c r="AM510" s="3"/>
      <c r="AN510" s="3"/>
      <c r="AO510" s="3"/>
      <c r="AP510" s="3"/>
      <c r="AQ510" s="3" t="s">
        <v>2006</v>
      </c>
      <c r="AR510" s="281"/>
    </row>
    <row r="511" spans="1:44" ht="15" customHeight="1">
      <c r="A511" s="3">
        <v>2010410</v>
      </c>
      <c r="B511" s="5" t="s">
        <v>3638</v>
      </c>
      <c r="C511" s="224" t="s">
        <v>4597</v>
      </c>
      <c r="D511" s="3" t="s">
        <v>1876</v>
      </c>
      <c r="F511" s="3">
        <v>9</v>
      </c>
      <c r="G511" s="36">
        <v>7</v>
      </c>
      <c r="H511" s="3" t="s">
        <v>136</v>
      </c>
      <c r="I511" s="5" t="s">
        <v>3640</v>
      </c>
      <c r="J511" s="3"/>
      <c r="K511" s="3"/>
      <c r="L511" s="236"/>
      <c r="M511" s="99"/>
      <c r="N511" s="99"/>
      <c r="O511" s="236"/>
      <c r="P511" s="22"/>
      <c r="Q511" s="22">
        <v>0</v>
      </c>
      <c r="R511" s="22" t="s">
        <v>153</v>
      </c>
      <c r="S511" s="3"/>
      <c r="T511" s="260"/>
      <c r="U511" s="261"/>
      <c r="V511" s="22"/>
      <c r="W511" s="57" t="s">
        <v>4598</v>
      </c>
      <c r="X511" s="57" t="s">
        <v>4598</v>
      </c>
      <c r="Y511" s="22"/>
      <c r="Z511" s="22"/>
      <c r="AA511" s="22"/>
      <c r="AB511" s="22" t="s">
        <v>114</v>
      </c>
      <c r="AC511" s="3"/>
      <c r="AD511" s="3"/>
      <c r="AE511" s="3">
        <v>0</v>
      </c>
      <c r="AF511" s="3">
        <v>0</v>
      </c>
      <c r="AG511" s="3">
        <v>0</v>
      </c>
      <c r="AH511" s="3"/>
      <c r="AI511" s="3">
        <v>0</v>
      </c>
      <c r="AJ511" s="3">
        <v>0</v>
      </c>
      <c r="AK511" s="3">
        <v>0</v>
      </c>
      <c r="AL511" s="3"/>
      <c r="AM511" s="3"/>
      <c r="AN511" s="3"/>
      <c r="AO511" s="3"/>
      <c r="AP511" s="3"/>
      <c r="AQ511" s="282" t="str">
        <f>"tricks/"&amp;A511</f>
        <v>tricks/2010410</v>
      </c>
    </row>
    <row r="512" spans="1:44" ht="15" customHeight="1">
      <c r="A512" s="3">
        <v>2010411</v>
      </c>
      <c r="B512" s="5" t="s">
        <v>3638</v>
      </c>
      <c r="C512" s="224" t="s">
        <v>4599</v>
      </c>
      <c r="D512" s="3" t="s">
        <v>1876</v>
      </c>
      <c r="F512" s="3">
        <v>10</v>
      </c>
      <c r="G512" s="36">
        <v>7</v>
      </c>
      <c r="H512" s="3" t="s">
        <v>136</v>
      </c>
      <c r="I512" s="5" t="s">
        <v>3640</v>
      </c>
      <c r="J512" s="3"/>
      <c r="K512" s="3"/>
      <c r="L512" s="236"/>
      <c r="M512" s="99"/>
      <c r="N512" s="99"/>
      <c r="O512" s="236"/>
      <c r="P512" s="22"/>
      <c r="Q512" s="22">
        <v>0</v>
      </c>
      <c r="R512" s="22" t="s">
        <v>153</v>
      </c>
      <c r="S512" s="3"/>
      <c r="T512" s="260"/>
      <c r="U512" s="261"/>
      <c r="V512" s="22"/>
      <c r="W512" s="57" t="s">
        <v>4600</v>
      </c>
      <c r="X512" s="57" t="s">
        <v>4600</v>
      </c>
      <c r="Y512" s="22"/>
      <c r="Z512" s="22"/>
      <c r="AA512" s="22"/>
      <c r="AB512" s="22" t="s">
        <v>114</v>
      </c>
      <c r="AC512" s="3"/>
      <c r="AD512" s="3"/>
      <c r="AE512" s="3">
        <v>0</v>
      </c>
      <c r="AF512" s="3">
        <v>0</v>
      </c>
      <c r="AG512" s="3">
        <v>0</v>
      </c>
      <c r="AH512" s="3"/>
      <c r="AI512" s="3">
        <v>0</v>
      </c>
      <c r="AJ512" s="3">
        <v>0</v>
      </c>
      <c r="AK512" s="3">
        <v>0</v>
      </c>
      <c r="AL512" s="3"/>
      <c r="AM512" s="3"/>
      <c r="AN512" s="3"/>
      <c r="AO512" s="3"/>
      <c r="AP512" s="3"/>
      <c r="AQ512" s="282" t="str">
        <f>"tricks/"&amp;A512</f>
        <v>tricks/2010411</v>
      </c>
    </row>
    <row r="513" spans="1:44" ht="15" customHeight="1">
      <c r="A513" s="6">
        <v>2010501</v>
      </c>
      <c r="B513" s="5" t="s">
        <v>3638</v>
      </c>
      <c r="C513" s="224" t="s">
        <v>4601</v>
      </c>
      <c r="D513" s="6" t="s">
        <v>1876</v>
      </c>
      <c r="E513" s="6"/>
      <c r="F513" s="36">
        <v>1</v>
      </c>
      <c r="G513" s="36">
        <v>7</v>
      </c>
      <c r="H513" s="6" t="s">
        <v>82</v>
      </c>
      <c r="I513" s="5" t="s">
        <v>3640</v>
      </c>
      <c r="J513" s="6">
        <v>1</v>
      </c>
      <c r="K513" s="6"/>
      <c r="L513" s="234" t="s">
        <v>2033</v>
      </c>
      <c r="M513" s="235"/>
      <c r="N513" s="235">
        <v>23</v>
      </c>
      <c r="O513" s="234"/>
      <c r="P513" s="40"/>
      <c r="Q513" s="40">
        <v>0</v>
      </c>
      <c r="R513" s="40" t="s">
        <v>153</v>
      </c>
      <c r="S513" s="6">
        <v>2010501</v>
      </c>
      <c r="T513" s="258"/>
      <c r="U513" s="259"/>
      <c r="V513" s="40" t="s">
        <v>582</v>
      </c>
      <c r="W513" s="57" t="s">
        <v>4602</v>
      </c>
      <c r="X513" s="57" t="s">
        <v>4602</v>
      </c>
      <c r="Y513" s="40">
        <v>0</v>
      </c>
      <c r="Z513" s="40">
        <v>0</v>
      </c>
      <c r="AA513" s="40"/>
      <c r="AB513" s="40"/>
      <c r="AC513" s="6"/>
      <c r="AD513" s="6"/>
      <c r="AE513" s="6">
        <v>0</v>
      </c>
      <c r="AF513" s="6">
        <v>0</v>
      </c>
      <c r="AG513" s="6">
        <v>0</v>
      </c>
      <c r="AH513" s="6"/>
      <c r="AI513" s="6"/>
      <c r="AJ513" s="6"/>
      <c r="AK513" s="272"/>
      <c r="AL513" s="272"/>
      <c r="AM513" s="272"/>
      <c r="AN513" s="43"/>
      <c r="AO513" s="6"/>
      <c r="AP513" s="6"/>
      <c r="AQ513" s="6" t="s">
        <v>2035</v>
      </c>
      <c r="AR513" s="280"/>
    </row>
    <row r="514" spans="1:44" ht="15" customHeight="1">
      <c r="A514" s="6">
        <v>2010502</v>
      </c>
      <c r="B514" s="5" t="s">
        <v>3638</v>
      </c>
      <c r="C514" s="224" t="s">
        <v>4603</v>
      </c>
      <c r="D514" s="6" t="s">
        <v>1876</v>
      </c>
      <c r="E514" s="6"/>
      <c r="F514" s="36">
        <v>1</v>
      </c>
      <c r="G514" s="36">
        <v>7</v>
      </c>
      <c r="H514" s="6" t="s">
        <v>136</v>
      </c>
      <c r="I514" s="5" t="s">
        <v>3640</v>
      </c>
      <c r="J514" s="6"/>
      <c r="K514" s="6"/>
      <c r="L514" s="234" t="s">
        <v>2037</v>
      </c>
      <c r="M514" s="235"/>
      <c r="N514" s="235"/>
      <c r="O514" s="234"/>
      <c r="P514" s="40"/>
      <c r="Q514" s="40">
        <v>0</v>
      </c>
      <c r="R514" s="40" t="s">
        <v>153</v>
      </c>
      <c r="S514" s="6">
        <v>2010503</v>
      </c>
      <c r="T514" s="258"/>
      <c r="U514" s="259"/>
      <c r="V514" s="40" t="s">
        <v>582</v>
      </c>
      <c r="W514" s="57" t="s">
        <v>4604</v>
      </c>
      <c r="X514" s="57" t="s">
        <v>4604</v>
      </c>
      <c r="Y514" s="40">
        <v>0</v>
      </c>
      <c r="Z514" s="40">
        <v>0</v>
      </c>
      <c r="AA514" s="40"/>
      <c r="AB514" s="40"/>
      <c r="AC514" s="6"/>
      <c r="AD514" s="6"/>
      <c r="AE514" s="6">
        <v>0</v>
      </c>
      <c r="AF514" s="6">
        <v>0</v>
      </c>
      <c r="AG514" s="6">
        <v>0</v>
      </c>
      <c r="AH514" s="6"/>
      <c r="AI514" s="6">
        <v>0</v>
      </c>
      <c r="AJ514" s="6">
        <v>0</v>
      </c>
      <c r="AK514" s="272"/>
      <c r="AL514" s="272"/>
      <c r="AM514" s="272"/>
      <c r="AN514" s="6"/>
      <c r="AO514" s="6"/>
      <c r="AP514" s="6"/>
      <c r="AQ514" s="6" t="s">
        <v>2039</v>
      </c>
      <c r="AR514" s="280"/>
    </row>
    <row r="515" spans="1:44" ht="15" customHeight="1">
      <c r="A515" s="6">
        <v>2010503</v>
      </c>
      <c r="B515" s="5" t="s">
        <v>3638</v>
      </c>
      <c r="C515" s="224" t="s">
        <v>4605</v>
      </c>
      <c r="D515" s="6" t="s">
        <v>1876</v>
      </c>
      <c r="E515" s="6"/>
      <c r="F515" s="36">
        <v>2</v>
      </c>
      <c r="G515" s="36">
        <v>7</v>
      </c>
      <c r="H515" s="6" t="s">
        <v>136</v>
      </c>
      <c r="I515" s="5" t="s">
        <v>3640</v>
      </c>
      <c r="J515" s="6"/>
      <c r="K515" s="6"/>
      <c r="L515" s="234" t="s">
        <v>2041</v>
      </c>
      <c r="M515" s="235"/>
      <c r="N515" s="235"/>
      <c r="O515" s="234"/>
      <c r="P515" s="40"/>
      <c r="Q515" s="40">
        <v>0</v>
      </c>
      <c r="R515" s="40" t="s">
        <v>153</v>
      </c>
      <c r="S515" s="6">
        <v>2010504</v>
      </c>
      <c r="T515" s="258"/>
      <c r="U515" s="259"/>
      <c r="V515" s="40" t="s">
        <v>582</v>
      </c>
      <c r="W515" s="57" t="s">
        <v>4606</v>
      </c>
      <c r="X515" s="57" t="s">
        <v>4606</v>
      </c>
      <c r="Y515" s="40">
        <v>0</v>
      </c>
      <c r="Z515" s="40">
        <v>0</v>
      </c>
      <c r="AA515" s="40"/>
      <c r="AB515" s="40"/>
      <c r="AC515" s="6"/>
      <c r="AD515" s="6"/>
      <c r="AE515" s="6">
        <v>0</v>
      </c>
      <c r="AF515" s="6">
        <v>0</v>
      </c>
      <c r="AG515" s="6">
        <v>0</v>
      </c>
      <c r="AH515" s="6"/>
      <c r="AI515" s="6">
        <v>0</v>
      </c>
      <c r="AJ515" s="6">
        <v>0</v>
      </c>
      <c r="AK515" s="272"/>
      <c r="AL515" s="272"/>
      <c r="AM515" s="272"/>
      <c r="AN515" s="6"/>
      <c r="AO515" s="6"/>
      <c r="AP515" s="6"/>
      <c r="AQ515" s="6" t="s">
        <v>2043</v>
      </c>
      <c r="AR515" s="280"/>
    </row>
    <row r="516" spans="1:44" ht="15" customHeight="1">
      <c r="A516" s="6">
        <v>2010504</v>
      </c>
      <c r="B516" s="5" t="s">
        <v>3638</v>
      </c>
      <c r="C516" s="224" t="s">
        <v>4607</v>
      </c>
      <c r="D516" s="6" t="s">
        <v>1876</v>
      </c>
      <c r="E516" s="6"/>
      <c r="F516" s="36">
        <v>3</v>
      </c>
      <c r="G516" s="36">
        <v>7</v>
      </c>
      <c r="H516" s="6" t="s">
        <v>136</v>
      </c>
      <c r="I516" s="5" t="s">
        <v>3640</v>
      </c>
      <c r="J516" s="6"/>
      <c r="K516" s="6"/>
      <c r="L516" s="459" t="s">
        <v>2045</v>
      </c>
      <c r="M516" s="235"/>
      <c r="N516" s="235"/>
      <c r="O516" s="234"/>
      <c r="P516" s="40"/>
      <c r="Q516" s="40">
        <v>0</v>
      </c>
      <c r="R516" s="40" t="s">
        <v>153</v>
      </c>
      <c r="S516" s="6">
        <v>2010506</v>
      </c>
      <c r="T516" s="258"/>
      <c r="U516" s="259"/>
      <c r="V516" s="40" t="s">
        <v>582</v>
      </c>
      <c r="W516" s="57" t="s">
        <v>4608</v>
      </c>
      <c r="X516" s="57" t="s">
        <v>4608</v>
      </c>
      <c r="Y516" s="40">
        <v>0</v>
      </c>
      <c r="Z516" s="40">
        <v>0</v>
      </c>
      <c r="AA516" s="40"/>
      <c r="AB516" s="40"/>
      <c r="AC516" s="6"/>
      <c r="AD516" s="6"/>
      <c r="AE516" s="6">
        <v>0</v>
      </c>
      <c r="AF516" s="6">
        <v>0</v>
      </c>
      <c r="AG516" s="6">
        <v>0</v>
      </c>
      <c r="AH516" s="6"/>
      <c r="AI516" s="6">
        <v>0</v>
      </c>
      <c r="AJ516" s="6">
        <v>0</v>
      </c>
      <c r="AK516" s="272"/>
      <c r="AL516" s="272"/>
      <c r="AM516" s="272"/>
      <c r="AN516" s="6"/>
      <c r="AO516" s="6"/>
      <c r="AP516" s="6"/>
      <c r="AQ516" s="6" t="s">
        <v>2047</v>
      </c>
      <c r="AR516" s="280"/>
    </row>
    <row r="517" spans="1:44" ht="15" customHeight="1">
      <c r="A517" s="6">
        <v>2010505</v>
      </c>
      <c r="B517" s="5" t="s">
        <v>3638</v>
      </c>
      <c r="C517" s="224" t="s">
        <v>4609</v>
      </c>
      <c r="D517" s="6" t="s">
        <v>1876</v>
      </c>
      <c r="E517" s="6"/>
      <c r="F517" s="36">
        <v>4</v>
      </c>
      <c r="G517" s="36">
        <v>7</v>
      </c>
      <c r="H517" s="6" t="s">
        <v>136</v>
      </c>
      <c r="I517" s="5" t="s">
        <v>3640</v>
      </c>
      <c r="J517" s="6"/>
      <c r="K517" s="6"/>
      <c r="L517" s="459" t="s">
        <v>2049</v>
      </c>
      <c r="M517" s="235"/>
      <c r="N517" s="235"/>
      <c r="O517" s="234"/>
      <c r="P517" s="40"/>
      <c r="Q517" s="40">
        <v>0</v>
      </c>
      <c r="R517" s="40" t="s">
        <v>153</v>
      </c>
      <c r="S517" s="6">
        <v>2010507</v>
      </c>
      <c r="T517" s="258"/>
      <c r="U517" s="259"/>
      <c r="V517" s="40" t="s">
        <v>582</v>
      </c>
      <c r="W517" s="57" t="s">
        <v>4610</v>
      </c>
      <c r="X517" s="57" t="s">
        <v>4610</v>
      </c>
      <c r="Y517" s="40">
        <v>0</v>
      </c>
      <c r="Z517" s="40">
        <v>0</v>
      </c>
      <c r="AA517" s="40"/>
      <c r="AB517" s="40"/>
      <c r="AC517" s="6"/>
      <c r="AD517" s="6"/>
      <c r="AE517" s="6">
        <v>0</v>
      </c>
      <c r="AF517" s="6">
        <v>0</v>
      </c>
      <c r="AG517" s="6">
        <v>0</v>
      </c>
      <c r="AH517" s="6"/>
      <c r="AI517" s="6">
        <v>0</v>
      </c>
      <c r="AJ517" s="6">
        <v>0</v>
      </c>
      <c r="AK517" s="272"/>
      <c r="AL517" s="272"/>
      <c r="AM517" s="272"/>
      <c r="AN517" s="6"/>
      <c r="AO517" s="6"/>
      <c r="AP517" s="6"/>
      <c r="AQ517" s="6" t="s">
        <v>2051</v>
      </c>
      <c r="AR517" s="280"/>
    </row>
    <row r="518" spans="1:44" ht="15" customHeight="1">
      <c r="A518" s="6">
        <v>2010506</v>
      </c>
      <c r="B518" s="5" t="s">
        <v>3638</v>
      </c>
      <c r="C518" s="224" t="s">
        <v>4611</v>
      </c>
      <c r="D518" s="6" t="s">
        <v>1876</v>
      </c>
      <c r="E518" s="6"/>
      <c r="F518" s="36">
        <v>5</v>
      </c>
      <c r="G518" s="36">
        <v>7</v>
      </c>
      <c r="H518" s="6" t="s">
        <v>136</v>
      </c>
      <c r="I518" s="5" t="s">
        <v>3640</v>
      </c>
      <c r="J518" s="6"/>
      <c r="K518" s="6"/>
      <c r="L518" s="459" t="s">
        <v>2053</v>
      </c>
      <c r="M518" s="235"/>
      <c r="N518" s="235"/>
      <c r="O518" s="234"/>
      <c r="P518" s="40"/>
      <c r="Q518" s="40">
        <v>0</v>
      </c>
      <c r="R518" s="40" t="s">
        <v>153</v>
      </c>
      <c r="S518" s="6">
        <v>2010508</v>
      </c>
      <c r="T518" s="258"/>
      <c r="U518" s="259"/>
      <c r="V518" s="40" t="s">
        <v>582</v>
      </c>
      <c r="W518" s="57" t="s">
        <v>4612</v>
      </c>
      <c r="X518" s="57" t="s">
        <v>4612</v>
      </c>
      <c r="Y518" s="40">
        <v>0</v>
      </c>
      <c r="Z518" s="40">
        <v>0</v>
      </c>
      <c r="AA518" s="40"/>
      <c r="AB518" s="40"/>
      <c r="AC518" s="6"/>
      <c r="AD518" s="6"/>
      <c r="AE518" s="6">
        <v>0</v>
      </c>
      <c r="AF518" s="6">
        <v>0</v>
      </c>
      <c r="AG518" s="6">
        <v>0</v>
      </c>
      <c r="AH518" s="6"/>
      <c r="AI518" s="6">
        <v>0</v>
      </c>
      <c r="AJ518" s="6">
        <v>0</v>
      </c>
      <c r="AK518" s="272"/>
      <c r="AL518" s="272"/>
      <c r="AM518" s="272"/>
      <c r="AN518" s="6"/>
      <c r="AO518" s="6"/>
      <c r="AP518" s="6"/>
      <c r="AQ518" s="6" t="s">
        <v>2055</v>
      </c>
      <c r="AR518" s="280"/>
    </row>
    <row r="519" spans="1:44" ht="15" customHeight="1">
      <c r="A519" s="6">
        <v>2010507</v>
      </c>
      <c r="B519" s="5" t="s">
        <v>3638</v>
      </c>
      <c r="C519" s="224" t="s">
        <v>4613</v>
      </c>
      <c r="D519" s="6" t="s">
        <v>1876</v>
      </c>
      <c r="E519" s="6"/>
      <c r="F519" s="36">
        <v>6</v>
      </c>
      <c r="G519" s="36">
        <v>7</v>
      </c>
      <c r="H519" s="6" t="s">
        <v>136</v>
      </c>
      <c r="I519" s="5" t="s">
        <v>3640</v>
      </c>
      <c r="J519" s="6"/>
      <c r="K519" s="6"/>
      <c r="L519" s="459" t="s">
        <v>2057</v>
      </c>
      <c r="M519" s="235"/>
      <c r="N519" s="235"/>
      <c r="O519" s="234"/>
      <c r="P519" s="40"/>
      <c r="Q519" s="40">
        <v>0</v>
      </c>
      <c r="R519" s="40" t="s">
        <v>153</v>
      </c>
      <c r="S519" s="6">
        <v>2010509</v>
      </c>
      <c r="T519" s="258"/>
      <c r="U519" s="259"/>
      <c r="V519" s="40" t="s">
        <v>582</v>
      </c>
      <c r="W519" s="57" t="s">
        <v>4614</v>
      </c>
      <c r="X519" s="57" t="s">
        <v>4614</v>
      </c>
      <c r="Y519" s="40">
        <v>0</v>
      </c>
      <c r="Z519" s="40">
        <v>0</v>
      </c>
      <c r="AA519" s="40"/>
      <c r="AB519" s="40"/>
      <c r="AC519" s="6"/>
      <c r="AD519" s="6"/>
      <c r="AE519" s="6">
        <v>0</v>
      </c>
      <c r="AF519" s="6">
        <v>0</v>
      </c>
      <c r="AG519" s="6">
        <v>0</v>
      </c>
      <c r="AH519" s="6"/>
      <c r="AI519" s="6">
        <v>0</v>
      </c>
      <c r="AJ519" s="6">
        <v>0</v>
      </c>
      <c r="AK519" s="272"/>
      <c r="AL519" s="272"/>
      <c r="AM519" s="272"/>
      <c r="AN519" s="6"/>
      <c r="AO519" s="6"/>
      <c r="AP519" s="6"/>
      <c r="AQ519" s="6" t="s">
        <v>2059</v>
      </c>
      <c r="AR519" s="280"/>
    </row>
    <row r="520" spans="1:44" ht="15" customHeight="1">
      <c r="A520" s="6">
        <v>2010508</v>
      </c>
      <c r="B520" s="5" t="s">
        <v>3638</v>
      </c>
      <c r="C520" s="224" t="s">
        <v>4615</v>
      </c>
      <c r="D520" s="6" t="s">
        <v>1876</v>
      </c>
      <c r="E520" s="6"/>
      <c r="F520" s="36">
        <v>7</v>
      </c>
      <c r="G520" s="36">
        <v>7</v>
      </c>
      <c r="H520" s="6" t="s">
        <v>136</v>
      </c>
      <c r="I520" s="5" t="s">
        <v>3640</v>
      </c>
      <c r="J520" s="6"/>
      <c r="K520" s="6"/>
      <c r="L520" s="459" t="s">
        <v>2061</v>
      </c>
      <c r="M520" s="235"/>
      <c r="N520" s="235"/>
      <c r="O520" s="234"/>
      <c r="P520" s="40"/>
      <c r="Q520" s="40">
        <v>0</v>
      </c>
      <c r="R520" s="40" t="s">
        <v>153</v>
      </c>
      <c r="S520" s="6">
        <v>2010510</v>
      </c>
      <c r="T520" s="258"/>
      <c r="U520" s="259"/>
      <c r="V520" s="40" t="s">
        <v>582</v>
      </c>
      <c r="W520" s="57" t="s">
        <v>4616</v>
      </c>
      <c r="X520" s="57" t="s">
        <v>4616</v>
      </c>
      <c r="Y520" s="40">
        <v>0</v>
      </c>
      <c r="Z520" s="40">
        <v>0</v>
      </c>
      <c r="AA520" s="40"/>
      <c r="AB520" s="40"/>
      <c r="AC520" s="6"/>
      <c r="AD520" s="6"/>
      <c r="AE520" s="6">
        <v>0</v>
      </c>
      <c r="AF520" s="6">
        <v>0</v>
      </c>
      <c r="AG520" s="6">
        <v>0</v>
      </c>
      <c r="AH520" s="6"/>
      <c r="AI520" s="6">
        <v>0</v>
      </c>
      <c r="AJ520" s="6">
        <v>0</v>
      </c>
      <c r="AK520" s="272"/>
      <c r="AL520" s="272"/>
      <c r="AM520" s="272"/>
      <c r="AN520" s="6"/>
      <c r="AO520" s="6"/>
      <c r="AP520" s="6"/>
      <c r="AQ520" s="6" t="s">
        <v>2063</v>
      </c>
      <c r="AR520" s="280"/>
    </row>
    <row r="521" spans="1:44" ht="15" customHeight="1">
      <c r="A521" s="3">
        <v>2010509</v>
      </c>
      <c r="B521" s="5" t="s">
        <v>3638</v>
      </c>
      <c r="C521" s="224" t="s">
        <v>4617</v>
      </c>
      <c r="D521" s="44" t="s">
        <v>1876</v>
      </c>
      <c r="E521" s="41"/>
      <c r="F521" s="3">
        <v>8</v>
      </c>
      <c r="G521" s="36">
        <v>7</v>
      </c>
      <c r="H521" s="3" t="s">
        <v>136</v>
      </c>
      <c r="I521" s="5" t="s">
        <v>3640</v>
      </c>
      <c r="J521" s="3"/>
      <c r="K521" s="3"/>
      <c r="L521" s="236"/>
      <c r="M521" s="99"/>
      <c r="N521" s="99"/>
      <c r="O521" s="236"/>
      <c r="P521" s="22"/>
      <c r="Q521" s="22">
        <v>0</v>
      </c>
      <c r="R521" s="22" t="s">
        <v>153</v>
      </c>
      <c r="S521" s="3"/>
      <c r="T521" s="260"/>
      <c r="U521" s="261"/>
      <c r="V521" s="22"/>
      <c r="W521" s="57" t="s">
        <v>4535</v>
      </c>
      <c r="X521" s="57" t="s">
        <v>4535</v>
      </c>
      <c r="Y521" s="22"/>
      <c r="Z521" s="22"/>
      <c r="AA521" s="22"/>
      <c r="AB521" s="22" t="s">
        <v>114</v>
      </c>
      <c r="AC521" s="3"/>
      <c r="AD521" s="3"/>
      <c r="AE521" s="3">
        <v>0</v>
      </c>
      <c r="AF521" s="3">
        <v>0</v>
      </c>
      <c r="AG521" s="3">
        <v>0</v>
      </c>
      <c r="AH521" s="3"/>
      <c r="AI521" s="3">
        <v>0</v>
      </c>
      <c r="AJ521" s="3">
        <v>0</v>
      </c>
      <c r="AK521" s="3">
        <v>0</v>
      </c>
      <c r="AL521" s="3"/>
      <c r="AM521" s="3"/>
      <c r="AN521" s="3"/>
      <c r="AO521" s="3"/>
      <c r="AP521" s="3"/>
      <c r="AQ521" s="3" t="s">
        <v>2043</v>
      </c>
      <c r="AR521" s="281"/>
    </row>
    <row r="522" spans="1:44" ht="15" customHeight="1">
      <c r="A522" s="3">
        <v>2010510</v>
      </c>
      <c r="B522" s="5" t="s">
        <v>3638</v>
      </c>
      <c r="C522" s="224" t="s">
        <v>4618</v>
      </c>
      <c r="D522" s="3" t="s">
        <v>1876</v>
      </c>
      <c r="F522" s="3">
        <v>9</v>
      </c>
      <c r="G522" s="36">
        <v>7</v>
      </c>
      <c r="H522" s="3" t="s">
        <v>136</v>
      </c>
      <c r="I522" s="5" t="s">
        <v>3640</v>
      </c>
      <c r="J522" s="3"/>
      <c r="K522" s="3"/>
      <c r="L522" s="236"/>
      <c r="M522" s="99"/>
      <c r="N522" s="99"/>
      <c r="O522" s="236"/>
      <c r="P522" s="22"/>
      <c r="Q522" s="22">
        <v>0</v>
      </c>
      <c r="R522" s="22" t="s">
        <v>153</v>
      </c>
      <c r="S522" s="3"/>
      <c r="T522" s="260"/>
      <c r="U522" s="261"/>
      <c r="V522" s="22"/>
      <c r="W522" s="57" t="s">
        <v>4608</v>
      </c>
      <c r="X522" s="57" t="s">
        <v>4608</v>
      </c>
      <c r="Y522" s="22"/>
      <c r="Z522" s="22"/>
      <c r="AA522" s="22"/>
      <c r="AB522" s="22" t="s">
        <v>114</v>
      </c>
      <c r="AC522" s="3"/>
      <c r="AD522" s="3"/>
      <c r="AE522" s="3">
        <v>0</v>
      </c>
      <c r="AF522" s="3">
        <v>0</v>
      </c>
      <c r="AG522" s="3">
        <v>0</v>
      </c>
      <c r="AH522" s="3"/>
      <c r="AI522" s="3">
        <v>0</v>
      </c>
      <c r="AJ522" s="3">
        <v>0</v>
      </c>
      <c r="AK522" s="3">
        <v>0</v>
      </c>
      <c r="AL522" s="3"/>
      <c r="AM522" s="3"/>
      <c r="AN522" s="3"/>
      <c r="AO522" s="3"/>
      <c r="AP522" s="3"/>
      <c r="AQ522" s="282" t="str">
        <f>"tricks/"&amp;A522</f>
        <v>tricks/2010510</v>
      </c>
    </row>
    <row r="523" spans="1:44" ht="15" customHeight="1">
      <c r="A523" s="3">
        <v>2010511</v>
      </c>
      <c r="B523" s="5" t="s">
        <v>3638</v>
      </c>
      <c r="C523" s="224" t="s">
        <v>4619</v>
      </c>
      <c r="D523" s="3" t="s">
        <v>1876</v>
      </c>
      <c r="F523" s="3">
        <v>10</v>
      </c>
      <c r="G523" s="36">
        <v>7</v>
      </c>
      <c r="H523" s="3" t="s">
        <v>136</v>
      </c>
      <c r="I523" s="5" t="s">
        <v>3640</v>
      </c>
      <c r="J523" s="3"/>
      <c r="K523" s="3"/>
      <c r="L523" s="236"/>
      <c r="M523" s="99"/>
      <c r="N523" s="99"/>
      <c r="O523" s="236"/>
      <c r="P523" s="22"/>
      <c r="Q523" s="22">
        <v>0</v>
      </c>
      <c r="R523" s="22" t="s">
        <v>153</v>
      </c>
      <c r="S523" s="3"/>
      <c r="T523" s="260"/>
      <c r="U523" s="261"/>
      <c r="V523" s="22"/>
      <c r="W523" s="57" t="s">
        <v>4620</v>
      </c>
      <c r="X523" s="57" t="s">
        <v>4620</v>
      </c>
      <c r="Y523" s="22"/>
      <c r="Z523" s="22"/>
      <c r="AA523" s="22"/>
      <c r="AB523" s="22" t="s">
        <v>114</v>
      </c>
      <c r="AC523" s="3"/>
      <c r="AD523" s="3"/>
      <c r="AE523" s="3">
        <v>0</v>
      </c>
      <c r="AF523" s="3">
        <v>0</v>
      </c>
      <c r="AG523" s="3">
        <v>0</v>
      </c>
      <c r="AH523" s="3"/>
      <c r="AI523" s="3">
        <v>0</v>
      </c>
      <c r="AJ523" s="3">
        <v>0</v>
      </c>
      <c r="AK523" s="3">
        <v>0</v>
      </c>
      <c r="AL523" s="3"/>
      <c r="AM523" s="3"/>
      <c r="AN523" s="3"/>
      <c r="AO523" s="3"/>
      <c r="AP523" s="3"/>
      <c r="AQ523" s="282" t="str">
        <f>"tricks/"&amp;A523</f>
        <v>tricks/2010511</v>
      </c>
    </row>
    <row r="524" spans="1:44" ht="15" customHeight="1">
      <c r="A524" s="28">
        <v>2010601</v>
      </c>
      <c r="B524" s="5" t="s">
        <v>3638</v>
      </c>
      <c r="C524" s="224" t="s">
        <v>4621</v>
      </c>
      <c r="D524" s="28" t="s">
        <v>1876</v>
      </c>
      <c r="E524" s="28"/>
      <c r="F524" s="36">
        <v>1</v>
      </c>
      <c r="G524" s="36">
        <v>7</v>
      </c>
      <c r="H524" s="28" t="s">
        <v>82</v>
      </c>
      <c r="I524" s="5" t="s">
        <v>3640</v>
      </c>
      <c r="J524" s="28"/>
      <c r="K524" s="28"/>
      <c r="L524" s="473" t="s">
        <v>2071</v>
      </c>
      <c r="M524" s="301"/>
      <c r="N524" s="378">
        <v>2</v>
      </c>
      <c r="O524" s="303"/>
      <c r="P524" s="302"/>
      <c r="Q524" s="302">
        <v>0</v>
      </c>
      <c r="R524" s="302" t="s">
        <v>153</v>
      </c>
      <c r="S524" s="28">
        <v>2010601</v>
      </c>
      <c r="T524" s="319"/>
      <c r="U524" s="320"/>
      <c r="V524" s="302" t="s">
        <v>582</v>
      </c>
      <c r="W524" s="57" t="s">
        <v>4622</v>
      </c>
      <c r="X524" s="57" t="s">
        <v>4622</v>
      </c>
      <c r="Y524" s="302">
        <v>0</v>
      </c>
      <c r="Z524" s="302">
        <v>0</v>
      </c>
      <c r="AA524" s="302"/>
      <c r="AB524" s="302"/>
      <c r="AC524" s="28"/>
      <c r="AD524" s="28"/>
      <c r="AE524" s="28">
        <v>1</v>
      </c>
      <c r="AF524" s="28">
        <v>2</v>
      </c>
      <c r="AG524" s="28">
        <v>35</v>
      </c>
      <c r="AH524" s="28"/>
      <c r="AI524" s="28"/>
      <c r="AJ524" s="28"/>
      <c r="AK524" s="328"/>
      <c r="AL524" s="328"/>
      <c r="AM524" s="328"/>
      <c r="AN524" s="43" t="s">
        <v>2073</v>
      </c>
      <c r="AO524" s="28"/>
      <c r="AP524" s="28"/>
      <c r="AQ524" s="28" t="s">
        <v>2074</v>
      </c>
      <c r="AR524" s="332"/>
    </row>
    <row r="525" spans="1:44" ht="15" customHeight="1">
      <c r="A525" s="28">
        <v>2010602</v>
      </c>
      <c r="B525" s="5" t="s">
        <v>3638</v>
      </c>
      <c r="C525" s="224" t="s">
        <v>4623</v>
      </c>
      <c r="D525" s="28" t="s">
        <v>1876</v>
      </c>
      <c r="E525" s="28"/>
      <c r="F525" s="36">
        <v>1</v>
      </c>
      <c r="G525" s="36">
        <v>7</v>
      </c>
      <c r="H525" s="28" t="s">
        <v>136</v>
      </c>
      <c r="I525" s="5" t="s">
        <v>3640</v>
      </c>
      <c r="J525" s="28"/>
      <c r="K525" s="28"/>
      <c r="L525" s="473" t="s">
        <v>2000</v>
      </c>
      <c r="M525" s="301"/>
      <c r="N525" s="301"/>
      <c r="O525" s="303"/>
      <c r="P525" s="302"/>
      <c r="Q525" s="302">
        <v>0</v>
      </c>
      <c r="R525" s="302" t="s">
        <v>153</v>
      </c>
      <c r="S525" s="28">
        <v>2010603</v>
      </c>
      <c r="T525" s="319"/>
      <c r="U525" s="320"/>
      <c r="V525" s="302" t="s">
        <v>582</v>
      </c>
      <c r="W525" s="57" t="s">
        <v>4624</v>
      </c>
      <c r="X525" s="57" t="s">
        <v>4624</v>
      </c>
      <c r="Y525" s="302">
        <v>0</v>
      </c>
      <c r="Z525" s="302">
        <v>0</v>
      </c>
      <c r="AA525" s="302"/>
      <c r="AB525" s="302"/>
      <c r="AC525" s="28"/>
      <c r="AD525" s="28"/>
      <c r="AE525" s="28">
        <v>0</v>
      </c>
      <c r="AF525" s="28">
        <v>0</v>
      </c>
      <c r="AG525" s="28">
        <v>0</v>
      </c>
      <c r="AH525" s="28"/>
      <c r="AI525" s="28">
        <v>0</v>
      </c>
      <c r="AJ525" s="28">
        <v>0</v>
      </c>
      <c r="AK525" s="328"/>
      <c r="AL525" s="328"/>
      <c r="AM525" s="328"/>
      <c r="AN525" s="28"/>
      <c r="AO525" s="28"/>
      <c r="AP525" s="28"/>
      <c r="AQ525" s="28" t="s">
        <v>2077</v>
      </c>
      <c r="AR525" s="332"/>
    </row>
    <row r="526" spans="1:44" ht="15" customHeight="1">
      <c r="A526" s="28">
        <v>2010603</v>
      </c>
      <c r="B526" s="5" t="s">
        <v>3638</v>
      </c>
      <c r="C526" s="224" t="s">
        <v>4625</v>
      </c>
      <c r="D526" s="28" t="s">
        <v>1876</v>
      </c>
      <c r="E526" s="28"/>
      <c r="F526" s="36">
        <v>2</v>
      </c>
      <c r="G526" s="36">
        <v>7</v>
      </c>
      <c r="H526" s="28" t="s">
        <v>136</v>
      </c>
      <c r="I526" s="5" t="s">
        <v>3640</v>
      </c>
      <c r="J526" s="28"/>
      <c r="K526" s="28"/>
      <c r="L526" s="303" t="s">
        <v>2079</v>
      </c>
      <c r="M526" s="301"/>
      <c r="N526" s="301"/>
      <c r="O526" s="303"/>
      <c r="P526" s="302"/>
      <c r="Q526" s="302">
        <v>0</v>
      </c>
      <c r="R526" s="302" t="s">
        <v>153</v>
      </c>
      <c r="S526" s="28">
        <v>2010604</v>
      </c>
      <c r="T526" s="319"/>
      <c r="U526" s="320"/>
      <c r="V526" s="302" t="s">
        <v>582</v>
      </c>
      <c r="W526" s="57" t="s">
        <v>4521</v>
      </c>
      <c r="X526" s="57" t="s">
        <v>4521</v>
      </c>
      <c r="Y526" s="302">
        <v>0</v>
      </c>
      <c r="Z526" s="302">
        <v>0</v>
      </c>
      <c r="AA526" s="302"/>
      <c r="AB526" s="302"/>
      <c r="AC526" s="28"/>
      <c r="AD526" s="28"/>
      <c r="AE526" s="28">
        <v>0</v>
      </c>
      <c r="AF526" s="28">
        <v>0</v>
      </c>
      <c r="AG526" s="28">
        <v>0</v>
      </c>
      <c r="AH526" s="28"/>
      <c r="AI526" s="28">
        <v>0</v>
      </c>
      <c r="AJ526" s="28">
        <v>0</v>
      </c>
      <c r="AK526" s="328"/>
      <c r="AL526" s="328"/>
      <c r="AM526" s="328"/>
      <c r="AN526" s="28"/>
      <c r="AO526" s="28"/>
      <c r="AP526" s="28"/>
      <c r="AQ526" s="28" t="s">
        <v>2081</v>
      </c>
      <c r="AR526" s="332"/>
    </row>
    <row r="527" spans="1:44" ht="15" customHeight="1">
      <c r="A527" s="28">
        <v>2010604</v>
      </c>
      <c r="B527" s="5" t="s">
        <v>3638</v>
      </c>
      <c r="C527" s="224" t="s">
        <v>4626</v>
      </c>
      <c r="D527" s="28" t="s">
        <v>1876</v>
      </c>
      <c r="E527" s="28"/>
      <c r="F527" s="36">
        <v>3</v>
      </c>
      <c r="G527" s="36">
        <v>7</v>
      </c>
      <c r="H527" s="28" t="s">
        <v>136</v>
      </c>
      <c r="I527" s="5" t="s">
        <v>3640</v>
      </c>
      <c r="J527" s="28"/>
      <c r="K527" s="28"/>
      <c r="L527" s="473" t="s">
        <v>2083</v>
      </c>
      <c r="M527" s="301"/>
      <c r="N527" s="301"/>
      <c r="O527" s="303"/>
      <c r="P527" s="302"/>
      <c r="Q527" s="302">
        <v>0</v>
      </c>
      <c r="R527" s="302" t="s">
        <v>153</v>
      </c>
      <c r="S527" s="28">
        <v>2010602</v>
      </c>
      <c r="T527" s="319"/>
      <c r="U527" s="320"/>
      <c r="V527" s="302" t="s">
        <v>582</v>
      </c>
      <c r="W527" s="57" t="s">
        <v>4627</v>
      </c>
      <c r="X527" s="57" t="s">
        <v>4627</v>
      </c>
      <c r="Y527" s="302">
        <v>0</v>
      </c>
      <c r="Z527" s="302">
        <v>0</v>
      </c>
      <c r="AA527" s="302"/>
      <c r="AB527" s="302"/>
      <c r="AC527" s="28"/>
      <c r="AD527" s="28"/>
      <c r="AE527" s="28">
        <v>0</v>
      </c>
      <c r="AF527" s="28">
        <v>0</v>
      </c>
      <c r="AG527" s="28">
        <v>0</v>
      </c>
      <c r="AH527" s="28"/>
      <c r="AI527" s="28">
        <v>0</v>
      </c>
      <c r="AJ527" s="28">
        <v>0</v>
      </c>
      <c r="AK527" s="328"/>
      <c r="AL527" s="328"/>
      <c r="AM527" s="328"/>
      <c r="AN527" s="28"/>
      <c r="AO527" s="28"/>
      <c r="AP527" s="28"/>
      <c r="AQ527" s="28" t="s">
        <v>2085</v>
      </c>
      <c r="AR527" s="332"/>
    </row>
    <row r="528" spans="1:44" ht="15" customHeight="1">
      <c r="A528" s="28">
        <v>2010605</v>
      </c>
      <c r="B528" s="5" t="s">
        <v>3638</v>
      </c>
      <c r="C528" s="224" t="s">
        <v>4628</v>
      </c>
      <c r="D528" s="28" t="s">
        <v>1876</v>
      </c>
      <c r="E528" s="28"/>
      <c r="F528" s="36">
        <v>4</v>
      </c>
      <c r="G528" s="36">
        <v>7</v>
      </c>
      <c r="H528" s="28" t="s">
        <v>136</v>
      </c>
      <c r="I528" s="5" t="s">
        <v>3640</v>
      </c>
      <c r="J528" s="28"/>
      <c r="K528" s="28"/>
      <c r="L528" s="303" t="s">
        <v>2087</v>
      </c>
      <c r="M528" s="301"/>
      <c r="N528" s="301"/>
      <c r="O528" s="303"/>
      <c r="P528" s="302"/>
      <c r="Q528" s="302">
        <v>0</v>
      </c>
      <c r="R528" s="302" t="s">
        <v>153</v>
      </c>
      <c r="S528" s="28">
        <v>2010606</v>
      </c>
      <c r="T528" s="319"/>
      <c r="U528" s="320"/>
      <c r="V528" s="302" t="s">
        <v>582</v>
      </c>
      <c r="W528" s="57" t="s">
        <v>4629</v>
      </c>
      <c r="X528" s="57" t="s">
        <v>4629</v>
      </c>
      <c r="Y528" s="302">
        <v>0</v>
      </c>
      <c r="Z528" s="302">
        <v>0</v>
      </c>
      <c r="AA528" s="302"/>
      <c r="AB528" s="302"/>
      <c r="AC528" s="28"/>
      <c r="AD528" s="28"/>
      <c r="AE528" s="28">
        <v>0</v>
      </c>
      <c r="AF528" s="28">
        <v>0</v>
      </c>
      <c r="AG528" s="28">
        <v>0</v>
      </c>
      <c r="AH528" s="28"/>
      <c r="AI528" s="28">
        <v>0</v>
      </c>
      <c r="AJ528" s="28">
        <v>0</v>
      </c>
      <c r="AK528" s="328"/>
      <c r="AL528" s="328"/>
      <c r="AM528" s="328"/>
      <c r="AN528" s="28"/>
      <c r="AO528" s="28"/>
      <c r="AP528" s="28"/>
      <c r="AQ528" s="28" t="s">
        <v>2089</v>
      </c>
      <c r="AR528" s="332"/>
    </row>
    <row r="529" spans="1:44" ht="15" customHeight="1">
      <c r="A529" s="28">
        <v>2010606</v>
      </c>
      <c r="B529" s="5" t="s">
        <v>3638</v>
      </c>
      <c r="C529" s="224" t="s">
        <v>4630</v>
      </c>
      <c r="D529" s="28" t="s">
        <v>1876</v>
      </c>
      <c r="E529" s="28"/>
      <c r="F529" s="36">
        <v>5</v>
      </c>
      <c r="G529" s="36">
        <v>7</v>
      </c>
      <c r="H529" s="28" t="s">
        <v>136</v>
      </c>
      <c r="I529" s="5" t="s">
        <v>3640</v>
      </c>
      <c r="J529" s="28"/>
      <c r="K529" s="28"/>
      <c r="L529" s="303" t="s">
        <v>2091</v>
      </c>
      <c r="M529" s="301"/>
      <c r="N529" s="301"/>
      <c r="O529" s="303"/>
      <c r="P529" s="302"/>
      <c r="Q529" s="302">
        <v>0</v>
      </c>
      <c r="R529" s="302" t="s">
        <v>153</v>
      </c>
      <c r="S529" s="28">
        <v>2010608</v>
      </c>
      <c r="T529" s="319"/>
      <c r="U529" s="320"/>
      <c r="V529" s="302" t="s">
        <v>582</v>
      </c>
      <c r="W529" s="57" t="s">
        <v>4631</v>
      </c>
      <c r="X529" s="57" t="s">
        <v>4631</v>
      </c>
      <c r="Y529" s="302">
        <v>0</v>
      </c>
      <c r="Z529" s="302">
        <v>0</v>
      </c>
      <c r="AA529" s="302"/>
      <c r="AB529" s="302"/>
      <c r="AC529" s="28"/>
      <c r="AD529" s="28"/>
      <c r="AE529" s="28">
        <v>0</v>
      </c>
      <c r="AF529" s="28">
        <v>0</v>
      </c>
      <c r="AG529" s="28">
        <v>0</v>
      </c>
      <c r="AH529" s="28"/>
      <c r="AI529" s="28">
        <v>0</v>
      </c>
      <c r="AJ529" s="28">
        <v>0</v>
      </c>
      <c r="AK529" s="328"/>
      <c r="AL529" s="328"/>
      <c r="AM529" s="328"/>
      <c r="AN529" s="28"/>
      <c r="AO529" s="28"/>
      <c r="AP529" s="28"/>
      <c r="AQ529" s="28" t="s">
        <v>2093</v>
      </c>
      <c r="AR529" s="332"/>
    </row>
    <row r="530" spans="1:44" ht="15" customHeight="1">
      <c r="A530" s="28">
        <v>2010607</v>
      </c>
      <c r="B530" s="5" t="s">
        <v>3638</v>
      </c>
      <c r="C530" s="224" t="s">
        <v>4632</v>
      </c>
      <c r="D530" s="28" t="s">
        <v>1876</v>
      </c>
      <c r="E530" s="28"/>
      <c r="F530" s="36">
        <v>6</v>
      </c>
      <c r="G530" s="36">
        <v>7</v>
      </c>
      <c r="H530" s="28" t="s">
        <v>136</v>
      </c>
      <c r="I530" s="5" t="s">
        <v>3640</v>
      </c>
      <c r="J530" s="28"/>
      <c r="K530" s="28"/>
      <c r="L530" s="303" t="s">
        <v>2095</v>
      </c>
      <c r="M530" s="301"/>
      <c r="N530" s="301"/>
      <c r="O530" s="303"/>
      <c r="P530" s="302"/>
      <c r="Q530" s="302">
        <v>0</v>
      </c>
      <c r="R530" s="302" t="s">
        <v>153</v>
      </c>
      <c r="S530" s="28">
        <v>2010609</v>
      </c>
      <c r="T530" s="319"/>
      <c r="U530" s="320"/>
      <c r="V530" s="302" t="s">
        <v>582</v>
      </c>
      <c r="W530" s="57" t="s">
        <v>4633</v>
      </c>
      <c r="X530" s="57" t="s">
        <v>4633</v>
      </c>
      <c r="Y530" s="302">
        <v>0</v>
      </c>
      <c r="Z530" s="302">
        <v>0</v>
      </c>
      <c r="AA530" s="302"/>
      <c r="AB530" s="302"/>
      <c r="AC530" s="28"/>
      <c r="AD530" s="28"/>
      <c r="AE530" s="28">
        <v>0</v>
      </c>
      <c r="AF530" s="28">
        <v>0</v>
      </c>
      <c r="AG530" s="28">
        <v>20</v>
      </c>
      <c r="AH530" s="28"/>
      <c r="AI530" s="28">
        <v>0</v>
      </c>
      <c r="AJ530" s="28">
        <v>0</v>
      </c>
      <c r="AK530" s="328"/>
      <c r="AL530" s="328"/>
      <c r="AM530" s="328"/>
      <c r="AN530" s="28"/>
      <c r="AO530" s="28"/>
      <c r="AP530" s="28"/>
      <c r="AQ530" s="28" t="s">
        <v>2097</v>
      </c>
      <c r="AR530" s="332"/>
    </row>
    <row r="531" spans="1:44" ht="15" customHeight="1">
      <c r="A531" s="28">
        <v>2010608</v>
      </c>
      <c r="B531" s="5" t="s">
        <v>3638</v>
      </c>
      <c r="C531" s="224" t="s">
        <v>4634</v>
      </c>
      <c r="D531" s="28" t="s">
        <v>1876</v>
      </c>
      <c r="E531" s="28"/>
      <c r="F531" s="36">
        <v>7</v>
      </c>
      <c r="G531" s="36">
        <v>7</v>
      </c>
      <c r="H531" s="28" t="s">
        <v>136</v>
      </c>
      <c r="I531" s="5" t="s">
        <v>3640</v>
      </c>
      <c r="J531" s="28"/>
      <c r="K531" s="28"/>
      <c r="L531" s="303" t="s">
        <v>2099</v>
      </c>
      <c r="M531" s="301"/>
      <c r="N531" s="301"/>
      <c r="O531" s="303"/>
      <c r="P531" s="302"/>
      <c r="Q531" s="302">
        <v>0</v>
      </c>
      <c r="R531" s="302" t="s">
        <v>153</v>
      </c>
      <c r="S531" s="28">
        <v>2010610</v>
      </c>
      <c r="T531" s="319"/>
      <c r="U531" s="320"/>
      <c r="V531" s="302" t="s">
        <v>582</v>
      </c>
      <c r="W531" s="57" t="s">
        <v>4635</v>
      </c>
      <c r="X531" s="57" t="s">
        <v>4635</v>
      </c>
      <c r="Y531" s="302">
        <v>0</v>
      </c>
      <c r="Z531" s="302">
        <v>0</v>
      </c>
      <c r="AA531" s="302"/>
      <c r="AB531" s="302"/>
      <c r="AC531" s="28"/>
      <c r="AD531" s="28"/>
      <c r="AE531" s="28">
        <v>0</v>
      </c>
      <c r="AF531" s="28">
        <v>0</v>
      </c>
      <c r="AG531" s="28">
        <v>20</v>
      </c>
      <c r="AH531" s="28"/>
      <c r="AI531" s="28">
        <v>0</v>
      </c>
      <c r="AJ531" s="28">
        <v>0</v>
      </c>
      <c r="AK531" s="328"/>
      <c r="AL531" s="328"/>
      <c r="AM531" s="328"/>
      <c r="AN531" s="28"/>
      <c r="AO531" s="28"/>
      <c r="AP531" s="28"/>
      <c r="AQ531" s="28" t="s">
        <v>2101</v>
      </c>
      <c r="AR531" s="332"/>
    </row>
    <row r="532" spans="1:44" ht="15" customHeight="1">
      <c r="A532" s="3">
        <v>2010609</v>
      </c>
      <c r="B532" s="5" t="s">
        <v>3638</v>
      </c>
      <c r="C532" s="224" t="s">
        <v>4636</v>
      </c>
      <c r="D532" s="44" t="s">
        <v>1876</v>
      </c>
      <c r="E532" s="41"/>
      <c r="F532" s="3">
        <v>8</v>
      </c>
      <c r="G532" s="36">
        <v>7</v>
      </c>
      <c r="H532" s="3" t="s">
        <v>136</v>
      </c>
      <c r="I532" s="5" t="s">
        <v>3640</v>
      </c>
      <c r="J532" s="3"/>
      <c r="K532" s="3"/>
      <c r="L532" s="236"/>
      <c r="M532" s="99"/>
      <c r="N532" s="99"/>
      <c r="O532" s="236"/>
      <c r="P532" s="22"/>
      <c r="Q532" s="22">
        <v>0</v>
      </c>
      <c r="R532" s="22" t="s">
        <v>153</v>
      </c>
      <c r="S532" s="3"/>
      <c r="T532" s="260"/>
      <c r="U532" s="261"/>
      <c r="V532" s="22"/>
      <c r="W532" s="57" t="s">
        <v>4556</v>
      </c>
      <c r="X532" s="57" t="s">
        <v>4556</v>
      </c>
      <c r="Y532" s="22"/>
      <c r="Z532" s="22"/>
      <c r="AA532" s="22"/>
      <c r="AB532" s="22" t="s">
        <v>114</v>
      </c>
      <c r="AC532" s="3"/>
      <c r="AD532" s="3"/>
      <c r="AE532" s="3">
        <v>0</v>
      </c>
      <c r="AF532" s="3">
        <v>0</v>
      </c>
      <c r="AG532" s="3">
        <v>0</v>
      </c>
      <c r="AH532" s="3"/>
      <c r="AI532" s="3">
        <v>0</v>
      </c>
      <c r="AJ532" s="3">
        <v>0</v>
      </c>
      <c r="AK532" s="3">
        <v>0</v>
      </c>
      <c r="AL532" s="3"/>
      <c r="AM532" s="3"/>
      <c r="AN532" s="3"/>
      <c r="AO532" s="3"/>
      <c r="AP532" s="3"/>
      <c r="AQ532" s="3" t="s">
        <v>2081</v>
      </c>
      <c r="AR532" s="281"/>
    </row>
    <row r="533" spans="1:44" ht="15" customHeight="1">
      <c r="A533" s="3">
        <v>2010610</v>
      </c>
      <c r="B533" s="5" t="s">
        <v>3638</v>
      </c>
      <c r="C533" s="224" t="s">
        <v>4637</v>
      </c>
      <c r="D533" s="3" t="s">
        <v>1876</v>
      </c>
      <c r="F533" s="3">
        <v>9</v>
      </c>
      <c r="G533" s="36">
        <v>7</v>
      </c>
      <c r="H533" s="3" t="s">
        <v>136</v>
      </c>
      <c r="I533" s="5" t="s">
        <v>3640</v>
      </c>
      <c r="J533" s="3"/>
      <c r="K533" s="3"/>
      <c r="L533" s="236"/>
      <c r="M533" s="99"/>
      <c r="N533" s="99"/>
      <c r="O533" s="236"/>
      <c r="P533" s="22"/>
      <c r="Q533" s="22">
        <v>0</v>
      </c>
      <c r="R533" s="22" t="s">
        <v>153</v>
      </c>
      <c r="S533" s="3"/>
      <c r="T533" s="260"/>
      <c r="U533" s="261"/>
      <c r="V533" s="22"/>
      <c r="W533" s="57" t="s">
        <v>4638</v>
      </c>
      <c r="X533" s="57" t="s">
        <v>4638</v>
      </c>
      <c r="Y533" s="22"/>
      <c r="Z533" s="22"/>
      <c r="AA533" s="22"/>
      <c r="AB533" s="22" t="s">
        <v>114</v>
      </c>
      <c r="AC533" s="3"/>
      <c r="AD533" s="3"/>
      <c r="AE533" s="3">
        <v>0</v>
      </c>
      <c r="AF533" s="3">
        <v>0</v>
      </c>
      <c r="AG533" s="3">
        <v>0</v>
      </c>
      <c r="AH533" s="3"/>
      <c r="AI533" s="3">
        <v>0</v>
      </c>
      <c r="AJ533" s="3">
        <v>0</v>
      </c>
      <c r="AK533" s="3">
        <v>0</v>
      </c>
      <c r="AL533" s="3"/>
      <c r="AM533" s="3"/>
      <c r="AN533" s="3"/>
      <c r="AO533" s="3"/>
      <c r="AP533" s="3"/>
      <c r="AQ533" s="282" t="str">
        <f>"tricks/"&amp;A533</f>
        <v>tricks/2010610</v>
      </c>
    </row>
    <row r="534" spans="1:44" s="216" customFormat="1" ht="15" customHeight="1">
      <c r="A534" s="3">
        <v>2010611</v>
      </c>
      <c r="B534" s="5" t="s">
        <v>3638</v>
      </c>
      <c r="C534" s="224" t="s">
        <v>4639</v>
      </c>
      <c r="D534" s="3" t="s">
        <v>1876</v>
      </c>
      <c r="E534" s="1"/>
      <c r="F534" s="3">
        <v>10</v>
      </c>
      <c r="G534" s="36">
        <v>7</v>
      </c>
      <c r="H534" s="3" t="s">
        <v>136</v>
      </c>
      <c r="I534" s="5" t="s">
        <v>3640</v>
      </c>
      <c r="J534" s="3"/>
      <c r="K534" s="3"/>
      <c r="L534" s="236"/>
      <c r="M534" s="99"/>
      <c r="N534" s="99"/>
      <c r="O534" s="236"/>
      <c r="P534" s="22"/>
      <c r="Q534" s="22">
        <v>0</v>
      </c>
      <c r="R534" s="22" t="s">
        <v>153</v>
      </c>
      <c r="S534" s="3"/>
      <c r="T534" s="260"/>
      <c r="U534" s="261"/>
      <c r="V534" s="22"/>
      <c r="W534" s="57" t="s">
        <v>4640</v>
      </c>
      <c r="X534" s="57" t="s">
        <v>4640</v>
      </c>
      <c r="Y534" s="22"/>
      <c r="Z534" s="22"/>
      <c r="AA534" s="22"/>
      <c r="AB534" s="22" t="s">
        <v>114</v>
      </c>
      <c r="AC534" s="3"/>
      <c r="AD534" s="3"/>
      <c r="AE534" s="3">
        <v>0</v>
      </c>
      <c r="AF534" s="3">
        <v>0</v>
      </c>
      <c r="AG534" s="3">
        <v>0</v>
      </c>
      <c r="AH534" s="3"/>
      <c r="AI534" s="3">
        <v>0</v>
      </c>
      <c r="AJ534" s="3">
        <v>0</v>
      </c>
      <c r="AK534" s="3">
        <v>0</v>
      </c>
      <c r="AL534" s="3"/>
      <c r="AM534" s="3"/>
      <c r="AN534" s="3"/>
      <c r="AO534" s="3"/>
      <c r="AP534" s="3"/>
      <c r="AQ534" s="282" t="str">
        <f>"tricks/"&amp;A534</f>
        <v>tricks/2010611</v>
      </c>
      <c r="AR534" s="222"/>
    </row>
    <row r="535" spans="1:44" s="216" customFormat="1" ht="15" customHeight="1">
      <c r="A535" s="34">
        <v>2010701</v>
      </c>
      <c r="B535" s="5" t="s">
        <v>3638</v>
      </c>
      <c r="C535" s="224" t="s">
        <v>4641</v>
      </c>
      <c r="D535" s="34" t="s">
        <v>1876</v>
      </c>
      <c r="E535" s="34"/>
      <c r="F535" s="36">
        <v>1</v>
      </c>
      <c r="G535" s="36">
        <v>7</v>
      </c>
      <c r="H535" s="34" t="s">
        <v>82</v>
      </c>
      <c r="I535" s="5" t="s">
        <v>3640</v>
      </c>
      <c r="J535" s="34"/>
      <c r="K535" s="34"/>
      <c r="L535" s="412" t="s">
        <v>2109</v>
      </c>
      <c r="M535" s="371"/>
      <c r="N535" s="378">
        <v>3</v>
      </c>
      <c r="O535" s="412"/>
      <c r="P535" s="130"/>
      <c r="Q535" s="130">
        <v>0</v>
      </c>
      <c r="R535" s="130" t="s">
        <v>153</v>
      </c>
      <c r="S535" s="34">
        <v>2010701</v>
      </c>
      <c r="T535" s="382" t="s">
        <v>2110</v>
      </c>
      <c r="U535" s="383"/>
      <c r="V535" s="130" t="s">
        <v>582</v>
      </c>
      <c r="W535" s="57" t="s">
        <v>4642</v>
      </c>
      <c r="X535" s="57" t="s">
        <v>4642</v>
      </c>
      <c r="Y535" s="130">
        <v>0</v>
      </c>
      <c r="Z535" s="130">
        <v>0</v>
      </c>
      <c r="AA535" s="130"/>
      <c r="AB535" s="130"/>
      <c r="AC535" s="34"/>
      <c r="AD535" s="34"/>
      <c r="AE535" s="34">
        <v>1</v>
      </c>
      <c r="AF535" s="34">
        <v>2</v>
      </c>
      <c r="AG535" s="34">
        <v>20</v>
      </c>
      <c r="AH535" s="34"/>
      <c r="AI535" s="34"/>
      <c r="AJ535" s="34"/>
      <c r="AK535" s="131"/>
      <c r="AL535" s="131"/>
      <c r="AM535" s="131"/>
      <c r="AN535" s="43" t="s">
        <v>2113</v>
      </c>
      <c r="AO535" s="34"/>
      <c r="AP535" s="34"/>
      <c r="AQ535" s="34" t="s">
        <v>2114</v>
      </c>
      <c r="AR535" s="405"/>
    </row>
    <row r="536" spans="1:44" s="216" customFormat="1" ht="15" customHeight="1">
      <c r="A536" s="34">
        <v>2010702</v>
      </c>
      <c r="B536" s="5" t="s">
        <v>3638</v>
      </c>
      <c r="C536" s="224" t="s">
        <v>4643</v>
      </c>
      <c r="D536" s="34" t="s">
        <v>1876</v>
      </c>
      <c r="E536" s="34"/>
      <c r="F536" s="36">
        <v>1</v>
      </c>
      <c r="G536" s="36">
        <v>7</v>
      </c>
      <c r="H536" s="34" t="s">
        <v>136</v>
      </c>
      <c r="I536" s="5" t="s">
        <v>3640</v>
      </c>
      <c r="J536" s="34"/>
      <c r="K536" s="34"/>
      <c r="L536" s="412" t="s">
        <v>2116</v>
      </c>
      <c r="M536" s="371"/>
      <c r="N536" s="371"/>
      <c r="O536" s="412"/>
      <c r="P536" s="130"/>
      <c r="Q536" s="130">
        <v>0</v>
      </c>
      <c r="R536" s="130" t="s">
        <v>153</v>
      </c>
      <c r="S536" s="34">
        <v>2010703</v>
      </c>
      <c r="T536" s="382"/>
      <c r="U536" s="383"/>
      <c r="V536" s="130" t="s">
        <v>582</v>
      </c>
      <c r="W536" s="57" t="s">
        <v>4644</v>
      </c>
      <c r="X536" s="57" t="s">
        <v>4644</v>
      </c>
      <c r="Y536" s="130">
        <v>0</v>
      </c>
      <c r="Z536" s="130">
        <v>0</v>
      </c>
      <c r="AA536" s="130"/>
      <c r="AB536" s="130"/>
      <c r="AC536" s="34"/>
      <c r="AD536" s="34"/>
      <c r="AE536" s="34">
        <v>0</v>
      </c>
      <c r="AF536" s="34">
        <v>0</v>
      </c>
      <c r="AG536" s="34">
        <v>0</v>
      </c>
      <c r="AH536" s="34"/>
      <c r="AI536" s="34">
        <v>0</v>
      </c>
      <c r="AJ536" s="34">
        <v>0</v>
      </c>
      <c r="AK536" s="131"/>
      <c r="AL536" s="131"/>
      <c r="AM536" s="131"/>
      <c r="AN536" s="34"/>
      <c r="AO536" s="34"/>
      <c r="AP536" s="34"/>
      <c r="AQ536" s="34" t="s">
        <v>2118</v>
      </c>
      <c r="AR536" s="405"/>
    </row>
    <row r="537" spans="1:44" s="216" customFormat="1" ht="15" customHeight="1">
      <c r="A537" s="34">
        <v>2010703</v>
      </c>
      <c r="B537" s="5" t="s">
        <v>3638</v>
      </c>
      <c r="C537" s="224" t="s">
        <v>4645</v>
      </c>
      <c r="D537" s="34" t="s">
        <v>1876</v>
      </c>
      <c r="E537" s="34"/>
      <c r="F537" s="36">
        <v>2</v>
      </c>
      <c r="G537" s="36">
        <v>7</v>
      </c>
      <c r="H537" s="34" t="s">
        <v>136</v>
      </c>
      <c r="I537" s="5" t="s">
        <v>3640</v>
      </c>
      <c r="J537" s="34"/>
      <c r="K537" s="34"/>
      <c r="L537" s="412" t="s">
        <v>2120</v>
      </c>
      <c r="M537" s="371"/>
      <c r="N537" s="371"/>
      <c r="O537" s="412"/>
      <c r="P537" s="130"/>
      <c r="Q537" s="130">
        <v>0</v>
      </c>
      <c r="R537" s="130" t="s">
        <v>153</v>
      </c>
      <c r="S537" s="34">
        <v>2010706</v>
      </c>
      <c r="T537" s="382"/>
      <c r="U537" s="383"/>
      <c r="V537" s="130" t="s">
        <v>582</v>
      </c>
      <c r="W537" s="57" t="s">
        <v>4646</v>
      </c>
      <c r="X537" s="57" t="s">
        <v>4646</v>
      </c>
      <c r="Y537" s="130">
        <v>0</v>
      </c>
      <c r="Z537" s="130">
        <v>0</v>
      </c>
      <c r="AA537" s="130"/>
      <c r="AB537" s="130"/>
      <c r="AC537" s="34"/>
      <c r="AD537" s="34"/>
      <c r="AE537" s="34">
        <v>0</v>
      </c>
      <c r="AF537" s="34">
        <v>0</v>
      </c>
      <c r="AG537" s="34">
        <v>0</v>
      </c>
      <c r="AH537" s="34"/>
      <c r="AI537" s="34">
        <v>0</v>
      </c>
      <c r="AJ537" s="34">
        <v>0</v>
      </c>
      <c r="AK537" s="131"/>
      <c r="AL537" s="131"/>
      <c r="AM537" s="131"/>
      <c r="AN537" s="34"/>
      <c r="AO537" s="34"/>
      <c r="AP537" s="34"/>
      <c r="AQ537" s="34" t="s">
        <v>2122</v>
      </c>
      <c r="AR537" s="405"/>
    </row>
    <row r="538" spans="1:44" s="216" customFormat="1" ht="15" customHeight="1">
      <c r="A538" s="34">
        <v>2010704</v>
      </c>
      <c r="B538" s="5" t="s">
        <v>3638</v>
      </c>
      <c r="C538" s="224" t="s">
        <v>4647</v>
      </c>
      <c r="D538" s="34" t="s">
        <v>1876</v>
      </c>
      <c r="E538" s="34"/>
      <c r="F538" s="36">
        <v>3</v>
      </c>
      <c r="G538" s="36">
        <v>7</v>
      </c>
      <c r="H538" s="34" t="s">
        <v>136</v>
      </c>
      <c r="I538" s="5" t="s">
        <v>3640</v>
      </c>
      <c r="J538" s="34"/>
      <c r="K538" s="34"/>
      <c r="L538" s="412" t="s">
        <v>2124</v>
      </c>
      <c r="M538" s="371"/>
      <c r="N538" s="371"/>
      <c r="O538" s="412"/>
      <c r="P538" s="130"/>
      <c r="Q538" s="130">
        <v>0</v>
      </c>
      <c r="R538" s="130" t="s">
        <v>153</v>
      </c>
      <c r="S538" s="34">
        <v>2010705</v>
      </c>
      <c r="T538" s="382"/>
      <c r="U538" s="383"/>
      <c r="V538" s="130" t="s">
        <v>582</v>
      </c>
      <c r="W538" s="57" t="s">
        <v>4648</v>
      </c>
      <c r="X538" s="57" t="s">
        <v>4648</v>
      </c>
      <c r="Y538" s="130">
        <v>0</v>
      </c>
      <c r="Z538" s="130">
        <v>0</v>
      </c>
      <c r="AA538" s="130"/>
      <c r="AB538" s="130"/>
      <c r="AC538" s="34"/>
      <c r="AD538" s="34"/>
      <c r="AE538" s="34">
        <v>0</v>
      </c>
      <c r="AF538" s="34">
        <v>0</v>
      </c>
      <c r="AG538" s="34">
        <v>0</v>
      </c>
      <c r="AH538" s="34"/>
      <c r="AI538" s="34">
        <v>0</v>
      </c>
      <c r="AJ538" s="34">
        <v>0</v>
      </c>
      <c r="AK538" s="131"/>
      <c r="AL538" s="131"/>
      <c r="AM538" s="131"/>
      <c r="AN538" s="34"/>
      <c r="AO538" s="34"/>
      <c r="AP538" s="34"/>
      <c r="AQ538" s="34" t="s">
        <v>2126</v>
      </c>
      <c r="AR538" s="405"/>
    </row>
    <row r="539" spans="1:44" ht="15" customHeight="1">
      <c r="A539" s="34">
        <v>2010705</v>
      </c>
      <c r="B539" s="5" t="s">
        <v>3638</v>
      </c>
      <c r="C539" s="224" t="s">
        <v>4649</v>
      </c>
      <c r="D539" s="34" t="s">
        <v>1876</v>
      </c>
      <c r="E539" s="34"/>
      <c r="F539" s="36">
        <v>4</v>
      </c>
      <c r="G539" s="36">
        <v>7</v>
      </c>
      <c r="H539" s="34" t="s">
        <v>136</v>
      </c>
      <c r="I539" s="5" t="s">
        <v>3640</v>
      </c>
      <c r="J539" s="34"/>
      <c r="K539" s="34"/>
      <c r="L539" s="412" t="s">
        <v>2128</v>
      </c>
      <c r="M539" s="371"/>
      <c r="N539" s="371"/>
      <c r="O539" s="412"/>
      <c r="P539" s="130"/>
      <c r="Q539" s="130">
        <v>0</v>
      </c>
      <c r="R539" s="130" t="s">
        <v>153</v>
      </c>
      <c r="S539" s="34">
        <v>2010707</v>
      </c>
      <c r="T539" s="382"/>
      <c r="U539" s="383"/>
      <c r="V539" s="130" t="s">
        <v>582</v>
      </c>
      <c r="W539" s="57" t="s">
        <v>4650</v>
      </c>
      <c r="X539" s="57" t="s">
        <v>4650</v>
      </c>
      <c r="Y539" s="130">
        <v>0</v>
      </c>
      <c r="Z539" s="130">
        <v>0</v>
      </c>
      <c r="AA539" s="130"/>
      <c r="AB539" s="130"/>
      <c r="AC539" s="34"/>
      <c r="AD539" s="34"/>
      <c r="AE539" s="34">
        <v>0</v>
      </c>
      <c r="AF539" s="34">
        <v>0</v>
      </c>
      <c r="AG539" s="34">
        <v>0</v>
      </c>
      <c r="AH539" s="34"/>
      <c r="AI539" s="34">
        <v>0</v>
      </c>
      <c r="AJ539" s="34">
        <v>0</v>
      </c>
      <c r="AK539" s="131"/>
      <c r="AL539" s="131"/>
      <c r="AM539" s="131"/>
      <c r="AN539" s="34"/>
      <c r="AO539" s="34"/>
      <c r="AP539" s="34"/>
      <c r="AQ539" s="34" t="s">
        <v>2130</v>
      </c>
      <c r="AR539" s="405"/>
    </row>
    <row r="540" spans="1:44" s="216" customFormat="1" ht="15" customHeight="1">
      <c r="A540" s="34">
        <v>2010706</v>
      </c>
      <c r="B540" s="5" t="s">
        <v>3638</v>
      </c>
      <c r="C540" s="224" t="s">
        <v>4651</v>
      </c>
      <c r="D540" s="34" t="s">
        <v>1876</v>
      </c>
      <c r="E540" s="34"/>
      <c r="F540" s="36">
        <v>5</v>
      </c>
      <c r="G540" s="36">
        <v>7</v>
      </c>
      <c r="H540" s="34" t="s">
        <v>136</v>
      </c>
      <c r="I540" s="5" t="s">
        <v>3640</v>
      </c>
      <c r="J540" s="34"/>
      <c r="K540" s="34"/>
      <c r="L540" s="412" t="s">
        <v>2132</v>
      </c>
      <c r="M540" s="371"/>
      <c r="N540" s="371"/>
      <c r="O540" s="412"/>
      <c r="P540" s="130"/>
      <c r="Q540" s="130">
        <v>0</v>
      </c>
      <c r="R540" s="130" t="s">
        <v>153</v>
      </c>
      <c r="S540" s="34">
        <v>2010708</v>
      </c>
      <c r="T540" s="382"/>
      <c r="U540" s="383"/>
      <c r="V540" s="130" t="s">
        <v>582</v>
      </c>
      <c r="W540" s="57" t="s">
        <v>4652</v>
      </c>
      <c r="X540" s="57" t="s">
        <v>4652</v>
      </c>
      <c r="Y540" s="130">
        <v>0</v>
      </c>
      <c r="Z540" s="130">
        <v>0</v>
      </c>
      <c r="AA540" s="130"/>
      <c r="AB540" s="130"/>
      <c r="AC540" s="34"/>
      <c r="AD540" s="34"/>
      <c r="AE540" s="34">
        <v>0</v>
      </c>
      <c r="AF540" s="34">
        <v>0</v>
      </c>
      <c r="AG540" s="34">
        <v>0</v>
      </c>
      <c r="AH540" s="34"/>
      <c r="AI540" s="34">
        <v>0</v>
      </c>
      <c r="AJ540" s="34">
        <v>0</v>
      </c>
      <c r="AK540" s="131"/>
      <c r="AL540" s="131"/>
      <c r="AM540" s="131"/>
      <c r="AN540" s="34"/>
      <c r="AO540" s="34"/>
      <c r="AP540" s="34"/>
      <c r="AQ540" s="34" t="s">
        <v>2134</v>
      </c>
      <c r="AR540" s="405"/>
    </row>
    <row r="541" spans="1:44" s="216" customFormat="1" ht="15" customHeight="1">
      <c r="A541" s="34">
        <v>2010707</v>
      </c>
      <c r="B541" s="5" t="s">
        <v>3638</v>
      </c>
      <c r="C541" s="224" t="s">
        <v>4653</v>
      </c>
      <c r="D541" s="34" t="s">
        <v>1876</v>
      </c>
      <c r="E541" s="34"/>
      <c r="F541" s="36">
        <v>6</v>
      </c>
      <c r="G541" s="36">
        <v>7</v>
      </c>
      <c r="H541" s="34" t="s">
        <v>136</v>
      </c>
      <c r="I541" s="5" t="s">
        <v>3640</v>
      </c>
      <c r="J541" s="34"/>
      <c r="K541" s="34"/>
      <c r="L541" s="412" t="s">
        <v>2136</v>
      </c>
      <c r="M541" s="371"/>
      <c r="N541" s="371"/>
      <c r="O541" s="412"/>
      <c r="P541" s="130"/>
      <c r="Q541" s="130">
        <v>0</v>
      </c>
      <c r="R541" s="130" t="s">
        <v>153</v>
      </c>
      <c r="S541" s="34">
        <v>2010709</v>
      </c>
      <c r="T541" s="382"/>
      <c r="U541" s="383"/>
      <c r="V541" s="130" t="s">
        <v>582</v>
      </c>
      <c r="W541" s="57" t="s">
        <v>4648</v>
      </c>
      <c r="X541" s="57" t="s">
        <v>4648</v>
      </c>
      <c r="Y541" s="130">
        <v>0</v>
      </c>
      <c r="Z541" s="130">
        <v>0</v>
      </c>
      <c r="AA541" s="130"/>
      <c r="AB541" s="130"/>
      <c r="AC541" s="34"/>
      <c r="AD541" s="34"/>
      <c r="AE541" s="34">
        <v>0</v>
      </c>
      <c r="AF541" s="34">
        <v>0</v>
      </c>
      <c r="AG541" s="34">
        <v>0</v>
      </c>
      <c r="AH541" s="34"/>
      <c r="AI541" s="34">
        <v>0</v>
      </c>
      <c r="AJ541" s="34">
        <v>0</v>
      </c>
      <c r="AK541" s="131"/>
      <c r="AL541" s="131"/>
      <c r="AM541" s="131"/>
      <c r="AN541" s="34"/>
      <c r="AO541" s="34"/>
      <c r="AP541" s="34"/>
      <c r="AQ541" s="34" t="s">
        <v>2137</v>
      </c>
      <c r="AR541" s="405"/>
    </row>
    <row r="542" spans="1:44" s="216" customFormat="1" ht="15" customHeight="1">
      <c r="A542" s="34">
        <v>2010708</v>
      </c>
      <c r="B542" s="5" t="s">
        <v>3638</v>
      </c>
      <c r="C542" s="224" t="s">
        <v>4654</v>
      </c>
      <c r="D542" s="34" t="s">
        <v>1876</v>
      </c>
      <c r="E542" s="34"/>
      <c r="F542" s="36">
        <v>7</v>
      </c>
      <c r="G542" s="36">
        <v>7</v>
      </c>
      <c r="H542" s="34" t="s">
        <v>136</v>
      </c>
      <c r="I542" s="5" t="s">
        <v>3640</v>
      </c>
      <c r="J542" s="34"/>
      <c r="K542" s="34"/>
      <c r="L542" s="412" t="s">
        <v>2139</v>
      </c>
      <c r="M542" s="371"/>
      <c r="N542" s="371"/>
      <c r="O542" s="412"/>
      <c r="P542" s="130"/>
      <c r="Q542" s="130">
        <v>0</v>
      </c>
      <c r="R542" s="130" t="s">
        <v>153</v>
      </c>
      <c r="S542" s="34">
        <v>2010710</v>
      </c>
      <c r="T542" s="382"/>
      <c r="U542" s="383"/>
      <c r="V542" s="130" t="s">
        <v>582</v>
      </c>
      <c r="W542" s="57" t="s">
        <v>4655</v>
      </c>
      <c r="X542" s="57" t="s">
        <v>4655</v>
      </c>
      <c r="Y542" s="130">
        <v>0</v>
      </c>
      <c r="Z542" s="130">
        <v>0</v>
      </c>
      <c r="AA542" s="130"/>
      <c r="AB542" s="130"/>
      <c r="AC542" s="34"/>
      <c r="AD542" s="34"/>
      <c r="AE542" s="34">
        <v>0</v>
      </c>
      <c r="AF542" s="34">
        <v>0</v>
      </c>
      <c r="AG542" s="34">
        <v>0</v>
      </c>
      <c r="AH542" s="34"/>
      <c r="AI542" s="34">
        <v>0</v>
      </c>
      <c r="AJ542" s="34">
        <v>0</v>
      </c>
      <c r="AK542" s="131"/>
      <c r="AL542" s="131"/>
      <c r="AM542" s="131"/>
      <c r="AN542" s="34"/>
      <c r="AO542" s="34"/>
      <c r="AP542" s="34"/>
      <c r="AQ542" s="34" t="s">
        <v>2141</v>
      </c>
      <c r="AR542" s="405"/>
    </row>
    <row r="543" spans="1:44" s="216" customFormat="1" ht="15" customHeight="1">
      <c r="A543" s="3">
        <v>2010709</v>
      </c>
      <c r="B543" s="5" t="s">
        <v>3638</v>
      </c>
      <c r="C543" s="224" t="s">
        <v>4656</v>
      </c>
      <c r="D543" s="44" t="s">
        <v>1876</v>
      </c>
      <c r="E543" s="41"/>
      <c r="F543" s="3">
        <v>8</v>
      </c>
      <c r="G543" s="36">
        <v>7</v>
      </c>
      <c r="H543" s="3" t="s">
        <v>136</v>
      </c>
      <c r="I543" s="5" t="s">
        <v>3640</v>
      </c>
      <c r="J543" s="3"/>
      <c r="K543" s="3"/>
      <c r="L543" s="236"/>
      <c r="M543" s="99"/>
      <c r="N543" s="99"/>
      <c r="O543" s="236"/>
      <c r="P543" s="22"/>
      <c r="Q543" s="22">
        <v>0</v>
      </c>
      <c r="R543" s="22" t="s">
        <v>153</v>
      </c>
      <c r="S543" s="3"/>
      <c r="T543" s="260"/>
      <c r="U543" s="261"/>
      <c r="V543" s="22"/>
      <c r="W543" s="57" t="s">
        <v>4556</v>
      </c>
      <c r="X543" s="57" t="s">
        <v>4556</v>
      </c>
      <c r="Y543" s="22"/>
      <c r="Z543" s="22"/>
      <c r="AA543" s="22"/>
      <c r="AB543" s="22" t="s">
        <v>114</v>
      </c>
      <c r="AC543" s="3"/>
      <c r="AD543" s="3"/>
      <c r="AE543" s="3">
        <v>0</v>
      </c>
      <c r="AF543" s="3">
        <v>0</v>
      </c>
      <c r="AG543" s="3">
        <v>0</v>
      </c>
      <c r="AH543" s="3"/>
      <c r="AI543" s="3">
        <v>0</v>
      </c>
      <c r="AJ543" s="3">
        <v>0</v>
      </c>
      <c r="AK543" s="3">
        <v>0</v>
      </c>
      <c r="AL543" s="3"/>
      <c r="AM543" s="3"/>
      <c r="AN543" s="3"/>
      <c r="AO543" s="3"/>
      <c r="AP543" s="3"/>
      <c r="AQ543" s="3" t="s">
        <v>2122</v>
      </c>
      <c r="AR543" s="281"/>
    </row>
    <row r="544" spans="1:44" s="216" customFormat="1" ht="15" customHeight="1">
      <c r="A544" s="3">
        <v>2010710</v>
      </c>
      <c r="B544" s="5" t="s">
        <v>3638</v>
      </c>
      <c r="C544" s="224" t="s">
        <v>4657</v>
      </c>
      <c r="D544" s="3" t="s">
        <v>1876</v>
      </c>
      <c r="E544" s="1"/>
      <c r="F544" s="3">
        <v>9</v>
      </c>
      <c r="G544" s="36">
        <v>7</v>
      </c>
      <c r="H544" s="3" t="s">
        <v>136</v>
      </c>
      <c r="I544" s="5" t="s">
        <v>3640</v>
      </c>
      <c r="J544" s="3"/>
      <c r="K544" s="3"/>
      <c r="L544" s="236"/>
      <c r="M544" s="99"/>
      <c r="N544" s="99"/>
      <c r="O544" s="236"/>
      <c r="P544" s="22"/>
      <c r="Q544" s="22">
        <v>0</v>
      </c>
      <c r="R544" s="22" t="s">
        <v>153</v>
      </c>
      <c r="S544" s="3"/>
      <c r="T544" s="260"/>
      <c r="U544" s="261"/>
      <c r="V544" s="22"/>
      <c r="W544" s="57" t="s">
        <v>4658</v>
      </c>
      <c r="X544" s="57" t="s">
        <v>4658</v>
      </c>
      <c r="Y544" s="22"/>
      <c r="Z544" s="22"/>
      <c r="AA544" s="22"/>
      <c r="AB544" s="22" t="s">
        <v>114</v>
      </c>
      <c r="AC544" s="3"/>
      <c r="AD544" s="3"/>
      <c r="AE544" s="3">
        <v>0</v>
      </c>
      <c r="AF544" s="3">
        <v>0</v>
      </c>
      <c r="AG544" s="3">
        <v>0</v>
      </c>
      <c r="AH544" s="3"/>
      <c r="AI544" s="3">
        <v>0</v>
      </c>
      <c r="AJ544" s="3">
        <v>0</v>
      </c>
      <c r="AK544" s="3">
        <v>0</v>
      </c>
      <c r="AL544" s="3"/>
      <c r="AM544" s="3"/>
      <c r="AN544" s="3"/>
      <c r="AO544" s="3"/>
      <c r="AP544" s="3"/>
      <c r="AQ544" s="282" t="str">
        <f>"tricks/"&amp;A544</f>
        <v>tricks/2010710</v>
      </c>
      <c r="AR544" s="222"/>
    </row>
    <row r="545" spans="1:44" s="216" customFormat="1" ht="15" customHeight="1">
      <c r="A545" s="3">
        <v>2010711</v>
      </c>
      <c r="B545" s="5" t="s">
        <v>3638</v>
      </c>
      <c r="C545" s="224" t="s">
        <v>4659</v>
      </c>
      <c r="D545" s="3" t="s">
        <v>1876</v>
      </c>
      <c r="E545" s="1"/>
      <c r="F545" s="3">
        <v>10</v>
      </c>
      <c r="G545" s="36">
        <v>7</v>
      </c>
      <c r="H545" s="3" t="s">
        <v>136</v>
      </c>
      <c r="I545" s="5" t="s">
        <v>3640</v>
      </c>
      <c r="J545" s="3"/>
      <c r="K545" s="3"/>
      <c r="L545" s="236"/>
      <c r="M545" s="99"/>
      <c r="N545" s="99"/>
      <c r="O545" s="236"/>
      <c r="P545" s="22"/>
      <c r="Q545" s="22">
        <v>0</v>
      </c>
      <c r="R545" s="22" t="s">
        <v>153</v>
      </c>
      <c r="S545" s="3"/>
      <c r="T545" s="260"/>
      <c r="U545" s="261"/>
      <c r="V545" s="22"/>
      <c r="W545" s="57" t="s">
        <v>4648</v>
      </c>
      <c r="X545" s="57" t="s">
        <v>4648</v>
      </c>
      <c r="Y545" s="22"/>
      <c r="Z545" s="22"/>
      <c r="AA545" s="22"/>
      <c r="AB545" s="22" t="s">
        <v>114</v>
      </c>
      <c r="AC545" s="3"/>
      <c r="AD545" s="3"/>
      <c r="AE545" s="3">
        <v>0</v>
      </c>
      <c r="AF545" s="3">
        <v>0</v>
      </c>
      <c r="AG545" s="3">
        <v>0</v>
      </c>
      <c r="AH545" s="3"/>
      <c r="AI545" s="3">
        <v>0</v>
      </c>
      <c r="AJ545" s="3">
        <v>0</v>
      </c>
      <c r="AK545" s="3">
        <v>0</v>
      </c>
      <c r="AL545" s="3"/>
      <c r="AM545" s="3"/>
      <c r="AN545" s="3"/>
      <c r="AO545" s="3"/>
      <c r="AP545" s="3"/>
      <c r="AQ545" s="282" t="str">
        <f>"tricks/"&amp;A545</f>
        <v>tricks/2010711</v>
      </c>
      <c r="AR545" s="222"/>
    </row>
    <row r="546" spans="1:44" s="216" customFormat="1" ht="15" customHeight="1">
      <c r="A546" s="36">
        <v>2010801</v>
      </c>
      <c r="B546" s="5" t="s">
        <v>3638</v>
      </c>
      <c r="C546" s="224" t="s">
        <v>4660</v>
      </c>
      <c r="D546" s="36" t="s">
        <v>1876</v>
      </c>
      <c r="E546" s="36"/>
      <c r="F546" s="36">
        <v>1</v>
      </c>
      <c r="G546" s="36">
        <v>7</v>
      </c>
      <c r="H546" s="36" t="s">
        <v>82</v>
      </c>
      <c r="I546" s="5" t="s">
        <v>3640</v>
      </c>
      <c r="J546" s="36"/>
      <c r="K546" s="36"/>
      <c r="L546" s="454" t="s">
        <v>2148</v>
      </c>
      <c r="M546" s="378"/>
      <c r="N546" s="378">
        <v>4</v>
      </c>
      <c r="O546" s="454"/>
      <c r="P546" s="379"/>
      <c r="Q546" s="379">
        <v>0</v>
      </c>
      <c r="R546" s="379" t="s">
        <v>153</v>
      </c>
      <c r="S546" s="36">
        <v>2010801</v>
      </c>
      <c r="T546" s="390"/>
      <c r="U546" s="391"/>
      <c r="V546" s="379" t="s">
        <v>582</v>
      </c>
      <c r="W546" s="57" t="s">
        <v>4661</v>
      </c>
      <c r="X546" s="57" t="s">
        <v>4661</v>
      </c>
      <c r="Y546" s="379">
        <v>0</v>
      </c>
      <c r="Z546" s="379">
        <v>0</v>
      </c>
      <c r="AA546" s="379"/>
      <c r="AB546" s="379"/>
      <c r="AC546" s="36"/>
      <c r="AD546" s="36"/>
      <c r="AE546" s="36">
        <v>1</v>
      </c>
      <c r="AF546" s="36">
        <v>0</v>
      </c>
      <c r="AG546" s="36">
        <v>35</v>
      </c>
      <c r="AH546" s="36"/>
      <c r="AI546" s="36"/>
      <c r="AJ546" s="36"/>
      <c r="AK546" s="401"/>
      <c r="AL546" s="401"/>
      <c r="AM546" s="401"/>
      <c r="AN546" s="43" t="s">
        <v>2150</v>
      </c>
      <c r="AO546" s="36"/>
      <c r="AP546" s="36"/>
      <c r="AQ546" s="36" t="s">
        <v>2151</v>
      </c>
      <c r="AR546" s="407"/>
    </row>
    <row r="547" spans="1:44" s="216" customFormat="1" ht="15" customHeight="1">
      <c r="A547" s="36">
        <v>2010802</v>
      </c>
      <c r="B547" s="5" t="s">
        <v>3638</v>
      </c>
      <c r="C547" s="224" t="s">
        <v>4662</v>
      </c>
      <c r="D547" s="36" t="s">
        <v>1876</v>
      </c>
      <c r="E547" s="36"/>
      <c r="F547" s="36">
        <v>1</v>
      </c>
      <c r="G547" s="36">
        <v>7</v>
      </c>
      <c r="H547" s="36" t="s">
        <v>136</v>
      </c>
      <c r="I547" s="5" t="s">
        <v>3640</v>
      </c>
      <c r="J547" s="36"/>
      <c r="K547" s="36"/>
      <c r="L547" s="454" t="s">
        <v>2153</v>
      </c>
      <c r="M547" s="378"/>
      <c r="N547" s="378"/>
      <c r="O547" s="454"/>
      <c r="P547" s="379"/>
      <c r="Q547" s="379">
        <v>0</v>
      </c>
      <c r="R547" s="379" t="s">
        <v>153</v>
      </c>
      <c r="S547" s="36">
        <v>2010802</v>
      </c>
      <c r="T547" s="390"/>
      <c r="U547" s="391"/>
      <c r="V547" s="379" t="s">
        <v>582</v>
      </c>
      <c r="W547" s="57" t="s">
        <v>4663</v>
      </c>
      <c r="X547" s="57" t="s">
        <v>4663</v>
      </c>
      <c r="Y547" s="379">
        <v>0</v>
      </c>
      <c r="Z547" s="379">
        <v>0</v>
      </c>
      <c r="AA547" s="379"/>
      <c r="AB547" s="379"/>
      <c r="AC547" s="36"/>
      <c r="AD547" s="36"/>
      <c r="AE547" s="36">
        <v>0</v>
      </c>
      <c r="AF547" s="36">
        <v>0</v>
      </c>
      <c r="AG547" s="36">
        <v>0</v>
      </c>
      <c r="AH547" s="36"/>
      <c r="AI547" s="36">
        <v>0</v>
      </c>
      <c r="AJ547" s="36">
        <v>0</v>
      </c>
      <c r="AK547" s="401"/>
      <c r="AL547" s="401"/>
      <c r="AM547" s="401"/>
      <c r="AN547" s="36"/>
      <c r="AO547" s="36"/>
      <c r="AP547" s="36"/>
      <c r="AQ547" s="36" t="s">
        <v>2155</v>
      </c>
      <c r="AR547" s="407"/>
    </row>
    <row r="548" spans="1:44" ht="15" customHeight="1">
      <c r="A548" s="36">
        <v>2010803</v>
      </c>
      <c r="B548" s="5" t="s">
        <v>3638</v>
      </c>
      <c r="C548" s="224" t="s">
        <v>4664</v>
      </c>
      <c r="D548" s="36" t="s">
        <v>1876</v>
      </c>
      <c r="E548" s="36"/>
      <c r="F548" s="36">
        <v>2</v>
      </c>
      <c r="G548" s="36">
        <v>7</v>
      </c>
      <c r="H548" s="36" t="s">
        <v>136</v>
      </c>
      <c r="I548" s="5" t="s">
        <v>3640</v>
      </c>
      <c r="J548" s="36"/>
      <c r="K548" s="36"/>
      <c r="L548" s="454" t="s">
        <v>2157</v>
      </c>
      <c r="M548" s="378"/>
      <c r="N548" s="378"/>
      <c r="O548" s="454"/>
      <c r="P548" s="379"/>
      <c r="Q548" s="379">
        <v>0</v>
      </c>
      <c r="R548" s="379" t="s">
        <v>153</v>
      </c>
      <c r="S548" s="36">
        <v>2010804</v>
      </c>
      <c r="T548" s="390"/>
      <c r="U548" s="391"/>
      <c r="V548" s="379" t="s">
        <v>582</v>
      </c>
      <c r="W548" s="57" t="s">
        <v>4665</v>
      </c>
      <c r="X548" s="57" t="s">
        <v>4665</v>
      </c>
      <c r="Y548" s="379">
        <v>0</v>
      </c>
      <c r="Z548" s="379">
        <v>0</v>
      </c>
      <c r="AA548" s="379"/>
      <c r="AB548" s="379"/>
      <c r="AC548" s="36"/>
      <c r="AD548" s="36"/>
      <c r="AE548" s="36">
        <v>0</v>
      </c>
      <c r="AF548" s="36">
        <v>0</v>
      </c>
      <c r="AG548" s="36">
        <v>0</v>
      </c>
      <c r="AH548" s="36"/>
      <c r="AI548" s="36">
        <v>0</v>
      </c>
      <c r="AJ548" s="36">
        <v>0</v>
      </c>
      <c r="AK548" s="401"/>
      <c r="AL548" s="401"/>
      <c r="AM548" s="401"/>
      <c r="AN548" s="36"/>
      <c r="AO548" s="36"/>
      <c r="AP548" s="36"/>
      <c r="AQ548" s="36" t="s">
        <v>2159</v>
      </c>
      <c r="AR548" s="407"/>
    </row>
    <row r="549" spans="1:44" s="216" customFormat="1" ht="15" customHeight="1">
      <c r="A549" s="36">
        <v>2010804</v>
      </c>
      <c r="B549" s="5" t="s">
        <v>3638</v>
      </c>
      <c r="C549" s="224" t="s">
        <v>4666</v>
      </c>
      <c r="D549" s="36" t="s">
        <v>1876</v>
      </c>
      <c r="E549" s="36"/>
      <c r="F549" s="36">
        <v>3</v>
      </c>
      <c r="G549" s="36">
        <v>7</v>
      </c>
      <c r="H549" s="36" t="s">
        <v>136</v>
      </c>
      <c r="I549" s="5" t="s">
        <v>3640</v>
      </c>
      <c r="J549" s="36"/>
      <c r="K549" s="36"/>
      <c r="L549" s="454" t="s">
        <v>2161</v>
      </c>
      <c r="M549" s="378"/>
      <c r="N549" s="378"/>
      <c r="O549" s="454"/>
      <c r="P549" s="379"/>
      <c r="Q549" s="379">
        <v>0</v>
      </c>
      <c r="R549" s="379" t="s">
        <v>153</v>
      </c>
      <c r="S549" s="36">
        <v>2010809</v>
      </c>
      <c r="T549" s="390"/>
      <c r="U549" s="391"/>
      <c r="V549" s="379" t="s">
        <v>582</v>
      </c>
      <c r="W549" s="57" t="s">
        <v>4667</v>
      </c>
      <c r="X549" s="57" t="s">
        <v>4667</v>
      </c>
      <c r="Y549" s="379">
        <v>0</v>
      </c>
      <c r="Z549" s="379">
        <v>0</v>
      </c>
      <c r="AA549" s="379"/>
      <c r="AB549" s="379"/>
      <c r="AC549" s="36"/>
      <c r="AD549" s="36"/>
      <c r="AE549" s="36">
        <v>0</v>
      </c>
      <c r="AF549" s="36">
        <v>0</v>
      </c>
      <c r="AG549" s="36">
        <v>0</v>
      </c>
      <c r="AH549" s="36"/>
      <c r="AI549" s="36">
        <v>0</v>
      </c>
      <c r="AJ549" s="36">
        <v>0</v>
      </c>
      <c r="AK549" s="401"/>
      <c r="AL549" s="401"/>
      <c r="AM549" s="401"/>
      <c r="AN549" s="36"/>
      <c r="AO549" s="36"/>
      <c r="AP549" s="36"/>
      <c r="AQ549" s="36" t="s">
        <v>2163</v>
      </c>
      <c r="AR549" s="407"/>
    </row>
    <row r="550" spans="1:44" s="216" customFormat="1" ht="15" customHeight="1">
      <c r="A550" s="36">
        <v>2010805</v>
      </c>
      <c r="B550" s="5" t="s">
        <v>3638</v>
      </c>
      <c r="C550" s="224" t="s">
        <v>4668</v>
      </c>
      <c r="D550" s="36" t="s">
        <v>1876</v>
      </c>
      <c r="E550" s="36"/>
      <c r="F550" s="36">
        <v>4</v>
      </c>
      <c r="G550" s="36">
        <v>7</v>
      </c>
      <c r="H550" s="36" t="s">
        <v>136</v>
      </c>
      <c r="I550" s="5" t="s">
        <v>3640</v>
      </c>
      <c r="J550" s="36"/>
      <c r="K550" s="36"/>
      <c r="L550" s="454" t="s">
        <v>2165</v>
      </c>
      <c r="M550" s="378"/>
      <c r="N550" s="378"/>
      <c r="O550" s="454"/>
      <c r="P550" s="379"/>
      <c r="Q550" s="379">
        <v>0</v>
      </c>
      <c r="R550" s="379" t="s">
        <v>153</v>
      </c>
      <c r="S550" s="36">
        <v>2010806</v>
      </c>
      <c r="T550" s="390"/>
      <c r="U550" s="391"/>
      <c r="V550" s="379" t="s">
        <v>582</v>
      </c>
      <c r="W550" s="57" t="s">
        <v>4669</v>
      </c>
      <c r="X550" s="57" t="s">
        <v>4669</v>
      </c>
      <c r="Y550" s="379">
        <v>0</v>
      </c>
      <c r="Z550" s="379">
        <v>0</v>
      </c>
      <c r="AA550" s="379"/>
      <c r="AB550" s="379"/>
      <c r="AC550" s="36"/>
      <c r="AD550" s="36"/>
      <c r="AE550" s="36">
        <v>0</v>
      </c>
      <c r="AF550" s="36">
        <v>0</v>
      </c>
      <c r="AG550" s="36">
        <v>0</v>
      </c>
      <c r="AH550" s="36"/>
      <c r="AI550" s="36">
        <v>0</v>
      </c>
      <c r="AJ550" s="36">
        <v>0</v>
      </c>
      <c r="AK550" s="401"/>
      <c r="AL550" s="401"/>
      <c r="AM550" s="401"/>
      <c r="AN550" s="36"/>
      <c r="AO550" s="36"/>
      <c r="AP550" s="36"/>
      <c r="AQ550" s="36" t="s">
        <v>2167</v>
      </c>
      <c r="AR550" s="407"/>
    </row>
    <row r="551" spans="1:44" s="216" customFormat="1" ht="15" customHeight="1">
      <c r="A551" s="36">
        <v>2010806</v>
      </c>
      <c r="B551" s="5" t="s">
        <v>3638</v>
      </c>
      <c r="C551" s="224" t="s">
        <v>4670</v>
      </c>
      <c r="D551" s="36" t="s">
        <v>1876</v>
      </c>
      <c r="E551" s="36"/>
      <c r="F551" s="36">
        <v>5</v>
      </c>
      <c r="G551" s="36">
        <v>7</v>
      </c>
      <c r="H551" s="36" t="s">
        <v>136</v>
      </c>
      <c r="I551" s="5" t="s">
        <v>3640</v>
      </c>
      <c r="J551" s="36"/>
      <c r="K551" s="36"/>
      <c r="L551" s="454" t="s">
        <v>2169</v>
      </c>
      <c r="M551" s="378"/>
      <c r="N551" s="378"/>
      <c r="O551" s="454"/>
      <c r="P551" s="379"/>
      <c r="Q551" s="379">
        <v>0</v>
      </c>
      <c r="R551" s="379" t="s">
        <v>153</v>
      </c>
      <c r="S551" s="36">
        <v>2010807</v>
      </c>
      <c r="T551" s="390"/>
      <c r="U551" s="391"/>
      <c r="V551" s="379" t="s">
        <v>582</v>
      </c>
      <c r="W551" s="57" t="s">
        <v>4671</v>
      </c>
      <c r="X551" s="57" t="s">
        <v>4671</v>
      </c>
      <c r="Y551" s="379">
        <v>0</v>
      </c>
      <c r="Z551" s="379">
        <v>0</v>
      </c>
      <c r="AA551" s="379"/>
      <c r="AB551" s="379"/>
      <c r="AC551" s="36"/>
      <c r="AD551" s="36"/>
      <c r="AE551" s="36">
        <v>0</v>
      </c>
      <c r="AF551" s="36">
        <v>0</v>
      </c>
      <c r="AG551" s="36">
        <v>0</v>
      </c>
      <c r="AH551" s="36"/>
      <c r="AI551" s="36">
        <v>0</v>
      </c>
      <c r="AJ551" s="36">
        <v>0</v>
      </c>
      <c r="AK551" s="401"/>
      <c r="AL551" s="401"/>
      <c r="AM551" s="401"/>
      <c r="AN551" s="36"/>
      <c r="AO551" s="36"/>
      <c r="AP551" s="36"/>
      <c r="AQ551" s="36" t="s">
        <v>2171</v>
      </c>
      <c r="AR551" s="407"/>
    </row>
    <row r="552" spans="1:44" s="216" customFormat="1" ht="15" customHeight="1">
      <c r="A552" s="36">
        <v>2010807</v>
      </c>
      <c r="B552" s="5" t="s">
        <v>3638</v>
      </c>
      <c r="C552" s="224" t="s">
        <v>4672</v>
      </c>
      <c r="D552" s="36" t="s">
        <v>1876</v>
      </c>
      <c r="E552" s="36"/>
      <c r="F552" s="36">
        <v>6</v>
      </c>
      <c r="G552" s="36">
        <v>7</v>
      </c>
      <c r="H552" s="36" t="s">
        <v>136</v>
      </c>
      <c r="I552" s="5" t="s">
        <v>3640</v>
      </c>
      <c r="J552" s="36"/>
      <c r="K552" s="36"/>
      <c r="L552" s="454" t="s">
        <v>2173</v>
      </c>
      <c r="M552" s="378"/>
      <c r="N552" s="378"/>
      <c r="O552" s="454"/>
      <c r="P552" s="379"/>
      <c r="Q552" s="379">
        <v>0</v>
      </c>
      <c r="R552" s="379" t="s">
        <v>153</v>
      </c>
      <c r="S552" s="36">
        <v>2010808</v>
      </c>
      <c r="T552" s="390"/>
      <c r="U552" s="391"/>
      <c r="V552" s="379" t="s">
        <v>582</v>
      </c>
      <c r="W552" s="57" t="s">
        <v>4673</v>
      </c>
      <c r="X552" s="57" t="s">
        <v>4673</v>
      </c>
      <c r="Y552" s="379">
        <v>0</v>
      </c>
      <c r="Z552" s="379">
        <v>0</v>
      </c>
      <c r="AA552" s="379"/>
      <c r="AB552" s="379"/>
      <c r="AC552" s="36"/>
      <c r="AD552" s="36"/>
      <c r="AE552" s="36">
        <v>0</v>
      </c>
      <c r="AF552" s="36">
        <v>0</v>
      </c>
      <c r="AG552" s="36">
        <v>0</v>
      </c>
      <c r="AH552" s="36"/>
      <c r="AI552" s="36">
        <v>0</v>
      </c>
      <c r="AJ552" s="36">
        <v>0</v>
      </c>
      <c r="AK552" s="401"/>
      <c r="AL552" s="401"/>
      <c r="AM552" s="401"/>
      <c r="AN552" s="36"/>
      <c r="AO552" s="36"/>
      <c r="AP552" s="36"/>
      <c r="AQ552" s="36" t="s">
        <v>2175</v>
      </c>
      <c r="AR552" s="407"/>
    </row>
    <row r="553" spans="1:44" s="216" customFormat="1" ht="15" customHeight="1">
      <c r="A553" s="36">
        <v>2010808</v>
      </c>
      <c r="B553" s="5" t="s">
        <v>3638</v>
      </c>
      <c r="C553" s="224" t="s">
        <v>4674</v>
      </c>
      <c r="D553" s="36" t="s">
        <v>1876</v>
      </c>
      <c r="E553" s="36"/>
      <c r="F553" s="36">
        <v>7</v>
      </c>
      <c r="G553" s="36">
        <v>7</v>
      </c>
      <c r="H553" s="36" t="s">
        <v>136</v>
      </c>
      <c r="I553" s="5" t="s">
        <v>3640</v>
      </c>
      <c r="J553" s="36"/>
      <c r="K553" s="36"/>
      <c r="L553" s="454" t="s">
        <v>2177</v>
      </c>
      <c r="M553" s="378"/>
      <c r="N553" s="378"/>
      <c r="O553" s="454"/>
      <c r="P553" s="379"/>
      <c r="Q553" s="379">
        <v>0</v>
      </c>
      <c r="R553" s="379" t="s">
        <v>153</v>
      </c>
      <c r="S553" s="36">
        <v>2010810</v>
      </c>
      <c r="T553" s="390"/>
      <c r="U553" s="391"/>
      <c r="V553" s="379" t="s">
        <v>582</v>
      </c>
      <c r="W553" s="57" t="s">
        <v>4675</v>
      </c>
      <c r="X553" s="57" t="s">
        <v>4675</v>
      </c>
      <c r="Y553" s="379">
        <v>0</v>
      </c>
      <c r="Z553" s="379">
        <v>0</v>
      </c>
      <c r="AA553" s="379"/>
      <c r="AB553" s="379"/>
      <c r="AC553" s="36"/>
      <c r="AD553" s="36"/>
      <c r="AE553" s="36">
        <v>0</v>
      </c>
      <c r="AF553" s="36">
        <v>0</v>
      </c>
      <c r="AG553" s="36">
        <v>0</v>
      </c>
      <c r="AH553" s="36"/>
      <c r="AI553" s="36">
        <v>0</v>
      </c>
      <c r="AJ553" s="36">
        <v>0</v>
      </c>
      <c r="AK553" s="401"/>
      <c r="AL553" s="401"/>
      <c r="AM553" s="401"/>
      <c r="AN553" s="36"/>
      <c r="AO553" s="36"/>
      <c r="AP553" s="36"/>
      <c r="AQ553" s="36" t="s">
        <v>2179</v>
      </c>
      <c r="AR553" s="407"/>
    </row>
    <row r="554" spans="1:44" s="216" customFormat="1" ht="15" customHeight="1">
      <c r="A554" s="3">
        <v>2010809</v>
      </c>
      <c r="B554" s="5" t="s">
        <v>3638</v>
      </c>
      <c r="C554" s="224" t="s">
        <v>4676</v>
      </c>
      <c r="D554" s="44" t="s">
        <v>1876</v>
      </c>
      <c r="E554" s="41"/>
      <c r="F554" s="3">
        <v>8</v>
      </c>
      <c r="G554" s="36">
        <v>7</v>
      </c>
      <c r="H554" s="3" t="s">
        <v>136</v>
      </c>
      <c r="I554" s="5" t="s">
        <v>3640</v>
      </c>
      <c r="J554" s="3"/>
      <c r="K554" s="3"/>
      <c r="L554" s="236"/>
      <c r="M554" s="99"/>
      <c r="N554" s="99"/>
      <c r="O554" s="236"/>
      <c r="P554" s="22"/>
      <c r="Q554" s="22">
        <v>0</v>
      </c>
      <c r="R554" s="22" t="s">
        <v>153</v>
      </c>
      <c r="S554" s="3"/>
      <c r="T554" s="260"/>
      <c r="U554" s="261"/>
      <c r="V554" s="22"/>
      <c r="W554" s="57" t="s">
        <v>4556</v>
      </c>
      <c r="X554" s="57" t="s">
        <v>4556</v>
      </c>
      <c r="Y554" s="22"/>
      <c r="Z554" s="22"/>
      <c r="AA554" s="22"/>
      <c r="AB554" s="22" t="s">
        <v>114</v>
      </c>
      <c r="AC554" s="3"/>
      <c r="AD554" s="3"/>
      <c r="AE554" s="3">
        <v>0</v>
      </c>
      <c r="AF554" s="3">
        <v>0</v>
      </c>
      <c r="AG554" s="3">
        <v>0</v>
      </c>
      <c r="AH554" s="3"/>
      <c r="AI554" s="3">
        <v>0</v>
      </c>
      <c r="AJ554" s="3">
        <v>0</v>
      </c>
      <c r="AK554" s="3">
        <v>0</v>
      </c>
      <c r="AL554" s="3"/>
      <c r="AM554" s="3"/>
      <c r="AN554" s="3"/>
      <c r="AO554" s="3"/>
      <c r="AP554" s="3"/>
      <c r="AQ554" s="3" t="s">
        <v>2159</v>
      </c>
      <c r="AR554" s="281"/>
    </row>
    <row r="555" spans="1:44" s="216" customFormat="1" ht="15" customHeight="1">
      <c r="A555" s="3">
        <v>2010810</v>
      </c>
      <c r="B555" s="5" t="s">
        <v>3638</v>
      </c>
      <c r="C555" s="224" t="s">
        <v>4677</v>
      </c>
      <c r="D555" s="3" t="s">
        <v>1876</v>
      </c>
      <c r="E555" s="1"/>
      <c r="F555" s="3">
        <v>9</v>
      </c>
      <c r="G555" s="36">
        <v>7</v>
      </c>
      <c r="H555" s="3" t="s">
        <v>136</v>
      </c>
      <c r="I555" s="5" t="s">
        <v>3640</v>
      </c>
      <c r="J555" s="3"/>
      <c r="K555" s="3"/>
      <c r="L555" s="236"/>
      <c r="M555" s="99"/>
      <c r="N555" s="99"/>
      <c r="O555" s="236"/>
      <c r="P555" s="22"/>
      <c r="Q555" s="22">
        <v>0</v>
      </c>
      <c r="R555" s="22" t="s">
        <v>153</v>
      </c>
      <c r="S555" s="3"/>
      <c r="T555" s="260"/>
      <c r="U555" s="261"/>
      <c r="V555" s="22"/>
      <c r="W555" s="57" t="s">
        <v>4678</v>
      </c>
      <c r="X555" s="57" t="s">
        <v>4678</v>
      </c>
      <c r="Y555" s="22"/>
      <c r="Z555" s="22"/>
      <c r="AA555" s="22"/>
      <c r="AB555" s="22" t="s">
        <v>114</v>
      </c>
      <c r="AC555" s="3"/>
      <c r="AD555" s="3"/>
      <c r="AE555" s="3">
        <v>0</v>
      </c>
      <c r="AF555" s="3">
        <v>0</v>
      </c>
      <c r="AG555" s="3">
        <v>0</v>
      </c>
      <c r="AH555" s="3"/>
      <c r="AI555" s="3">
        <v>0</v>
      </c>
      <c r="AJ555" s="3">
        <v>0</v>
      </c>
      <c r="AK555" s="3">
        <v>0</v>
      </c>
      <c r="AL555" s="3"/>
      <c r="AM555" s="3"/>
      <c r="AN555" s="3"/>
      <c r="AO555" s="3"/>
      <c r="AP555" s="3"/>
      <c r="AQ555" s="282" t="str">
        <f>"tricks/"&amp;A555</f>
        <v>tricks/2010810</v>
      </c>
      <c r="AR555" s="222"/>
    </row>
    <row r="556" spans="1:44" s="216" customFormat="1" ht="15" customHeight="1">
      <c r="A556" s="3">
        <v>2010811</v>
      </c>
      <c r="B556" s="5" t="s">
        <v>3638</v>
      </c>
      <c r="C556" s="224" t="s">
        <v>4679</v>
      </c>
      <c r="D556" s="3" t="s">
        <v>1876</v>
      </c>
      <c r="E556" s="1"/>
      <c r="F556" s="3">
        <v>10</v>
      </c>
      <c r="G556" s="36">
        <v>7</v>
      </c>
      <c r="H556" s="3" t="s">
        <v>136</v>
      </c>
      <c r="I556" s="5" t="s">
        <v>3640</v>
      </c>
      <c r="J556" s="3"/>
      <c r="K556" s="3"/>
      <c r="L556" s="236"/>
      <c r="M556" s="99"/>
      <c r="N556" s="99"/>
      <c r="O556" s="236"/>
      <c r="P556" s="22"/>
      <c r="Q556" s="22">
        <v>0</v>
      </c>
      <c r="R556" s="22" t="s">
        <v>153</v>
      </c>
      <c r="S556" s="3"/>
      <c r="T556" s="260"/>
      <c r="U556" s="261"/>
      <c r="V556" s="22"/>
      <c r="W556" s="57" t="s">
        <v>4680</v>
      </c>
      <c r="X556" s="57" t="s">
        <v>4680</v>
      </c>
      <c r="Y556" s="22"/>
      <c r="Z556" s="22"/>
      <c r="AA556" s="22"/>
      <c r="AB556" s="22" t="s">
        <v>114</v>
      </c>
      <c r="AC556" s="3"/>
      <c r="AD556" s="3"/>
      <c r="AE556" s="3">
        <v>0</v>
      </c>
      <c r="AF556" s="3">
        <v>0</v>
      </c>
      <c r="AG556" s="3">
        <v>0</v>
      </c>
      <c r="AH556" s="3"/>
      <c r="AI556" s="3">
        <v>0</v>
      </c>
      <c r="AJ556" s="3">
        <v>0</v>
      </c>
      <c r="AK556" s="3">
        <v>0</v>
      </c>
      <c r="AL556" s="3"/>
      <c r="AM556" s="3"/>
      <c r="AN556" s="3"/>
      <c r="AO556" s="3"/>
      <c r="AP556" s="3"/>
      <c r="AQ556" s="282" t="str">
        <f>"tricks/"&amp;A556</f>
        <v>tricks/2010811</v>
      </c>
      <c r="AR556" s="222"/>
    </row>
    <row r="557" spans="1:44" ht="15" customHeight="1">
      <c r="A557" s="7">
        <v>2010901</v>
      </c>
      <c r="B557" s="5" t="s">
        <v>3638</v>
      </c>
      <c r="C557" s="224" t="s">
        <v>4681</v>
      </c>
      <c r="D557" s="7" t="s">
        <v>1876</v>
      </c>
      <c r="E557" s="7"/>
      <c r="F557" s="36">
        <v>1</v>
      </c>
      <c r="G557" s="36">
        <v>7</v>
      </c>
      <c r="H557" s="7" t="s">
        <v>82</v>
      </c>
      <c r="I557" s="5" t="s">
        <v>3640</v>
      </c>
      <c r="J557" s="7"/>
      <c r="K557" s="7"/>
      <c r="L557" s="350" t="s">
        <v>2187</v>
      </c>
      <c r="M557" s="238"/>
      <c r="N557" s="378">
        <v>5</v>
      </c>
      <c r="O557" s="474"/>
      <c r="P557" s="239"/>
      <c r="Q557" s="239">
        <v>0</v>
      </c>
      <c r="R557" s="239" t="s">
        <v>153</v>
      </c>
      <c r="S557" s="7">
        <v>2010901</v>
      </c>
      <c r="T557" s="262"/>
      <c r="U557" s="263" t="s">
        <v>1138</v>
      </c>
      <c r="V557" s="239" t="s">
        <v>582</v>
      </c>
      <c r="W557" s="57" t="s">
        <v>4682</v>
      </c>
      <c r="X557" s="57" t="s">
        <v>4682</v>
      </c>
      <c r="Y557" s="239">
        <v>0</v>
      </c>
      <c r="Z557" s="239">
        <v>0</v>
      </c>
      <c r="AA557" s="239"/>
      <c r="AB557" s="239"/>
      <c r="AC557" s="7"/>
      <c r="AD557" s="7"/>
      <c r="AE557" s="7">
        <v>1</v>
      </c>
      <c r="AF557" s="7">
        <v>2</v>
      </c>
      <c r="AG557" s="7">
        <v>30</v>
      </c>
      <c r="AH557" s="7"/>
      <c r="AI557" s="7"/>
      <c r="AJ557" s="7"/>
      <c r="AK557" s="273"/>
      <c r="AL557" s="273"/>
      <c r="AM557" s="273"/>
      <c r="AN557" s="43" t="s">
        <v>2189</v>
      </c>
      <c r="AO557" s="7" t="s">
        <v>2190</v>
      </c>
      <c r="AP557" s="7"/>
      <c r="AQ557" s="7" t="s">
        <v>2191</v>
      </c>
      <c r="AR557" s="283"/>
    </row>
    <row r="558" spans="1:44" s="216" customFormat="1" ht="15" customHeight="1">
      <c r="A558" s="7">
        <v>2010902</v>
      </c>
      <c r="B558" s="5" t="s">
        <v>3638</v>
      </c>
      <c r="C558" s="224" t="s">
        <v>4683</v>
      </c>
      <c r="D558" s="7" t="s">
        <v>1876</v>
      </c>
      <c r="E558" s="7"/>
      <c r="F558" s="36">
        <v>1</v>
      </c>
      <c r="G558" s="36">
        <v>7</v>
      </c>
      <c r="H558" s="7" t="s">
        <v>136</v>
      </c>
      <c r="I558" s="5" t="s">
        <v>3640</v>
      </c>
      <c r="J558" s="7"/>
      <c r="K558" s="7"/>
      <c r="L558" s="350" t="s">
        <v>2193</v>
      </c>
      <c r="M558" s="238"/>
      <c r="N558" s="238"/>
      <c r="O558" s="350"/>
      <c r="P558" s="239"/>
      <c r="Q558" s="239">
        <v>0</v>
      </c>
      <c r="R558" s="239" t="s">
        <v>153</v>
      </c>
      <c r="S558" s="7">
        <v>2010903</v>
      </c>
      <c r="T558" s="262"/>
      <c r="U558" s="263"/>
      <c r="V558" s="239" t="s">
        <v>582</v>
      </c>
      <c r="W558" s="57" t="s">
        <v>4684</v>
      </c>
      <c r="X558" s="57" t="s">
        <v>4684</v>
      </c>
      <c r="Y558" s="239">
        <v>0</v>
      </c>
      <c r="Z558" s="239">
        <v>0</v>
      </c>
      <c r="AA558" s="239"/>
      <c r="AB558" s="239"/>
      <c r="AC558" s="7"/>
      <c r="AD558" s="7"/>
      <c r="AE558" s="7">
        <v>0</v>
      </c>
      <c r="AF558" s="7">
        <v>0</v>
      </c>
      <c r="AG558" s="7">
        <v>0</v>
      </c>
      <c r="AH558" s="7"/>
      <c r="AI558" s="7">
        <v>0</v>
      </c>
      <c r="AJ558" s="7">
        <v>0</v>
      </c>
      <c r="AK558" s="273"/>
      <c r="AL558" s="273"/>
      <c r="AM558" s="273"/>
      <c r="AN558" s="7"/>
      <c r="AO558" s="7"/>
      <c r="AP558" s="7"/>
      <c r="AQ558" s="7" t="s">
        <v>2195</v>
      </c>
      <c r="AR558" s="283"/>
    </row>
    <row r="559" spans="1:44" s="216" customFormat="1" ht="15" customHeight="1">
      <c r="A559" s="7">
        <v>2010903</v>
      </c>
      <c r="B559" s="5" t="s">
        <v>3638</v>
      </c>
      <c r="C559" s="224" t="s">
        <v>4685</v>
      </c>
      <c r="D559" s="7" t="s">
        <v>1876</v>
      </c>
      <c r="E559" s="7"/>
      <c r="F559" s="36">
        <v>2</v>
      </c>
      <c r="G559" s="36">
        <v>7</v>
      </c>
      <c r="H559" s="7" t="s">
        <v>136</v>
      </c>
      <c r="I559" s="5" t="s">
        <v>3640</v>
      </c>
      <c r="J559" s="7"/>
      <c r="K559" s="7"/>
      <c r="L559" s="350" t="s">
        <v>2197</v>
      </c>
      <c r="M559" s="238"/>
      <c r="N559" s="238"/>
      <c r="O559" s="350"/>
      <c r="P559" s="239"/>
      <c r="Q559" s="239">
        <v>0</v>
      </c>
      <c r="R559" s="239" t="s">
        <v>153</v>
      </c>
      <c r="S559" s="7">
        <v>2010904</v>
      </c>
      <c r="T559" s="262"/>
      <c r="U559" s="263"/>
      <c r="V559" s="239" t="s">
        <v>582</v>
      </c>
      <c r="W559" s="57" t="s">
        <v>4686</v>
      </c>
      <c r="X559" s="57" t="s">
        <v>4686</v>
      </c>
      <c r="Y559" s="239">
        <v>0</v>
      </c>
      <c r="Z559" s="239">
        <v>0</v>
      </c>
      <c r="AA559" s="239"/>
      <c r="AB559" s="239"/>
      <c r="AC559" s="7"/>
      <c r="AD559" s="7"/>
      <c r="AE559" s="7">
        <v>0</v>
      </c>
      <c r="AF559" s="7">
        <v>0</v>
      </c>
      <c r="AG559" s="7">
        <v>0</v>
      </c>
      <c r="AH559" s="7"/>
      <c r="AI559" s="7">
        <v>0</v>
      </c>
      <c r="AJ559" s="7">
        <v>0</v>
      </c>
      <c r="AK559" s="273"/>
      <c r="AL559" s="273"/>
      <c r="AM559" s="273"/>
      <c r="AN559" s="7"/>
      <c r="AO559" s="7"/>
      <c r="AP559" s="7"/>
      <c r="AQ559" s="7" t="s">
        <v>2199</v>
      </c>
      <c r="AR559" s="283"/>
    </row>
    <row r="560" spans="1:44" s="216" customFormat="1" ht="15" customHeight="1">
      <c r="A560" s="7">
        <v>2010904</v>
      </c>
      <c r="B560" s="5" t="s">
        <v>3638</v>
      </c>
      <c r="C560" s="224" t="s">
        <v>4687</v>
      </c>
      <c r="D560" s="7" t="s">
        <v>1876</v>
      </c>
      <c r="E560" s="7"/>
      <c r="F560" s="36">
        <v>3</v>
      </c>
      <c r="G560" s="36">
        <v>7</v>
      </c>
      <c r="H560" s="7" t="s">
        <v>136</v>
      </c>
      <c r="I560" s="5" t="s">
        <v>3640</v>
      </c>
      <c r="J560" s="7"/>
      <c r="K560" s="7"/>
      <c r="L560" s="350" t="s">
        <v>2201</v>
      </c>
      <c r="M560" s="238"/>
      <c r="N560" s="238"/>
      <c r="O560" s="350"/>
      <c r="P560" s="239"/>
      <c r="Q560" s="239">
        <v>0</v>
      </c>
      <c r="R560" s="239" t="s">
        <v>153</v>
      </c>
      <c r="S560" s="7">
        <v>2010905</v>
      </c>
      <c r="T560" s="262"/>
      <c r="U560" s="263"/>
      <c r="V560" s="239" t="s">
        <v>582</v>
      </c>
      <c r="W560" s="57" t="s">
        <v>4688</v>
      </c>
      <c r="X560" s="57" t="s">
        <v>4688</v>
      </c>
      <c r="Y560" s="239">
        <v>0</v>
      </c>
      <c r="Z560" s="239">
        <v>0</v>
      </c>
      <c r="AA560" s="239"/>
      <c r="AB560" s="239"/>
      <c r="AC560" s="7"/>
      <c r="AD560" s="7"/>
      <c r="AE560" s="7">
        <v>0</v>
      </c>
      <c r="AF560" s="7">
        <v>0</v>
      </c>
      <c r="AG560" s="7">
        <v>0</v>
      </c>
      <c r="AH560" s="7"/>
      <c r="AI560" s="7">
        <v>0</v>
      </c>
      <c r="AJ560" s="7">
        <v>0</v>
      </c>
      <c r="AK560" s="273"/>
      <c r="AL560" s="273"/>
      <c r="AM560" s="273"/>
      <c r="AN560" s="7"/>
      <c r="AO560" s="7"/>
      <c r="AP560" s="7"/>
      <c r="AQ560" s="7" t="s">
        <v>2203</v>
      </c>
      <c r="AR560" s="283"/>
    </row>
    <row r="561" spans="1:44" s="216" customFormat="1" ht="15" customHeight="1">
      <c r="A561" s="7">
        <v>2010905</v>
      </c>
      <c r="B561" s="5" t="s">
        <v>3638</v>
      </c>
      <c r="C561" s="224" t="s">
        <v>4689</v>
      </c>
      <c r="D561" s="7" t="s">
        <v>1876</v>
      </c>
      <c r="E561" s="7"/>
      <c r="F561" s="36">
        <v>4</v>
      </c>
      <c r="G561" s="36">
        <v>7</v>
      </c>
      <c r="H561" s="7" t="s">
        <v>136</v>
      </c>
      <c r="I561" s="5" t="s">
        <v>3640</v>
      </c>
      <c r="J561" s="7"/>
      <c r="K561" s="7"/>
      <c r="L561" s="350" t="s">
        <v>2205</v>
      </c>
      <c r="M561" s="238"/>
      <c r="N561" s="238"/>
      <c r="O561" s="350"/>
      <c r="P561" s="239"/>
      <c r="Q561" s="239">
        <v>0</v>
      </c>
      <c r="R561" s="239" t="s">
        <v>153</v>
      </c>
      <c r="S561" s="7">
        <v>2010906</v>
      </c>
      <c r="T561" s="262"/>
      <c r="U561" s="263"/>
      <c r="V561" s="239" t="s">
        <v>582</v>
      </c>
      <c r="W561" s="57" t="s">
        <v>4690</v>
      </c>
      <c r="X561" s="57" t="s">
        <v>4690</v>
      </c>
      <c r="Y561" s="239">
        <v>0</v>
      </c>
      <c r="Z561" s="239">
        <v>0</v>
      </c>
      <c r="AA561" s="239"/>
      <c r="AB561" s="239"/>
      <c r="AC561" s="7"/>
      <c r="AD561" s="7"/>
      <c r="AE561" s="7">
        <v>0</v>
      </c>
      <c r="AF561" s="7">
        <v>0</v>
      </c>
      <c r="AG561" s="7">
        <v>0</v>
      </c>
      <c r="AH561" s="7"/>
      <c r="AI561" s="7">
        <v>0</v>
      </c>
      <c r="AJ561" s="7">
        <v>0</v>
      </c>
      <c r="AK561" s="273"/>
      <c r="AL561" s="273"/>
      <c r="AM561" s="273"/>
      <c r="AN561" s="7"/>
      <c r="AO561" s="7"/>
      <c r="AP561" s="7"/>
      <c r="AQ561" s="7" t="s">
        <v>2207</v>
      </c>
      <c r="AR561" s="283"/>
    </row>
    <row r="562" spans="1:44" s="216" customFormat="1" ht="15" customHeight="1">
      <c r="A562" s="7">
        <v>2010906</v>
      </c>
      <c r="B562" s="5" t="s">
        <v>3638</v>
      </c>
      <c r="C562" s="224" t="s">
        <v>4691</v>
      </c>
      <c r="D562" s="7" t="s">
        <v>1876</v>
      </c>
      <c r="E562" s="7"/>
      <c r="F562" s="36">
        <v>5</v>
      </c>
      <c r="G562" s="36">
        <v>7</v>
      </c>
      <c r="H562" s="7" t="s">
        <v>136</v>
      </c>
      <c r="I562" s="5" t="s">
        <v>3640</v>
      </c>
      <c r="J562" s="7"/>
      <c r="K562" s="7"/>
      <c r="L562" s="350" t="s">
        <v>2209</v>
      </c>
      <c r="M562" s="238"/>
      <c r="N562" s="238"/>
      <c r="O562" s="350"/>
      <c r="P562" s="239"/>
      <c r="Q562" s="239">
        <v>0</v>
      </c>
      <c r="R562" s="239" t="s">
        <v>153</v>
      </c>
      <c r="S562" s="7">
        <v>2010908</v>
      </c>
      <c r="T562" s="262"/>
      <c r="U562" s="263"/>
      <c r="V562" s="239" t="s">
        <v>582</v>
      </c>
      <c r="W562" s="57" t="s">
        <v>4692</v>
      </c>
      <c r="X562" s="57" t="s">
        <v>4692</v>
      </c>
      <c r="Y562" s="239">
        <v>0</v>
      </c>
      <c r="Z562" s="239">
        <v>0</v>
      </c>
      <c r="AA562" s="239"/>
      <c r="AB562" s="239"/>
      <c r="AC562" s="7"/>
      <c r="AD562" s="7"/>
      <c r="AE562" s="7">
        <v>0</v>
      </c>
      <c r="AF562" s="7">
        <v>0</v>
      </c>
      <c r="AG562" s="7">
        <v>0</v>
      </c>
      <c r="AH562" s="7"/>
      <c r="AI562" s="7">
        <v>0</v>
      </c>
      <c r="AJ562" s="7">
        <v>0</v>
      </c>
      <c r="AK562" s="273"/>
      <c r="AL562" s="273"/>
      <c r="AM562" s="273"/>
      <c r="AN562" s="7"/>
      <c r="AO562" s="7"/>
      <c r="AP562" s="7"/>
      <c r="AQ562" s="7" t="s">
        <v>2211</v>
      </c>
      <c r="AR562" s="283"/>
    </row>
    <row r="563" spans="1:44" s="216" customFormat="1" ht="15" customHeight="1">
      <c r="A563" s="7">
        <v>2010907</v>
      </c>
      <c r="B563" s="5" t="s">
        <v>3638</v>
      </c>
      <c r="C563" s="224" t="s">
        <v>4693</v>
      </c>
      <c r="D563" s="7" t="s">
        <v>1876</v>
      </c>
      <c r="E563" s="7"/>
      <c r="F563" s="36">
        <v>6</v>
      </c>
      <c r="G563" s="36">
        <v>7</v>
      </c>
      <c r="H563" s="7" t="s">
        <v>136</v>
      </c>
      <c r="I563" s="5" t="s">
        <v>3640</v>
      </c>
      <c r="J563" s="7"/>
      <c r="K563" s="7"/>
      <c r="L563" s="350" t="s">
        <v>2213</v>
      </c>
      <c r="M563" s="238"/>
      <c r="N563" s="238"/>
      <c r="O563" s="350"/>
      <c r="P563" s="239"/>
      <c r="Q563" s="239">
        <v>0</v>
      </c>
      <c r="R563" s="239" t="s">
        <v>153</v>
      </c>
      <c r="S563" s="7">
        <v>2010909</v>
      </c>
      <c r="T563" s="262"/>
      <c r="U563" s="263"/>
      <c r="V563" s="239" t="s">
        <v>582</v>
      </c>
      <c r="W563" s="57" t="s">
        <v>4688</v>
      </c>
      <c r="X563" s="57" t="s">
        <v>4688</v>
      </c>
      <c r="Y563" s="239">
        <v>0</v>
      </c>
      <c r="Z563" s="239">
        <v>0</v>
      </c>
      <c r="AA563" s="239"/>
      <c r="AB563" s="239"/>
      <c r="AC563" s="7"/>
      <c r="AD563" s="7"/>
      <c r="AE563" s="7">
        <v>0</v>
      </c>
      <c r="AF563" s="7">
        <v>0</v>
      </c>
      <c r="AG563" s="7">
        <v>0</v>
      </c>
      <c r="AH563" s="7"/>
      <c r="AI563" s="7">
        <v>0</v>
      </c>
      <c r="AJ563" s="7">
        <v>0</v>
      </c>
      <c r="AK563" s="273"/>
      <c r="AL563" s="273"/>
      <c r="AM563" s="273"/>
      <c r="AN563" s="7"/>
      <c r="AO563" s="7"/>
      <c r="AP563" s="7"/>
      <c r="AQ563" s="7" t="s">
        <v>2214</v>
      </c>
      <c r="AR563" s="283"/>
    </row>
    <row r="564" spans="1:44" s="216" customFormat="1" ht="15" customHeight="1">
      <c r="A564" s="7">
        <v>2010908</v>
      </c>
      <c r="B564" s="5" t="s">
        <v>3638</v>
      </c>
      <c r="C564" s="224" t="s">
        <v>4694</v>
      </c>
      <c r="D564" s="7" t="s">
        <v>1876</v>
      </c>
      <c r="E564" s="7"/>
      <c r="F564" s="36">
        <v>7</v>
      </c>
      <c r="G564" s="36">
        <v>7</v>
      </c>
      <c r="H564" s="7" t="s">
        <v>136</v>
      </c>
      <c r="I564" s="5" t="s">
        <v>3640</v>
      </c>
      <c r="J564" s="7"/>
      <c r="K564" s="7"/>
      <c r="L564" s="350" t="s">
        <v>2216</v>
      </c>
      <c r="M564" s="238"/>
      <c r="N564" s="238"/>
      <c r="O564" s="350"/>
      <c r="P564" s="239"/>
      <c r="Q564" s="239">
        <v>0</v>
      </c>
      <c r="R564" s="239" t="s">
        <v>153</v>
      </c>
      <c r="S564" s="7">
        <v>2010910</v>
      </c>
      <c r="T564" s="262"/>
      <c r="U564" s="263"/>
      <c r="V564" s="239" t="s">
        <v>582</v>
      </c>
      <c r="W564" s="57" t="s">
        <v>4695</v>
      </c>
      <c r="X564" s="57" t="s">
        <v>4695</v>
      </c>
      <c r="Y564" s="239">
        <v>0</v>
      </c>
      <c r="Z564" s="239">
        <v>0</v>
      </c>
      <c r="AA564" s="239"/>
      <c r="AB564" s="239"/>
      <c r="AC564" s="7"/>
      <c r="AD564" s="7"/>
      <c r="AE564" s="7">
        <v>0</v>
      </c>
      <c r="AF564" s="7">
        <v>0</v>
      </c>
      <c r="AG564" s="7">
        <v>0</v>
      </c>
      <c r="AH564" s="7"/>
      <c r="AI564" s="7">
        <v>0</v>
      </c>
      <c r="AJ564" s="7">
        <v>0</v>
      </c>
      <c r="AK564" s="273"/>
      <c r="AL564" s="273"/>
      <c r="AM564" s="273"/>
      <c r="AN564" s="7"/>
      <c r="AO564" s="7"/>
      <c r="AP564" s="7"/>
      <c r="AQ564" s="7" t="s">
        <v>2218</v>
      </c>
      <c r="AR564" s="283"/>
    </row>
    <row r="565" spans="1:44" s="216" customFormat="1" ht="15" customHeight="1">
      <c r="A565" s="3">
        <v>2010909</v>
      </c>
      <c r="B565" s="5" t="s">
        <v>3638</v>
      </c>
      <c r="C565" s="224" t="s">
        <v>4696</v>
      </c>
      <c r="D565" s="44" t="s">
        <v>1876</v>
      </c>
      <c r="E565" s="41"/>
      <c r="F565" s="3">
        <v>8</v>
      </c>
      <c r="G565" s="36">
        <v>7</v>
      </c>
      <c r="H565" s="3" t="s">
        <v>136</v>
      </c>
      <c r="I565" s="5" t="s">
        <v>3640</v>
      </c>
      <c r="J565" s="3"/>
      <c r="K565" s="3"/>
      <c r="L565" s="236"/>
      <c r="M565" s="99"/>
      <c r="N565" s="99"/>
      <c r="O565" s="236"/>
      <c r="P565" s="22"/>
      <c r="Q565" s="22">
        <v>0</v>
      </c>
      <c r="R565" s="22" t="s">
        <v>153</v>
      </c>
      <c r="S565" s="3"/>
      <c r="T565" s="260"/>
      <c r="U565" s="261"/>
      <c r="V565" s="22"/>
      <c r="W565" s="57" t="s">
        <v>4556</v>
      </c>
      <c r="X565" s="57" t="s">
        <v>4556</v>
      </c>
      <c r="Y565" s="22"/>
      <c r="Z565" s="22"/>
      <c r="AA565" s="22"/>
      <c r="AB565" s="22" t="s">
        <v>114</v>
      </c>
      <c r="AC565" s="3"/>
      <c r="AD565" s="3"/>
      <c r="AE565" s="3">
        <v>0</v>
      </c>
      <c r="AF565" s="3">
        <v>0</v>
      </c>
      <c r="AG565" s="3">
        <v>0</v>
      </c>
      <c r="AH565" s="3"/>
      <c r="AI565" s="3">
        <v>0</v>
      </c>
      <c r="AJ565" s="3">
        <v>0</v>
      </c>
      <c r="AK565" s="3">
        <v>0</v>
      </c>
      <c r="AL565" s="3"/>
      <c r="AM565" s="3"/>
      <c r="AN565" s="3"/>
      <c r="AO565" s="3"/>
      <c r="AP565" s="3"/>
      <c r="AQ565" s="3" t="s">
        <v>2199</v>
      </c>
      <c r="AR565" s="281"/>
    </row>
    <row r="566" spans="1:44" ht="15" customHeight="1">
      <c r="A566" s="3">
        <v>2010910</v>
      </c>
      <c r="B566" s="5" t="s">
        <v>3638</v>
      </c>
      <c r="C566" s="224" t="s">
        <v>4697</v>
      </c>
      <c r="D566" s="3" t="s">
        <v>1876</v>
      </c>
      <c r="F566" s="3">
        <v>9</v>
      </c>
      <c r="G566" s="36">
        <v>7</v>
      </c>
      <c r="H566" s="3" t="s">
        <v>136</v>
      </c>
      <c r="I566" s="5" t="s">
        <v>3640</v>
      </c>
      <c r="J566" s="3"/>
      <c r="K566" s="3"/>
      <c r="L566" s="236"/>
      <c r="M566" s="99"/>
      <c r="N566" s="99"/>
      <c r="O566" s="236"/>
      <c r="P566" s="22"/>
      <c r="Q566" s="22">
        <v>0</v>
      </c>
      <c r="R566" s="22" t="s">
        <v>153</v>
      </c>
      <c r="S566" s="3"/>
      <c r="T566" s="260"/>
      <c r="U566" s="261"/>
      <c r="V566" s="22"/>
      <c r="W566" s="57" t="s">
        <v>4692</v>
      </c>
      <c r="X566" s="57" t="s">
        <v>4692</v>
      </c>
      <c r="Y566" s="22"/>
      <c r="Z566" s="22"/>
      <c r="AA566" s="22"/>
      <c r="AB566" s="22" t="s">
        <v>114</v>
      </c>
      <c r="AC566" s="3"/>
      <c r="AD566" s="3"/>
      <c r="AE566" s="3">
        <v>0</v>
      </c>
      <c r="AF566" s="3">
        <v>0</v>
      </c>
      <c r="AG566" s="3">
        <v>0</v>
      </c>
      <c r="AH566" s="3"/>
      <c r="AI566" s="3">
        <v>0</v>
      </c>
      <c r="AJ566" s="3">
        <v>0</v>
      </c>
      <c r="AK566" s="3">
        <v>0</v>
      </c>
      <c r="AL566" s="3"/>
      <c r="AM566" s="3"/>
      <c r="AN566" s="3"/>
      <c r="AO566" s="3"/>
      <c r="AP566" s="3"/>
      <c r="AQ566" s="282" t="str">
        <f>"tricks/"&amp;A566</f>
        <v>tricks/2010910</v>
      </c>
    </row>
    <row r="567" spans="1:44" s="216" customFormat="1" ht="15" customHeight="1">
      <c r="A567" s="3">
        <v>2010911</v>
      </c>
      <c r="B567" s="5" t="s">
        <v>3638</v>
      </c>
      <c r="C567" s="224" t="s">
        <v>4698</v>
      </c>
      <c r="D567" s="3" t="s">
        <v>1876</v>
      </c>
      <c r="E567" s="1"/>
      <c r="F567" s="3">
        <v>10</v>
      </c>
      <c r="G567" s="36">
        <v>7</v>
      </c>
      <c r="H567" s="3" t="s">
        <v>136</v>
      </c>
      <c r="I567" s="5" t="s">
        <v>3640</v>
      </c>
      <c r="J567" s="3"/>
      <c r="K567" s="3"/>
      <c r="L567" s="236"/>
      <c r="M567" s="99"/>
      <c r="N567" s="99"/>
      <c r="O567" s="236"/>
      <c r="P567" s="22"/>
      <c r="Q567" s="22">
        <v>0</v>
      </c>
      <c r="R567" s="22" t="s">
        <v>153</v>
      </c>
      <c r="S567" s="3"/>
      <c r="T567" s="260"/>
      <c r="U567" s="261"/>
      <c r="V567" s="22"/>
      <c r="W567" s="57" t="s">
        <v>4699</v>
      </c>
      <c r="X567" s="57" t="s">
        <v>4699</v>
      </c>
      <c r="Y567" s="22"/>
      <c r="Z567" s="22"/>
      <c r="AA567" s="22"/>
      <c r="AB567" s="22" t="s">
        <v>114</v>
      </c>
      <c r="AC567" s="3"/>
      <c r="AD567" s="3"/>
      <c r="AE567" s="3">
        <v>0</v>
      </c>
      <c r="AF567" s="3">
        <v>0</v>
      </c>
      <c r="AG567" s="3">
        <v>0</v>
      </c>
      <c r="AH567" s="3"/>
      <c r="AI567" s="3">
        <v>0</v>
      </c>
      <c r="AJ567" s="3">
        <v>0</v>
      </c>
      <c r="AK567" s="3">
        <v>0</v>
      </c>
      <c r="AL567" s="3"/>
      <c r="AM567" s="3"/>
      <c r="AN567" s="3"/>
      <c r="AO567" s="3"/>
      <c r="AP567" s="3"/>
      <c r="AQ567" s="282" t="str">
        <f>"tricks/"&amp;A567</f>
        <v>tricks/2010911</v>
      </c>
      <c r="AR567" s="222"/>
    </row>
    <row r="568" spans="1:44" s="216" customFormat="1" ht="15" customHeight="1">
      <c r="A568" s="41">
        <v>2011001</v>
      </c>
      <c r="B568" s="5" t="s">
        <v>3638</v>
      </c>
      <c r="C568" s="224" t="s">
        <v>4700</v>
      </c>
      <c r="D568" s="41" t="s">
        <v>1876</v>
      </c>
      <c r="E568" s="41"/>
      <c r="F568" s="36">
        <v>1</v>
      </c>
      <c r="G568" s="36">
        <v>7</v>
      </c>
      <c r="H568" s="41" t="s">
        <v>82</v>
      </c>
      <c r="I568" s="5" t="s">
        <v>3640</v>
      </c>
      <c r="J568" s="41"/>
      <c r="K568" s="41"/>
      <c r="L568" s="174" t="s">
        <v>2226</v>
      </c>
      <c r="M568" s="438"/>
      <c r="N568" s="378">
        <v>6</v>
      </c>
      <c r="O568" s="174"/>
      <c r="P568" s="137"/>
      <c r="Q568" s="137">
        <v>0</v>
      </c>
      <c r="R568" s="137" t="s">
        <v>153</v>
      </c>
      <c r="S568" s="41">
        <v>2011001</v>
      </c>
      <c r="T568" s="467"/>
      <c r="U568" s="468"/>
      <c r="V568" s="137" t="s">
        <v>582</v>
      </c>
      <c r="W568" s="57" t="s">
        <v>4701</v>
      </c>
      <c r="X568" s="57" t="s">
        <v>4701</v>
      </c>
      <c r="Y568" s="137">
        <v>0</v>
      </c>
      <c r="Z568" s="137">
        <v>0</v>
      </c>
      <c r="AA568" s="137"/>
      <c r="AB568" s="137"/>
      <c r="AC568" s="41"/>
      <c r="AD568" s="41"/>
      <c r="AE568" s="41">
        <v>1</v>
      </c>
      <c r="AF568" s="41">
        <v>1</v>
      </c>
      <c r="AG568" s="41">
        <v>30</v>
      </c>
      <c r="AH568" s="41"/>
      <c r="AI568" s="41"/>
      <c r="AJ568" s="41"/>
      <c r="AK568" s="139"/>
      <c r="AL568" s="139" t="s">
        <v>2228</v>
      </c>
      <c r="AM568" s="139" t="s">
        <v>2229</v>
      </c>
      <c r="AN568" s="43" t="s">
        <v>2230</v>
      </c>
      <c r="AO568" s="41"/>
      <c r="AP568" s="41"/>
      <c r="AQ568" s="41" t="s">
        <v>2231</v>
      </c>
      <c r="AR568" s="472"/>
    </row>
    <row r="569" spans="1:44" s="216" customFormat="1" ht="15" customHeight="1">
      <c r="A569" s="41">
        <v>2011002</v>
      </c>
      <c r="B569" s="5" t="s">
        <v>3638</v>
      </c>
      <c r="C569" s="224" t="s">
        <v>4702</v>
      </c>
      <c r="D569" s="41" t="s">
        <v>1876</v>
      </c>
      <c r="E569" s="41"/>
      <c r="F569" s="36">
        <v>1</v>
      </c>
      <c r="G569" s="36">
        <v>7</v>
      </c>
      <c r="H569" s="41" t="s">
        <v>136</v>
      </c>
      <c r="I569" s="5" t="s">
        <v>3640</v>
      </c>
      <c r="J569" s="41"/>
      <c r="K569" s="41"/>
      <c r="L569" s="174" t="s">
        <v>2233</v>
      </c>
      <c r="M569" s="438"/>
      <c r="N569" s="438"/>
      <c r="O569" s="174"/>
      <c r="P569" s="137"/>
      <c r="Q569" s="137">
        <v>0</v>
      </c>
      <c r="R569" s="137" t="s">
        <v>153</v>
      </c>
      <c r="S569" s="41">
        <v>2011002</v>
      </c>
      <c r="T569" s="467"/>
      <c r="U569" s="468"/>
      <c r="V569" s="137" t="s">
        <v>582</v>
      </c>
      <c r="W569" s="57" t="s">
        <v>4703</v>
      </c>
      <c r="X569" s="57" t="s">
        <v>4703</v>
      </c>
      <c r="Y569" s="137">
        <v>0</v>
      </c>
      <c r="Z569" s="137">
        <v>0</v>
      </c>
      <c r="AA569" s="137"/>
      <c r="AB569" s="137"/>
      <c r="AC569" s="41"/>
      <c r="AD569" s="41"/>
      <c r="AE569" s="41">
        <v>0</v>
      </c>
      <c r="AF569" s="41">
        <v>0</v>
      </c>
      <c r="AG569" s="41">
        <v>0</v>
      </c>
      <c r="AH569" s="41"/>
      <c r="AI569" s="41">
        <v>0</v>
      </c>
      <c r="AJ569" s="41">
        <v>0</v>
      </c>
      <c r="AK569" s="139"/>
      <c r="AL569" s="139"/>
      <c r="AM569" s="139"/>
      <c r="AN569" s="41"/>
      <c r="AO569" s="41"/>
      <c r="AP569" s="41"/>
      <c r="AQ569" s="41" t="s">
        <v>2235</v>
      </c>
      <c r="AR569" s="472"/>
    </row>
    <row r="570" spans="1:44" s="216" customFormat="1" ht="15" customHeight="1">
      <c r="A570" s="41">
        <v>2011003</v>
      </c>
      <c r="B570" s="5" t="s">
        <v>3638</v>
      </c>
      <c r="C570" s="224" t="s">
        <v>4704</v>
      </c>
      <c r="D570" s="41" t="s">
        <v>1876</v>
      </c>
      <c r="E570" s="41"/>
      <c r="F570" s="36">
        <v>2</v>
      </c>
      <c r="G570" s="36">
        <v>7</v>
      </c>
      <c r="H570" s="41" t="s">
        <v>136</v>
      </c>
      <c r="I570" s="5" t="s">
        <v>3640</v>
      </c>
      <c r="J570" s="41"/>
      <c r="K570" s="41"/>
      <c r="L570" s="174" t="s">
        <v>2237</v>
      </c>
      <c r="M570" s="438"/>
      <c r="N570" s="438"/>
      <c r="O570" s="174"/>
      <c r="P570" s="137"/>
      <c r="Q570" s="137">
        <v>0</v>
      </c>
      <c r="R570" s="137" t="s">
        <v>153</v>
      </c>
      <c r="S570" s="41">
        <v>2011003</v>
      </c>
      <c r="T570" s="467"/>
      <c r="U570" s="468"/>
      <c r="V570" s="137" t="s">
        <v>582</v>
      </c>
      <c r="W570" s="57" t="s">
        <v>4705</v>
      </c>
      <c r="X570" s="57" t="s">
        <v>4705</v>
      </c>
      <c r="Y570" s="137">
        <v>0</v>
      </c>
      <c r="Z570" s="137">
        <v>0</v>
      </c>
      <c r="AA570" s="137"/>
      <c r="AB570" s="137"/>
      <c r="AC570" s="41"/>
      <c r="AD570" s="41"/>
      <c r="AE570" s="41">
        <v>0</v>
      </c>
      <c r="AF570" s="41">
        <v>0</v>
      </c>
      <c r="AG570" s="41">
        <v>0</v>
      </c>
      <c r="AH570" s="41"/>
      <c r="AI570" s="41">
        <v>0</v>
      </c>
      <c r="AJ570" s="41">
        <v>0</v>
      </c>
      <c r="AK570" s="139"/>
      <c r="AL570" s="139"/>
      <c r="AM570" s="139"/>
      <c r="AN570" s="41"/>
      <c r="AO570" s="41"/>
      <c r="AP570" s="41"/>
      <c r="AQ570" s="41" t="s">
        <v>2239</v>
      </c>
      <c r="AR570" s="472"/>
    </row>
    <row r="571" spans="1:44" s="216" customFormat="1" ht="15" customHeight="1">
      <c r="A571" s="41">
        <v>2011004</v>
      </c>
      <c r="B571" s="5" t="s">
        <v>3638</v>
      </c>
      <c r="C571" s="224" t="s">
        <v>4706</v>
      </c>
      <c r="D571" s="41" t="s">
        <v>1876</v>
      </c>
      <c r="E571" s="41"/>
      <c r="F571" s="36">
        <v>3</v>
      </c>
      <c r="G571" s="36">
        <v>7</v>
      </c>
      <c r="H571" s="41" t="s">
        <v>136</v>
      </c>
      <c r="I571" s="5" t="s">
        <v>3640</v>
      </c>
      <c r="J571" s="41"/>
      <c r="K571" s="41"/>
      <c r="L571" s="174" t="s">
        <v>2241</v>
      </c>
      <c r="M571" s="438"/>
      <c r="N571" s="438"/>
      <c r="O571" s="174"/>
      <c r="P571" s="137"/>
      <c r="Q571" s="137">
        <v>0</v>
      </c>
      <c r="R571" s="137" t="s">
        <v>153</v>
      </c>
      <c r="S571" s="41">
        <v>2011005</v>
      </c>
      <c r="T571" s="467"/>
      <c r="U571" s="468"/>
      <c r="V571" s="137" t="s">
        <v>582</v>
      </c>
      <c r="W571" s="57" t="s">
        <v>4707</v>
      </c>
      <c r="X571" s="57" t="s">
        <v>4707</v>
      </c>
      <c r="Y571" s="137">
        <v>0</v>
      </c>
      <c r="Z571" s="137">
        <v>0</v>
      </c>
      <c r="AA571" s="137"/>
      <c r="AB571" s="137"/>
      <c r="AC571" s="41"/>
      <c r="AD571" s="41"/>
      <c r="AE571" s="41">
        <v>0</v>
      </c>
      <c r="AF571" s="41">
        <v>0</v>
      </c>
      <c r="AG571" s="41">
        <v>0</v>
      </c>
      <c r="AH571" s="41"/>
      <c r="AI571" s="41">
        <v>0</v>
      </c>
      <c r="AJ571" s="41">
        <v>0</v>
      </c>
      <c r="AK571" s="139"/>
      <c r="AL571" s="139"/>
      <c r="AM571" s="139"/>
      <c r="AN571" s="41"/>
      <c r="AO571" s="41"/>
      <c r="AP571" s="41"/>
      <c r="AQ571" s="41" t="s">
        <v>2243</v>
      </c>
      <c r="AR571" s="472"/>
    </row>
    <row r="572" spans="1:44" s="216" customFormat="1" ht="15" customHeight="1">
      <c r="A572" s="41">
        <v>2011005</v>
      </c>
      <c r="B572" s="5" t="s">
        <v>3638</v>
      </c>
      <c r="C572" s="224" t="s">
        <v>4708</v>
      </c>
      <c r="D572" s="41" t="s">
        <v>1876</v>
      </c>
      <c r="E572" s="41"/>
      <c r="F572" s="36">
        <v>4</v>
      </c>
      <c r="G572" s="36">
        <v>7</v>
      </c>
      <c r="H572" s="41" t="s">
        <v>136</v>
      </c>
      <c r="I572" s="5" t="s">
        <v>3640</v>
      </c>
      <c r="J572" s="41"/>
      <c r="K572" s="41"/>
      <c r="L572" s="174" t="s">
        <v>2245</v>
      </c>
      <c r="M572" s="438"/>
      <c r="N572" s="438"/>
      <c r="O572" s="174"/>
      <c r="P572" s="137"/>
      <c r="Q572" s="137">
        <v>0</v>
      </c>
      <c r="R572" s="137" t="s">
        <v>153</v>
      </c>
      <c r="S572" s="41">
        <v>2011007</v>
      </c>
      <c r="T572" s="467"/>
      <c r="U572" s="468"/>
      <c r="V572" s="137" t="s">
        <v>582</v>
      </c>
      <c r="W572" s="57" t="s">
        <v>4709</v>
      </c>
      <c r="X572" s="57" t="s">
        <v>4709</v>
      </c>
      <c r="Y572" s="137">
        <v>0</v>
      </c>
      <c r="Z572" s="137">
        <v>0</v>
      </c>
      <c r="AA572" s="137"/>
      <c r="AB572" s="137"/>
      <c r="AC572" s="41"/>
      <c r="AD572" s="41"/>
      <c r="AE572" s="41">
        <v>0</v>
      </c>
      <c r="AF572" s="41">
        <v>0</v>
      </c>
      <c r="AG572" s="41">
        <v>0</v>
      </c>
      <c r="AH572" s="41"/>
      <c r="AI572" s="41">
        <v>0</v>
      </c>
      <c r="AJ572" s="41">
        <v>0</v>
      </c>
      <c r="AK572" s="139"/>
      <c r="AL572" s="139"/>
      <c r="AM572" s="139"/>
      <c r="AN572" s="41"/>
      <c r="AO572" s="41"/>
      <c r="AP572" s="41"/>
      <c r="AQ572" s="41" t="s">
        <v>2247</v>
      </c>
      <c r="AR572" s="472"/>
    </row>
    <row r="573" spans="1:44" s="216" customFormat="1" ht="15" customHeight="1">
      <c r="A573" s="41">
        <v>2011006</v>
      </c>
      <c r="B573" s="5" t="s">
        <v>3638</v>
      </c>
      <c r="C573" s="224" t="s">
        <v>4710</v>
      </c>
      <c r="D573" s="41" t="s">
        <v>1876</v>
      </c>
      <c r="E573" s="41"/>
      <c r="F573" s="36">
        <v>5</v>
      </c>
      <c r="G573" s="36">
        <v>7</v>
      </c>
      <c r="H573" s="41" t="s">
        <v>136</v>
      </c>
      <c r="I573" s="5" t="s">
        <v>3640</v>
      </c>
      <c r="J573" s="41"/>
      <c r="K573" s="41"/>
      <c r="L573" s="174" t="s">
        <v>2249</v>
      </c>
      <c r="M573" s="438"/>
      <c r="N573" s="438"/>
      <c r="O573" s="174"/>
      <c r="P573" s="137"/>
      <c r="Q573" s="137">
        <v>0</v>
      </c>
      <c r="R573" s="137" t="s">
        <v>153</v>
      </c>
      <c r="S573" s="41">
        <v>2011008</v>
      </c>
      <c r="T573" s="467"/>
      <c r="U573" s="468"/>
      <c r="V573" s="137" t="s">
        <v>582</v>
      </c>
      <c r="W573" s="57" t="s">
        <v>4711</v>
      </c>
      <c r="X573" s="57" t="s">
        <v>4711</v>
      </c>
      <c r="Y573" s="137">
        <v>0</v>
      </c>
      <c r="Z573" s="137">
        <v>0</v>
      </c>
      <c r="AA573" s="137"/>
      <c r="AB573" s="137"/>
      <c r="AC573" s="41"/>
      <c r="AD573" s="41"/>
      <c r="AE573" s="41">
        <v>0</v>
      </c>
      <c r="AF573" s="41">
        <v>0</v>
      </c>
      <c r="AG573" s="41">
        <v>0</v>
      </c>
      <c r="AH573" s="41"/>
      <c r="AI573" s="41">
        <v>0</v>
      </c>
      <c r="AJ573" s="41">
        <v>0</v>
      </c>
      <c r="AK573" s="139"/>
      <c r="AL573" s="139"/>
      <c r="AM573" s="139"/>
      <c r="AN573" s="41"/>
      <c r="AO573" s="41"/>
      <c r="AP573" s="41"/>
      <c r="AQ573" s="41" t="s">
        <v>2251</v>
      </c>
      <c r="AR573" s="472"/>
    </row>
    <row r="574" spans="1:44" s="216" customFormat="1" ht="15" customHeight="1">
      <c r="A574" s="41">
        <v>2011007</v>
      </c>
      <c r="B574" s="5" t="s">
        <v>3638</v>
      </c>
      <c r="C574" s="224" t="s">
        <v>4712</v>
      </c>
      <c r="D574" s="41" t="s">
        <v>1876</v>
      </c>
      <c r="E574" s="41"/>
      <c r="F574" s="36">
        <v>6</v>
      </c>
      <c r="G574" s="36">
        <v>7</v>
      </c>
      <c r="H574" s="41" t="s">
        <v>136</v>
      </c>
      <c r="I574" s="5" t="s">
        <v>3640</v>
      </c>
      <c r="J574" s="41"/>
      <c r="K574" s="41"/>
      <c r="L574" s="174" t="s">
        <v>2253</v>
      </c>
      <c r="M574" s="438"/>
      <c r="N574" s="438"/>
      <c r="O574" s="174"/>
      <c r="P574" s="137"/>
      <c r="Q574" s="137">
        <v>0</v>
      </c>
      <c r="R574" s="137" t="s">
        <v>153</v>
      </c>
      <c r="S574" s="41">
        <v>2011009</v>
      </c>
      <c r="T574" s="467"/>
      <c r="U574" s="468"/>
      <c r="V574" s="137" t="s">
        <v>582</v>
      </c>
      <c r="W574" s="57" t="s">
        <v>4707</v>
      </c>
      <c r="X574" s="57" t="s">
        <v>4707</v>
      </c>
      <c r="Y574" s="137">
        <v>0</v>
      </c>
      <c r="Z574" s="137">
        <v>0</v>
      </c>
      <c r="AA574" s="137"/>
      <c r="AB574" s="137"/>
      <c r="AC574" s="41"/>
      <c r="AD574" s="41"/>
      <c r="AE574" s="41">
        <v>0</v>
      </c>
      <c r="AF574" s="41">
        <v>0</v>
      </c>
      <c r="AG574" s="41">
        <v>0</v>
      </c>
      <c r="AH574" s="41"/>
      <c r="AI574" s="41">
        <v>0</v>
      </c>
      <c r="AJ574" s="41">
        <v>0</v>
      </c>
      <c r="AK574" s="139"/>
      <c r="AL574" s="139"/>
      <c r="AM574" s="139"/>
      <c r="AN574" s="41"/>
      <c r="AO574" s="41"/>
      <c r="AP574" s="41"/>
      <c r="AQ574" s="41" t="s">
        <v>2254</v>
      </c>
      <c r="AR574" s="472"/>
    </row>
    <row r="575" spans="1:44" ht="15" customHeight="1">
      <c r="A575" s="41">
        <v>2011008</v>
      </c>
      <c r="B575" s="5" t="s">
        <v>3638</v>
      </c>
      <c r="C575" s="224" t="s">
        <v>4713</v>
      </c>
      <c r="D575" s="41" t="s">
        <v>1876</v>
      </c>
      <c r="E575" s="41"/>
      <c r="F575" s="36">
        <v>7</v>
      </c>
      <c r="G575" s="36">
        <v>7</v>
      </c>
      <c r="H575" s="41" t="s">
        <v>136</v>
      </c>
      <c r="I575" s="5" t="s">
        <v>3640</v>
      </c>
      <c r="J575" s="41"/>
      <c r="K575" s="41"/>
      <c r="L575" s="174" t="s">
        <v>2256</v>
      </c>
      <c r="M575" s="438"/>
      <c r="N575" s="438"/>
      <c r="O575" s="174"/>
      <c r="P575" s="137"/>
      <c r="Q575" s="137">
        <v>0</v>
      </c>
      <c r="R575" s="137" t="s">
        <v>153</v>
      </c>
      <c r="S575" s="41">
        <v>2011010</v>
      </c>
      <c r="T575" s="467"/>
      <c r="U575" s="468"/>
      <c r="V575" s="137" t="s">
        <v>582</v>
      </c>
      <c r="W575" s="57" t="s">
        <v>4714</v>
      </c>
      <c r="X575" s="57" t="s">
        <v>4714</v>
      </c>
      <c r="Y575" s="137">
        <v>0</v>
      </c>
      <c r="Z575" s="137">
        <v>0</v>
      </c>
      <c r="AA575" s="137"/>
      <c r="AB575" s="137"/>
      <c r="AC575" s="41"/>
      <c r="AD575" s="41"/>
      <c r="AE575" s="41">
        <v>0</v>
      </c>
      <c r="AF575" s="41">
        <v>0</v>
      </c>
      <c r="AG575" s="41">
        <v>0</v>
      </c>
      <c r="AH575" s="41"/>
      <c r="AI575" s="41">
        <v>0</v>
      </c>
      <c r="AJ575" s="41">
        <v>0</v>
      </c>
      <c r="AK575" s="139"/>
      <c r="AL575" s="139"/>
      <c r="AM575" s="139"/>
      <c r="AN575" s="41"/>
      <c r="AO575" s="41"/>
      <c r="AP575" s="41"/>
      <c r="AQ575" s="41" t="s">
        <v>2258</v>
      </c>
      <c r="AR575" s="472"/>
    </row>
    <row r="576" spans="1:44" s="217" customFormat="1" ht="15" customHeight="1">
      <c r="A576" s="3">
        <v>2011009</v>
      </c>
      <c r="B576" s="5" t="s">
        <v>3638</v>
      </c>
      <c r="C576" s="224" t="s">
        <v>4715</v>
      </c>
      <c r="D576" s="44" t="s">
        <v>1876</v>
      </c>
      <c r="E576" s="41"/>
      <c r="F576" s="3">
        <v>8</v>
      </c>
      <c r="G576" s="36">
        <v>7</v>
      </c>
      <c r="H576" s="3" t="s">
        <v>136</v>
      </c>
      <c r="I576" s="5" t="s">
        <v>3640</v>
      </c>
      <c r="J576" s="3"/>
      <c r="K576" s="3"/>
      <c r="L576" s="236"/>
      <c r="M576" s="99"/>
      <c r="N576" s="99"/>
      <c r="O576" s="236"/>
      <c r="P576" s="22"/>
      <c r="Q576" s="22">
        <v>0</v>
      </c>
      <c r="R576" s="22" t="s">
        <v>153</v>
      </c>
      <c r="S576" s="3"/>
      <c r="T576" s="260"/>
      <c r="U576" s="261"/>
      <c r="V576" s="22"/>
      <c r="W576" s="57" t="s">
        <v>4556</v>
      </c>
      <c r="X576" s="57" t="s">
        <v>4556</v>
      </c>
      <c r="Y576" s="22"/>
      <c r="Z576" s="22"/>
      <c r="AA576" s="22"/>
      <c r="AB576" s="22" t="s">
        <v>114</v>
      </c>
      <c r="AC576" s="3"/>
      <c r="AD576" s="3"/>
      <c r="AE576" s="3">
        <v>0</v>
      </c>
      <c r="AF576" s="3">
        <v>0</v>
      </c>
      <c r="AG576" s="3">
        <v>0</v>
      </c>
      <c r="AH576" s="3"/>
      <c r="AI576" s="3">
        <v>0</v>
      </c>
      <c r="AJ576" s="3">
        <v>0</v>
      </c>
      <c r="AK576" s="3">
        <v>0</v>
      </c>
      <c r="AL576" s="3"/>
      <c r="AM576" s="3"/>
      <c r="AN576" s="3"/>
      <c r="AO576" s="3"/>
      <c r="AP576" s="3"/>
      <c r="AQ576" s="3" t="s">
        <v>2239</v>
      </c>
      <c r="AR576" s="281"/>
    </row>
    <row r="577" spans="1:44" s="217" customFormat="1" ht="15" customHeight="1">
      <c r="A577" s="3">
        <v>2011010</v>
      </c>
      <c r="B577" s="5" t="s">
        <v>3638</v>
      </c>
      <c r="C577" s="224" t="s">
        <v>4716</v>
      </c>
      <c r="D577" s="3" t="s">
        <v>1876</v>
      </c>
      <c r="E577" s="1"/>
      <c r="F577" s="3">
        <v>9</v>
      </c>
      <c r="G577" s="36">
        <v>7</v>
      </c>
      <c r="H577" s="3" t="s">
        <v>136</v>
      </c>
      <c r="I577" s="5" t="s">
        <v>3640</v>
      </c>
      <c r="J577" s="3"/>
      <c r="K577" s="3"/>
      <c r="L577" s="236"/>
      <c r="M577" s="99"/>
      <c r="N577" s="99"/>
      <c r="O577" s="236"/>
      <c r="P577" s="22"/>
      <c r="Q577" s="22">
        <v>0</v>
      </c>
      <c r="R577" s="22" t="s">
        <v>153</v>
      </c>
      <c r="S577" s="3"/>
      <c r="T577" s="260"/>
      <c r="U577" s="261"/>
      <c r="V577" s="22"/>
      <c r="W577" s="57" t="s">
        <v>4717</v>
      </c>
      <c r="X577" s="57" t="s">
        <v>4717</v>
      </c>
      <c r="Y577" s="22"/>
      <c r="Z577" s="22"/>
      <c r="AA577" s="22"/>
      <c r="AB577" s="22" t="s">
        <v>114</v>
      </c>
      <c r="AC577" s="3"/>
      <c r="AD577" s="3"/>
      <c r="AE577" s="3">
        <v>0</v>
      </c>
      <c r="AF577" s="3">
        <v>0</v>
      </c>
      <c r="AG577" s="3">
        <v>0</v>
      </c>
      <c r="AH577" s="3"/>
      <c r="AI577" s="3">
        <v>0</v>
      </c>
      <c r="AJ577" s="3">
        <v>0</v>
      </c>
      <c r="AK577" s="3">
        <v>0</v>
      </c>
      <c r="AL577" s="3"/>
      <c r="AM577" s="3"/>
      <c r="AN577" s="3"/>
      <c r="AO577" s="3"/>
      <c r="AP577" s="3"/>
      <c r="AQ577" s="282" t="str">
        <f>"tricks/"&amp;A577</f>
        <v>tricks/2011010</v>
      </c>
      <c r="AR577" s="222"/>
    </row>
    <row r="578" spans="1:44" s="217" customFormat="1" ht="15" customHeight="1">
      <c r="A578" s="3">
        <v>2011011</v>
      </c>
      <c r="B578" s="5" t="s">
        <v>3638</v>
      </c>
      <c r="C578" s="224" t="s">
        <v>4718</v>
      </c>
      <c r="D578" s="3" t="s">
        <v>1876</v>
      </c>
      <c r="E578" s="1"/>
      <c r="F578" s="3">
        <v>10</v>
      </c>
      <c r="G578" s="36">
        <v>7</v>
      </c>
      <c r="H578" s="3" t="s">
        <v>136</v>
      </c>
      <c r="I578" s="5" t="s">
        <v>3640</v>
      </c>
      <c r="J578" s="3"/>
      <c r="K578" s="3"/>
      <c r="L578" s="236"/>
      <c r="M578" s="99"/>
      <c r="N578" s="99"/>
      <c r="O578" s="236"/>
      <c r="P578" s="22"/>
      <c r="Q578" s="22">
        <v>0</v>
      </c>
      <c r="R578" s="22" t="s">
        <v>153</v>
      </c>
      <c r="S578" s="3"/>
      <c r="T578" s="260"/>
      <c r="U578" s="261"/>
      <c r="V578" s="22"/>
      <c r="W578" s="57" t="s">
        <v>4707</v>
      </c>
      <c r="X578" s="57" t="s">
        <v>4707</v>
      </c>
      <c r="Y578" s="22"/>
      <c r="Z578" s="22"/>
      <c r="AA578" s="22"/>
      <c r="AB578" s="22" t="s">
        <v>114</v>
      </c>
      <c r="AC578" s="3"/>
      <c r="AD578" s="3"/>
      <c r="AE578" s="3">
        <v>0</v>
      </c>
      <c r="AF578" s="3">
        <v>0</v>
      </c>
      <c r="AG578" s="3">
        <v>0</v>
      </c>
      <c r="AH578" s="3"/>
      <c r="AI578" s="3">
        <v>0</v>
      </c>
      <c r="AJ578" s="3">
        <v>0</v>
      </c>
      <c r="AK578" s="3">
        <v>0</v>
      </c>
      <c r="AL578" s="3"/>
      <c r="AM578" s="3"/>
      <c r="AN578" s="3"/>
      <c r="AO578" s="3"/>
      <c r="AP578" s="3"/>
      <c r="AQ578" s="282" t="str">
        <f>"tricks/"&amp;A578</f>
        <v>tricks/2011011</v>
      </c>
      <c r="AR578" s="222"/>
    </row>
    <row r="579" spans="1:44" s="217" customFormat="1" ht="15" customHeight="1">
      <c r="A579" s="31">
        <v>2011101</v>
      </c>
      <c r="B579" s="5" t="s">
        <v>3638</v>
      </c>
      <c r="C579" s="224" t="s">
        <v>4719</v>
      </c>
      <c r="D579" s="31" t="s">
        <v>1876</v>
      </c>
      <c r="E579" s="31"/>
      <c r="F579" s="36">
        <v>1</v>
      </c>
      <c r="G579" s="36">
        <v>7</v>
      </c>
      <c r="H579" s="31" t="s">
        <v>82</v>
      </c>
      <c r="I579" s="5" t="s">
        <v>3640</v>
      </c>
      <c r="J579" s="31"/>
      <c r="K579" s="31"/>
      <c r="L579" s="414" t="s">
        <v>2266</v>
      </c>
      <c r="M579" s="343"/>
      <c r="N579" s="378">
        <v>7</v>
      </c>
      <c r="O579" s="414"/>
      <c r="P579" s="344"/>
      <c r="Q579" s="344">
        <v>0</v>
      </c>
      <c r="R579" s="344" t="s">
        <v>153</v>
      </c>
      <c r="S579" s="31">
        <v>2011101</v>
      </c>
      <c r="T579" s="417"/>
      <c r="U579" s="418"/>
      <c r="V579" s="344" t="s">
        <v>582</v>
      </c>
      <c r="W579" s="57" t="s">
        <v>4720</v>
      </c>
      <c r="X579" s="57" t="s">
        <v>4720</v>
      </c>
      <c r="Y579" s="344">
        <v>0</v>
      </c>
      <c r="Z579" s="344">
        <v>0</v>
      </c>
      <c r="AA579" s="344"/>
      <c r="AB579" s="344"/>
      <c r="AC579" s="31"/>
      <c r="AD579" s="31"/>
      <c r="AE579" s="31">
        <v>1</v>
      </c>
      <c r="AF579" s="31">
        <v>1</v>
      </c>
      <c r="AG579" s="31">
        <v>30</v>
      </c>
      <c r="AH579" s="31"/>
      <c r="AI579" s="31"/>
      <c r="AJ579" s="31"/>
      <c r="AK579" s="359"/>
      <c r="AL579" s="359"/>
      <c r="AM579" s="359"/>
      <c r="AN579" s="43" t="s">
        <v>2268</v>
      </c>
      <c r="AO579" s="31"/>
      <c r="AP579" s="31"/>
      <c r="AQ579" s="31" t="s">
        <v>2269</v>
      </c>
      <c r="AR579" s="424"/>
    </row>
    <row r="580" spans="1:44" s="217" customFormat="1" ht="15" customHeight="1">
      <c r="A580" s="31">
        <v>2011102</v>
      </c>
      <c r="B580" s="5" t="s">
        <v>3638</v>
      </c>
      <c r="C580" s="224" t="s">
        <v>4721</v>
      </c>
      <c r="D580" s="31" t="s">
        <v>1876</v>
      </c>
      <c r="E580" s="31"/>
      <c r="F580" s="36">
        <v>1</v>
      </c>
      <c r="G580" s="36">
        <v>7</v>
      </c>
      <c r="H580" s="31" t="s">
        <v>136</v>
      </c>
      <c r="I580" s="5" t="s">
        <v>3640</v>
      </c>
      <c r="J580" s="31"/>
      <c r="K580" s="31"/>
      <c r="L580" s="414" t="s">
        <v>2271</v>
      </c>
      <c r="M580" s="343"/>
      <c r="N580" s="343"/>
      <c r="O580" s="414"/>
      <c r="P580" s="344"/>
      <c r="Q580" s="344">
        <v>0</v>
      </c>
      <c r="R580" s="344" t="s">
        <v>153</v>
      </c>
      <c r="S580" s="31">
        <v>2011102</v>
      </c>
      <c r="T580" s="417"/>
      <c r="U580" s="418"/>
      <c r="V580" s="344" t="s">
        <v>582</v>
      </c>
      <c r="W580" s="57" t="s">
        <v>4722</v>
      </c>
      <c r="X580" s="57" t="s">
        <v>4722</v>
      </c>
      <c r="Y580" s="344">
        <v>0</v>
      </c>
      <c r="Z580" s="344">
        <v>0</v>
      </c>
      <c r="AA580" s="344"/>
      <c r="AB580" s="344"/>
      <c r="AC580" s="31"/>
      <c r="AD580" s="31"/>
      <c r="AE580" s="31">
        <v>0</v>
      </c>
      <c r="AF580" s="31">
        <v>0</v>
      </c>
      <c r="AG580" s="31">
        <v>0</v>
      </c>
      <c r="AH580" s="31"/>
      <c r="AI580" s="31">
        <v>0</v>
      </c>
      <c r="AJ580" s="31">
        <v>0</v>
      </c>
      <c r="AK580" s="359"/>
      <c r="AL580" s="359"/>
      <c r="AM580" s="359"/>
      <c r="AN580" s="31"/>
      <c r="AO580" s="31"/>
      <c r="AP580" s="31"/>
      <c r="AQ580" s="31" t="s">
        <v>2273</v>
      </c>
      <c r="AR580" s="424"/>
    </row>
    <row r="581" spans="1:44" s="217" customFormat="1" ht="15" customHeight="1">
      <c r="A581" s="31">
        <v>2011103</v>
      </c>
      <c r="B581" s="5" t="s">
        <v>3638</v>
      </c>
      <c r="C581" s="224" t="s">
        <v>4723</v>
      </c>
      <c r="D581" s="31" t="s">
        <v>1876</v>
      </c>
      <c r="E581" s="31"/>
      <c r="F581" s="36">
        <v>2</v>
      </c>
      <c r="G581" s="36">
        <v>7</v>
      </c>
      <c r="H581" s="31" t="s">
        <v>136</v>
      </c>
      <c r="I581" s="5" t="s">
        <v>3640</v>
      </c>
      <c r="J581" s="31"/>
      <c r="K581" s="31"/>
      <c r="L581" s="414" t="s">
        <v>2275</v>
      </c>
      <c r="M581" s="343"/>
      <c r="N581" s="343"/>
      <c r="O581" s="414"/>
      <c r="P581" s="344"/>
      <c r="Q581" s="344">
        <v>0</v>
      </c>
      <c r="R581" s="344" t="s">
        <v>153</v>
      </c>
      <c r="S581" s="31">
        <v>2011104</v>
      </c>
      <c r="T581" s="417"/>
      <c r="U581" s="418"/>
      <c r="V581" s="344" t="s">
        <v>582</v>
      </c>
      <c r="W581" s="57" t="s">
        <v>4724</v>
      </c>
      <c r="X581" s="57" t="s">
        <v>4724</v>
      </c>
      <c r="Y581" s="344">
        <v>0</v>
      </c>
      <c r="Z581" s="344">
        <v>0</v>
      </c>
      <c r="AA581" s="344"/>
      <c r="AB581" s="344"/>
      <c r="AC581" s="31"/>
      <c r="AD581" s="31"/>
      <c r="AE581" s="31">
        <v>0</v>
      </c>
      <c r="AF581" s="31">
        <v>0</v>
      </c>
      <c r="AG581" s="31">
        <v>0</v>
      </c>
      <c r="AH581" s="31"/>
      <c r="AI581" s="31">
        <v>0</v>
      </c>
      <c r="AJ581" s="31">
        <v>0</v>
      </c>
      <c r="AK581" s="359"/>
      <c r="AL581" s="359"/>
      <c r="AM581" s="359"/>
      <c r="AN581" s="31"/>
      <c r="AO581" s="31"/>
      <c r="AP581" s="31"/>
      <c r="AQ581" s="31" t="s">
        <v>2277</v>
      </c>
      <c r="AR581" s="424"/>
    </row>
    <row r="582" spans="1:44" s="217" customFormat="1" ht="15" customHeight="1">
      <c r="A582" s="31">
        <v>2011104</v>
      </c>
      <c r="B582" s="5" t="s">
        <v>3638</v>
      </c>
      <c r="C582" s="224" t="s">
        <v>4725</v>
      </c>
      <c r="D582" s="31" t="s">
        <v>1876</v>
      </c>
      <c r="E582" s="31"/>
      <c r="F582" s="36">
        <v>3</v>
      </c>
      <c r="G582" s="36">
        <v>7</v>
      </c>
      <c r="H582" s="31" t="s">
        <v>136</v>
      </c>
      <c r="I582" s="5" t="s">
        <v>3640</v>
      </c>
      <c r="J582" s="31"/>
      <c r="K582" s="345"/>
      <c r="L582" s="414" t="s">
        <v>2279</v>
      </c>
      <c r="M582" s="343"/>
      <c r="N582" s="343"/>
      <c r="O582" s="414"/>
      <c r="P582" s="344"/>
      <c r="Q582" s="344">
        <v>0</v>
      </c>
      <c r="R582" s="344" t="s">
        <v>153</v>
      </c>
      <c r="S582" s="31">
        <v>2011105</v>
      </c>
      <c r="T582" s="417"/>
      <c r="U582" s="418"/>
      <c r="V582" s="344" t="s">
        <v>582</v>
      </c>
      <c r="W582" s="57" t="s">
        <v>4726</v>
      </c>
      <c r="X582" s="57" t="s">
        <v>4726</v>
      </c>
      <c r="Y582" s="344">
        <v>0</v>
      </c>
      <c r="Z582" s="344">
        <v>0</v>
      </c>
      <c r="AA582" s="344"/>
      <c r="AB582" s="344"/>
      <c r="AC582" s="31"/>
      <c r="AD582" s="31"/>
      <c r="AE582" s="31">
        <v>0</v>
      </c>
      <c r="AF582" s="31">
        <v>0</v>
      </c>
      <c r="AG582" s="31">
        <v>0</v>
      </c>
      <c r="AH582" s="31"/>
      <c r="AI582" s="31">
        <v>0</v>
      </c>
      <c r="AJ582" s="31">
        <v>0</v>
      </c>
      <c r="AK582" s="359"/>
      <c r="AL582" s="359"/>
      <c r="AM582" s="359"/>
      <c r="AN582" s="31"/>
      <c r="AO582" s="31"/>
      <c r="AP582" s="31"/>
      <c r="AQ582" s="31" t="s">
        <v>2281</v>
      </c>
      <c r="AR582" s="424"/>
    </row>
    <row r="583" spans="1:44" s="217" customFormat="1" ht="15" customHeight="1">
      <c r="A583" s="31">
        <v>2011105</v>
      </c>
      <c r="B583" s="5" t="s">
        <v>3638</v>
      </c>
      <c r="C583" s="224" t="s">
        <v>4727</v>
      </c>
      <c r="D583" s="31" t="s">
        <v>1876</v>
      </c>
      <c r="E583" s="31"/>
      <c r="F583" s="36">
        <v>4</v>
      </c>
      <c r="G583" s="36">
        <v>7</v>
      </c>
      <c r="H583" s="31" t="s">
        <v>136</v>
      </c>
      <c r="I583" s="5" t="s">
        <v>3640</v>
      </c>
      <c r="J583" s="31"/>
      <c r="K583" s="345"/>
      <c r="L583" s="414" t="s">
        <v>2283</v>
      </c>
      <c r="M583" s="343"/>
      <c r="N583" s="343"/>
      <c r="O583" s="414"/>
      <c r="P583" s="344"/>
      <c r="Q583" s="344">
        <v>0</v>
      </c>
      <c r="R583" s="344" t="s">
        <v>153</v>
      </c>
      <c r="S583" s="31">
        <v>2011106</v>
      </c>
      <c r="T583" s="417"/>
      <c r="U583" s="418"/>
      <c r="V583" s="344" t="s">
        <v>582</v>
      </c>
      <c r="W583" s="57" t="s">
        <v>4728</v>
      </c>
      <c r="X583" s="57" t="s">
        <v>4728</v>
      </c>
      <c r="Y583" s="344">
        <v>0</v>
      </c>
      <c r="Z583" s="344">
        <v>0</v>
      </c>
      <c r="AA583" s="344"/>
      <c r="AB583" s="344"/>
      <c r="AC583" s="31"/>
      <c r="AD583" s="31"/>
      <c r="AE583" s="31">
        <v>0</v>
      </c>
      <c r="AF583" s="31">
        <v>0</v>
      </c>
      <c r="AG583" s="31">
        <v>0</v>
      </c>
      <c r="AH583" s="31"/>
      <c r="AI583" s="31">
        <v>0</v>
      </c>
      <c r="AJ583" s="31">
        <v>0</v>
      </c>
      <c r="AK583" s="359"/>
      <c r="AL583" s="359"/>
      <c r="AM583" s="359"/>
      <c r="AN583" s="31"/>
      <c r="AO583" s="31"/>
      <c r="AP583" s="31"/>
      <c r="AQ583" s="31" t="s">
        <v>2285</v>
      </c>
      <c r="AR583" s="424"/>
    </row>
    <row r="584" spans="1:44" ht="15" customHeight="1">
      <c r="A584" s="31">
        <v>2011106</v>
      </c>
      <c r="B584" s="5" t="s">
        <v>3638</v>
      </c>
      <c r="C584" s="224" t="s">
        <v>4729</v>
      </c>
      <c r="D584" s="31" t="s">
        <v>1876</v>
      </c>
      <c r="E584" s="31"/>
      <c r="F584" s="36">
        <v>5</v>
      </c>
      <c r="G584" s="36">
        <v>7</v>
      </c>
      <c r="H584" s="31" t="s">
        <v>136</v>
      </c>
      <c r="I584" s="5" t="s">
        <v>3640</v>
      </c>
      <c r="J584" s="31"/>
      <c r="K584" s="345"/>
      <c r="L584" s="414" t="s">
        <v>2287</v>
      </c>
      <c r="M584" s="343"/>
      <c r="N584" s="343"/>
      <c r="O584" s="414"/>
      <c r="P584" s="344"/>
      <c r="Q584" s="344">
        <v>0</v>
      </c>
      <c r="R584" s="344" t="s">
        <v>153</v>
      </c>
      <c r="S584" s="31">
        <v>2011107</v>
      </c>
      <c r="T584" s="417"/>
      <c r="U584" s="418"/>
      <c r="V584" s="344" t="s">
        <v>582</v>
      </c>
      <c r="W584" s="57" t="s">
        <v>4730</v>
      </c>
      <c r="X584" s="57" t="s">
        <v>4730</v>
      </c>
      <c r="Y584" s="344">
        <v>0</v>
      </c>
      <c r="Z584" s="344">
        <v>0</v>
      </c>
      <c r="AA584" s="344"/>
      <c r="AB584" s="344"/>
      <c r="AC584" s="31"/>
      <c r="AD584" s="31"/>
      <c r="AE584" s="31">
        <v>0</v>
      </c>
      <c r="AF584" s="31">
        <v>0</v>
      </c>
      <c r="AG584" s="31">
        <v>0</v>
      </c>
      <c r="AH584" s="31"/>
      <c r="AI584" s="31">
        <v>0</v>
      </c>
      <c r="AJ584" s="31">
        <v>0</v>
      </c>
      <c r="AK584" s="359"/>
      <c r="AL584" s="359"/>
      <c r="AM584" s="359"/>
      <c r="AN584" s="31"/>
      <c r="AO584" s="31"/>
      <c r="AP584" s="31"/>
      <c r="AQ584" s="31" t="s">
        <v>2289</v>
      </c>
      <c r="AR584" s="424"/>
    </row>
    <row r="585" spans="1:44" s="216" customFormat="1" ht="15" customHeight="1">
      <c r="A585" s="31">
        <v>2011107</v>
      </c>
      <c r="B585" s="5" t="s">
        <v>3638</v>
      </c>
      <c r="C585" s="224" t="s">
        <v>4731</v>
      </c>
      <c r="D585" s="31" t="s">
        <v>1876</v>
      </c>
      <c r="E585" s="31"/>
      <c r="F585" s="36">
        <v>6</v>
      </c>
      <c r="G585" s="36">
        <v>7</v>
      </c>
      <c r="H585" s="31" t="s">
        <v>136</v>
      </c>
      <c r="I585" s="5" t="s">
        <v>3640</v>
      </c>
      <c r="J585" s="31"/>
      <c r="K585" s="345"/>
      <c r="L585" s="414" t="s">
        <v>2291</v>
      </c>
      <c r="M585" s="343"/>
      <c r="N585" s="343"/>
      <c r="O585" s="414"/>
      <c r="P585" s="344"/>
      <c r="Q585" s="344">
        <v>0</v>
      </c>
      <c r="R585" s="344" t="s">
        <v>153</v>
      </c>
      <c r="S585" s="31">
        <v>2011108</v>
      </c>
      <c r="T585" s="417"/>
      <c r="U585" s="418"/>
      <c r="V585" s="344" t="s">
        <v>582</v>
      </c>
      <c r="W585" s="57" t="s">
        <v>4726</v>
      </c>
      <c r="X585" s="57" t="s">
        <v>4726</v>
      </c>
      <c r="Y585" s="344">
        <v>0</v>
      </c>
      <c r="Z585" s="344">
        <v>0</v>
      </c>
      <c r="AA585" s="344"/>
      <c r="AB585" s="344"/>
      <c r="AC585" s="31"/>
      <c r="AD585" s="31"/>
      <c r="AE585" s="31">
        <v>0</v>
      </c>
      <c r="AF585" s="31">
        <v>0</v>
      </c>
      <c r="AG585" s="31">
        <v>0</v>
      </c>
      <c r="AH585" s="31"/>
      <c r="AI585" s="31">
        <v>0</v>
      </c>
      <c r="AJ585" s="31">
        <v>0</v>
      </c>
      <c r="AK585" s="359"/>
      <c r="AL585" s="359"/>
      <c r="AM585" s="359"/>
      <c r="AN585" s="31"/>
      <c r="AO585" s="31"/>
      <c r="AP585" s="31"/>
      <c r="AQ585" s="31" t="s">
        <v>2292</v>
      </c>
      <c r="AR585" s="424"/>
    </row>
    <row r="586" spans="1:44" s="216" customFormat="1" ht="15" customHeight="1">
      <c r="A586" s="31">
        <v>2011108</v>
      </c>
      <c r="B586" s="5" t="s">
        <v>3638</v>
      </c>
      <c r="C586" s="224" t="s">
        <v>4732</v>
      </c>
      <c r="D586" s="31" t="s">
        <v>1876</v>
      </c>
      <c r="E586" s="31"/>
      <c r="F586" s="36">
        <v>7</v>
      </c>
      <c r="G586" s="36">
        <v>7</v>
      </c>
      <c r="H586" s="31" t="s">
        <v>136</v>
      </c>
      <c r="I586" s="5" t="s">
        <v>3640</v>
      </c>
      <c r="J586" s="31"/>
      <c r="K586" s="345"/>
      <c r="L586" s="414" t="s">
        <v>2294</v>
      </c>
      <c r="M586" s="343"/>
      <c r="N586" s="343"/>
      <c r="O586" s="414"/>
      <c r="P586" s="344"/>
      <c r="Q586" s="344">
        <v>0</v>
      </c>
      <c r="R586" s="344" t="s">
        <v>153</v>
      </c>
      <c r="S586" s="31">
        <v>2011110</v>
      </c>
      <c r="T586" s="417"/>
      <c r="U586" s="418"/>
      <c r="V586" s="344" t="s">
        <v>582</v>
      </c>
      <c r="W586" s="57" t="s">
        <v>4733</v>
      </c>
      <c r="X586" s="57" t="s">
        <v>4733</v>
      </c>
      <c r="Y586" s="344">
        <v>0</v>
      </c>
      <c r="Z586" s="344">
        <v>0</v>
      </c>
      <c r="AA586" s="344"/>
      <c r="AB586" s="344"/>
      <c r="AC586" s="31"/>
      <c r="AD586" s="31"/>
      <c r="AE586" s="31">
        <v>0</v>
      </c>
      <c r="AF586" s="31">
        <v>0</v>
      </c>
      <c r="AG586" s="31">
        <v>0</v>
      </c>
      <c r="AH586" s="31"/>
      <c r="AI586" s="31">
        <v>0</v>
      </c>
      <c r="AJ586" s="31">
        <v>0</v>
      </c>
      <c r="AK586" s="359"/>
      <c r="AL586" s="359"/>
      <c r="AM586" s="359"/>
      <c r="AN586" s="31"/>
      <c r="AO586" s="31"/>
      <c r="AP586" s="31"/>
      <c r="AQ586" s="31" t="s">
        <v>2296</v>
      </c>
      <c r="AR586" s="424"/>
    </row>
    <row r="587" spans="1:44" s="216" customFormat="1" ht="15" customHeight="1">
      <c r="A587" s="3">
        <v>2011109</v>
      </c>
      <c r="B587" s="5" t="s">
        <v>3638</v>
      </c>
      <c r="C587" s="224" t="s">
        <v>4734</v>
      </c>
      <c r="D587" s="44" t="s">
        <v>1876</v>
      </c>
      <c r="E587" s="41"/>
      <c r="F587" s="3">
        <v>8</v>
      </c>
      <c r="G587" s="36">
        <v>7</v>
      </c>
      <c r="H587" s="3" t="s">
        <v>136</v>
      </c>
      <c r="I587" s="5" t="s">
        <v>3640</v>
      </c>
      <c r="J587" s="3"/>
      <c r="K587" s="3"/>
      <c r="L587" s="236"/>
      <c r="M587" s="99"/>
      <c r="N587" s="99"/>
      <c r="O587" s="236"/>
      <c r="P587" s="22"/>
      <c r="Q587" s="22">
        <v>0</v>
      </c>
      <c r="R587" s="22" t="s">
        <v>153</v>
      </c>
      <c r="S587" s="3"/>
      <c r="T587" s="260"/>
      <c r="U587" s="261"/>
      <c r="V587" s="22"/>
      <c r="W587" s="57" t="s">
        <v>4535</v>
      </c>
      <c r="X587" s="57" t="s">
        <v>4535</v>
      </c>
      <c r="Y587" s="22"/>
      <c r="Z587" s="22"/>
      <c r="AA587" s="22"/>
      <c r="AB587" s="22" t="s">
        <v>114</v>
      </c>
      <c r="AC587" s="3"/>
      <c r="AD587" s="3"/>
      <c r="AE587" s="3">
        <v>0</v>
      </c>
      <c r="AF587" s="3">
        <v>0</v>
      </c>
      <c r="AG587" s="3">
        <v>0</v>
      </c>
      <c r="AH587" s="3"/>
      <c r="AI587" s="3">
        <v>0</v>
      </c>
      <c r="AJ587" s="3">
        <v>0</v>
      </c>
      <c r="AK587" s="3">
        <v>0</v>
      </c>
      <c r="AL587" s="3"/>
      <c r="AM587" s="3"/>
      <c r="AN587" s="3"/>
      <c r="AO587" s="3"/>
      <c r="AP587" s="3"/>
      <c r="AQ587" s="3" t="s">
        <v>2277</v>
      </c>
      <c r="AR587" s="281"/>
    </row>
    <row r="588" spans="1:44" s="216" customFormat="1" ht="15" customHeight="1">
      <c r="A588" s="3">
        <v>2011110</v>
      </c>
      <c r="B588" s="5" t="s">
        <v>3638</v>
      </c>
      <c r="C588" s="224" t="s">
        <v>4735</v>
      </c>
      <c r="D588" s="3" t="s">
        <v>1876</v>
      </c>
      <c r="E588" s="1"/>
      <c r="F588" s="3">
        <v>9</v>
      </c>
      <c r="G588" s="36">
        <v>7</v>
      </c>
      <c r="H588" s="3" t="s">
        <v>136</v>
      </c>
      <c r="I588" s="5" t="s">
        <v>3640</v>
      </c>
      <c r="J588" s="3"/>
      <c r="K588" s="3"/>
      <c r="L588" s="236"/>
      <c r="M588" s="99"/>
      <c r="N588" s="99"/>
      <c r="O588" s="236"/>
      <c r="P588" s="22"/>
      <c r="Q588" s="22">
        <v>0</v>
      </c>
      <c r="R588" s="22" t="s">
        <v>153</v>
      </c>
      <c r="S588" s="3"/>
      <c r="T588" s="260"/>
      <c r="U588" s="261"/>
      <c r="V588" s="22"/>
      <c r="W588" s="57" t="s">
        <v>4736</v>
      </c>
      <c r="X588" s="57" t="s">
        <v>4736</v>
      </c>
      <c r="Y588" s="22"/>
      <c r="Z588" s="22"/>
      <c r="AA588" s="22"/>
      <c r="AB588" s="22" t="s">
        <v>114</v>
      </c>
      <c r="AC588" s="3"/>
      <c r="AD588" s="3"/>
      <c r="AE588" s="3">
        <v>0</v>
      </c>
      <c r="AF588" s="3">
        <v>0</v>
      </c>
      <c r="AG588" s="3">
        <v>0</v>
      </c>
      <c r="AH588" s="3"/>
      <c r="AI588" s="3">
        <v>0</v>
      </c>
      <c r="AJ588" s="3">
        <v>0</v>
      </c>
      <c r="AK588" s="3">
        <v>0</v>
      </c>
      <c r="AL588" s="3"/>
      <c r="AM588" s="3"/>
      <c r="AN588" s="3"/>
      <c r="AO588" s="3"/>
      <c r="AP588" s="3"/>
      <c r="AQ588" s="282" t="str">
        <f>"tricks/"&amp;A588</f>
        <v>tricks/2011110</v>
      </c>
      <c r="AR588" s="222"/>
    </row>
    <row r="589" spans="1:44" s="216" customFormat="1" ht="15" customHeight="1">
      <c r="A589" s="3">
        <v>2011111</v>
      </c>
      <c r="B589" s="5" t="s">
        <v>3638</v>
      </c>
      <c r="C589" s="224" t="s">
        <v>4737</v>
      </c>
      <c r="D589" s="3" t="s">
        <v>1876</v>
      </c>
      <c r="E589" s="1"/>
      <c r="F589" s="3">
        <v>10</v>
      </c>
      <c r="G589" s="36">
        <v>7</v>
      </c>
      <c r="H589" s="3" t="s">
        <v>136</v>
      </c>
      <c r="I589" s="5" t="s">
        <v>3640</v>
      </c>
      <c r="J589" s="3"/>
      <c r="K589" s="3"/>
      <c r="L589" s="236"/>
      <c r="M589" s="99"/>
      <c r="N589" s="99"/>
      <c r="O589" s="236"/>
      <c r="P589" s="22"/>
      <c r="Q589" s="22">
        <v>0</v>
      </c>
      <c r="R589" s="22" t="s">
        <v>153</v>
      </c>
      <c r="S589" s="3"/>
      <c r="T589" s="260"/>
      <c r="U589" s="261"/>
      <c r="V589" s="22"/>
      <c r="W589" s="57" t="s">
        <v>4738</v>
      </c>
      <c r="X589" s="57" t="s">
        <v>4738</v>
      </c>
      <c r="Y589" s="22"/>
      <c r="Z589" s="22"/>
      <c r="AA589" s="22"/>
      <c r="AB589" s="22" t="s">
        <v>114</v>
      </c>
      <c r="AC589" s="3"/>
      <c r="AD589" s="3"/>
      <c r="AE589" s="3">
        <v>0</v>
      </c>
      <c r="AF589" s="3">
        <v>0</v>
      </c>
      <c r="AG589" s="3">
        <v>0</v>
      </c>
      <c r="AH589" s="3"/>
      <c r="AI589" s="3">
        <v>0</v>
      </c>
      <c r="AJ589" s="3">
        <v>0</v>
      </c>
      <c r="AK589" s="3">
        <v>0</v>
      </c>
      <c r="AL589" s="3"/>
      <c r="AM589" s="3"/>
      <c r="AN589" s="3"/>
      <c r="AO589" s="3"/>
      <c r="AP589" s="3"/>
      <c r="AQ589" s="282" t="str">
        <f>"tricks/"&amp;A589</f>
        <v>tricks/2011111</v>
      </c>
      <c r="AR589" s="222"/>
    </row>
    <row r="590" spans="1:44" s="216" customFormat="1" ht="15" customHeight="1">
      <c r="A590" s="6">
        <v>2011201</v>
      </c>
      <c r="B590" s="5" t="s">
        <v>3638</v>
      </c>
      <c r="C590" s="224" t="s">
        <v>4739</v>
      </c>
      <c r="D590" s="6" t="s">
        <v>1876</v>
      </c>
      <c r="E590" s="6"/>
      <c r="F590" s="36">
        <v>1</v>
      </c>
      <c r="G590" s="36">
        <v>7</v>
      </c>
      <c r="H590" s="6" t="s">
        <v>82</v>
      </c>
      <c r="I590" s="5" t="s">
        <v>3640</v>
      </c>
      <c r="J590" s="6"/>
      <c r="K590" s="394"/>
      <c r="L590" s="234" t="s">
        <v>2304</v>
      </c>
      <c r="M590" s="235"/>
      <c r="N590" s="378">
        <v>8</v>
      </c>
      <c r="O590" s="234"/>
      <c r="P590" s="40"/>
      <c r="Q590" s="40">
        <v>0</v>
      </c>
      <c r="R590" s="40" t="s">
        <v>85</v>
      </c>
      <c r="S590" s="6"/>
      <c r="T590" s="258" t="s">
        <v>86</v>
      </c>
      <c r="U590" s="259" t="s">
        <v>87</v>
      </c>
      <c r="V590" s="40"/>
      <c r="W590" s="57" t="s">
        <v>4740</v>
      </c>
      <c r="X590" s="57" t="s">
        <v>4740</v>
      </c>
      <c r="Y590" s="40">
        <v>0</v>
      </c>
      <c r="Z590" s="40">
        <v>0</v>
      </c>
      <c r="AA590" s="40"/>
      <c r="AB590" s="40"/>
      <c r="AC590" s="6"/>
      <c r="AD590" s="6"/>
      <c r="AE590" s="6">
        <v>1</v>
      </c>
      <c r="AF590" s="6">
        <v>1</v>
      </c>
      <c r="AG590" s="6">
        <v>25</v>
      </c>
      <c r="AH590" s="6"/>
      <c r="AI590" s="6"/>
      <c r="AJ590" s="6"/>
      <c r="AK590" s="272"/>
      <c r="AL590" s="272"/>
      <c r="AM590" s="272"/>
      <c r="AN590" s="43" t="s">
        <v>2306</v>
      </c>
      <c r="AO590" s="6"/>
      <c r="AP590" s="6"/>
      <c r="AQ590" s="6" t="s">
        <v>2307</v>
      </c>
      <c r="AR590" s="280"/>
    </row>
    <row r="591" spans="1:44" s="216" customFormat="1" ht="15" customHeight="1">
      <c r="A591" s="6">
        <v>2011202</v>
      </c>
      <c r="B591" s="5" t="s">
        <v>3638</v>
      </c>
      <c r="C591" s="224" t="s">
        <v>4741</v>
      </c>
      <c r="D591" s="6" t="s">
        <v>1876</v>
      </c>
      <c r="E591" s="6"/>
      <c r="F591" s="36">
        <v>1</v>
      </c>
      <c r="G591" s="36">
        <v>7</v>
      </c>
      <c r="H591" s="6" t="s">
        <v>136</v>
      </c>
      <c r="I591" s="5" t="s">
        <v>3640</v>
      </c>
      <c r="J591" s="6"/>
      <c r="K591" s="394"/>
      <c r="L591" s="234" t="s">
        <v>2309</v>
      </c>
      <c r="M591" s="235"/>
      <c r="N591" s="235"/>
      <c r="O591" s="234"/>
      <c r="P591" s="40"/>
      <c r="Q591" s="40">
        <v>0</v>
      </c>
      <c r="R591" s="40" t="s">
        <v>153</v>
      </c>
      <c r="S591" s="6"/>
      <c r="T591" s="258"/>
      <c r="U591" s="259"/>
      <c r="V591" s="40"/>
      <c r="W591" s="57" t="s">
        <v>4742</v>
      </c>
      <c r="X591" s="57" t="s">
        <v>4742</v>
      </c>
      <c r="Y591" s="40">
        <v>0</v>
      </c>
      <c r="Z591" s="40">
        <v>0</v>
      </c>
      <c r="AA591" s="40"/>
      <c r="AB591" s="40"/>
      <c r="AC591" s="6"/>
      <c r="AD591" s="6"/>
      <c r="AE591" s="6">
        <v>0</v>
      </c>
      <c r="AF591" s="6">
        <v>0</v>
      </c>
      <c r="AG591" s="6">
        <v>0</v>
      </c>
      <c r="AH591" s="6"/>
      <c r="AI591" s="6">
        <v>0</v>
      </c>
      <c r="AJ591" s="6">
        <v>0</v>
      </c>
      <c r="AK591" s="272"/>
      <c r="AL591" s="272"/>
      <c r="AM591" s="272"/>
      <c r="AN591" s="6"/>
      <c r="AO591" s="6"/>
      <c r="AP591" s="6"/>
      <c r="AQ591" s="6" t="s">
        <v>2311</v>
      </c>
      <c r="AR591" s="280"/>
    </row>
    <row r="592" spans="1:44" s="216" customFormat="1" ht="15" customHeight="1">
      <c r="A592" s="6">
        <v>2011203</v>
      </c>
      <c r="B592" s="5" t="s">
        <v>3638</v>
      </c>
      <c r="C592" s="224" t="s">
        <v>4743</v>
      </c>
      <c r="D592" s="6" t="s">
        <v>1876</v>
      </c>
      <c r="E592" s="6"/>
      <c r="F592" s="36">
        <v>2</v>
      </c>
      <c r="G592" s="36">
        <v>7</v>
      </c>
      <c r="H592" s="6" t="s">
        <v>136</v>
      </c>
      <c r="I592" s="5" t="s">
        <v>3640</v>
      </c>
      <c r="J592" s="6"/>
      <c r="K592" s="394"/>
      <c r="L592" s="234" t="s">
        <v>2000</v>
      </c>
      <c r="M592" s="235"/>
      <c r="N592" s="235"/>
      <c r="O592" s="234"/>
      <c r="P592" s="40"/>
      <c r="Q592" s="40">
        <v>0</v>
      </c>
      <c r="R592" s="40" t="s">
        <v>153</v>
      </c>
      <c r="S592" s="6"/>
      <c r="T592" s="258"/>
      <c r="U592" s="259"/>
      <c r="V592" s="40"/>
      <c r="W592" s="57" t="s">
        <v>4584</v>
      </c>
      <c r="X592" s="57" t="s">
        <v>4584</v>
      </c>
      <c r="Y592" s="40">
        <v>0</v>
      </c>
      <c r="Z592" s="40">
        <v>0</v>
      </c>
      <c r="AA592" s="40"/>
      <c r="AB592" s="40"/>
      <c r="AC592" s="6"/>
      <c r="AD592" s="6"/>
      <c r="AE592" s="6">
        <v>0</v>
      </c>
      <c r="AF592" s="6">
        <v>0</v>
      </c>
      <c r="AG592" s="6">
        <v>0</v>
      </c>
      <c r="AH592" s="6"/>
      <c r="AI592" s="6">
        <v>0</v>
      </c>
      <c r="AJ592" s="6">
        <v>0</v>
      </c>
      <c r="AK592" s="272"/>
      <c r="AL592" s="272"/>
      <c r="AM592" s="272"/>
      <c r="AN592" s="6"/>
      <c r="AO592" s="6"/>
      <c r="AP592" s="6"/>
      <c r="AQ592" s="6" t="s">
        <v>2314</v>
      </c>
      <c r="AR592" s="280"/>
    </row>
    <row r="593" spans="1:44" ht="15" customHeight="1">
      <c r="A593" s="6">
        <v>2011204</v>
      </c>
      <c r="B593" s="5" t="s">
        <v>3638</v>
      </c>
      <c r="C593" s="224" t="s">
        <v>4744</v>
      </c>
      <c r="D593" s="42" t="s">
        <v>1876</v>
      </c>
      <c r="E593" s="42"/>
      <c r="F593" s="36">
        <v>3</v>
      </c>
      <c r="G593" s="36">
        <v>7</v>
      </c>
      <c r="H593" s="42" t="s">
        <v>136</v>
      </c>
      <c r="I593" s="5" t="s">
        <v>3640</v>
      </c>
      <c r="J593" s="42"/>
      <c r="K593" s="475"/>
      <c r="L593" s="476" t="s">
        <v>2316</v>
      </c>
      <c r="M593" s="477"/>
      <c r="N593" s="477"/>
      <c r="O593" s="476"/>
      <c r="P593" s="478"/>
      <c r="Q593" s="478">
        <v>0</v>
      </c>
      <c r="R593" s="478" t="s">
        <v>153</v>
      </c>
      <c r="S593" s="42"/>
      <c r="T593" s="258"/>
      <c r="U593" s="259"/>
      <c r="V593" s="478"/>
      <c r="W593" s="57" t="s">
        <v>4745</v>
      </c>
      <c r="X593" s="57" t="s">
        <v>4745</v>
      </c>
      <c r="Y593" s="40">
        <v>0</v>
      </c>
      <c r="Z593" s="40">
        <v>0</v>
      </c>
      <c r="AA593" s="478"/>
      <c r="AB593" s="478"/>
      <c r="AC593" s="42"/>
      <c r="AD593" s="42"/>
      <c r="AE593" s="42">
        <v>0</v>
      </c>
      <c r="AF593" s="42">
        <v>0</v>
      </c>
      <c r="AG593" s="42">
        <v>0</v>
      </c>
      <c r="AH593" s="42"/>
      <c r="AI593" s="42">
        <v>0</v>
      </c>
      <c r="AJ593" s="42">
        <v>0</v>
      </c>
      <c r="AK593" s="491"/>
      <c r="AL593" s="491"/>
      <c r="AM593" s="491"/>
      <c r="AN593" s="42"/>
      <c r="AO593" s="42"/>
      <c r="AP593" s="42"/>
      <c r="AQ593" s="42" t="s">
        <v>2318</v>
      </c>
      <c r="AR593" s="280"/>
    </row>
    <row r="594" spans="1:44" s="218" customFormat="1" ht="15" customHeight="1">
      <c r="A594" s="6">
        <v>2011205</v>
      </c>
      <c r="B594" s="5" t="s">
        <v>3638</v>
      </c>
      <c r="C594" s="224" t="s">
        <v>4746</v>
      </c>
      <c r="D594" s="42" t="s">
        <v>1876</v>
      </c>
      <c r="E594" s="42"/>
      <c r="F594" s="36">
        <v>4</v>
      </c>
      <c r="G594" s="36">
        <v>7</v>
      </c>
      <c r="H594" s="42" t="s">
        <v>136</v>
      </c>
      <c r="I594" s="5" t="s">
        <v>3640</v>
      </c>
      <c r="J594" s="42"/>
      <c r="K594" s="475"/>
      <c r="L594" s="476" t="s">
        <v>2320</v>
      </c>
      <c r="M594" s="477"/>
      <c r="N594" s="477"/>
      <c r="O594" s="476"/>
      <c r="P594" s="478"/>
      <c r="Q594" s="478">
        <v>0</v>
      </c>
      <c r="R594" s="478" t="s">
        <v>153</v>
      </c>
      <c r="S594" s="42"/>
      <c r="T594" s="258"/>
      <c r="U594" s="259"/>
      <c r="V594" s="478"/>
      <c r="W594" s="57" t="s">
        <v>4747</v>
      </c>
      <c r="X594" s="57" t="s">
        <v>4747</v>
      </c>
      <c r="Y594" s="40">
        <v>0</v>
      </c>
      <c r="Z594" s="40">
        <v>0</v>
      </c>
      <c r="AA594" s="478"/>
      <c r="AB594" s="478"/>
      <c r="AC594" s="42"/>
      <c r="AD594" s="42"/>
      <c r="AE594" s="42">
        <v>0</v>
      </c>
      <c r="AF594" s="42">
        <v>0</v>
      </c>
      <c r="AG594" s="42">
        <v>0</v>
      </c>
      <c r="AH594" s="42"/>
      <c r="AI594" s="42">
        <v>0</v>
      </c>
      <c r="AJ594" s="42">
        <v>0</v>
      </c>
      <c r="AK594" s="491"/>
      <c r="AL594" s="491"/>
      <c r="AM594" s="491"/>
      <c r="AN594" s="42"/>
      <c r="AO594" s="42"/>
      <c r="AP594" s="42"/>
      <c r="AQ594" s="42" t="s">
        <v>2322</v>
      </c>
      <c r="AR594" s="280"/>
    </row>
    <row r="595" spans="1:44" s="218" customFormat="1" ht="15" customHeight="1">
      <c r="A595" s="6">
        <v>2011206</v>
      </c>
      <c r="B595" s="5" t="s">
        <v>3638</v>
      </c>
      <c r="C595" s="224" t="s">
        <v>4748</v>
      </c>
      <c r="D595" s="42" t="s">
        <v>1876</v>
      </c>
      <c r="E595" s="42"/>
      <c r="F595" s="36">
        <v>5</v>
      </c>
      <c r="G595" s="36">
        <v>7</v>
      </c>
      <c r="H595" s="42" t="s">
        <v>136</v>
      </c>
      <c r="I595" s="5" t="s">
        <v>3640</v>
      </c>
      <c r="J595" s="42"/>
      <c r="K595" s="475"/>
      <c r="L595" s="476" t="s">
        <v>2324</v>
      </c>
      <c r="M595" s="477"/>
      <c r="N595" s="477"/>
      <c r="O595" s="476"/>
      <c r="P595" s="478"/>
      <c r="Q595" s="478">
        <v>0</v>
      </c>
      <c r="R595" s="478" t="s">
        <v>153</v>
      </c>
      <c r="S595" s="42"/>
      <c r="T595" s="258"/>
      <c r="U595" s="259"/>
      <c r="V595" s="478"/>
      <c r="W595" s="57" t="s">
        <v>4749</v>
      </c>
      <c r="X595" s="57" t="s">
        <v>4749</v>
      </c>
      <c r="Y595" s="40">
        <v>0</v>
      </c>
      <c r="Z595" s="40">
        <v>0</v>
      </c>
      <c r="AA595" s="478"/>
      <c r="AB595" s="478"/>
      <c r="AC595" s="42"/>
      <c r="AD595" s="42"/>
      <c r="AE595" s="42">
        <v>0</v>
      </c>
      <c r="AF595" s="42">
        <v>0</v>
      </c>
      <c r="AG595" s="42">
        <v>0</v>
      </c>
      <c r="AH595" s="42"/>
      <c r="AI595" s="42">
        <v>0</v>
      </c>
      <c r="AJ595" s="42">
        <v>0</v>
      </c>
      <c r="AK595" s="491"/>
      <c r="AL595" s="491"/>
      <c r="AM595" s="491"/>
      <c r="AN595" s="42"/>
      <c r="AO595" s="42"/>
      <c r="AP595" s="42"/>
      <c r="AQ595" s="42" t="s">
        <v>2326</v>
      </c>
      <c r="AR595" s="280"/>
    </row>
    <row r="596" spans="1:44" s="218" customFormat="1" ht="15" customHeight="1">
      <c r="A596" s="6">
        <v>2011207</v>
      </c>
      <c r="B596" s="5" t="s">
        <v>3638</v>
      </c>
      <c r="C596" s="224" t="s">
        <v>4750</v>
      </c>
      <c r="D596" s="42" t="s">
        <v>1876</v>
      </c>
      <c r="E596" s="42"/>
      <c r="F596" s="36">
        <v>6</v>
      </c>
      <c r="G596" s="36">
        <v>7</v>
      </c>
      <c r="H596" s="42" t="s">
        <v>136</v>
      </c>
      <c r="I596" s="5" t="s">
        <v>3640</v>
      </c>
      <c r="J596" s="42"/>
      <c r="K596" s="475"/>
      <c r="L596" s="476" t="s">
        <v>2328</v>
      </c>
      <c r="M596" s="477"/>
      <c r="N596" s="477"/>
      <c r="O596" s="476"/>
      <c r="P596" s="478"/>
      <c r="Q596" s="478">
        <v>0</v>
      </c>
      <c r="R596" s="478" t="s">
        <v>153</v>
      </c>
      <c r="S596" s="42"/>
      <c r="T596" s="258"/>
      <c r="U596" s="259"/>
      <c r="V596" s="478"/>
      <c r="W596" s="57" t="s">
        <v>4751</v>
      </c>
      <c r="X596" s="57" t="s">
        <v>4751</v>
      </c>
      <c r="Y596" s="40">
        <v>0</v>
      </c>
      <c r="Z596" s="40">
        <v>0</v>
      </c>
      <c r="AA596" s="478"/>
      <c r="AB596" s="478"/>
      <c r="AC596" s="42"/>
      <c r="AD596" s="42"/>
      <c r="AE596" s="42">
        <v>0</v>
      </c>
      <c r="AF596" s="42">
        <v>0</v>
      </c>
      <c r="AG596" s="42">
        <v>0</v>
      </c>
      <c r="AH596" s="42"/>
      <c r="AI596" s="42">
        <v>0</v>
      </c>
      <c r="AJ596" s="42">
        <v>0</v>
      </c>
      <c r="AK596" s="491"/>
      <c r="AL596" s="491"/>
      <c r="AM596" s="491"/>
      <c r="AN596" s="42"/>
      <c r="AO596" s="42"/>
      <c r="AP596" s="42"/>
      <c r="AQ596" s="42" t="s">
        <v>2330</v>
      </c>
      <c r="AR596" s="280"/>
    </row>
    <row r="597" spans="1:44" s="218" customFormat="1" ht="15" customHeight="1">
      <c r="A597" s="6">
        <v>2011208</v>
      </c>
      <c r="B597" s="5" t="s">
        <v>3638</v>
      </c>
      <c r="C597" s="224" t="s">
        <v>4752</v>
      </c>
      <c r="D597" s="42" t="s">
        <v>1876</v>
      </c>
      <c r="E597" s="42"/>
      <c r="F597" s="36">
        <v>7</v>
      </c>
      <c r="G597" s="36">
        <v>7</v>
      </c>
      <c r="H597" s="42" t="s">
        <v>136</v>
      </c>
      <c r="I597" s="5" t="s">
        <v>3640</v>
      </c>
      <c r="J597" s="42"/>
      <c r="K597" s="475"/>
      <c r="L597" s="476" t="s">
        <v>2332</v>
      </c>
      <c r="M597" s="477"/>
      <c r="N597" s="477"/>
      <c r="O597" s="476"/>
      <c r="P597" s="478"/>
      <c r="Q597" s="478">
        <v>0</v>
      </c>
      <c r="R597" s="478" t="s">
        <v>153</v>
      </c>
      <c r="S597" s="42"/>
      <c r="T597" s="258"/>
      <c r="U597" s="259"/>
      <c r="V597" s="478"/>
      <c r="W597" s="57" t="s">
        <v>4753</v>
      </c>
      <c r="X597" s="57" t="s">
        <v>4753</v>
      </c>
      <c r="Y597" s="40">
        <v>0</v>
      </c>
      <c r="Z597" s="40">
        <v>0</v>
      </c>
      <c r="AA597" s="478"/>
      <c r="AB597" s="478"/>
      <c r="AC597" s="42"/>
      <c r="AD597" s="42"/>
      <c r="AE597" s="42">
        <v>0</v>
      </c>
      <c r="AF597" s="42">
        <v>0</v>
      </c>
      <c r="AG597" s="42">
        <v>0</v>
      </c>
      <c r="AH597" s="42"/>
      <c r="AI597" s="42">
        <v>0</v>
      </c>
      <c r="AJ597" s="42">
        <v>0</v>
      </c>
      <c r="AK597" s="491"/>
      <c r="AL597" s="491"/>
      <c r="AM597" s="491"/>
      <c r="AN597" s="42"/>
      <c r="AO597" s="42"/>
      <c r="AP597" s="42"/>
      <c r="AQ597" s="42" t="s">
        <v>2334</v>
      </c>
      <c r="AR597" s="280"/>
    </row>
    <row r="598" spans="1:44" s="218" customFormat="1" ht="15" customHeight="1">
      <c r="A598" s="3">
        <v>2011209</v>
      </c>
      <c r="B598" s="5" t="s">
        <v>3638</v>
      </c>
      <c r="C598" s="224" t="s">
        <v>4754</v>
      </c>
      <c r="D598" s="44" t="s">
        <v>1876</v>
      </c>
      <c r="E598" s="41"/>
      <c r="F598" s="3">
        <v>8</v>
      </c>
      <c r="G598" s="36">
        <v>7</v>
      </c>
      <c r="H598" s="3" t="s">
        <v>136</v>
      </c>
      <c r="I598" s="5" t="s">
        <v>3640</v>
      </c>
      <c r="J598" s="3"/>
      <c r="K598" s="3"/>
      <c r="L598" s="236"/>
      <c r="M598" s="99"/>
      <c r="N598" s="99"/>
      <c r="O598" s="236"/>
      <c r="P598" s="22"/>
      <c r="Q598" s="22">
        <v>0</v>
      </c>
      <c r="R598" s="22" t="s">
        <v>153</v>
      </c>
      <c r="S598" s="3"/>
      <c r="T598" s="260"/>
      <c r="U598" s="261"/>
      <c r="V598" s="22"/>
      <c r="W598" s="57" t="s">
        <v>4535</v>
      </c>
      <c r="X598" s="57" t="s">
        <v>4535</v>
      </c>
      <c r="Y598" s="22"/>
      <c r="Z598" s="22"/>
      <c r="AA598" s="22"/>
      <c r="AB598" s="22" t="s">
        <v>114</v>
      </c>
      <c r="AC598" s="3"/>
      <c r="AD598" s="3"/>
      <c r="AE598" s="3">
        <v>0</v>
      </c>
      <c r="AF598" s="3">
        <v>0</v>
      </c>
      <c r="AG598" s="3">
        <v>0</v>
      </c>
      <c r="AH598" s="3"/>
      <c r="AI598" s="3">
        <v>0</v>
      </c>
      <c r="AJ598" s="3">
        <v>0</v>
      </c>
      <c r="AK598" s="3">
        <v>0</v>
      </c>
      <c r="AL598" s="3"/>
      <c r="AM598" s="3"/>
      <c r="AN598" s="3"/>
      <c r="AO598" s="3"/>
      <c r="AP598" s="3"/>
      <c r="AQ598" s="3" t="s">
        <v>2314</v>
      </c>
      <c r="AR598" s="281"/>
    </row>
    <row r="599" spans="1:44" s="218" customFormat="1" ht="15" customHeight="1">
      <c r="A599" s="3">
        <v>2011210</v>
      </c>
      <c r="B599" s="5" t="s">
        <v>3638</v>
      </c>
      <c r="C599" s="224" t="s">
        <v>4755</v>
      </c>
      <c r="D599" s="3" t="s">
        <v>1876</v>
      </c>
      <c r="E599" s="1"/>
      <c r="F599" s="3">
        <v>9</v>
      </c>
      <c r="G599" s="36">
        <v>7</v>
      </c>
      <c r="H599" s="3" t="s">
        <v>136</v>
      </c>
      <c r="I599" s="5" t="s">
        <v>3640</v>
      </c>
      <c r="J599" s="3"/>
      <c r="K599" s="3"/>
      <c r="L599" s="236"/>
      <c r="M599" s="99"/>
      <c r="N599" s="99"/>
      <c r="O599" s="236"/>
      <c r="P599" s="22"/>
      <c r="Q599" s="22">
        <v>0</v>
      </c>
      <c r="R599" s="22" t="s">
        <v>153</v>
      </c>
      <c r="S599" s="3"/>
      <c r="T599" s="260"/>
      <c r="U599" s="261"/>
      <c r="V599" s="22"/>
      <c r="W599" s="57" t="s">
        <v>4745</v>
      </c>
      <c r="X599" s="57" t="s">
        <v>4745</v>
      </c>
      <c r="Y599" s="22"/>
      <c r="Z599" s="22"/>
      <c r="AA599" s="22"/>
      <c r="AB599" s="22" t="s">
        <v>114</v>
      </c>
      <c r="AC599" s="3"/>
      <c r="AD599" s="3"/>
      <c r="AE599" s="3">
        <v>0</v>
      </c>
      <c r="AF599" s="3">
        <v>0</v>
      </c>
      <c r="AG599" s="3">
        <v>0</v>
      </c>
      <c r="AH599" s="3"/>
      <c r="AI599" s="3">
        <v>0</v>
      </c>
      <c r="AJ599" s="3">
        <v>0</v>
      </c>
      <c r="AK599" s="3">
        <v>0</v>
      </c>
      <c r="AL599" s="3"/>
      <c r="AM599" s="3"/>
      <c r="AN599" s="3"/>
      <c r="AO599" s="3"/>
      <c r="AP599" s="3"/>
      <c r="AQ599" s="282" t="str">
        <f>"tricks/"&amp;A599</f>
        <v>tricks/2011210</v>
      </c>
      <c r="AR599" s="222"/>
    </row>
    <row r="600" spans="1:44" s="218" customFormat="1" ht="15" customHeight="1">
      <c r="A600" s="3">
        <v>2011211</v>
      </c>
      <c r="B600" s="5" t="s">
        <v>3638</v>
      </c>
      <c r="C600" s="224" t="s">
        <v>4756</v>
      </c>
      <c r="D600" s="3" t="s">
        <v>1876</v>
      </c>
      <c r="E600" s="1"/>
      <c r="F600" s="3">
        <v>10</v>
      </c>
      <c r="G600" s="36">
        <v>7</v>
      </c>
      <c r="H600" s="3" t="s">
        <v>136</v>
      </c>
      <c r="I600" s="5" t="s">
        <v>3640</v>
      </c>
      <c r="J600" s="3"/>
      <c r="K600" s="3"/>
      <c r="L600" s="236"/>
      <c r="M600" s="99"/>
      <c r="N600" s="99"/>
      <c r="O600" s="236"/>
      <c r="P600" s="22"/>
      <c r="Q600" s="22">
        <v>0</v>
      </c>
      <c r="R600" s="22" t="s">
        <v>153</v>
      </c>
      <c r="S600" s="3"/>
      <c r="T600" s="260"/>
      <c r="U600" s="261"/>
      <c r="V600" s="22"/>
      <c r="W600" s="57" t="s">
        <v>4757</v>
      </c>
      <c r="X600" s="57" t="s">
        <v>4757</v>
      </c>
      <c r="Y600" s="22"/>
      <c r="Z600" s="22"/>
      <c r="AA600" s="22"/>
      <c r="AB600" s="22" t="s">
        <v>114</v>
      </c>
      <c r="AC600" s="3"/>
      <c r="AD600" s="3"/>
      <c r="AE600" s="3">
        <v>0</v>
      </c>
      <c r="AF600" s="3">
        <v>0</v>
      </c>
      <c r="AG600" s="3">
        <v>0</v>
      </c>
      <c r="AH600" s="3"/>
      <c r="AI600" s="3">
        <v>0</v>
      </c>
      <c r="AJ600" s="3">
        <v>0</v>
      </c>
      <c r="AK600" s="3">
        <v>0</v>
      </c>
      <c r="AL600" s="3"/>
      <c r="AM600" s="3"/>
      <c r="AN600" s="3"/>
      <c r="AO600" s="3"/>
      <c r="AP600" s="3"/>
      <c r="AQ600" s="282" t="str">
        <f>"tricks/"&amp;A600</f>
        <v>tricks/2011211</v>
      </c>
      <c r="AR600" s="222"/>
    </row>
    <row r="601" spans="1:44" s="218" customFormat="1" ht="15" customHeight="1">
      <c r="A601" s="43">
        <v>2011301</v>
      </c>
      <c r="B601" s="5" t="s">
        <v>3638</v>
      </c>
      <c r="C601" s="224" t="s">
        <v>4758</v>
      </c>
      <c r="D601" s="43" t="s">
        <v>1876</v>
      </c>
      <c r="E601" s="43"/>
      <c r="F601" s="36">
        <v>1</v>
      </c>
      <c r="G601" s="36">
        <v>7</v>
      </c>
      <c r="H601" s="43" t="s">
        <v>82</v>
      </c>
      <c r="I601" s="5" t="s">
        <v>3640</v>
      </c>
      <c r="J601" s="43"/>
      <c r="K601" s="479"/>
      <c r="L601" s="480" t="s">
        <v>2342</v>
      </c>
      <c r="M601" s="481"/>
      <c r="N601" s="378">
        <v>9</v>
      </c>
      <c r="O601" s="480"/>
      <c r="P601" s="463"/>
      <c r="Q601" s="463">
        <v>0</v>
      </c>
      <c r="R601" s="463" t="s">
        <v>153</v>
      </c>
      <c r="S601" s="43"/>
      <c r="T601" s="390"/>
      <c r="U601" s="391"/>
      <c r="V601" s="463"/>
      <c r="W601" s="57" t="s">
        <v>4759</v>
      </c>
      <c r="X601" s="57" t="s">
        <v>4759</v>
      </c>
      <c r="Y601" s="463">
        <v>0</v>
      </c>
      <c r="Z601" s="463">
        <v>0</v>
      </c>
      <c r="AA601" s="463"/>
      <c r="AB601" s="463"/>
      <c r="AC601" s="43"/>
      <c r="AD601" s="43"/>
      <c r="AE601" s="43">
        <v>1</v>
      </c>
      <c r="AF601" s="43">
        <v>2</v>
      </c>
      <c r="AG601" s="43">
        <v>40</v>
      </c>
      <c r="AH601" s="43"/>
      <c r="AI601" s="43"/>
      <c r="AJ601" s="43"/>
      <c r="AK601" s="492"/>
      <c r="AL601" s="492"/>
      <c r="AM601" s="492"/>
      <c r="AN601" s="43" t="s">
        <v>2344</v>
      </c>
      <c r="AO601" s="43"/>
      <c r="AP601" s="43"/>
      <c r="AQ601" s="43" t="s">
        <v>2345</v>
      </c>
      <c r="AR601" s="407"/>
    </row>
    <row r="602" spans="1:44" s="52" customFormat="1" ht="15" customHeight="1">
      <c r="A602" s="43">
        <v>2011302</v>
      </c>
      <c r="B602" s="5" t="s">
        <v>3638</v>
      </c>
      <c r="C602" s="224" t="s">
        <v>4760</v>
      </c>
      <c r="D602" s="43" t="s">
        <v>1876</v>
      </c>
      <c r="E602" s="43"/>
      <c r="F602" s="36">
        <v>1</v>
      </c>
      <c r="G602" s="36">
        <v>7</v>
      </c>
      <c r="H602" s="43" t="s">
        <v>136</v>
      </c>
      <c r="I602" s="5" t="s">
        <v>3640</v>
      </c>
      <c r="J602" s="43"/>
      <c r="K602" s="479"/>
      <c r="L602" s="480" t="s">
        <v>2347</v>
      </c>
      <c r="M602" s="481"/>
      <c r="N602" s="481"/>
      <c r="O602" s="480"/>
      <c r="P602" s="463"/>
      <c r="Q602" s="463">
        <v>0</v>
      </c>
      <c r="R602" s="463" t="s">
        <v>153</v>
      </c>
      <c r="S602" s="43"/>
      <c r="T602" s="390"/>
      <c r="U602" s="391"/>
      <c r="V602" s="463"/>
      <c r="W602" s="57" t="s">
        <v>4761</v>
      </c>
      <c r="X602" s="57" t="s">
        <v>4761</v>
      </c>
      <c r="Y602" s="463">
        <v>0</v>
      </c>
      <c r="Z602" s="463">
        <v>0</v>
      </c>
      <c r="AA602" s="463"/>
      <c r="AB602" s="463"/>
      <c r="AC602" s="43"/>
      <c r="AD602" s="43"/>
      <c r="AE602" s="43">
        <v>0</v>
      </c>
      <c r="AF602" s="43">
        <v>0</v>
      </c>
      <c r="AG602" s="43">
        <v>0</v>
      </c>
      <c r="AH602" s="43"/>
      <c r="AI602" s="43">
        <v>0</v>
      </c>
      <c r="AJ602" s="43">
        <v>0</v>
      </c>
      <c r="AK602" s="492"/>
      <c r="AL602" s="492"/>
      <c r="AM602" s="492"/>
      <c r="AN602" s="43"/>
      <c r="AO602" s="43"/>
      <c r="AP602" s="43"/>
      <c r="AQ602" s="43" t="s">
        <v>2349</v>
      </c>
      <c r="AR602" s="407"/>
    </row>
    <row r="603" spans="1:44" s="216" customFormat="1" ht="15" customHeight="1">
      <c r="A603" s="43">
        <v>2011303</v>
      </c>
      <c r="B603" s="5" t="s">
        <v>3638</v>
      </c>
      <c r="C603" s="224" t="s">
        <v>4762</v>
      </c>
      <c r="D603" s="43" t="s">
        <v>1876</v>
      </c>
      <c r="E603" s="43"/>
      <c r="F603" s="36">
        <v>2</v>
      </c>
      <c r="G603" s="36">
        <v>7</v>
      </c>
      <c r="H603" s="43" t="s">
        <v>136</v>
      </c>
      <c r="I603" s="5" t="s">
        <v>3640</v>
      </c>
      <c r="J603" s="43"/>
      <c r="K603" s="479"/>
      <c r="L603" s="480" t="s">
        <v>2351</v>
      </c>
      <c r="M603" s="481"/>
      <c r="N603" s="481"/>
      <c r="O603" s="480"/>
      <c r="P603" s="463"/>
      <c r="Q603" s="463">
        <v>0</v>
      </c>
      <c r="R603" s="463" t="s">
        <v>153</v>
      </c>
      <c r="S603" s="43"/>
      <c r="T603" s="390"/>
      <c r="U603" s="391"/>
      <c r="V603" s="463"/>
      <c r="W603" s="57" t="s">
        <v>4763</v>
      </c>
      <c r="X603" s="57" t="s">
        <v>4763</v>
      </c>
      <c r="Y603" s="463">
        <v>0</v>
      </c>
      <c r="Z603" s="463">
        <v>0</v>
      </c>
      <c r="AA603" s="463"/>
      <c r="AB603" s="463"/>
      <c r="AC603" s="43"/>
      <c r="AD603" s="43"/>
      <c r="AE603" s="43">
        <v>0</v>
      </c>
      <c r="AF603" s="43">
        <v>0</v>
      </c>
      <c r="AG603" s="43">
        <v>0</v>
      </c>
      <c r="AH603" s="43"/>
      <c r="AI603" s="43">
        <v>0</v>
      </c>
      <c r="AJ603" s="43">
        <v>0</v>
      </c>
      <c r="AK603" s="492"/>
      <c r="AL603" s="492"/>
      <c r="AM603" s="492"/>
      <c r="AN603" s="43"/>
      <c r="AO603" s="43"/>
      <c r="AP603" s="43"/>
      <c r="AQ603" s="43" t="s">
        <v>2353</v>
      </c>
      <c r="AR603" s="407"/>
    </row>
    <row r="604" spans="1:44" s="219" customFormat="1" ht="15" customHeight="1">
      <c r="A604" s="43">
        <v>2011304</v>
      </c>
      <c r="B604" s="5" t="s">
        <v>3638</v>
      </c>
      <c r="C604" s="224" t="s">
        <v>4764</v>
      </c>
      <c r="D604" s="43" t="s">
        <v>1876</v>
      </c>
      <c r="E604" s="43"/>
      <c r="F604" s="36">
        <v>3</v>
      </c>
      <c r="G604" s="36">
        <v>7</v>
      </c>
      <c r="H604" s="43" t="s">
        <v>136</v>
      </c>
      <c r="I604" s="5" t="s">
        <v>3640</v>
      </c>
      <c r="J604" s="43"/>
      <c r="K604" s="479"/>
      <c r="L604" s="480" t="s">
        <v>2355</v>
      </c>
      <c r="M604" s="481"/>
      <c r="N604" s="481"/>
      <c r="O604" s="480"/>
      <c r="P604" s="463"/>
      <c r="Q604" s="463">
        <v>0</v>
      </c>
      <c r="R604" s="463" t="s">
        <v>153</v>
      </c>
      <c r="S604" s="43"/>
      <c r="T604" s="390"/>
      <c r="U604" s="391"/>
      <c r="V604" s="463"/>
      <c r="W604" s="57" t="s">
        <v>4765</v>
      </c>
      <c r="X604" s="57" t="s">
        <v>4765</v>
      </c>
      <c r="Y604" s="463">
        <v>0</v>
      </c>
      <c r="Z604" s="463">
        <v>0</v>
      </c>
      <c r="AA604" s="463"/>
      <c r="AB604" s="463"/>
      <c r="AC604" s="43"/>
      <c r="AD604" s="43"/>
      <c r="AE604" s="43">
        <v>0</v>
      </c>
      <c r="AF604" s="43">
        <v>0</v>
      </c>
      <c r="AG604" s="43">
        <v>0</v>
      </c>
      <c r="AH604" s="43"/>
      <c r="AI604" s="43">
        <v>0</v>
      </c>
      <c r="AJ604" s="43">
        <v>0</v>
      </c>
      <c r="AK604" s="492"/>
      <c r="AL604" s="492"/>
      <c r="AM604" s="492"/>
      <c r="AN604" s="43"/>
      <c r="AO604" s="43"/>
      <c r="AP604" s="43"/>
      <c r="AQ604" s="43" t="s">
        <v>2357</v>
      </c>
      <c r="AR604" s="407"/>
    </row>
    <row r="605" spans="1:44" s="216" customFormat="1" ht="15" customHeight="1">
      <c r="A605" s="43">
        <v>2011305</v>
      </c>
      <c r="B605" s="5" t="s">
        <v>3638</v>
      </c>
      <c r="C605" s="224" t="s">
        <v>4766</v>
      </c>
      <c r="D605" s="43" t="s">
        <v>1876</v>
      </c>
      <c r="E605" s="43"/>
      <c r="F605" s="36">
        <v>4</v>
      </c>
      <c r="G605" s="36">
        <v>7</v>
      </c>
      <c r="H605" s="43" t="s">
        <v>136</v>
      </c>
      <c r="I605" s="5" t="s">
        <v>3640</v>
      </c>
      <c r="J605" s="43"/>
      <c r="K605" s="479"/>
      <c r="L605" s="480" t="s">
        <v>2359</v>
      </c>
      <c r="M605" s="481"/>
      <c r="N605" s="481"/>
      <c r="O605" s="480"/>
      <c r="P605" s="463"/>
      <c r="Q605" s="463">
        <v>0</v>
      </c>
      <c r="R605" s="463" t="s">
        <v>153</v>
      </c>
      <c r="S605" s="43"/>
      <c r="T605" s="390"/>
      <c r="U605" s="391"/>
      <c r="V605" s="463"/>
      <c r="W605" s="57" t="s">
        <v>4767</v>
      </c>
      <c r="X605" s="57" t="s">
        <v>4767</v>
      </c>
      <c r="Y605" s="463">
        <v>0</v>
      </c>
      <c r="Z605" s="463">
        <v>0</v>
      </c>
      <c r="AA605" s="463"/>
      <c r="AB605" s="463"/>
      <c r="AC605" s="43"/>
      <c r="AD605" s="43"/>
      <c r="AE605" s="43">
        <v>0</v>
      </c>
      <c r="AF605" s="43">
        <v>0</v>
      </c>
      <c r="AG605" s="43">
        <v>0</v>
      </c>
      <c r="AH605" s="43"/>
      <c r="AI605" s="43">
        <v>0</v>
      </c>
      <c r="AJ605" s="43">
        <v>0</v>
      </c>
      <c r="AK605" s="492"/>
      <c r="AL605" s="492"/>
      <c r="AM605" s="492"/>
      <c r="AN605" s="43"/>
      <c r="AO605" s="43"/>
      <c r="AP605" s="43"/>
      <c r="AQ605" s="43" t="s">
        <v>2361</v>
      </c>
      <c r="AR605" s="407"/>
    </row>
    <row r="606" spans="1:44" s="216" customFormat="1" ht="15" customHeight="1">
      <c r="A606" s="43">
        <v>2011306</v>
      </c>
      <c r="B606" s="5" t="s">
        <v>3638</v>
      </c>
      <c r="C606" s="224" t="s">
        <v>4768</v>
      </c>
      <c r="D606" s="43" t="s">
        <v>1876</v>
      </c>
      <c r="E606" s="43"/>
      <c r="F606" s="36">
        <v>5</v>
      </c>
      <c r="G606" s="36">
        <v>7</v>
      </c>
      <c r="H606" s="43" t="s">
        <v>136</v>
      </c>
      <c r="I606" s="5" t="s">
        <v>3640</v>
      </c>
      <c r="J606" s="43"/>
      <c r="K606" s="479"/>
      <c r="L606" s="480" t="s">
        <v>2363</v>
      </c>
      <c r="M606" s="481"/>
      <c r="N606" s="481"/>
      <c r="O606" s="480"/>
      <c r="P606" s="463"/>
      <c r="Q606" s="463">
        <v>0</v>
      </c>
      <c r="R606" s="463" t="s">
        <v>153</v>
      </c>
      <c r="S606" s="43"/>
      <c r="T606" s="390"/>
      <c r="U606" s="391"/>
      <c r="V606" s="463"/>
      <c r="W606" s="57" t="s">
        <v>4769</v>
      </c>
      <c r="X606" s="57" t="s">
        <v>4769</v>
      </c>
      <c r="Y606" s="463">
        <v>0</v>
      </c>
      <c r="Z606" s="463">
        <v>0</v>
      </c>
      <c r="AA606" s="463"/>
      <c r="AB606" s="463"/>
      <c r="AC606" s="43"/>
      <c r="AD606" s="43"/>
      <c r="AE606" s="43">
        <v>0</v>
      </c>
      <c r="AF606" s="43">
        <v>0</v>
      </c>
      <c r="AG606" s="43">
        <v>0</v>
      </c>
      <c r="AH606" s="43"/>
      <c r="AI606" s="43">
        <v>0</v>
      </c>
      <c r="AJ606" s="43">
        <v>0</v>
      </c>
      <c r="AK606" s="492"/>
      <c r="AL606" s="492"/>
      <c r="AM606" s="492"/>
      <c r="AN606" s="43"/>
      <c r="AO606" s="43"/>
      <c r="AP606" s="43"/>
      <c r="AQ606" s="43" t="s">
        <v>2365</v>
      </c>
      <c r="AR606" s="407"/>
    </row>
    <row r="607" spans="1:44" s="219" customFormat="1" ht="15" customHeight="1">
      <c r="A607" s="43">
        <v>2011307</v>
      </c>
      <c r="B607" s="5" t="s">
        <v>3638</v>
      </c>
      <c r="C607" s="224" t="s">
        <v>4770</v>
      </c>
      <c r="D607" s="43" t="s">
        <v>1876</v>
      </c>
      <c r="E607" s="43"/>
      <c r="F607" s="36">
        <v>6</v>
      </c>
      <c r="G607" s="36">
        <v>7</v>
      </c>
      <c r="H607" s="43" t="s">
        <v>136</v>
      </c>
      <c r="I607" s="5" t="s">
        <v>3640</v>
      </c>
      <c r="J607" s="43"/>
      <c r="K607" s="479"/>
      <c r="L607" s="480" t="s">
        <v>2367</v>
      </c>
      <c r="M607" s="481"/>
      <c r="N607" s="481"/>
      <c r="O607" s="480"/>
      <c r="P607" s="463"/>
      <c r="Q607" s="463">
        <v>0</v>
      </c>
      <c r="R607" s="463" t="s">
        <v>153</v>
      </c>
      <c r="S607" s="43"/>
      <c r="T607" s="390"/>
      <c r="U607" s="391"/>
      <c r="V607" s="463"/>
      <c r="W607" s="57" t="s">
        <v>4765</v>
      </c>
      <c r="X607" s="57" t="s">
        <v>4765</v>
      </c>
      <c r="Y607" s="463">
        <v>0</v>
      </c>
      <c r="Z607" s="463">
        <v>0</v>
      </c>
      <c r="AA607" s="463"/>
      <c r="AB607" s="463"/>
      <c r="AC607" s="43"/>
      <c r="AD607" s="43"/>
      <c r="AE607" s="43">
        <v>0</v>
      </c>
      <c r="AF607" s="43">
        <v>0</v>
      </c>
      <c r="AG607" s="43">
        <v>0</v>
      </c>
      <c r="AH607" s="43"/>
      <c r="AI607" s="43">
        <v>0</v>
      </c>
      <c r="AJ607" s="43">
        <v>0</v>
      </c>
      <c r="AK607" s="492"/>
      <c r="AL607" s="492"/>
      <c r="AM607" s="492"/>
      <c r="AN607" s="43"/>
      <c r="AO607" s="43"/>
      <c r="AP607" s="43"/>
      <c r="AQ607" s="43" t="s">
        <v>2369</v>
      </c>
      <c r="AR607" s="407"/>
    </row>
    <row r="608" spans="1:44" s="216" customFormat="1" ht="15" customHeight="1">
      <c r="A608" s="43">
        <v>2011308</v>
      </c>
      <c r="B608" s="5" t="s">
        <v>3638</v>
      </c>
      <c r="C608" s="224" t="s">
        <v>4771</v>
      </c>
      <c r="D608" s="43" t="s">
        <v>1876</v>
      </c>
      <c r="E608" s="43"/>
      <c r="F608" s="36">
        <v>7</v>
      </c>
      <c r="G608" s="36">
        <v>7</v>
      </c>
      <c r="H608" s="43" t="s">
        <v>136</v>
      </c>
      <c r="I608" s="5" t="s">
        <v>3640</v>
      </c>
      <c r="J608" s="43"/>
      <c r="K608" s="479"/>
      <c r="L608" s="480" t="s">
        <v>2371</v>
      </c>
      <c r="M608" s="481"/>
      <c r="N608" s="481"/>
      <c r="O608" s="480"/>
      <c r="P608" s="463"/>
      <c r="Q608" s="463">
        <v>0</v>
      </c>
      <c r="R608" s="463" t="s">
        <v>153</v>
      </c>
      <c r="S608" s="43"/>
      <c r="T608" s="390"/>
      <c r="U608" s="391"/>
      <c r="V608" s="463"/>
      <c r="W608" s="57" t="s">
        <v>4772</v>
      </c>
      <c r="X608" s="57" t="s">
        <v>4772</v>
      </c>
      <c r="Y608" s="463">
        <v>0</v>
      </c>
      <c r="Z608" s="463">
        <v>0</v>
      </c>
      <c r="AA608" s="463"/>
      <c r="AB608" s="463"/>
      <c r="AC608" s="43"/>
      <c r="AD608" s="43"/>
      <c r="AE608" s="43">
        <v>0</v>
      </c>
      <c r="AF608" s="43">
        <v>0</v>
      </c>
      <c r="AG608" s="43">
        <v>0</v>
      </c>
      <c r="AH608" s="43"/>
      <c r="AI608" s="43">
        <v>0</v>
      </c>
      <c r="AJ608" s="43">
        <v>0</v>
      </c>
      <c r="AK608" s="492"/>
      <c r="AL608" s="492"/>
      <c r="AM608" s="492"/>
      <c r="AN608" s="43"/>
      <c r="AO608" s="43"/>
      <c r="AP608" s="43"/>
      <c r="AQ608" s="43" t="s">
        <v>2373</v>
      </c>
      <c r="AR608" s="407"/>
    </row>
    <row r="609" spans="1:44" s="216" customFormat="1" ht="15" customHeight="1">
      <c r="A609" s="3">
        <v>2011309</v>
      </c>
      <c r="B609" s="5" t="s">
        <v>3638</v>
      </c>
      <c r="C609" s="224" t="s">
        <v>4773</v>
      </c>
      <c r="D609" s="44" t="s">
        <v>1876</v>
      </c>
      <c r="E609" s="41"/>
      <c r="F609" s="3">
        <v>8</v>
      </c>
      <c r="G609" s="36">
        <v>7</v>
      </c>
      <c r="H609" s="3" t="s">
        <v>136</v>
      </c>
      <c r="I609" s="5" t="s">
        <v>3640</v>
      </c>
      <c r="J609" s="3"/>
      <c r="K609" s="3"/>
      <c r="L609" s="236"/>
      <c r="M609" s="99"/>
      <c r="N609" s="99"/>
      <c r="O609" s="236"/>
      <c r="P609" s="22"/>
      <c r="Q609" s="22">
        <v>0</v>
      </c>
      <c r="R609" s="22" t="s">
        <v>153</v>
      </c>
      <c r="S609" s="3"/>
      <c r="T609" s="260"/>
      <c r="U609" s="261"/>
      <c r="V609" s="22"/>
      <c r="W609" s="57" t="s">
        <v>4774</v>
      </c>
      <c r="X609" s="57" t="s">
        <v>4774</v>
      </c>
      <c r="Y609" s="22"/>
      <c r="Z609" s="22"/>
      <c r="AA609" s="22"/>
      <c r="AB609" s="22" t="s">
        <v>114</v>
      </c>
      <c r="AC609" s="3"/>
      <c r="AD609" s="3"/>
      <c r="AE609" s="3">
        <v>0</v>
      </c>
      <c r="AF609" s="3">
        <v>0</v>
      </c>
      <c r="AG609" s="3">
        <v>0</v>
      </c>
      <c r="AH609" s="3"/>
      <c r="AI609" s="3">
        <v>0</v>
      </c>
      <c r="AJ609" s="3">
        <v>0</v>
      </c>
      <c r="AK609" s="3">
        <v>0</v>
      </c>
      <c r="AL609" s="3"/>
      <c r="AM609" s="3"/>
      <c r="AN609" s="3"/>
      <c r="AO609" s="3"/>
      <c r="AP609" s="3"/>
      <c r="AQ609" s="3" t="s">
        <v>2353</v>
      </c>
      <c r="AR609" s="281"/>
    </row>
    <row r="610" spans="1:44" s="216" customFormat="1" ht="15" customHeight="1">
      <c r="A610" s="3">
        <v>2011310</v>
      </c>
      <c r="B610" s="5" t="s">
        <v>3638</v>
      </c>
      <c r="C610" s="224" t="s">
        <v>4775</v>
      </c>
      <c r="D610" s="3" t="s">
        <v>1876</v>
      </c>
      <c r="E610" s="1"/>
      <c r="F610" s="3">
        <v>9</v>
      </c>
      <c r="G610" s="36">
        <v>7</v>
      </c>
      <c r="H610" s="3" t="s">
        <v>136</v>
      </c>
      <c r="I610" s="5" t="s">
        <v>3640</v>
      </c>
      <c r="J610" s="3"/>
      <c r="K610" s="3"/>
      <c r="L610" s="236"/>
      <c r="M610" s="99"/>
      <c r="N610" s="99"/>
      <c r="O610" s="236"/>
      <c r="P610" s="22"/>
      <c r="Q610" s="22">
        <v>0</v>
      </c>
      <c r="R610" s="22" t="s">
        <v>153</v>
      </c>
      <c r="S610" s="3"/>
      <c r="T610" s="260"/>
      <c r="U610" s="261"/>
      <c r="V610" s="22"/>
      <c r="W610" s="57" t="s">
        <v>4776</v>
      </c>
      <c r="X610" s="57" t="s">
        <v>4776</v>
      </c>
      <c r="Y610" s="22"/>
      <c r="Z610" s="22"/>
      <c r="AA610" s="22"/>
      <c r="AB610" s="22" t="s">
        <v>114</v>
      </c>
      <c r="AC610" s="3"/>
      <c r="AD610" s="3"/>
      <c r="AE610" s="3">
        <v>0</v>
      </c>
      <c r="AF610" s="3">
        <v>0</v>
      </c>
      <c r="AG610" s="3">
        <v>0</v>
      </c>
      <c r="AH610" s="3"/>
      <c r="AI610" s="3">
        <v>0</v>
      </c>
      <c r="AJ610" s="3">
        <v>0</v>
      </c>
      <c r="AK610" s="3">
        <v>0</v>
      </c>
      <c r="AL610" s="3"/>
      <c r="AM610" s="3"/>
      <c r="AN610" s="3"/>
      <c r="AO610" s="3"/>
      <c r="AP610" s="3"/>
      <c r="AQ610" s="282" t="str">
        <f>"tricks/"&amp;A610</f>
        <v>tricks/2011310</v>
      </c>
      <c r="AR610" s="222"/>
    </row>
    <row r="611" spans="1:44" ht="15" customHeight="1">
      <c r="A611" s="3">
        <v>2011311</v>
      </c>
      <c r="B611" s="5" t="s">
        <v>3638</v>
      </c>
      <c r="C611" s="224" t="s">
        <v>4777</v>
      </c>
      <c r="D611" s="3" t="s">
        <v>1876</v>
      </c>
      <c r="F611" s="3">
        <v>10</v>
      </c>
      <c r="G611" s="36">
        <v>7</v>
      </c>
      <c r="H611" s="3" t="s">
        <v>136</v>
      </c>
      <c r="I611" s="5" t="s">
        <v>3640</v>
      </c>
      <c r="J611" s="3"/>
      <c r="K611" s="3"/>
      <c r="L611" s="236"/>
      <c r="M611" s="99"/>
      <c r="N611" s="99"/>
      <c r="O611" s="236"/>
      <c r="P611" s="22"/>
      <c r="Q611" s="22">
        <v>0</v>
      </c>
      <c r="R611" s="22" t="s">
        <v>153</v>
      </c>
      <c r="S611" s="3"/>
      <c r="T611" s="260"/>
      <c r="U611" s="261"/>
      <c r="V611" s="22"/>
      <c r="W611" s="57" t="s">
        <v>4765</v>
      </c>
      <c r="X611" s="57" t="s">
        <v>4765</v>
      </c>
      <c r="Y611" s="22"/>
      <c r="Z611" s="22"/>
      <c r="AA611" s="22"/>
      <c r="AB611" s="22" t="s">
        <v>114</v>
      </c>
      <c r="AC611" s="3"/>
      <c r="AD611" s="3"/>
      <c r="AE611" s="3">
        <v>0</v>
      </c>
      <c r="AF611" s="3">
        <v>0</v>
      </c>
      <c r="AG611" s="3">
        <v>0</v>
      </c>
      <c r="AH611" s="3"/>
      <c r="AI611" s="3">
        <v>0</v>
      </c>
      <c r="AJ611" s="3">
        <v>0</v>
      </c>
      <c r="AK611" s="3">
        <v>0</v>
      </c>
      <c r="AL611" s="3"/>
      <c r="AM611" s="3"/>
      <c r="AN611" s="3"/>
      <c r="AO611" s="3"/>
      <c r="AP611" s="3"/>
      <c r="AQ611" s="282" t="str">
        <f>"tricks/"&amp;A611</f>
        <v>tricks/2011311</v>
      </c>
    </row>
    <row r="612" spans="1:44" s="216" customFormat="1" ht="15" customHeight="1">
      <c r="A612" s="44">
        <v>2011401</v>
      </c>
      <c r="B612" s="5" t="s">
        <v>3638</v>
      </c>
      <c r="C612" s="224" t="s">
        <v>4778</v>
      </c>
      <c r="D612" s="44" t="s">
        <v>1876</v>
      </c>
      <c r="E612" s="44"/>
      <c r="F612" s="36">
        <v>1</v>
      </c>
      <c r="G612" s="36">
        <v>7</v>
      </c>
      <c r="H612" s="44" t="s">
        <v>82</v>
      </c>
      <c r="I612" s="5" t="s">
        <v>3640</v>
      </c>
      <c r="J612" s="44"/>
      <c r="K612" s="482"/>
      <c r="L612" s="483" t="s">
        <v>2381</v>
      </c>
      <c r="M612" s="484"/>
      <c r="N612" s="378">
        <v>10</v>
      </c>
      <c r="O612" s="483"/>
      <c r="P612" s="485"/>
      <c r="Q612" s="485">
        <v>0</v>
      </c>
      <c r="R612" s="485" t="s">
        <v>153</v>
      </c>
      <c r="S612" s="44"/>
      <c r="T612" s="467">
        <v>2</v>
      </c>
      <c r="U612" s="468"/>
      <c r="V612" s="485"/>
      <c r="W612" s="57" t="s">
        <v>4779</v>
      </c>
      <c r="X612" s="57" t="s">
        <v>4779</v>
      </c>
      <c r="Y612" s="485">
        <v>0</v>
      </c>
      <c r="Z612" s="485">
        <v>0</v>
      </c>
      <c r="AA612" s="485"/>
      <c r="AB612" s="485"/>
      <c r="AC612" s="44"/>
      <c r="AD612" s="44"/>
      <c r="AE612" s="44">
        <v>1</v>
      </c>
      <c r="AF612" s="44">
        <v>1</v>
      </c>
      <c r="AG612" s="44">
        <v>30</v>
      </c>
      <c r="AH612" s="44"/>
      <c r="AI612" s="44"/>
      <c r="AJ612" s="44"/>
      <c r="AK612" s="493"/>
      <c r="AL612" s="493"/>
      <c r="AM612" s="493"/>
      <c r="AN612" s="43" t="s">
        <v>2383</v>
      </c>
      <c r="AO612" s="44"/>
      <c r="AP612" s="44"/>
      <c r="AQ612" s="44" t="s">
        <v>2384</v>
      </c>
      <c r="AR612" s="472"/>
    </row>
    <row r="613" spans="1:44" s="216" customFormat="1" ht="36" customHeight="1">
      <c r="A613" s="44">
        <v>2011402</v>
      </c>
      <c r="B613" s="5" t="s">
        <v>3638</v>
      </c>
      <c r="C613" s="224" t="s">
        <v>4780</v>
      </c>
      <c r="D613" s="44" t="s">
        <v>1876</v>
      </c>
      <c r="E613" s="44"/>
      <c r="F613" s="36">
        <v>1</v>
      </c>
      <c r="G613" s="36">
        <v>7</v>
      </c>
      <c r="H613" s="44" t="s">
        <v>136</v>
      </c>
      <c r="I613" s="5" t="s">
        <v>3640</v>
      </c>
      <c r="J613" s="44"/>
      <c r="K613" s="482"/>
      <c r="L613" s="483" t="s">
        <v>2386</v>
      </c>
      <c r="M613" s="484"/>
      <c r="N613" s="484"/>
      <c r="O613" s="483"/>
      <c r="P613" s="485"/>
      <c r="Q613" s="485">
        <v>0</v>
      </c>
      <c r="R613" s="485" t="s">
        <v>153</v>
      </c>
      <c r="S613" s="44"/>
      <c r="T613" s="467"/>
      <c r="U613" s="468"/>
      <c r="V613" s="485"/>
      <c r="W613" s="57" t="s">
        <v>4781</v>
      </c>
      <c r="X613" s="57" t="s">
        <v>4781</v>
      </c>
      <c r="Y613" s="485">
        <v>0</v>
      </c>
      <c r="Z613" s="485">
        <v>0</v>
      </c>
      <c r="AA613" s="485"/>
      <c r="AB613" s="485"/>
      <c r="AC613" s="44"/>
      <c r="AD613" s="44"/>
      <c r="AE613" s="44">
        <v>0</v>
      </c>
      <c r="AF613" s="44">
        <v>0</v>
      </c>
      <c r="AG613" s="44">
        <v>0</v>
      </c>
      <c r="AH613" s="44"/>
      <c r="AI613" s="44">
        <v>0</v>
      </c>
      <c r="AJ613" s="44">
        <v>0</v>
      </c>
      <c r="AK613" s="493"/>
      <c r="AL613" s="493"/>
      <c r="AM613" s="493"/>
      <c r="AN613" s="44"/>
      <c r="AO613" s="44"/>
      <c r="AP613" s="44"/>
      <c r="AQ613" s="44" t="s">
        <v>2388</v>
      </c>
      <c r="AR613" s="472"/>
    </row>
    <row r="614" spans="1:44" s="216" customFormat="1" ht="15" customHeight="1">
      <c r="A614" s="44">
        <v>2011403</v>
      </c>
      <c r="B614" s="5" t="s">
        <v>3638</v>
      </c>
      <c r="C614" s="224" t="s">
        <v>4782</v>
      </c>
      <c r="D614" s="44" t="s">
        <v>1876</v>
      </c>
      <c r="E614" s="44"/>
      <c r="F614" s="36">
        <v>2</v>
      </c>
      <c r="G614" s="36">
        <v>7</v>
      </c>
      <c r="H614" s="44" t="s">
        <v>136</v>
      </c>
      <c r="I614" s="5" t="s">
        <v>3640</v>
      </c>
      <c r="J614" s="44"/>
      <c r="K614" s="482"/>
      <c r="L614" s="483" t="s">
        <v>2390</v>
      </c>
      <c r="M614" s="484"/>
      <c r="N614" s="484"/>
      <c r="O614" s="483"/>
      <c r="P614" s="485"/>
      <c r="Q614" s="485">
        <v>0</v>
      </c>
      <c r="R614" s="485" t="s">
        <v>153</v>
      </c>
      <c r="S614" s="44"/>
      <c r="T614" s="467"/>
      <c r="U614" s="468"/>
      <c r="V614" s="485"/>
      <c r="W614" s="57" t="s">
        <v>4783</v>
      </c>
      <c r="X614" s="57" t="s">
        <v>4783</v>
      </c>
      <c r="Y614" s="485">
        <v>0</v>
      </c>
      <c r="Z614" s="485">
        <v>0</v>
      </c>
      <c r="AA614" s="485"/>
      <c r="AB614" s="485"/>
      <c r="AC614" s="44"/>
      <c r="AD614" s="44"/>
      <c r="AE614" s="44">
        <v>0</v>
      </c>
      <c r="AF614" s="44">
        <v>0</v>
      </c>
      <c r="AG614" s="44">
        <v>0</v>
      </c>
      <c r="AH614" s="44"/>
      <c r="AI614" s="44">
        <v>0</v>
      </c>
      <c r="AJ614" s="44">
        <v>0</v>
      </c>
      <c r="AK614" s="493"/>
      <c r="AL614" s="493"/>
      <c r="AM614" s="493"/>
      <c r="AN614" s="44"/>
      <c r="AO614" s="44"/>
      <c r="AP614" s="44"/>
      <c r="AQ614" s="44" t="s">
        <v>2392</v>
      </c>
      <c r="AR614" s="472"/>
    </row>
    <row r="615" spans="1:44" ht="15" customHeight="1">
      <c r="A615" s="44">
        <v>2011404</v>
      </c>
      <c r="B615" s="5" t="s">
        <v>3638</v>
      </c>
      <c r="C615" s="224" t="s">
        <v>4784</v>
      </c>
      <c r="D615" s="44" t="s">
        <v>1876</v>
      </c>
      <c r="E615" s="44"/>
      <c r="F615" s="36">
        <v>3</v>
      </c>
      <c r="G615" s="36">
        <v>7</v>
      </c>
      <c r="H615" s="44" t="s">
        <v>136</v>
      </c>
      <c r="I615" s="5" t="s">
        <v>3640</v>
      </c>
      <c r="J615" s="44"/>
      <c r="K615" s="482"/>
      <c r="L615" s="486" t="s">
        <v>2394</v>
      </c>
      <c r="M615" s="484"/>
      <c r="N615" s="484"/>
      <c r="O615" s="483"/>
      <c r="P615" s="485"/>
      <c r="Q615" s="485">
        <v>0</v>
      </c>
      <c r="R615" s="485" t="s">
        <v>153</v>
      </c>
      <c r="S615" s="44"/>
      <c r="T615" s="467"/>
      <c r="U615" s="468"/>
      <c r="V615" s="485"/>
      <c r="W615" s="57" t="s">
        <v>4785</v>
      </c>
      <c r="X615" s="57" t="s">
        <v>4785</v>
      </c>
      <c r="Y615" s="485">
        <v>0</v>
      </c>
      <c r="Z615" s="485">
        <v>0</v>
      </c>
      <c r="AA615" s="485"/>
      <c r="AB615" s="485"/>
      <c r="AC615" s="44"/>
      <c r="AD615" s="44"/>
      <c r="AE615" s="44">
        <v>0</v>
      </c>
      <c r="AF615" s="44">
        <v>0</v>
      </c>
      <c r="AG615" s="44">
        <v>0</v>
      </c>
      <c r="AH615" s="44"/>
      <c r="AI615" s="44">
        <v>0</v>
      </c>
      <c r="AJ615" s="44">
        <v>0</v>
      </c>
      <c r="AK615" s="493"/>
      <c r="AL615" s="493"/>
      <c r="AM615" s="493"/>
      <c r="AN615" s="44"/>
      <c r="AO615" s="44"/>
      <c r="AP615" s="44"/>
      <c r="AQ615" s="44" t="s">
        <v>2396</v>
      </c>
      <c r="AR615" s="472"/>
    </row>
    <row r="616" spans="1:44" ht="15" customHeight="1">
      <c r="A616" s="44">
        <v>2011405</v>
      </c>
      <c r="B616" s="5" t="s">
        <v>3638</v>
      </c>
      <c r="C616" s="224" t="s">
        <v>4786</v>
      </c>
      <c r="D616" s="44" t="s">
        <v>1876</v>
      </c>
      <c r="E616" s="44"/>
      <c r="F616" s="36">
        <v>4</v>
      </c>
      <c r="G616" s="36">
        <v>7</v>
      </c>
      <c r="H616" s="44" t="s">
        <v>136</v>
      </c>
      <c r="I616" s="5" t="s">
        <v>3640</v>
      </c>
      <c r="J616" s="44"/>
      <c r="K616" s="482"/>
      <c r="L616" s="483" t="s">
        <v>2398</v>
      </c>
      <c r="M616" s="484"/>
      <c r="N616" s="484"/>
      <c r="O616" s="483"/>
      <c r="P616" s="485"/>
      <c r="Q616" s="485">
        <v>0</v>
      </c>
      <c r="R616" s="485" t="s">
        <v>153</v>
      </c>
      <c r="S616" s="44"/>
      <c r="T616" s="467"/>
      <c r="U616" s="468"/>
      <c r="V616" s="485"/>
      <c r="W616" s="57" t="s">
        <v>4787</v>
      </c>
      <c r="X616" s="57" t="s">
        <v>4787</v>
      </c>
      <c r="Y616" s="485">
        <v>0</v>
      </c>
      <c r="Z616" s="485">
        <v>0</v>
      </c>
      <c r="AA616" s="485"/>
      <c r="AB616" s="485"/>
      <c r="AC616" s="44"/>
      <c r="AD616" s="44"/>
      <c r="AE616" s="44">
        <v>0</v>
      </c>
      <c r="AF616" s="44">
        <v>0</v>
      </c>
      <c r="AG616" s="44">
        <v>0</v>
      </c>
      <c r="AH616" s="44"/>
      <c r="AI616" s="44">
        <v>0</v>
      </c>
      <c r="AJ616" s="44">
        <v>0</v>
      </c>
      <c r="AK616" s="493"/>
      <c r="AL616" s="493"/>
      <c r="AM616" s="493"/>
      <c r="AN616" s="44"/>
      <c r="AO616" s="44"/>
      <c r="AP616" s="44"/>
      <c r="AQ616" s="44" t="s">
        <v>2400</v>
      </c>
      <c r="AR616" s="472"/>
    </row>
    <row r="617" spans="1:44" ht="15" customHeight="1">
      <c r="A617" s="44">
        <v>2011406</v>
      </c>
      <c r="B617" s="5" t="s">
        <v>3638</v>
      </c>
      <c r="C617" s="224" t="s">
        <v>4788</v>
      </c>
      <c r="D617" s="44" t="s">
        <v>1876</v>
      </c>
      <c r="E617" s="44"/>
      <c r="F617" s="36">
        <v>5</v>
      </c>
      <c r="G617" s="36">
        <v>7</v>
      </c>
      <c r="H617" s="44" t="s">
        <v>136</v>
      </c>
      <c r="I617" s="5" t="s">
        <v>3640</v>
      </c>
      <c r="J617" s="44"/>
      <c r="K617" s="482"/>
      <c r="L617" s="483" t="s">
        <v>2402</v>
      </c>
      <c r="M617" s="484"/>
      <c r="N617" s="484"/>
      <c r="O617" s="483"/>
      <c r="P617" s="485"/>
      <c r="Q617" s="485">
        <v>0</v>
      </c>
      <c r="R617" s="485" t="s">
        <v>153</v>
      </c>
      <c r="S617" s="44"/>
      <c r="T617" s="467"/>
      <c r="U617" s="468"/>
      <c r="V617" s="485"/>
      <c r="W617" s="57" t="s">
        <v>4789</v>
      </c>
      <c r="X617" s="57" t="s">
        <v>4789</v>
      </c>
      <c r="Y617" s="485">
        <v>0</v>
      </c>
      <c r="Z617" s="485">
        <v>0</v>
      </c>
      <c r="AA617" s="485"/>
      <c r="AB617" s="485"/>
      <c r="AC617" s="44"/>
      <c r="AD617" s="44"/>
      <c r="AE617" s="44">
        <v>0</v>
      </c>
      <c r="AF617" s="44">
        <v>0</v>
      </c>
      <c r="AG617" s="44">
        <v>0</v>
      </c>
      <c r="AH617" s="44"/>
      <c r="AI617" s="44">
        <v>0</v>
      </c>
      <c r="AJ617" s="44">
        <v>0</v>
      </c>
      <c r="AK617" s="493"/>
      <c r="AL617" s="493"/>
      <c r="AM617" s="493"/>
      <c r="AN617" s="44"/>
      <c r="AO617" s="44"/>
      <c r="AP617" s="44"/>
      <c r="AQ617" s="44" t="s">
        <v>2404</v>
      </c>
      <c r="AR617" s="472"/>
    </row>
    <row r="618" spans="1:44" ht="15" customHeight="1">
      <c r="A618" s="44">
        <v>2011407</v>
      </c>
      <c r="B618" s="5" t="s">
        <v>3638</v>
      </c>
      <c r="C618" s="224" t="s">
        <v>4790</v>
      </c>
      <c r="D618" s="44" t="s">
        <v>1876</v>
      </c>
      <c r="E618" s="44"/>
      <c r="F618" s="36">
        <v>6</v>
      </c>
      <c r="G618" s="36">
        <v>7</v>
      </c>
      <c r="H618" s="44" t="s">
        <v>136</v>
      </c>
      <c r="I618" s="5" t="s">
        <v>3640</v>
      </c>
      <c r="J618" s="44"/>
      <c r="K618" s="482"/>
      <c r="L618" s="483" t="s">
        <v>2406</v>
      </c>
      <c r="M618" s="484"/>
      <c r="N618" s="484"/>
      <c r="O618" s="483"/>
      <c r="P618" s="485"/>
      <c r="Q618" s="485">
        <v>0</v>
      </c>
      <c r="R618" s="485" t="s">
        <v>153</v>
      </c>
      <c r="S618" s="44"/>
      <c r="T618" s="467"/>
      <c r="U618" s="468"/>
      <c r="V618" s="485"/>
      <c r="W618" s="57" t="s">
        <v>4791</v>
      </c>
      <c r="X618" s="57" t="s">
        <v>4791</v>
      </c>
      <c r="Y618" s="485">
        <v>0</v>
      </c>
      <c r="Z618" s="485">
        <v>0</v>
      </c>
      <c r="AA618" s="485"/>
      <c r="AB618" s="485"/>
      <c r="AC618" s="44"/>
      <c r="AD618" s="44"/>
      <c r="AE618" s="44">
        <v>0</v>
      </c>
      <c r="AF618" s="44">
        <v>0</v>
      </c>
      <c r="AG618" s="44">
        <v>0</v>
      </c>
      <c r="AH618" s="44"/>
      <c r="AI618" s="44">
        <v>0</v>
      </c>
      <c r="AJ618" s="44">
        <v>0</v>
      </c>
      <c r="AK618" s="493"/>
      <c r="AL618" s="493"/>
      <c r="AM618" s="493"/>
      <c r="AN618" s="44"/>
      <c r="AO618" s="44"/>
      <c r="AP618" s="44"/>
      <c r="AQ618" s="44" t="s">
        <v>2408</v>
      </c>
      <c r="AR618" s="472"/>
    </row>
    <row r="619" spans="1:44" ht="15" customHeight="1">
      <c r="A619" s="44">
        <v>2011408</v>
      </c>
      <c r="B619" s="5" t="s">
        <v>3638</v>
      </c>
      <c r="C619" s="224" t="s">
        <v>4792</v>
      </c>
      <c r="D619" s="44" t="s">
        <v>1876</v>
      </c>
      <c r="E619" s="44"/>
      <c r="F619" s="36">
        <v>7</v>
      </c>
      <c r="G619" s="36">
        <v>7</v>
      </c>
      <c r="H619" s="44" t="s">
        <v>136</v>
      </c>
      <c r="I619" s="5" t="s">
        <v>3640</v>
      </c>
      <c r="J619" s="44"/>
      <c r="K619" s="482"/>
      <c r="L619" s="483" t="s">
        <v>2410</v>
      </c>
      <c r="M619" s="484"/>
      <c r="N619" s="484"/>
      <c r="O619" s="483"/>
      <c r="P619" s="485"/>
      <c r="Q619" s="485">
        <v>0</v>
      </c>
      <c r="R619" s="485" t="s">
        <v>153</v>
      </c>
      <c r="S619" s="44"/>
      <c r="T619" s="467"/>
      <c r="U619" s="468"/>
      <c r="V619" s="485"/>
      <c r="W619" s="57" t="s">
        <v>4793</v>
      </c>
      <c r="X619" s="57" t="s">
        <v>4793</v>
      </c>
      <c r="Y619" s="485">
        <v>0</v>
      </c>
      <c r="Z619" s="485">
        <v>0</v>
      </c>
      <c r="AA619" s="485"/>
      <c r="AB619" s="485"/>
      <c r="AC619" s="44"/>
      <c r="AD619" s="44"/>
      <c r="AE619" s="44">
        <v>0</v>
      </c>
      <c r="AF619" s="44">
        <v>0</v>
      </c>
      <c r="AG619" s="44">
        <v>0</v>
      </c>
      <c r="AH619" s="44"/>
      <c r="AI619" s="44">
        <v>0</v>
      </c>
      <c r="AJ619" s="44">
        <v>0</v>
      </c>
      <c r="AK619" s="493"/>
      <c r="AL619" s="493"/>
      <c r="AM619" s="493"/>
      <c r="AN619" s="44"/>
      <c r="AO619" s="44"/>
      <c r="AP619" s="44"/>
      <c r="AQ619" s="44" t="s">
        <v>2412</v>
      </c>
      <c r="AR619" s="472"/>
    </row>
    <row r="620" spans="1:44" ht="15" customHeight="1">
      <c r="A620" s="3">
        <v>2011409</v>
      </c>
      <c r="B620" s="5" t="s">
        <v>3638</v>
      </c>
      <c r="C620" s="224" t="s">
        <v>4794</v>
      </c>
      <c r="D620" s="44" t="s">
        <v>1876</v>
      </c>
      <c r="E620" s="41"/>
      <c r="F620" s="3">
        <v>8</v>
      </c>
      <c r="G620" s="36">
        <v>7</v>
      </c>
      <c r="H620" s="3" t="s">
        <v>136</v>
      </c>
      <c r="I620" s="5" t="s">
        <v>3640</v>
      </c>
      <c r="J620" s="3"/>
      <c r="K620" s="3"/>
      <c r="L620" s="236"/>
      <c r="M620" s="99"/>
      <c r="N620" s="99"/>
      <c r="O620" s="236"/>
      <c r="P620" s="22"/>
      <c r="Q620" s="22">
        <v>0</v>
      </c>
      <c r="R620" s="22" t="s">
        <v>153</v>
      </c>
      <c r="S620" s="3"/>
      <c r="T620" s="260"/>
      <c r="U620" s="261"/>
      <c r="V620" s="22"/>
      <c r="W620" s="57" t="s">
        <v>4795</v>
      </c>
      <c r="X620" s="57" t="s">
        <v>4795</v>
      </c>
      <c r="Y620" s="22"/>
      <c r="Z620" s="22"/>
      <c r="AA620" s="22"/>
      <c r="AB620" s="22" t="s">
        <v>114</v>
      </c>
      <c r="AC620" s="3"/>
      <c r="AD620" s="3"/>
      <c r="AE620" s="3">
        <v>0</v>
      </c>
      <c r="AF620" s="3">
        <v>0</v>
      </c>
      <c r="AG620" s="3">
        <v>0</v>
      </c>
      <c r="AH620" s="3"/>
      <c r="AI620" s="3">
        <v>0</v>
      </c>
      <c r="AJ620" s="3">
        <v>0</v>
      </c>
      <c r="AK620" s="3">
        <v>0</v>
      </c>
      <c r="AL620" s="3"/>
      <c r="AM620" s="3"/>
      <c r="AN620" s="3"/>
      <c r="AO620" s="3"/>
      <c r="AP620" s="3"/>
      <c r="AQ620" s="3" t="s">
        <v>2392</v>
      </c>
      <c r="AR620" s="281"/>
    </row>
    <row r="621" spans="1:44" ht="15" customHeight="1">
      <c r="A621" s="3">
        <v>2011410</v>
      </c>
      <c r="B621" s="5" t="s">
        <v>3638</v>
      </c>
      <c r="C621" s="224" t="s">
        <v>4796</v>
      </c>
      <c r="D621" s="3" t="s">
        <v>1876</v>
      </c>
      <c r="F621" s="3">
        <v>9</v>
      </c>
      <c r="G621" s="36">
        <v>7</v>
      </c>
      <c r="H621" s="3" t="s">
        <v>136</v>
      </c>
      <c r="I621" s="5" t="s">
        <v>3640</v>
      </c>
      <c r="J621" s="3"/>
      <c r="K621" s="3"/>
      <c r="L621" s="236"/>
      <c r="M621" s="99"/>
      <c r="N621" s="99"/>
      <c r="O621" s="236"/>
      <c r="P621" s="22"/>
      <c r="Q621" s="22">
        <v>0</v>
      </c>
      <c r="R621" s="22" t="s">
        <v>153</v>
      </c>
      <c r="S621" s="3"/>
      <c r="T621" s="260"/>
      <c r="U621" s="261"/>
      <c r="V621" s="22"/>
      <c r="W621" s="57" t="s">
        <v>4781</v>
      </c>
      <c r="X621" s="57" t="s">
        <v>4781</v>
      </c>
      <c r="Y621" s="22"/>
      <c r="Z621" s="22"/>
      <c r="AA621" s="22"/>
      <c r="AB621" s="22" t="s">
        <v>114</v>
      </c>
      <c r="AC621" s="3"/>
      <c r="AD621" s="3"/>
      <c r="AE621" s="3">
        <v>0</v>
      </c>
      <c r="AF621" s="3">
        <v>0</v>
      </c>
      <c r="AG621" s="3">
        <v>0</v>
      </c>
      <c r="AH621" s="3"/>
      <c r="AI621" s="3">
        <v>0</v>
      </c>
      <c r="AJ621" s="3">
        <v>0</v>
      </c>
      <c r="AK621" s="3">
        <v>0</v>
      </c>
      <c r="AL621" s="3"/>
      <c r="AM621" s="3"/>
      <c r="AN621" s="3"/>
      <c r="AO621" s="3"/>
      <c r="AP621" s="3"/>
      <c r="AQ621" s="282" t="str">
        <f>"tricks/"&amp;A621</f>
        <v>tricks/2011410</v>
      </c>
    </row>
    <row r="622" spans="1:44" ht="15" customHeight="1">
      <c r="A622" s="3">
        <v>2011411</v>
      </c>
      <c r="B622" s="5" t="s">
        <v>3638</v>
      </c>
      <c r="C622" s="224" t="s">
        <v>4797</v>
      </c>
      <c r="D622" s="3" t="s">
        <v>1876</v>
      </c>
      <c r="F622" s="3">
        <v>10</v>
      </c>
      <c r="G622" s="36">
        <v>7</v>
      </c>
      <c r="H622" s="3" t="s">
        <v>136</v>
      </c>
      <c r="I622" s="5" t="s">
        <v>3640</v>
      </c>
      <c r="J622" s="3"/>
      <c r="K622" s="3"/>
      <c r="L622" s="236"/>
      <c r="M622" s="99"/>
      <c r="N622" s="99"/>
      <c r="O622" s="236"/>
      <c r="P622" s="22"/>
      <c r="Q622" s="22">
        <v>0</v>
      </c>
      <c r="R622" s="22" t="s">
        <v>153</v>
      </c>
      <c r="S622" s="3"/>
      <c r="T622" s="260"/>
      <c r="U622" s="261"/>
      <c r="V622" s="22"/>
      <c r="W622" s="57" t="s">
        <v>4791</v>
      </c>
      <c r="X622" s="57" t="s">
        <v>4791</v>
      </c>
      <c r="Y622" s="22"/>
      <c r="Z622" s="22"/>
      <c r="AA622" s="22"/>
      <c r="AB622" s="22" t="s">
        <v>114</v>
      </c>
      <c r="AC622" s="3"/>
      <c r="AD622" s="3"/>
      <c r="AE622" s="3">
        <v>0</v>
      </c>
      <c r="AF622" s="3">
        <v>0</v>
      </c>
      <c r="AG622" s="3">
        <v>0</v>
      </c>
      <c r="AH622" s="3"/>
      <c r="AI622" s="3">
        <v>0</v>
      </c>
      <c r="AJ622" s="3">
        <v>0</v>
      </c>
      <c r="AK622" s="3">
        <v>0</v>
      </c>
      <c r="AL622" s="3"/>
      <c r="AM622" s="3"/>
      <c r="AN622" s="3"/>
      <c r="AO622" s="3"/>
      <c r="AP622" s="3"/>
      <c r="AQ622" s="282" t="str">
        <f>"tricks/"&amp;A622</f>
        <v>tricks/2011411</v>
      </c>
    </row>
    <row r="623" spans="1:44" ht="15" customHeight="1">
      <c r="A623" s="45">
        <v>2011501</v>
      </c>
      <c r="B623" s="5" t="s">
        <v>3638</v>
      </c>
      <c r="C623" s="224" t="s">
        <v>4798</v>
      </c>
      <c r="D623" s="45" t="s">
        <v>1876</v>
      </c>
      <c r="E623" s="45"/>
      <c r="F623" s="36">
        <v>1</v>
      </c>
      <c r="G623" s="36">
        <v>7</v>
      </c>
      <c r="H623" s="42" t="s">
        <v>82</v>
      </c>
      <c r="I623" s="5" t="s">
        <v>3640</v>
      </c>
      <c r="J623" s="45">
        <v>1</v>
      </c>
      <c r="K623" s="487"/>
      <c r="L623" s="488" t="s">
        <v>2420</v>
      </c>
      <c r="M623" s="489"/>
      <c r="N623" s="489"/>
      <c r="O623" s="488"/>
      <c r="P623" s="490"/>
      <c r="Q623" s="490">
        <v>0</v>
      </c>
      <c r="R623" s="490" t="s">
        <v>153</v>
      </c>
      <c r="S623" s="45"/>
      <c r="T623" s="417"/>
      <c r="U623" s="418"/>
      <c r="V623" s="490"/>
      <c r="W623" s="57" t="s">
        <v>4799</v>
      </c>
      <c r="X623" s="57" t="s">
        <v>4799</v>
      </c>
      <c r="Y623" s="490">
        <v>0</v>
      </c>
      <c r="Z623" s="490">
        <v>0</v>
      </c>
      <c r="AA623" s="490"/>
      <c r="AB623" s="490"/>
      <c r="AC623" s="45"/>
      <c r="AD623" s="45"/>
      <c r="AE623" s="45">
        <v>0</v>
      </c>
      <c r="AF623" s="45">
        <v>0</v>
      </c>
      <c r="AG623" s="45">
        <v>0</v>
      </c>
      <c r="AH623" s="45"/>
      <c r="AI623" s="45"/>
      <c r="AJ623" s="45"/>
      <c r="AK623" s="494"/>
      <c r="AL623" s="494"/>
      <c r="AM623" s="494"/>
      <c r="AN623" s="43"/>
      <c r="AO623" s="45"/>
      <c r="AP623" s="45"/>
      <c r="AQ623" s="45" t="s">
        <v>2422</v>
      </c>
      <c r="AR623" s="424"/>
    </row>
    <row r="624" spans="1:44" ht="15" customHeight="1">
      <c r="A624" s="45">
        <v>2011502</v>
      </c>
      <c r="B624" s="5" t="s">
        <v>3638</v>
      </c>
      <c r="C624" s="224" t="s">
        <v>4800</v>
      </c>
      <c r="D624" s="45" t="s">
        <v>1876</v>
      </c>
      <c r="E624" s="45"/>
      <c r="F624" s="36">
        <v>1</v>
      </c>
      <c r="G624" s="36">
        <v>7</v>
      </c>
      <c r="H624" s="45" t="s">
        <v>136</v>
      </c>
      <c r="I624" s="5" t="s">
        <v>3640</v>
      </c>
      <c r="J624" s="45"/>
      <c r="K624" s="487"/>
      <c r="L624" s="488" t="s">
        <v>2424</v>
      </c>
      <c r="M624" s="489"/>
      <c r="N624" s="489"/>
      <c r="O624" s="488"/>
      <c r="P624" s="490"/>
      <c r="Q624" s="490">
        <v>0</v>
      </c>
      <c r="R624" s="490" t="s">
        <v>153</v>
      </c>
      <c r="S624" s="45"/>
      <c r="T624" s="417"/>
      <c r="U624" s="418"/>
      <c r="V624" s="490"/>
      <c r="W624" s="57" t="s">
        <v>4801</v>
      </c>
      <c r="X624" s="57" t="s">
        <v>4801</v>
      </c>
      <c r="Y624" s="490">
        <v>0</v>
      </c>
      <c r="Z624" s="490">
        <v>0</v>
      </c>
      <c r="AA624" s="490"/>
      <c r="AB624" s="490"/>
      <c r="AC624" s="45"/>
      <c r="AD624" s="45"/>
      <c r="AE624" s="45">
        <v>0</v>
      </c>
      <c r="AF624" s="45">
        <v>0</v>
      </c>
      <c r="AG624" s="45">
        <v>0</v>
      </c>
      <c r="AH624" s="45"/>
      <c r="AI624" s="45">
        <v>0</v>
      </c>
      <c r="AJ624" s="45">
        <v>0</v>
      </c>
      <c r="AK624" s="494"/>
      <c r="AL624" s="494"/>
      <c r="AM624" s="494"/>
      <c r="AN624" s="45"/>
      <c r="AO624" s="45"/>
      <c r="AP624" s="45"/>
      <c r="AQ624" s="45" t="s">
        <v>2426</v>
      </c>
      <c r="AR624" s="424"/>
    </row>
    <row r="625" spans="1:44" ht="15" customHeight="1">
      <c r="A625" s="45">
        <v>2011503</v>
      </c>
      <c r="B625" s="5" t="s">
        <v>3638</v>
      </c>
      <c r="C625" s="224" t="s">
        <v>4802</v>
      </c>
      <c r="D625" s="45" t="s">
        <v>1876</v>
      </c>
      <c r="E625" s="45"/>
      <c r="F625" s="36">
        <v>2</v>
      </c>
      <c r="G625" s="36">
        <v>7</v>
      </c>
      <c r="H625" s="45" t="s">
        <v>136</v>
      </c>
      <c r="I625" s="5" t="s">
        <v>3640</v>
      </c>
      <c r="J625" s="45"/>
      <c r="K625" s="487"/>
      <c r="L625" s="488" t="s">
        <v>2428</v>
      </c>
      <c r="M625" s="489"/>
      <c r="N625" s="489"/>
      <c r="O625" s="488"/>
      <c r="P625" s="490"/>
      <c r="Q625" s="490">
        <v>0</v>
      </c>
      <c r="R625" s="490" t="s">
        <v>153</v>
      </c>
      <c r="S625" s="45"/>
      <c r="T625" s="417"/>
      <c r="U625" s="418"/>
      <c r="V625" s="490"/>
      <c r="W625" s="57" t="s">
        <v>4803</v>
      </c>
      <c r="X625" s="57" t="s">
        <v>4803</v>
      </c>
      <c r="Y625" s="490">
        <v>0</v>
      </c>
      <c r="Z625" s="490">
        <v>0</v>
      </c>
      <c r="AA625" s="490"/>
      <c r="AB625" s="490"/>
      <c r="AC625" s="45"/>
      <c r="AD625" s="45"/>
      <c r="AE625" s="45">
        <v>0</v>
      </c>
      <c r="AF625" s="45">
        <v>0</v>
      </c>
      <c r="AG625" s="45">
        <v>0</v>
      </c>
      <c r="AH625" s="45"/>
      <c r="AI625" s="45">
        <v>0</v>
      </c>
      <c r="AJ625" s="45">
        <v>0</v>
      </c>
      <c r="AK625" s="494"/>
      <c r="AL625" s="494"/>
      <c r="AM625" s="494"/>
      <c r="AN625" s="45"/>
      <c r="AO625" s="45"/>
      <c r="AP625" s="45"/>
      <c r="AQ625" s="45" t="s">
        <v>2430</v>
      </c>
      <c r="AR625" s="424"/>
    </row>
    <row r="626" spans="1:44" ht="15" customHeight="1">
      <c r="A626" s="45">
        <v>2011504</v>
      </c>
      <c r="B626" s="5" t="s">
        <v>3638</v>
      </c>
      <c r="C626" s="224" t="s">
        <v>4804</v>
      </c>
      <c r="D626" s="45" t="s">
        <v>1876</v>
      </c>
      <c r="E626" s="45"/>
      <c r="F626" s="36">
        <v>3</v>
      </c>
      <c r="G626" s="36">
        <v>7</v>
      </c>
      <c r="H626" s="45" t="s">
        <v>136</v>
      </c>
      <c r="I626" s="5" t="s">
        <v>3640</v>
      </c>
      <c r="J626" s="45"/>
      <c r="K626" s="487"/>
      <c r="L626" s="488" t="s">
        <v>2432</v>
      </c>
      <c r="M626" s="489"/>
      <c r="N626" s="489"/>
      <c r="O626" s="488"/>
      <c r="P626" s="490"/>
      <c r="Q626" s="490">
        <v>0</v>
      </c>
      <c r="R626" s="490" t="s">
        <v>153</v>
      </c>
      <c r="S626" s="45"/>
      <c r="T626" s="417"/>
      <c r="U626" s="418"/>
      <c r="V626" s="490"/>
      <c r="W626" s="57" t="s">
        <v>4799</v>
      </c>
      <c r="X626" s="57" t="s">
        <v>4799</v>
      </c>
      <c r="Y626" s="490">
        <v>0</v>
      </c>
      <c r="Z626" s="490">
        <v>0</v>
      </c>
      <c r="AA626" s="490"/>
      <c r="AB626" s="490"/>
      <c r="AC626" s="45"/>
      <c r="AD626" s="45"/>
      <c r="AE626" s="45">
        <v>0</v>
      </c>
      <c r="AF626" s="45">
        <v>0</v>
      </c>
      <c r="AG626" s="45">
        <v>0</v>
      </c>
      <c r="AH626" s="45"/>
      <c r="AI626" s="45">
        <v>0</v>
      </c>
      <c r="AJ626" s="45">
        <v>0</v>
      </c>
      <c r="AK626" s="494"/>
      <c r="AL626" s="494"/>
      <c r="AM626" s="494"/>
      <c r="AN626" s="45"/>
      <c r="AO626" s="45"/>
      <c r="AP626" s="45"/>
      <c r="AQ626" s="45" t="s">
        <v>2433</v>
      </c>
      <c r="AR626" s="424"/>
    </row>
    <row r="627" spans="1:44" ht="15" customHeight="1">
      <c r="A627" s="45">
        <v>2011505</v>
      </c>
      <c r="B627" s="5" t="s">
        <v>3638</v>
      </c>
      <c r="C627" s="224" t="s">
        <v>4805</v>
      </c>
      <c r="D627" s="45" t="s">
        <v>1876</v>
      </c>
      <c r="E627" s="45"/>
      <c r="F627" s="36">
        <v>4</v>
      </c>
      <c r="G627" s="36">
        <v>7</v>
      </c>
      <c r="H627" s="45" t="s">
        <v>136</v>
      </c>
      <c r="I627" s="5" t="s">
        <v>3640</v>
      </c>
      <c r="J627" s="45"/>
      <c r="K627" s="487"/>
      <c r="L627" s="488" t="s">
        <v>2435</v>
      </c>
      <c r="M627" s="489"/>
      <c r="N627" s="489"/>
      <c r="O627" s="488"/>
      <c r="P627" s="490"/>
      <c r="Q627" s="490">
        <v>0</v>
      </c>
      <c r="R627" s="490" t="s">
        <v>153</v>
      </c>
      <c r="S627" s="45"/>
      <c r="T627" s="417"/>
      <c r="U627" s="418"/>
      <c r="V627" s="490"/>
      <c r="W627" s="57" t="s">
        <v>4806</v>
      </c>
      <c r="X627" s="57" t="s">
        <v>4806</v>
      </c>
      <c r="Y627" s="490">
        <v>0</v>
      </c>
      <c r="Z627" s="490">
        <v>0</v>
      </c>
      <c r="AA627" s="490"/>
      <c r="AB627" s="490"/>
      <c r="AC627" s="45"/>
      <c r="AD627" s="45"/>
      <c r="AE627" s="45">
        <v>0</v>
      </c>
      <c r="AF627" s="45">
        <v>0</v>
      </c>
      <c r="AG627" s="45">
        <v>0</v>
      </c>
      <c r="AH627" s="45"/>
      <c r="AI627" s="45">
        <v>0</v>
      </c>
      <c r="AJ627" s="45">
        <v>0</v>
      </c>
      <c r="AK627" s="494"/>
      <c r="AL627" s="494"/>
      <c r="AM627" s="494"/>
      <c r="AN627" s="45"/>
      <c r="AO627" s="45"/>
      <c r="AP627" s="45"/>
      <c r="AQ627" s="45" t="s">
        <v>2437</v>
      </c>
      <c r="AR627" s="424"/>
    </row>
    <row r="628" spans="1:44" ht="15" customHeight="1">
      <c r="A628" s="45">
        <v>2011506</v>
      </c>
      <c r="B628" s="5" t="s">
        <v>3638</v>
      </c>
      <c r="C628" s="224" t="s">
        <v>4807</v>
      </c>
      <c r="D628" s="45" t="s">
        <v>1876</v>
      </c>
      <c r="E628" s="45"/>
      <c r="F628" s="36">
        <v>5</v>
      </c>
      <c r="G628" s="36">
        <v>7</v>
      </c>
      <c r="H628" s="45" t="s">
        <v>136</v>
      </c>
      <c r="I628" s="5" t="s">
        <v>3640</v>
      </c>
      <c r="J628" s="45"/>
      <c r="K628" s="487"/>
      <c r="L628" s="488" t="s">
        <v>2439</v>
      </c>
      <c r="M628" s="489"/>
      <c r="N628" s="489"/>
      <c r="O628" s="488"/>
      <c r="P628" s="490"/>
      <c r="Q628" s="490">
        <v>0</v>
      </c>
      <c r="R628" s="490" t="s">
        <v>153</v>
      </c>
      <c r="S628" s="45"/>
      <c r="T628" s="417"/>
      <c r="U628" s="418"/>
      <c r="V628" s="490"/>
      <c r="W628" s="57" t="s">
        <v>4808</v>
      </c>
      <c r="X628" s="57" t="s">
        <v>4808</v>
      </c>
      <c r="Y628" s="490">
        <v>0</v>
      </c>
      <c r="Z628" s="490">
        <v>0</v>
      </c>
      <c r="AA628" s="490"/>
      <c r="AB628" s="490"/>
      <c r="AC628" s="45"/>
      <c r="AD628" s="45"/>
      <c r="AE628" s="45">
        <v>0</v>
      </c>
      <c r="AF628" s="45">
        <v>0</v>
      </c>
      <c r="AG628" s="45">
        <v>0</v>
      </c>
      <c r="AH628" s="45"/>
      <c r="AI628" s="45">
        <v>0</v>
      </c>
      <c r="AJ628" s="45">
        <v>0</v>
      </c>
      <c r="AK628" s="494"/>
      <c r="AL628" s="494"/>
      <c r="AM628" s="494"/>
      <c r="AN628" s="45"/>
      <c r="AO628" s="45"/>
      <c r="AP628" s="45"/>
      <c r="AQ628" s="45" t="s">
        <v>2441</v>
      </c>
      <c r="AR628" s="424"/>
    </row>
    <row r="629" spans="1:44" ht="15" customHeight="1">
      <c r="A629" s="45">
        <v>2011507</v>
      </c>
      <c r="B629" s="5" t="s">
        <v>3638</v>
      </c>
      <c r="C629" s="224" t="s">
        <v>4809</v>
      </c>
      <c r="D629" s="45" t="s">
        <v>1876</v>
      </c>
      <c r="E629" s="45"/>
      <c r="F629" s="36">
        <v>6</v>
      </c>
      <c r="G629" s="36">
        <v>7</v>
      </c>
      <c r="H629" s="45" t="s">
        <v>136</v>
      </c>
      <c r="I629" s="5" t="s">
        <v>3640</v>
      </c>
      <c r="J629" s="45"/>
      <c r="K629" s="487"/>
      <c r="L629" s="488" t="s">
        <v>2443</v>
      </c>
      <c r="M629" s="489"/>
      <c r="N629" s="489"/>
      <c r="O629" s="488"/>
      <c r="P629" s="490"/>
      <c r="Q629" s="490">
        <v>0</v>
      </c>
      <c r="R629" s="490" t="s">
        <v>153</v>
      </c>
      <c r="S629" s="45"/>
      <c r="T629" s="417"/>
      <c r="U629" s="418"/>
      <c r="V629" s="490"/>
      <c r="W629" s="57" t="s">
        <v>4799</v>
      </c>
      <c r="X629" s="57" t="s">
        <v>4799</v>
      </c>
      <c r="Y629" s="490">
        <v>0</v>
      </c>
      <c r="Z629" s="490">
        <v>0</v>
      </c>
      <c r="AA629" s="490"/>
      <c r="AB629" s="490"/>
      <c r="AC629" s="45"/>
      <c r="AD629" s="45"/>
      <c r="AE629" s="45">
        <v>0</v>
      </c>
      <c r="AF629" s="45">
        <v>0</v>
      </c>
      <c r="AG629" s="45">
        <v>0</v>
      </c>
      <c r="AH629" s="45"/>
      <c r="AI629" s="45">
        <v>0</v>
      </c>
      <c r="AJ629" s="45">
        <v>0</v>
      </c>
      <c r="AK629" s="494"/>
      <c r="AL629" s="494"/>
      <c r="AM629" s="494"/>
      <c r="AN629" s="45"/>
      <c r="AO629" s="45"/>
      <c r="AP629" s="45"/>
      <c r="AQ629" s="45" t="s">
        <v>2444</v>
      </c>
      <c r="AR629" s="424"/>
    </row>
    <row r="630" spans="1:44" ht="15" customHeight="1">
      <c r="A630" s="45">
        <v>2011508</v>
      </c>
      <c r="B630" s="5" t="s">
        <v>3638</v>
      </c>
      <c r="C630" s="224" t="s">
        <v>4810</v>
      </c>
      <c r="D630" s="45" t="s">
        <v>1876</v>
      </c>
      <c r="E630" s="45"/>
      <c r="F630" s="36">
        <v>7</v>
      </c>
      <c r="G630" s="36">
        <v>7</v>
      </c>
      <c r="H630" s="45" t="s">
        <v>136</v>
      </c>
      <c r="I630" s="5" t="s">
        <v>3640</v>
      </c>
      <c r="J630" s="45"/>
      <c r="K630" s="487"/>
      <c r="L630" s="488" t="s">
        <v>2446</v>
      </c>
      <c r="M630" s="489"/>
      <c r="N630" s="489"/>
      <c r="O630" s="488"/>
      <c r="P630" s="490"/>
      <c r="Q630" s="490">
        <v>0</v>
      </c>
      <c r="R630" s="490" t="s">
        <v>153</v>
      </c>
      <c r="S630" s="45"/>
      <c r="T630" s="417"/>
      <c r="U630" s="418"/>
      <c r="V630" s="490"/>
      <c r="W630" s="57" t="s">
        <v>4811</v>
      </c>
      <c r="X630" s="57" t="s">
        <v>4811</v>
      </c>
      <c r="Y630" s="490">
        <v>0</v>
      </c>
      <c r="Z630" s="490">
        <v>0</v>
      </c>
      <c r="AA630" s="490"/>
      <c r="AB630" s="490"/>
      <c r="AC630" s="45"/>
      <c r="AD630" s="45"/>
      <c r="AE630" s="45">
        <v>0</v>
      </c>
      <c r="AF630" s="45">
        <v>0</v>
      </c>
      <c r="AG630" s="45">
        <v>0</v>
      </c>
      <c r="AH630" s="45"/>
      <c r="AI630" s="45">
        <v>0</v>
      </c>
      <c r="AJ630" s="45">
        <v>0</v>
      </c>
      <c r="AK630" s="494"/>
      <c r="AL630" s="494"/>
      <c r="AM630" s="494"/>
      <c r="AN630" s="45"/>
      <c r="AO630" s="45"/>
      <c r="AP630" s="45"/>
      <c r="AQ630" s="45" t="s">
        <v>2448</v>
      </c>
      <c r="AR630" s="424"/>
    </row>
    <row r="631" spans="1:44" ht="15" customHeight="1">
      <c r="A631" s="3">
        <v>2011509</v>
      </c>
      <c r="B631" s="5" t="s">
        <v>3638</v>
      </c>
      <c r="C631" s="224" t="s">
        <v>4812</v>
      </c>
      <c r="D631" s="44" t="s">
        <v>1876</v>
      </c>
      <c r="E631" s="41"/>
      <c r="F631" s="3">
        <v>8</v>
      </c>
      <c r="G631" s="36">
        <v>7</v>
      </c>
      <c r="H631" s="3" t="s">
        <v>136</v>
      </c>
      <c r="I631" s="5" t="s">
        <v>3640</v>
      </c>
      <c r="J631" s="3"/>
      <c r="K631" s="3"/>
      <c r="L631" s="236"/>
      <c r="M631" s="99"/>
      <c r="N631" s="99"/>
      <c r="O631" s="236"/>
      <c r="P631" s="22"/>
      <c r="Q631" s="22">
        <v>0</v>
      </c>
      <c r="R631" s="22" t="s">
        <v>153</v>
      </c>
      <c r="S631" s="3"/>
      <c r="T631" s="260"/>
      <c r="U631" s="261"/>
      <c r="V631" s="22"/>
      <c r="W631" s="57" t="s">
        <v>4774</v>
      </c>
      <c r="X631" s="57" t="s">
        <v>4774</v>
      </c>
      <c r="Y631" s="22"/>
      <c r="Z631" s="22"/>
      <c r="AA631" s="22"/>
      <c r="AB631" s="22" t="s">
        <v>114</v>
      </c>
      <c r="AC631" s="3"/>
      <c r="AD631" s="3"/>
      <c r="AE631" s="3">
        <v>0</v>
      </c>
      <c r="AF631" s="3">
        <v>0</v>
      </c>
      <c r="AG631" s="3">
        <v>0</v>
      </c>
      <c r="AH631" s="3"/>
      <c r="AI631" s="3">
        <v>0</v>
      </c>
      <c r="AJ631" s="3">
        <v>0</v>
      </c>
      <c r="AK631" s="3">
        <v>0</v>
      </c>
      <c r="AL631" s="3"/>
      <c r="AM631" s="3"/>
      <c r="AN631" s="3"/>
      <c r="AO631" s="3"/>
      <c r="AP631" s="3"/>
      <c r="AQ631" s="3" t="s">
        <v>2430</v>
      </c>
      <c r="AR631" s="281"/>
    </row>
    <row r="632" spans="1:44" ht="15" customHeight="1">
      <c r="A632" s="3">
        <v>2011510</v>
      </c>
      <c r="B632" s="5" t="s">
        <v>3638</v>
      </c>
      <c r="C632" s="224" t="s">
        <v>4813</v>
      </c>
      <c r="D632" s="3" t="s">
        <v>1876</v>
      </c>
      <c r="F632" s="3">
        <v>9</v>
      </c>
      <c r="G632" s="36">
        <v>7</v>
      </c>
      <c r="H632" s="3" t="s">
        <v>136</v>
      </c>
      <c r="I632" s="5" t="s">
        <v>3640</v>
      </c>
      <c r="J632" s="3"/>
      <c r="K632" s="3"/>
      <c r="L632" s="236"/>
      <c r="M632" s="99"/>
      <c r="N632" s="99"/>
      <c r="O632" s="236"/>
      <c r="P632" s="22"/>
      <c r="Q632" s="22">
        <v>0</v>
      </c>
      <c r="R632" s="22" t="s">
        <v>153</v>
      </c>
      <c r="S632" s="3"/>
      <c r="T632" s="260"/>
      <c r="U632" s="261"/>
      <c r="V632" s="22"/>
      <c r="W632" s="57" t="s">
        <v>4814</v>
      </c>
      <c r="X632" s="57" t="s">
        <v>4814</v>
      </c>
      <c r="Y632" s="22"/>
      <c r="Z632" s="22"/>
      <c r="AA632" s="22"/>
      <c r="AB632" s="22" t="s">
        <v>114</v>
      </c>
      <c r="AC632" s="3"/>
      <c r="AD632" s="3"/>
      <c r="AE632" s="3">
        <v>0</v>
      </c>
      <c r="AF632" s="3">
        <v>0</v>
      </c>
      <c r="AG632" s="3">
        <v>0</v>
      </c>
      <c r="AH632" s="3"/>
      <c r="AI632" s="3">
        <v>0</v>
      </c>
      <c r="AJ632" s="3">
        <v>0</v>
      </c>
      <c r="AK632" s="3">
        <v>0</v>
      </c>
      <c r="AL632" s="3"/>
      <c r="AM632" s="3"/>
      <c r="AN632" s="3"/>
      <c r="AO632" s="3"/>
      <c r="AP632" s="3"/>
      <c r="AQ632" s="282" t="str">
        <f>"tricks/"&amp;A632</f>
        <v>tricks/2011510</v>
      </c>
    </row>
    <row r="633" spans="1:44" ht="15" customHeight="1">
      <c r="A633" s="3">
        <v>2011511</v>
      </c>
      <c r="B633" s="5" t="s">
        <v>3638</v>
      </c>
      <c r="C633" s="224" t="s">
        <v>4815</v>
      </c>
      <c r="D633" s="3" t="s">
        <v>1876</v>
      </c>
      <c r="F633" s="3">
        <v>10</v>
      </c>
      <c r="G633" s="36">
        <v>7</v>
      </c>
      <c r="H633" s="3" t="s">
        <v>136</v>
      </c>
      <c r="I633" s="5" t="s">
        <v>3640</v>
      </c>
      <c r="J633" s="3"/>
      <c r="K633" s="3"/>
      <c r="L633" s="236"/>
      <c r="M633" s="99"/>
      <c r="N633" s="99"/>
      <c r="O633" s="236"/>
      <c r="P633" s="22"/>
      <c r="Q633" s="22">
        <v>0</v>
      </c>
      <c r="R633" s="22" t="s">
        <v>153</v>
      </c>
      <c r="S633" s="3"/>
      <c r="T633" s="260"/>
      <c r="U633" s="261"/>
      <c r="V633" s="22"/>
      <c r="W633" s="57" t="s">
        <v>4799</v>
      </c>
      <c r="X633" s="57" t="s">
        <v>4799</v>
      </c>
      <c r="Y633" s="22"/>
      <c r="Z633" s="22"/>
      <c r="AA633" s="22"/>
      <c r="AB633" s="22" t="s">
        <v>114</v>
      </c>
      <c r="AC633" s="3"/>
      <c r="AD633" s="3"/>
      <c r="AE633" s="3">
        <v>0</v>
      </c>
      <c r="AF633" s="3">
        <v>0</v>
      </c>
      <c r="AG633" s="3">
        <v>0</v>
      </c>
      <c r="AH633" s="3"/>
      <c r="AI633" s="3">
        <v>0</v>
      </c>
      <c r="AJ633" s="3">
        <v>0</v>
      </c>
      <c r="AK633" s="3">
        <v>0</v>
      </c>
      <c r="AL633" s="3"/>
      <c r="AM633" s="3"/>
      <c r="AN633" s="3"/>
      <c r="AO633" s="3"/>
      <c r="AP633" s="3"/>
      <c r="AQ633" s="282" t="str">
        <f>"tricks/"&amp;A633</f>
        <v>tricks/2011511</v>
      </c>
    </row>
    <row r="634" spans="1:44" ht="15" customHeight="1">
      <c r="A634" s="42">
        <v>2011601</v>
      </c>
      <c r="B634" s="5" t="s">
        <v>3638</v>
      </c>
      <c r="C634" s="224" t="s">
        <v>4816</v>
      </c>
      <c r="D634" s="42" t="s">
        <v>1876</v>
      </c>
      <c r="E634" s="42"/>
      <c r="F634" s="36">
        <v>1</v>
      </c>
      <c r="G634" s="36">
        <v>7</v>
      </c>
      <c r="H634" s="42" t="s">
        <v>82</v>
      </c>
      <c r="I634" s="5" t="s">
        <v>3640</v>
      </c>
      <c r="J634" s="42"/>
      <c r="K634" s="475"/>
      <c r="L634" s="476" t="s">
        <v>2456</v>
      </c>
      <c r="M634" s="477"/>
      <c r="N634" s="378">
        <v>11</v>
      </c>
      <c r="O634" s="476"/>
      <c r="P634" s="478"/>
      <c r="Q634" s="478">
        <v>0</v>
      </c>
      <c r="R634" s="478" t="s">
        <v>153</v>
      </c>
      <c r="S634" s="42"/>
      <c r="T634" s="258" t="s">
        <v>2457</v>
      </c>
      <c r="U634" s="259"/>
      <c r="V634" s="478"/>
      <c r="W634" s="57" t="s">
        <v>4817</v>
      </c>
      <c r="X634" s="57" t="s">
        <v>4817</v>
      </c>
      <c r="Y634" s="478">
        <v>0</v>
      </c>
      <c r="Z634" s="478">
        <v>0</v>
      </c>
      <c r="AA634" s="478"/>
      <c r="AB634" s="478"/>
      <c r="AC634" s="42"/>
      <c r="AD634" s="42"/>
      <c r="AE634" s="42">
        <v>1</v>
      </c>
      <c r="AF634" s="42">
        <v>2</v>
      </c>
      <c r="AG634" s="42">
        <v>35</v>
      </c>
      <c r="AH634" s="42"/>
      <c r="AI634" s="42"/>
      <c r="AJ634" s="42"/>
      <c r="AK634" s="491"/>
      <c r="AL634" s="491"/>
      <c r="AM634" s="491"/>
      <c r="AN634" s="43" t="s">
        <v>2459</v>
      </c>
      <c r="AO634" s="42"/>
      <c r="AP634" s="42"/>
      <c r="AQ634" s="42" t="s">
        <v>2460</v>
      </c>
      <c r="AR634" s="280"/>
    </row>
    <row r="635" spans="1:44" ht="15" customHeight="1">
      <c r="A635" s="42">
        <v>2011602</v>
      </c>
      <c r="B635" s="5" t="s">
        <v>3638</v>
      </c>
      <c r="C635" s="224" t="s">
        <v>4818</v>
      </c>
      <c r="D635" s="42" t="s">
        <v>1876</v>
      </c>
      <c r="E635" s="42"/>
      <c r="F635" s="36">
        <v>1</v>
      </c>
      <c r="G635" s="36">
        <v>7</v>
      </c>
      <c r="H635" s="42" t="s">
        <v>136</v>
      </c>
      <c r="I635" s="5" t="s">
        <v>3640</v>
      </c>
      <c r="J635" s="42"/>
      <c r="K635" s="475"/>
      <c r="L635" s="476" t="s">
        <v>2462</v>
      </c>
      <c r="M635" s="477"/>
      <c r="N635" s="477"/>
      <c r="O635" s="476"/>
      <c r="P635" s="478"/>
      <c r="Q635" s="478">
        <v>0</v>
      </c>
      <c r="R635" s="478" t="s">
        <v>153</v>
      </c>
      <c r="S635" s="42"/>
      <c r="T635" s="258"/>
      <c r="U635" s="259"/>
      <c r="V635" s="478"/>
      <c r="W635" s="57" t="s">
        <v>4819</v>
      </c>
      <c r="X635" s="57" t="s">
        <v>4819</v>
      </c>
      <c r="Y635" s="478">
        <v>0</v>
      </c>
      <c r="Z635" s="478">
        <v>0</v>
      </c>
      <c r="AA635" s="478"/>
      <c r="AB635" s="478"/>
      <c r="AC635" s="42"/>
      <c r="AD635" s="42"/>
      <c r="AE635" s="42">
        <v>0</v>
      </c>
      <c r="AF635" s="42">
        <v>0</v>
      </c>
      <c r="AG635" s="42">
        <v>0</v>
      </c>
      <c r="AH635" s="42"/>
      <c r="AI635" s="42">
        <v>0</v>
      </c>
      <c r="AJ635" s="42">
        <v>0</v>
      </c>
      <c r="AK635" s="491"/>
      <c r="AL635" s="491"/>
      <c r="AM635" s="491"/>
      <c r="AN635" s="42"/>
      <c r="AO635" s="42"/>
      <c r="AP635" s="42"/>
      <c r="AQ635" s="42" t="s">
        <v>2464</v>
      </c>
      <c r="AR635" s="280"/>
    </row>
    <row r="636" spans="1:44" ht="15" customHeight="1">
      <c r="A636" s="42">
        <v>2011603</v>
      </c>
      <c r="B636" s="5" t="s">
        <v>3638</v>
      </c>
      <c r="C636" s="224" t="s">
        <v>4820</v>
      </c>
      <c r="D636" s="42" t="s">
        <v>1876</v>
      </c>
      <c r="E636" s="42"/>
      <c r="F636" s="36">
        <v>2</v>
      </c>
      <c r="G636" s="36">
        <v>7</v>
      </c>
      <c r="H636" s="42" t="s">
        <v>136</v>
      </c>
      <c r="I636" s="5" t="s">
        <v>3640</v>
      </c>
      <c r="J636" s="42"/>
      <c r="K636" s="475"/>
      <c r="L636" s="476" t="s">
        <v>2466</v>
      </c>
      <c r="M636" s="477"/>
      <c r="N636" s="477"/>
      <c r="O636" s="476"/>
      <c r="P636" s="478"/>
      <c r="Q636" s="478">
        <v>0</v>
      </c>
      <c r="R636" s="478" t="s">
        <v>153</v>
      </c>
      <c r="S636" s="42"/>
      <c r="T636" s="258"/>
      <c r="U636" s="259"/>
      <c r="V636" s="478"/>
      <c r="W636" s="57" t="s">
        <v>4821</v>
      </c>
      <c r="X636" s="57" t="s">
        <v>4821</v>
      </c>
      <c r="Y636" s="478">
        <v>0</v>
      </c>
      <c r="Z636" s="478">
        <v>0</v>
      </c>
      <c r="AA636" s="478"/>
      <c r="AB636" s="478"/>
      <c r="AC636" s="42"/>
      <c r="AD636" s="42"/>
      <c r="AE636" s="42">
        <v>0</v>
      </c>
      <c r="AF636" s="42">
        <v>0</v>
      </c>
      <c r="AG636" s="42">
        <v>0</v>
      </c>
      <c r="AH636" s="42"/>
      <c r="AI636" s="42">
        <v>0</v>
      </c>
      <c r="AJ636" s="42">
        <v>0</v>
      </c>
      <c r="AK636" s="491"/>
      <c r="AL636" s="491"/>
      <c r="AM636" s="491"/>
      <c r="AN636" s="42"/>
      <c r="AO636" s="42"/>
      <c r="AP636" s="42"/>
      <c r="AQ636" s="42" t="s">
        <v>2468</v>
      </c>
      <c r="AR636" s="280"/>
    </row>
    <row r="637" spans="1:44" ht="15" customHeight="1">
      <c r="A637" s="42">
        <v>2011604</v>
      </c>
      <c r="B637" s="5" t="s">
        <v>3638</v>
      </c>
      <c r="C637" s="224" t="s">
        <v>4822</v>
      </c>
      <c r="D637" s="42" t="s">
        <v>1876</v>
      </c>
      <c r="E637" s="42"/>
      <c r="F637" s="36">
        <v>3</v>
      </c>
      <c r="G637" s="36">
        <v>7</v>
      </c>
      <c r="H637" s="42" t="s">
        <v>136</v>
      </c>
      <c r="I637" s="5" t="s">
        <v>3640</v>
      </c>
      <c r="J637" s="42"/>
      <c r="K637" s="475"/>
      <c r="L637" s="476" t="s">
        <v>2470</v>
      </c>
      <c r="M637" s="477"/>
      <c r="N637" s="477"/>
      <c r="O637" s="476"/>
      <c r="P637" s="478"/>
      <c r="Q637" s="478">
        <v>0</v>
      </c>
      <c r="R637" s="478" t="s">
        <v>153</v>
      </c>
      <c r="S637" s="42"/>
      <c r="T637" s="258"/>
      <c r="U637" s="259"/>
      <c r="V637" s="478"/>
      <c r="W637" s="57" t="s">
        <v>4823</v>
      </c>
      <c r="X637" s="57" t="s">
        <v>4823</v>
      </c>
      <c r="Y637" s="478">
        <v>0</v>
      </c>
      <c r="Z637" s="478">
        <v>0</v>
      </c>
      <c r="AA637" s="478"/>
      <c r="AB637" s="478"/>
      <c r="AC637" s="42"/>
      <c r="AD637" s="42"/>
      <c r="AE637" s="42">
        <v>0</v>
      </c>
      <c r="AF637" s="42">
        <v>0</v>
      </c>
      <c r="AG637" s="42">
        <v>0</v>
      </c>
      <c r="AH637" s="42"/>
      <c r="AI637" s="42">
        <v>0</v>
      </c>
      <c r="AJ637" s="42">
        <v>0</v>
      </c>
      <c r="AK637" s="491"/>
      <c r="AL637" s="491"/>
      <c r="AM637" s="491"/>
      <c r="AN637" s="42"/>
      <c r="AO637" s="42"/>
      <c r="AP637" s="42"/>
      <c r="AQ637" s="42" t="s">
        <v>2472</v>
      </c>
      <c r="AR637" s="280"/>
    </row>
    <row r="638" spans="1:44" ht="15" customHeight="1">
      <c r="A638" s="42">
        <v>2011605</v>
      </c>
      <c r="B638" s="5" t="s">
        <v>3638</v>
      </c>
      <c r="C638" s="224" t="s">
        <v>4824</v>
      </c>
      <c r="D638" s="42" t="s">
        <v>1876</v>
      </c>
      <c r="E638" s="42"/>
      <c r="F638" s="36">
        <v>4</v>
      </c>
      <c r="G638" s="36">
        <v>7</v>
      </c>
      <c r="H638" s="42" t="s">
        <v>136</v>
      </c>
      <c r="I638" s="5" t="s">
        <v>3640</v>
      </c>
      <c r="J638" s="42"/>
      <c r="K638" s="475"/>
      <c r="L638" s="476" t="s">
        <v>2474</v>
      </c>
      <c r="M638" s="477"/>
      <c r="N638" s="477"/>
      <c r="O638" s="476"/>
      <c r="P638" s="478"/>
      <c r="Q638" s="478">
        <v>0</v>
      </c>
      <c r="R638" s="478" t="s">
        <v>153</v>
      </c>
      <c r="S638" s="42"/>
      <c r="T638" s="258"/>
      <c r="U638" s="259"/>
      <c r="V638" s="478"/>
      <c r="W638" s="57" t="s">
        <v>4825</v>
      </c>
      <c r="X638" s="57" t="s">
        <v>4825</v>
      </c>
      <c r="Y638" s="478">
        <v>0</v>
      </c>
      <c r="Z638" s="478">
        <v>0</v>
      </c>
      <c r="AA638" s="478"/>
      <c r="AB638" s="478"/>
      <c r="AC638" s="42"/>
      <c r="AD638" s="42"/>
      <c r="AE638" s="42">
        <v>0</v>
      </c>
      <c r="AF638" s="42">
        <v>0</v>
      </c>
      <c r="AG638" s="42">
        <v>0</v>
      </c>
      <c r="AH638" s="42"/>
      <c r="AI638" s="42">
        <v>0</v>
      </c>
      <c r="AJ638" s="42">
        <v>0</v>
      </c>
      <c r="AK638" s="491"/>
      <c r="AL638" s="491"/>
      <c r="AM638" s="491"/>
      <c r="AN638" s="42"/>
      <c r="AO638" s="42"/>
      <c r="AP638" s="42"/>
      <c r="AQ638" s="42" t="s">
        <v>2476</v>
      </c>
      <c r="AR638" s="280"/>
    </row>
    <row r="639" spans="1:44" ht="15" customHeight="1">
      <c r="A639" s="42">
        <v>2011606</v>
      </c>
      <c r="B639" s="5" t="s">
        <v>3638</v>
      </c>
      <c r="C639" s="224" t="s">
        <v>4826</v>
      </c>
      <c r="D639" s="42" t="s">
        <v>1876</v>
      </c>
      <c r="E639" s="42"/>
      <c r="F639" s="36">
        <v>5</v>
      </c>
      <c r="G639" s="36">
        <v>7</v>
      </c>
      <c r="H639" s="42" t="s">
        <v>136</v>
      </c>
      <c r="I639" s="5" t="s">
        <v>3640</v>
      </c>
      <c r="J639" s="42"/>
      <c r="K639" s="475"/>
      <c r="L639" s="476" t="s">
        <v>2478</v>
      </c>
      <c r="M639" s="477"/>
      <c r="N639" s="477"/>
      <c r="O639" s="476"/>
      <c r="P639" s="478"/>
      <c r="Q639" s="478">
        <v>0</v>
      </c>
      <c r="R639" s="478" t="s">
        <v>153</v>
      </c>
      <c r="S639" s="42"/>
      <c r="T639" s="258"/>
      <c r="U639" s="259"/>
      <c r="V639" s="478"/>
      <c r="W639" s="57" t="s">
        <v>4570</v>
      </c>
      <c r="X639" s="57" t="s">
        <v>4570</v>
      </c>
      <c r="Y639" s="478">
        <v>0</v>
      </c>
      <c r="Z639" s="478">
        <v>0</v>
      </c>
      <c r="AA639" s="478"/>
      <c r="AB639" s="478"/>
      <c r="AC639" s="42"/>
      <c r="AD639" s="42"/>
      <c r="AE639" s="42">
        <v>0</v>
      </c>
      <c r="AF639" s="42">
        <v>0</v>
      </c>
      <c r="AG639" s="42">
        <v>0</v>
      </c>
      <c r="AH639" s="42"/>
      <c r="AI639" s="42">
        <v>0</v>
      </c>
      <c r="AJ639" s="42">
        <v>0</v>
      </c>
      <c r="AK639" s="491"/>
      <c r="AL639" s="491"/>
      <c r="AM639" s="491"/>
      <c r="AN639" s="42"/>
      <c r="AO639" s="42"/>
      <c r="AP639" s="42"/>
      <c r="AQ639" s="42" t="s">
        <v>2480</v>
      </c>
      <c r="AR639" s="280"/>
    </row>
    <row r="640" spans="1:44" ht="15" customHeight="1">
      <c r="A640" s="42">
        <v>2011607</v>
      </c>
      <c r="B640" s="5" t="s">
        <v>3638</v>
      </c>
      <c r="C640" s="224" t="s">
        <v>4827</v>
      </c>
      <c r="D640" s="42" t="s">
        <v>1876</v>
      </c>
      <c r="E640" s="42"/>
      <c r="F640" s="36">
        <v>6</v>
      </c>
      <c r="G640" s="36">
        <v>7</v>
      </c>
      <c r="H640" s="42" t="s">
        <v>136</v>
      </c>
      <c r="I640" s="5" t="s">
        <v>3640</v>
      </c>
      <c r="J640" s="42"/>
      <c r="K640" s="475"/>
      <c r="L640" s="476" t="s">
        <v>2482</v>
      </c>
      <c r="M640" s="477"/>
      <c r="N640" s="477"/>
      <c r="O640" s="476"/>
      <c r="P640" s="478"/>
      <c r="Q640" s="478">
        <v>0</v>
      </c>
      <c r="R640" s="478" t="s">
        <v>153</v>
      </c>
      <c r="S640" s="42"/>
      <c r="T640" s="258"/>
      <c r="U640" s="259"/>
      <c r="V640" s="478"/>
      <c r="W640" s="57" t="s">
        <v>4828</v>
      </c>
      <c r="X640" s="57" t="s">
        <v>4828</v>
      </c>
      <c r="Y640" s="478">
        <v>0</v>
      </c>
      <c r="Z640" s="478">
        <v>0</v>
      </c>
      <c r="AA640" s="478"/>
      <c r="AB640" s="478"/>
      <c r="AC640" s="42"/>
      <c r="AD640" s="42"/>
      <c r="AE640" s="42">
        <v>0</v>
      </c>
      <c r="AF640" s="42">
        <v>0</v>
      </c>
      <c r="AG640" s="42">
        <v>0</v>
      </c>
      <c r="AH640" s="42"/>
      <c r="AI640" s="42">
        <v>0</v>
      </c>
      <c r="AJ640" s="42">
        <v>0</v>
      </c>
      <c r="AK640" s="491"/>
      <c r="AL640" s="491"/>
      <c r="AM640" s="491"/>
      <c r="AN640" s="42"/>
      <c r="AO640" s="42"/>
      <c r="AP640" s="42"/>
      <c r="AQ640" s="42" t="s">
        <v>2484</v>
      </c>
      <c r="AR640" s="280"/>
    </row>
    <row r="641" spans="1:44" ht="15" customHeight="1">
      <c r="A641" s="42">
        <v>2011608</v>
      </c>
      <c r="B641" s="5" t="s">
        <v>3638</v>
      </c>
      <c r="C641" s="224" t="s">
        <v>4829</v>
      </c>
      <c r="D641" s="42" t="s">
        <v>1876</v>
      </c>
      <c r="E641" s="42"/>
      <c r="F641" s="36">
        <v>7</v>
      </c>
      <c r="G641" s="36">
        <v>7</v>
      </c>
      <c r="H641" s="42" t="s">
        <v>136</v>
      </c>
      <c r="I641" s="5" t="s">
        <v>3640</v>
      </c>
      <c r="J641" s="42"/>
      <c r="K641" s="475"/>
      <c r="L641" s="476" t="s">
        <v>2486</v>
      </c>
      <c r="M641" s="477"/>
      <c r="N641" s="477"/>
      <c r="O641" s="476"/>
      <c r="P641" s="478"/>
      <c r="Q641" s="478">
        <v>0</v>
      </c>
      <c r="R641" s="478" t="s">
        <v>153</v>
      </c>
      <c r="S641" s="42"/>
      <c r="T641" s="258"/>
      <c r="U641" s="259"/>
      <c r="V641" s="478"/>
      <c r="W641" s="57" t="s">
        <v>4830</v>
      </c>
      <c r="X641" s="57" t="s">
        <v>4830</v>
      </c>
      <c r="Y641" s="478">
        <v>0</v>
      </c>
      <c r="Z641" s="478">
        <v>0</v>
      </c>
      <c r="AA641" s="478"/>
      <c r="AB641" s="478"/>
      <c r="AC641" s="42"/>
      <c r="AD641" s="42"/>
      <c r="AE641" s="42">
        <v>0</v>
      </c>
      <c r="AF641" s="42">
        <v>0</v>
      </c>
      <c r="AG641" s="42">
        <v>0</v>
      </c>
      <c r="AH641" s="42"/>
      <c r="AI641" s="42">
        <v>0</v>
      </c>
      <c r="AJ641" s="42">
        <v>0</v>
      </c>
      <c r="AK641" s="491"/>
      <c r="AL641" s="491"/>
      <c r="AM641" s="491"/>
      <c r="AN641" s="42"/>
      <c r="AO641" s="42"/>
      <c r="AP641" s="42"/>
      <c r="AQ641" s="42" t="s">
        <v>2488</v>
      </c>
      <c r="AR641" s="280"/>
    </row>
    <row r="642" spans="1:44" ht="15" customHeight="1">
      <c r="A642" s="3">
        <v>2011609</v>
      </c>
      <c r="B642" s="5" t="s">
        <v>3638</v>
      </c>
      <c r="C642" s="224" t="s">
        <v>4831</v>
      </c>
      <c r="D642" s="44" t="s">
        <v>1876</v>
      </c>
      <c r="E642" s="41"/>
      <c r="F642" s="3">
        <v>8</v>
      </c>
      <c r="G642" s="36">
        <v>7</v>
      </c>
      <c r="H642" s="3" t="s">
        <v>136</v>
      </c>
      <c r="I642" s="5" t="s">
        <v>3640</v>
      </c>
      <c r="J642" s="3"/>
      <c r="K642" s="3"/>
      <c r="L642" s="236"/>
      <c r="M642" s="99"/>
      <c r="N642" s="99"/>
      <c r="O642" s="236"/>
      <c r="P642" s="22"/>
      <c r="Q642" s="22">
        <v>0</v>
      </c>
      <c r="R642" s="22" t="s">
        <v>153</v>
      </c>
      <c r="S642" s="3"/>
      <c r="T642" s="260"/>
      <c r="U642" s="261"/>
      <c r="V642" s="22"/>
      <c r="W642" s="57" t="s">
        <v>4795</v>
      </c>
      <c r="X642" s="57" t="s">
        <v>4795</v>
      </c>
      <c r="Y642" s="22"/>
      <c r="Z642" s="22"/>
      <c r="AA642" s="22"/>
      <c r="AB642" s="22" t="s">
        <v>114</v>
      </c>
      <c r="AC642" s="3"/>
      <c r="AD642" s="3"/>
      <c r="AE642" s="3">
        <v>0</v>
      </c>
      <c r="AF642" s="3">
        <v>0</v>
      </c>
      <c r="AG642" s="3">
        <v>0</v>
      </c>
      <c r="AH642" s="3"/>
      <c r="AI642" s="3">
        <v>0</v>
      </c>
      <c r="AJ642" s="3">
        <v>0</v>
      </c>
      <c r="AK642" s="3">
        <v>0</v>
      </c>
      <c r="AL642" s="3"/>
      <c r="AM642" s="3"/>
      <c r="AN642" s="3"/>
      <c r="AO642" s="3"/>
      <c r="AP642" s="3"/>
      <c r="AQ642" s="3" t="s">
        <v>2468</v>
      </c>
      <c r="AR642" s="281"/>
    </row>
    <row r="643" spans="1:44" ht="15" customHeight="1">
      <c r="A643" s="3">
        <v>2011610</v>
      </c>
      <c r="B643" s="5" t="s">
        <v>3638</v>
      </c>
      <c r="C643" s="224" t="s">
        <v>4832</v>
      </c>
      <c r="D643" s="3" t="s">
        <v>1876</v>
      </c>
      <c r="F643" s="3">
        <v>9</v>
      </c>
      <c r="G643" s="36">
        <v>7</v>
      </c>
      <c r="H643" s="3" t="s">
        <v>136</v>
      </c>
      <c r="I643" s="5" t="s">
        <v>3640</v>
      </c>
      <c r="J643" s="3"/>
      <c r="K643" s="3"/>
      <c r="L643" s="236"/>
      <c r="M643" s="99"/>
      <c r="N643" s="99"/>
      <c r="O643" s="236"/>
      <c r="P643" s="22"/>
      <c r="Q643" s="22">
        <v>0</v>
      </c>
      <c r="R643" s="22" t="s">
        <v>153</v>
      </c>
      <c r="S643" s="3"/>
      <c r="T643" s="260"/>
      <c r="U643" s="261"/>
      <c r="V643" s="22"/>
      <c r="W643" s="57" t="s">
        <v>4833</v>
      </c>
      <c r="X643" s="57" t="s">
        <v>4833</v>
      </c>
      <c r="Y643" s="22"/>
      <c r="Z643" s="22"/>
      <c r="AA643" s="22"/>
      <c r="AB643" s="22" t="s">
        <v>114</v>
      </c>
      <c r="AC643" s="3"/>
      <c r="AD643" s="3"/>
      <c r="AE643" s="3">
        <v>0</v>
      </c>
      <c r="AF643" s="3">
        <v>0</v>
      </c>
      <c r="AG643" s="3">
        <v>0</v>
      </c>
      <c r="AH643" s="3"/>
      <c r="AI643" s="3">
        <v>0</v>
      </c>
      <c r="AJ643" s="3">
        <v>0</v>
      </c>
      <c r="AK643" s="3">
        <v>0</v>
      </c>
      <c r="AL643" s="3"/>
      <c r="AM643" s="3"/>
      <c r="AN643" s="3"/>
      <c r="AO643" s="3"/>
      <c r="AP643" s="3"/>
      <c r="AQ643" s="282" t="str">
        <f>"tricks/"&amp;A643</f>
        <v>tricks/2011610</v>
      </c>
    </row>
    <row r="644" spans="1:44" ht="15" customHeight="1">
      <c r="A644" s="3">
        <v>2011611</v>
      </c>
      <c r="B644" s="5" t="s">
        <v>3638</v>
      </c>
      <c r="C644" s="224" t="s">
        <v>4834</v>
      </c>
      <c r="D644" s="3" t="s">
        <v>1876</v>
      </c>
      <c r="F644" s="3">
        <v>10</v>
      </c>
      <c r="G644" s="36">
        <v>7</v>
      </c>
      <c r="H644" s="3" t="s">
        <v>136</v>
      </c>
      <c r="I644" s="5" t="s">
        <v>3640</v>
      </c>
      <c r="J644" s="3"/>
      <c r="K644" s="3"/>
      <c r="L644" s="236"/>
      <c r="M644" s="99"/>
      <c r="N644" s="99"/>
      <c r="O644" s="236"/>
      <c r="P644" s="22"/>
      <c r="Q644" s="22">
        <v>0</v>
      </c>
      <c r="R644" s="22" t="s">
        <v>153</v>
      </c>
      <c r="S644" s="3"/>
      <c r="T644" s="260"/>
      <c r="U644" s="261"/>
      <c r="V644" s="22"/>
      <c r="W644" s="57" t="s">
        <v>4835</v>
      </c>
      <c r="X644" s="57" t="s">
        <v>4835</v>
      </c>
      <c r="Y644" s="22"/>
      <c r="Z644" s="22"/>
      <c r="AA644" s="22"/>
      <c r="AB644" s="22" t="s">
        <v>114</v>
      </c>
      <c r="AC644" s="3"/>
      <c r="AD644" s="3"/>
      <c r="AE644" s="3">
        <v>0</v>
      </c>
      <c r="AF644" s="3">
        <v>0</v>
      </c>
      <c r="AG644" s="3">
        <v>0</v>
      </c>
      <c r="AH644" s="3"/>
      <c r="AI644" s="3">
        <v>0</v>
      </c>
      <c r="AJ644" s="3">
        <v>0</v>
      </c>
      <c r="AK644" s="3">
        <v>0</v>
      </c>
      <c r="AL644" s="3"/>
      <c r="AM644" s="3"/>
      <c r="AN644" s="3"/>
      <c r="AO644" s="3"/>
      <c r="AP644" s="3"/>
      <c r="AQ644" s="282" t="str">
        <f>"tricks/"&amp;A644</f>
        <v>tricks/2011611</v>
      </c>
    </row>
    <row r="645" spans="1:44" ht="15" customHeight="1">
      <c r="A645" s="46">
        <v>2011701</v>
      </c>
      <c r="B645" s="5" t="s">
        <v>3638</v>
      </c>
      <c r="C645" s="224" t="s">
        <v>4836</v>
      </c>
      <c r="D645" s="46" t="s">
        <v>1876</v>
      </c>
      <c r="E645" s="46"/>
      <c r="F645" s="36">
        <v>1</v>
      </c>
      <c r="G645" s="36">
        <v>7</v>
      </c>
      <c r="H645" s="46" t="s">
        <v>82</v>
      </c>
      <c r="I645" s="5" t="s">
        <v>3640</v>
      </c>
      <c r="J645" s="46">
        <v>1</v>
      </c>
      <c r="K645" s="496"/>
      <c r="L645" s="497" t="s">
        <v>2456</v>
      </c>
      <c r="M645" s="498"/>
      <c r="N645" s="498">
        <v>24</v>
      </c>
      <c r="O645" s="497"/>
      <c r="P645" s="499"/>
      <c r="Q645" s="499">
        <v>0</v>
      </c>
      <c r="R645" s="499" t="s">
        <v>153</v>
      </c>
      <c r="S645" s="46"/>
      <c r="T645" s="510"/>
      <c r="U645" s="511"/>
      <c r="V645" s="499"/>
      <c r="W645" s="57" t="s">
        <v>4837</v>
      </c>
      <c r="X645" s="57" t="s">
        <v>4837</v>
      </c>
      <c r="Y645" s="499">
        <v>0</v>
      </c>
      <c r="Z645" s="499">
        <v>0</v>
      </c>
      <c r="AA645" s="499"/>
      <c r="AB645" s="499"/>
      <c r="AC645" s="46"/>
      <c r="AD645" s="46"/>
      <c r="AE645" s="46">
        <v>0</v>
      </c>
      <c r="AF645" s="46">
        <v>0</v>
      </c>
      <c r="AG645" s="46">
        <v>0</v>
      </c>
      <c r="AH645" s="46"/>
      <c r="AI645" s="46"/>
      <c r="AJ645" s="46"/>
      <c r="AK645" s="516"/>
      <c r="AL645" s="516"/>
      <c r="AM645" s="516"/>
      <c r="AN645" s="46"/>
      <c r="AO645" s="46"/>
      <c r="AP645" s="46"/>
      <c r="AQ645" s="46" t="s">
        <v>2497</v>
      </c>
      <c r="AR645" s="521"/>
    </row>
    <row r="646" spans="1:44" ht="15" customHeight="1">
      <c r="A646" s="46">
        <v>2011702</v>
      </c>
      <c r="B646" s="5" t="s">
        <v>3638</v>
      </c>
      <c r="C646" s="224" t="s">
        <v>4838</v>
      </c>
      <c r="D646" s="46" t="s">
        <v>1876</v>
      </c>
      <c r="E646" s="46"/>
      <c r="F646" s="36">
        <v>1</v>
      </c>
      <c r="G646" s="36">
        <v>7</v>
      </c>
      <c r="H646" s="46" t="s">
        <v>136</v>
      </c>
      <c r="I646" s="5" t="s">
        <v>3640</v>
      </c>
      <c r="J646" s="46"/>
      <c r="K646" s="496"/>
      <c r="L646" s="497" t="s">
        <v>2482</v>
      </c>
      <c r="M646" s="498"/>
      <c r="N646" s="498"/>
      <c r="O646" s="497"/>
      <c r="P646" s="499"/>
      <c r="Q646" s="499">
        <v>0</v>
      </c>
      <c r="R646" s="499" t="s">
        <v>153</v>
      </c>
      <c r="S646" s="46"/>
      <c r="T646" s="510"/>
      <c r="U646" s="511"/>
      <c r="V646" s="499"/>
      <c r="W646" s="57" t="s">
        <v>4839</v>
      </c>
      <c r="X646" s="57" t="s">
        <v>4839</v>
      </c>
      <c r="Y646" s="499">
        <v>0</v>
      </c>
      <c r="Z646" s="499">
        <v>0</v>
      </c>
      <c r="AA646" s="499"/>
      <c r="AB646" s="499"/>
      <c r="AC646" s="46"/>
      <c r="AD646" s="46"/>
      <c r="AE646" s="46">
        <v>0</v>
      </c>
      <c r="AF646" s="46">
        <v>0</v>
      </c>
      <c r="AG646" s="46">
        <v>0</v>
      </c>
      <c r="AH646" s="46"/>
      <c r="AI646" s="46">
        <v>0</v>
      </c>
      <c r="AJ646" s="46">
        <v>0</v>
      </c>
      <c r="AK646" s="516"/>
      <c r="AL646" s="516"/>
      <c r="AM646" s="516"/>
      <c r="AN646" s="46"/>
      <c r="AO646" s="46"/>
      <c r="AP646" s="46"/>
      <c r="AQ646" s="46" t="s">
        <v>2500</v>
      </c>
      <c r="AR646" s="521"/>
    </row>
    <row r="647" spans="1:44" ht="15" customHeight="1">
      <c r="A647" s="46">
        <v>2011703</v>
      </c>
      <c r="B647" s="5" t="s">
        <v>3638</v>
      </c>
      <c r="C647" s="224" t="s">
        <v>4840</v>
      </c>
      <c r="D647" s="46" t="s">
        <v>1876</v>
      </c>
      <c r="E647" s="46"/>
      <c r="F647" s="36">
        <v>2</v>
      </c>
      <c r="G647" s="36">
        <v>7</v>
      </c>
      <c r="H647" s="46" t="s">
        <v>136</v>
      </c>
      <c r="I647" s="5" t="s">
        <v>3640</v>
      </c>
      <c r="J647" s="46"/>
      <c r="K647" s="496"/>
      <c r="L647" s="497" t="s">
        <v>2462</v>
      </c>
      <c r="M647" s="498"/>
      <c r="N647" s="498"/>
      <c r="O647" s="497"/>
      <c r="P647" s="499"/>
      <c r="Q647" s="499">
        <v>0</v>
      </c>
      <c r="R647" s="499" t="s">
        <v>153</v>
      </c>
      <c r="S647" s="46"/>
      <c r="T647" s="510"/>
      <c r="U647" s="511"/>
      <c r="V647" s="499"/>
      <c r="W647" s="57" t="s">
        <v>4841</v>
      </c>
      <c r="X647" s="57" t="s">
        <v>4841</v>
      </c>
      <c r="Y647" s="499">
        <v>0</v>
      </c>
      <c r="Z647" s="499">
        <v>0</v>
      </c>
      <c r="AA647" s="499"/>
      <c r="AB647" s="499"/>
      <c r="AC647" s="46"/>
      <c r="AD647" s="46"/>
      <c r="AE647" s="46">
        <v>0</v>
      </c>
      <c r="AF647" s="46">
        <v>0</v>
      </c>
      <c r="AG647" s="46">
        <v>0</v>
      </c>
      <c r="AH647" s="46"/>
      <c r="AI647" s="46">
        <v>0</v>
      </c>
      <c r="AJ647" s="46">
        <v>0</v>
      </c>
      <c r="AK647" s="516"/>
      <c r="AL647" s="516"/>
      <c r="AM647" s="516"/>
      <c r="AN647" s="46"/>
      <c r="AO647" s="46"/>
      <c r="AP647" s="46"/>
      <c r="AQ647" s="46" t="s">
        <v>2503</v>
      </c>
      <c r="AR647" s="521"/>
    </row>
    <row r="648" spans="1:44" ht="15" customHeight="1">
      <c r="A648" s="46">
        <v>2011704</v>
      </c>
      <c r="B648" s="5" t="s">
        <v>3638</v>
      </c>
      <c r="C648" s="224" t="s">
        <v>4842</v>
      </c>
      <c r="D648" s="46" t="s">
        <v>1876</v>
      </c>
      <c r="E648" s="46"/>
      <c r="F648" s="36">
        <v>3</v>
      </c>
      <c r="G648" s="36">
        <v>7</v>
      </c>
      <c r="H648" s="46" t="s">
        <v>136</v>
      </c>
      <c r="I648" s="5" t="s">
        <v>3640</v>
      </c>
      <c r="J648" s="46"/>
      <c r="K648" s="496"/>
      <c r="L648" s="497" t="s">
        <v>2478</v>
      </c>
      <c r="M648" s="498"/>
      <c r="N648" s="498"/>
      <c r="O648" s="497"/>
      <c r="P648" s="499"/>
      <c r="Q648" s="499">
        <v>0</v>
      </c>
      <c r="R648" s="499" t="s">
        <v>153</v>
      </c>
      <c r="S648" s="46"/>
      <c r="T648" s="510"/>
      <c r="U648" s="511"/>
      <c r="V648" s="499"/>
      <c r="W648" s="57" t="s">
        <v>4843</v>
      </c>
      <c r="X648" s="57" t="s">
        <v>4843</v>
      </c>
      <c r="Y648" s="499">
        <v>0</v>
      </c>
      <c r="Z648" s="499">
        <v>0</v>
      </c>
      <c r="AA648" s="499"/>
      <c r="AB648" s="499"/>
      <c r="AC648" s="46"/>
      <c r="AD648" s="46"/>
      <c r="AE648" s="46">
        <v>0</v>
      </c>
      <c r="AF648" s="46">
        <v>0</v>
      </c>
      <c r="AG648" s="46">
        <v>0</v>
      </c>
      <c r="AH648" s="46"/>
      <c r="AI648" s="46">
        <v>0</v>
      </c>
      <c r="AJ648" s="46">
        <v>0</v>
      </c>
      <c r="AK648" s="516"/>
      <c r="AL648" s="516"/>
      <c r="AM648" s="516"/>
      <c r="AN648" s="46"/>
      <c r="AO648" s="46"/>
      <c r="AP648" s="46"/>
      <c r="AQ648" s="46" t="s">
        <v>2506</v>
      </c>
      <c r="AR648" s="521"/>
    </row>
    <row r="649" spans="1:44" ht="15" customHeight="1">
      <c r="A649" s="46">
        <v>2011705</v>
      </c>
      <c r="B649" s="5" t="s">
        <v>3638</v>
      </c>
      <c r="C649" s="224" t="s">
        <v>4844</v>
      </c>
      <c r="D649" s="46" t="s">
        <v>1876</v>
      </c>
      <c r="E649" s="46"/>
      <c r="F649" s="36">
        <v>4</v>
      </c>
      <c r="G649" s="36">
        <v>7</v>
      </c>
      <c r="H649" s="46" t="s">
        <v>136</v>
      </c>
      <c r="I649" s="5" t="s">
        <v>3640</v>
      </c>
      <c r="J649" s="46"/>
      <c r="K649" s="496"/>
      <c r="L649" s="497" t="s">
        <v>2470</v>
      </c>
      <c r="M649" s="498"/>
      <c r="N649" s="498"/>
      <c r="O649" s="497"/>
      <c r="P649" s="499"/>
      <c r="Q649" s="499">
        <v>0</v>
      </c>
      <c r="R649" s="499" t="s">
        <v>153</v>
      </c>
      <c r="S649" s="46"/>
      <c r="T649" s="510"/>
      <c r="U649" s="511"/>
      <c r="V649" s="499"/>
      <c r="W649" s="57" t="s">
        <v>4845</v>
      </c>
      <c r="X649" s="57" t="s">
        <v>4845</v>
      </c>
      <c r="Y649" s="499">
        <v>0</v>
      </c>
      <c r="Z649" s="499">
        <v>0</v>
      </c>
      <c r="AA649" s="499"/>
      <c r="AB649" s="499"/>
      <c r="AC649" s="46"/>
      <c r="AD649" s="46"/>
      <c r="AE649" s="46">
        <v>0</v>
      </c>
      <c r="AF649" s="46">
        <v>0</v>
      </c>
      <c r="AG649" s="46">
        <v>0</v>
      </c>
      <c r="AH649" s="46"/>
      <c r="AI649" s="46">
        <v>0</v>
      </c>
      <c r="AJ649" s="46">
        <v>0</v>
      </c>
      <c r="AK649" s="516"/>
      <c r="AL649" s="516"/>
      <c r="AM649" s="516"/>
      <c r="AN649" s="46"/>
      <c r="AO649" s="46"/>
      <c r="AP649" s="46"/>
      <c r="AQ649" s="46" t="s">
        <v>2509</v>
      </c>
      <c r="AR649" s="521"/>
    </row>
    <row r="650" spans="1:44" ht="15" customHeight="1">
      <c r="A650" s="46">
        <v>2011706</v>
      </c>
      <c r="B650" s="5" t="s">
        <v>3638</v>
      </c>
      <c r="C650" s="224" t="s">
        <v>4846</v>
      </c>
      <c r="D650" s="46" t="s">
        <v>1876</v>
      </c>
      <c r="E650" s="46"/>
      <c r="F650" s="36">
        <v>5</v>
      </c>
      <c r="G650" s="36">
        <v>7</v>
      </c>
      <c r="H650" s="46" t="s">
        <v>136</v>
      </c>
      <c r="I650" s="5" t="s">
        <v>3640</v>
      </c>
      <c r="J650" s="46"/>
      <c r="K650" s="496"/>
      <c r="L650" s="497" t="s">
        <v>2466</v>
      </c>
      <c r="M650" s="498"/>
      <c r="N650" s="498"/>
      <c r="O650" s="497"/>
      <c r="P650" s="499"/>
      <c r="Q650" s="499">
        <v>0</v>
      </c>
      <c r="R650" s="499" t="s">
        <v>153</v>
      </c>
      <c r="S650" s="46"/>
      <c r="T650" s="510"/>
      <c r="U650" s="511"/>
      <c r="V650" s="499"/>
      <c r="W650" s="57" t="s">
        <v>4847</v>
      </c>
      <c r="X650" s="57" t="s">
        <v>4847</v>
      </c>
      <c r="Y650" s="499">
        <v>0</v>
      </c>
      <c r="Z650" s="499">
        <v>0</v>
      </c>
      <c r="AA650" s="499"/>
      <c r="AB650" s="499"/>
      <c r="AC650" s="46"/>
      <c r="AD650" s="46"/>
      <c r="AE650" s="46">
        <v>0</v>
      </c>
      <c r="AF650" s="46">
        <v>0</v>
      </c>
      <c r="AG650" s="46">
        <v>0</v>
      </c>
      <c r="AH650" s="46"/>
      <c r="AI650" s="46">
        <v>0</v>
      </c>
      <c r="AJ650" s="46">
        <v>0</v>
      </c>
      <c r="AK650" s="516"/>
      <c r="AL650" s="516"/>
      <c r="AM650" s="516"/>
      <c r="AN650" s="46"/>
      <c r="AO650" s="46"/>
      <c r="AP650" s="46"/>
      <c r="AQ650" s="46" t="s">
        <v>2512</v>
      </c>
      <c r="AR650" s="521"/>
    </row>
    <row r="651" spans="1:44" ht="15" customHeight="1">
      <c r="A651" s="46">
        <v>2011707</v>
      </c>
      <c r="B651" s="5" t="s">
        <v>3638</v>
      </c>
      <c r="C651" s="224" t="s">
        <v>4848</v>
      </c>
      <c r="D651" s="46" t="s">
        <v>1876</v>
      </c>
      <c r="E651" s="46"/>
      <c r="F651" s="36">
        <v>6</v>
      </c>
      <c r="G651" s="36">
        <v>7</v>
      </c>
      <c r="H651" s="46" t="s">
        <v>136</v>
      </c>
      <c r="I651" s="5" t="s">
        <v>3640</v>
      </c>
      <c r="J651" s="46"/>
      <c r="K651" s="496"/>
      <c r="L651" s="497" t="s">
        <v>2474</v>
      </c>
      <c r="M651" s="498"/>
      <c r="N651" s="498"/>
      <c r="O651" s="497"/>
      <c r="P651" s="499"/>
      <c r="Q651" s="499">
        <v>0</v>
      </c>
      <c r="R651" s="499" t="s">
        <v>153</v>
      </c>
      <c r="S651" s="46"/>
      <c r="T651" s="510"/>
      <c r="U651" s="511"/>
      <c r="V651" s="499"/>
      <c r="W651" s="57" t="s">
        <v>4843</v>
      </c>
      <c r="X651" s="57" t="s">
        <v>4843</v>
      </c>
      <c r="Y651" s="499">
        <v>0</v>
      </c>
      <c r="Z651" s="499">
        <v>0</v>
      </c>
      <c r="AA651" s="499"/>
      <c r="AB651" s="499"/>
      <c r="AC651" s="46"/>
      <c r="AD651" s="46"/>
      <c r="AE651" s="46">
        <v>0</v>
      </c>
      <c r="AF651" s="46">
        <v>0</v>
      </c>
      <c r="AG651" s="46">
        <v>0</v>
      </c>
      <c r="AH651" s="46"/>
      <c r="AI651" s="46">
        <v>0</v>
      </c>
      <c r="AJ651" s="46">
        <v>0</v>
      </c>
      <c r="AK651" s="516"/>
      <c r="AL651" s="516"/>
      <c r="AM651" s="516"/>
      <c r="AN651" s="46"/>
      <c r="AO651" s="46"/>
      <c r="AP651" s="46"/>
      <c r="AQ651" s="46" t="s">
        <v>2515</v>
      </c>
      <c r="AR651" s="521"/>
    </row>
    <row r="652" spans="1:44" ht="15" customHeight="1">
      <c r="A652" s="46">
        <v>2011708</v>
      </c>
      <c r="B652" s="5" t="s">
        <v>3638</v>
      </c>
      <c r="C652" s="224" t="s">
        <v>4849</v>
      </c>
      <c r="D652" s="46" t="s">
        <v>1876</v>
      </c>
      <c r="E652" s="46"/>
      <c r="F652" s="36">
        <v>7</v>
      </c>
      <c r="G652" s="36">
        <v>7</v>
      </c>
      <c r="H652" s="46" t="s">
        <v>136</v>
      </c>
      <c r="I652" s="5" t="s">
        <v>3640</v>
      </c>
      <c r="J652" s="46"/>
      <c r="K652" s="496"/>
      <c r="L652" s="497" t="s">
        <v>2486</v>
      </c>
      <c r="M652" s="498"/>
      <c r="N652" s="498"/>
      <c r="O652" s="497"/>
      <c r="P652" s="499"/>
      <c r="Q652" s="499">
        <v>0</v>
      </c>
      <c r="R652" s="499" t="s">
        <v>153</v>
      </c>
      <c r="S652" s="46"/>
      <c r="T652" s="510"/>
      <c r="U652" s="511"/>
      <c r="V652" s="499"/>
      <c r="W652" s="57" t="s">
        <v>4850</v>
      </c>
      <c r="X652" s="57" t="s">
        <v>4850</v>
      </c>
      <c r="Y652" s="499">
        <v>0</v>
      </c>
      <c r="Z652" s="499">
        <v>0</v>
      </c>
      <c r="AA652" s="499"/>
      <c r="AB652" s="499"/>
      <c r="AC652" s="46"/>
      <c r="AD652" s="46"/>
      <c r="AE652" s="46">
        <v>0</v>
      </c>
      <c r="AF652" s="46">
        <v>0</v>
      </c>
      <c r="AG652" s="46">
        <v>0</v>
      </c>
      <c r="AH652" s="46"/>
      <c r="AI652" s="46">
        <v>0</v>
      </c>
      <c r="AJ652" s="46">
        <v>0</v>
      </c>
      <c r="AK652" s="516"/>
      <c r="AL652" s="516"/>
      <c r="AM652" s="516"/>
      <c r="AN652" s="46"/>
      <c r="AO652" s="46"/>
      <c r="AP652" s="46"/>
      <c r="AQ652" s="46" t="s">
        <v>2518</v>
      </c>
      <c r="AR652" s="521"/>
    </row>
    <row r="653" spans="1:44" ht="15" customHeight="1">
      <c r="A653" s="495">
        <v>2011709</v>
      </c>
      <c r="B653" s="5" t="s">
        <v>3638</v>
      </c>
      <c r="C653" s="224" t="s">
        <v>4851</v>
      </c>
      <c r="D653" s="44" t="s">
        <v>1876</v>
      </c>
      <c r="E653" s="41"/>
      <c r="F653" s="3">
        <v>8</v>
      </c>
      <c r="G653" s="36">
        <v>7</v>
      </c>
      <c r="H653" s="3" t="s">
        <v>136</v>
      </c>
      <c r="I653" s="5" t="s">
        <v>3640</v>
      </c>
      <c r="J653" s="3"/>
      <c r="K653" s="3"/>
      <c r="L653" s="236"/>
      <c r="M653" s="99"/>
      <c r="N653" s="99"/>
      <c r="O653" s="236"/>
      <c r="P653" s="22"/>
      <c r="Q653" s="22">
        <v>0</v>
      </c>
      <c r="R653" s="22" t="s">
        <v>153</v>
      </c>
      <c r="S653" s="3"/>
      <c r="T653" s="260"/>
      <c r="U653" s="261"/>
      <c r="V653" s="22"/>
      <c r="W653" s="57" t="s">
        <v>4795</v>
      </c>
      <c r="X653" s="57" t="s">
        <v>4795</v>
      </c>
      <c r="Y653" s="22"/>
      <c r="Z653" s="22"/>
      <c r="AA653" s="22"/>
      <c r="AB653" s="22" t="s">
        <v>114</v>
      </c>
      <c r="AC653" s="3"/>
      <c r="AD653" s="3"/>
      <c r="AE653" s="3">
        <v>0</v>
      </c>
      <c r="AF653" s="3">
        <v>0</v>
      </c>
      <c r="AG653" s="3">
        <v>0</v>
      </c>
      <c r="AH653" s="3"/>
      <c r="AI653" s="3">
        <v>0</v>
      </c>
      <c r="AJ653" s="3">
        <v>0</v>
      </c>
      <c r="AK653" s="3">
        <v>0</v>
      </c>
      <c r="AL653" s="3"/>
      <c r="AM653" s="3"/>
      <c r="AN653" s="3"/>
      <c r="AO653" s="3"/>
      <c r="AP653" s="3"/>
      <c r="AQ653" s="3" t="s">
        <v>2503</v>
      </c>
      <c r="AR653" s="281"/>
    </row>
    <row r="654" spans="1:44" ht="15" customHeight="1">
      <c r="A654" s="3">
        <v>2011710</v>
      </c>
      <c r="B654" s="5" t="s">
        <v>3638</v>
      </c>
      <c r="C654" s="224" t="s">
        <v>4852</v>
      </c>
      <c r="D654" s="3" t="s">
        <v>1876</v>
      </c>
      <c r="F654" s="3">
        <v>9</v>
      </c>
      <c r="G654" s="36">
        <v>7</v>
      </c>
      <c r="H654" s="3" t="s">
        <v>136</v>
      </c>
      <c r="I654" s="5" t="s">
        <v>3640</v>
      </c>
      <c r="J654" s="3"/>
      <c r="K654" s="3"/>
      <c r="L654" s="236"/>
      <c r="M654" s="99"/>
      <c r="N654" s="99"/>
      <c r="O654" s="236"/>
      <c r="P654" s="22"/>
      <c r="Q654" s="22">
        <v>0</v>
      </c>
      <c r="R654" s="22" t="s">
        <v>153</v>
      </c>
      <c r="S654" s="3"/>
      <c r="T654" s="260"/>
      <c r="U654" s="261"/>
      <c r="V654" s="22"/>
      <c r="W654" s="57" t="s">
        <v>4853</v>
      </c>
      <c r="X654" s="57" t="s">
        <v>4853</v>
      </c>
      <c r="Y654" s="22"/>
      <c r="Z654" s="22"/>
      <c r="AA654" s="22"/>
      <c r="AB654" s="22" t="s">
        <v>114</v>
      </c>
      <c r="AC654" s="3"/>
      <c r="AD654" s="3"/>
      <c r="AE654" s="3">
        <v>0</v>
      </c>
      <c r="AF654" s="3">
        <v>0</v>
      </c>
      <c r="AG654" s="3">
        <v>0</v>
      </c>
      <c r="AH654" s="3"/>
      <c r="AI654" s="3">
        <v>0</v>
      </c>
      <c r="AJ654" s="3">
        <v>0</v>
      </c>
      <c r="AK654" s="3">
        <v>0</v>
      </c>
      <c r="AL654" s="3"/>
      <c r="AM654" s="3"/>
      <c r="AN654" s="3"/>
      <c r="AO654" s="3"/>
      <c r="AP654" s="3"/>
      <c r="AQ654" s="282" t="str">
        <f>"tricks/"&amp;A654</f>
        <v>tricks/2011710</v>
      </c>
    </row>
    <row r="655" spans="1:44" ht="15" customHeight="1">
      <c r="A655" s="3">
        <v>2011711</v>
      </c>
      <c r="B655" s="5" t="s">
        <v>3638</v>
      </c>
      <c r="C655" s="224" t="s">
        <v>4854</v>
      </c>
      <c r="D655" s="3" t="s">
        <v>1876</v>
      </c>
      <c r="F655" s="3">
        <v>10</v>
      </c>
      <c r="G655" s="36">
        <v>7</v>
      </c>
      <c r="H655" s="3" t="s">
        <v>136</v>
      </c>
      <c r="I655" s="5" t="s">
        <v>3640</v>
      </c>
      <c r="J655" s="3"/>
      <c r="K655" s="3"/>
      <c r="L655" s="236"/>
      <c r="M655" s="99"/>
      <c r="N655" s="99"/>
      <c r="O655" s="236"/>
      <c r="P655" s="22"/>
      <c r="Q655" s="22">
        <v>0</v>
      </c>
      <c r="R655" s="22" t="s">
        <v>153</v>
      </c>
      <c r="S655" s="3"/>
      <c r="T655" s="260"/>
      <c r="U655" s="261"/>
      <c r="V655" s="22"/>
      <c r="W655" s="57" t="s">
        <v>4855</v>
      </c>
      <c r="X655" s="57" t="s">
        <v>4855</v>
      </c>
      <c r="Y655" s="22"/>
      <c r="Z655" s="22"/>
      <c r="AA655" s="22"/>
      <c r="AB655" s="22" t="s">
        <v>114</v>
      </c>
      <c r="AC655" s="3"/>
      <c r="AD655" s="3"/>
      <c r="AE655" s="3">
        <v>0</v>
      </c>
      <c r="AF655" s="3">
        <v>0</v>
      </c>
      <c r="AG655" s="3">
        <v>0</v>
      </c>
      <c r="AH655" s="3"/>
      <c r="AI655" s="3">
        <v>0</v>
      </c>
      <c r="AJ655" s="3">
        <v>0</v>
      </c>
      <c r="AK655" s="3">
        <v>0</v>
      </c>
      <c r="AL655" s="3"/>
      <c r="AM655" s="3"/>
      <c r="AN655" s="3"/>
      <c r="AO655" s="3"/>
      <c r="AP655" s="3"/>
      <c r="AQ655" s="282" t="str">
        <f>"tricks/"&amp;A655</f>
        <v>tricks/2011711</v>
      </c>
    </row>
    <row r="656" spans="1:44" ht="15" customHeight="1">
      <c r="A656" s="42">
        <v>2011801</v>
      </c>
      <c r="B656" s="5" t="s">
        <v>3638</v>
      </c>
      <c r="C656" s="224" t="s">
        <v>4856</v>
      </c>
      <c r="D656" s="42" t="s">
        <v>1876</v>
      </c>
      <c r="E656" s="42"/>
      <c r="F656" s="36">
        <v>1</v>
      </c>
      <c r="G656" s="36">
        <v>7</v>
      </c>
      <c r="H656" s="42" t="s">
        <v>82</v>
      </c>
      <c r="I656" s="5" t="s">
        <v>3640</v>
      </c>
      <c r="J656" s="42"/>
      <c r="K656" s="475"/>
      <c r="L656" s="476"/>
      <c r="M656" s="477"/>
      <c r="N656" s="378">
        <v>25</v>
      </c>
      <c r="O656" s="476"/>
      <c r="P656" s="478"/>
      <c r="Q656" s="478">
        <v>0</v>
      </c>
      <c r="R656" s="478" t="s">
        <v>153</v>
      </c>
      <c r="S656" s="42"/>
      <c r="T656" s="258"/>
      <c r="U656" s="259"/>
      <c r="V656" s="478"/>
      <c r="W656" s="57" t="s">
        <v>4857</v>
      </c>
      <c r="X656" s="57" t="s">
        <v>4857</v>
      </c>
      <c r="Y656" s="478">
        <v>0</v>
      </c>
      <c r="Z656" s="478">
        <v>0</v>
      </c>
      <c r="AA656" s="478"/>
      <c r="AB656" s="478"/>
      <c r="AC656" s="42"/>
      <c r="AD656" s="42"/>
      <c r="AE656" s="42">
        <v>1</v>
      </c>
      <c r="AF656" s="42">
        <v>2</v>
      </c>
      <c r="AG656" s="42">
        <v>35</v>
      </c>
      <c r="AH656" s="42"/>
      <c r="AI656" s="42"/>
      <c r="AJ656" s="42"/>
      <c r="AK656" s="491"/>
      <c r="AL656" s="491"/>
      <c r="AM656" s="491"/>
      <c r="AN656" s="43" t="s">
        <v>2527</v>
      </c>
      <c r="AO656" s="42"/>
      <c r="AP656" s="42"/>
      <c r="AQ656" s="42" t="s">
        <v>2528</v>
      </c>
      <c r="AR656" s="280"/>
    </row>
    <row r="657" spans="1:44" ht="15" customHeight="1">
      <c r="A657" s="42">
        <v>2011802</v>
      </c>
      <c r="B657" s="5" t="s">
        <v>3638</v>
      </c>
      <c r="C657" s="224" t="s">
        <v>4858</v>
      </c>
      <c r="D657" s="42" t="s">
        <v>1876</v>
      </c>
      <c r="E657" s="42"/>
      <c r="F657" s="36">
        <v>1</v>
      </c>
      <c r="G657" s="36">
        <v>7</v>
      </c>
      <c r="H657" s="42" t="s">
        <v>136</v>
      </c>
      <c r="I657" s="5" t="s">
        <v>3640</v>
      </c>
      <c r="J657" s="42"/>
      <c r="K657" s="475"/>
      <c r="L657" s="476"/>
      <c r="M657" s="477"/>
      <c r="N657" s="477"/>
      <c r="O657" s="476"/>
      <c r="P657" s="478"/>
      <c r="Q657" s="478">
        <v>0</v>
      </c>
      <c r="R657" s="478" t="s">
        <v>153</v>
      </c>
      <c r="S657" s="42"/>
      <c r="T657" s="258"/>
      <c r="U657" s="259"/>
      <c r="V657" s="478"/>
      <c r="W657" s="57" t="s">
        <v>4859</v>
      </c>
      <c r="X657" s="57" t="s">
        <v>4859</v>
      </c>
      <c r="Y657" s="478">
        <v>0</v>
      </c>
      <c r="Z657" s="478">
        <v>0</v>
      </c>
      <c r="AA657" s="478"/>
      <c r="AB657" s="478"/>
      <c r="AC657" s="42"/>
      <c r="AD657" s="42"/>
      <c r="AE657" s="42">
        <v>0</v>
      </c>
      <c r="AF657" s="42">
        <v>0</v>
      </c>
      <c r="AG657" s="42">
        <v>0</v>
      </c>
      <c r="AH657" s="42"/>
      <c r="AI657" s="42">
        <v>0</v>
      </c>
      <c r="AJ657" s="42">
        <v>0</v>
      </c>
      <c r="AK657" s="491"/>
      <c r="AL657" s="491"/>
      <c r="AM657" s="491"/>
      <c r="AN657" s="42"/>
      <c r="AO657" s="42"/>
      <c r="AP657" s="42"/>
      <c r="AQ657" s="42" t="s">
        <v>2531</v>
      </c>
      <c r="AR657" s="280"/>
    </row>
    <row r="658" spans="1:44" ht="15" customHeight="1">
      <c r="A658" s="42">
        <v>2011803</v>
      </c>
      <c r="B658" s="5" t="s">
        <v>3638</v>
      </c>
      <c r="C658" s="224" t="s">
        <v>4860</v>
      </c>
      <c r="D658" s="42" t="s">
        <v>1876</v>
      </c>
      <c r="E658" s="42"/>
      <c r="F658" s="36">
        <v>2</v>
      </c>
      <c r="G658" s="36">
        <v>7</v>
      </c>
      <c r="H658" s="42" t="s">
        <v>136</v>
      </c>
      <c r="I658" s="5" t="s">
        <v>3640</v>
      </c>
      <c r="J658" s="42"/>
      <c r="K658" s="475"/>
      <c r="L658" s="476"/>
      <c r="M658" s="477"/>
      <c r="N658" s="477"/>
      <c r="O658" s="476"/>
      <c r="P658" s="478"/>
      <c r="Q658" s="478">
        <v>0</v>
      </c>
      <c r="R658" s="478" t="s">
        <v>153</v>
      </c>
      <c r="S658" s="42"/>
      <c r="T658" s="258"/>
      <c r="U658" s="259"/>
      <c r="V658" s="478"/>
      <c r="W658" s="57" t="s">
        <v>4861</v>
      </c>
      <c r="X658" s="57" t="s">
        <v>4861</v>
      </c>
      <c r="Y658" s="478">
        <v>0</v>
      </c>
      <c r="Z658" s="478">
        <v>0</v>
      </c>
      <c r="AA658" s="478"/>
      <c r="AB658" s="478"/>
      <c r="AC658" s="42"/>
      <c r="AD658" s="42"/>
      <c r="AE658" s="42">
        <v>0</v>
      </c>
      <c r="AF658" s="42">
        <v>0</v>
      </c>
      <c r="AG658" s="42">
        <v>0</v>
      </c>
      <c r="AH658" s="42"/>
      <c r="AI658" s="42">
        <v>0</v>
      </c>
      <c r="AJ658" s="42">
        <v>0</v>
      </c>
      <c r="AK658" s="491"/>
      <c r="AL658" s="491"/>
      <c r="AM658" s="491"/>
      <c r="AN658" s="42"/>
      <c r="AO658" s="42"/>
      <c r="AP658" s="42"/>
      <c r="AQ658" s="42" t="s">
        <v>2534</v>
      </c>
      <c r="AR658" s="280"/>
    </row>
    <row r="659" spans="1:44" ht="15" customHeight="1">
      <c r="A659" s="42">
        <v>2011804</v>
      </c>
      <c r="B659" s="5" t="s">
        <v>3638</v>
      </c>
      <c r="C659" s="224" t="s">
        <v>4862</v>
      </c>
      <c r="D659" s="42" t="s">
        <v>1876</v>
      </c>
      <c r="E659" s="42"/>
      <c r="F659" s="36">
        <v>3</v>
      </c>
      <c r="G659" s="36">
        <v>7</v>
      </c>
      <c r="H659" s="42" t="s">
        <v>136</v>
      </c>
      <c r="I659" s="5" t="s">
        <v>3640</v>
      </c>
      <c r="J659" s="42"/>
      <c r="K659" s="475"/>
      <c r="L659" s="476"/>
      <c r="M659" s="477"/>
      <c r="N659" s="477"/>
      <c r="O659" s="476"/>
      <c r="P659" s="478"/>
      <c r="Q659" s="478">
        <v>0</v>
      </c>
      <c r="R659" s="478" t="s">
        <v>153</v>
      </c>
      <c r="S659" s="42"/>
      <c r="T659" s="258"/>
      <c r="U659" s="259"/>
      <c r="V659" s="478"/>
      <c r="W659" s="57" t="s">
        <v>4863</v>
      </c>
      <c r="X659" s="57" t="s">
        <v>4863</v>
      </c>
      <c r="Y659" s="478">
        <v>0</v>
      </c>
      <c r="Z659" s="478">
        <v>0</v>
      </c>
      <c r="AA659" s="478"/>
      <c r="AB659" s="478"/>
      <c r="AC659" s="42"/>
      <c r="AD659" s="42"/>
      <c r="AE659" s="42">
        <v>0</v>
      </c>
      <c r="AF659" s="42">
        <v>0</v>
      </c>
      <c r="AG659" s="42">
        <v>0</v>
      </c>
      <c r="AH659" s="42"/>
      <c r="AI659" s="42">
        <v>0</v>
      </c>
      <c r="AJ659" s="42">
        <v>0</v>
      </c>
      <c r="AK659" s="491"/>
      <c r="AL659" s="491"/>
      <c r="AM659" s="491"/>
      <c r="AN659" s="42"/>
      <c r="AO659" s="42"/>
      <c r="AP659" s="42"/>
      <c r="AQ659" s="42" t="s">
        <v>2537</v>
      </c>
      <c r="AR659" s="280"/>
    </row>
    <row r="660" spans="1:44" ht="15" customHeight="1">
      <c r="A660" s="42">
        <v>2011805</v>
      </c>
      <c r="B660" s="5" t="s">
        <v>3638</v>
      </c>
      <c r="C660" s="224" t="s">
        <v>4864</v>
      </c>
      <c r="D660" s="42" t="s">
        <v>1876</v>
      </c>
      <c r="E660" s="42"/>
      <c r="F660" s="36">
        <v>4</v>
      </c>
      <c r="G660" s="36">
        <v>7</v>
      </c>
      <c r="H660" s="42" t="s">
        <v>136</v>
      </c>
      <c r="I660" s="5" t="s">
        <v>3640</v>
      </c>
      <c r="J660" s="42"/>
      <c r="K660" s="475"/>
      <c r="L660" s="476"/>
      <c r="M660" s="477"/>
      <c r="N660" s="477"/>
      <c r="O660" s="476"/>
      <c r="P660" s="478"/>
      <c r="Q660" s="478">
        <v>0</v>
      </c>
      <c r="R660" s="478" t="s">
        <v>153</v>
      </c>
      <c r="S660" s="42"/>
      <c r="T660" s="258"/>
      <c r="U660" s="259"/>
      <c r="V660" s="478"/>
      <c r="W660" s="57" t="s">
        <v>4865</v>
      </c>
      <c r="X660" s="57" t="s">
        <v>4865</v>
      </c>
      <c r="Y660" s="478">
        <v>0</v>
      </c>
      <c r="Z660" s="478">
        <v>0</v>
      </c>
      <c r="AA660" s="478"/>
      <c r="AB660" s="478"/>
      <c r="AC660" s="42"/>
      <c r="AD660" s="42"/>
      <c r="AE660" s="42">
        <v>0</v>
      </c>
      <c r="AF660" s="42">
        <v>0</v>
      </c>
      <c r="AG660" s="42">
        <v>0</v>
      </c>
      <c r="AH660" s="42"/>
      <c r="AI660" s="42">
        <v>0</v>
      </c>
      <c r="AJ660" s="42">
        <v>0</v>
      </c>
      <c r="AK660" s="491"/>
      <c r="AL660" s="491"/>
      <c r="AM660" s="491"/>
      <c r="AN660" s="42"/>
      <c r="AO660" s="42"/>
      <c r="AP660" s="42"/>
      <c r="AQ660" s="42" t="s">
        <v>2539</v>
      </c>
      <c r="AR660" s="280"/>
    </row>
    <row r="661" spans="1:44" ht="15" customHeight="1">
      <c r="A661" s="42">
        <v>2011806</v>
      </c>
      <c r="B661" s="5" t="s">
        <v>3638</v>
      </c>
      <c r="C661" s="224" t="s">
        <v>4866</v>
      </c>
      <c r="D661" s="42" t="s">
        <v>1876</v>
      </c>
      <c r="E661" s="42"/>
      <c r="F661" s="36">
        <v>5</v>
      </c>
      <c r="G661" s="36">
        <v>7</v>
      </c>
      <c r="H661" s="42" t="s">
        <v>136</v>
      </c>
      <c r="I661" s="5" t="s">
        <v>3640</v>
      </c>
      <c r="J661" s="42"/>
      <c r="K661" s="475"/>
      <c r="L661" s="476"/>
      <c r="M661" s="477"/>
      <c r="N661" s="477"/>
      <c r="O661" s="476"/>
      <c r="P661" s="478"/>
      <c r="Q661" s="478">
        <v>0</v>
      </c>
      <c r="R661" s="478" t="s">
        <v>153</v>
      </c>
      <c r="S661" s="42"/>
      <c r="T661" s="258"/>
      <c r="U661" s="259"/>
      <c r="V661" s="478"/>
      <c r="W661" s="57" t="s">
        <v>4867</v>
      </c>
      <c r="X661" s="57" t="s">
        <v>4867</v>
      </c>
      <c r="Y661" s="478">
        <v>0</v>
      </c>
      <c r="Z661" s="478">
        <v>0</v>
      </c>
      <c r="AA661" s="478"/>
      <c r="AB661" s="478"/>
      <c r="AC661" s="42"/>
      <c r="AD661" s="42"/>
      <c r="AE661" s="42">
        <v>0</v>
      </c>
      <c r="AF661" s="42">
        <v>0</v>
      </c>
      <c r="AG661" s="42">
        <v>0</v>
      </c>
      <c r="AH661" s="42"/>
      <c r="AI661" s="42">
        <v>0</v>
      </c>
      <c r="AJ661" s="42">
        <v>0</v>
      </c>
      <c r="AK661" s="491"/>
      <c r="AL661" s="491"/>
      <c r="AM661" s="491"/>
      <c r="AN661" s="42"/>
      <c r="AO661" s="42"/>
      <c r="AP661" s="42"/>
      <c r="AQ661" s="42" t="s">
        <v>2542</v>
      </c>
      <c r="AR661" s="280"/>
    </row>
    <row r="662" spans="1:44" ht="15" customHeight="1">
      <c r="A662" s="42">
        <v>2011807</v>
      </c>
      <c r="B662" s="5" t="s">
        <v>3638</v>
      </c>
      <c r="C662" s="224" t="s">
        <v>4868</v>
      </c>
      <c r="D662" s="42" t="s">
        <v>1876</v>
      </c>
      <c r="E662" s="42"/>
      <c r="F662" s="36">
        <v>6</v>
      </c>
      <c r="G662" s="36">
        <v>7</v>
      </c>
      <c r="H662" s="42" t="s">
        <v>136</v>
      </c>
      <c r="I662" s="5" t="s">
        <v>3640</v>
      </c>
      <c r="J662" s="42"/>
      <c r="K662" s="475"/>
      <c r="L662" s="476"/>
      <c r="M662" s="477"/>
      <c r="N662" s="477"/>
      <c r="O662" s="476"/>
      <c r="P662" s="478"/>
      <c r="Q662" s="478">
        <v>0</v>
      </c>
      <c r="R662" s="478" t="s">
        <v>153</v>
      </c>
      <c r="S662" s="42"/>
      <c r="T662" s="258"/>
      <c r="U662" s="259"/>
      <c r="V662" s="478"/>
      <c r="W662" s="57" t="s">
        <v>4869</v>
      </c>
      <c r="X662" s="57" t="s">
        <v>4869</v>
      </c>
      <c r="Y662" s="478">
        <v>0</v>
      </c>
      <c r="Z662" s="478">
        <v>0</v>
      </c>
      <c r="AA662" s="478"/>
      <c r="AB662" s="478"/>
      <c r="AC662" s="42"/>
      <c r="AD662" s="42"/>
      <c r="AE662" s="42">
        <v>0</v>
      </c>
      <c r="AF662" s="42">
        <v>0</v>
      </c>
      <c r="AG662" s="42">
        <v>0</v>
      </c>
      <c r="AH662" s="42"/>
      <c r="AI662" s="42">
        <v>0</v>
      </c>
      <c r="AJ662" s="42">
        <v>0</v>
      </c>
      <c r="AK662" s="491"/>
      <c r="AL662" s="491"/>
      <c r="AM662" s="491"/>
      <c r="AN662" s="42"/>
      <c r="AO662" s="42"/>
      <c r="AP662" s="42"/>
      <c r="AQ662" s="42" t="s">
        <v>2545</v>
      </c>
      <c r="AR662" s="280"/>
    </row>
    <row r="663" spans="1:44" ht="15" customHeight="1">
      <c r="A663" s="42">
        <v>2011808</v>
      </c>
      <c r="B663" s="5" t="s">
        <v>3638</v>
      </c>
      <c r="C663" s="224" t="s">
        <v>4870</v>
      </c>
      <c r="D663" s="42" t="s">
        <v>1876</v>
      </c>
      <c r="E663" s="42"/>
      <c r="F663" s="36">
        <v>7</v>
      </c>
      <c r="G663" s="36">
        <v>7</v>
      </c>
      <c r="H663" s="42" t="s">
        <v>136</v>
      </c>
      <c r="I663" s="5" t="s">
        <v>3640</v>
      </c>
      <c r="J663" s="42"/>
      <c r="K663" s="475"/>
      <c r="L663" s="476"/>
      <c r="M663" s="477"/>
      <c r="N663" s="477"/>
      <c r="O663" s="476"/>
      <c r="P663" s="478"/>
      <c r="Q663" s="478">
        <v>0</v>
      </c>
      <c r="R663" s="478" t="s">
        <v>153</v>
      </c>
      <c r="S663" s="42"/>
      <c r="T663" s="258"/>
      <c r="U663" s="259"/>
      <c r="V663" s="478"/>
      <c r="W663" s="57" t="s">
        <v>4871</v>
      </c>
      <c r="X663" s="57" t="s">
        <v>4871</v>
      </c>
      <c r="Y663" s="478">
        <v>0</v>
      </c>
      <c r="Z663" s="478">
        <v>0</v>
      </c>
      <c r="AA663" s="478"/>
      <c r="AB663" s="478"/>
      <c r="AC663" s="42"/>
      <c r="AD663" s="42"/>
      <c r="AE663" s="42">
        <v>0</v>
      </c>
      <c r="AF663" s="42">
        <v>0</v>
      </c>
      <c r="AG663" s="42">
        <v>0</v>
      </c>
      <c r="AH663" s="42"/>
      <c r="AI663" s="42">
        <v>0</v>
      </c>
      <c r="AJ663" s="42">
        <v>0</v>
      </c>
      <c r="AK663" s="491"/>
      <c r="AL663" s="491"/>
      <c r="AM663" s="491"/>
      <c r="AN663" s="42"/>
      <c r="AO663" s="42"/>
      <c r="AP663" s="42"/>
      <c r="AQ663" s="42" t="s">
        <v>2548</v>
      </c>
      <c r="AR663" s="280"/>
    </row>
    <row r="664" spans="1:44" ht="15" customHeight="1">
      <c r="A664" s="3">
        <v>2011809</v>
      </c>
      <c r="B664" s="5" t="s">
        <v>3638</v>
      </c>
      <c r="C664" s="224" t="s">
        <v>4872</v>
      </c>
      <c r="D664" s="44" t="s">
        <v>1876</v>
      </c>
      <c r="E664" s="41"/>
      <c r="F664" s="3">
        <v>8</v>
      </c>
      <c r="G664" s="36">
        <v>7</v>
      </c>
      <c r="H664" s="3" t="s">
        <v>136</v>
      </c>
      <c r="I664" s="5" t="s">
        <v>3640</v>
      </c>
      <c r="J664" s="3"/>
      <c r="K664" s="3"/>
      <c r="L664" s="236"/>
      <c r="M664" s="99"/>
      <c r="N664" s="99"/>
      <c r="O664" s="236"/>
      <c r="P664" s="22"/>
      <c r="Q664" s="22">
        <v>0</v>
      </c>
      <c r="R664" s="22" t="s">
        <v>153</v>
      </c>
      <c r="S664" s="3"/>
      <c r="T664" s="260"/>
      <c r="U664" s="261"/>
      <c r="V664" s="22"/>
      <c r="W664" s="57" t="s">
        <v>4873</v>
      </c>
      <c r="X664" s="57" t="s">
        <v>4873</v>
      </c>
      <c r="Y664" s="22"/>
      <c r="Z664" s="22"/>
      <c r="AA664" s="22"/>
      <c r="AB664" s="22" t="s">
        <v>114</v>
      </c>
      <c r="AC664" s="3"/>
      <c r="AD664" s="3"/>
      <c r="AE664" s="3">
        <v>0</v>
      </c>
      <c r="AF664" s="3">
        <v>0</v>
      </c>
      <c r="AG664" s="3">
        <v>0</v>
      </c>
      <c r="AH664" s="3"/>
      <c r="AI664" s="3">
        <v>0</v>
      </c>
      <c r="AJ664" s="3">
        <v>0</v>
      </c>
      <c r="AK664" s="3">
        <v>0</v>
      </c>
      <c r="AL664" s="3"/>
      <c r="AM664" s="3"/>
      <c r="AN664" s="3"/>
      <c r="AO664" s="3"/>
      <c r="AP664" s="3"/>
      <c r="AQ664" s="3" t="s">
        <v>2534</v>
      </c>
      <c r="AR664" s="281"/>
    </row>
    <row r="665" spans="1:44" ht="15" customHeight="1">
      <c r="A665" s="3">
        <v>2011810</v>
      </c>
      <c r="B665" s="5" t="s">
        <v>3638</v>
      </c>
      <c r="C665" s="224" t="s">
        <v>4874</v>
      </c>
      <c r="D665" s="3" t="s">
        <v>1876</v>
      </c>
      <c r="F665" s="3">
        <v>9</v>
      </c>
      <c r="G665" s="36">
        <v>7</v>
      </c>
      <c r="H665" s="3" t="s">
        <v>136</v>
      </c>
      <c r="I665" s="5" t="s">
        <v>3640</v>
      </c>
      <c r="J665" s="3"/>
      <c r="K665" s="3"/>
      <c r="L665" s="236"/>
      <c r="M665" s="99"/>
      <c r="N665" s="99"/>
      <c r="O665" s="236"/>
      <c r="P665" s="22"/>
      <c r="Q665" s="22">
        <v>0</v>
      </c>
      <c r="R665" s="22" t="s">
        <v>153</v>
      </c>
      <c r="S665" s="3"/>
      <c r="T665" s="260"/>
      <c r="U665" s="261"/>
      <c r="V665" s="22"/>
      <c r="W665" s="57" t="s">
        <v>4865</v>
      </c>
      <c r="X665" s="57" t="s">
        <v>4865</v>
      </c>
      <c r="Y665" s="22"/>
      <c r="Z665" s="22"/>
      <c r="AA665" s="22"/>
      <c r="AB665" s="22" t="s">
        <v>114</v>
      </c>
      <c r="AC665" s="3"/>
      <c r="AD665" s="3"/>
      <c r="AE665" s="3">
        <v>0</v>
      </c>
      <c r="AF665" s="3">
        <v>0</v>
      </c>
      <c r="AG665" s="3">
        <v>0</v>
      </c>
      <c r="AH665" s="3"/>
      <c r="AI665" s="3">
        <v>0</v>
      </c>
      <c r="AJ665" s="3">
        <v>0</v>
      </c>
      <c r="AK665" s="3">
        <v>0</v>
      </c>
      <c r="AL665" s="3"/>
      <c r="AM665" s="3"/>
      <c r="AN665" s="3"/>
      <c r="AO665" s="3"/>
      <c r="AP665" s="3"/>
      <c r="AQ665" s="282" t="str">
        <f>"tricks/"&amp;A665</f>
        <v>tricks/2011810</v>
      </c>
    </row>
    <row r="666" spans="1:44" ht="15" customHeight="1">
      <c r="A666" s="3">
        <v>2011811</v>
      </c>
      <c r="B666" s="5" t="s">
        <v>3638</v>
      </c>
      <c r="C666" s="224" t="s">
        <v>4875</v>
      </c>
      <c r="D666" s="3" t="s">
        <v>1876</v>
      </c>
      <c r="F666" s="3">
        <v>10</v>
      </c>
      <c r="G666" s="36">
        <v>7</v>
      </c>
      <c r="H666" s="3" t="s">
        <v>136</v>
      </c>
      <c r="I666" s="5" t="s">
        <v>3640</v>
      </c>
      <c r="J666" s="3"/>
      <c r="K666" s="3"/>
      <c r="L666" s="236"/>
      <c r="M666" s="99"/>
      <c r="N666" s="99"/>
      <c r="O666" s="236"/>
      <c r="P666" s="22"/>
      <c r="Q666" s="22">
        <v>0</v>
      </c>
      <c r="R666" s="22" t="s">
        <v>153</v>
      </c>
      <c r="S666" s="3"/>
      <c r="T666" s="260"/>
      <c r="U666" s="261"/>
      <c r="V666" s="22"/>
      <c r="W666" s="57" t="s">
        <v>4876</v>
      </c>
      <c r="X666" s="57" t="s">
        <v>4876</v>
      </c>
      <c r="Y666" s="22"/>
      <c r="Z666" s="22"/>
      <c r="AA666" s="22"/>
      <c r="AB666" s="22" t="s">
        <v>114</v>
      </c>
      <c r="AC666" s="3"/>
      <c r="AD666" s="3"/>
      <c r="AE666" s="3">
        <v>0</v>
      </c>
      <c r="AF666" s="3">
        <v>0</v>
      </c>
      <c r="AG666" s="3">
        <v>0</v>
      </c>
      <c r="AH666" s="3"/>
      <c r="AI666" s="3">
        <v>0</v>
      </c>
      <c r="AJ666" s="3">
        <v>0</v>
      </c>
      <c r="AK666" s="3">
        <v>0</v>
      </c>
      <c r="AL666" s="3"/>
      <c r="AM666" s="3"/>
      <c r="AN666" s="3"/>
      <c r="AO666" s="3"/>
      <c r="AP666" s="3"/>
      <c r="AQ666" s="282" t="str">
        <f>"tricks/"&amp;A666</f>
        <v>tricks/2011811</v>
      </c>
    </row>
    <row r="667" spans="1:44" ht="15" customHeight="1">
      <c r="A667" s="41">
        <v>2011901</v>
      </c>
      <c r="B667" s="5" t="s">
        <v>3638</v>
      </c>
      <c r="C667" s="224" t="s">
        <v>4877</v>
      </c>
      <c r="D667" s="44" t="s">
        <v>1876</v>
      </c>
      <c r="E667" s="44"/>
      <c r="F667" s="36">
        <v>1</v>
      </c>
      <c r="G667" s="36">
        <v>7</v>
      </c>
      <c r="H667" s="44" t="s">
        <v>82</v>
      </c>
      <c r="I667" s="5" t="s">
        <v>3640</v>
      </c>
      <c r="J667" s="44">
        <v>1</v>
      </c>
      <c r="K667" s="482"/>
      <c r="L667" s="483"/>
      <c r="M667" s="484"/>
      <c r="N667" s="438">
        <v>26</v>
      </c>
      <c r="O667" s="483"/>
      <c r="P667" s="485"/>
      <c r="Q667" s="485">
        <v>0</v>
      </c>
      <c r="R667" s="485" t="s">
        <v>153</v>
      </c>
      <c r="S667" s="44"/>
      <c r="T667" s="441"/>
      <c r="U667" s="443"/>
      <c r="V667" s="485"/>
      <c r="W667" s="57" t="s">
        <v>6768</v>
      </c>
      <c r="X667" s="57" t="s">
        <v>6768</v>
      </c>
      <c r="Y667" s="485">
        <v>0</v>
      </c>
      <c r="Z667" s="485">
        <v>0</v>
      </c>
      <c r="AA667" s="485"/>
      <c r="AB667" s="485"/>
      <c r="AC667" s="44"/>
      <c r="AD667" s="44"/>
      <c r="AE667" s="44">
        <v>0</v>
      </c>
      <c r="AF667" s="44">
        <v>0</v>
      </c>
      <c r="AG667" s="44">
        <v>0</v>
      </c>
      <c r="AH667" s="44"/>
      <c r="AI667" s="44"/>
      <c r="AJ667" s="44"/>
      <c r="AK667" s="493"/>
      <c r="AL667" s="493"/>
      <c r="AM667" s="493"/>
      <c r="AN667" s="44"/>
      <c r="AO667" s="44"/>
      <c r="AP667" s="44"/>
      <c r="AQ667" s="44" t="s">
        <v>2556</v>
      </c>
      <c r="AR667" s="449"/>
    </row>
    <row r="668" spans="1:44" ht="15" customHeight="1">
      <c r="A668" s="44">
        <v>2011902</v>
      </c>
      <c r="B668" s="5" t="s">
        <v>3638</v>
      </c>
      <c r="C668" s="224" t="s">
        <v>4878</v>
      </c>
      <c r="D668" s="44" t="s">
        <v>1876</v>
      </c>
      <c r="E668" s="44"/>
      <c r="F668" s="36">
        <v>1</v>
      </c>
      <c r="G668" s="36">
        <v>7</v>
      </c>
      <c r="H668" s="44" t="s">
        <v>136</v>
      </c>
      <c r="I668" s="5" t="s">
        <v>3640</v>
      </c>
      <c r="J668" s="44"/>
      <c r="K668" s="482"/>
      <c r="L668" s="483"/>
      <c r="M668" s="484"/>
      <c r="N668" s="484"/>
      <c r="O668" s="483"/>
      <c r="P668" s="485"/>
      <c r="Q668" s="485">
        <v>0</v>
      </c>
      <c r="R668" s="485" t="s">
        <v>153</v>
      </c>
      <c r="S668" s="44"/>
      <c r="T668" s="441"/>
      <c r="U668" s="443"/>
      <c r="V668" s="485"/>
      <c r="W668" s="57" t="s">
        <v>4879</v>
      </c>
      <c r="X668" s="57" t="s">
        <v>4879</v>
      </c>
      <c r="Y668" s="485">
        <v>0</v>
      </c>
      <c r="Z668" s="485">
        <v>0</v>
      </c>
      <c r="AA668" s="485"/>
      <c r="AB668" s="485"/>
      <c r="AC668" s="44"/>
      <c r="AD668" s="44"/>
      <c r="AE668" s="44">
        <v>0</v>
      </c>
      <c r="AF668" s="44">
        <v>0</v>
      </c>
      <c r="AG668" s="44">
        <v>0</v>
      </c>
      <c r="AH668" s="44"/>
      <c r="AI668" s="44">
        <v>0</v>
      </c>
      <c r="AJ668" s="44">
        <v>0</v>
      </c>
      <c r="AK668" s="493"/>
      <c r="AL668" s="493"/>
      <c r="AM668" s="493"/>
      <c r="AN668" s="44"/>
      <c r="AO668" s="44"/>
      <c r="AP668" s="44"/>
      <c r="AQ668" s="44" t="s">
        <v>2559</v>
      </c>
      <c r="AR668" s="449"/>
    </row>
    <row r="669" spans="1:44" ht="15" customHeight="1">
      <c r="A669" s="41">
        <v>2011903</v>
      </c>
      <c r="B669" s="5" t="s">
        <v>3638</v>
      </c>
      <c r="C669" s="224" t="s">
        <v>4880</v>
      </c>
      <c r="D669" s="44" t="s">
        <v>1876</v>
      </c>
      <c r="E669" s="44"/>
      <c r="F669" s="36">
        <v>2</v>
      </c>
      <c r="G669" s="36">
        <v>7</v>
      </c>
      <c r="H669" s="44" t="s">
        <v>136</v>
      </c>
      <c r="I669" s="5" t="s">
        <v>3640</v>
      </c>
      <c r="J669" s="44"/>
      <c r="K669" s="482"/>
      <c r="L669" s="483"/>
      <c r="M669" s="484"/>
      <c r="N669" s="484"/>
      <c r="O669" s="483"/>
      <c r="P669" s="485"/>
      <c r="Q669" s="485">
        <v>0</v>
      </c>
      <c r="R669" s="485" t="s">
        <v>153</v>
      </c>
      <c r="S669" s="44"/>
      <c r="T669" s="441"/>
      <c r="U669" s="443"/>
      <c r="V669" s="485"/>
      <c r="W669" s="57" t="s">
        <v>4865</v>
      </c>
      <c r="X669" s="57" t="s">
        <v>4865</v>
      </c>
      <c r="Y669" s="485">
        <v>0</v>
      </c>
      <c r="Z669" s="485">
        <v>0</v>
      </c>
      <c r="AA669" s="485"/>
      <c r="AB669" s="485"/>
      <c r="AC669" s="44"/>
      <c r="AD669" s="44"/>
      <c r="AE669" s="44">
        <v>0</v>
      </c>
      <c r="AF669" s="44">
        <v>0</v>
      </c>
      <c r="AG669" s="44">
        <v>0</v>
      </c>
      <c r="AH669" s="44"/>
      <c r="AI669" s="44">
        <v>0</v>
      </c>
      <c r="AJ669" s="44">
        <v>0</v>
      </c>
      <c r="AK669" s="493"/>
      <c r="AL669" s="493"/>
      <c r="AM669" s="493"/>
      <c r="AN669" s="44"/>
      <c r="AO669" s="44"/>
      <c r="AP669" s="44"/>
      <c r="AQ669" s="44" t="s">
        <v>2561</v>
      </c>
      <c r="AR669" s="449"/>
    </row>
    <row r="670" spans="1:44" ht="15" customHeight="1">
      <c r="A670" s="44">
        <v>2011904</v>
      </c>
      <c r="B670" s="5" t="s">
        <v>3638</v>
      </c>
      <c r="C670" s="224" t="s">
        <v>4881</v>
      </c>
      <c r="D670" s="44" t="s">
        <v>1876</v>
      </c>
      <c r="E670" s="44"/>
      <c r="F670" s="36">
        <v>3</v>
      </c>
      <c r="G670" s="36">
        <v>7</v>
      </c>
      <c r="H670" s="44" t="s">
        <v>136</v>
      </c>
      <c r="I670" s="5" t="s">
        <v>3640</v>
      </c>
      <c r="J670" s="44"/>
      <c r="K670" s="482"/>
      <c r="L670" s="483"/>
      <c r="M670" s="484"/>
      <c r="N670" s="484"/>
      <c r="O670" s="483"/>
      <c r="P670" s="485"/>
      <c r="Q670" s="485">
        <v>0</v>
      </c>
      <c r="R670" s="485" t="s">
        <v>153</v>
      </c>
      <c r="S670" s="44"/>
      <c r="T670" s="441"/>
      <c r="U670" s="443"/>
      <c r="V670" s="485"/>
      <c r="W670" s="57" t="s">
        <v>4882</v>
      </c>
      <c r="X670" s="57" t="s">
        <v>4882</v>
      </c>
      <c r="Y670" s="485">
        <v>0</v>
      </c>
      <c r="Z670" s="485">
        <v>0</v>
      </c>
      <c r="AA670" s="485"/>
      <c r="AB670" s="485"/>
      <c r="AC670" s="44"/>
      <c r="AD670" s="44"/>
      <c r="AE670" s="44">
        <v>0</v>
      </c>
      <c r="AF670" s="44">
        <v>0</v>
      </c>
      <c r="AG670" s="44">
        <v>0</v>
      </c>
      <c r="AH670" s="44"/>
      <c r="AI670" s="44">
        <v>0</v>
      </c>
      <c r="AJ670" s="44">
        <v>0</v>
      </c>
      <c r="AK670" s="493"/>
      <c r="AL670" s="493"/>
      <c r="AM670" s="493"/>
      <c r="AN670" s="44"/>
      <c r="AO670" s="44"/>
      <c r="AP670" s="44"/>
      <c r="AQ670" s="44" t="s">
        <v>2563</v>
      </c>
      <c r="AR670" s="449"/>
    </row>
    <row r="671" spans="1:44" ht="58.8" customHeight="1">
      <c r="A671" s="41">
        <v>2011905</v>
      </c>
      <c r="B671" s="5" t="s">
        <v>3638</v>
      </c>
      <c r="C671" s="224" t="s">
        <v>4883</v>
      </c>
      <c r="D671" s="44" t="s">
        <v>1876</v>
      </c>
      <c r="E671" s="44"/>
      <c r="F671" s="36">
        <v>4</v>
      </c>
      <c r="G671" s="36">
        <v>7</v>
      </c>
      <c r="H671" s="44" t="s">
        <v>136</v>
      </c>
      <c r="I671" s="5" t="s">
        <v>3640</v>
      </c>
      <c r="J671" s="44"/>
      <c r="K671" s="482"/>
      <c r="L671" s="483"/>
      <c r="M671" s="484"/>
      <c r="N671" s="484"/>
      <c r="O671" s="483"/>
      <c r="P671" s="485"/>
      <c r="Q671" s="485">
        <v>0</v>
      </c>
      <c r="R671" s="485" t="s">
        <v>153</v>
      </c>
      <c r="S671" s="44"/>
      <c r="T671" s="441"/>
      <c r="U671" s="443"/>
      <c r="V671" s="485"/>
      <c r="W671" s="57" t="s">
        <v>4767</v>
      </c>
      <c r="X671" s="57" t="s">
        <v>4767</v>
      </c>
      <c r="Y671" s="485">
        <v>0</v>
      </c>
      <c r="Z671" s="485">
        <v>0</v>
      </c>
      <c r="AA671" s="485"/>
      <c r="AB671" s="485"/>
      <c r="AC671" s="44"/>
      <c r="AD671" s="44"/>
      <c r="AE671" s="44">
        <v>0</v>
      </c>
      <c r="AF671" s="44">
        <v>0</v>
      </c>
      <c r="AG671" s="44">
        <v>0</v>
      </c>
      <c r="AH671" s="44"/>
      <c r="AI671" s="44">
        <v>0</v>
      </c>
      <c r="AJ671" s="44">
        <v>0</v>
      </c>
      <c r="AK671" s="493"/>
      <c r="AL671" s="493"/>
      <c r="AM671" s="493"/>
      <c r="AN671" s="44"/>
      <c r="AO671" s="44"/>
      <c r="AP671" s="44"/>
      <c r="AQ671" s="44" t="s">
        <v>2565</v>
      </c>
      <c r="AR671" s="449"/>
    </row>
    <row r="672" spans="1:44" ht="15" customHeight="1">
      <c r="A672" s="44">
        <v>2011906</v>
      </c>
      <c r="B672" s="5" t="s">
        <v>3638</v>
      </c>
      <c r="C672" s="224" t="s">
        <v>4884</v>
      </c>
      <c r="D672" s="44" t="s">
        <v>1876</v>
      </c>
      <c r="E672" s="44"/>
      <c r="F672" s="36">
        <v>5</v>
      </c>
      <c r="G672" s="36">
        <v>7</v>
      </c>
      <c r="H672" s="44" t="s">
        <v>136</v>
      </c>
      <c r="I672" s="5" t="s">
        <v>3640</v>
      </c>
      <c r="J672" s="44"/>
      <c r="K672" s="482"/>
      <c r="L672" s="483"/>
      <c r="M672" s="484"/>
      <c r="N672" s="484"/>
      <c r="O672" s="483"/>
      <c r="P672" s="485"/>
      <c r="Q672" s="485">
        <v>0</v>
      </c>
      <c r="R672" s="485" t="s">
        <v>153</v>
      </c>
      <c r="S672" s="44"/>
      <c r="T672" s="441"/>
      <c r="U672" s="443"/>
      <c r="V672" s="485"/>
      <c r="W672" s="57" t="s">
        <v>4885</v>
      </c>
      <c r="X672" s="57" t="s">
        <v>4885</v>
      </c>
      <c r="Y672" s="485">
        <v>0</v>
      </c>
      <c r="Z672" s="485">
        <v>0</v>
      </c>
      <c r="AA672" s="485"/>
      <c r="AB672" s="485"/>
      <c r="AC672" s="44"/>
      <c r="AD672" s="44"/>
      <c r="AE672" s="44">
        <v>0</v>
      </c>
      <c r="AF672" s="44">
        <v>0</v>
      </c>
      <c r="AG672" s="44">
        <v>0</v>
      </c>
      <c r="AH672" s="44"/>
      <c r="AI672" s="44">
        <v>0</v>
      </c>
      <c r="AJ672" s="44">
        <v>0</v>
      </c>
      <c r="AK672" s="493"/>
      <c r="AL672" s="493"/>
      <c r="AM672" s="493"/>
      <c r="AN672" s="44"/>
      <c r="AO672" s="44"/>
      <c r="AP672" s="44"/>
      <c r="AQ672" s="44" t="s">
        <v>2567</v>
      </c>
      <c r="AR672" s="449"/>
    </row>
    <row r="673" spans="1:44" ht="15" customHeight="1">
      <c r="A673" s="41">
        <v>2011907</v>
      </c>
      <c r="B673" s="5" t="s">
        <v>3638</v>
      </c>
      <c r="C673" s="224" t="s">
        <v>4886</v>
      </c>
      <c r="D673" s="44" t="s">
        <v>1876</v>
      </c>
      <c r="E673" s="44"/>
      <c r="F673" s="36">
        <v>6</v>
      </c>
      <c r="G673" s="36">
        <v>7</v>
      </c>
      <c r="H673" s="44" t="s">
        <v>136</v>
      </c>
      <c r="I673" s="5" t="s">
        <v>3640</v>
      </c>
      <c r="J673" s="44"/>
      <c r="K673" s="482"/>
      <c r="L673" s="483"/>
      <c r="M673" s="484"/>
      <c r="N673" s="484"/>
      <c r="O673" s="483"/>
      <c r="P673" s="485"/>
      <c r="Q673" s="485">
        <v>0</v>
      </c>
      <c r="R673" s="485" t="s">
        <v>153</v>
      </c>
      <c r="S673" s="44"/>
      <c r="T673" s="441"/>
      <c r="U673" s="443"/>
      <c r="V673" s="485"/>
      <c r="W673" s="57" t="s">
        <v>6769</v>
      </c>
      <c r="X673" s="57" t="s">
        <v>6769</v>
      </c>
      <c r="Y673" s="485">
        <v>0</v>
      </c>
      <c r="Z673" s="485">
        <v>0</v>
      </c>
      <c r="AA673" s="485"/>
      <c r="AB673" s="485"/>
      <c r="AC673" s="44"/>
      <c r="AD673" s="44"/>
      <c r="AE673" s="44">
        <v>0</v>
      </c>
      <c r="AF673" s="44">
        <v>0</v>
      </c>
      <c r="AG673" s="44">
        <v>0</v>
      </c>
      <c r="AH673" s="44"/>
      <c r="AI673" s="44">
        <v>0</v>
      </c>
      <c r="AJ673" s="44">
        <v>0</v>
      </c>
      <c r="AK673" s="493"/>
      <c r="AL673" s="493"/>
      <c r="AM673" s="493"/>
      <c r="AN673" s="44"/>
      <c r="AO673" s="44"/>
      <c r="AP673" s="44"/>
      <c r="AQ673" s="44" t="s">
        <v>2569</v>
      </c>
      <c r="AR673" s="449"/>
    </row>
    <row r="674" spans="1:44" ht="15" customHeight="1">
      <c r="A674" s="44">
        <v>2011908</v>
      </c>
      <c r="B674" s="5" t="s">
        <v>3638</v>
      </c>
      <c r="C674" s="224" t="s">
        <v>4887</v>
      </c>
      <c r="D674" s="44" t="s">
        <v>1876</v>
      </c>
      <c r="E674" s="44"/>
      <c r="F674" s="36">
        <v>7</v>
      </c>
      <c r="G674" s="36">
        <v>7</v>
      </c>
      <c r="H674" s="44" t="s">
        <v>136</v>
      </c>
      <c r="I674" s="5" t="s">
        <v>3640</v>
      </c>
      <c r="J674" s="44"/>
      <c r="K674" s="482"/>
      <c r="L674" s="483"/>
      <c r="M674" s="484"/>
      <c r="N674" s="484"/>
      <c r="O674" s="483"/>
      <c r="P674" s="485"/>
      <c r="Q674" s="485">
        <v>0</v>
      </c>
      <c r="R674" s="485" t="s">
        <v>153</v>
      </c>
      <c r="S674" s="44"/>
      <c r="T674" s="441"/>
      <c r="U674" s="443"/>
      <c r="V674" s="485"/>
      <c r="W674" s="57" t="s">
        <v>4888</v>
      </c>
      <c r="X674" s="57" t="s">
        <v>4888</v>
      </c>
      <c r="Y674" s="485">
        <v>0</v>
      </c>
      <c r="Z674" s="485">
        <v>0</v>
      </c>
      <c r="AA674" s="485"/>
      <c r="AB674" s="485"/>
      <c r="AC674" s="44"/>
      <c r="AD674" s="44"/>
      <c r="AE674" s="44">
        <v>0</v>
      </c>
      <c r="AF674" s="44">
        <v>0</v>
      </c>
      <c r="AG674" s="44">
        <v>0</v>
      </c>
      <c r="AH674" s="44"/>
      <c r="AI674" s="44">
        <v>0</v>
      </c>
      <c r="AJ674" s="44">
        <v>0</v>
      </c>
      <c r="AK674" s="493"/>
      <c r="AL674" s="493"/>
      <c r="AM674" s="493"/>
      <c r="AN674" s="44"/>
      <c r="AO674" s="44"/>
      <c r="AP674" s="44"/>
      <c r="AQ674" s="44" t="s">
        <v>2572</v>
      </c>
      <c r="AR674" s="449"/>
    </row>
    <row r="675" spans="1:44" ht="15" customHeight="1">
      <c r="A675" s="41">
        <v>2011909</v>
      </c>
      <c r="B675" s="5" t="s">
        <v>3638</v>
      </c>
      <c r="C675" s="224" t="s">
        <v>4889</v>
      </c>
      <c r="D675" s="44" t="s">
        <v>1876</v>
      </c>
      <c r="E675" s="41"/>
      <c r="F675" s="3">
        <v>8</v>
      </c>
      <c r="G675" s="36">
        <v>7</v>
      </c>
      <c r="H675" s="41" t="s">
        <v>136</v>
      </c>
      <c r="I675" s="5" t="s">
        <v>3640</v>
      </c>
      <c r="J675" s="41"/>
      <c r="K675" s="41"/>
      <c r="L675" s="174"/>
      <c r="M675" s="438"/>
      <c r="N675" s="438"/>
      <c r="O675" s="174"/>
      <c r="P675" s="137"/>
      <c r="Q675" s="137">
        <v>0</v>
      </c>
      <c r="R675" s="137" t="s">
        <v>153</v>
      </c>
      <c r="S675" s="41"/>
      <c r="T675" s="441"/>
      <c r="U675" s="443"/>
      <c r="V675" s="137"/>
      <c r="W675" s="57" t="s">
        <v>4873</v>
      </c>
      <c r="X675" s="57" t="s">
        <v>4873</v>
      </c>
      <c r="Y675" s="137"/>
      <c r="Z675" s="137"/>
      <c r="AA675" s="137"/>
      <c r="AB675" s="137" t="s">
        <v>114</v>
      </c>
      <c r="AC675" s="41"/>
      <c r="AD675" s="41"/>
      <c r="AE675" s="41">
        <v>0</v>
      </c>
      <c r="AF675" s="41">
        <v>0</v>
      </c>
      <c r="AG675" s="41">
        <v>0</v>
      </c>
      <c r="AH675" s="41"/>
      <c r="AI675" s="41">
        <v>0</v>
      </c>
      <c r="AJ675" s="41">
        <v>0</v>
      </c>
      <c r="AK675" s="41">
        <v>0</v>
      </c>
      <c r="AL675" s="41"/>
      <c r="AM675" s="41"/>
      <c r="AN675" s="41"/>
      <c r="AO675" s="41"/>
      <c r="AP675" s="41"/>
      <c r="AQ675" s="41" t="s">
        <v>2561</v>
      </c>
      <c r="AR675" s="449"/>
    </row>
    <row r="676" spans="1:44" ht="15" customHeight="1">
      <c r="A676" s="3">
        <v>2011910</v>
      </c>
      <c r="B676" s="5" t="s">
        <v>3638</v>
      </c>
      <c r="C676" s="224" t="s">
        <v>4890</v>
      </c>
      <c r="D676" s="3" t="s">
        <v>1876</v>
      </c>
      <c r="F676" s="3">
        <v>9</v>
      </c>
      <c r="G676" s="36">
        <v>7</v>
      </c>
      <c r="H676" s="3" t="s">
        <v>136</v>
      </c>
      <c r="I676" s="5" t="s">
        <v>3640</v>
      </c>
      <c r="J676" s="3"/>
      <c r="K676" s="3"/>
      <c r="L676" s="236"/>
      <c r="M676" s="99"/>
      <c r="N676" s="99"/>
      <c r="O676" s="236"/>
      <c r="P676" s="22"/>
      <c r="Q676" s="22">
        <v>0</v>
      </c>
      <c r="R676" s="22" t="s">
        <v>153</v>
      </c>
      <c r="S676" s="3"/>
      <c r="T676" s="260"/>
      <c r="U676" s="261"/>
      <c r="V676" s="22"/>
      <c r="W676" s="57" t="s">
        <v>4865</v>
      </c>
      <c r="X676" s="57" t="s">
        <v>4865</v>
      </c>
      <c r="Y676" s="22"/>
      <c r="Z676" s="22"/>
      <c r="AA676" s="22"/>
      <c r="AB676" s="22" t="s">
        <v>114</v>
      </c>
      <c r="AC676" s="3"/>
      <c r="AD676" s="3"/>
      <c r="AE676" s="3">
        <v>0</v>
      </c>
      <c r="AF676" s="3">
        <v>0</v>
      </c>
      <c r="AG676" s="3">
        <v>0</v>
      </c>
      <c r="AH676" s="3"/>
      <c r="AI676" s="3">
        <v>0</v>
      </c>
      <c r="AJ676" s="3">
        <v>0</v>
      </c>
      <c r="AK676" s="3">
        <v>0</v>
      </c>
      <c r="AL676" s="3"/>
      <c r="AM676" s="3"/>
      <c r="AN676" s="3"/>
      <c r="AO676" s="3"/>
      <c r="AP676" s="3"/>
      <c r="AQ676" s="282" t="str">
        <f t="shared" ref="AQ676:AQ688" si="5">"tricks/"&amp;A676</f>
        <v>tricks/2011910</v>
      </c>
    </row>
    <row r="677" spans="1:44" ht="15" customHeight="1">
      <c r="A677" s="3">
        <v>2011911</v>
      </c>
      <c r="B677" s="5" t="s">
        <v>3638</v>
      </c>
      <c r="C677" s="224" t="s">
        <v>4891</v>
      </c>
      <c r="D677" s="3" t="s">
        <v>1876</v>
      </c>
      <c r="F677" s="3">
        <v>10</v>
      </c>
      <c r="G677" s="36">
        <v>7</v>
      </c>
      <c r="H677" s="3" t="s">
        <v>136</v>
      </c>
      <c r="I677" s="5" t="s">
        <v>3640</v>
      </c>
      <c r="J677" s="3"/>
      <c r="K677" s="3"/>
      <c r="L677" s="236"/>
      <c r="M677" s="99"/>
      <c r="N677" s="99"/>
      <c r="O677" s="236"/>
      <c r="P677" s="22"/>
      <c r="Q677" s="22">
        <v>0</v>
      </c>
      <c r="R677" s="22" t="s">
        <v>153</v>
      </c>
      <c r="S677" s="3"/>
      <c r="T677" s="260"/>
      <c r="U677" s="261"/>
      <c r="V677" s="22"/>
      <c r="W677" s="57" t="s">
        <v>4882</v>
      </c>
      <c r="X677" s="57" t="s">
        <v>6770</v>
      </c>
      <c r="Y677" s="22"/>
      <c r="Z677" s="22"/>
      <c r="AA677" s="22"/>
      <c r="AB677" s="22" t="s">
        <v>114</v>
      </c>
      <c r="AC677" s="3"/>
      <c r="AD677" s="3"/>
      <c r="AE677" s="3">
        <v>0</v>
      </c>
      <c r="AF677" s="3">
        <v>0</v>
      </c>
      <c r="AG677" s="3">
        <v>0</v>
      </c>
      <c r="AH677" s="3"/>
      <c r="AI677" s="3">
        <v>0</v>
      </c>
      <c r="AJ677" s="3">
        <v>0</v>
      </c>
      <c r="AK677" s="3">
        <v>0</v>
      </c>
      <c r="AL677" s="3"/>
      <c r="AM677" s="3"/>
      <c r="AN677" s="3"/>
      <c r="AO677" s="3"/>
      <c r="AP677" s="3"/>
      <c r="AQ677" s="282" t="str">
        <f t="shared" si="5"/>
        <v>tricks/2011911</v>
      </c>
    </row>
    <row r="678" spans="1:44" ht="15" customHeight="1">
      <c r="A678" s="42">
        <v>2012001</v>
      </c>
      <c r="B678" s="5" t="s">
        <v>3638</v>
      </c>
      <c r="C678" s="224" t="s">
        <v>4892</v>
      </c>
      <c r="D678" s="42" t="s">
        <v>1876</v>
      </c>
      <c r="E678" s="42"/>
      <c r="F678" s="36">
        <v>1</v>
      </c>
      <c r="G678" s="36">
        <v>7</v>
      </c>
      <c r="H678" s="42" t="s">
        <v>82</v>
      </c>
      <c r="I678" s="5" t="s">
        <v>3640</v>
      </c>
      <c r="J678" s="42">
        <v>1</v>
      </c>
      <c r="K678" s="475"/>
      <c r="L678" s="476"/>
      <c r="M678" s="477"/>
      <c r="N678" s="378"/>
      <c r="O678" s="476"/>
      <c r="P678" s="478"/>
      <c r="Q678" s="478">
        <v>0</v>
      </c>
      <c r="R678" s="478" t="s">
        <v>153</v>
      </c>
      <c r="S678" s="42"/>
      <c r="T678" s="258"/>
      <c r="U678" s="259"/>
      <c r="V678" s="478"/>
      <c r="W678" s="57" t="s">
        <v>4893</v>
      </c>
      <c r="X678" s="57" t="s">
        <v>4893</v>
      </c>
      <c r="Y678" s="478">
        <v>0</v>
      </c>
      <c r="Z678" s="478">
        <v>0</v>
      </c>
      <c r="AA678" s="478"/>
      <c r="AB678" s="478"/>
      <c r="AC678" s="42"/>
      <c r="AD678" s="42"/>
      <c r="AE678" s="42">
        <v>0</v>
      </c>
      <c r="AF678" s="42">
        <v>0</v>
      </c>
      <c r="AG678" s="42">
        <v>0</v>
      </c>
      <c r="AH678" s="42"/>
      <c r="AI678" s="42"/>
      <c r="AJ678" s="42"/>
      <c r="AK678" s="491"/>
      <c r="AL678" s="491"/>
      <c r="AM678" s="491"/>
      <c r="AN678" s="43"/>
      <c r="AO678" s="42"/>
      <c r="AP678" s="42"/>
      <c r="AQ678" s="8" t="str">
        <f t="shared" si="5"/>
        <v>tricks/2012001</v>
      </c>
      <c r="AR678" s="280"/>
    </row>
    <row r="679" spans="1:44" ht="15" customHeight="1">
      <c r="A679" s="42">
        <v>2012002</v>
      </c>
      <c r="B679" s="5" t="s">
        <v>3638</v>
      </c>
      <c r="C679" s="224" t="s">
        <v>4894</v>
      </c>
      <c r="D679" s="42" t="s">
        <v>1876</v>
      </c>
      <c r="E679" s="42"/>
      <c r="F679" s="36">
        <v>1</v>
      </c>
      <c r="G679" s="36">
        <v>7</v>
      </c>
      <c r="H679" s="42" t="s">
        <v>136</v>
      </c>
      <c r="I679" s="5" t="s">
        <v>3640</v>
      </c>
      <c r="J679" s="42"/>
      <c r="K679" s="475"/>
      <c r="L679" s="476"/>
      <c r="M679" s="477"/>
      <c r="N679" s="477"/>
      <c r="O679" s="476"/>
      <c r="P679" s="478"/>
      <c r="Q679" s="478">
        <v>0</v>
      </c>
      <c r="R679" s="478" t="s">
        <v>153</v>
      </c>
      <c r="S679" s="42"/>
      <c r="T679" s="258"/>
      <c r="U679" s="259"/>
      <c r="V679" s="478"/>
      <c r="W679" s="57" t="s">
        <v>4895</v>
      </c>
      <c r="X679" s="57" t="s">
        <v>4895</v>
      </c>
      <c r="Y679" s="478">
        <v>0</v>
      </c>
      <c r="Z679" s="478">
        <v>0</v>
      </c>
      <c r="AA679" s="478"/>
      <c r="AB679" s="478"/>
      <c r="AC679" s="42"/>
      <c r="AD679" s="42"/>
      <c r="AE679" s="42">
        <v>0</v>
      </c>
      <c r="AF679" s="42">
        <v>0</v>
      </c>
      <c r="AG679" s="42">
        <v>0</v>
      </c>
      <c r="AH679" s="42"/>
      <c r="AI679" s="42">
        <v>0</v>
      </c>
      <c r="AJ679" s="42">
        <v>0</v>
      </c>
      <c r="AK679" s="491"/>
      <c r="AL679" s="491"/>
      <c r="AM679" s="491"/>
      <c r="AN679" s="42"/>
      <c r="AO679" s="42"/>
      <c r="AP679" s="42"/>
      <c r="AQ679" s="8" t="str">
        <f t="shared" si="5"/>
        <v>tricks/2012002</v>
      </c>
      <c r="AR679" s="280"/>
    </row>
    <row r="680" spans="1:44" ht="15" customHeight="1">
      <c r="A680" s="42">
        <v>2012003</v>
      </c>
      <c r="B680" s="5" t="s">
        <v>3638</v>
      </c>
      <c r="C680" s="224" t="s">
        <v>4896</v>
      </c>
      <c r="D680" s="42" t="s">
        <v>1876</v>
      </c>
      <c r="E680" s="42"/>
      <c r="F680" s="36">
        <v>2</v>
      </c>
      <c r="G680" s="36">
        <v>7</v>
      </c>
      <c r="H680" s="42" t="s">
        <v>136</v>
      </c>
      <c r="I680" s="5" t="s">
        <v>3640</v>
      </c>
      <c r="J680" s="42"/>
      <c r="K680" s="475"/>
      <c r="L680" s="476"/>
      <c r="M680" s="477"/>
      <c r="N680" s="477"/>
      <c r="O680" s="476"/>
      <c r="P680" s="478"/>
      <c r="Q680" s="478">
        <v>0</v>
      </c>
      <c r="R680" s="478" t="s">
        <v>153</v>
      </c>
      <c r="S680" s="42"/>
      <c r="T680" s="258"/>
      <c r="U680" s="259"/>
      <c r="V680" s="478"/>
      <c r="W680" s="57" t="s">
        <v>4897</v>
      </c>
      <c r="X680" s="57" t="s">
        <v>4897</v>
      </c>
      <c r="Y680" s="478">
        <v>0</v>
      </c>
      <c r="Z680" s="478">
        <v>0</v>
      </c>
      <c r="AA680" s="478"/>
      <c r="AB680" s="478"/>
      <c r="AC680" s="42"/>
      <c r="AD680" s="42"/>
      <c r="AE680" s="42">
        <v>0</v>
      </c>
      <c r="AF680" s="42">
        <v>0</v>
      </c>
      <c r="AG680" s="42">
        <v>0</v>
      </c>
      <c r="AH680" s="42"/>
      <c r="AI680" s="42">
        <v>0</v>
      </c>
      <c r="AJ680" s="42">
        <v>0</v>
      </c>
      <c r="AK680" s="491"/>
      <c r="AL680" s="491"/>
      <c r="AM680" s="491"/>
      <c r="AN680" s="42"/>
      <c r="AO680" s="42"/>
      <c r="AP680" s="42"/>
      <c r="AQ680" s="8" t="str">
        <f t="shared" si="5"/>
        <v>tricks/2012003</v>
      </c>
      <c r="AR680" s="280"/>
    </row>
    <row r="681" spans="1:44" ht="15" customHeight="1">
      <c r="A681" s="42">
        <v>2012004</v>
      </c>
      <c r="B681" s="5" t="s">
        <v>3638</v>
      </c>
      <c r="C681" s="224" t="s">
        <v>4898</v>
      </c>
      <c r="D681" s="42" t="s">
        <v>1876</v>
      </c>
      <c r="E681" s="42"/>
      <c r="F681" s="36">
        <v>3</v>
      </c>
      <c r="G681" s="36">
        <v>7</v>
      </c>
      <c r="H681" s="42" t="s">
        <v>136</v>
      </c>
      <c r="I681" s="5" t="s">
        <v>3640</v>
      </c>
      <c r="J681" s="42"/>
      <c r="K681" s="475"/>
      <c r="L681" s="476"/>
      <c r="M681" s="477"/>
      <c r="N681" s="477"/>
      <c r="O681" s="476"/>
      <c r="P681" s="478"/>
      <c r="Q681" s="478">
        <v>0</v>
      </c>
      <c r="R681" s="478" t="s">
        <v>153</v>
      </c>
      <c r="S681" s="42"/>
      <c r="T681" s="258"/>
      <c r="U681" s="259"/>
      <c r="V681" s="478"/>
      <c r="W681" s="57" t="s">
        <v>4899</v>
      </c>
      <c r="X681" s="57" t="s">
        <v>4899</v>
      </c>
      <c r="Y681" s="478">
        <v>0</v>
      </c>
      <c r="Z681" s="478">
        <v>0</v>
      </c>
      <c r="AA681" s="478"/>
      <c r="AB681" s="478"/>
      <c r="AC681" s="42"/>
      <c r="AD681" s="42"/>
      <c r="AE681" s="42">
        <v>0</v>
      </c>
      <c r="AF681" s="42">
        <v>0</v>
      </c>
      <c r="AG681" s="42">
        <v>0</v>
      </c>
      <c r="AH681" s="42"/>
      <c r="AI681" s="42">
        <v>0</v>
      </c>
      <c r="AJ681" s="42">
        <v>0</v>
      </c>
      <c r="AK681" s="491"/>
      <c r="AL681" s="491"/>
      <c r="AM681" s="491"/>
      <c r="AN681" s="42"/>
      <c r="AO681" s="42"/>
      <c r="AP681" s="42"/>
      <c r="AQ681" s="8" t="str">
        <f t="shared" si="5"/>
        <v>tricks/2012004</v>
      </c>
      <c r="AR681" s="280"/>
    </row>
    <row r="682" spans="1:44" ht="15" customHeight="1">
      <c r="A682" s="42">
        <v>2012005</v>
      </c>
      <c r="B682" s="5" t="s">
        <v>3638</v>
      </c>
      <c r="C682" s="224" t="s">
        <v>4900</v>
      </c>
      <c r="D682" s="42" t="s">
        <v>1876</v>
      </c>
      <c r="E682" s="42"/>
      <c r="F682" s="36">
        <v>4</v>
      </c>
      <c r="G682" s="36">
        <v>7</v>
      </c>
      <c r="H682" s="42" t="s">
        <v>136</v>
      </c>
      <c r="I682" s="5" t="s">
        <v>3640</v>
      </c>
      <c r="J682" s="42"/>
      <c r="K682" s="475"/>
      <c r="L682" s="476"/>
      <c r="M682" s="477"/>
      <c r="N682" s="477"/>
      <c r="O682" s="476"/>
      <c r="P682" s="478"/>
      <c r="Q682" s="478">
        <v>0</v>
      </c>
      <c r="R682" s="478" t="s">
        <v>153</v>
      </c>
      <c r="S682" s="42"/>
      <c r="T682" s="258"/>
      <c r="U682" s="259"/>
      <c r="V682" s="478"/>
      <c r="W682" s="57" t="s">
        <v>4901</v>
      </c>
      <c r="X682" s="57" t="s">
        <v>4901</v>
      </c>
      <c r="Y682" s="478">
        <v>0</v>
      </c>
      <c r="Z682" s="478">
        <v>0</v>
      </c>
      <c r="AA682" s="478"/>
      <c r="AB682" s="478"/>
      <c r="AC682" s="42"/>
      <c r="AD682" s="42"/>
      <c r="AE682" s="42">
        <v>0</v>
      </c>
      <c r="AF682" s="42">
        <v>0</v>
      </c>
      <c r="AG682" s="42">
        <v>0</v>
      </c>
      <c r="AH682" s="42"/>
      <c r="AI682" s="42">
        <v>0</v>
      </c>
      <c r="AJ682" s="42">
        <v>0</v>
      </c>
      <c r="AK682" s="491"/>
      <c r="AL682" s="491"/>
      <c r="AM682" s="491"/>
      <c r="AN682" s="42"/>
      <c r="AO682" s="42"/>
      <c r="AP682" s="42"/>
      <c r="AQ682" s="8" t="str">
        <f t="shared" si="5"/>
        <v>tricks/2012005</v>
      </c>
      <c r="AR682" s="280"/>
    </row>
    <row r="683" spans="1:44" ht="15" customHeight="1">
      <c r="A683" s="42">
        <v>2012006</v>
      </c>
      <c r="B683" s="5" t="s">
        <v>3638</v>
      </c>
      <c r="C683" s="224" t="s">
        <v>4902</v>
      </c>
      <c r="D683" s="42" t="s">
        <v>1876</v>
      </c>
      <c r="E683" s="42"/>
      <c r="F683" s="36">
        <v>5</v>
      </c>
      <c r="G683" s="36">
        <v>7</v>
      </c>
      <c r="H683" s="42" t="s">
        <v>136</v>
      </c>
      <c r="I683" s="5" t="s">
        <v>3640</v>
      </c>
      <c r="J683" s="42"/>
      <c r="K683" s="475"/>
      <c r="L683" s="476"/>
      <c r="M683" s="477"/>
      <c r="N683" s="477"/>
      <c r="O683" s="476"/>
      <c r="P683" s="478"/>
      <c r="Q683" s="478">
        <v>0</v>
      </c>
      <c r="R683" s="478" t="s">
        <v>153</v>
      </c>
      <c r="S683" s="42"/>
      <c r="T683" s="258"/>
      <c r="U683" s="259"/>
      <c r="V683" s="478"/>
      <c r="W683" s="57" t="s">
        <v>4903</v>
      </c>
      <c r="X683" s="57" t="s">
        <v>4903</v>
      </c>
      <c r="Y683" s="478">
        <v>0</v>
      </c>
      <c r="Z683" s="478">
        <v>0</v>
      </c>
      <c r="AA683" s="478"/>
      <c r="AB683" s="478"/>
      <c r="AC683" s="42"/>
      <c r="AD683" s="42"/>
      <c r="AE683" s="42">
        <v>0</v>
      </c>
      <c r="AF683" s="42">
        <v>0</v>
      </c>
      <c r="AG683" s="42">
        <v>0</v>
      </c>
      <c r="AH683" s="42"/>
      <c r="AI683" s="42">
        <v>0</v>
      </c>
      <c r="AJ683" s="42">
        <v>0</v>
      </c>
      <c r="AK683" s="491"/>
      <c r="AL683" s="491"/>
      <c r="AM683" s="491"/>
      <c r="AN683" s="42"/>
      <c r="AO683" s="42"/>
      <c r="AP683" s="42"/>
      <c r="AQ683" s="8" t="str">
        <f t="shared" si="5"/>
        <v>tricks/2012006</v>
      </c>
      <c r="AR683" s="280"/>
    </row>
    <row r="684" spans="1:44" ht="15" customHeight="1">
      <c r="A684" s="42">
        <v>2012007</v>
      </c>
      <c r="B684" s="5" t="s">
        <v>3638</v>
      </c>
      <c r="C684" s="224" t="s">
        <v>4904</v>
      </c>
      <c r="D684" s="42" t="s">
        <v>1876</v>
      </c>
      <c r="E684" s="42"/>
      <c r="F684" s="36">
        <v>6</v>
      </c>
      <c r="G684" s="36">
        <v>7</v>
      </c>
      <c r="H684" s="42" t="s">
        <v>136</v>
      </c>
      <c r="I684" s="5" t="s">
        <v>3640</v>
      </c>
      <c r="J684" s="42"/>
      <c r="K684" s="475"/>
      <c r="L684" s="476"/>
      <c r="M684" s="477"/>
      <c r="N684" s="477"/>
      <c r="O684" s="476"/>
      <c r="P684" s="478"/>
      <c r="Q684" s="478">
        <v>0</v>
      </c>
      <c r="R684" s="478" t="s">
        <v>153</v>
      </c>
      <c r="S684" s="42"/>
      <c r="T684" s="258"/>
      <c r="U684" s="259"/>
      <c r="V684" s="478"/>
      <c r="W684" s="57" t="s">
        <v>4905</v>
      </c>
      <c r="X684" s="57" t="s">
        <v>4905</v>
      </c>
      <c r="Y684" s="478">
        <v>0</v>
      </c>
      <c r="Z684" s="478">
        <v>0</v>
      </c>
      <c r="AA684" s="478"/>
      <c r="AB684" s="478"/>
      <c r="AC684" s="42"/>
      <c r="AD684" s="42"/>
      <c r="AE684" s="42">
        <v>0</v>
      </c>
      <c r="AF684" s="42">
        <v>0</v>
      </c>
      <c r="AG684" s="42">
        <v>0</v>
      </c>
      <c r="AH684" s="42"/>
      <c r="AI684" s="42">
        <v>0</v>
      </c>
      <c r="AJ684" s="42">
        <v>0</v>
      </c>
      <c r="AK684" s="491"/>
      <c r="AL684" s="491"/>
      <c r="AM684" s="491"/>
      <c r="AN684" s="42"/>
      <c r="AO684" s="42"/>
      <c r="AP684" s="42"/>
      <c r="AQ684" s="8" t="str">
        <f t="shared" si="5"/>
        <v>tricks/2012007</v>
      </c>
      <c r="AR684" s="280"/>
    </row>
    <row r="685" spans="1:44" ht="15" customHeight="1">
      <c r="A685" s="42">
        <v>2012008</v>
      </c>
      <c r="B685" s="5" t="s">
        <v>3638</v>
      </c>
      <c r="C685" s="224" t="s">
        <v>4906</v>
      </c>
      <c r="D685" s="42" t="s">
        <v>1876</v>
      </c>
      <c r="E685" s="42"/>
      <c r="F685" s="36">
        <v>7</v>
      </c>
      <c r="G685" s="36">
        <v>7</v>
      </c>
      <c r="H685" s="42" t="s">
        <v>136</v>
      </c>
      <c r="I685" s="5" t="s">
        <v>3640</v>
      </c>
      <c r="J685" s="42"/>
      <c r="K685" s="475"/>
      <c r="L685" s="476"/>
      <c r="M685" s="477"/>
      <c r="N685" s="477"/>
      <c r="O685" s="476"/>
      <c r="P685" s="478"/>
      <c r="Q685" s="478">
        <v>0</v>
      </c>
      <c r="R685" s="478" t="s">
        <v>153</v>
      </c>
      <c r="S685" s="42"/>
      <c r="T685" s="258"/>
      <c r="U685" s="259"/>
      <c r="V685" s="478"/>
      <c r="W685" s="57" t="s">
        <v>4907</v>
      </c>
      <c r="X685" s="57" t="s">
        <v>4907</v>
      </c>
      <c r="Y685" s="478">
        <v>0</v>
      </c>
      <c r="Z685" s="478">
        <v>0</v>
      </c>
      <c r="AA685" s="478"/>
      <c r="AB685" s="478"/>
      <c r="AC685" s="42"/>
      <c r="AD685" s="42"/>
      <c r="AE685" s="42">
        <v>0</v>
      </c>
      <c r="AF685" s="42">
        <v>0</v>
      </c>
      <c r="AG685" s="42">
        <v>0</v>
      </c>
      <c r="AH685" s="42"/>
      <c r="AI685" s="42">
        <v>0</v>
      </c>
      <c r="AJ685" s="42">
        <v>0</v>
      </c>
      <c r="AK685" s="491"/>
      <c r="AL685" s="491"/>
      <c r="AM685" s="491"/>
      <c r="AN685" s="42"/>
      <c r="AO685" s="42"/>
      <c r="AP685" s="42"/>
      <c r="AQ685" s="8" t="str">
        <f t="shared" si="5"/>
        <v>tricks/2012008</v>
      </c>
      <c r="AR685" s="280"/>
    </row>
    <row r="686" spans="1:44" ht="15" customHeight="1">
      <c r="A686" s="3">
        <v>2012009</v>
      </c>
      <c r="B686" s="5" t="s">
        <v>3638</v>
      </c>
      <c r="C686" s="224" t="s">
        <v>4908</v>
      </c>
      <c r="D686" s="44" t="s">
        <v>1876</v>
      </c>
      <c r="E686" s="41"/>
      <c r="F686" s="3">
        <v>8</v>
      </c>
      <c r="G686" s="36">
        <v>7</v>
      </c>
      <c r="H686" s="3" t="s">
        <v>136</v>
      </c>
      <c r="I686" s="5" t="s">
        <v>3640</v>
      </c>
      <c r="J686" s="3"/>
      <c r="K686" s="3"/>
      <c r="L686" s="236"/>
      <c r="M686" s="99"/>
      <c r="N686" s="99"/>
      <c r="O686" s="236"/>
      <c r="P686" s="22"/>
      <c r="Q686" s="22">
        <v>0</v>
      </c>
      <c r="R686" s="22" t="s">
        <v>153</v>
      </c>
      <c r="S686" s="3"/>
      <c r="T686" s="260"/>
      <c r="U686" s="261"/>
      <c r="V686" s="22"/>
      <c r="W686" s="57" t="s">
        <v>4774</v>
      </c>
      <c r="X686" s="57" t="s">
        <v>4774</v>
      </c>
      <c r="Y686" s="22"/>
      <c r="Z686" s="22"/>
      <c r="AA686" s="22"/>
      <c r="AB686" s="22" t="s">
        <v>114</v>
      </c>
      <c r="AC686" s="3"/>
      <c r="AD686" s="3"/>
      <c r="AE686" s="3">
        <v>0</v>
      </c>
      <c r="AF686" s="3">
        <v>0</v>
      </c>
      <c r="AG686" s="3">
        <v>0</v>
      </c>
      <c r="AH686" s="3"/>
      <c r="AI686" s="3">
        <v>0</v>
      </c>
      <c r="AJ686" s="3">
        <v>0</v>
      </c>
      <c r="AK686" s="3">
        <v>0</v>
      </c>
      <c r="AL686" s="3"/>
      <c r="AM686" s="3"/>
      <c r="AN686" s="3"/>
      <c r="AO686" s="3"/>
      <c r="AP686" s="3"/>
      <c r="AQ686" s="8" t="str">
        <f t="shared" si="5"/>
        <v>tricks/2012009</v>
      </c>
      <c r="AR686" s="281"/>
    </row>
    <row r="687" spans="1:44" ht="15" customHeight="1">
      <c r="A687" s="3">
        <v>2012010</v>
      </c>
      <c r="B687" s="5" t="s">
        <v>3638</v>
      </c>
      <c r="C687" s="224" t="s">
        <v>4909</v>
      </c>
      <c r="D687" s="3" t="s">
        <v>1876</v>
      </c>
      <c r="F687" s="3">
        <v>9</v>
      </c>
      <c r="G687" s="36">
        <v>7</v>
      </c>
      <c r="H687" s="3" t="s">
        <v>136</v>
      </c>
      <c r="I687" s="5" t="s">
        <v>3640</v>
      </c>
      <c r="J687" s="3"/>
      <c r="K687" s="3"/>
      <c r="L687" s="236"/>
      <c r="M687" s="99"/>
      <c r="N687" s="99"/>
      <c r="O687" s="236"/>
      <c r="P687" s="22"/>
      <c r="Q687" s="22">
        <v>0</v>
      </c>
      <c r="R687" s="22" t="s">
        <v>153</v>
      </c>
      <c r="S687" s="3"/>
      <c r="T687" s="260"/>
      <c r="U687" s="261"/>
      <c r="V687" s="22"/>
      <c r="W687" s="57" t="s">
        <v>4865</v>
      </c>
      <c r="X687" s="57" t="s">
        <v>4865</v>
      </c>
      <c r="Y687" s="22"/>
      <c r="Z687" s="22"/>
      <c r="AA687" s="22"/>
      <c r="AB687" s="22" t="s">
        <v>114</v>
      </c>
      <c r="AC687" s="3"/>
      <c r="AD687" s="3"/>
      <c r="AE687" s="3">
        <v>0</v>
      </c>
      <c r="AF687" s="3">
        <v>0</v>
      </c>
      <c r="AG687" s="3">
        <v>0</v>
      </c>
      <c r="AH687" s="3"/>
      <c r="AI687" s="3">
        <v>0</v>
      </c>
      <c r="AJ687" s="3">
        <v>0</v>
      </c>
      <c r="AK687" s="3">
        <v>0</v>
      </c>
      <c r="AL687" s="3"/>
      <c r="AM687" s="3"/>
      <c r="AN687" s="3"/>
      <c r="AO687" s="3"/>
      <c r="AP687" s="3"/>
      <c r="AQ687" s="8" t="str">
        <f t="shared" si="5"/>
        <v>tricks/2012010</v>
      </c>
    </row>
    <row r="688" spans="1:44" ht="15" customHeight="1">
      <c r="A688" s="3">
        <v>2012011</v>
      </c>
      <c r="B688" s="5" t="s">
        <v>3638</v>
      </c>
      <c r="C688" s="224" t="s">
        <v>4910</v>
      </c>
      <c r="D688" s="3" t="s">
        <v>1876</v>
      </c>
      <c r="F688" s="3">
        <v>10</v>
      </c>
      <c r="G688" s="36">
        <v>7</v>
      </c>
      <c r="H688" s="3" t="s">
        <v>136</v>
      </c>
      <c r="I688" s="5" t="s">
        <v>3640</v>
      </c>
      <c r="J688" s="3"/>
      <c r="K688" s="3"/>
      <c r="L688" s="236"/>
      <c r="M688" s="99"/>
      <c r="N688" s="99"/>
      <c r="O688" s="236"/>
      <c r="P688" s="22"/>
      <c r="Q688" s="22">
        <v>0</v>
      </c>
      <c r="R688" s="22" t="s">
        <v>153</v>
      </c>
      <c r="S688" s="3"/>
      <c r="T688" s="260"/>
      <c r="U688" s="261"/>
      <c r="V688" s="22"/>
      <c r="W688" s="57" t="s">
        <v>4911</v>
      </c>
      <c r="X688" s="57" t="s">
        <v>4911</v>
      </c>
      <c r="Y688" s="22"/>
      <c r="Z688" s="22"/>
      <c r="AA688" s="22"/>
      <c r="AB688" s="22" t="s">
        <v>114</v>
      </c>
      <c r="AC688" s="3"/>
      <c r="AD688" s="3"/>
      <c r="AE688" s="3">
        <v>0</v>
      </c>
      <c r="AF688" s="3">
        <v>0</v>
      </c>
      <c r="AG688" s="3">
        <v>0</v>
      </c>
      <c r="AH688" s="3"/>
      <c r="AI688" s="3">
        <v>0</v>
      </c>
      <c r="AJ688" s="3">
        <v>0</v>
      </c>
      <c r="AK688" s="3">
        <v>0</v>
      </c>
      <c r="AL688" s="3"/>
      <c r="AM688" s="3"/>
      <c r="AN688" s="3"/>
      <c r="AO688" s="3"/>
      <c r="AP688" s="3"/>
      <c r="AQ688" s="8" t="str">
        <f t="shared" si="5"/>
        <v>tricks/2012011</v>
      </c>
    </row>
    <row r="689" spans="1:44" ht="15" customHeight="1">
      <c r="A689" s="47">
        <v>3010101</v>
      </c>
      <c r="B689" s="5" t="s">
        <v>3638</v>
      </c>
      <c r="C689" s="224" t="s">
        <v>4912</v>
      </c>
      <c r="D689" s="47" t="s">
        <v>2601</v>
      </c>
      <c r="E689" s="47"/>
      <c r="F689" s="36">
        <v>1</v>
      </c>
      <c r="G689" s="47">
        <v>8</v>
      </c>
      <c r="H689" s="47" t="s">
        <v>82</v>
      </c>
      <c r="I689" s="5" t="s">
        <v>3640</v>
      </c>
      <c r="J689" s="47"/>
      <c r="K689" s="500"/>
      <c r="L689" s="501" t="s">
        <v>2602</v>
      </c>
      <c r="M689" s="502"/>
      <c r="N689" s="378">
        <v>12</v>
      </c>
      <c r="O689" s="501"/>
      <c r="P689" s="48"/>
      <c r="Q689" s="48">
        <v>0</v>
      </c>
      <c r="R689" s="48" t="s">
        <v>153</v>
      </c>
      <c r="S689" s="47">
        <v>3010101</v>
      </c>
      <c r="T689" s="319"/>
      <c r="U689" s="320"/>
      <c r="V689" s="48" t="s">
        <v>582</v>
      </c>
      <c r="W689" s="57" t="s">
        <v>4913</v>
      </c>
      <c r="X689" s="57" t="s">
        <v>4913</v>
      </c>
      <c r="Y689" s="48">
        <v>0</v>
      </c>
      <c r="Z689" s="48">
        <v>0</v>
      </c>
      <c r="AA689" s="48"/>
      <c r="AB689" s="48"/>
      <c r="AC689" s="47"/>
      <c r="AD689" s="47"/>
      <c r="AE689" s="47">
        <v>2</v>
      </c>
      <c r="AF689" s="47"/>
      <c r="AG689" s="47">
        <v>30</v>
      </c>
      <c r="AH689" s="47"/>
      <c r="AI689" s="47"/>
      <c r="AJ689" s="47"/>
      <c r="AK689" s="517"/>
      <c r="AL689" s="517"/>
      <c r="AM689" s="517"/>
      <c r="AN689" s="43" t="s">
        <v>2604</v>
      </c>
      <c r="AO689" s="47"/>
      <c r="AP689" s="47"/>
      <c r="AQ689" s="47" t="s">
        <v>2605</v>
      </c>
      <c r="AR689" s="332"/>
    </row>
    <row r="690" spans="1:44" ht="15" customHeight="1">
      <c r="A690" s="48">
        <v>3010102</v>
      </c>
      <c r="B690" s="5" t="s">
        <v>3638</v>
      </c>
      <c r="C690" s="224" t="s">
        <v>4914</v>
      </c>
      <c r="D690" s="48" t="s">
        <v>2601</v>
      </c>
      <c r="E690" s="48"/>
      <c r="F690" s="36">
        <v>1</v>
      </c>
      <c r="G690" s="48">
        <v>8</v>
      </c>
      <c r="H690" s="48" t="s">
        <v>136</v>
      </c>
      <c r="I690" s="5" t="s">
        <v>3640</v>
      </c>
      <c r="J690" s="48"/>
      <c r="K690" s="503"/>
      <c r="L690" s="504" t="s">
        <v>2607</v>
      </c>
      <c r="M690" s="48"/>
      <c r="N690" s="48"/>
      <c r="O690" s="504"/>
      <c r="P690" s="48"/>
      <c r="Q690" s="48">
        <v>0</v>
      </c>
      <c r="R690" s="48" t="s">
        <v>153</v>
      </c>
      <c r="S690" s="48">
        <v>3010102</v>
      </c>
      <c r="T690" s="319"/>
      <c r="U690" s="320"/>
      <c r="V690" s="48" t="s">
        <v>582</v>
      </c>
      <c r="W690" s="57" t="s">
        <v>4915</v>
      </c>
      <c r="X690" s="57" t="s">
        <v>4915</v>
      </c>
      <c r="Y690" s="48">
        <v>0</v>
      </c>
      <c r="Z690" s="48">
        <v>0</v>
      </c>
      <c r="AA690" s="48"/>
      <c r="AB690" s="48"/>
      <c r="AC690" s="48"/>
      <c r="AD690" s="48"/>
      <c r="AE690" s="48">
        <v>0</v>
      </c>
      <c r="AF690" s="48"/>
      <c r="AG690" s="48">
        <v>0</v>
      </c>
      <c r="AH690" s="48"/>
      <c r="AI690" s="48">
        <v>0</v>
      </c>
      <c r="AJ690" s="48">
        <v>0</v>
      </c>
      <c r="AK690" s="518"/>
      <c r="AL690" s="518"/>
      <c r="AM690" s="518"/>
      <c r="AN690" s="48"/>
      <c r="AO690" s="48"/>
      <c r="AP690" s="48"/>
      <c r="AQ690" s="48" t="s">
        <v>2609</v>
      </c>
      <c r="AR690" s="522"/>
    </row>
    <row r="691" spans="1:44" ht="15" customHeight="1">
      <c r="A691" s="47">
        <v>3010103</v>
      </c>
      <c r="B691" s="5" t="s">
        <v>3638</v>
      </c>
      <c r="C691" s="224" t="s">
        <v>4916</v>
      </c>
      <c r="D691" s="47" t="s">
        <v>2601</v>
      </c>
      <c r="E691" s="47"/>
      <c r="F691" s="36">
        <v>2</v>
      </c>
      <c r="G691" s="47">
        <v>8</v>
      </c>
      <c r="H691" s="47" t="s">
        <v>136</v>
      </c>
      <c r="I691" s="5" t="s">
        <v>3640</v>
      </c>
      <c r="J691" s="47"/>
      <c r="K691" s="500"/>
      <c r="L691" s="501" t="s">
        <v>2611</v>
      </c>
      <c r="M691" s="502"/>
      <c r="N691" s="502"/>
      <c r="O691" s="501"/>
      <c r="P691" s="48"/>
      <c r="Q691" s="48">
        <v>0</v>
      </c>
      <c r="R691" s="48" t="s">
        <v>153</v>
      </c>
      <c r="S691" s="47">
        <v>3010104</v>
      </c>
      <c r="T691" s="319"/>
      <c r="U691" s="320"/>
      <c r="V691" s="48" t="s">
        <v>582</v>
      </c>
      <c r="W691" s="57" t="s">
        <v>4917</v>
      </c>
      <c r="X691" s="57" t="s">
        <v>4917</v>
      </c>
      <c r="Y691" s="48">
        <v>0</v>
      </c>
      <c r="Z691" s="48">
        <v>0</v>
      </c>
      <c r="AA691" s="48"/>
      <c r="AB691" s="48"/>
      <c r="AC691" s="47"/>
      <c r="AD691" s="47"/>
      <c r="AE691" s="47">
        <v>0</v>
      </c>
      <c r="AF691" s="47"/>
      <c r="AG691" s="47">
        <v>0</v>
      </c>
      <c r="AH691" s="47"/>
      <c r="AI691" s="47">
        <v>0</v>
      </c>
      <c r="AJ691" s="47">
        <v>0</v>
      </c>
      <c r="AK691" s="517"/>
      <c r="AL691" s="517"/>
      <c r="AM691" s="517"/>
      <c r="AN691" s="47"/>
      <c r="AO691" s="47"/>
      <c r="AP691" s="47"/>
      <c r="AQ691" s="47" t="s">
        <v>2613</v>
      </c>
      <c r="AR691" s="332"/>
    </row>
    <row r="692" spans="1:44" ht="14.4" customHeight="1">
      <c r="A692" s="47">
        <v>3010104</v>
      </c>
      <c r="B692" s="5" t="s">
        <v>3638</v>
      </c>
      <c r="C692" s="224" t="s">
        <v>4918</v>
      </c>
      <c r="D692" s="47" t="s">
        <v>2601</v>
      </c>
      <c r="E692" s="47"/>
      <c r="F692" s="36">
        <v>3</v>
      </c>
      <c r="G692" s="48">
        <v>8</v>
      </c>
      <c r="H692" s="47" t="s">
        <v>136</v>
      </c>
      <c r="I692" s="5" t="s">
        <v>3640</v>
      </c>
      <c r="J692" s="47"/>
      <c r="K692" s="500"/>
      <c r="L692" s="501" t="s">
        <v>2615</v>
      </c>
      <c r="M692" s="502"/>
      <c r="N692" s="502"/>
      <c r="O692" s="501"/>
      <c r="P692" s="48"/>
      <c r="Q692" s="48">
        <v>0</v>
      </c>
      <c r="R692" s="48" t="s">
        <v>153</v>
      </c>
      <c r="S692" s="47">
        <v>3010103</v>
      </c>
      <c r="T692" s="319"/>
      <c r="U692" s="320"/>
      <c r="V692" s="48" t="s">
        <v>582</v>
      </c>
      <c r="W692" s="57" t="s">
        <v>4919</v>
      </c>
      <c r="X692" s="57" t="s">
        <v>4919</v>
      </c>
      <c r="Y692" s="48">
        <v>0</v>
      </c>
      <c r="Z692" s="48">
        <v>0</v>
      </c>
      <c r="AA692" s="48"/>
      <c r="AB692" s="48"/>
      <c r="AC692" s="47"/>
      <c r="AD692" s="47"/>
      <c r="AE692" s="47">
        <v>0</v>
      </c>
      <c r="AF692" s="47"/>
      <c r="AG692" s="47">
        <v>0</v>
      </c>
      <c r="AH692" s="47"/>
      <c r="AI692" s="47">
        <v>0</v>
      </c>
      <c r="AJ692" s="47">
        <v>0</v>
      </c>
      <c r="AK692" s="517"/>
      <c r="AL692" s="517"/>
      <c r="AM692" s="517"/>
      <c r="AN692" s="47"/>
      <c r="AO692" s="47"/>
      <c r="AP692" s="47"/>
      <c r="AQ692" s="47" t="s">
        <v>2617</v>
      </c>
      <c r="AR692" s="332"/>
    </row>
    <row r="693" spans="1:44" ht="15" customHeight="1">
      <c r="A693" s="48">
        <v>3010105</v>
      </c>
      <c r="B693" s="5" t="s">
        <v>3638</v>
      </c>
      <c r="C693" s="224" t="s">
        <v>4920</v>
      </c>
      <c r="D693" s="48" t="s">
        <v>2601</v>
      </c>
      <c r="E693" s="48"/>
      <c r="F693" s="36">
        <v>4</v>
      </c>
      <c r="G693" s="47">
        <v>8</v>
      </c>
      <c r="H693" s="48" t="s">
        <v>136</v>
      </c>
      <c r="I693" s="5" t="s">
        <v>3640</v>
      </c>
      <c r="J693" s="48"/>
      <c r="K693" s="503"/>
      <c r="L693" s="504" t="s">
        <v>2619</v>
      </c>
      <c r="M693" s="48"/>
      <c r="N693" s="48"/>
      <c r="O693" s="504"/>
      <c r="P693" s="48"/>
      <c r="Q693" s="48">
        <v>0</v>
      </c>
      <c r="R693" s="48" t="s">
        <v>153</v>
      </c>
      <c r="S693" s="48"/>
      <c r="T693" s="319"/>
      <c r="U693" s="320"/>
      <c r="V693" s="48"/>
      <c r="W693" s="57" t="s">
        <v>4865</v>
      </c>
      <c r="X693" s="57" t="s">
        <v>4865</v>
      </c>
      <c r="Y693" s="48">
        <v>0</v>
      </c>
      <c r="Z693" s="48">
        <v>0</v>
      </c>
      <c r="AA693" s="48"/>
      <c r="AB693" s="48"/>
      <c r="AC693" s="48"/>
      <c r="AD693" s="48"/>
      <c r="AE693" s="48">
        <v>0</v>
      </c>
      <c r="AF693" s="48"/>
      <c r="AG693" s="48">
        <v>0</v>
      </c>
      <c r="AH693" s="48"/>
      <c r="AI693" s="48">
        <v>0</v>
      </c>
      <c r="AJ693" s="48">
        <v>0</v>
      </c>
      <c r="AK693" s="518"/>
      <c r="AL693" s="518"/>
      <c r="AM693" s="518"/>
      <c r="AN693" s="48"/>
      <c r="AO693" s="48"/>
      <c r="AP693" s="48"/>
      <c r="AQ693" s="48" t="s">
        <v>2620</v>
      </c>
      <c r="AR693" s="522"/>
    </row>
    <row r="694" spans="1:44" ht="15" customHeight="1">
      <c r="A694" s="47">
        <v>3010106</v>
      </c>
      <c r="B694" s="5" t="s">
        <v>3638</v>
      </c>
      <c r="C694" s="224" t="s">
        <v>4921</v>
      </c>
      <c r="D694" s="47" t="s">
        <v>2601</v>
      </c>
      <c r="E694" s="47"/>
      <c r="F694" s="36">
        <v>5</v>
      </c>
      <c r="G694" s="48">
        <v>8</v>
      </c>
      <c r="H694" s="47" t="s">
        <v>136</v>
      </c>
      <c r="I694" s="5" t="s">
        <v>3640</v>
      </c>
      <c r="J694" s="47"/>
      <c r="K694" s="500"/>
      <c r="L694" s="501" t="s">
        <v>2622</v>
      </c>
      <c r="M694" s="502"/>
      <c r="N694" s="502"/>
      <c r="O694" s="501"/>
      <c r="P694" s="48"/>
      <c r="Q694" s="48">
        <v>0</v>
      </c>
      <c r="R694" s="48" t="s">
        <v>153</v>
      </c>
      <c r="S694" s="47"/>
      <c r="T694" s="319"/>
      <c r="U694" s="320"/>
      <c r="V694" s="48"/>
      <c r="W694" s="57" t="s">
        <v>4922</v>
      </c>
      <c r="X694" s="57" t="s">
        <v>4922</v>
      </c>
      <c r="Y694" s="48">
        <v>0</v>
      </c>
      <c r="Z694" s="48">
        <v>0</v>
      </c>
      <c r="AA694" s="48"/>
      <c r="AB694" s="48"/>
      <c r="AC694" s="47"/>
      <c r="AD694" s="47"/>
      <c r="AE694" s="47">
        <v>0</v>
      </c>
      <c r="AF694" s="47"/>
      <c r="AG694" s="47">
        <v>0</v>
      </c>
      <c r="AH694" s="47"/>
      <c r="AI694" s="47">
        <v>0</v>
      </c>
      <c r="AJ694" s="47">
        <v>0</v>
      </c>
      <c r="AK694" s="517"/>
      <c r="AL694" s="517"/>
      <c r="AM694" s="517"/>
      <c r="AN694" s="47"/>
      <c r="AO694" s="47"/>
      <c r="AP694" s="47"/>
      <c r="AQ694" s="47" t="s">
        <v>2624</v>
      </c>
      <c r="AR694" s="332"/>
    </row>
    <row r="695" spans="1:44" ht="15" customHeight="1">
      <c r="A695" s="47">
        <v>3010107</v>
      </c>
      <c r="B695" s="5" t="s">
        <v>3638</v>
      </c>
      <c r="C695" s="224" t="s">
        <v>4923</v>
      </c>
      <c r="D695" s="47" t="s">
        <v>2601</v>
      </c>
      <c r="E695" s="47"/>
      <c r="F695" s="36">
        <v>6</v>
      </c>
      <c r="G695" s="47">
        <v>8</v>
      </c>
      <c r="H695" s="47" t="s">
        <v>136</v>
      </c>
      <c r="I695" s="5" t="s">
        <v>3640</v>
      </c>
      <c r="J695" s="47"/>
      <c r="K695" s="500"/>
      <c r="L695" s="501" t="s">
        <v>2626</v>
      </c>
      <c r="M695" s="502"/>
      <c r="N695" s="502"/>
      <c r="O695" s="501"/>
      <c r="P695" s="48"/>
      <c r="Q695" s="48">
        <v>0</v>
      </c>
      <c r="R695" s="48" t="s">
        <v>153</v>
      </c>
      <c r="S695" s="47">
        <v>3010105</v>
      </c>
      <c r="T695" s="319"/>
      <c r="U695" s="320"/>
      <c r="V695" s="48" t="s">
        <v>582</v>
      </c>
      <c r="W695" s="57" t="s">
        <v>4919</v>
      </c>
      <c r="X695" s="57" t="s">
        <v>4919</v>
      </c>
      <c r="Y695" s="48">
        <v>0</v>
      </c>
      <c r="Z695" s="48">
        <v>0</v>
      </c>
      <c r="AA695" s="48"/>
      <c r="AB695" s="48"/>
      <c r="AC695" s="47"/>
      <c r="AD695" s="47"/>
      <c r="AE695" s="47">
        <v>0</v>
      </c>
      <c r="AF695" s="47"/>
      <c r="AG695" s="47">
        <v>0</v>
      </c>
      <c r="AH695" s="47"/>
      <c r="AI695" s="47">
        <v>0</v>
      </c>
      <c r="AJ695" s="47">
        <v>0</v>
      </c>
      <c r="AK695" s="517"/>
      <c r="AL695" s="517"/>
      <c r="AM695" s="517"/>
      <c r="AN695" s="47"/>
      <c r="AO695" s="47"/>
      <c r="AP695" s="47"/>
      <c r="AQ695" s="47" t="s">
        <v>2628</v>
      </c>
      <c r="AR695" s="332"/>
    </row>
    <row r="696" spans="1:44" ht="15" customHeight="1">
      <c r="A696" s="47">
        <v>3010108</v>
      </c>
      <c r="B696" s="5" t="s">
        <v>3638</v>
      </c>
      <c r="C696" s="224" t="s">
        <v>4924</v>
      </c>
      <c r="D696" s="47" t="s">
        <v>2601</v>
      </c>
      <c r="E696" s="47"/>
      <c r="F696" s="36">
        <v>7</v>
      </c>
      <c r="G696" s="48">
        <v>8</v>
      </c>
      <c r="H696" s="47" t="s">
        <v>136</v>
      </c>
      <c r="I696" s="5" t="s">
        <v>3640</v>
      </c>
      <c r="J696" s="47"/>
      <c r="K696" s="500"/>
      <c r="L696" s="501" t="s">
        <v>2630</v>
      </c>
      <c r="M696" s="502"/>
      <c r="N696" s="502"/>
      <c r="O696" s="501"/>
      <c r="P696" s="48"/>
      <c r="Q696" s="48">
        <v>0</v>
      </c>
      <c r="R696" s="48" t="s">
        <v>153</v>
      </c>
      <c r="S696" s="47">
        <v>3010106</v>
      </c>
      <c r="T696" s="319"/>
      <c r="U696" s="320"/>
      <c r="V696" s="48" t="s">
        <v>582</v>
      </c>
      <c r="W696" s="57" t="s">
        <v>4925</v>
      </c>
      <c r="X696" s="57" t="s">
        <v>4925</v>
      </c>
      <c r="Y696" s="48">
        <v>0</v>
      </c>
      <c r="Z696" s="48">
        <v>0</v>
      </c>
      <c r="AA696" s="48"/>
      <c r="AB696" s="48"/>
      <c r="AC696" s="47"/>
      <c r="AD696" s="47"/>
      <c r="AE696" s="47">
        <v>0</v>
      </c>
      <c r="AF696" s="47"/>
      <c r="AG696" s="47">
        <v>0</v>
      </c>
      <c r="AH696" s="47"/>
      <c r="AI696" s="47">
        <v>0</v>
      </c>
      <c r="AJ696" s="47">
        <v>0</v>
      </c>
      <c r="AK696" s="517"/>
      <c r="AL696" s="517"/>
      <c r="AM696" s="517"/>
      <c r="AN696" s="47"/>
      <c r="AO696" s="47"/>
      <c r="AP696" s="47"/>
      <c r="AQ696" s="47" t="s">
        <v>2632</v>
      </c>
      <c r="AR696" s="332"/>
    </row>
    <row r="697" spans="1:44" ht="15" customHeight="1">
      <c r="A697" s="3">
        <v>3010109</v>
      </c>
      <c r="B697" s="5" t="s">
        <v>3638</v>
      </c>
      <c r="C697" s="224" t="s">
        <v>4926</v>
      </c>
      <c r="D697" s="3" t="s">
        <v>2601</v>
      </c>
      <c r="E697" s="3"/>
      <c r="F697" s="3">
        <v>8</v>
      </c>
      <c r="G697" s="47">
        <v>8</v>
      </c>
      <c r="H697" s="3" t="s">
        <v>136</v>
      </c>
      <c r="I697" s="5" t="s">
        <v>3640</v>
      </c>
      <c r="J697" s="3"/>
      <c r="K697" s="3"/>
      <c r="L697" s="236"/>
      <c r="M697" s="99"/>
      <c r="N697" s="99"/>
      <c r="O697" s="236"/>
      <c r="P697" s="22"/>
      <c r="Q697" s="22">
        <v>0</v>
      </c>
      <c r="R697" s="22" t="s">
        <v>153</v>
      </c>
      <c r="S697" s="3"/>
      <c r="T697" s="260"/>
      <c r="U697" s="261"/>
      <c r="V697" s="22"/>
      <c r="W697" s="57" t="s">
        <v>4927</v>
      </c>
      <c r="X697" s="57" t="s">
        <v>4927</v>
      </c>
      <c r="Y697" s="22"/>
      <c r="Z697" s="22"/>
      <c r="AA697" s="22"/>
      <c r="AB697" s="22" t="s">
        <v>114</v>
      </c>
      <c r="AC697" s="3"/>
      <c r="AD697" s="3"/>
      <c r="AE697" s="3">
        <v>0</v>
      </c>
      <c r="AF697" s="3">
        <v>0</v>
      </c>
      <c r="AG697" s="3">
        <v>0</v>
      </c>
      <c r="AH697" s="3"/>
      <c r="AI697" s="3">
        <v>0</v>
      </c>
      <c r="AJ697" s="3">
        <v>0</v>
      </c>
      <c r="AK697" s="3">
        <v>0</v>
      </c>
      <c r="AL697" s="3"/>
      <c r="AM697" s="3"/>
      <c r="AN697" s="3"/>
      <c r="AO697" s="3"/>
      <c r="AP697" s="3"/>
      <c r="AQ697" s="3" t="s">
        <v>2613</v>
      </c>
      <c r="AR697" s="281"/>
    </row>
    <row r="698" spans="1:44" ht="15" customHeight="1">
      <c r="A698" s="3">
        <v>3010110</v>
      </c>
      <c r="B698" s="5" t="s">
        <v>3638</v>
      </c>
      <c r="C698" s="224" t="s">
        <v>4928</v>
      </c>
      <c r="D698" s="3" t="s">
        <v>2601</v>
      </c>
      <c r="E698" s="3"/>
      <c r="F698" s="3">
        <v>9</v>
      </c>
      <c r="G698" s="48">
        <v>8</v>
      </c>
      <c r="H698" s="3" t="s">
        <v>136</v>
      </c>
      <c r="I698" s="5" t="s">
        <v>3640</v>
      </c>
      <c r="J698" s="3"/>
      <c r="K698" s="3"/>
      <c r="L698" s="236"/>
      <c r="M698" s="99"/>
      <c r="N698" s="99"/>
      <c r="O698" s="236"/>
      <c r="P698" s="22"/>
      <c r="Q698" s="22">
        <v>0</v>
      </c>
      <c r="R698" s="22" t="s">
        <v>153</v>
      </c>
      <c r="S698" s="3"/>
      <c r="T698" s="260"/>
      <c r="U698" s="261"/>
      <c r="V698" s="22"/>
      <c r="W698" s="57" t="s">
        <v>4929</v>
      </c>
      <c r="X698" s="57" t="s">
        <v>4929</v>
      </c>
      <c r="Y698" s="22"/>
      <c r="Z698" s="22"/>
      <c r="AA698" s="22"/>
      <c r="AB698" s="22" t="s">
        <v>114</v>
      </c>
      <c r="AC698" s="3"/>
      <c r="AD698" s="3"/>
      <c r="AE698" s="3">
        <v>0</v>
      </c>
      <c r="AF698" s="3">
        <v>0</v>
      </c>
      <c r="AG698" s="3">
        <v>0</v>
      </c>
      <c r="AH698" s="3"/>
      <c r="AI698" s="3">
        <v>0</v>
      </c>
      <c r="AJ698" s="3">
        <v>0</v>
      </c>
      <c r="AK698" s="3">
        <v>0</v>
      </c>
      <c r="AL698" s="3"/>
      <c r="AM698" s="3"/>
      <c r="AN698" s="3"/>
      <c r="AO698" s="3"/>
      <c r="AP698" s="3"/>
      <c r="AQ698" s="282" t="str">
        <f>"tricks/"&amp;A698</f>
        <v>tricks/3010110</v>
      </c>
    </row>
    <row r="699" spans="1:44" ht="15" customHeight="1">
      <c r="A699" s="3">
        <v>3010111</v>
      </c>
      <c r="B699" s="5" t="s">
        <v>3638</v>
      </c>
      <c r="C699" s="224" t="s">
        <v>4930</v>
      </c>
      <c r="D699" s="3" t="s">
        <v>2601</v>
      </c>
      <c r="E699" s="3"/>
      <c r="F699" s="3">
        <v>10</v>
      </c>
      <c r="G699" s="47">
        <v>8</v>
      </c>
      <c r="H699" s="3" t="s">
        <v>136</v>
      </c>
      <c r="I699" s="5" t="s">
        <v>3640</v>
      </c>
      <c r="J699" s="3"/>
      <c r="K699" s="3"/>
      <c r="L699" s="236"/>
      <c r="M699" s="99"/>
      <c r="N699" s="99"/>
      <c r="O699" s="236"/>
      <c r="P699" s="22"/>
      <c r="Q699" s="22">
        <v>0</v>
      </c>
      <c r="R699" s="22" t="s">
        <v>153</v>
      </c>
      <c r="S699" s="3"/>
      <c r="T699" s="260"/>
      <c r="U699" s="261"/>
      <c r="V699" s="22"/>
      <c r="W699" s="57" t="s">
        <v>4931</v>
      </c>
      <c r="X699" s="57" t="s">
        <v>4931</v>
      </c>
      <c r="Y699" s="22"/>
      <c r="Z699" s="22"/>
      <c r="AA699" s="22"/>
      <c r="AB699" s="22" t="s">
        <v>114</v>
      </c>
      <c r="AC699" s="3"/>
      <c r="AD699" s="3"/>
      <c r="AE699" s="3">
        <v>0</v>
      </c>
      <c r="AF699" s="3">
        <v>0</v>
      </c>
      <c r="AG699" s="3">
        <v>0</v>
      </c>
      <c r="AH699" s="3"/>
      <c r="AI699" s="3">
        <v>0</v>
      </c>
      <c r="AJ699" s="3">
        <v>0</v>
      </c>
      <c r="AK699" s="3">
        <v>0</v>
      </c>
      <c r="AL699" s="3"/>
      <c r="AM699" s="3"/>
      <c r="AN699" s="3"/>
      <c r="AO699" s="3"/>
      <c r="AP699" s="3"/>
      <c r="AQ699" s="282" t="str">
        <f>"tricks/"&amp;A699</f>
        <v>tricks/3010111</v>
      </c>
    </row>
    <row r="700" spans="1:44" ht="15" customHeight="1">
      <c r="A700" s="49">
        <v>3010201</v>
      </c>
      <c r="B700" s="5" t="s">
        <v>3638</v>
      </c>
      <c r="C700" s="224" t="s">
        <v>4932</v>
      </c>
      <c r="D700" s="49" t="s">
        <v>2601</v>
      </c>
      <c r="E700" s="49"/>
      <c r="F700" s="36">
        <v>1</v>
      </c>
      <c r="G700" s="48">
        <v>8</v>
      </c>
      <c r="H700" s="49" t="s">
        <v>82</v>
      </c>
      <c r="I700" s="5" t="s">
        <v>3640</v>
      </c>
      <c r="J700" s="49"/>
      <c r="K700" s="505"/>
      <c r="L700" s="506" t="s">
        <v>2641</v>
      </c>
      <c r="M700" s="507"/>
      <c r="N700" s="378">
        <v>13</v>
      </c>
      <c r="O700" s="506"/>
      <c r="P700" s="508"/>
      <c r="Q700" s="508">
        <v>0</v>
      </c>
      <c r="R700" s="508" t="s">
        <v>153</v>
      </c>
      <c r="S700" s="49">
        <v>3010201</v>
      </c>
      <c r="T700" s="415"/>
      <c r="U700" s="416"/>
      <c r="V700" s="508" t="s">
        <v>582</v>
      </c>
      <c r="W700" s="57" t="s">
        <v>4933</v>
      </c>
      <c r="X700" s="57" t="s">
        <v>4933</v>
      </c>
      <c r="Y700" s="508">
        <v>0</v>
      </c>
      <c r="Z700" s="508">
        <v>0</v>
      </c>
      <c r="AA700" s="508"/>
      <c r="AB700" s="508"/>
      <c r="AC700" s="49"/>
      <c r="AD700" s="49"/>
      <c r="AE700" s="49">
        <v>2</v>
      </c>
      <c r="AF700" s="49"/>
      <c r="AG700" s="49">
        <v>30</v>
      </c>
      <c r="AH700" s="49"/>
      <c r="AI700" s="49"/>
      <c r="AJ700" s="49"/>
      <c r="AK700" s="519"/>
      <c r="AL700" s="519"/>
      <c r="AM700" s="519"/>
      <c r="AN700" s="43" t="s">
        <v>2643</v>
      </c>
      <c r="AO700" s="49"/>
      <c r="AP700" s="49"/>
      <c r="AQ700" s="49" t="s">
        <v>2644</v>
      </c>
      <c r="AR700" s="423"/>
    </row>
    <row r="701" spans="1:44" ht="15" customHeight="1">
      <c r="A701" s="49">
        <v>3010202</v>
      </c>
      <c r="B701" s="5" t="s">
        <v>3638</v>
      </c>
      <c r="C701" s="224" t="s">
        <v>4934</v>
      </c>
      <c r="D701" s="49" t="s">
        <v>2601</v>
      </c>
      <c r="E701" s="49"/>
      <c r="F701" s="36">
        <v>1</v>
      </c>
      <c r="G701" s="47">
        <v>8</v>
      </c>
      <c r="H701" s="49" t="s">
        <v>136</v>
      </c>
      <c r="I701" s="5" t="s">
        <v>3640</v>
      </c>
      <c r="J701" s="49"/>
      <c r="K701" s="505"/>
      <c r="L701" s="506" t="s">
        <v>2646</v>
      </c>
      <c r="M701" s="507"/>
      <c r="N701" s="507"/>
      <c r="O701" s="506"/>
      <c r="P701" s="508"/>
      <c r="Q701" s="508">
        <v>0</v>
      </c>
      <c r="R701" s="508" t="s">
        <v>153</v>
      </c>
      <c r="S701" s="49"/>
      <c r="T701" s="415"/>
      <c r="U701" s="416"/>
      <c r="V701" s="508"/>
      <c r="W701" s="57" t="s">
        <v>4935</v>
      </c>
      <c r="X701" s="57" t="s">
        <v>4935</v>
      </c>
      <c r="Y701" s="508">
        <v>0</v>
      </c>
      <c r="Z701" s="508">
        <v>0</v>
      </c>
      <c r="AA701" s="508"/>
      <c r="AB701" s="508"/>
      <c r="AC701" s="49"/>
      <c r="AD701" s="49"/>
      <c r="AE701" s="49">
        <v>0</v>
      </c>
      <c r="AF701" s="49"/>
      <c r="AG701" s="49"/>
      <c r="AH701" s="49"/>
      <c r="AI701" s="49"/>
      <c r="AJ701" s="49"/>
      <c r="AK701" s="519"/>
      <c r="AL701" s="519"/>
      <c r="AM701" s="519"/>
      <c r="AN701" s="49"/>
      <c r="AO701" s="49"/>
      <c r="AP701" s="49"/>
      <c r="AQ701" s="49" t="s">
        <v>2648</v>
      </c>
      <c r="AR701" s="423"/>
    </row>
    <row r="702" spans="1:44" ht="15" customHeight="1">
      <c r="A702" s="49">
        <v>3010203</v>
      </c>
      <c r="B702" s="5" t="s">
        <v>3638</v>
      </c>
      <c r="C702" s="224" t="s">
        <v>4936</v>
      </c>
      <c r="D702" s="49" t="s">
        <v>2601</v>
      </c>
      <c r="E702" s="49"/>
      <c r="F702" s="36">
        <v>2</v>
      </c>
      <c r="G702" s="48">
        <v>8</v>
      </c>
      <c r="H702" s="49" t="s">
        <v>136</v>
      </c>
      <c r="I702" s="5" t="s">
        <v>3640</v>
      </c>
      <c r="J702" s="49"/>
      <c r="K702" s="505"/>
      <c r="L702" s="506" t="s">
        <v>2650</v>
      </c>
      <c r="M702" s="507"/>
      <c r="N702" s="507"/>
      <c r="O702" s="506"/>
      <c r="P702" s="508"/>
      <c r="Q702" s="508">
        <v>0</v>
      </c>
      <c r="R702" s="508" t="s">
        <v>153</v>
      </c>
      <c r="S702" s="49">
        <v>3010202</v>
      </c>
      <c r="T702" s="415"/>
      <c r="U702" s="416"/>
      <c r="V702" s="508" t="s">
        <v>582</v>
      </c>
      <c r="W702" s="57" t="s">
        <v>4937</v>
      </c>
      <c r="X702" s="57" t="s">
        <v>4937</v>
      </c>
      <c r="Y702" s="508">
        <v>0</v>
      </c>
      <c r="Z702" s="508">
        <v>0</v>
      </c>
      <c r="AA702" s="508"/>
      <c r="AB702" s="508"/>
      <c r="AC702" s="49"/>
      <c r="AD702" s="49"/>
      <c r="AE702" s="49">
        <v>0</v>
      </c>
      <c r="AF702" s="49"/>
      <c r="AG702" s="49"/>
      <c r="AH702" s="49"/>
      <c r="AI702" s="49"/>
      <c r="AJ702" s="49"/>
      <c r="AK702" s="519"/>
      <c r="AL702" s="519"/>
      <c r="AM702" s="519"/>
      <c r="AN702" s="49"/>
      <c r="AO702" s="49"/>
      <c r="AP702" s="49"/>
      <c r="AQ702" s="49" t="s">
        <v>2652</v>
      </c>
      <c r="AR702" s="423"/>
    </row>
    <row r="703" spans="1:44" ht="15" customHeight="1">
      <c r="A703" s="49">
        <v>3010204</v>
      </c>
      <c r="B703" s="5" t="s">
        <v>3638</v>
      </c>
      <c r="C703" s="224" t="s">
        <v>4938</v>
      </c>
      <c r="D703" s="37" t="s">
        <v>2601</v>
      </c>
      <c r="E703" s="37"/>
      <c r="F703" s="36">
        <v>3</v>
      </c>
      <c r="G703" s="47">
        <v>8</v>
      </c>
      <c r="H703" s="37" t="s">
        <v>136</v>
      </c>
      <c r="I703" s="5" t="s">
        <v>3640</v>
      </c>
      <c r="J703" s="37"/>
      <c r="K703" s="509"/>
      <c r="L703" s="408" t="s">
        <v>2654</v>
      </c>
      <c r="M703" s="409"/>
      <c r="N703" s="409"/>
      <c r="O703" s="37"/>
      <c r="P703" s="410"/>
      <c r="Q703" s="410">
        <v>0</v>
      </c>
      <c r="R703" s="410" t="s">
        <v>153</v>
      </c>
      <c r="S703" s="37">
        <v>3010203</v>
      </c>
      <c r="T703" s="512"/>
      <c r="U703" s="513"/>
      <c r="V703" s="410" t="s">
        <v>582</v>
      </c>
      <c r="W703" s="57" t="s">
        <v>4939</v>
      </c>
      <c r="X703" s="57" t="s">
        <v>4939</v>
      </c>
      <c r="Y703" s="432">
        <v>0</v>
      </c>
      <c r="Z703" s="432">
        <v>0</v>
      </c>
      <c r="AA703" s="410"/>
      <c r="AB703" s="410"/>
      <c r="AC703" s="37"/>
      <c r="AD703" s="37"/>
      <c r="AE703" s="37">
        <v>0</v>
      </c>
      <c r="AF703" s="37"/>
      <c r="AG703" s="37"/>
      <c r="AH703" s="37"/>
      <c r="AI703" s="37"/>
      <c r="AJ703" s="37"/>
      <c r="AK703" s="420"/>
      <c r="AL703" s="420"/>
      <c r="AM703" s="420"/>
      <c r="AN703" s="520"/>
      <c r="AO703" s="37"/>
      <c r="AP703" s="37"/>
      <c r="AQ703" s="37" t="s">
        <v>2656</v>
      </c>
      <c r="AR703" s="423"/>
    </row>
    <row r="704" spans="1:44" ht="15" customHeight="1">
      <c r="A704" s="49">
        <v>3010205</v>
      </c>
      <c r="B704" s="5" t="s">
        <v>3638</v>
      </c>
      <c r="C704" s="224" t="s">
        <v>4940</v>
      </c>
      <c r="D704" s="37" t="s">
        <v>2601</v>
      </c>
      <c r="E704" s="37"/>
      <c r="F704" s="36">
        <v>4</v>
      </c>
      <c r="G704" s="48">
        <v>8</v>
      </c>
      <c r="H704" s="37" t="s">
        <v>136</v>
      </c>
      <c r="I704" s="5" t="s">
        <v>3640</v>
      </c>
      <c r="J704" s="37"/>
      <c r="K704" s="509"/>
      <c r="L704" s="408" t="s">
        <v>2658</v>
      </c>
      <c r="M704" s="409"/>
      <c r="N704" s="409"/>
      <c r="O704" s="37"/>
      <c r="P704" s="410"/>
      <c r="Q704" s="410">
        <v>0</v>
      </c>
      <c r="R704" s="410" t="s">
        <v>153</v>
      </c>
      <c r="S704" s="37">
        <v>3010204</v>
      </c>
      <c r="T704" s="514"/>
      <c r="U704" s="515"/>
      <c r="V704" s="410" t="s">
        <v>582</v>
      </c>
      <c r="W704" s="57" t="s">
        <v>4941</v>
      </c>
      <c r="X704" s="57" t="s">
        <v>4941</v>
      </c>
      <c r="Y704" s="457">
        <v>0</v>
      </c>
      <c r="Z704" s="457">
        <v>0</v>
      </c>
      <c r="AA704" s="410"/>
      <c r="AB704" s="410"/>
      <c r="AC704" s="37"/>
      <c r="AD704" s="37"/>
      <c r="AE704" s="37">
        <v>0</v>
      </c>
      <c r="AF704" s="37"/>
      <c r="AG704" s="37"/>
      <c r="AH704" s="37"/>
      <c r="AI704" s="37"/>
      <c r="AJ704" s="37"/>
      <c r="AK704" s="420"/>
      <c r="AL704" s="420"/>
      <c r="AM704" s="420"/>
      <c r="AN704" s="37"/>
      <c r="AO704" s="37"/>
      <c r="AP704" s="37"/>
      <c r="AQ704" s="37" t="s">
        <v>2660</v>
      </c>
      <c r="AR704" s="423"/>
    </row>
    <row r="705" spans="1:44" ht="15" customHeight="1">
      <c r="A705" s="49">
        <v>3010206</v>
      </c>
      <c r="B705" s="5" t="s">
        <v>3638</v>
      </c>
      <c r="C705" s="224" t="s">
        <v>4942</v>
      </c>
      <c r="D705" s="37" t="s">
        <v>2601</v>
      </c>
      <c r="E705" s="37"/>
      <c r="F705" s="36">
        <v>5</v>
      </c>
      <c r="G705" s="47">
        <v>8</v>
      </c>
      <c r="H705" s="37" t="s">
        <v>136</v>
      </c>
      <c r="I705" s="5" t="s">
        <v>3640</v>
      </c>
      <c r="J705" s="37"/>
      <c r="K705" s="509"/>
      <c r="L705" s="408" t="s">
        <v>2662</v>
      </c>
      <c r="M705" s="409"/>
      <c r="N705" s="409"/>
      <c r="O705" s="37"/>
      <c r="P705" s="410"/>
      <c r="Q705" s="410">
        <v>0</v>
      </c>
      <c r="R705" s="410" t="s">
        <v>153</v>
      </c>
      <c r="S705" s="37"/>
      <c r="T705" s="512"/>
      <c r="U705" s="513"/>
      <c r="V705" s="410"/>
      <c r="W705" s="57" t="s">
        <v>4943</v>
      </c>
      <c r="X705" s="57" t="s">
        <v>4943</v>
      </c>
      <c r="Y705" s="432">
        <v>0</v>
      </c>
      <c r="Z705" s="432">
        <v>0</v>
      </c>
      <c r="AA705" s="410"/>
      <c r="AB705" s="410"/>
      <c r="AC705" s="37"/>
      <c r="AD705" s="37"/>
      <c r="AE705" s="37">
        <v>0</v>
      </c>
      <c r="AF705" s="37"/>
      <c r="AG705" s="37"/>
      <c r="AH705" s="37"/>
      <c r="AI705" s="37"/>
      <c r="AJ705" s="37"/>
      <c r="AK705" s="420"/>
      <c r="AL705" s="420"/>
      <c r="AM705" s="420"/>
      <c r="AN705" s="37"/>
      <c r="AO705" s="37"/>
      <c r="AP705" s="37"/>
      <c r="AQ705" s="37" t="s">
        <v>2664</v>
      </c>
      <c r="AR705" s="423"/>
    </row>
    <row r="706" spans="1:44" ht="15" customHeight="1">
      <c r="A706" s="49">
        <v>3010207</v>
      </c>
      <c r="B706" s="5" t="s">
        <v>3638</v>
      </c>
      <c r="C706" s="224" t="s">
        <v>4944</v>
      </c>
      <c r="D706" s="37" t="s">
        <v>2601</v>
      </c>
      <c r="E706" s="37"/>
      <c r="F706" s="36">
        <v>6</v>
      </c>
      <c r="G706" s="48">
        <v>8</v>
      </c>
      <c r="H706" s="37" t="s">
        <v>136</v>
      </c>
      <c r="I706" s="5" t="s">
        <v>3640</v>
      </c>
      <c r="J706" s="37"/>
      <c r="K706" s="509"/>
      <c r="L706" s="408" t="s">
        <v>2666</v>
      </c>
      <c r="M706" s="409"/>
      <c r="N706" s="409"/>
      <c r="O706" s="37"/>
      <c r="P706" s="410"/>
      <c r="Q706" s="410">
        <v>0</v>
      </c>
      <c r="R706" s="410" t="s">
        <v>153</v>
      </c>
      <c r="S706" s="37">
        <v>3010205</v>
      </c>
      <c r="T706" s="514"/>
      <c r="U706" s="515"/>
      <c r="V706" s="410" t="s">
        <v>582</v>
      </c>
      <c r="W706" s="57" t="s">
        <v>4939</v>
      </c>
      <c r="X706" s="57" t="s">
        <v>4939</v>
      </c>
      <c r="Y706" s="457">
        <v>0</v>
      </c>
      <c r="Z706" s="457">
        <v>0</v>
      </c>
      <c r="AA706" s="410"/>
      <c r="AB706" s="410"/>
      <c r="AC706" s="37"/>
      <c r="AD706" s="37"/>
      <c r="AE706" s="37">
        <v>0</v>
      </c>
      <c r="AF706" s="37"/>
      <c r="AG706" s="37"/>
      <c r="AH706" s="37"/>
      <c r="AI706" s="37"/>
      <c r="AJ706" s="37"/>
      <c r="AK706" s="420"/>
      <c r="AL706" s="420"/>
      <c r="AM706" s="420"/>
      <c r="AN706" s="37"/>
      <c r="AO706" s="37"/>
      <c r="AP706" s="37"/>
      <c r="AQ706" s="37" t="s">
        <v>2667</v>
      </c>
      <c r="AR706" s="423"/>
    </row>
    <row r="707" spans="1:44" ht="15" customHeight="1">
      <c r="A707" s="49">
        <v>3010208</v>
      </c>
      <c r="B707" s="5" t="s">
        <v>3638</v>
      </c>
      <c r="C707" s="224" t="s">
        <v>4945</v>
      </c>
      <c r="D707" s="37" t="s">
        <v>2601</v>
      </c>
      <c r="E707" s="37"/>
      <c r="F707" s="36">
        <v>7</v>
      </c>
      <c r="G707" s="47">
        <v>8</v>
      </c>
      <c r="H707" s="37" t="s">
        <v>136</v>
      </c>
      <c r="I707" s="5" t="s">
        <v>3640</v>
      </c>
      <c r="J707" s="37"/>
      <c r="K707" s="509"/>
      <c r="L707" s="408" t="s">
        <v>2669</v>
      </c>
      <c r="M707" s="409"/>
      <c r="N707" s="409"/>
      <c r="O707" s="37"/>
      <c r="P707" s="410"/>
      <c r="Q707" s="410">
        <v>0</v>
      </c>
      <c r="R707" s="410" t="s">
        <v>153</v>
      </c>
      <c r="S707" s="37">
        <v>3010206</v>
      </c>
      <c r="T707" s="514"/>
      <c r="U707" s="515"/>
      <c r="V707" s="410" t="s">
        <v>582</v>
      </c>
      <c r="W707" s="57" t="s">
        <v>4946</v>
      </c>
      <c r="X707" s="57" t="s">
        <v>4946</v>
      </c>
      <c r="Y707" s="457">
        <v>0</v>
      </c>
      <c r="Z707" s="457">
        <v>0</v>
      </c>
      <c r="AA707" s="410"/>
      <c r="AB707" s="410"/>
      <c r="AC707" s="37"/>
      <c r="AD707" s="37"/>
      <c r="AE707" s="37">
        <v>0</v>
      </c>
      <c r="AF707" s="37"/>
      <c r="AG707" s="37"/>
      <c r="AH707" s="37"/>
      <c r="AI707" s="37"/>
      <c r="AJ707" s="37"/>
      <c r="AK707" s="420"/>
      <c r="AL707" s="420"/>
      <c r="AM707" s="420"/>
      <c r="AN707" s="37"/>
      <c r="AO707" s="37"/>
      <c r="AP707" s="37"/>
      <c r="AQ707" s="37" t="s">
        <v>2671</v>
      </c>
      <c r="AR707" s="423"/>
    </row>
    <row r="708" spans="1:44" ht="15" customHeight="1">
      <c r="A708" s="3">
        <v>3010209</v>
      </c>
      <c r="B708" s="5" t="s">
        <v>3638</v>
      </c>
      <c r="C708" s="224" t="s">
        <v>4947</v>
      </c>
      <c r="D708" s="3" t="s">
        <v>2601</v>
      </c>
      <c r="E708" s="3"/>
      <c r="F708" s="3">
        <v>8</v>
      </c>
      <c r="G708" s="48">
        <v>8</v>
      </c>
      <c r="H708" s="3" t="s">
        <v>136</v>
      </c>
      <c r="I708" s="5" t="s">
        <v>3640</v>
      </c>
      <c r="J708" s="3"/>
      <c r="K708" s="3"/>
      <c r="L708" s="236"/>
      <c r="M708" s="99"/>
      <c r="N708" s="99"/>
      <c r="O708" s="236"/>
      <c r="P708" s="22"/>
      <c r="Q708" s="22">
        <v>0</v>
      </c>
      <c r="R708" s="22" t="s">
        <v>153</v>
      </c>
      <c r="S708" s="3"/>
      <c r="T708" s="260"/>
      <c r="U708" s="261"/>
      <c r="V708" s="22"/>
      <c r="W708" s="57" t="s">
        <v>4948</v>
      </c>
      <c r="X708" s="57" t="s">
        <v>4948</v>
      </c>
      <c r="Y708" s="22"/>
      <c r="Z708" s="22"/>
      <c r="AA708" s="22"/>
      <c r="AB708" s="22" t="s">
        <v>114</v>
      </c>
      <c r="AC708" s="3"/>
      <c r="AD708" s="3"/>
      <c r="AE708" s="3">
        <v>0</v>
      </c>
      <c r="AF708" s="3">
        <v>0</v>
      </c>
      <c r="AG708" s="3">
        <v>0</v>
      </c>
      <c r="AH708" s="3"/>
      <c r="AI708" s="3">
        <v>0</v>
      </c>
      <c r="AJ708" s="3">
        <v>0</v>
      </c>
      <c r="AK708" s="3">
        <v>0</v>
      </c>
      <c r="AL708" s="3"/>
      <c r="AM708" s="3"/>
      <c r="AN708" s="3"/>
      <c r="AO708" s="3"/>
      <c r="AP708" s="3"/>
      <c r="AQ708" s="3" t="s">
        <v>2652</v>
      </c>
      <c r="AR708" s="281"/>
    </row>
    <row r="709" spans="1:44" ht="15" customHeight="1">
      <c r="A709" s="3">
        <v>3010210</v>
      </c>
      <c r="B709" s="5" t="s">
        <v>3638</v>
      </c>
      <c r="C709" s="224" t="s">
        <v>4949</v>
      </c>
      <c r="D709" s="3" t="s">
        <v>2601</v>
      </c>
      <c r="E709" s="3"/>
      <c r="F709" s="3">
        <v>9</v>
      </c>
      <c r="G709" s="47">
        <v>8</v>
      </c>
      <c r="H709" s="3" t="s">
        <v>136</v>
      </c>
      <c r="I709" s="5" t="s">
        <v>3640</v>
      </c>
      <c r="J709" s="3"/>
      <c r="K709" s="3"/>
      <c r="L709" s="236"/>
      <c r="M709" s="99"/>
      <c r="N709" s="99"/>
      <c r="O709" s="236"/>
      <c r="P709" s="22"/>
      <c r="Q709" s="22">
        <v>0</v>
      </c>
      <c r="R709" s="22" t="s">
        <v>153</v>
      </c>
      <c r="S709" s="3"/>
      <c r="T709" s="260"/>
      <c r="U709" s="261"/>
      <c r="V709" s="22"/>
      <c r="W709" s="57" t="s">
        <v>4943</v>
      </c>
      <c r="X709" s="57" t="s">
        <v>4943</v>
      </c>
      <c r="Y709" s="22"/>
      <c r="Z709" s="22"/>
      <c r="AA709" s="22"/>
      <c r="AB709" s="22" t="s">
        <v>114</v>
      </c>
      <c r="AC709" s="3"/>
      <c r="AD709" s="3"/>
      <c r="AE709" s="3">
        <v>0</v>
      </c>
      <c r="AF709" s="3">
        <v>0</v>
      </c>
      <c r="AG709" s="3">
        <v>0</v>
      </c>
      <c r="AH709" s="3"/>
      <c r="AI709" s="3">
        <v>0</v>
      </c>
      <c r="AJ709" s="3">
        <v>0</v>
      </c>
      <c r="AK709" s="3">
        <v>0</v>
      </c>
      <c r="AL709" s="3"/>
      <c r="AM709" s="3"/>
      <c r="AN709" s="3"/>
      <c r="AO709" s="3"/>
      <c r="AP709" s="3"/>
      <c r="AQ709" s="282" t="str">
        <f>"tricks/"&amp;A709</f>
        <v>tricks/3010210</v>
      </c>
    </row>
    <row r="710" spans="1:44" ht="15" customHeight="1">
      <c r="A710" s="3">
        <v>3010211</v>
      </c>
      <c r="B710" s="5" t="s">
        <v>3638</v>
      </c>
      <c r="C710" s="224" t="s">
        <v>4950</v>
      </c>
      <c r="D710" s="3" t="s">
        <v>2601</v>
      </c>
      <c r="E710" s="3"/>
      <c r="F710" s="3">
        <v>10</v>
      </c>
      <c r="G710" s="48">
        <v>8</v>
      </c>
      <c r="H710" s="3" t="s">
        <v>136</v>
      </c>
      <c r="I710" s="5" t="s">
        <v>3640</v>
      </c>
      <c r="J710" s="3"/>
      <c r="K710" s="3"/>
      <c r="L710" s="236"/>
      <c r="M710" s="99"/>
      <c r="N710" s="99"/>
      <c r="O710" s="236"/>
      <c r="P710" s="22"/>
      <c r="Q710" s="22">
        <v>0</v>
      </c>
      <c r="R710" s="22" t="s">
        <v>153</v>
      </c>
      <c r="S710" s="3"/>
      <c r="T710" s="260"/>
      <c r="U710" s="261"/>
      <c r="V710" s="22"/>
      <c r="W710" s="57" t="s">
        <v>4939</v>
      </c>
      <c r="X710" s="57" t="s">
        <v>4939</v>
      </c>
      <c r="Y710" s="22"/>
      <c r="Z710" s="22"/>
      <c r="AA710" s="22"/>
      <c r="AB710" s="22" t="s">
        <v>114</v>
      </c>
      <c r="AC710" s="3"/>
      <c r="AD710" s="3"/>
      <c r="AE710" s="3">
        <v>0</v>
      </c>
      <c r="AF710" s="3">
        <v>0</v>
      </c>
      <c r="AG710" s="3">
        <v>0</v>
      </c>
      <c r="AH710" s="3"/>
      <c r="AI710" s="3">
        <v>0</v>
      </c>
      <c r="AJ710" s="3">
        <v>0</v>
      </c>
      <c r="AK710" s="3">
        <v>0</v>
      </c>
      <c r="AL710" s="3"/>
      <c r="AM710" s="3"/>
      <c r="AN710" s="3"/>
      <c r="AO710" s="3"/>
      <c r="AP710" s="3"/>
      <c r="AQ710" s="282" t="str">
        <f>"tricks/"&amp;A710</f>
        <v>tricks/3010211</v>
      </c>
    </row>
    <row r="711" spans="1:44" ht="15" customHeight="1">
      <c r="A711" s="28">
        <v>3010301</v>
      </c>
      <c r="B711" s="5" t="s">
        <v>3638</v>
      </c>
      <c r="C711" s="224" t="s">
        <v>4951</v>
      </c>
      <c r="D711" s="28" t="s">
        <v>2601</v>
      </c>
      <c r="E711" s="28"/>
      <c r="F711" s="36">
        <v>1</v>
      </c>
      <c r="G711" s="47">
        <v>8</v>
      </c>
      <c r="H711" s="28" t="s">
        <v>82</v>
      </c>
      <c r="I711" s="5" t="s">
        <v>3640</v>
      </c>
      <c r="J711" s="28"/>
      <c r="K711" s="300"/>
      <c r="L711" s="473" t="s">
        <v>2678</v>
      </c>
      <c r="M711" s="301"/>
      <c r="N711" s="301"/>
      <c r="O711" s="28"/>
      <c r="P711" s="302"/>
      <c r="Q711" s="302">
        <v>0</v>
      </c>
      <c r="R711" s="302" t="s">
        <v>153</v>
      </c>
      <c r="S711" s="28">
        <v>3010301</v>
      </c>
      <c r="T711" s="526"/>
      <c r="U711" s="527"/>
      <c r="V711" s="302" t="s">
        <v>582</v>
      </c>
      <c r="W711" s="57" t="s">
        <v>4952</v>
      </c>
      <c r="X711" s="57" t="s">
        <v>4952</v>
      </c>
      <c r="Y711" s="528">
        <v>0</v>
      </c>
      <c r="Z711" s="528">
        <v>0</v>
      </c>
      <c r="AA711" s="302"/>
      <c r="AB711" s="302"/>
      <c r="AC711" s="28"/>
      <c r="AD711" s="28"/>
      <c r="AE711" s="28">
        <v>0</v>
      </c>
      <c r="AF711" s="28"/>
      <c r="AG711" s="28"/>
      <c r="AH711" s="28"/>
      <c r="AI711" s="28"/>
      <c r="AJ711" s="28"/>
      <c r="AK711" s="328"/>
      <c r="AL711" s="328"/>
      <c r="AM711" s="328"/>
      <c r="AN711" s="43"/>
      <c r="AO711" s="28"/>
      <c r="AP711" s="28"/>
      <c r="AQ711" s="28" t="s">
        <v>2680</v>
      </c>
      <c r="AR711" s="332"/>
    </row>
    <row r="712" spans="1:44" ht="15" customHeight="1">
      <c r="A712" s="28">
        <v>3010302</v>
      </c>
      <c r="B712" s="5" t="s">
        <v>3638</v>
      </c>
      <c r="C712" s="224" t="s">
        <v>4953</v>
      </c>
      <c r="D712" s="28" t="s">
        <v>2601</v>
      </c>
      <c r="E712" s="28"/>
      <c r="F712" s="36">
        <v>1</v>
      </c>
      <c r="G712" s="48">
        <v>8</v>
      </c>
      <c r="H712" s="28" t="s">
        <v>136</v>
      </c>
      <c r="I712" s="5" t="s">
        <v>3640</v>
      </c>
      <c r="J712" s="28"/>
      <c r="K712" s="28"/>
      <c r="L712" s="473" t="s">
        <v>2650</v>
      </c>
      <c r="M712" s="301"/>
      <c r="N712" s="301"/>
      <c r="O712" s="303"/>
      <c r="P712" s="302"/>
      <c r="Q712" s="302">
        <v>0</v>
      </c>
      <c r="R712" s="302" t="s">
        <v>153</v>
      </c>
      <c r="S712" s="28">
        <v>3010302</v>
      </c>
      <c r="T712" s="319"/>
      <c r="U712" s="320"/>
      <c r="V712" s="302" t="s">
        <v>582</v>
      </c>
      <c r="W712" s="57" t="s">
        <v>4954</v>
      </c>
      <c r="X712" s="57" t="s">
        <v>4954</v>
      </c>
      <c r="Y712" s="302">
        <v>0</v>
      </c>
      <c r="Z712" s="302">
        <v>0</v>
      </c>
      <c r="AA712" s="302"/>
      <c r="AB712" s="302"/>
      <c r="AC712" s="28"/>
      <c r="AD712" s="28"/>
      <c r="AE712" s="28"/>
      <c r="AF712" s="28"/>
      <c r="AG712" s="28"/>
      <c r="AH712" s="28"/>
      <c r="AI712" s="28"/>
      <c r="AJ712" s="28"/>
      <c r="AK712" s="328"/>
      <c r="AL712" s="328"/>
      <c r="AM712" s="328"/>
      <c r="AN712" s="28"/>
      <c r="AO712" s="28"/>
      <c r="AP712" s="28"/>
      <c r="AQ712" s="28" t="s">
        <v>2683</v>
      </c>
      <c r="AR712" s="332"/>
    </row>
    <row r="713" spans="1:44" ht="15" customHeight="1">
      <c r="A713" s="28">
        <v>3010303</v>
      </c>
      <c r="B713" s="5" t="s">
        <v>3638</v>
      </c>
      <c r="C713" s="224" t="s">
        <v>4955</v>
      </c>
      <c r="D713" s="28" t="s">
        <v>2601</v>
      </c>
      <c r="E713" s="28"/>
      <c r="F713" s="36">
        <v>2</v>
      </c>
      <c r="G713" s="47">
        <v>8</v>
      </c>
      <c r="H713" s="28" t="s">
        <v>136</v>
      </c>
      <c r="I713" s="5" t="s">
        <v>3640</v>
      </c>
      <c r="J713" s="28"/>
      <c r="K713" s="28"/>
      <c r="L713" s="473" t="s">
        <v>2685</v>
      </c>
      <c r="M713" s="301"/>
      <c r="N713" s="301"/>
      <c r="O713" s="303"/>
      <c r="P713" s="302"/>
      <c r="Q713" s="302">
        <v>0</v>
      </c>
      <c r="R713" s="302" t="s">
        <v>153</v>
      </c>
      <c r="S713" s="28">
        <v>3010303</v>
      </c>
      <c r="T713" s="319"/>
      <c r="U713" s="320"/>
      <c r="V713" s="302" t="s">
        <v>582</v>
      </c>
      <c r="W713" s="57" t="s">
        <v>4956</v>
      </c>
      <c r="X713" s="57" t="s">
        <v>4956</v>
      </c>
      <c r="Y713" s="302">
        <v>0</v>
      </c>
      <c r="Z713" s="302">
        <v>0</v>
      </c>
      <c r="AA713" s="302"/>
      <c r="AB713" s="302"/>
      <c r="AC713" s="28"/>
      <c r="AD713" s="28"/>
      <c r="AE713" s="28"/>
      <c r="AF713" s="28"/>
      <c r="AG713" s="28"/>
      <c r="AH713" s="28"/>
      <c r="AI713" s="28"/>
      <c r="AJ713" s="28"/>
      <c r="AK713" s="328"/>
      <c r="AL713" s="328"/>
      <c r="AM713" s="328"/>
      <c r="AN713" s="28"/>
      <c r="AO713" s="28"/>
      <c r="AP713" s="28"/>
      <c r="AQ713" s="28" t="s">
        <v>2687</v>
      </c>
      <c r="AR713" s="332"/>
    </row>
    <row r="714" spans="1:44" ht="15" customHeight="1">
      <c r="A714" s="28">
        <v>3010304</v>
      </c>
      <c r="B714" s="5" t="s">
        <v>3638</v>
      </c>
      <c r="C714" s="224" t="s">
        <v>4957</v>
      </c>
      <c r="D714" s="28" t="s">
        <v>2601</v>
      </c>
      <c r="E714" s="28"/>
      <c r="F714" s="36">
        <v>3</v>
      </c>
      <c r="G714" s="48">
        <v>8</v>
      </c>
      <c r="H714" s="28" t="s">
        <v>136</v>
      </c>
      <c r="I714" s="5" t="s">
        <v>3640</v>
      </c>
      <c r="J714" s="28"/>
      <c r="K714" s="28"/>
      <c r="L714" s="473" t="s">
        <v>2658</v>
      </c>
      <c r="M714" s="301"/>
      <c r="N714" s="301"/>
      <c r="O714" s="303"/>
      <c r="P714" s="302"/>
      <c r="Q714" s="302">
        <v>0</v>
      </c>
      <c r="R714" s="302" t="s">
        <v>153</v>
      </c>
      <c r="S714" s="28">
        <v>3010304</v>
      </c>
      <c r="T714" s="319"/>
      <c r="U714" s="320"/>
      <c r="V714" s="302" t="s">
        <v>582</v>
      </c>
      <c r="W714" s="57" t="s">
        <v>4958</v>
      </c>
      <c r="X714" s="57" t="s">
        <v>4958</v>
      </c>
      <c r="Y714" s="302">
        <v>0</v>
      </c>
      <c r="Z714" s="302">
        <v>0</v>
      </c>
      <c r="AA714" s="302"/>
      <c r="AB714" s="302"/>
      <c r="AC714" s="28"/>
      <c r="AD714" s="28"/>
      <c r="AE714" s="28"/>
      <c r="AF714" s="28"/>
      <c r="AG714" s="28"/>
      <c r="AH714" s="28"/>
      <c r="AI714" s="28"/>
      <c r="AJ714" s="28"/>
      <c r="AK714" s="328"/>
      <c r="AL714" s="328"/>
      <c r="AM714" s="328"/>
      <c r="AN714" s="28"/>
      <c r="AO714" s="28"/>
      <c r="AP714" s="28"/>
      <c r="AQ714" s="28" t="s">
        <v>2690</v>
      </c>
      <c r="AR714" s="332"/>
    </row>
    <row r="715" spans="1:44" ht="15" customHeight="1">
      <c r="A715" s="28">
        <v>3010305</v>
      </c>
      <c r="B715" s="5" t="s">
        <v>3638</v>
      </c>
      <c r="C715" s="224" t="s">
        <v>4959</v>
      </c>
      <c r="D715" s="28" t="s">
        <v>2601</v>
      </c>
      <c r="E715" s="28"/>
      <c r="F715" s="36">
        <v>4</v>
      </c>
      <c r="G715" s="47">
        <v>8</v>
      </c>
      <c r="H715" s="28" t="s">
        <v>136</v>
      </c>
      <c r="I715" s="5" t="s">
        <v>3640</v>
      </c>
      <c r="J715" s="28"/>
      <c r="K715" s="28"/>
      <c r="L715" s="473" t="s">
        <v>2692</v>
      </c>
      <c r="M715" s="301"/>
      <c r="N715" s="301"/>
      <c r="O715" s="303"/>
      <c r="P715" s="302"/>
      <c r="Q715" s="302">
        <v>0</v>
      </c>
      <c r="R715" s="302" t="s">
        <v>153</v>
      </c>
      <c r="S715" s="28">
        <v>3010305</v>
      </c>
      <c r="T715" s="319"/>
      <c r="U715" s="320"/>
      <c r="V715" s="302" t="s">
        <v>582</v>
      </c>
      <c r="W715" s="57" t="s">
        <v>4960</v>
      </c>
      <c r="X715" s="57" t="s">
        <v>4960</v>
      </c>
      <c r="Y715" s="302">
        <v>0</v>
      </c>
      <c r="Z715" s="302">
        <v>0</v>
      </c>
      <c r="AA715" s="302"/>
      <c r="AB715" s="302"/>
      <c r="AC715" s="28"/>
      <c r="AD715" s="28"/>
      <c r="AE715" s="28"/>
      <c r="AF715" s="28"/>
      <c r="AG715" s="28"/>
      <c r="AH715" s="28"/>
      <c r="AI715" s="28"/>
      <c r="AJ715" s="28"/>
      <c r="AK715" s="328"/>
      <c r="AL715" s="328"/>
      <c r="AM715" s="328"/>
      <c r="AN715" s="28"/>
      <c r="AO715" s="28"/>
      <c r="AP715" s="28"/>
      <c r="AQ715" s="28" t="s">
        <v>2694</v>
      </c>
      <c r="AR715" s="332"/>
    </row>
    <row r="716" spans="1:44" ht="15" customHeight="1">
      <c r="A716" s="28">
        <v>3010306</v>
      </c>
      <c r="B716" s="5" t="s">
        <v>3638</v>
      </c>
      <c r="C716" s="224" t="s">
        <v>4961</v>
      </c>
      <c r="D716" s="28" t="s">
        <v>2601</v>
      </c>
      <c r="E716" s="28"/>
      <c r="F716" s="36">
        <v>5</v>
      </c>
      <c r="G716" s="48">
        <v>8</v>
      </c>
      <c r="H716" s="28" t="s">
        <v>136</v>
      </c>
      <c r="I716" s="5" t="s">
        <v>3640</v>
      </c>
      <c r="J716" s="28"/>
      <c r="K716" s="28"/>
      <c r="L716" s="473" t="s">
        <v>2696</v>
      </c>
      <c r="M716" s="301"/>
      <c r="N716" s="301"/>
      <c r="O716" s="303"/>
      <c r="P716" s="302"/>
      <c r="Q716" s="302">
        <v>0</v>
      </c>
      <c r="R716" s="302" t="s">
        <v>153</v>
      </c>
      <c r="S716" s="28"/>
      <c r="T716" s="319"/>
      <c r="U716" s="320"/>
      <c r="V716" s="302"/>
      <c r="W716" s="57" t="s">
        <v>4962</v>
      </c>
      <c r="X716" s="57" t="s">
        <v>4962</v>
      </c>
      <c r="Y716" s="302">
        <v>0</v>
      </c>
      <c r="Z716" s="302">
        <v>0</v>
      </c>
      <c r="AA716" s="302"/>
      <c r="AB716" s="302"/>
      <c r="AC716" s="28"/>
      <c r="AD716" s="28"/>
      <c r="AE716" s="28"/>
      <c r="AF716" s="28"/>
      <c r="AG716" s="28"/>
      <c r="AH716" s="28"/>
      <c r="AI716" s="28"/>
      <c r="AJ716" s="28"/>
      <c r="AK716" s="328"/>
      <c r="AL716" s="328"/>
      <c r="AM716" s="328"/>
      <c r="AN716" s="28"/>
      <c r="AO716" s="28"/>
      <c r="AP716" s="28"/>
      <c r="AQ716" s="28" t="s">
        <v>2698</v>
      </c>
      <c r="AR716" s="332"/>
    </row>
    <row r="717" spans="1:44" ht="15" customHeight="1">
      <c r="A717" s="28">
        <v>3010307</v>
      </c>
      <c r="B717" s="5" t="s">
        <v>3638</v>
      </c>
      <c r="C717" s="224" t="s">
        <v>4963</v>
      </c>
      <c r="D717" s="28" t="s">
        <v>2601</v>
      </c>
      <c r="E717" s="28"/>
      <c r="F717" s="36">
        <v>6</v>
      </c>
      <c r="G717" s="47">
        <v>8</v>
      </c>
      <c r="H717" s="28" t="s">
        <v>136</v>
      </c>
      <c r="I717" s="5" t="s">
        <v>3640</v>
      </c>
      <c r="J717" s="28"/>
      <c r="K717" s="28"/>
      <c r="L717" s="473" t="s">
        <v>2700</v>
      </c>
      <c r="M717" s="301"/>
      <c r="N717" s="301"/>
      <c r="O717" s="303"/>
      <c r="P717" s="302"/>
      <c r="Q717" s="302">
        <v>0</v>
      </c>
      <c r="R717" s="302" t="s">
        <v>153</v>
      </c>
      <c r="S717" s="28"/>
      <c r="T717" s="319"/>
      <c r="U717" s="320"/>
      <c r="V717" s="302"/>
      <c r="W717" s="57" t="s">
        <v>4964</v>
      </c>
      <c r="X717" s="57" t="s">
        <v>4964</v>
      </c>
      <c r="Y717" s="302">
        <v>0</v>
      </c>
      <c r="Z717" s="302">
        <v>0</v>
      </c>
      <c r="AA717" s="302"/>
      <c r="AB717" s="302"/>
      <c r="AC717" s="28"/>
      <c r="AD717" s="28"/>
      <c r="AE717" s="28"/>
      <c r="AF717" s="28"/>
      <c r="AG717" s="28"/>
      <c r="AH717" s="28"/>
      <c r="AI717" s="28"/>
      <c r="AJ717" s="28"/>
      <c r="AK717" s="328"/>
      <c r="AL717" s="328"/>
      <c r="AM717" s="328"/>
      <c r="AN717" s="28"/>
      <c r="AO717" s="28"/>
      <c r="AP717" s="28"/>
      <c r="AQ717" s="28" t="s">
        <v>2702</v>
      </c>
      <c r="AR717" s="332"/>
    </row>
    <row r="718" spans="1:44" ht="15" customHeight="1">
      <c r="A718" s="28">
        <v>3010308</v>
      </c>
      <c r="B718" s="5" t="s">
        <v>3638</v>
      </c>
      <c r="C718" s="224" t="s">
        <v>4965</v>
      </c>
      <c r="D718" s="28" t="s">
        <v>2601</v>
      </c>
      <c r="E718" s="28"/>
      <c r="F718" s="36">
        <v>7</v>
      </c>
      <c r="G718" s="48">
        <v>8</v>
      </c>
      <c r="H718" s="28" t="s">
        <v>136</v>
      </c>
      <c r="I718" s="5" t="s">
        <v>3640</v>
      </c>
      <c r="J718" s="28"/>
      <c r="K718" s="28"/>
      <c r="L718" s="473" t="s">
        <v>2704</v>
      </c>
      <c r="M718" s="301"/>
      <c r="N718" s="301"/>
      <c r="O718" s="303"/>
      <c r="P718" s="302"/>
      <c r="Q718" s="302">
        <v>0</v>
      </c>
      <c r="R718" s="302" t="s">
        <v>153</v>
      </c>
      <c r="S718" s="28">
        <v>3010306</v>
      </c>
      <c r="T718" s="319"/>
      <c r="U718" s="320"/>
      <c r="V718" s="302" t="s">
        <v>582</v>
      </c>
      <c r="W718" s="57" t="s">
        <v>4966</v>
      </c>
      <c r="X718" s="57" t="s">
        <v>4966</v>
      </c>
      <c r="Y718" s="302">
        <v>0</v>
      </c>
      <c r="Z718" s="302">
        <v>0</v>
      </c>
      <c r="AA718" s="302"/>
      <c r="AB718" s="302"/>
      <c r="AC718" s="28"/>
      <c r="AD718" s="28"/>
      <c r="AE718" s="28"/>
      <c r="AF718" s="28"/>
      <c r="AG718" s="28"/>
      <c r="AH718" s="28"/>
      <c r="AI718" s="28"/>
      <c r="AJ718" s="28"/>
      <c r="AK718" s="328"/>
      <c r="AL718" s="328"/>
      <c r="AM718" s="328"/>
      <c r="AN718" s="28"/>
      <c r="AO718" s="28"/>
      <c r="AP718" s="28"/>
      <c r="AQ718" s="28" t="s">
        <v>2706</v>
      </c>
      <c r="AR718" s="332"/>
    </row>
    <row r="719" spans="1:44" ht="15" customHeight="1">
      <c r="A719" s="3">
        <v>3010309</v>
      </c>
      <c r="B719" s="5" t="s">
        <v>3638</v>
      </c>
      <c r="C719" s="224" t="s">
        <v>4967</v>
      </c>
      <c r="D719" s="3" t="s">
        <v>81</v>
      </c>
      <c r="E719" s="3">
        <v>0</v>
      </c>
      <c r="F719" s="3">
        <v>8</v>
      </c>
      <c r="G719" s="47">
        <v>8</v>
      </c>
      <c r="H719" s="3" t="s">
        <v>136</v>
      </c>
      <c r="I719" s="5" t="s">
        <v>3640</v>
      </c>
      <c r="J719" s="3"/>
      <c r="K719" s="3"/>
      <c r="L719" s="236"/>
      <c r="M719" s="99"/>
      <c r="N719" s="99"/>
      <c r="O719" s="236"/>
      <c r="P719" s="22"/>
      <c r="Q719" s="22">
        <v>0</v>
      </c>
      <c r="R719" s="22" t="s">
        <v>153</v>
      </c>
      <c r="S719" s="3"/>
      <c r="T719" s="260"/>
      <c r="U719" s="261"/>
      <c r="V719" s="22"/>
      <c r="W719" s="57" t="s">
        <v>4948</v>
      </c>
      <c r="X719" s="57" t="s">
        <v>4948</v>
      </c>
      <c r="Y719" s="22"/>
      <c r="Z719" s="22"/>
      <c r="AA719" s="22"/>
      <c r="AB719" s="22" t="s">
        <v>114</v>
      </c>
      <c r="AC719" s="3"/>
      <c r="AD719" s="3"/>
      <c r="AE719" s="3">
        <v>0</v>
      </c>
      <c r="AF719" s="3">
        <v>0</v>
      </c>
      <c r="AG719" s="3">
        <v>0</v>
      </c>
      <c r="AH719" s="3"/>
      <c r="AI719" s="3">
        <v>0</v>
      </c>
      <c r="AJ719" s="3">
        <v>0</v>
      </c>
      <c r="AK719" s="3">
        <v>0</v>
      </c>
      <c r="AL719" s="3"/>
      <c r="AM719" s="3"/>
      <c r="AN719" s="3"/>
      <c r="AO719" s="3"/>
      <c r="AP719" s="3"/>
      <c r="AQ719" s="3" t="s">
        <v>2687</v>
      </c>
      <c r="AR719" s="281"/>
    </row>
    <row r="720" spans="1:44" ht="15" customHeight="1">
      <c r="A720" s="7">
        <v>3010401</v>
      </c>
      <c r="B720" s="5" t="s">
        <v>3638</v>
      </c>
      <c r="C720" s="224" t="s">
        <v>4968</v>
      </c>
      <c r="D720" s="7" t="s">
        <v>2601</v>
      </c>
      <c r="E720" s="7"/>
      <c r="F720" s="36">
        <v>1</v>
      </c>
      <c r="G720" s="48">
        <v>8</v>
      </c>
      <c r="H720" s="7" t="s">
        <v>82</v>
      </c>
      <c r="I720" s="5" t="s">
        <v>3640</v>
      </c>
      <c r="J720" s="7"/>
      <c r="K720" s="7"/>
      <c r="L720" s="237" t="s">
        <v>2710</v>
      </c>
      <c r="M720" s="238"/>
      <c r="N720" s="378">
        <v>20</v>
      </c>
      <c r="O720" s="350"/>
      <c r="P720" s="239"/>
      <c r="Q720" s="239">
        <v>0</v>
      </c>
      <c r="R720" s="239" t="s">
        <v>153</v>
      </c>
      <c r="S720" s="7">
        <v>3010401</v>
      </c>
      <c r="T720" s="262"/>
      <c r="U720" s="263"/>
      <c r="V720" s="239" t="s">
        <v>582</v>
      </c>
      <c r="W720" s="57" t="s">
        <v>4969</v>
      </c>
      <c r="X720" s="57" t="s">
        <v>4969</v>
      </c>
      <c r="Y720" s="239">
        <v>0</v>
      </c>
      <c r="Z720" s="239">
        <v>0</v>
      </c>
      <c r="AA720" s="239"/>
      <c r="AB720" s="239"/>
      <c r="AC720" s="7"/>
      <c r="AD720" s="7"/>
      <c r="AE720" s="7">
        <v>2</v>
      </c>
      <c r="AF720" s="7"/>
      <c r="AG720" s="7">
        <v>30</v>
      </c>
      <c r="AH720" s="7"/>
      <c r="AI720" s="7"/>
      <c r="AJ720" s="7"/>
      <c r="AK720" s="273"/>
      <c r="AL720" s="273"/>
      <c r="AM720" s="273"/>
      <c r="AN720" s="43" t="s">
        <v>2712</v>
      </c>
      <c r="AO720" s="7"/>
      <c r="AP720" s="7"/>
      <c r="AQ720" s="7" t="s">
        <v>2713</v>
      </c>
      <c r="AR720" s="283"/>
    </row>
    <row r="721" spans="1:44" ht="15" customHeight="1">
      <c r="A721" s="7">
        <v>3010402</v>
      </c>
      <c r="B721" s="5" t="s">
        <v>3638</v>
      </c>
      <c r="C721" s="224" t="s">
        <v>4970</v>
      </c>
      <c r="D721" s="7" t="s">
        <v>2601</v>
      </c>
      <c r="E721" s="7"/>
      <c r="F721" s="36">
        <v>1</v>
      </c>
      <c r="G721" s="47">
        <v>8</v>
      </c>
      <c r="H721" s="7" t="s">
        <v>136</v>
      </c>
      <c r="I721" s="5" t="s">
        <v>3640</v>
      </c>
      <c r="J721" s="7"/>
      <c r="K721" s="7"/>
      <c r="L721" s="237" t="s">
        <v>2658</v>
      </c>
      <c r="M721" s="238"/>
      <c r="N721" s="238"/>
      <c r="O721" s="350"/>
      <c r="P721" s="239"/>
      <c r="Q721" s="239">
        <v>0</v>
      </c>
      <c r="R721" s="239" t="s">
        <v>153</v>
      </c>
      <c r="S721" s="7">
        <v>3010402</v>
      </c>
      <c r="T721" s="262"/>
      <c r="U721" s="263"/>
      <c r="V721" s="239" t="s">
        <v>582</v>
      </c>
      <c r="W721" s="57" t="s">
        <v>4971</v>
      </c>
      <c r="X721" s="57" t="s">
        <v>4971</v>
      </c>
      <c r="Y721" s="239">
        <v>0</v>
      </c>
      <c r="Z721" s="239">
        <v>0</v>
      </c>
      <c r="AA721" s="239"/>
      <c r="AB721" s="239"/>
      <c r="AC721" s="7"/>
      <c r="AD721" s="7"/>
      <c r="AE721" s="7">
        <v>0</v>
      </c>
      <c r="AF721" s="7"/>
      <c r="AG721" s="7"/>
      <c r="AH721" s="7"/>
      <c r="AI721" s="7"/>
      <c r="AJ721" s="7"/>
      <c r="AK721" s="273"/>
      <c r="AL721" s="273"/>
      <c r="AM721" s="273"/>
      <c r="AN721" s="7"/>
      <c r="AO721" s="7"/>
      <c r="AP721" s="7"/>
      <c r="AQ721" s="7" t="s">
        <v>2716</v>
      </c>
      <c r="AR721" s="283"/>
    </row>
    <row r="722" spans="1:44" ht="15" customHeight="1">
      <c r="A722" s="7">
        <v>3010403</v>
      </c>
      <c r="B722" s="5" t="s">
        <v>3638</v>
      </c>
      <c r="C722" s="224" t="s">
        <v>4972</v>
      </c>
      <c r="D722" s="7" t="s">
        <v>2601</v>
      </c>
      <c r="E722" s="7"/>
      <c r="F722" s="36">
        <v>2</v>
      </c>
      <c r="G722" s="48">
        <v>8</v>
      </c>
      <c r="H722" s="7" t="s">
        <v>136</v>
      </c>
      <c r="I722" s="5" t="s">
        <v>3640</v>
      </c>
      <c r="J722" s="7"/>
      <c r="K722" s="7"/>
      <c r="L722" s="237" t="s">
        <v>2718</v>
      </c>
      <c r="M722" s="238"/>
      <c r="N722" s="238"/>
      <c r="O722" s="350"/>
      <c r="P722" s="239"/>
      <c r="Q722" s="239"/>
      <c r="R722" s="239"/>
      <c r="S722" s="7"/>
      <c r="T722" s="262"/>
      <c r="U722" s="263"/>
      <c r="V722" s="239"/>
      <c r="W722" s="57" t="s">
        <v>4937</v>
      </c>
      <c r="X722" s="57" t="s">
        <v>4937</v>
      </c>
      <c r="Y722" s="239">
        <v>0</v>
      </c>
      <c r="Z722" s="239">
        <v>0</v>
      </c>
      <c r="AA722" s="239"/>
      <c r="AB722" s="239"/>
      <c r="AC722" s="7"/>
      <c r="AD722" s="7"/>
      <c r="AE722" s="7">
        <v>0</v>
      </c>
      <c r="AF722" s="7"/>
      <c r="AG722" s="7"/>
      <c r="AH722" s="7"/>
      <c r="AI722" s="7"/>
      <c r="AJ722" s="7"/>
      <c r="AK722" s="273"/>
      <c r="AL722" s="273"/>
      <c r="AM722" s="273"/>
      <c r="AN722" s="7"/>
      <c r="AO722" s="7"/>
      <c r="AP722" s="7"/>
      <c r="AQ722" s="7" t="s">
        <v>2720</v>
      </c>
      <c r="AR722" s="283"/>
    </row>
    <row r="723" spans="1:44" ht="15" customHeight="1">
      <c r="A723" s="7">
        <v>3010404</v>
      </c>
      <c r="B723" s="5" t="s">
        <v>3638</v>
      </c>
      <c r="C723" s="224" t="s">
        <v>4973</v>
      </c>
      <c r="D723" s="7" t="s">
        <v>2601</v>
      </c>
      <c r="E723" s="7"/>
      <c r="F723" s="36">
        <v>3</v>
      </c>
      <c r="G723" s="47">
        <v>8</v>
      </c>
      <c r="H723" s="7" t="s">
        <v>136</v>
      </c>
      <c r="I723" s="5" t="s">
        <v>3640</v>
      </c>
      <c r="J723" s="7"/>
      <c r="K723" s="7"/>
      <c r="L723" s="237" t="s">
        <v>2722</v>
      </c>
      <c r="M723" s="238"/>
      <c r="N723" s="238"/>
      <c r="O723" s="350"/>
      <c r="P723" s="239"/>
      <c r="Q723" s="239">
        <v>0</v>
      </c>
      <c r="R723" s="239" t="s">
        <v>153</v>
      </c>
      <c r="S723" s="7">
        <v>3010403</v>
      </c>
      <c r="T723" s="262"/>
      <c r="U723" s="263"/>
      <c r="V723" s="239" t="s">
        <v>582</v>
      </c>
      <c r="W723" s="57" t="s">
        <v>4974</v>
      </c>
      <c r="X723" s="57" t="s">
        <v>4974</v>
      </c>
      <c r="Y723" s="239">
        <v>0</v>
      </c>
      <c r="Z723" s="239">
        <v>0</v>
      </c>
      <c r="AA723" s="239"/>
      <c r="AB723" s="239"/>
      <c r="AC723" s="7"/>
      <c r="AD723" s="7"/>
      <c r="AE723" s="7">
        <v>0</v>
      </c>
      <c r="AF723" s="7"/>
      <c r="AG723" s="7"/>
      <c r="AH723" s="7"/>
      <c r="AI723" s="7"/>
      <c r="AJ723" s="7"/>
      <c r="AK723" s="273"/>
      <c r="AL723" s="273"/>
      <c r="AM723" s="273"/>
      <c r="AN723" s="7"/>
      <c r="AO723" s="7"/>
      <c r="AP723" s="7"/>
      <c r="AQ723" s="7" t="s">
        <v>2724</v>
      </c>
      <c r="AR723" s="283"/>
    </row>
    <row r="724" spans="1:44" ht="15" customHeight="1">
      <c r="A724" s="7">
        <v>3010405</v>
      </c>
      <c r="B724" s="5" t="s">
        <v>3638</v>
      </c>
      <c r="C724" s="224" t="s">
        <v>4975</v>
      </c>
      <c r="D724" s="7" t="s">
        <v>2601</v>
      </c>
      <c r="E724" s="7"/>
      <c r="F724" s="36">
        <v>4</v>
      </c>
      <c r="G724" s="48">
        <v>8</v>
      </c>
      <c r="H724" s="7" t="s">
        <v>136</v>
      </c>
      <c r="I724" s="5" t="s">
        <v>3640</v>
      </c>
      <c r="J724" s="7"/>
      <c r="K724" s="7"/>
      <c r="L724" s="237" t="s">
        <v>2726</v>
      </c>
      <c r="M724" s="238"/>
      <c r="N724" s="238"/>
      <c r="O724" s="350"/>
      <c r="P724" s="239"/>
      <c r="Q724" s="239"/>
      <c r="R724" s="239"/>
      <c r="S724" s="7"/>
      <c r="T724" s="262"/>
      <c r="U724" s="263"/>
      <c r="V724" s="239"/>
      <c r="W724" s="57" t="s">
        <v>4941</v>
      </c>
      <c r="X724" s="57" t="s">
        <v>4941</v>
      </c>
      <c r="Y724" s="239">
        <v>0</v>
      </c>
      <c r="Z724" s="239">
        <v>0</v>
      </c>
      <c r="AA724" s="239"/>
      <c r="AB724" s="239"/>
      <c r="AC724" s="7"/>
      <c r="AD724" s="7"/>
      <c r="AE724" s="7">
        <v>0</v>
      </c>
      <c r="AF724" s="7"/>
      <c r="AG724" s="7"/>
      <c r="AH724" s="7"/>
      <c r="AI724" s="7"/>
      <c r="AJ724" s="7"/>
      <c r="AK724" s="273"/>
      <c r="AL724" s="273"/>
      <c r="AM724" s="273"/>
      <c r="AN724" s="7"/>
      <c r="AO724" s="7"/>
      <c r="AP724" s="7"/>
      <c r="AQ724" s="7" t="s">
        <v>2728</v>
      </c>
      <c r="AR724" s="283"/>
    </row>
    <row r="725" spans="1:44" ht="15" customHeight="1">
      <c r="A725" s="7">
        <v>3010406</v>
      </c>
      <c r="B725" s="5" t="s">
        <v>3638</v>
      </c>
      <c r="C725" s="224" t="s">
        <v>4976</v>
      </c>
      <c r="D725" s="7" t="s">
        <v>2601</v>
      </c>
      <c r="E725" s="7"/>
      <c r="F725" s="36">
        <v>5</v>
      </c>
      <c r="G725" s="47">
        <v>8</v>
      </c>
      <c r="H725" s="7" t="s">
        <v>136</v>
      </c>
      <c r="I725" s="5" t="s">
        <v>3640</v>
      </c>
      <c r="J725" s="7"/>
      <c r="K725" s="7"/>
      <c r="L725" s="350" t="s">
        <v>2730</v>
      </c>
      <c r="M725" s="238"/>
      <c r="N725" s="238"/>
      <c r="O725" s="350"/>
      <c r="P725" s="239"/>
      <c r="Q725" s="239">
        <v>0</v>
      </c>
      <c r="R725" s="239" t="s">
        <v>153</v>
      </c>
      <c r="S725" s="7">
        <v>3010404</v>
      </c>
      <c r="T725" s="262"/>
      <c r="U725" s="263"/>
      <c r="V725" s="239" t="s">
        <v>582</v>
      </c>
      <c r="W725" s="57" t="s">
        <v>4977</v>
      </c>
      <c r="X725" s="57" t="s">
        <v>4977</v>
      </c>
      <c r="Y725" s="239">
        <v>0</v>
      </c>
      <c r="Z725" s="239">
        <v>0</v>
      </c>
      <c r="AA725" s="239"/>
      <c r="AB725" s="239"/>
      <c r="AC725" s="7"/>
      <c r="AD725" s="7"/>
      <c r="AE725" s="7">
        <v>0</v>
      </c>
      <c r="AF725" s="7"/>
      <c r="AG725" s="7"/>
      <c r="AH725" s="7"/>
      <c r="AI725" s="7"/>
      <c r="AJ725" s="7"/>
      <c r="AK725" s="273"/>
      <c r="AL725" s="273"/>
      <c r="AM725" s="273"/>
      <c r="AN725" s="7"/>
      <c r="AO725" s="7"/>
      <c r="AP725" s="7"/>
      <c r="AQ725" s="7" t="s">
        <v>2732</v>
      </c>
      <c r="AR725" s="283"/>
    </row>
    <row r="726" spans="1:44" ht="15" customHeight="1">
      <c r="A726" s="7">
        <v>3010407</v>
      </c>
      <c r="B726" s="5" t="s">
        <v>3638</v>
      </c>
      <c r="C726" s="224" t="s">
        <v>4978</v>
      </c>
      <c r="D726" s="7" t="s">
        <v>2601</v>
      </c>
      <c r="E726" s="7"/>
      <c r="F726" s="36">
        <v>6</v>
      </c>
      <c r="G726" s="48">
        <v>8</v>
      </c>
      <c r="H726" s="7" t="s">
        <v>136</v>
      </c>
      <c r="I726" s="5" t="s">
        <v>3640</v>
      </c>
      <c r="J726" s="7"/>
      <c r="K726" s="7"/>
      <c r="L726" s="350" t="s">
        <v>2734</v>
      </c>
      <c r="M726" s="238"/>
      <c r="N726" s="238"/>
      <c r="O726" s="350"/>
      <c r="P726" s="239"/>
      <c r="Q726" s="239">
        <v>0</v>
      </c>
      <c r="R726" s="239" t="s">
        <v>153</v>
      </c>
      <c r="S726" s="7">
        <v>3010405</v>
      </c>
      <c r="T726" s="262"/>
      <c r="U726" s="263"/>
      <c r="V726" s="239" t="s">
        <v>582</v>
      </c>
      <c r="W726" s="57" t="s">
        <v>4974</v>
      </c>
      <c r="X726" s="57" t="s">
        <v>4974</v>
      </c>
      <c r="Y726" s="239">
        <v>0</v>
      </c>
      <c r="Z726" s="239">
        <v>0</v>
      </c>
      <c r="AA726" s="239"/>
      <c r="AB726" s="239"/>
      <c r="AC726" s="7"/>
      <c r="AD726" s="7"/>
      <c r="AE726" s="7">
        <v>0</v>
      </c>
      <c r="AF726" s="7"/>
      <c r="AG726" s="7"/>
      <c r="AH726" s="7"/>
      <c r="AI726" s="7"/>
      <c r="AJ726" s="7"/>
      <c r="AK726" s="273"/>
      <c r="AL726" s="273"/>
      <c r="AM726" s="273"/>
      <c r="AN726" s="7"/>
      <c r="AO726" s="7"/>
      <c r="AP726" s="7"/>
      <c r="AQ726" s="7" t="s">
        <v>2735</v>
      </c>
      <c r="AR726" s="283"/>
    </row>
    <row r="727" spans="1:44" ht="15" customHeight="1">
      <c r="A727" s="7">
        <v>3010408</v>
      </c>
      <c r="B727" s="5" t="s">
        <v>3638</v>
      </c>
      <c r="C727" s="224" t="s">
        <v>4979</v>
      </c>
      <c r="D727" s="7" t="s">
        <v>2601</v>
      </c>
      <c r="E727" s="7"/>
      <c r="F727" s="36">
        <v>7</v>
      </c>
      <c r="G727" s="47">
        <v>8</v>
      </c>
      <c r="H727" s="7" t="s">
        <v>136</v>
      </c>
      <c r="I727" s="5" t="s">
        <v>3640</v>
      </c>
      <c r="J727" s="7"/>
      <c r="K727" s="7"/>
      <c r="L727" s="350" t="s">
        <v>2737</v>
      </c>
      <c r="M727" s="238"/>
      <c r="N727" s="238"/>
      <c r="O727" s="350"/>
      <c r="P727" s="239"/>
      <c r="Q727" s="239">
        <v>0</v>
      </c>
      <c r="R727" s="239" t="s">
        <v>153</v>
      </c>
      <c r="S727" s="7">
        <v>3010406</v>
      </c>
      <c r="T727" s="262"/>
      <c r="U727" s="263"/>
      <c r="V727" s="239" t="s">
        <v>582</v>
      </c>
      <c r="W727" s="57" t="s">
        <v>4980</v>
      </c>
      <c r="X727" s="57" t="s">
        <v>4980</v>
      </c>
      <c r="Y727" s="239">
        <v>0</v>
      </c>
      <c r="Z727" s="239">
        <v>0</v>
      </c>
      <c r="AA727" s="239"/>
      <c r="AB727" s="239"/>
      <c r="AC727" s="7"/>
      <c r="AD727" s="7"/>
      <c r="AE727" s="7">
        <v>0</v>
      </c>
      <c r="AF727" s="7"/>
      <c r="AG727" s="7"/>
      <c r="AH727" s="7"/>
      <c r="AI727" s="7"/>
      <c r="AJ727" s="7"/>
      <c r="AK727" s="273"/>
      <c r="AL727" s="273"/>
      <c r="AM727" s="273"/>
      <c r="AN727" s="7"/>
      <c r="AO727" s="7"/>
      <c r="AP727" s="7"/>
      <c r="AQ727" s="7" t="s">
        <v>2739</v>
      </c>
      <c r="AR727" s="283"/>
    </row>
    <row r="728" spans="1:44" ht="15" customHeight="1">
      <c r="A728" s="3">
        <v>3010409</v>
      </c>
      <c r="B728" s="5" t="s">
        <v>3638</v>
      </c>
      <c r="C728" s="224" t="s">
        <v>4981</v>
      </c>
      <c r="D728" s="3" t="s">
        <v>2601</v>
      </c>
      <c r="E728" s="3">
        <v>0</v>
      </c>
      <c r="F728" s="3">
        <v>8</v>
      </c>
      <c r="G728" s="48">
        <v>8</v>
      </c>
      <c r="H728" s="3" t="s">
        <v>136</v>
      </c>
      <c r="I728" s="5" t="s">
        <v>3640</v>
      </c>
      <c r="J728" s="3"/>
      <c r="K728" s="3"/>
      <c r="L728" s="236"/>
      <c r="M728" s="99"/>
      <c r="N728" s="99"/>
      <c r="O728" s="236"/>
      <c r="P728" s="22"/>
      <c r="Q728" s="22">
        <v>0</v>
      </c>
      <c r="R728" s="22" t="s">
        <v>153</v>
      </c>
      <c r="S728" s="3"/>
      <c r="T728" s="260"/>
      <c r="U728" s="261"/>
      <c r="V728" s="22"/>
      <c r="W728" s="57" t="s">
        <v>4948</v>
      </c>
      <c r="X728" s="57" t="s">
        <v>4948</v>
      </c>
      <c r="Y728" s="22"/>
      <c r="Z728" s="22"/>
      <c r="AA728" s="22"/>
      <c r="AB728" s="22" t="s">
        <v>114</v>
      </c>
      <c r="AC728" s="3"/>
      <c r="AD728" s="3"/>
      <c r="AE728" s="3">
        <v>0</v>
      </c>
      <c r="AF728" s="3">
        <v>0</v>
      </c>
      <c r="AG728" s="3">
        <v>0</v>
      </c>
      <c r="AH728" s="3"/>
      <c r="AI728" s="3">
        <v>0</v>
      </c>
      <c r="AJ728" s="3">
        <v>0</v>
      </c>
      <c r="AK728" s="3">
        <v>0</v>
      </c>
      <c r="AL728" s="3"/>
      <c r="AM728" s="3"/>
      <c r="AN728" s="3"/>
      <c r="AO728" s="3"/>
      <c r="AP728" s="3"/>
      <c r="AQ728" s="3" t="s">
        <v>2720</v>
      </c>
      <c r="AR728" s="281"/>
    </row>
    <row r="729" spans="1:44" ht="15" customHeight="1">
      <c r="A729" s="3">
        <v>3010410</v>
      </c>
      <c r="B729" s="5" t="s">
        <v>3638</v>
      </c>
      <c r="C729" s="224" t="s">
        <v>4982</v>
      </c>
      <c r="D729" s="3" t="s">
        <v>2601</v>
      </c>
      <c r="F729" s="3">
        <v>9</v>
      </c>
      <c r="G729" s="47">
        <v>8</v>
      </c>
      <c r="H729" s="3" t="s">
        <v>136</v>
      </c>
      <c r="I729" s="5" t="s">
        <v>3640</v>
      </c>
      <c r="J729" s="3"/>
      <c r="K729" s="3"/>
      <c r="L729" s="236"/>
      <c r="M729" s="99"/>
      <c r="N729" s="99"/>
      <c r="O729" s="236"/>
      <c r="P729" s="22"/>
      <c r="Q729" s="22">
        <v>0</v>
      </c>
      <c r="R729" s="22" t="s">
        <v>153</v>
      </c>
      <c r="S729" s="3"/>
      <c r="T729" s="260"/>
      <c r="U729" s="261"/>
      <c r="V729" s="22"/>
      <c r="W729" s="57" t="s">
        <v>4983</v>
      </c>
      <c r="X729" s="57" t="s">
        <v>4983</v>
      </c>
      <c r="Y729" s="22"/>
      <c r="Z729" s="22"/>
      <c r="AA729" s="22"/>
      <c r="AB729" s="22" t="s">
        <v>114</v>
      </c>
      <c r="AC729" s="3"/>
      <c r="AD729" s="3"/>
      <c r="AE729" s="3">
        <v>0</v>
      </c>
      <c r="AF729" s="3">
        <v>0</v>
      </c>
      <c r="AG729" s="3">
        <v>0</v>
      </c>
      <c r="AH729" s="3"/>
      <c r="AI729" s="3">
        <v>0</v>
      </c>
      <c r="AJ729" s="3">
        <v>0</v>
      </c>
      <c r="AK729" s="3">
        <v>0</v>
      </c>
      <c r="AL729" s="3"/>
      <c r="AM729" s="3"/>
      <c r="AN729" s="3"/>
      <c r="AO729" s="3"/>
      <c r="AP729" s="3"/>
      <c r="AQ729" s="282" t="str">
        <f>"tricks/"&amp;A729</f>
        <v>tricks/3010410</v>
      </c>
    </row>
    <row r="730" spans="1:44" ht="15" customHeight="1">
      <c r="A730" s="3">
        <v>3010411</v>
      </c>
      <c r="B730" s="5" t="s">
        <v>3638</v>
      </c>
      <c r="C730" s="224" t="s">
        <v>4984</v>
      </c>
      <c r="D730" s="3" t="s">
        <v>2601</v>
      </c>
      <c r="F730" s="3">
        <v>10</v>
      </c>
      <c r="G730" s="48">
        <v>8</v>
      </c>
      <c r="H730" s="3" t="s">
        <v>136</v>
      </c>
      <c r="I730" s="5" t="s">
        <v>3640</v>
      </c>
      <c r="J730" s="3"/>
      <c r="K730" s="3"/>
      <c r="L730" s="236"/>
      <c r="M730" s="99"/>
      <c r="N730" s="99"/>
      <c r="O730" s="236"/>
      <c r="P730" s="22"/>
      <c r="Q730" s="22">
        <v>0</v>
      </c>
      <c r="R730" s="22" t="s">
        <v>153</v>
      </c>
      <c r="S730" s="3"/>
      <c r="T730" s="260"/>
      <c r="U730" s="261"/>
      <c r="V730" s="22"/>
      <c r="W730" s="57" t="s">
        <v>4985</v>
      </c>
      <c r="X730" s="57" t="s">
        <v>4985</v>
      </c>
      <c r="Y730" s="22"/>
      <c r="Z730" s="22"/>
      <c r="AA730" s="22"/>
      <c r="AB730" s="22" t="s">
        <v>114</v>
      </c>
      <c r="AC730" s="3"/>
      <c r="AD730" s="3"/>
      <c r="AE730" s="3">
        <v>0</v>
      </c>
      <c r="AF730" s="3">
        <v>0</v>
      </c>
      <c r="AG730" s="3">
        <v>0</v>
      </c>
      <c r="AH730" s="3"/>
      <c r="AI730" s="3">
        <v>0</v>
      </c>
      <c r="AJ730" s="3">
        <v>0</v>
      </c>
      <c r="AK730" s="3">
        <v>0</v>
      </c>
      <c r="AL730" s="3"/>
      <c r="AM730" s="3"/>
      <c r="AN730" s="3"/>
      <c r="AO730" s="3"/>
      <c r="AP730" s="3"/>
      <c r="AQ730" s="282" t="str">
        <f>"tricks/"&amp;A730</f>
        <v>tricks/3010411</v>
      </c>
    </row>
    <row r="731" spans="1:44" ht="15" customHeight="1">
      <c r="A731" s="38">
        <v>3010501</v>
      </c>
      <c r="B731" s="5" t="s">
        <v>3638</v>
      </c>
      <c r="C731" s="224" t="s">
        <v>4986</v>
      </c>
      <c r="D731" s="38" t="s">
        <v>2601</v>
      </c>
      <c r="E731" s="38"/>
      <c r="F731" s="36">
        <v>1</v>
      </c>
      <c r="G731" s="47">
        <v>8</v>
      </c>
      <c r="H731" s="7" t="s">
        <v>82</v>
      </c>
      <c r="I731" s="5" t="s">
        <v>3640</v>
      </c>
      <c r="J731" s="38">
        <v>1</v>
      </c>
      <c r="K731" s="38"/>
      <c r="L731" s="428" t="s">
        <v>2747</v>
      </c>
      <c r="M731" s="426"/>
      <c r="N731" s="426"/>
      <c r="O731" s="428"/>
      <c r="P731" s="427"/>
      <c r="Q731" s="427">
        <v>0</v>
      </c>
      <c r="R731" s="427" t="s">
        <v>153</v>
      </c>
      <c r="S731" s="38">
        <v>3010501</v>
      </c>
      <c r="T731" s="386"/>
      <c r="U731" s="387"/>
      <c r="V731" s="427" t="s">
        <v>582</v>
      </c>
      <c r="W731" s="57" t="s">
        <v>4987</v>
      </c>
      <c r="X731" s="57" t="s">
        <v>4987</v>
      </c>
      <c r="Y731" s="427">
        <v>0</v>
      </c>
      <c r="Z731" s="427">
        <v>0</v>
      </c>
      <c r="AA731" s="427"/>
      <c r="AB731" s="427"/>
      <c r="AC731" s="38"/>
      <c r="AD731" s="38"/>
      <c r="AE731" s="38">
        <v>0</v>
      </c>
      <c r="AF731" s="38"/>
      <c r="AG731" s="38"/>
      <c r="AH731" s="38"/>
      <c r="AI731" s="38"/>
      <c r="AJ731" s="38"/>
      <c r="AK731" s="436"/>
      <c r="AL731" s="436"/>
      <c r="AM731" s="436"/>
      <c r="AN731" s="43"/>
      <c r="AO731" s="38"/>
      <c r="AP731" s="38"/>
      <c r="AQ731" s="38" t="s">
        <v>2749</v>
      </c>
      <c r="AR731" s="406"/>
    </row>
    <row r="732" spans="1:44" ht="15" customHeight="1">
      <c r="A732" s="38">
        <v>3010502</v>
      </c>
      <c r="B732" s="5" t="s">
        <v>3638</v>
      </c>
      <c r="C732" s="224" t="s">
        <v>4988</v>
      </c>
      <c r="D732" s="38" t="s">
        <v>2601</v>
      </c>
      <c r="E732" s="38"/>
      <c r="F732" s="36">
        <v>1</v>
      </c>
      <c r="G732" s="48">
        <v>8</v>
      </c>
      <c r="H732" s="38" t="s">
        <v>136</v>
      </c>
      <c r="I732" s="5" t="s">
        <v>3640</v>
      </c>
      <c r="J732" s="38"/>
      <c r="K732" s="38"/>
      <c r="L732" s="428" t="s">
        <v>2751</v>
      </c>
      <c r="M732" s="426"/>
      <c r="N732" s="426"/>
      <c r="O732" s="428"/>
      <c r="P732" s="427"/>
      <c r="Q732" s="427">
        <v>0</v>
      </c>
      <c r="R732" s="427" t="s">
        <v>153</v>
      </c>
      <c r="S732" s="38">
        <v>3010502</v>
      </c>
      <c r="T732" s="386"/>
      <c r="U732" s="387"/>
      <c r="V732" s="427" t="s">
        <v>582</v>
      </c>
      <c r="W732" s="57" t="s">
        <v>4989</v>
      </c>
      <c r="X732" s="57" t="s">
        <v>4989</v>
      </c>
      <c r="Y732" s="427">
        <v>0</v>
      </c>
      <c r="Z732" s="427">
        <v>0</v>
      </c>
      <c r="AA732" s="427"/>
      <c r="AB732" s="427"/>
      <c r="AC732" s="38"/>
      <c r="AD732" s="38"/>
      <c r="AE732" s="38">
        <v>0</v>
      </c>
      <c r="AF732" s="38"/>
      <c r="AG732" s="38"/>
      <c r="AH732" s="38"/>
      <c r="AI732" s="38"/>
      <c r="AJ732" s="38"/>
      <c r="AK732" s="436"/>
      <c r="AL732" s="436"/>
      <c r="AM732" s="436"/>
      <c r="AN732" s="38"/>
      <c r="AO732" s="38"/>
      <c r="AP732" s="38"/>
      <c r="AQ732" s="38" t="s">
        <v>2753</v>
      </c>
      <c r="AR732" s="406"/>
    </row>
    <row r="733" spans="1:44" ht="15" customHeight="1">
      <c r="A733" s="38">
        <v>3010503</v>
      </c>
      <c r="B733" s="5" t="s">
        <v>3638</v>
      </c>
      <c r="C733" s="224" t="s">
        <v>4990</v>
      </c>
      <c r="D733" s="38" t="s">
        <v>2601</v>
      </c>
      <c r="E733" s="38"/>
      <c r="F733" s="36">
        <v>2</v>
      </c>
      <c r="G733" s="47">
        <v>8</v>
      </c>
      <c r="H733" s="38" t="s">
        <v>136</v>
      </c>
      <c r="I733" s="5" t="s">
        <v>3640</v>
      </c>
      <c r="J733" s="38"/>
      <c r="K733" s="38"/>
      <c r="L733" s="428" t="s">
        <v>2755</v>
      </c>
      <c r="M733" s="426"/>
      <c r="N733" s="426"/>
      <c r="O733" s="428"/>
      <c r="P733" s="427"/>
      <c r="Q733" s="427">
        <v>0</v>
      </c>
      <c r="R733" s="427" t="s">
        <v>153</v>
      </c>
      <c r="S733" s="38"/>
      <c r="T733" s="386"/>
      <c r="U733" s="387"/>
      <c r="V733" s="427"/>
      <c r="W733" s="57" t="s">
        <v>4991</v>
      </c>
      <c r="X733" s="57" t="s">
        <v>4991</v>
      </c>
      <c r="Y733" s="427">
        <v>0</v>
      </c>
      <c r="Z733" s="427">
        <v>0</v>
      </c>
      <c r="AA733" s="427"/>
      <c r="AB733" s="427"/>
      <c r="AC733" s="38"/>
      <c r="AD733" s="38"/>
      <c r="AE733" s="38">
        <v>0</v>
      </c>
      <c r="AF733" s="38"/>
      <c r="AG733" s="38"/>
      <c r="AH733" s="38"/>
      <c r="AI733" s="38"/>
      <c r="AJ733" s="38"/>
      <c r="AK733" s="436"/>
      <c r="AL733" s="436"/>
      <c r="AM733" s="436"/>
      <c r="AN733" s="38"/>
      <c r="AO733" s="38"/>
      <c r="AP733" s="38"/>
      <c r="AQ733" s="38" t="s">
        <v>2757</v>
      </c>
      <c r="AR733" s="406"/>
    </row>
    <row r="734" spans="1:44" ht="15" customHeight="1">
      <c r="A734" s="38">
        <v>3010504</v>
      </c>
      <c r="B734" s="5" t="s">
        <v>3638</v>
      </c>
      <c r="C734" s="224" t="s">
        <v>4992</v>
      </c>
      <c r="D734" s="38" t="s">
        <v>2601</v>
      </c>
      <c r="E734" s="38"/>
      <c r="F734" s="36">
        <v>3</v>
      </c>
      <c r="G734" s="48">
        <v>8</v>
      </c>
      <c r="H734" s="38" t="s">
        <v>136</v>
      </c>
      <c r="I734" s="5" t="s">
        <v>3640</v>
      </c>
      <c r="J734" s="38"/>
      <c r="K734" s="38"/>
      <c r="L734" s="523" t="s">
        <v>2759</v>
      </c>
      <c r="M734" s="426"/>
      <c r="N734" s="426"/>
      <c r="O734" s="428"/>
      <c r="P734" s="427"/>
      <c r="Q734" s="427">
        <v>0</v>
      </c>
      <c r="R734" s="427" t="s">
        <v>153</v>
      </c>
      <c r="S734" s="38">
        <v>3010503</v>
      </c>
      <c r="T734" s="386"/>
      <c r="U734" s="387"/>
      <c r="V734" s="427" t="s">
        <v>582</v>
      </c>
      <c r="W734" s="57" t="s">
        <v>4993</v>
      </c>
      <c r="X734" s="57" t="s">
        <v>4993</v>
      </c>
      <c r="Y734" s="427">
        <v>0</v>
      </c>
      <c r="Z734" s="427">
        <v>0</v>
      </c>
      <c r="AA734" s="427"/>
      <c r="AB734" s="427"/>
      <c r="AC734" s="38"/>
      <c r="AD734" s="38"/>
      <c r="AE734" s="38">
        <v>0</v>
      </c>
      <c r="AF734" s="38"/>
      <c r="AG734" s="38"/>
      <c r="AH734" s="38"/>
      <c r="AI734" s="38"/>
      <c r="AJ734" s="38"/>
      <c r="AK734" s="436"/>
      <c r="AL734" s="436"/>
      <c r="AM734" s="436"/>
      <c r="AN734" s="38"/>
      <c r="AO734" s="38"/>
      <c r="AP734" s="38"/>
      <c r="AQ734" s="38" t="s">
        <v>2761</v>
      </c>
      <c r="AR734" s="406"/>
    </row>
    <row r="735" spans="1:44" ht="15" customHeight="1">
      <c r="A735" s="38">
        <v>3010505</v>
      </c>
      <c r="B735" s="5" t="s">
        <v>3638</v>
      </c>
      <c r="C735" s="224" t="s">
        <v>4994</v>
      </c>
      <c r="D735" s="38" t="s">
        <v>2601</v>
      </c>
      <c r="E735" s="38"/>
      <c r="F735" s="36">
        <v>4</v>
      </c>
      <c r="G735" s="47">
        <v>8</v>
      </c>
      <c r="H735" s="38" t="s">
        <v>136</v>
      </c>
      <c r="I735" s="5" t="s">
        <v>3640</v>
      </c>
      <c r="J735" s="38"/>
      <c r="K735" s="38"/>
      <c r="L735" s="523" t="s">
        <v>2763</v>
      </c>
      <c r="M735" s="426"/>
      <c r="N735" s="426"/>
      <c r="O735" s="524"/>
      <c r="P735" s="427"/>
      <c r="Q735" s="427">
        <v>0</v>
      </c>
      <c r="R735" s="427" t="s">
        <v>153</v>
      </c>
      <c r="S735" s="38">
        <v>3010504</v>
      </c>
      <c r="T735" s="386"/>
      <c r="U735" s="387"/>
      <c r="V735" s="427" t="s">
        <v>582</v>
      </c>
      <c r="W735" s="57" t="s">
        <v>4943</v>
      </c>
      <c r="X735" s="57" t="s">
        <v>4943</v>
      </c>
      <c r="Y735" s="427">
        <v>0</v>
      </c>
      <c r="Z735" s="427">
        <v>0</v>
      </c>
      <c r="AA735" s="427"/>
      <c r="AB735" s="427"/>
      <c r="AC735" s="38"/>
      <c r="AD735" s="38"/>
      <c r="AE735" s="38">
        <v>0</v>
      </c>
      <c r="AF735" s="38"/>
      <c r="AG735" s="38"/>
      <c r="AH735" s="38"/>
      <c r="AI735" s="38"/>
      <c r="AJ735" s="38"/>
      <c r="AK735" s="436"/>
      <c r="AL735" s="436"/>
      <c r="AM735" s="436"/>
      <c r="AN735" s="38"/>
      <c r="AO735" s="38"/>
      <c r="AP735" s="38"/>
      <c r="AQ735" s="38" t="s">
        <v>2765</v>
      </c>
      <c r="AR735" s="406"/>
    </row>
    <row r="736" spans="1:44" ht="15" customHeight="1">
      <c r="A736" s="38">
        <v>3010506</v>
      </c>
      <c r="B736" s="5" t="s">
        <v>3638</v>
      </c>
      <c r="C736" s="224" t="s">
        <v>4995</v>
      </c>
      <c r="D736" s="38" t="s">
        <v>2601</v>
      </c>
      <c r="E736" s="38"/>
      <c r="F736" s="36">
        <v>5</v>
      </c>
      <c r="G736" s="48">
        <v>8</v>
      </c>
      <c r="H736" s="38" t="s">
        <v>136</v>
      </c>
      <c r="I736" s="5" t="s">
        <v>3640</v>
      </c>
      <c r="J736" s="38"/>
      <c r="K736" s="38"/>
      <c r="L736" s="523" t="s">
        <v>2767</v>
      </c>
      <c r="M736" s="426"/>
      <c r="N736" s="426"/>
      <c r="O736" s="524"/>
      <c r="P736" s="427"/>
      <c r="Q736" s="427">
        <v>0</v>
      </c>
      <c r="R736" s="427" t="s">
        <v>153</v>
      </c>
      <c r="S736" s="38"/>
      <c r="T736" s="386"/>
      <c r="U736" s="387"/>
      <c r="V736" s="427"/>
      <c r="W736" s="57" t="s">
        <v>4996</v>
      </c>
      <c r="X736" s="57" t="s">
        <v>4996</v>
      </c>
      <c r="Y736" s="427">
        <v>0</v>
      </c>
      <c r="Z736" s="427">
        <v>0</v>
      </c>
      <c r="AA736" s="427"/>
      <c r="AB736" s="427"/>
      <c r="AC736" s="38"/>
      <c r="AD736" s="38"/>
      <c r="AE736" s="38">
        <v>0</v>
      </c>
      <c r="AF736" s="38"/>
      <c r="AG736" s="38"/>
      <c r="AH736" s="38"/>
      <c r="AI736" s="38"/>
      <c r="AJ736" s="38"/>
      <c r="AK736" s="436"/>
      <c r="AL736" s="436"/>
      <c r="AM736" s="436"/>
      <c r="AN736" s="38"/>
      <c r="AO736" s="38"/>
      <c r="AP736" s="38"/>
      <c r="AQ736" s="38" t="s">
        <v>2769</v>
      </c>
      <c r="AR736" s="406"/>
    </row>
    <row r="737" spans="1:44" ht="15" customHeight="1">
      <c r="A737" s="38">
        <v>3010507</v>
      </c>
      <c r="B737" s="5" t="s">
        <v>3638</v>
      </c>
      <c r="C737" s="224" t="s">
        <v>4997</v>
      </c>
      <c r="D737" s="38" t="s">
        <v>2601</v>
      </c>
      <c r="E737" s="38"/>
      <c r="F737" s="36">
        <v>6</v>
      </c>
      <c r="G737" s="47">
        <v>8</v>
      </c>
      <c r="H737" s="38" t="s">
        <v>136</v>
      </c>
      <c r="I737" s="5" t="s">
        <v>3640</v>
      </c>
      <c r="J737" s="38"/>
      <c r="K737" s="38"/>
      <c r="L737" s="523" t="s">
        <v>2771</v>
      </c>
      <c r="M737" s="426"/>
      <c r="N737" s="426"/>
      <c r="O737" s="524"/>
      <c r="P737" s="427"/>
      <c r="Q737" s="427">
        <v>0</v>
      </c>
      <c r="R737" s="427" t="s">
        <v>153</v>
      </c>
      <c r="S737" s="38">
        <v>3010505</v>
      </c>
      <c r="T737" s="386"/>
      <c r="U737" s="387"/>
      <c r="V737" s="427" t="s">
        <v>582</v>
      </c>
      <c r="W737" s="57" t="s">
        <v>4993</v>
      </c>
      <c r="X737" s="57" t="s">
        <v>4993</v>
      </c>
      <c r="Y737" s="427">
        <v>0</v>
      </c>
      <c r="Z737" s="427">
        <v>0</v>
      </c>
      <c r="AA737" s="427"/>
      <c r="AB737" s="427"/>
      <c r="AC737" s="38"/>
      <c r="AD737" s="38"/>
      <c r="AE737" s="38">
        <v>0</v>
      </c>
      <c r="AF737" s="38"/>
      <c r="AG737" s="38"/>
      <c r="AH737" s="38"/>
      <c r="AI737" s="38"/>
      <c r="AJ737" s="38"/>
      <c r="AK737" s="436"/>
      <c r="AL737" s="436"/>
      <c r="AM737" s="436"/>
      <c r="AN737" s="38"/>
      <c r="AO737" s="38"/>
      <c r="AP737" s="38"/>
      <c r="AQ737" s="38" t="s">
        <v>2772</v>
      </c>
      <c r="AR737" s="406"/>
    </row>
    <row r="738" spans="1:44" ht="15" customHeight="1">
      <c r="A738" s="38">
        <v>3010508</v>
      </c>
      <c r="B738" s="5" t="s">
        <v>3638</v>
      </c>
      <c r="C738" s="224" t="s">
        <v>4998</v>
      </c>
      <c r="D738" s="38" t="s">
        <v>2601</v>
      </c>
      <c r="E738" s="38"/>
      <c r="F738" s="36">
        <v>7</v>
      </c>
      <c r="G738" s="48">
        <v>8</v>
      </c>
      <c r="H738" s="38" t="s">
        <v>136</v>
      </c>
      <c r="I738" s="5" t="s">
        <v>3640</v>
      </c>
      <c r="J738" s="38"/>
      <c r="K738" s="38"/>
      <c r="L738" s="523" t="s">
        <v>2774</v>
      </c>
      <c r="M738" s="426"/>
      <c r="N738" s="426"/>
      <c r="O738" s="524"/>
      <c r="P738" s="427"/>
      <c r="Q738" s="427">
        <v>0</v>
      </c>
      <c r="R738" s="427" t="s">
        <v>153</v>
      </c>
      <c r="S738" s="38">
        <v>3010506</v>
      </c>
      <c r="T738" s="386"/>
      <c r="U738" s="387"/>
      <c r="V738" s="427" t="s">
        <v>582</v>
      </c>
      <c r="W738" s="57" t="s">
        <v>4999</v>
      </c>
      <c r="X738" s="57" t="s">
        <v>4999</v>
      </c>
      <c r="Y738" s="427">
        <v>0</v>
      </c>
      <c r="Z738" s="427">
        <v>0</v>
      </c>
      <c r="AA738" s="427"/>
      <c r="AB738" s="427"/>
      <c r="AC738" s="38"/>
      <c r="AD738" s="38"/>
      <c r="AE738" s="38">
        <v>0</v>
      </c>
      <c r="AF738" s="38"/>
      <c r="AG738" s="38"/>
      <c r="AH738" s="38"/>
      <c r="AI738" s="38"/>
      <c r="AJ738" s="38"/>
      <c r="AK738" s="436"/>
      <c r="AL738" s="436"/>
      <c r="AM738" s="436"/>
      <c r="AN738" s="38"/>
      <c r="AO738" s="38"/>
      <c r="AP738" s="38"/>
      <c r="AQ738" s="38" t="s">
        <v>2776</v>
      </c>
      <c r="AR738" s="406"/>
    </row>
    <row r="739" spans="1:44" ht="15" customHeight="1">
      <c r="A739" s="3">
        <v>3010509</v>
      </c>
      <c r="B739" s="5" t="s">
        <v>3638</v>
      </c>
      <c r="C739" s="224" t="s">
        <v>5000</v>
      </c>
      <c r="D739" s="3" t="s">
        <v>2601</v>
      </c>
      <c r="E739" s="3"/>
      <c r="F739" s="3">
        <v>8</v>
      </c>
      <c r="G739" s="47">
        <v>8</v>
      </c>
      <c r="H739" s="3" t="s">
        <v>136</v>
      </c>
      <c r="I739" s="5" t="s">
        <v>3640</v>
      </c>
      <c r="J739" s="3"/>
      <c r="K739" s="3"/>
      <c r="L739" s="236"/>
      <c r="M739" s="99"/>
      <c r="N739" s="99"/>
      <c r="O739" s="236"/>
      <c r="P739" s="22"/>
      <c r="Q739" s="22">
        <v>0</v>
      </c>
      <c r="R739" s="22" t="s">
        <v>153</v>
      </c>
      <c r="S739" s="3"/>
      <c r="T739" s="260"/>
      <c r="U739" s="261"/>
      <c r="V739" s="22"/>
      <c r="W739" s="57" t="s">
        <v>4948</v>
      </c>
      <c r="X739" s="57" t="s">
        <v>4948</v>
      </c>
      <c r="Y739" s="22"/>
      <c r="Z739" s="22"/>
      <c r="AA739" s="22"/>
      <c r="AB739" s="22" t="s">
        <v>114</v>
      </c>
      <c r="AC739" s="3"/>
      <c r="AD739" s="3"/>
      <c r="AE739" s="3">
        <v>0</v>
      </c>
      <c r="AF739" s="3">
        <v>0</v>
      </c>
      <c r="AG739" s="3">
        <v>0</v>
      </c>
      <c r="AH739" s="3"/>
      <c r="AI739" s="3">
        <v>0</v>
      </c>
      <c r="AJ739" s="3">
        <v>0</v>
      </c>
      <c r="AK739" s="3">
        <v>0</v>
      </c>
      <c r="AL739" s="3"/>
      <c r="AM739" s="3"/>
      <c r="AN739" s="3"/>
      <c r="AO739" s="3"/>
      <c r="AP739" s="3"/>
      <c r="AQ739" s="3" t="s">
        <v>2757</v>
      </c>
      <c r="AR739" s="281"/>
    </row>
    <row r="740" spans="1:44" ht="15" customHeight="1">
      <c r="A740" s="3">
        <v>3010510</v>
      </c>
      <c r="B740" s="5" t="s">
        <v>3638</v>
      </c>
      <c r="C740" s="224" t="s">
        <v>5001</v>
      </c>
      <c r="D740" s="3" t="s">
        <v>2601</v>
      </c>
      <c r="E740" s="3"/>
      <c r="F740" s="3">
        <v>9</v>
      </c>
      <c r="G740" s="48">
        <v>8</v>
      </c>
      <c r="H740" s="3" t="s">
        <v>136</v>
      </c>
      <c r="I740" s="5" t="s">
        <v>3640</v>
      </c>
      <c r="J740" s="3"/>
      <c r="K740" s="3"/>
      <c r="L740" s="236"/>
      <c r="M740" s="99"/>
      <c r="N740" s="99"/>
      <c r="O740" s="236"/>
      <c r="P740" s="22"/>
      <c r="Q740" s="22">
        <v>0</v>
      </c>
      <c r="R740" s="22" t="s">
        <v>153</v>
      </c>
      <c r="S740" s="3"/>
      <c r="T740" s="260"/>
      <c r="U740" s="261"/>
      <c r="V740" s="22"/>
      <c r="W740" s="57" t="s">
        <v>4943</v>
      </c>
      <c r="X740" s="57" t="s">
        <v>4943</v>
      </c>
      <c r="Y740" s="22"/>
      <c r="Z740" s="22"/>
      <c r="AA740" s="22"/>
      <c r="AB740" s="22" t="s">
        <v>114</v>
      </c>
      <c r="AC740" s="3"/>
      <c r="AD740" s="3"/>
      <c r="AE740" s="3">
        <v>0</v>
      </c>
      <c r="AF740" s="3">
        <v>0</v>
      </c>
      <c r="AG740" s="3">
        <v>0</v>
      </c>
      <c r="AH740" s="3"/>
      <c r="AI740" s="3">
        <v>0</v>
      </c>
      <c r="AJ740" s="3">
        <v>0</v>
      </c>
      <c r="AK740" s="3">
        <v>0</v>
      </c>
      <c r="AL740" s="3"/>
      <c r="AM740" s="3"/>
      <c r="AN740" s="3"/>
      <c r="AO740" s="3"/>
      <c r="AP740" s="3"/>
      <c r="AQ740" s="282" t="str">
        <f>"tricks/"&amp;A740</f>
        <v>tricks/3010510</v>
      </c>
    </row>
    <row r="741" spans="1:44" ht="15" customHeight="1">
      <c r="A741" s="3">
        <v>3010511</v>
      </c>
      <c r="B741" s="5" t="s">
        <v>3638</v>
      </c>
      <c r="C741" s="224" t="s">
        <v>5002</v>
      </c>
      <c r="D741" s="3" t="s">
        <v>2601</v>
      </c>
      <c r="E741" s="3"/>
      <c r="F741" s="3">
        <v>10</v>
      </c>
      <c r="G741" s="47">
        <v>8</v>
      </c>
      <c r="H741" s="3" t="s">
        <v>136</v>
      </c>
      <c r="I741" s="5" t="s">
        <v>3640</v>
      </c>
      <c r="J741" s="3"/>
      <c r="K741" s="3"/>
      <c r="L741" s="236"/>
      <c r="M741" s="99"/>
      <c r="N741" s="99"/>
      <c r="O741" s="236"/>
      <c r="P741" s="22"/>
      <c r="Q741" s="22">
        <v>0</v>
      </c>
      <c r="R741" s="22" t="s">
        <v>153</v>
      </c>
      <c r="S741" s="3"/>
      <c r="T741" s="260"/>
      <c r="U741" s="261"/>
      <c r="V741" s="22"/>
      <c r="W741" s="57" t="s">
        <v>4993</v>
      </c>
      <c r="X741" s="57" t="s">
        <v>4993</v>
      </c>
      <c r="Y741" s="22"/>
      <c r="Z741" s="22"/>
      <c r="AA741" s="22"/>
      <c r="AB741" s="22" t="s">
        <v>114</v>
      </c>
      <c r="AC741" s="3"/>
      <c r="AD741" s="3"/>
      <c r="AE741" s="3">
        <v>0</v>
      </c>
      <c r="AF741" s="3">
        <v>0</v>
      </c>
      <c r="AG741" s="3">
        <v>0</v>
      </c>
      <c r="AH741" s="3"/>
      <c r="AI741" s="3">
        <v>0</v>
      </c>
      <c r="AJ741" s="3">
        <v>0</v>
      </c>
      <c r="AK741" s="3">
        <v>0</v>
      </c>
      <c r="AL741" s="3"/>
      <c r="AM741" s="3"/>
      <c r="AN741" s="3"/>
      <c r="AO741" s="3"/>
      <c r="AP741" s="3"/>
      <c r="AQ741" s="282" t="str">
        <f>"tricks/"&amp;A741</f>
        <v>tricks/3010511</v>
      </c>
    </row>
    <row r="742" spans="1:44" ht="15" customHeight="1">
      <c r="A742" s="36">
        <v>3010601</v>
      </c>
      <c r="B742" s="5" t="s">
        <v>3638</v>
      </c>
      <c r="C742" s="224" t="s">
        <v>5003</v>
      </c>
      <c r="D742" s="36" t="s">
        <v>2601</v>
      </c>
      <c r="E742" s="36"/>
      <c r="F742" s="36">
        <v>1</v>
      </c>
      <c r="G742" s="48">
        <v>8</v>
      </c>
      <c r="H742" s="36" t="s">
        <v>82</v>
      </c>
      <c r="I742" s="5" t="s">
        <v>3640</v>
      </c>
      <c r="J742" s="36"/>
      <c r="K742" s="36"/>
      <c r="L742" s="377" t="s">
        <v>2784</v>
      </c>
      <c r="M742" s="378"/>
      <c r="N742" s="378">
        <v>15</v>
      </c>
      <c r="O742" s="525"/>
      <c r="P742" s="379"/>
      <c r="Q742" s="379">
        <v>0</v>
      </c>
      <c r="R742" s="379" t="s">
        <v>2785</v>
      </c>
      <c r="S742" s="36">
        <v>3010601</v>
      </c>
      <c r="T742" s="390"/>
      <c r="U742" s="391"/>
      <c r="V742" s="379" t="s">
        <v>582</v>
      </c>
      <c r="W742" s="57" t="s">
        <v>5004</v>
      </c>
      <c r="X742" s="57" t="s">
        <v>5004</v>
      </c>
      <c r="Y742" s="379">
        <v>0</v>
      </c>
      <c r="Z742" s="379">
        <v>0</v>
      </c>
      <c r="AA742" s="379"/>
      <c r="AB742" s="379"/>
      <c r="AC742" s="36"/>
      <c r="AD742" s="36"/>
      <c r="AE742" s="36">
        <v>2</v>
      </c>
      <c r="AF742" s="36"/>
      <c r="AG742" s="36">
        <v>15</v>
      </c>
      <c r="AH742" s="36"/>
      <c r="AI742" s="36"/>
      <c r="AJ742" s="36"/>
      <c r="AK742" s="401"/>
      <c r="AL742" s="401"/>
      <c r="AM742" s="401"/>
      <c r="AN742" s="43" t="s">
        <v>2786</v>
      </c>
      <c r="AO742" s="36"/>
      <c r="AP742" s="36"/>
      <c r="AQ742" s="36" t="s">
        <v>2787</v>
      </c>
      <c r="AR742" s="407"/>
    </row>
    <row r="743" spans="1:44" ht="15" customHeight="1">
      <c r="A743" s="36">
        <v>3010602</v>
      </c>
      <c r="B743" s="5" t="s">
        <v>3638</v>
      </c>
      <c r="C743" s="224" t="s">
        <v>5005</v>
      </c>
      <c r="D743" s="36" t="s">
        <v>2601</v>
      </c>
      <c r="E743" s="36"/>
      <c r="F743" s="36">
        <v>1</v>
      </c>
      <c r="G743" s="47">
        <v>8</v>
      </c>
      <c r="H743" s="36" t="s">
        <v>136</v>
      </c>
      <c r="I743" s="5" t="s">
        <v>3640</v>
      </c>
      <c r="J743" s="36"/>
      <c r="K743" s="36"/>
      <c r="L743" s="377" t="s">
        <v>2789</v>
      </c>
      <c r="M743" s="378"/>
      <c r="N743" s="378"/>
      <c r="O743" s="454"/>
      <c r="P743" s="379"/>
      <c r="Q743" s="379">
        <v>0</v>
      </c>
      <c r="R743" s="379" t="s">
        <v>153</v>
      </c>
      <c r="S743" s="36">
        <v>3010602</v>
      </c>
      <c r="T743" s="390"/>
      <c r="U743" s="391"/>
      <c r="V743" s="379" t="s">
        <v>582</v>
      </c>
      <c r="W743" s="57" t="s">
        <v>5006</v>
      </c>
      <c r="X743" s="57" t="s">
        <v>5006</v>
      </c>
      <c r="Y743" s="379">
        <v>0</v>
      </c>
      <c r="Z743" s="379">
        <v>0</v>
      </c>
      <c r="AA743" s="379"/>
      <c r="AB743" s="379"/>
      <c r="AC743" s="36"/>
      <c r="AD743" s="36"/>
      <c r="AE743" s="36">
        <v>0</v>
      </c>
      <c r="AF743" s="36"/>
      <c r="AG743" s="36"/>
      <c r="AH743" s="36"/>
      <c r="AI743" s="36"/>
      <c r="AJ743" s="36"/>
      <c r="AK743" s="401"/>
      <c r="AL743" s="401"/>
      <c r="AM743" s="401"/>
      <c r="AN743" s="36"/>
      <c r="AO743" s="36"/>
      <c r="AP743" s="36"/>
      <c r="AQ743" s="36" t="s">
        <v>2791</v>
      </c>
      <c r="AR743" s="407"/>
    </row>
    <row r="744" spans="1:44" ht="15" customHeight="1">
      <c r="A744" s="36">
        <v>3010603</v>
      </c>
      <c r="B744" s="5" t="s">
        <v>3638</v>
      </c>
      <c r="C744" s="224" t="s">
        <v>5007</v>
      </c>
      <c r="D744" s="36" t="s">
        <v>2601</v>
      </c>
      <c r="E744" s="36"/>
      <c r="F744" s="36">
        <v>2</v>
      </c>
      <c r="G744" s="48">
        <v>8</v>
      </c>
      <c r="H744" s="36" t="s">
        <v>136</v>
      </c>
      <c r="I744" s="5" t="s">
        <v>3640</v>
      </c>
      <c r="J744" s="36"/>
      <c r="K744" s="36"/>
      <c r="L744" s="377" t="s">
        <v>2718</v>
      </c>
      <c r="M744" s="378"/>
      <c r="N744" s="378"/>
      <c r="O744" s="454"/>
      <c r="P744" s="379"/>
      <c r="Q744" s="379">
        <v>0</v>
      </c>
      <c r="R744" s="379" t="s">
        <v>153</v>
      </c>
      <c r="S744" s="36"/>
      <c r="T744" s="390"/>
      <c r="U744" s="391"/>
      <c r="V744" s="379"/>
      <c r="W744" s="57" t="s">
        <v>4991</v>
      </c>
      <c r="X744" s="57" t="s">
        <v>4991</v>
      </c>
      <c r="Y744" s="379">
        <v>0</v>
      </c>
      <c r="Z744" s="379">
        <v>0</v>
      </c>
      <c r="AA744" s="379"/>
      <c r="AB744" s="379"/>
      <c r="AC744" s="36"/>
      <c r="AD744" s="36"/>
      <c r="AE744" s="36">
        <v>0</v>
      </c>
      <c r="AF744" s="36"/>
      <c r="AG744" s="36"/>
      <c r="AH744" s="36"/>
      <c r="AI744" s="36"/>
      <c r="AJ744" s="36"/>
      <c r="AK744" s="401"/>
      <c r="AL744" s="401"/>
      <c r="AM744" s="401"/>
      <c r="AN744" s="36"/>
      <c r="AO744" s="36"/>
      <c r="AP744" s="36"/>
      <c r="AQ744" s="36" t="s">
        <v>2794</v>
      </c>
      <c r="AR744" s="407"/>
    </row>
    <row r="745" spans="1:44" ht="15" customHeight="1">
      <c r="A745" s="36">
        <v>3010604</v>
      </c>
      <c r="B745" s="5" t="s">
        <v>3638</v>
      </c>
      <c r="C745" s="224" t="s">
        <v>5008</v>
      </c>
      <c r="D745" s="36" t="s">
        <v>2601</v>
      </c>
      <c r="E745" s="36"/>
      <c r="F745" s="36">
        <v>3</v>
      </c>
      <c r="G745" s="47">
        <v>8</v>
      </c>
      <c r="H745" s="36" t="s">
        <v>136</v>
      </c>
      <c r="I745" s="5" t="s">
        <v>3640</v>
      </c>
      <c r="J745" s="36"/>
      <c r="K745" s="36"/>
      <c r="L745" s="377" t="s">
        <v>2796</v>
      </c>
      <c r="M745" s="378"/>
      <c r="N745" s="378"/>
      <c r="O745" s="454"/>
      <c r="P745" s="379"/>
      <c r="Q745" s="379">
        <v>0</v>
      </c>
      <c r="R745" s="379" t="s">
        <v>153</v>
      </c>
      <c r="S745" s="36">
        <v>3010603</v>
      </c>
      <c r="T745" s="390" t="s">
        <v>2797</v>
      </c>
      <c r="U745" s="391"/>
      <c r="V745" s="379" t="s">
        <v>582</v>
      </c>
      <c r="W745" s="57" t="s">
        <v>5009</v>
      </c>
      <c r="X745" s="57" t="s">
        <v>5009</v>
      </c>
      <c r="Y745" s="379">
        <v>0</v>
      </c>
      <c r="Z745" s="379">
        <v>0</v>
      </c>
      <c r="AA745" s="379"/>
      <c r="AB745" s="379"/>
      <c r="AC745" s="36"/>
      <c r="AD745" s="36"/>
      <c r="AE745" s="36">
        <v>0</v>
      </c>
      <c r="AF745" s="36"/>
      <c r="AG745" s="36"/>
      <c r="AH745" s="36"/>
      <c r="AI745" s="36"/>
      <c r="AJ745" s="36"/>
      <c r="AK745" s="401"/>
      <c r="AL745" s="401"/>
      <c r="AM745" s="401"/>
      <c r="AN745" s="36"/>
      <c r="AO745" s="36"/>
      <c r="AP745" s="36"/>
      <c r="AQ745" s="36" t="s">
        <v>2799</v>
      </c>
      <c r="AR745" s="407"/>
    </row>
    <row r="746" spans="1:44" ht="15" customHeight="1">
      <c r="A746" s="36">
        <v>3010605</v>
      </c>
      <c r="B746" s="5" t="s">
        <v>3638</v>
      </c>
      <c r="C746" s="224" t="s">
        <v>5010</v>
      </c>
      <c r="D746" s="36" t="s">
        <v>2601</v>
      </c>
      <c r="E746" s="36"/>
      <c r="F746" s="36">
        <v>4</v>
      </c>
      <c r="G746" s="48">
        <v>8</v>
      </c>
      <c r="H746" s="36" t="s">
        <v>136</v>
      </c>
      <c r="I746" s="5" t="s">
        <v>3640</v>
      </c>
      <c r="J746" s="36"/>
      <c r="K746" s="36"/>
      <c r="L746" s="377" t="s">
        <v>2801</v>
      </c>
      <c r="M746" s="378"/>
      <c r="N746" s="378"/>
      <c r="O746" s="454"/>
      <c r="P746" s="379"/>
      <c r="Q746" s="379">
        <v>0</v>
      </c>
      <c r="R746" s="379" t="s">
        <v>153</v>
      </c>
      <c r="S746" s="36">
        <v>3010604</v>
      </c>
      <c r="T746" s="390"/>
      <c r="U746" s="391"/>
      <c r="V746" s="379" t="s">
        <v>582</v>
      </c>
      <c r="W746" s="57" t="s">
        <v>5011</v>
      </c>
      <c r="X746" s="57" t="s">
        <v>5011</v>
      </c>
      <c r="Y746" s="379">
        <v>0</v>
      </c>
      <c r="Z746" s="379">
        <v>0</v>
      </c>
      <c r="AA746" s="379"/>
      <c r="AB746" s="379"/>
      <c r="AC746" s="36"/>
      <c r="AD746" s="36"/>
      <c r="AE746" s="36">
        <v>0</v>
      </c>
      <c r="AF746" s="36"/>
      <c r="AG746" s="36"/>
      <c r="AH746" s="36"/>
      <c r="AI746" s="36"/>
      <c r="AJ746" s="36"/>
      <c r="AK746" s="401"/>
      <c r="AL746" s="401"/>
      <c r="AM746" s="401"/>
      <c r="AN746" s="36"/>
      <c r="AO746" s="36"/>
      <c r="AP746" s="36"/>
      <c r="AQ746" s="36" t="s">
        <v>2803</v>
      </c>
      <c r="AR746" s="407"/>
    </row>
    <row r="747" spans="1:44" ht="15" customHeight="1">
      <c r="A747" s="36">
        <v>3010606</v>
      </c>
      <c r="B747" s="5" t="s">
        <v>3638</v>
      </c>
      <c r="C747" s="224" t="s">
        <v>5012</v>
      </c>
      <c r="D747" s="36" t="s">
        <v>2601</v>
      </c>
      <c r="E747" s="36"/>
      <c r="F747" s="36">
        <v>5</v>
      </c>
      <c r="G747" s="47">
        <v>8</v>
      </c>
      <c r="H747" s="36" t="s">
        <v>136</v>
      </c>
      <c r="I747" s="5" t="s">
        <v>3640</v>
      </c>
      <c r="J747" s="36"/>
      <c r="K747" s="36"/>
      <c r="L747" s="377" t="s">
        <v>2805</v>
      </c>
      <c r="M747" s="378"/>
      <c r="N747" s="378"/>
      <c r="O747" s="454"/>
      <c r="P747" s="379"/>
      <c r="Q747" s="379">
        <v>0</v>
      </c>
      <c r="R747" s="379" t="s">
        <v>153</v>
      </c>
      <c r="S747" s="36">
        <v>3010606</v>
      </c>
      <c r="T747" s="390"/>
      <c r="U747" s="391"/>
      <c r="V747" s="379" t="s">
        <v>582</v>
      </c>
      <c r="W747" s="57" t="s">
        <v>5013</v>
      </c>
      <c r="X747" s="57" t="s">
        <v>5013</v>
      </c>
      <c r="Y747" s="379">
        <v>0</v>
      </c>
      <c r="Z747" s="379">
        <v>0</v>
      </c>
      <c r="AA747" s="379"/>
      <c r="AB747" s="379"/>
      <c r="AC747" s="36"/>
      <c r="AD747" s="36"/>
      <c r="AE747" s="36">
        <v>0</v>
      </c>
      <c r="AF747" s="36"/>
      <c r="AG747" s="36"/>
      <c r="AH747" s="36"/>
      <c r="AI747" s="36"/>
      <c r="AJ747" s="36"/>
      <c r="AK747" s="401"/>
      <c r="AL747" s="401"/>
      <c r="AM747" s="401"/>
      <c r="AN747" s="36"/>
      <c r="AO747" s="36"/>
      <c r="AP747" s="36"/>
      <c r="AQ747" s="36" t="s">
        <v>2807</v>
      </c>
      <c r="AR747" s="407"/>
    </row>
    <row r="748" spans="1:44" ht="15" customHeight="1">
      <c r="A748" s="36">
        <v>3010607</v>
      </c>
      <c r="B748" s="5" t="s">
        <v>3638</v>
      </c>
      <c r="C748" s="224" t="s">
        <v>5014</v>
      </c>
      <c r="D748" s="36" t="s">
        <v>2601</v>
      </c>
      <c r="E748" s="36"/>
      <c r="F748" s="36">
        <v>6</v>
      </c>
      <c r="G748" s="48">
        <v>8</v>
      </c>
      <c r="H748" s="36" t="s">
        <v>136</v>
      </c>
      <c r="I748" s="5" t="s">
        <v>3640</v>
      </c>
      <c r="J748" s="36"/>
      <c r="K748" s="36"/>
      <c r="L748" s="377" t="s">
        <v>2809</v>
      </c>
      <c r="M748" s="378"/>
      <c r="N748" s="378"/>
      <c r="O748" s="454"/>
      <c r="P748" s="379"/>
      <c r="Q748" s="379">
        <v>0</v>
      </c>
      <c r="R748" s="379" t="s">
        <v>153</v>
      </c>
      <c r="S748" s="36">
        <v>3010605</v>
      </c>
      <c r="T748" s="390" t="s">
        <v>2810</v>
      </c>
      <c r="U748" s="391"/>
      <c r="V748" s="379" t="s">
        <v>582</v>
      </c>
      <c r="W748" s="57" t="s">
        <v>5009</v>
      </c>
      <c r="X748" s="57" t="s">
        <v>5009</v>
      </c>
      <c r="Y748" s="379">
        <v>0</v>
      </c>
      <c r="Z748" s="379">
        <v>0</v>
      </c>
      <c r="AA748" s="379"/>
      <c r="AB748" s="379"/>
      <c r="AC748" s="36"/>
      <c r="AD748" s="36"/>
      <c r="AE748" s="36">
        <v>0</v>
      </c>
      <c r="AF748" s="36"/>
      <c r="AG748" s="36"/>
      <c r="AH748" s="36"/>
      <c r="AI748" s="36"/>
      <c r="AJ748" s="36"/>
      <c r="AK748" s="401"/>
      <c r="AL748" s="401"/>
      <c r="AM748" s="401"/>
      <c r="AN748" s="36"/>
      <c r="AO748" s="36"/>
      <c r="AP748" s="36"/>
      <c r="AQ748" s="36" t="s">
        <v>2811</v>
      </c>
      <c r="AR748" s="407"/>
    </row>
    <row r="749" spans="1:44" s="214" customFormat="1" ht="15" customHeight="1">
      <c r="A749" s="36">
        <v>3010608</v>
      </c>
      <c r="B749" s="5" t="s">
        <v>3638</v>
      </c>
      <c r="C749" s="224" t="s">
        <v>5015</v>
      </c>
      <c r="D749" s="36" t="s">
        <v>2601</v>
      </c>
      <c r="E749" s="36"/>
      <c r="F749" s="36">
        <v>7</v>
      </c>
      <c r="G749" s="47">
        <v>8</v>
      </c>
      <c r="H749" s="36" t="s">
        <v>136</v>
      </c>
      <c r="I749" s="5" t="s">
        <v>3640</v>
      </c>
      <c r="J749" s="36"/>
      <c r="K749" s="36"/>
      <c r="L749" s="454" t="s">
        <v>2813</v>
      </c>
      <c r="M749" s="378"/>
      <c r="N749" s="378"/>
      <c r="O749" s="454"/>
      <c r="P749" s="379"/>
      <c r="Q749" s="379">
        <v>0</v>
      </c>
      <c r="R749" s="379" t="s">
        <v>153</v>
      </c>
      <c r="S749" s="36"/>
      <c r="T749" s="390"/>
      <c r="U749" s="391"/>
      <c r="V749" s="379"/>
      <c r="W749" s="57" t="s">
        <v>5016</v>
      </c>
      <c r="X749" s="57" t="s">
        <v>5016</v>
      </c>
      <c r="Y749" s="379">
        <v>0</v>
      </c>
      <c r="Z749" s="379">
        <v>0</v>
      </c>
      <c r="AA749" s="379"/>
      <c r="AB749" s="379"/>
      <c r="AC749" s="36"/>
      <c r="AD749" s="36"/>
      <c r="AE749" s="36">
        <v>0</v>
      </c>
      <c r="AF749" s="36"/>
      <c r="AG749" s="36"/>
      <c r="AH749" s="36"/>
      <c r="AI749" s="36"/>
      <c r="AJ749" s="36"/>
      <c r="AK749" s="401"/>
      <c r="AL749" s="401"/>
      <c r="AM749" s="401"/>
      <c r="AN749" s="36"/>
      <c r="AO749" s="36"/>
      <c r="AP749" s="36"/>
      <c r="AQ749" s="36" t="s">
        <v>2815</v>
      </c>
      <c r="AR749" s="407"/>
    </row>
    <row r="750" spans="1:44" s="214" customFormat="1" ht="15" customHeight="1">
      <c r="A750" s="3">
        <v>3010609</v>
      </c>
      <c r="B750" s="5" t="s">
        <v>3638</v>
      </c>
      <c r="C750" s="224" t="s">
        <v>5017</v>
      </c>
      <c r="D750" s="3" t="s">
        <v>2601</v>
      </c>
      <c r="E750" s="3"/>
      <c r="F750" s="3">
        <v>8</v>
      </c>
      <c r="G750" s="48">
        <v>8</v>
      </c>
      <c r="H750" s="3" t="s">
        <v>136</v>
      </c>
      <c r="I750" s="5" t="s">
        <v>3640</v>
      </c>
      <c r="J750" s="3"/>
      <c r="K750" s="3"/>
      <c r="L750" s="236"/>
      <c r="M750" s="99"/>
      <c r="N750" s="99"/>
      <c r="O750" s="236"/>
      <c r="P750" s="22"/>
      <c r="Q750" s="22">
        <v>0</v>
      </c>
      <c r="R750" s="22" t="s">
        <v>153</v>
      </c>
      <c r="S750" s="3"/>
      <c r="T750" s="260"/>
      <c r="U750" s="261"/>
      <c r="V750" s="22"/>
      <c r="W750" s="57" t="s">
        <v>4948</v>
      </c>
      <c r="X750" s="57" t="s">
        <v>4948</v>
      </c>
      <c r="Y750" s="22"/>
      <c r="Z750" s="22"/>
      <c r="AA750" s="22"/>
      <c r="AB750" s="22" t="s">
        <v>114</v>
      </c>
      <c r="AC750" s="3"/>
      <c r="AD750" s="3"/>
      <c r="AE750" s="3">
        <v>0</v>
      </c>
      <c r="AF750" s="3">
        <v>0</v>
      </c>
      <c r="AG750" s="3">
        <v>0</v>
      </c>
      <c r="AH750" s="3"/>
      <c r="AI750" s="3">
        <v>0</v>
      </c>
      <c r="AJ750" s="3">
        <v>0</v>
      </c>
      <c r="AK750" s="3">
        <v>0</v>
      </c>
      <c r="AL750" s="3"/>
      <c r="AM750" s="3"/>
      <c r="AN750" s="3"/>
      <c r="AO750" s="3"/>
      <c r="AP750" s="3"/>
      <c r="AQ750" s="3" t="s">
        <v>2794</v>
      </c>
      <c r="AR750" s="281"/>
    </row>
    <row r="751" spans="1:44" s="214" customFormat="1" ht="15" customHeight="1">
      <c r="A751" s="3">
        <v>3010610</v>
      </c>
      <c r="B751" s="5" t="s">
        <v>3638</v>
      </c>
      <c r="C751" s="224" t="s">
        <v>5018</v>
      </c>
      <c r="D751" s="3" t="s">
        <v>2601</v>
      </c>
      <c r="E751" s="3"/>
      <c r="F751" s="3">
        <v>9</v>
      </c>
      <c r="G751" s="47">
        <v>8</v>
      </c>
      <c r="H751" s="3" t="s">
        <v>136</v>
      </c>
      <c r="I751" s="5" t="s">
        <v>3640</v>
      </c>
      <c r="J751" s="3"/>
      <c r="K751" s="3"/>
      <c r="L751" s="236"/>
      <c r="M751" s="99"/>
      <c r="N751" s="99"/>
      <c r="O751" s="236"/>
      <c r="P751" s="22"/>
      <c r="Q751" s="22">
        <v>0</v>
      </c>
      <c r="R751" s="22" t="s">
        <v>153</v>
      </c>
      <c r="S751" s="3"/>
      <c r="T751" s="260"/>
      <c r="U751" s="261"/>
      <c r="V751" s="22"/>
      <c r="W751" s="57" t="s">
        <v>5009</v>
      </c>
      <c r="X751" s="57" t="s">
        <v>5009</v>
      </c>
      <c r="Y751" s="22"/>
      <c r="Z751" s="22"/>
      <c r="AA751" s="22"/>
      <c r="AB751" s="22" t="s">
        <v>114</v>
      </c>
      <c r="AC751" s="3"/>
      <c r="AD751" s="3"/>
      <c r="AE751" s="3">
        <v>0</v>
      </c>
      <c r="AF751" s="3">
        <v>0</v>
      </c>
      <c r="AG751" s="3">
        <v>0</v>
      </c>
      <c r="AH751" s="3"/>
      <c r="AI751" s="3">
        <v>0</v>
      </c>
      <c r="AJ751" s="3">
        <v>0</v>
      </c>
      <c r="AK751" s="3">
        <v>0</v>
      </c>
      <c r="AL751" s="3"/>
      <c r="AM751" s="3"/>
      <c r="AN751" s="3"/>
      <c r="AO751" s="3"/>
      <c r="AP751" s="3"/>
      <c r="AQ751" s="282" t="str">
        <f>"tricks/"&amp;A751</f>
        <v>tricks/3010610</v>
      </c>
      <c r="AR751" s="222"/>
    </row>
    <row r="752" spans="1:44" s="214" customFormat="1" ht="15" customHeight="1">
      <c r="A752" s="3">
        <v>3010611</v>
      </c>
      <c r="B752" s="5" t="s">
        <v>3638</v>
      </c>
      <c r="C752" s="224" t="s">
        <v>5019</v>
      </c>
      <c r="D752" s="3" t="s">
        <v>2601</v>
      </c>
      <c r="E752" s="3"/>
      <c r="F752" s="3">
        <v>10</v>
      </c>
      <c r="G752" s="48">
        <v>8</v>
      </c>
      <c r="H752" s="3" t="s">
        <v>136</v>
      </c>
      <c r="I752" s="5" t="s">
        <v>3640</v>
      </c>
      <c r="J752" s="3"/>
      <c r="K752" s="3"/>
      <c r="L752" s="236"/>
      <c r="M752" s="99"/>
      <c r="N752" s="99"/>
      <c r="O752" s="236"/>
      <c r="P752" s="22"/>
      <c r="Q752" s="22">
        <v>0</v>
      </c>
      <c r="R752" s="22" t="s">
        <v>153</v>
      </c>
      <c r="S752" s="3"/>
      <c r="T752" s="260"/>
      <c r="U752" s="261"/>
      <c r="V752" s="22"/>
      <c r="W752" s="57" t="s">
        <v>4943</v>
      </c>
      <c r="X752" s="57" t="s">
        <v>4943</v>
      </c>
      <c r="Y752" s="22"/>
      <c r="Z752" s="22"/>
      <c r="AA752" s="22"/>
      <c r="AB752" s="22" t="s">
        <v>114</v>
      </c>
      <c r="AC752" s="3"/>
      <c r="AD752" s="3"/>
      <c r="AE752" s="3">
        <v>0</v>
      </c>
      <c r="AF752" s="3">
        <v>0</v>
      </c>
      <c r="AG752" s="3">
        <v>0</v>
      </c>
      <c r="AH752" s="3"/>
      <c r="AI752" s="3">
        <v>0</v>
      </c>
      <c r="AJ752" s="3">
        <v>0</v>
      </c>
      <c r="AK752" s="3">
        <v>0</v>
      </c>
      <c r="AL752" s="3"/>
      <c r="AM752" s="3"/>
      <c r="AN752" s="3"/>
      <c r="AO752" s="3"/>
      <c r="AP752" s="3"/>
      <c r="AQ752" s="282" t="str">
        <f>"tricks/"&amp;A752</f>
        <v>tricks/3010611</v>
      </c>
      <c r="AR752" s="222"/>
    </row>
    <row r="753" spans="1:44" s="214" customFormat="1" ht="15" customHeight="1">
      <c r="A753" s="6">
        <v>3010701</v>
      </c>
      <c r="B753" s="5" t="s">
        <v>3638</v>
      </c>
      <c r="C753" s="224" t="s">
        <v>5020</v>
      </c>
      <c r="D753" s="6" t="s">
        <v>2601</v>
      </c>
      <c r="E753" s="6"/>
      <c r="F753" s="36">
        <v>1</v>
      </c>
      <c r="G753" s="47">
        <v>8</v>
      </c>
      <c r="H753" s="6" t="s">
        <v>82</v>
      </c>
      <c r="I753" s="5" t="s">
        <v>3640</v>
      </c>
      <c r="J753" s="6"/>
      <c r="K753" s="6"/>
      <c r="L753" s="234" t="s">
        <v>2822</v>
      </c>
      <c r="M753" s="235"/>
      <c r="N753" s="235">
        <v>16</v>
      </c>
      <c r="O753" s="234"/>
      <c r="P753" s="40"/>
      <c r="Q753" s="40">
        <v>0</v>
      </c>
      <c r="R753" s="40" t="s">
        <v>153</v>
      </c>
      <c r="S753" s="6">
        <v>3010701</v>
      </c>
      <c r="T753" s="258"/>
      <c r="U753" s="259"/>
      <c r="V753" s="40" t="s">
        <v>582</v>
      </c>
      <c r="W753" s="57" t="s">
        <v>5021</v>
      </c>
      <c r="X753" s="57" t="s">
        <v>5021</v>
      </c>
      <c r="Y753" s="40">
        <v>0</v>
      </c>
      <c r="Z753" s="40">
        <v>0</v>
      </c>
      <c r="AA753" s="40"/>
      <c r="AB753" s="40"/>
      <c r="AC753" s="6"/>
      <c r="AD753" s="6"/>
      <c r="AE753" s="6">
        <v>2</v>
      </c>
      <c r="AF753" s="6"/>
      <c r="AG753" s="6">
        <v>30</v>
      </c>
      <c r="AH753" s="6"/>
      <c r="AI753" s="6"/>
      <c r="AJ753" s="6"/>
      <c r="AK753" s="272"/>
      <c r="AL753" s="272"/>
      <c r="AM753" s="272"/>
      <c r="AN753" s="42" t="s">
        <v>2824</v>
      </c>
      <c r="AO753" s="6"/>
      <c r="AP753" s="6"/>
      <c r="AQ753" s="6" t="s">
        <v>2825</v>
      </c>
      <c r="AR753" s="280"/>
    </row>
    <row r="754" spans="1:44" s="214" customFormat="1" ht="15" customHeight="1">
      <c r="A754" s="6">
        <v>3010702</v>
      </c>
      <c r="B754" s="5" t="s">
        <v>3638</v>
      </c>
      <c r="C754" s="224" t="s">
        <v>5022</v>
      </c>
      <c r="D754" s="6" t="s">
        <v>2601</v>
      </c>
      <c r="E754" s="6"/>
      <c r="F754" s="36">
        <v>1</v>
      </c>
      <c r="G754" s="48">
        <v>8</v>
      </c>
      <c r="H754" s="6" t="s">
        <v>136</v>
      </c>
      <c r="I754" s="5" t="s">
        <v>3640</v>
      </c>
      <c r="J754" s="6"/>
      <c r="K754" s="6"/>
      <c r="L754" s="234" t="s">
        <v>2827</v>
      </c>
      <c r="M754" s="235"/>
      <c r="N754" s="235"/>
      <c r="O754" s="234"/>
      <c r="P754" s="40"/>
      <c r="Q754" s="40">
        <v>0</v>
      </c>
      <c r="R754" s="40" t="s">
        <v>153</v>
      </c>
      <c r="S754" s="6">
        <v>3010702</v>
      </c>
      <c r="T754" s="258"/>
      <c r="U754" s="259"/>
      <c r="V754" s="40" t="s">
        <v>582</v>
      </c>
      <c r="W754" s="57" t="s">
        <v>4937</v>
      </c>
      <c r="X754" s="57" t="s">
        <v>4937</v>
      </c>
      <c r="Y754" s="40">
        <v>0</v>
      </c>
      <c r="Z754" s="40">
        <v>0</v>
      </c>
      <c r="AA754" s="40"/>
      <c r="AB754" s="40"/>
      <c r="AC754" s="6"/>
      <c r="AD754" s="6"/>
      <c r="AE754" s="6">
        <v>0</v>
      </c>
      <c r="AF754" s="6"/>
      <c r="AG754" s="6"/>
      <c r="AH754" s="6"/>
      <c r="AI754" s="6"/>
      <c r="AJ754" s="6"/>
      <c r="AK754" s="272"/>
      <c r="AL754" s="272"/>
      <c r="AM754" s="272"/>
      <c r="AN754" s="6"/>
      <c r="AO754" s="6"/>
      <c r="AP754" s="6"/>
      <c r="AQ754" s="6" t="s">
        <v>2828</v>
      </c>
      <c r="AR754" s="280"/>
    </row>
    <row r="755" spans="1:44" s="214" customFormat="1" ht="15" customHeight="1">
      <c r="A755" s="6">
        <v>3010703</v>
      </c>
      <c r="B755" s="5" t="s">
        <v>3638</v>
      </c>
      <c r="C755" s="224" t="s">
        <v>5023</v>
      </c>
      <c r="D755" s="6" t="s">
        <v>2601</v>
      </c>
      <c r="E755" s="6"/>
      <c r="F755" s="36">
        <v>2</v>
      </c>
      <c r="G755" s="47">
        <v>8</v>
      </c>
      <c r="H755" s="6" t="s">
        <v>136</v>
      </c>
      <c r="I755" s="5" t="s">
        <v>3640</v>
      </c>
      <c r="J755" s="6"/>
      <c r="K755" s="6"/>
      <c r="L755" s="234" t="s">
        <v>2830</v>
      </c>
      <c r="M755" s="235"/>
      <c r="N755" s="235"/>
      <c r="O755" s="234"/>
      <c r="P755" s="40"/>
      <c r="Q755" s="40">
        <v>0</v>
      </c>
      <c r="R755" s="40" t="s">
        <v>153</v>
      </c>
      <c r="S755" s="6">
        <v>3010704</v>
      </c>
      <c r="T755" s="258"/>
      <c r="U755" s="259"/>
      <c r="V755" s="40" t="s">
        <v>582</v>
      </c>
      <c r="W755" s="57" t="s">
        <v>5024</v>
      </c>
      <c r="X755" s="57" t="s">
        <v>5024</v>
      </c>
      <c r="Y755" s="40">
        <v>0</v>
      </c>
      <c r="Z755" s="40">
        <v>0</v>
      </c>
      <c r="AA755" s="40"/>
      <c r="AB755" s="40"/>
      <c r="AC755" s="6"/>
      <c r="AD755" s="6"/>
      <c r="AE755" s="6">
        <v>0</v>
      </c>
      <c r="AF755" s="6"/>
      <c r="AG755" s="6"/>
      <c r="AH755" s="6"/>
      <c r="AI755" s="6"/>
      <c r="AJ755" s="6"/>
      <c r="AK755" s="272"/>
      <c r="AL755" s="272"/>
      <c r="AM755" s="272"/>
      <c r="AN755" s="6"/>
      <c r="AO755" s="6"/>
      <c r="AP755" s="6"/>
      <c r="AQ755" s="6" t="s">
        <v>2832</v>
      </c>
      <c r="AR755" s="280"/>
    </row>
    <row r="756" spans="1:44" s="214" customFormat="1" ht="15" customHeight="1">
      <c r="A756" s="6">
        <v>3010704</v>
      </c>
      <c r="B756" s="5" t="s">
        <v>3638</v>
      </c>
      <c r="C756" s="224" t="s">
        <v>5025</v>
      </c>
      <c r="D756" s="6" t="s">
        <v>2601</v>
      </c>
      <c r="E756" s="6"/>
      <c r="F756" s="36">
        <v>3</v>
      </c>
      <c r="G756" s="48">
        <v>8</v>
      </c>
      <c r="H756" s="6" t="s">
        <v>136</v>
      </c>
      <c r="I756" s="5" t="s">
        <v>3640</v>
      </c>
      <c r="J756" s="6"/>
      <c r="K756" s="6"/>
      <c r="L756" s="234" t="s">
        <v>2834</v>
      </c>
      <c r="M756" s="235"/>
      <c r="N756" s="235"/>
      <c r="O756" s="234"/>
      <c r="P756" s="40"/>
      <c r="Q756" s="40">
        <v>0</v>
      </c>
      <c r="R756" s="40" t="s">
        <v>153</v>
      </c>
      <c r="S756" s="6">
        <v>3010703</v>
      </c>
      <c r="T756" s="258"/>
      <c r="U756" s="259"/>
      <c r="V756" s="40" t="s">
        <v>582</v>
      </c>
      <c r="W756" s="57" t="s">
        <v>5026</v>
      </c>
      <c r="X756" s="57" t="s">
        <v>5026</v>
      </c>
      <c r="Y756" s="40">
        <v>0</v>
      </c>
      <c r="Z756" s="40">
        <v>0</v>
      </c>
      <c r="AA756" s="40"/>
      <c r="AB756" s="40"/>
      <c r="AC756" s="6"/>
      <c r="AD756" s="6"/>
      <c r="AE756" s="6">
        <v>0</v>
      </c>
      <c r="AF756" s="6"/>
      <c r="AG756" s="6"/>
      <c r="AH756" s="6"/>
      <c r="AI756" s="6"/>
      <c r="AJ756" s="6"/>
      <c r="AK756" s="272"/>
      <c r="AL756" s="272"/>
      <c r="AM756" s="272"/>
      <c r="AN756" s="6"/>
      <c r="AO756" s="6"/>
      <c r="AP756" s="6"/>
      <c r="AQ756" s="6" t="s">
        <v>2836</v>
      </c>
      <c r="AR756" s="280"/>
    </row>
    <row r="757" spans="1:44" s="214" customFormat="1" ht="15" customHeight="1">
      <c r="A757" s="6">
        <v>3010705</v>
      </c>
      <c r="B757" s="5" t="s">
        <v>3638</v>
      </c>
      <c r="C757" s="224" t="s">
        <v>5027</v>
      </c>
      <c r="D757" s="6" t="s">
        <v>2601</v>
      </c>
      <c r="E757" s="6"/>
      <c r="F757" s="36">
        <v>4</v>
      </c>
      <c r="G757" s="47">
        <v>8</v>
      </c>
      <c r="H757" s="6" t="s">
        <v>136</v>
      </c>
      <c r="I757" s="5" t="s">
        <v>3640</v>
      </c>
      <c r="J757" s="6"/>
      <c r="K757" s="6"/>
      <c r="L757" s="234" t="s">
        <v>2838</v>
      </c>
      <c r="M757" s="235"/>
      <c r="N757" s="235"/>
      <c r="O757" s="234"/>
      <c r="P757" s="40"/>
      <c r="Q757" s="40">
        <v>0</v>
      </c>
      <c r="R757" s="40" t="s">
        <v>153</v>
      </c>
      <c r="S757" s="6"/>
      <c r="T757" s="258"/>
      <c r="U757" s="259"/>
      <c r="V757" s="40"/>
      <c r="W757" s="57" t="s">
        <v>4941</v>
      </c>
      <c r="X757" s="57" t="s">
        <v>4941</v>
      </c>
      <c r="Y757" s="40">
        <v>0</v>
      </c>
      <c r="Z757" s="40">
        <v>0</v>
      </c>
      <c r="AA757" s="40"/>
      <c r="AB757" s="40"/>
      <c r="AC757" s="6"/>
      <c r="AD757" s="6"/>
      <c r="AE757" s="6">
        <v>0</v>
      </c>
      <c r="AF757" s="6"/>
      <c r="AG757" s="6"/>
      <c r="AH757" s="6"/>
      <c r="AI757" s="6"/>
      <c r="AJ757" s="6"/>
      <c r="AK757" s="272"/>
      <c r="AL757" s="272"/>
      <c r="AM757" s="272"/>
      <c r="AN757" s="6"/>
      <c r="AO757" s="6"/>
      <c r="AP757" s="6"/>
      <c r="AQ757" s="6" t="s">
        <v>2839</v>
      </c>
      <c r="AR757" s="280"/>
    </row>
    <row r="758" spans="1:44" ht="15" customHeight="1">
      <c r="A758" s="6">
        <v>3010706</v>
      </c>
      <c r="B758" s="5" t="s">
        <v>3638</v>
      </c>
      <c r="C758" s="224" t="s">
        <v>5028</v>
      </c>
      <c r="D758" s="6" t="s">
        <v>2601</v>
      </c>
      <c r="E758" s="6"/>
      <c r="F758" s="36">
        <v>5</v>
      </c>
      <c r="G758" s="48">
        <v>8</v>
      </c>
      <c r="H758" s="6" t="s">
        <v>136</v>
      </c>
      <c r="I758" s="5" t="s">
        <v>3640</v>
      </c>
      <c r="J758" s="6"/>
      <c r="K758" s="6"/>
      <c r="L758" s="234" t="s">
        <v>2841</v>
      </c>
      <c r="M758" s="235"/>
      <c r="N758" s="235"/>
      <c r="O758" s="234"/>
      <c r="P758" s="40"/>
      <c r="Q758" s="40">
        <v>0</v>
      </c>
      <c r="R758" s="40" t="s">
        <v>153</v>
      </c>
      <c r="S758" s="6"/>
      <c r="T758" s="258"/>
      <c r="U758" s="259"/>
      <c r="V758" s="40"/>
      <c r="W758" s="57" t="s">
        <v>4943</v>
      </c>
      <c r="X758" s="57" t="s">
        <v>4943</v>
      </c>
      <c r="Y758" s="40">
        <v>0</v>
      </c>
      <c r="Z758" s="40">
        <v>0</v>
      </c>
      <c r="AA758" s="40"/>
      <c r="AB758" s="40"/>
      <c r="AC758" s="6"/>
      <c r="AD758" s="6"/>
      <c r="AE758" s="6">
        <v>0</v>
      </c>
      <c r="AF758" s="6"/>
      <c r="AG758" s="6"/>
      <c r="AH758" s="6"/>
      <c r="AI758" s="6"/>
      <c r="AJ758" s="6"/>
      <c r="AK758" s="272"/>
      <c r="AL758" s="272"/>
      <c r="AM758" s="272"/>
      <c r="AN758" s="6"/>
      <c r="AO758" s="6"/>
      <c r="AP758" s="6"/>
      <c r="AQ758" s="6" t="s">
        <v>2842</v>
      </c>
      <c r="AR758" s="280"/>
    </row>
    <row r="759" spans="1:44" ht="15" customHeight="1">
      <c r="A759" s="6">
        <v>3010707</v>
      </c>
      <c r="B759" s="5" t="s">
        <v>3638</v>
      </c>
      <c r="C759" s="224" t="s">
        <v>5029</v>
      </c>
      <c r="D759" s="6" t="s">
        <v>2601</v>
      </c>
      <c r="E759" s="6"/>
      <c r="F759" s="36">
        <v>6</v>
      </c>
      <c r="G759" s="47">
        <v>8</v>
      </c>
      <c r="H759" s="6" t="s">
        <v>136</v>
      </c>
      <c r="I759" s="5" t="s">
        <v>3640</v>
      </c>
      <c r="J759" s="6"/>
      <c r="K759" s="6"/>
      <c r="L759" s="234" t="s">
        <v>2844</v>
      </c>
      <c r="M759" s="235"/>
      <c r="N759" s="235"/>
      <c r="O759" s="234"/>
      <c r="P759" s="40"/>
      <c r="Q759" s="40">
        <v>0</v>
      </c>
      <c r="R759" s="40" t="s">
        <v>153</v>
      </c>
      <c r="S759" s="6">
        <v>3010705</v>
      </c>
      <c r="T759" s="258"/>
      <c r="U759" s="259"/>
      <c r="V759" s="40" t="s">
        <v>582</v>
      </c>
      <c r="W759" s="57" t="s">
        <v>5026</v>
      </c>
      <c r="X759" s="57" t="s">
        <v>5026</v>
      </c>
      <c r="Y759" s="40">
        <v>0</v>
      </c>
      <c r="Z759" s="40">
        <v>0</v>
      </c>
      <c r="AA759" s="40"/>
      <c r="AB759" s="40"/>
      <c r="AC759" s="6"/>
      <c r="AD759" s="6"/>
      <c r="AE759" s="6">
        <v>0</v>
      </c>
      <c r="AF759" s="6"/>
      <c r="AG759" s="6"/>
      <c r="AH759" s="6"/>
      <c r="AI759" s="6"/>
      <c r="AJ759" s="6"/>
      <c r="AK759" s="272"/>
      <c r="AL759" s="272"/>
      <c r="AM759" s="272"/>
      <c r="AN759" s="6"/>
      <c r="AO759" s="6"/>
      <c r="AP759" s="6"/>
      <c r="AQ759" s="6" t="s">
        <v>2845</v>
      </c>
      <c r="AR759" s="280"/>
    </row>
    <row r="760" spans="1:44" ht="15" customHeight="1">
      <c r="A760" s="6">
        <v>3010708</v>
      </c>
      <c r="B760" s="5" t="s">
        <v>3638</v>
      </c>
      <c r="C760" s="224" t="s">
        <v>5030</v>
      </c>
      <c r="D760" s="6" t="s">
        <v>2601</v>
      </c>
      <c r="E760" s="6"/>
      <c r="F760" s="36">
        <v>7</v>
      </c>
      <c r="G760" s="48">
        <v>8</v>
      </c>
      <c r="H760" s="6" t="s">
        <v>136</v>
      </c>
      <c r="I760" s="5" t="s">
        <v>3640</v>
      </c>
      <c r="J760" s="6"/>
      <c r="K760" s="6"/>
      <c r="L760" s="234" t="s">
        <v>2847</v>
      </c>
      <c r="M760" s="235"/>
      <c r="N760" s="235"/>
      <c r="O760" s="234"/>
      <c r="P760" s="40"/>
      <c r="Q760" s="40">
        <v>0</v>
      </c>
      <c r="R760" s="40" t="s">
        <v>153</v>
      </c>
      <c r="S760" s="6">
        <v>3010706</v>
      </c>
      <c r="T760" s="258"/>
      <c r="U760" s="259"/>
      <c r="V760" s="40" t="s">
        <v>582</v>
      </c>
      <c r="W760" s="57" t="s">
        <v>5031</v>
      </c>
      <c r="X760" s="57" t="s">
        <v>5031</v>
      </c>
      <c r="Y760" s="40">
        <v>0</v>
      </c>
      <c r="Z760" s="40">
        <v>0</v>
      </c>
      <c r="AA760" s="40"/>
      <c r="AB760" s="40"/>
      <c r="AC760" s="6"/>
      <c r="AD760" s="6"/>
      <c r="AE760" s="6">
        <v>0</v>
      </c>
      <c r="AF760" s="6"/>
      <c r="AG760" s="6"/>
      <c r="AH760" s="6"/>
      <c r="AI760" s="6"/>
      <c r="AJ760" s="6"/>
      <c r="AK760" s="272"/>
      <c r="AL760" s="272"/>
      <c r="AM760" s="272"/>
      <c r="AN760" s="6"/>
      <c r="AO760" s="6"/>
      <c r="AP760" s="6"/>
      <c r="AQ760" s="6" t="s">
        <v>2849</v>
      </c>
      <c r="AR760" s="280"/>
    </row>
    <row r="761" spans="1:44" ht="15" customHeight="1">
      <c r="A761" s="3">
        <v>3010709</v>
      </c>
      <c r="B761" s="5" t="s">
        <v>3638</v>
      </c>
      <c r="C761" s="224" t="s">
        <v>5032</v>
      </c>
      <c r="D761" s="3" t="s">
        <v>2601</v>
      </c>
      <c r="E761" s="3"/>
      <c r="F761" s="3">
        <v>8</v>
      </c>
      <c r="G761" s="47">
        <v>8</v>
      </c>
      <c r="H761" s="3" t="s">
        <v>136</v>
      </c>
      <c r="I761" s="5" t="s">
        <v>3640</v>
      </c>
      <c r="J761" s="3"/>
      <c r="K761" s="3"/>
      <c r="L761" s="236"/>
      <c r="M761" s="99"/>
      <c r="N761" s="99"/>
      <c r="O761" s="236"/>
      <c r="P761" s="22"/>
      <c r="Q761" s="22">
        <v>0</v>
      </c>
      <c r="R761" s="22" t="s">
        <v>153</v>
      </c>
      <c r="S761" s="3"/>
      <c r="T761" s="260"/>
      <c r="U761" s="261"/>
      <c r="V761" s="22"/>
      <c r="W761" s="57" t="s">
        <v>4948</v>
      </c>
      <c r="X761" s="57" t="s">
        <v>4948</v>
      </c>
      <c r="Y761" s="22"/>
      <c r="Z761" s="22"/>
      <c r="AA761" s="22"/>
      <c r="AB761" s="22" t="s">
        <v>114</v>
      </c>
      <c r="AC761" s="3"/>
      <c r="AD761" s="3"/>
      <c r="AE761" s="3">
        <v>0</v>
      </c>
      <c r="AF761" s="3">
        <v>0</v>
      </c>
      <c r="AG761" s="3">
        <v>0</v>
      </c>
      <c r="AH761" s="3"/>
      <c r="AI761" s="3">
        <v>0</v>
      </c>
      <c r="AJ761" s="3">
        <v>0</v>
      </c>
      <c r="AK761" s="3">
        <v>0</v>
      </c>
      <c r="AL761" s="3"/>
      <c r="AM761" s="3"/>
      <c r="AN761" s="3"/>
      <c r="AO761" s="3"/>
      <c r="AP761" s="3"/>
      <c r="AQ761" s="3" t="s">
        <v>2832</v>
      </c>
      <c r="AR761" s="281"/>
    </row>
    <row r="762" spans="1:44" ht="15" customHeight="1">
      <c r="A762" s="3">
        <v>3010710</v>
      </c>
      <c r="B762" s="5" t="s">
        <v>3638</v>
      </c>
      <c r="C762" s="224" t="s">
        <v>5033</v>
      </c>
      <c r="D762" s="3" t="s">
        <v>2601</v>
      </c>
      <c r="E762" s="3"/>
      <c r="F762" s="3">
        <v>9</v>
      </c>
      <c r="G762" s="48">
        <v>8</v>
      </c>
      <c r="H762" s="3" t="s">
        <v>136</v>
      </c>
      <c r="I762" s="5" t="s">
        <v>3640</v>
      </c>
      <c r="J762" s="3"/>
      <c r="K762" s="3"/>
      <c r="L762" s="236"/>
      <c r="M762" s="99"/>
      <c r="N762" s="99"/>
      <c r="O762" s="236"/>
      <c r="P762" s="22"/>
      <c r="Q762" s="22">
        <v>0</v>
      </c>
      <c r="R762" s="22" t="s">
        <v>153</v>
      </c>
      <c r="S762" s="3"/>
      <c r="T762" s="260"/>
      <c r="U762" s="261"/>
      <c r="V762" s="22"/>
      <c r="W762" s="57" t="s">
        <v>5034</v>
      </c>
      <c r="X762" s="57" t="s">
        <v>5034</v>
      </c>
      <c r="Y762" s="22"/>
      <c r="Z762" s="22"/>
      <c r="AA762" s="22"/>
      <c r="AB762" s="22" t="s">
        <v>114</v>
      </c>
      <c r="AC762" s="3"/>
      <c r="AD762" s="3"/>
      <c r="AE762" s="3">
        <v>0</v>
      </c>
      <c r="AF762" s="3">
        <v>0</v>
      </c>
      <c r="AG762" s="3">
        <v>0</v>
      </c>
      <c r="AH762" s="3"/>
      <c r="AI762" s="3">
        <v>0</v>
      </c>
      <c r="AJ762" s="3">
        <v>0</v>
      </c>
      <c r="AK762" s="3">
        <v>0</v>
      </c>
      <c r="AL762" s="3"/>
      <c r="AM762" s="3"/>
      <c r="AN762" s="3"/>
      <c r="AO762" s="3"/>
      <c r="AP762" s="3"/>
      <c r="AQ762" s="282" t="str">
        <f>"tricks/"&amp;A762</f>
        <v>tricks/3010710</v>
      </c>
    </row>
    <row r="763" spans="1:44" ht="15" customHeight="1">
      <c r="A763" s="3">
        <v>3010711</v>
      </c>
      <c r="B763" s="5" t="s">
        <v>3638</v>
      </c>
      <c r="C763" s="224" t="s">
        <v>5035</v>
      </c>
      <c r="D763" s="3" t="s">
        <v>2601</v>
      </c>
      <c r="E763" s="3"/>
      <c r="F763" s="3">
        <v>10</v>
      </c>
      <c r="G763" s="47">
        <v>8</v>
      </c>
      <c r="H763" s="3" t="s">
        <v>136</v>
      </c>
      <c r="I763" s="5" t="s">
        <v>3640</v>
      </c>
      <c r="J763" s="3"/>
      <c r="K763" s="3"/>
      <c r="L763" s="236"/>
      <c r="M763" s="99"/>
      <c r="N763" s="99"/>
      <c r="O763" s="236"/>
      <c r="P763" s="22"/>
      <c r="Q763" s="22">
        <v>0</v>
      </c>
      <c r="R763" s="22" t="s">
        <v>153</v>
      </c>
      <c r="S763" s="3"/>
      <c r="T763" s="260"/>
      <c r="U763" s="261"/>
      <c r="V763" s="22"/>
      <c r="W763" s="57" t="s">
        <v>5036</v>
      </c>
      <c r="X763" s="57" t="s">
        <v>5036</v>
      </c>
      <c r="Y763" s="22"/>
      <c r="Z763" s="22"/>
      <c r="AA763" s="22"/>
      <c r="AB763" s="22" t="s">
        <v>114</v>
      </c>
      <c r="AC763" s="3"/>
      <c r="AD763" s="3"/>
      <c r="AE763" s="3">
        <v>0</v>
      </c>
      <c r="AF763" s="3">
        <v>0</v>
      </c>
      <c r="AG763" s="3">
        <v>0</v>
      </c>
      <c r="AH763" s="3"/>
      <c r="AI763" s="3">
        <v>0</v>
      </c>
      <c r="AJ763" s="3">
        <v>0</v>
      </c>
      <c r="AK763" s="3">
        <v>0</v>
      </c>
      <c r="AL763" s="3"/>
      <c r="AM763" s="3"/>
      <c r="AN763" s="3"/>
      <c r="AO763" s="3"/>
      <c r="AP763" s="3"/>
      <c r="AQ763" s="282" t="str">
        <f>"tricks/"&amp;A763</f>
        <v>tricks/3010711</v>
      </c>
    </row>
    <row r="764" spans="1:44" ht="15" customHeight="1">
      <c r="A764" s="37">
        <v>3010801</v>
      </c>
      <c r="B764" s="5" t="s">
        <v>3638</v>
      </c>
      <c r="C764" s="224" t="s">
        <v>5037</v>
      </c>
      <c r="D764" s="37" t="s">
        <v>2601</v>
      </c>
      <c r="E764" s="37"/>
      <c r="F764" s="36">
        <v>1</v>
      </c>
      <c r="G764" s="48">
        <v>8</v>
      </c>
      <c r="H764" s="37" t="s">
        <v>82</v>
      </c>
      <c r="I764" s="5" t="s">
        <v>3640</v>
      </c>
      <c r="J764" s="37"/>
      <c r="K764" s="37"/>
      <c r="L764" s="432" t="s">
        <v>2857</v>
      </c>
      <c r="M764" s="409"/>
      <c r="N764" s="378">
        <v>17</v>
      </c>
      <c r="O764" s="432"/>
      <c r="P764" s="410"/>
      <c r="Q764" s="410">
        <v>0</v>
      </c>
      <c r="R764" s="410" t="s">
        <v>153</v>
      </c>
      <c r="S764" s="37">
        <v>3010801</v>
      </c>
      <c r="T764" s="415"/>
      <c r="U764" s="416"/>
      <c r="V764" s="410" t="s">
        <v>582</v>
      </c>
      <c r="W764" s="57" t="s">
        <v>5038</v>
      </c>
      <c r="X764" s="57" t="s">
        <v>5038</v>
      </c>
      <c r="Y764" s="410">
        <v>0</v>
      </c>
      <c r="Z764" s="410">
        <v>0</v>
      </c>
      <c r="AA764" s="410"/>
      <c r="AB764" s="410"/>
      <c r="AC764" s="37"/>
      <c r="AD764" s="37"/>
      <c r="AE764" s="37">
        <v>2</v>
      </c>
      <c r="AF764" s="37"/>
      <c r="AG764" s="37">
        <v>40</v>
      </c>
      <c r="AH764" s="37">
        <v>5</v>
      </c>
      <c r="AI764" s="37"/>
      <c r="AJ764" s="37"/>
      <c r="AK764" s="420"/>
      <c r="AL764" s="420"/>
      <c r="AM764" s="420"/>
      <c r="AN764" s="43" t="s">
        <v>2859</v>
      </c>
      <c r="AO764" s="37"/>
      <c r="AP764" s="37"/>
      <c r="AQ764" s="37" t="s">
        <v>2860</v>
      </c>
      <c r="AR764" s="423"/>
    </row>
    <row r="765" spans="1:44" ht="15" customHeight="1">
      <c r="A765" s="37">
        <v>3010802</v>
      </c>
      <c r="B765" s="5" t="s">
        <v>3638</v>
      </c>
      <c r="C765" s="224" t="s">
        <v>5039</v>
      </c>
      <c r="D765" s="37" t="s">
        <v>2601</v>
      </c>
      <c r="E765" s="37"/>
      <c r="F765" s="36">
        <v>1</v>
      </c>
      <c r="G765" s="47">
        <v>8</v>
      </c>
      <c r="H765" s="37" t="s">
        <v>136</v>
      </c>
      <c r="I765" s="5" t="s">
        <v>3640</v>
      </c>
      <c r="J765" s="37"/>
      <c r="K765" s="37"/>
      <c r="L765" s="432" t="s">
        <v>2862</v>
      </c>
      <c r="M765" s="409"/>
      <c r="N765" s="409"/>
      <c r="O765" s="432"/>
      <c r="P765" s="410"/>
      <c r="Q765" s="410">
        <v>0</v>
      </c>
      <c r="R765" s="410" t="s">
        <v>153</v>
      </c>
      <c r="S765" s="37">
        <v>3010802</v>
      </c>
      <c r="T765" s="415"/>
      <c r="U765" s="416"/>
      <c r="V765" s="410" t="s">
        <v>582</v>
      </c>
      <c r="W765" s="57" t="s">
        <v>4991</v>
      </c>
      <c r="X765" s="57" t="s">
        <v>4991</v>
      </c>
      <c r="Y765" s="410">
        <v>0</v>
      </c>
      <c r="Z765" s="410">
        <v>0</v>
      </c>
      <c r="AA765" s="410"/>
      <c r="AB765" s="410"/>
      <c r="AC765" s="37"/>
      <c r="AD765" s="37"/>
      <c r="AE765" s="37">
        <v>0</v>
      </c>
      <c r="AF765" s="37"/>
      <c r="AG765" s="37"/>
      <c r="AH765" s="37"/>
      <c r="AI765" s="37"/>
      <c r="AJ765" s="37"/>
      <c r="AK765" s="420"/>
      <c r="AL765" s="420"/>
      <c r="AM765" s="420"/>
      <c r="AN765" s="37"/>
      <c r="AO765" s="37"/>
      <c r="AP765" s="37"/>
      <c r="AQ765" s="37" t="s">
        <v>2864</v>
      </c>
      <c r="AR765" s="423"/>
    </row>
    <row r="766" spans="1:44" ht="15" customHeight="1">
      <c r="A766" s="37">
        <v>3010803</v>
      </c>
      <c r="B766" s="5" t="s">
        <v>3638</v>
      </c>
      <c r="C766" s="224" t="s">
        <v>5040</v>
      </c>
      <c r="D766" s="37" t="s">
        <v>2601</v>
      </c>
      <c r="E766" s="37"/>
      <c r="F766" s="36">
        <v>2</v>
      </c>
      <c r="G766" s="48">
        <v>8</v>
      </c>
      <c r="H766" s="37" t="s">
        <v>136</v>
      </c>
      <c r="I766" s="5" t="s">
        <v>3640</v>
      </c>
      <c r="J766" s="37"/>
      <c r="K766" s="37"/>
      <c r="L766" s="432" t="s">
        <v>2866</v>
      </c>
      <c r="M766" s="409"/>
      <c r="N766" s="409"/>
      <c r="O766" s="432"/>
      <c r="P766" s="410"/>
      <c r="Q766" s="410">
        <v>0</v>
      </c>
      <c r="R766" s="410" t="s">
        <v>153</v>
      </c>
      <c r="S766" s="37"/>
      <c r="T766" s="415"/>
      <c r="U766" s="416"/>
      <c r="V766" s="410"/>
      <c r="W766" s="57" t="s">
        <v>5041</v>
      </c>
      <c r="X766" s="57" t="s">
        <v>5041</v>
      </c>
      <c r="Y766" s="410">
        <v>0</v>
      </c>
      <c r="Z766" s="410">
        <v>0</v>
      </c>
      <c r="AA766" s="410"/>
      <c r="AB766" s="410"/>
      <c r="AC766" s="37"/>
      <c r="AD766" s="37"/>
      <c r="AE766" s="37">
        <v>0</v>
      </c>
      <c r="AF766" s="37"/>
      <c r="AG766" s="37"/>
      <c r="AH766" s="37"/>
      <c r="AI766" s="37"/>
      <c r="AJ766" s="37"/>
      <c r="AK766" s="420"/>
      <c r="AL766" s="420"/>
      <c r="AM766" s="420"/>
      <c r="AN766" s="37"/>
      <c r="AO766" s="37"/>
      <c r="AP766" s="37"/>
      <c r="AQ766" s="37" t="s">
        <v>2868</v>
      </c>
      <c r="AR766" s="423"/>
    </row>
    <row r="767" spans="1:44" ht="15" customHeight="1">
      <c r="A767" s="37">
        <v>3010804</v>
      </c>
      <c r="B767" s="5" t="s">
        <v>3638</v>
      </c>
      <c r="C767" s="224" t="s">
        <v>5042</v>
      </c>
      <c r="D767" s="37" t="s">
        <v>2601</v>
      </c>
      <c r="E767" s="37"/>
      <c r="F767" s="36">
        <v>3</v>
      </c>
      <c r="G767" s="47">
        <v>8</v>
      </c>
      <c r="H767" s="37" t="s">
        <v>136</v>
      </c>
      <c r="I767" s="5" t="s">
        <v>3640</v>
      </c>
      <c r="J767" s="37"/>
      <c r="K767" s="37"/>
      <c r="L767" s="432" t="s">
        <v>2870</v>
      </c>
      <c r="M767" s="409"/>
      <c r="N767" s="409"/>
      <c r="O767" s="432"/>
      <c r="P767" s="410"/>
      <c r="Q767" s="410">
        <v>0</v>
      </c>
      <c r="R767" s="410" t="s">
        <v>153</v>
      </c>
      <c r="S767" s="37">
        <v>3010803</v>
      </c>
      <c r="T767" s="415"/>
      <c r="U767" s="416"/>
      <c r="V767" s="410" t="s">
        <v>582</v>
      </c>
      <c r="W767" s="57" t="s">
        <v>5043</v>
      </c>
      <c r="X767" s="57" t="s">
        <v>5043</v>
      </c>
      <c r="Y767" s="410">
        <v>0</v>
      </c>
      <c r="Z767" s="410">
        <v>0</v>
      </c>
      <c r="AA767" s="410"/>
      <c r="AB767" s="410"/>
      <c r="AC767" s="37"/>
      <c r="AD767" s="37"/>
      <c r="AE767" s="37">
        <v>0</v>
      </c>
      <c r="AF767" s="37"/>
      <c r="AG767" s="37"/>
      <c r="AH767" s="37"/>
      <c r="AI767" s="37"/>
      <c r="AJ767" s="37"/>
      <c r="AK767" s="420"/>
      <c r="AL767" s="420"/>
      <c r="AM767" s="420"/>
      <c r="AN767" s="37"/>
      <c r="AO767" s="37"/>
      <c r="AP767" s="37"/>
      <c r="AQ767" s="37" t="s">
        <v>2872</v>
      </c>
      <c r="AR767" s="423"/>
    </row>
    <row r="768" spans="1:44" ht="15" customHeight="1">
      <c r="A768" s="37">
        <v>3010805</v>
      </c>
      <c r="B768" s="5" t="s">
        <v>3638</v>
      </c>
      <c r="C768" s="224" t="s">
        <v>5044</v>
      </c>
      <c r="D768" s="37" t="s">
        <v>2601</v>
      </c>
      <c r="E768" s="37"/>
      <c r="F768" s="36">
        <v>4</v>
      </c>
      <c r="G768" s="48">
        <v>8</v>
      </c>
      <c r="H768" s="37" t="s">
        <v>136</v>
      </c>
      <c r="I768" s="5" t="s">
        <v>3640</v>
      </c>
      <c r="J768" s="37"/>
      <c r="K768" s="37"/>
      <c r="L768" s="432" t="s">
        <v>2763</v>
      </c>
      <c r="M768" s="409"/>
      <c r="N768" s="409"/>
      <c r="O768" s="432"/>
      <c r="P768" s="410"/>
      <c r="Q768" s="410">
        <v>0</v>
      </c>
      <c r="R768" s="410" t="s">
        <v>153</v>
      </c>
      <c r="S768" s="37">
        <v>3010804</v>
      </c>
      <c r="T768" s="415"/>
      <c r="U768" s="416"/>
      <c r="V768" s="410" t="s">
        <v>582</v>
      </c>
      <c r="W768" s="57" t="s">
        <v>4989</v>
      </c>
      <c r="X768" s="57" t="s">
        <v>4989</v>
      </c>
      <c r="Y768" s="410">
        <v>0</v>
      </c>
      <c r="Z768" s="410">
        <v>0</v>
      </c>
      <c r="AA768" s="410"/>
      <c r="AB768" s="410"/>
      <c r="AC768" s="37"/>
      <c r="AD768" s="37"/>
      <c r="AE768" s="37">
        <v>0</v>
      </c>
      <c r="AF768" s="37"/>
      <c r="AG768" s="37"/>
      <c r="AH768" s="37"/>
      <c r="AI768" s="37"/>
      <c r="AJ768" s="37"/>
      <c r="AK768" s="420"/>
      <c r="AL768" s="420"/>
      <c r="AM768" s="420"/>
      <c r="AN768" s="529"/>
      <c r="AO768" s="37"/>
      <c r="AP768" s="37"/>
      <c r="AQ768" s="37" t="s">
        <v>2874</v>
      </c>
      <c r="AR768" s="423"/>
    </row>
    <row r="769" spans="1:44" ht="15" customHeight="1">
      <c r="A769" s="37">
        <v>3010806</v>
      </c>
      <c r="B769" s="5" t="s">
        <v>3638</v>
      </c>
      <c r="C769" s="224" t="s">
        <v>5045</v>
      </c>
      <c r="D769" s="37" t="s">
        <v>2601</v>
      </c>
      <c r="E769" s="37"/>
      <c r="F769" s="36">
        <v>5</v>
      </c>
      <c r="G769" s="47">
        <v>8</v>
      </c>
      <c r="H769" s="37" t="s">
        <v>136</v>
      </c>
      <c r="I769" s="5" t="s">
        <v>3640</v>
      </c>
      <c r="J769" s="37"/>
      <c r="K769" s="37"/>
      <c r="L769" s="432" t="s">
        <v>2876</v>
      </c>
      <c r="M769" s="409"/>
      <c r="N769" s="409"/>
      <c r="O769" s="432"/>
      <c r="P769" s="410"/>
      <c r="Q769" s="410">
        <v>0</v>
      </c>
      <c r="R769" s="410" t="s">
        <v>153</v>
      </c>
      <c r="S769" s="37"/>
      <c r="T769" s="415"/>
      <c r="U769" s="416"/>
      <c r="V769" s="410"/>
      <c r="W769" s="57" t="s">
        <v>5046</v>
      </c>
      <c r="X769" s="57" t="s">
        <v>5046</v>
      </c>
      <c r="Y769" s="410">
        <v>0</v>
      </c>
      <c r="Z769" s="410">
        <v>0</v>
      </c>
      <c r="AA769" s="410"/>
      <c r="AB769" s="410"/>
      <c r="AC769" s="37"/>
      <c r="AD769" s="37"/>
      <c r="AE769" s="37">
        <v>0</v>
      </c>
      <c r="AF769" s="37"/>
      <c r="AG769" s="37"/>
      <c r="AH769" s="37"/>
      <c r="AI769" s="37"/>
      <c r="AJ769" s="37"/>
      <c r="AK769" s="420"/>
      <c r="AL769" s="420"/>
      <c r="AM769" s="420"/>
      <c r="AN769" s="529"/>
      <c r="AO769" s="37"/>
      <c r="AP769" s="37"/>
      <c r="AQ769" s="37" t="s">
        <v>2878</v>
      </c>
      <c r="AR769" s="423"/>
    </row>
    <row r="770" spans="1:44" ht="15" customHeight="1">
      <c r="A770" s="37">
        <v>3010807</v>
      </c>
      <c r="B770" s="5" t="s">
        <v>3638</v>
      </c>
      <c r="C770" s="224" t="s">
        <v>5047</v>
      </c>
      <c r="D770" s="37" t="s">
        <v>2601</v>
      </c>
      <c r="E770" s="37"/>
      <c r="F770" s="36">
        <v>6</v>
      </c>
      <c r="G770" s="48">
        <v>8</v>
      </c>
      <c r="H770" s="37" t="s">
        <v>136</v>
      </c>
      <c r="I770" s="5" t="s">
        <v>3640</v>
      </c>
      <c r="J770" s="37"/>
      <c r="K770" s="37"/>
      <c r="L770" s="432" t="s">
        <v>2880</v>
      </c>
      <c r="M770" s="409"/>
      <c r="N770" s="409"/>
      <c r="O770" s="432"/>
      <c r="P770" s="410"/>
      <c r="Q770" s="410">
        <v>0</v>
      </c>
      <c r="R770" s="410" t="s">
        <v>153</v>
      </c>
      <c r="S770" s="37">
        <v>3010805</v>
      </c>
      <c r="T770" s="415"/>
      <c r="U770" s="416"/>
      <c r="V770" s="410" t="s">
        <v>582</v>
      </c>
      <c r="W770" s="57" t="s">
        <v>5043</v>
      </c>
      <c r="X770" s="57" t="s">
        <v>5043</v>
      </c>
      <c r="Y770" s="410">
        <v>0</v>
      </c>
      <c r="Z770" s="410">
        <v>0</v>
      </c>
      <c r="AA770" s="410"/>
      <c r="AB770" s="410"/>
      <c r="AC770" s="37"/>
      <c r="AD770" s="37"/>
      <c r="AE770" s="37">
        <v>0</v>
      </c>
      <c r="AF770" s="37"/>
      <c r="AG770" s="37"/>
      <c r="AH770" s="37"/>
      <c r="AI770" s="37"/>
      <c r="AJ770" s="37"/>
      <c r="AK770" s="420"/>
      <c r="AL770" s="420"/>
      <c r="AM770" s="420"/>
      <c r="AN770" s="37"/>
      <c r="AO770" s="37"/>
      <c r="AP770" s="37"/>
      <c r="AQ770" s="37" t="s">
        <v>2881</v>
      </c>
      <c r="AR770" s="423"/>
    </row>
    <row r="771" spans="1:44" ht="15" customHeight="1">
      <c r="A771" s="37">
        <v>3010808</v>
      </c>
      <c r="B771" s="5" t="s">
        <v>3638</v>
      </c>
      <c r="C771" s="224" t="s">
        <v>5048</v>
      </c>
      <c r="D771" s="37" t="s">
        <v>2601</v>
      </c>
      <c r="E771" s="37"/>
      <c r="F771" s="36">
        <v>7</v>
      </c>
      <c r="G771" s="47">
        <v>8</v>
      </c>
      <c r="H771" s="37" t="s">
        <v>136</v>
      </c>
      <c r="I771" s="5" t="s">
        <v>3640</v>
      </c>
      <c r="J771" s="37"/>
      <c r="K771" s="37"/>
      <c r="L771" s="432" t="s">
        <v>2883</v>
      </c>
      <c r="M771" s="409"/>
      <c r="N771" s="409"/>
      <c r="O771" s="432"/>
      <c r="P771" s="410"/>
      <c r="Q771" s="410">
        <v>0</v>
      </c>
      <c r="R771" s="410" t="s">
        <v>153</v>
      </c>
      <c r="S771" s="37">
        <v>3010806</v>
      </c>
      <c r="T771" s="415"/>
      <c r="U771" s="416"/>
      <c r="V771" s="410" t="s">
        <v>582</v>
      </c>
      <c r="W771" s="57" t="s">
        <v>5049</v>
      </c>
      <c r="X771" s="57" t="s">
        <v>5049</v>
      </c>
      <c r="Y771" s="410">
        <v>0</v>
      </c>
      <c r="Z771" s="410">
        <v>0</v>
      </c>
      <c r="AA771" s="410"/>
      <c r="AB771" s="410"/>
      <c r="AC771" s="37"/>
      <c r="AD771" s="37"/>
      <c r="AE771" s="37">
        <v>0</v>
      </c>
      <c r="AF771" s="37"/>
      <c r="AG771" s="37"/>
      <c r="AH771" s="37"/>
      <c r="AI771" s="37"/>
      <c r="AJ771" s="37"/>
      <c r="AK771" s="420"/>
      <c r="AL771" s="420"/>
      <c r="AM771" s="420"/>
      <c r="AN771" s="37"/>
      <c r="AO771" s="37"/>
      <c r="AP771" s="37"/>
      <c r="AQ771" s="37" t="s">
        <v>2885</v>
      </c>
      <c r="AR771" s="423"/>
    </row>
    <row r="772" spans="1:44" ht="15" customHeight="1">
      <c r="A772" s="3">
        <v>3010809</v>
      </c>
      <c r="B772" s="5" t="s">
        <v>3638</v>
      </c>
      <c r="C772" s="224" t="s">
        <v>5050</v>
      </c>
      <c r="D772" s="3" t="s">
        <v>2601</v>
      </c>
      <c r="E772" s="3"/>
      <c r="F772" s="3">
        <v>8</v>
      </c>
      <c r="G772" s="48">
        <v>8</v>
      </c>
      <c r="H772" s="3" t="s">
        <v>136</v>
      </c>
      <c r="I772" s="5" t="s">
        <v>3640</v>
      </c>
      <c r="J772" s="3"/>
      <c r="K772" s="3"/>
      <c r="L772" s="236"/>
      <c r="M772" s="99"/>
      <c r="N772" s="99"/>
      <c r="O772" s="236"/>
      <c r="P772" s="22"/>
      <c r="Q772" s="22">
        <v>0</v>
      </c>
      <c r="R772" s="22" t="s">
        <v>153</v>
      </c>
      <c r="S772" s="3"/>
      <c r="T772" s="260"/>
      <c r="U772" s="261"/>
      <c r="V772" s="22"/>
      <c r="W772" s="57" t="s">
        <v>4948</v>
      </c>
      <c r="X772" s="57" t="s">
        <v>4948</v>
      </c>
      <c r="Y772" s="22"/>
      <c r="Z772" s="22"/>
      <c r="AA772" s="22"/>
      <c r="AB772" s="22" t="s">
        <v>114</v>
      </c>
      <c r="AC772" s="3"/>
      <c r="AD772" s="3"/>
      <c r="AE772" s="3">
        <v>0</v>
      </c>
      <c r="AF772" s="3">
        <v>0</v>
      </c>
      <c r="AG772" s="3">
        <v>0</v>
      </c>
      <c r="AH772" s="3"/>
      <c r="AI772" s="3">
        <v>0</v>
      </c>
      <c r="AJ772" s="3">
        <v>0</v>
      </c>
      <c r="AK772" s="3">
        <v>0</v>
      </c>
      <c r="AL772" s="3"/>
      <c r="AM772" s="3"/>
      <c r="AN772" s="3"/>
      <c r="AO772" s="3"/>
      <c r="AP772" s="3"/>
      <c r="AQ772" s="3" t="s">
        <v>2868</v>
      </c>
      <c r="AR772" s="281"/>
    </row>
    <row r="773" spans="1:44" ht="15" customHeight="1">
      <c r="A773" s="3">
        <v>3010810</v>
      </c>
      <c r="B773" s="5" t="s">
        <v>3638</v>
      </c>
      <c r="C773" s="224" t="s">
        <v>5051</v>
      </c>
      <c r="D773" s="3" t="s">
        <v>2601</v>
      </c>
      <c r="E773" s="3"/>
      <c r="F773" s="3">
        <v>9</v>
      </c>
      <c r="G773" s="47">
        <v>8</v>
      </c>
      <c r="H773" s="3" t="s">
        <v>136</v>
      </c>
      <c r="I773" s="5" t="s">
        <v>3640</v>
      </c>
      <c r="J773" s="3"/>
      <c r="K773" s="3"/>
      <c r="L773" s="236"/>
      <c r="M773" s="99"/>
      <c r="N773" s="99"/>
      <c r="O773" s="236"/>
      <c r="P773" s="22"/>
      <c r="Q773" s="22">
        <v>0</v>
      </c>
      <c r="R773" s="22" t="s">
        <v>153</v>
      </c>
      <c r="S773" s="3"/>
      <c r="T773" s="260"/>
      <c r="U773" s="261"/>
      <c r="V773" s="22"/>
      <c r="W773" s="57" t="s">
        <v>5043</v>
      </c>
      <c r="X773" s="57" t="s">
        <v>5043</v>
      </c>
      <c r="Y773" s="22"/>
      <c r="Z773" s="22"/>
      <c r="AA773" s="22"/>
      <c r="AB773" s="22" t="s">
        <v>114</v>
      </c>
      <c r="AC773" s="3"/>
      <c r="AD773" s="3"/>
      <c r="AE773" s="3">
        <v>0</v>
      </c>
      <c r="AF773" s="3">
        <v>0</v>
      </c>
      <c r="AG773" s="3">
        <v>0</v>
      </c>
      <c r="AH773" s="3"/>
      <c r="AI773" s="3">
        <v>0</v>
      </c>
      <c r="AJ773" s="3">
        <v>0</v>
      </c>
      <c r="AK773" s="3">
        <v>0</v>
      </c>
      <c r="AL773" s="3"/>
      <c r="AM773" s="3"/>
      <c r="AN773" s="3"/>
      <c r="AO773" s="3"/>
      <c r="AP773" s="3"/>
      <c r="AQ773" s="282" t="str">
        <f>"tricks/"&amp;A773</f>
        <v>tricks/3010810</v>
      </c>
    </row>
    <row r="774" spans="1:44" ht="15" customHeight="1">
      <c r="A774" s="3">
        <v>3010811</v>
      </c>
      <c r="B774" s="5" t="s">
        <v>3638</v>
      </c>
      <c r="C774" s="224" t="s">
        <v>5052</v>
      </c>
      <c r="D774" s="3" t="s">
        <v>2601</v>
      </c>
      <c r="E774" s="3"/>
      <c r="F774" s="3">
        <v>10</v>
      </c>
      <c r="G774" s="48">
        <v>8</v>
      </c>
      <c r="H774" s="3" t="s">
        <v>136</v>
      </c>
      <c r="I774" s="5" t="s">
        <v>3640</v>
      </c>
      <c r="J774" s="3"/>
      <c r="K774" s="3"/>
      <c r="L774" s="236"/>
      <c r="M774" s="99"/>
      <c r="N774" s="99"/>
      <c r="O774" s="236"/>
      <c r="P774" s="22"/>
      <c r="Q774" s="22">
        <v>0</v>
      </c>
      <c r="R774" s="22" t="s">
        <v>153</v>
      </c>
      <c r="S774" s="3"/>
      <c r="T774" s="260"/>
      <c r="U774" s="261"/>
      <c r="V774" s="22"/>
      <c r="W774" s="57" t="s">
        <v>5053</v>
      </c>
      <c r="X774" s="57" t="s">
        <v>5053</v>
      </c>
      <c r="Y774" s="22"/>
      <c r="Z774" s="22"/>
      <c r="AA774" s="22"/>
      <c r="AB774" s="22" t="s">
        <v>114</v>
      </c>
      <c r="AC774" s="3"/>
      <c r="AD774" s="3"/>
      <c r="AE774" s="3">
        <v>0</v>
      </c>
      <c r="AF774" s="3">
        <v>0</v>
      </c>
      <c r="AG774" s="3">
        <v>0</v>
      </c>
      <c r="AH774" s="3"/>
      <c r="AI774" s="3">
        <v>0</v>
      </c>
      <c r="AJ774" s="3">
        <v>0</v>
      </c>
      <c r="AK774" s="3">
        <v>0</v>
      </c>
      <c r="AL774" s="3"/>
      <c r="AM774" s="3"/>
      <c r="AN774" s="3"/>
      <c r="AO774" s="3"/>
      <c r="AP774" s="3"/>
      <c r="AQ774" s="282" t="str">
        <f>"tricks/"&amp;A774</f>
        <v>tricks/3010811</v>
      </c>
    </row>
    <row r="775" spans="1:44" ht="15" customHeight="1">
      <c r="A775" s="6">
        <v>3010901</v>
      </c>
      <c r="B775" s="5" t="s">
        <v>3638</v>
      </c>
      <c r="C775" s="224" t="s">
        <v>5054</v>
      </c>
      <c r="D775" s="6" t="s">
        <v>2601</v>
      </c>
      <c r="E775" s="6"/>
      <c r="F775" s="36">
        <v>1</v>
      </c>
      <c r="G775" s="47">
        <v>8</v>
      </c>
      <c r="H775" s="6" t="s">
        <v>82</v>
      </c>
      <c r="I775" s="5" t="s">
        <v>3640</v>
      </c>
      <c r="J775" s="6"/>
      <c r="K775" s="6"/>
      <c r="L775" s="234" t="s">
        <v>2893</v>
      </c>
      <c r="M775" s="235"/>
      <c r="N775" s="378">
        <v>18</v>
      </c>
      <c r="O775" s="234"/>
      <c r="P775" s="40"/>
      <c r="Q775" s="40">
        <v>0</v>
      </c>
      <c r="R775" s="40" t="s">
        <v>153</v>
      </c>
      <c r="S775" s="6">
        <v>3010901</v>
      </c>
      <c r="T775" s="258"/>
      <c r="U775" s="259"/>
      <c r="V775" s="40" t="s">
        <v>582</v>
      </c>
      <c r="W775" s="57" t="s">
        <v>5055</v>
      </c>
      <c r="X775" s="57" t="s">
        <v>5055</v>
      </c>
      <c r="Y775" s="40">
        <v>0</v>
      </c>
      <c r="Z775" s="40">
        <v>0</v>
      </c>
      <c r="AA775" s="40"/>
      <c r="AB775" s="40"/>
      <c r="AC775" s="6"/>
      <c r="AD775" s="6"/>
      <c r="AE775" s="6">
        <v>2</v>
      </c>
      <c r="AF775" s="6"/>
      <c r="AG775" s="6">
        <v>30</v>
      </c>
      <c r="AH775" s="6"/>
      <c r="AI775" s="6"/>
      <c r="AJ775" s="6"/>
      <c r="AK775" s="272"/>
      <c r="AL775" s="272"/>
      <c r="AM775" s="272"/>
      <c r="AN775" s="43" t="s">
        <v>2895</v>
      </c>
      <c r="AO775" s="6"/>
      <c r="AP775" s="6"/>
      <c r="AQ775" s="6" t="s">
        <v>2896</v>
      </c>
      <c r="AR775" s="280"/>
    </row>
    <row r="776" spans="1:44" ht="15" customHeight="1">
      <c r="A776" s="6">
        <v>3010902</v>
      </c>
      <c r="B776" s="5" t="s">
        <v>3638</v>
      </c>
      <c r="C776" s="224" t="s">
        <v>5056</v>
      </c>
      <c r="D776" s="6" t="s">
        <v>2601</v>
      </c>
      <c r="E776" s="6"/>
      <c r="F776" s="36">
        <v>1</v>
      </c>
      <c r="G776" s="48">
        <v>8</v>
      </c>
      <c r="H776" s="6" t="s">
        <v>136</v>
      </c>
      <c r="I776" s="5" t="s">
        <v>3640</v>
      </c>
      <c r="J776" s="6"/>
      <c r="K776" s="6"/>
      <c r="L776" s="234" t="s">
        <v>2898</v>
      </c>
      <c r="M776" s="235"/>
      <c r="N776" s="235"/>
      <c r="O776" s="234"/>
      <c r="P776" s="40"/>
      <c r="Q776" s="40">
        <v>0</v>
      </c>
      <c r="R776" s="40" t="s">
        <v>153</v>
      </c>
      <c r="S776" s="6">
        <v>3010902</v>
      </c>
      <c r="T776" s="258"/>
      <c r="U776" s="259"/>
      <c r="V776" s="40" t="s">
        <v>582</v>
      </c>
      <c r="W776" s="57" t="s">
        <v>5057</v>
      </c>
      <c r="X776" s="57" t="s">
        <v>5057</v>
      </c>
      <c r="Y776" s="40">
        <v>0</v>
      </c>
      <c r="Z776" s="40">
        <v>0</v>
      </c>
      <c r="AA776" s="40"/>
      <c r="AB776" s="40"/>
      <c r="AC776" s="6"/>
      <c r="AD776" s="6"/>
      <c r="AE776" s="6">
        <v>0</v>
      </c>
      <c r="AF776" s="6"/>
      <c r="AG776" s="6"/>
      <c r="AH776" s="6"/>
      <c r="AI776" s="6"/>
      <c r="AJ776" s="6"/>
      <c r="AK776" s="272"/>
      <c r="AL776" s="272"/>
      <c r="AM776" s="272"/>
      <c r="AN776" s="6"/>
      <c r="AO776" s="6"/>
      <c r="AP776" s="6"/>
      <c r="AQ776" s="6" t="s">
        <v>2900</v>
      </c>
      <c r="AR776" s="280"/>
    </row>
    <row r="777" spans="1:44" ht="15" customHeight="1">
      <c r="A777" s="6">
        <v>3010903</v>
      </c>
      <c r="B777" s="5" t="s">
        <v>3638</v>
      </c>
      <c r="C777" s="224" t="s">
        <v>5058</v>
      </c>
      <c r="D777" s="6" t="s">
        <v>2601</v>
      </c>
      <c r="E777" s="6"/>
      <c r="F777" s="36">
        <v>2</v>
      </c>
      <c r="G777" s="47">
        <v>8</v>
      </c>
      <c r="H777" s="6" t="s">
        <v>136</v>
      </c>
      <c r="I777" s="5" t="s">
        <v>3640</v>
      </c>
      <c r="J777" s="6"/>
      <c r="K777" s="6"/>
      <c r="L777" s="234" t="s">
        <v>2658</v>
      </c>
      <c r="M777" s="235"/>
      <c r="N777" s="235"/>
      <c r="O777" s="234"/>
      <c r="P777" s="40"/>
      <c r="Q777" s="40">
        <v>0</v>
      </c>
      <c r="R777" s="40" t="s">
        <v>153</v>
      </c>
      <c r="S777" s="6">
        <v>3010904</v>
      </c>
      <c r="T777" s="258"/>
      <c r="U777" s="259"/>
      <c r="V777" s="40" t="s">
        <v>582</v>
      </c>
      <c r="W777" s="57" t="s">
        <v>5059</v>
      </c>
      <c r="X777" s="57" t="s">
        <v>5059</v>
      </c>
      <c r="Y777" s="40">
        <v>0</v>
      </c>
      <c r="Z777" s="40">
        <v>0</v>
      </c>
      <c r="AA777" s="40"/>
      <c r="AB777" s="40"/>
      <c r="AC777" s="6"/>
      <c r="AD777" s="6"/>
      <c r="AE777" s="6">
        <v>0</v>
      </c>
      <c r="AF777" s="6"/>
      <c r="AG777" s="6"/>
      <c r="AH777" s="6"/>
      <c r="AI777" s="6"/>
      <c r="AJ777" s="6"/>
      <c r="AK777" s="272"/>
      <c r="AL777" s="272"/>
      <c r="AM777" s="272"/>
      <c r="AN777" s="6"/>
      <c r="AO777" s="6"/>
      <c r="AP777" s="6"/>
      <c r="AQ777" s="6" t="s">
        <v>2903</v>
      </c>
      <c r="AR777" s="280"/>
    </row>
    <row r="778" spans="1:44" ht="15" customHeight="1">
      <c r="A778" s="6">
        <v>3010904</v>
      </c>
      <c r="B778" s="5" t="s">
        <v>3638</v>
      </c>
      <c r="C778" s="224" t="s">
        <v>5060</v>
      </c>
      <c r="D778" s="6" t="s">
        <v>2601</v>
      </c>
      <c r="E778" s="6"/>
      <c r="F778" s="36">
        <v>3</v>
      </c>
      <c r="G778" s="48">
        <v>8</v>
      </c>
      <c r="H778" s="6" t="s">
        <v>136</v>
      </c>
      <c r="I778" s="5" t="s">
        <v>3640</v>
      </c>
      <c r="J778" s="6"/>
      <c r="K778" s="6"/>
      <c r="L778" s="234" t="s">
        <v>2905</v>
      </c>
      <c r="M778" s="235"/>
      <c r="N778" s="235"/>
      <c r="O778" s="234"/>
      <c r="P778" s="40"/>
      <c r="Q778" s="40">
        <v>0</v>
      </c>
      <c r="R778" s="40" t="s">
        <v>153</v>
      </c>
      <c r="S778" s="6">
        <v>3010903</v>
      </c>
      <c r="T778" s="258"/>
      <c r="U778" s="259"/>
      <c r="V778" s="40" t="s">
        <v>582</v>
      </c>
      <c r="W778" s="57" t="s">
        <v>5061</v>
      </c>
      <c r="X778" s="57" t="s">
        <v>5061</v>
      </c>
      <c r="Y778" s="40">
        <v>0</v>
      </c>
      <c r="Z778" s="40">
        <v>0</v>
      </c>
      <c r="AA778" s="40"/>
      <c r="AB778" s="40"/>
      <c r="AC778" s="6"/>
      <c r="AD778" s="6"/>
      <c r="AE778" s="6">
        <v>0</v>
      </c>
      <c r="AF778" s="6"/>
      <c r="AG778" s="6"/>
      <c r="AH778" s="6"/>
      <c r="AI778" s="6"/>
      <c r="AJ778" s="6"/>
      <c r="AK778" s="272"/>
      <c r="AL778" s="272"/>
      <c r="AM778" s="272"/>
      <c r="AN778" s="6"/>
      <c r="AO778" s="6"/>
      <c r="AP778" s="6"/>
      <c r="AQ778" s="6" t="s">
        <v>2907</v>
      </c>
      <c r="AR778" s="280"/>
    </row>
    <row r="779" spans="1:44" ht="15" customHeight="1">
      <c r="A779" s="6">
        <v>3010905</v>
      </c>
      <c r="B779" s="5" t="s">
        <v>3638</v>
      </c>
      <c r="C779" s="224" t="s">
        <v>5062</v>
      </c>
      <c r="D779" s="6" t="s">
        <v>2601</v>
      </c>
      <c r="E779" s="6"/>
      <c r="F779" s="36">
        <v>4</v>
      </c>
      <c r="G779" s="47">
        <v>8</v>
      </c>
      <c r="H779" s="6" t="s">
        <v>136</v>
      </c>
      <c r="I779" s="5" t="s">
        <v>3640</v>
      </c>
      <c r="J779" s="6"/>
      <c r="K779" s="6"/>
      <c r="L779" s="234" t="s">
        <v>2909</v>
      </c>
      <c r="M779" s="235"/>
      <c r="N779" s="235"/>
      <c r="O779" s="234"/>
      <c r="P779" s="40"/>
      <c r="Q779" s="40"/>
      <c r="R779" s="40"/>
      <c r="S779" s="6"/>
      <c r="T779" s="258"/>
      <c r="U779" s="259"/>
      <c r="V779" s="40"/>
      <c r="W779" s="57" t="s">
        <v>5063</v>
      </c>
      <c r="X779" s="57" t="s">
        <v>5063</v>
      </c>
      <c r="Y779" s="40">
        <v>0</v>
      </c>
      <c r="Z779" s="40">
        <v>0</v>
      </c>
      <c r="AA779" s="40"/>
      <c r="AB779" s="40"/>
      <c r="AC779" s="6"/>
      <c r="AD779" s="6"/>
      <c r="AE779" s="6">
        <v>0</v>
      </c>
      <c r="AF779" s="6"/>
      <c r="AG779" s="6"/>
      <c r="AH779" s="6"/>
      <c r="AI779" s="6"/>
      <c r="AJ779" s="6"/>
      <c r="AK779" s="272"/>
      <c r="AL779" s="272"/>
      <c r="AM779" s="272"/>
      <c r="AN779" s="6"/>
      <c r="AO779" s="6"/>
      <c r="AP779" s="6"/>
      <c r="AQ779" s="6" t="s">
        <v>2911</v>
      </c>
      <c r="AR779" s="280"/>
    </row>
    <row r="780" spans="1:44" ht="15" customHeight="1">
      <c r="A780" s="6">
        <v>3010906</v>
      </c>
      <c r="B780" s="5" t="s">
        <v>3638</v>
      </c>
      <c r="C780" s="224" t="s">
        <v>5064</v>
      </c>
      <c r="D780" s="6" t="s">
        <v>2601</v>
      </c>
      <c r="E780" s="6"/>
      <c r="F780" s="36">
        <v>5</v>
      </c>
      <c r="G780" s="48">
        <v>8</v>
      </c>
      <c r="H780" s="6" t="s">
        <v>136</v>
      </c>
      <c r="I780" s="5" t="s">
        <v>3640</v>
      </c>
      <c r="J780" s="6"/>
      <c r="K780" s="6"/>
      <c r="L780" s="234" t="s">
        <v>2913</v>
      </c>
      <c r="M780" s="235"/>
      <c r="N780" s="235"/>
      <c r="O780" s="234"/>
      <c r="P780" s="40"/>
      <c r="Q780" s="40">
        <v>0</v>
      </c>
      <c r="R780" s="40" t="s">
        <v>153</v>
      </c>
      <c r="S780" s="6">
        <v>3010906</v>
      </c>
      <c r="T780" s="258"/>
      <c r="U780" s="259"/>
      <c r="V780" s="40" t="s">
        <v>582</v>
      </c>
      <c r="W780" s="57" t="s">
        <v>5065</v>
      </c>
      <c r="X780" s="57" t="s">
        <v>5065</v>
      </c>
      <c r="Y780" s="40">
        <v>0</v>
      </c>
      <c r="Z780" s="40">
        <v>0</v>
      </c>
      <c r="AA780" s="40"/>
      <c r="AB780" s="40"/>
      <c r="AC780" s="6"/>
      <c r="AD780" s="6"/>
      <c r="AE780" s="6">
        <v>0</v>
      </c>
      <c r="AF780" s="6"/>
      <c r="AG780" s="6"/>
      <c r="AH780" s="6"/>
      <c r="AI780" s="6"/>
      <c r="AJ780" s="6"/>
      <c r="AK780" s="272"/>
      <c r="AL780" s="272"/>
      <c r="AM780" s="272"/>
      <c r="AN780" s="6"/>
      <c r="AO780" s="6"/>
      <c r="AP780" s="6"/>
      <c r="AQ780" s="6" t="s">
        <v>2915</v>
      </c>
      <c r="AR780" s="280"/>
    </row>
    <row r="781" spans="1:44" ht="15" customHeight="1">
      <c r="A781" s="6">
        <v>3010907</v>
      </c>
      <c r="B781" s="5" t="s">
        <v>3638</v>
      </c>
      <c r="C781" s="224" t="s">
        <v>5066</v>
      </c>
      <c r="D781" s="6" t="s">
        <v>2601</v>
      </c>
      <c r="E781" s="6"/>
      <c r="F781" s="36">
        <v>6</v>
      </c>
      <c r="G781" s="47">
        <v>8</v>
      </c>
      <c r="H781" s="6" t="s">
        <v>136</v>
      </c>
      <c r="I781" s="5" t="s">
        <v>3640</v>
      </c>
      <c r="J781" s="6"/>
      <c r="K781" s="6"/>
      <c r="L781" s="234" t="s">
        <v>2917</v>
      </c>
      <c r="M781" s="235"/>
      <c r="N781" s="235"/>
      <c r="O781" s="234"/>
      <c r="P781" s="40"/>
      <c r="Q781" s="40">
        <v>0</v>
      </c>
      <c r="R781" s="40" t="s">
        <v>153</v>
      </c>
      <c r="S781" s="6">
        <v>3010905</v>
      </c>
      <c r="T781" s="258"/>
      <c r="U781" s="259"/>
      <c r="V781" s="40" t="s">
        <v>582</v>
      </c>
      <c r="W781" s="57" t="s">
        <v>5061</v>
      </c>
      <c r="X781" s="57" t="s">
        <v>5061</v>
      </c>
      <c r="Y781" s="40">
        <v>0</v>
      </c>
      <c r="Z781" s="40">
        <v>0</v>
      </c>
      <c r="AA781" s="40"/>
      <c r="AB781" s="40"/>
      <c r="AC781" s="6"/>
      <c r="AD781" s="6"/>
      <c r="AE781" s="6">
        <v>0</v>
      </c>
      <c r="AF781" s="6"/>
      <c r="AG781" s="6"/>
      <c r="AH781" s="6"/>
      <c r="AI781" s="6"/>
      <c r="AJ781" s="6"/>
      <c r="AK781" s="272"/>
      <c r="AL781" s="272"/>
      <c r="AM781" s="272"/>
      <c r="AN781" s="6"/>
      <c r="AO781" s="6"/>
      <c r="AP781" s="6"/>
      <c r="AQ781" s="6" t="s">
        <v>2918</v>
      </c>
      <c r="AR781" s="280"/>
    </row>
    <row r="782" spans="1:44" ht="15" customHeight="1">
      <c r="A782" s="6">
        <v>3010908</v>
      </c>
      <c r="B782" s="5" t="s">
        <v>3638</v>
      </c>
      <c r="C782" s="224" t="s">
        <v>5067</v>
      </c>
      <c r="D782" s="6" t="s">
        <v>2601</v>
      </c>
      <c r="E782" s="6"/>
      <c r="F782" s="36">
        <v>7</v>
      </c>
      <c r="G782" s="48">
        <v>8</v>
      </c>
      <c r="H782" s="6" t="s">
        <v>136</v>
      </c>
      <c r="I782" s="5" t="s">
        <v>3640</v>
      </c>
      <c r="J782" s="6"/>
      <c r="K782" s="6"/>
      <c r="L782" s="6" t="s">
        <v>2920</v>
      </c>
      <c r="M782" s="235"/>
      <c r="N782" s="235"/>
      <c r="O782" s="6"/>
      <c r="P782" s="40"/>
      <c r="Q782" s="40"/>
      <c r="R782" s="40"/>
      <c r="S782" s="6"/>
      <c r="T782" s="258"/>
      <c r="U782" s="259"/>
      <c r="V782" s="40"/>
      <c r="W782" s="57" t="s">
        <v>5068</v>
      </c>
      <c r="X782" s="57" t="s">
        <v>5068</v>
      </c>
      <c r="Y782" s="40">
        <v>0</v>
      </c>
      <c r="Z782" s="40">
        <v>0</v>
      </c>
      <c r="AA782" s="40"/>
      <c r="AB782" s="40"/>
      <c r="AC782" s="6"/>
      <c r="AD782" s="6"/>
      <c r="AE782" s="6">
        <v>0</v>
      </c>
      <c r="AF782" s="6"/>
      <c r="AG782" s="6"/>
      <c r="AH782" s="6"/>
      <c r="AI782" s="6"/>
      <c r="AJ782" s="6"/>
      <c r="AK782" s="272"/>
      <c r="AL782" s="272"/>
      <c r="AM782" s="272"/>
      <c r="AN782" s="534"/>
      <c r="AO782" s="534"/>
      <c r="AP782" s="534"/>
      <c r="AQ782" s="6" t="s">
        <v>2922</v>
      </c>
      <c r="AR782" s="280"/>
    </row>
    <row r="783" spans="1:44" ht="15" customHeight="1">
      <c r="A783" s="3">
        <v>3010909</v>
      </c>
      <c r="B783" s="5" t="s">
        <v>3638</v>
      </c>
      <c r="C783" s="224" t="s">
        <v>5069</v>
      </c>
      <c r="D783" s="3" t="s">
        <v>2601</v>
      </c>
      <c r="E783" s="3"/>
      <c r="F783" s="3">
        <v>8</v>
      </c>
      <c r="G783" s="47">
        <v>8</v>
      </c>
      <c r="H783" s="3" t="s">
        <v>136</v>
      </c>
      <c r="I783" s="5" t="s">
        <v>3640</v>
      </c>
      <c r="J783" s="3"/>
      <c r="K783" s="3"/>
      <c r="L783" s="236"/>
      <c r="M783" s="99"/>
      <c r="N783" s="99"/>
      <c r="O783" s="236"/>
      <c r="P783" s="22"/>
      <c r="Q783" s="22">
        <v>0</v>
      </c>
      <c r="R783" s="22" t="s">
        <v>153</v>
      </c>
      <c r="S783" s="3"/>
      <c r="T783" s="260"/>
      <c r="U783" s="261"/>
      <c r="V783" s="22"/>
      <c r="W783" s="57" t="s">
        <v>4948</v>
      </c>
      <c r="X783" s="57" t="s">
        <v>4948</v>
      </c>
      <c r="Y783" s="22"/>
      <c r="Z783" s="22"/>
      <c r="AA783" s="22"/>
      <c r="AB783" s="22" t="s">
        <v>114</v>
      </c>
      <c r="AC783" s="3"/>
      <c r="AD783" s="3"/>
      <c r="AE783" s="3">
        <v>0</v>
      </c>
      <c r="AF783" s="3">
        <v>0</v>
      </c>
      <c r="AG783" s="3">
        <v>0</v>
      </c>
      <c r="AH783" s="3"/>
      <c r="AI783" s="3">
        <v>0</v>
      </c>
      <c r="AJ783" s="3">
        <v>0</v>
      </c>
      <c r="AK783" s="3">
        <v>0</v>
      </c>
      <c r="AL783" s="3"/>
      <c r="AM783" s="3"/>
      <c r="AN783" s="3"/>
      <c r="AO783" s="3"/>
      <c r="AP783" s="3"/>
      <c r="AQ783" s="3" t="s">
        <v>2903</v>
      </c>
      <c r="AR783" s="281"/>
    </row>
    <row r="784" spans="1:44" ht="15" customHeight="1">
      <c r="A784" s="3">
        <v>3010910</v>
      </c>
      <c r="B784" s="5" t="s">
        <v>3638</v>
      </c>
      <c r="C784" s="224" t="s">
        <v>5070</v>
      </c>
      <c r="D784" s="3" t="s">
        <v>2601</v>
      </c>
      <c r="E784" s="3"/>
      <c r="F784" s="3">
        <v>9</v>
      </c>
      <c r="G784" s="48">
        <v>8</v>
      </c>
      <c r="H784" s="3" t="s">
        <v>136</v>
      </c>
      <c r="I784" s="5" t="s">
        <v>3640</v>
      </c>
      <c r="J784" s="3"/>
      <c r="K784" s="3"/>
      <c r="L784" s="236"/>
      <c r="M784" s="99"/>
      <c r="N784" s="99"/>
      <c r="O784" s="236"/>
      <c r="P784" s="22"/>
      <c r="Q784" s="22">
        <v>0</v>
      </c>
      <c r="R784" s="22" t="s">
        <v>153</v>
      </c>
      <c r="S784" s="3"/>
      <c r="T784" s="260"/>
      <c r="U784" s="261"/>
      <c r="V784" s="22"/>
      <c r="W784" s="57" t="s">
        <v>5061</v>
      </c>
      <c r="X784" s="57" t="s">
        <v>5061</v>
      </c>
      <c r="Y784" s="22"/>
      <c r="Z784" s="22"/>
      <c r="AA784" s="22"/>
      <c r="AB784" s="22" t="s">
        <v>114</v>
      </c>
      <c r="AC784" s="3"/>
      <c r="AD784" s="3"/>
      <c r="AE784" s="3">
        <v>0</v>
      </c>
      <c r="AF784" s="3">
        <v>0</v>
      </c>
      <c r="AG784" s="3">
        <v>0</v>
      </c>
      <c r="AH784" s="3"/>
      <c r="AI784" s="3">
        <v>0</v>
      </c>
      <c r="AJ784" s="3">
        <v>0</v>
      </c>
      <c r="AK784" s="3">
        <v>0</v>
      </c>
      <c r="AL784" s="3"/>
      <c r="AM784" s="3"/>
      <c r="AN784" s="3"/>
      <c r="AO784" s="3"/>
      <c r="AP784" s="3"/>
      <c r="AQ784" s="282" t="str">
        <f>"tricks/"&amp;A784</f>
        <v>tricks/3010910</v>
      </c>
    </row>
    <row r="785" spans="1:44" ht="15" customHeight="1">
      <c r="A785" s="3">
        <v>3010911</v>
      </c>
      <c r="B785" s="5" t="s">
        <v>3638</v>
      </c>
      <c r="C785" s="224" t="s">
        <v>5071</v>
      </c>
      <c r="D785" s="3" t="s">
        <v>2601</v>
      </c>
      <c r="E785" s="3"/>
      <c r="F785" s="3">
        <v>10</v>
      </c>
      <c r="G785" s="47">
        <v>8</v>
      </c>
      <c r="H785" s="3" t="s">
        <v>136</v>
      </c>
      <c r="I785" s="5" t="s">
        <v>3640</v>
      </c>
      <c r="J785" s="3"/>
      <c r="K785" s="3"/>
      <c r="L785" s="236"/>
      <c r="M785" s="99"/>
      <c r="N785" s="99"/>
      <c r="O785" s="236"/>
      <c r="P785" s="22"/>
      <c r="Q785" s="22">
        <v>0</v>
      </c>
      <c r="R785" s="22" t="s">
        <v>153</v>
      </c>
      <c r="S785" s="3"/>
      <c r="T785" s="260"/>
      <c r="U785" s="261"/>
      <c r="V785" s="22"/>
      <c r="W785" s="57" t="s">
        <v>5072</v>
      </c>
      <c r="X785" s="57" t="s">
        <v>5072</v>
      </c>
      <c r="Y785" s="22"/>
      <c r="Z785" s="22"/>
      <c r="AA785" s="22"/>
      <c r="AB785" s="22" t="s">
        <v>114</v>
      </c>
      <c r="AC785" s="3"/>
      <c r="AD785" s="3"/>
      <c r="AE785" s="3">
        <v>0</v>
      </c>
      <c r="AF785" s="3">
        <v>0</v>
      </c>
      <c r="AG785" s="3">
        <v>0</v>
      </c>
      <c r="AH785" s="3"/>
      <c r="AI785" s="3">
        <v>0</v>
      </c>
      <c r="AJ785" s="3">
        <v>0</v>
      </c>
      <c r="AK785" s="3">
        <v>0</v>
      </c>
      <c r="AL785" s="3"/>
      <c r="AM785" s="3"/>
      <c r="AN785" s="3"/>
      <c r="AO785" s="3"/>
      <c r="AP785" s="3"/>
      <c r="AQ785" s="282" t="str">
        <f>"tricks/"&amp;A785</f>
        <v>tricks/3010911</v>
      </c>
    </row>
    <row r="786" spans="1:44" ht="15" customHeight="1">
      <c r="A786" s="36">
        <v>3011001</v>
      </c>
      <c r="B786" s="5" t="s">
        <v>3638</v>
      </c>
      <c r="C786" s="224" t="s">
        <v>5073</v>
      </c>
      <c r="D786" s="36" t="s">
        <v>2601</v>
      </c>
      <c r="E786" s="36"/>
      <c r="F786" s="36">
        <v>1</v>
      </c>
      <c r="G786" s="48">
        <v>8</v>
      </c>
      <c r="H786" s="36" t="s">
        <v>82</v>
      </c>
      <c r="I786" s="5" t="s">
        <v>3640</v>
      </c>
      <c r="J786" s="36"/>
      <c r="K786" s="36"/>
      <c r="L786" s="36" t="s">
        <v>2930</v>
      </c>
      <c r="M786" s="378"/>
      <c r="N786" s="378">
        <v>19</v>
      </c>
      <c r="O786" s="36"/>
      <c r="P786" s="379"/>
      <c r="Q786" s="379">
        <v>0</v>
      </c>
      <c r="R786" s="379" t="s">
        <v>153</v>
      </c>
      <c r="S786" s="36">
        <v>3011001</v>
      </c>
      <c r="T786" s="390"/>
      <c r="U786" s="391"/>
      <c r="V786" s="379" t="s">
        <v>582</v>
      </c>
      <c r="W786" s="57" t="s">
        <v>5074</v>
      </c>
      <c r="X786" s="57" t="s">
        <v>5074</v>
      </c>
      <c r="Y786" s="379">
        <v>0</v>
      </c>
      <c r="Z786" s="379">
        <v>0</v>
      </c>
      <c r="AA786" s="379"/>
      <c r="AB786" s="379"/>
      <c r="AC786" s="36"/>
      <c r="AD786" s="36"/>
      <c r="AE786" s="36">
        <v>2</v>
      </c>
      <c r="AF786" s="36"/>
      <c r="AG786" s="36">
        <v>40</v>
      </c>
      <c r="AH786" s="36"/>
      <c r="AI786" s="36"/>
      <c r="AJ786" s="36"/>
      <c r="AK786" s="401"/>
      <c r="AL786" s="401"/>
      <c r="AM786" s="401"/>
      <c r="AN786" s="43" t="s">
        <v>2932</v>
      </c>
      <c r="AO786" s="535"/>
      <c r="AP786" s="535"/>
      <c r="AQ786" s="36" t="s">
        <v>2933</v>
      </c>
      <c r="AR786" s="407"/>
    </row>
    <row r="787" spans="1:44" ht="15" customHeight="1">
      <c r="A787" s="36">
        <v>3011002</v>
      </c>
      <c r="B787" s="5" t="s">
        <v>3638</v>
      </c>
      <c r="C787" s="224" t="s">
        <v>5075</v>
      </c>
      <c r="D787" s="36" t="s">
        <v>2601</v>
      </c>
      <c r="E787" s="36"/>
      <c r="F787" s="36">
        <v>1</v>
      </c>
      <c r="G787" s="47">
        <v>8</v>
      </c>
      <c r="H787" s="36" t="s">
        <v>136</v>
      </c>
      <c r="I787" s="5" t="s">
        <v>3640</v>
      </c>
      <c r="J787" s="36"/>
      <c r="K787" s="36"/>
      <c r="L787" s="530" t="s">
        <v>2935</v>
      </c>
      <c r="M787" s="378"/>
      <c r="N787" s="378"/>
      <c r="O787" s="36"/>
      <c r="P787" s="379"/>
      <c r="Q787" s="379">
        <v>0</v>
      </c>
      <c r="R787" s="379" t="s">
        <v>153</v>
      </c>
      <c r="S787" s="36">
        <v>3011004</v>
      </c>
      <c r="T787" s="390"/>
      <c r="U787" s="391"/>
      <c r="V787" s="379" t="s">
        <v>582</v>
      </c>
      <c r="W787" s="57" t="s">
        <v>5076</v>
      </c>
      <c r="X787" s="57" t="s">
        <v>5076</v>
      </c>
      <c r="Y787" s="379">
        <v>0</v>
      </c>
      <c r="Z787" s="379">
        <v>0</v>
      </c>
      <c r="AA787" s="379"/>
      <c r="AB787" s="379"/>
      <c r="AC787" s="36"/>
      <c r="AD787" s="36"/>
      <c r="AE787" s="36">
        <v>0</v>
      </c>
      <c r="AF787" s="36"/>
      <c r="AG787" s="36"/>
      <c r="AH787" s="36"/>
      <c r="AI787" s="36"/>
      <c r="AJ787" s="36"/>
      <c r="AK787" s="401"/>
      <c r="AL787" s="401"/>
      <c r="AM787" s="401"/>
      <c r="AN787" s="36"/>
      <c r="AO787" s="36"/>
      <c r="AP787" s="36"/>
      <c r="AQ787" s="36" t="s">
        <v>2937</v>
      </c>
      <c r="AR787" s="407"/>
    </row>
    <row r="788" spans="1:44" ht="15" customHeight="1">
      <c r="A788" s="36">
        <v>3011003</v>
      </c>
      <c r="B788" s="5" t="s">
        <v>3638</v>
      </c>
      <c r="C788" s="224" t="s">
        <v>5077</v>
      </c>
      <c r="D788" s="36" t="s">
        <v>2601</v>
      </c>
      <c r="E788" s="36"/>
      <c r="F788" s="36">
        <v>2</v>
      </c>
      <c r="G788" s="48">
        <v>8</v>
      </c>
      <c r="H788" s="36" t="s">
        <v>136</v>
      </c>
      <c r="I788" s="5" t="s">
        <v>3640</v>
      </c>
      <c r="J788" s="36"/>
      <c r="K788" s="36"/>
      <c r="L788" s="36" t="s">
        <v>2939</v>
      </c>
      <c r="M788" s="378"/>
      <c r="N788" s="378"/>
      <c r="O788" s="36"/>
      <c r="P788" s="379"/>
      <c r="Q788" s="379">
        <v>0</v>
      </c>
      <c r="R788" s="379" t="s">
        <v>153</v>
      </c>
      <c r="S788" s="36">
        <v>3011002</v>
      </c>
      <c r="T788" s="390"/>
      <c r="U788" s="391"/>
      <c r="V788" s="379" t="s">
        <v>582</v>
      </c>
      <c r="W788" s="57" t="s">
        <v>5078</v>
      </c>
      <c r="X788" s="57" t="s">
        <v>5078</v>
      </c>
      <c r="Y788" s="379">
        <v>0</v>
      </c>
      <c r="Z788" s="379">
        <v>0</v>
      </c>
      <c r="AA788" s="379"/>
      <c r="AB788" s="379"/>
      <c r="AC788" s="36"/>
      <c r="AD788" s="36"/>
      <c r="AE788" s="36">
        <v>0</v>
      </c>
      <c r="AF788" s="36"/>
      <c r="AG788" s="36"/>
      <c r="AH788" s="36"/>
      <c r="AI788" s="36"/>
      <c r="AJ788" s="36"/>
      <c r="AK788" s="401"/>
      <c r="AL788" s="401"/>
      <c r="AM788" s="401"/>
      <c r="AN788" s="535"/>
      <c r="AO788" s="535"/>
      <c r="AP788" s="535"/>
      <c r="AQ788" s="36" t="s">
        <v>2941</v>
      </c>
      <c r="AR788" s="407"/>
    </row>
    <row r="789" spans="1:44" ht="15" customHeight="1">
      <c r="A789" s="36">
        <v>3011004</v>
      </c>
      <c r="B789" s="5" t="s">
        <v>3638</v>
      </c>
      <c r="C789" s="224" t="s">
        <v>5079</v>
      </c>
      <c r="D789" s="36" t="s">
        <v>2601</v>
      </c>
      <c r="E789" s="36"/>
      <c r="F789" s="36">
        <v>3</v>
      </c>
      <c r="G789" s="47">
        <v>8</v>
      </c>
      <c r="H789" s="36" t="s">
        <v>136</v>
      </c>
      <c r="I789" s="5" t="s">
        <v>3640</v>
      </c>
      <c r="J789" s="36"/>
      <c r="K789" s="36"/>
      <c r="L789" s="530" t="s">
        <v>2943</v>
      </c>
      <c r="M789" s="378"/>
      <c r="N789" s="378"/>
      <c r="O789" s="36"/>
      <c r="P789" s="379"/>
      <c r="Q789" s="379">
        <v>0</v>
      </c>
      <c r="R789" s="379" t="s">
        <v>153</v>
      </c>
      <c r="S789" s="36">
        <v>3011003</v>
      </c>
      <c r="T789" s="390"/>
      <c r="U789" s="391"/>
      <c r="V789" s="379" t="s">
        <v>582</v>
      </c>
      <c r="W789" s="57" t="s">
        <v>5080</v>
      </c>
      <c r="X789" s="57" t="s">
        <v>5080</v>
      </c>
      <c r="Y789" s="379">
        <v>0</v>
      </c>
      <c r="Z789" s="379">
        <v>0</v>
      </c>
      <c r="AA789" s="379"/>
      <c r="AB789" s="379"/>
      <c r="AC789" s="36"/>
      <c r="AD789" s="36"/>
      <c r="AE789" s="36">
        <v>0</v>
      </c>
      <c r="AF789" s="36"/>
      <c r="AG789" s="36"/>
      <c r="AH789" s="36"/>
      <c r="AI789" s="36"/>
      <c r="AJ789" s="36"/>
      <c r="AK789" s="401"/>
      <c r="AL789" s="401"/>
      <c r="AM789" s="401"/>
      <c r="AN789" s="36"/>
      <c r="AO789" s="36"/>
      <c r="AP789" s="36"/>
      <c r="AQ789" s="36" t="s">
        <v>2945</v>
      </c>
      <c r="AR789" s="407"/>
    </row>
    <row r="790" spans="1:44" ht="15" customHeight="1">
      <c r="A790" s="36">
        <v>3011005</v>
      </c>
      <c r="B790" s="5" t="s">
        <v>3638</v>
      </c>
      <c r="C790" s="224" t="s">
        <v>5081</v>
      </c>
      <c r="D790" s="36" t="s">
        <v>2601</v>
      </c>
      <c r="E790" s="36"/>
      <c r="F790" s="36">
        <v>4</v>
      </c>
      <c r="G790" s="48">
        <v>8</v>
      </c>
      <c r="H790" s="36" t="s">
        <v>136</v>
      </c>
      <c r="I790" s="5" t="s">
        <v>3640</v>
      </c>
      <c r="J790" s="36"/>
      <c r="K790" s="36"/>
      <c r="L790" s="530" t="s">
        <v>2755</v>
      </c>
      <c r="M790" s="378"/>
      <c r="N790" s="378"/>
      <c r="O790" s="36"/>
      <c r="P790" s="379"/>
      <c r="Q790" s="379">
        <v>1</v>
      </c>
      <c r="R790" s="379" t="s">
        <v>153</v>
      </c>
      <c r="S790" s="36"/>
      <c r="T790" s="390"/>
      <c r="U790" s="391"/>
      <c r="V790" s="379"/>
      <c r="W790" s="57" t="s">
        <v>5082</v>
      </c>
      <c r="X790" s="57" t="s">
        <v>5082</v>
      </c>
      <c r="Y790" s="379">
        <v>0</v>
      </c>
      <c r="Z790" s="379">
        <v>0</v>
      </c>
      <c r="AA790" s="379"/>
      <c r="AB790" s="379"/>
      <c r="AC790" s="36"/>
      <c r="AD790" s="36"/>
      <c r="AE790" s="36">
        <v>0</v>
      </c>
      <c r="AF790" s="36"/>
      <c r="AG790" s="36"/>
      <c r="AH790" s="36"/>
      <c r="AI790" s="36"/>
      <c r="AJ790" s="36"/>
      <c r="AK790" s="401"/>
      <c r="AL790" s="401"/>
      <c r="AM790" s="401"/>
      <c r="AN790" s="36"/>
      <c r="AO790" s="36"/>
      <c r="AP790" s="36"/>
      <c r="AQ790" s="36" t="s">
        <v>2948</v>
      </c>
      <c r="AR790" s="407"/>
    </row>
    <row r="791" spans="1:44" ht="15" customHeight="1">
      <c r="A791" s="36">
        <v>3011006</v>
      </c>
      <c r="B791" s="5" t="s">
        <v>3638</v>
      </c>
      <c r="C791" s="224" t="s">
        <v>5083</v>
      </c>
      <c r="D791" s="36" t="s">
        <v>2601</v>
      </c>
      <c r="E791" s="36"/>
      <c r="F791" s="36">
        <v>5</v>
      </c>
      <c r="G791" s="47">
        <v>8</v>
      </c>
      <c r="H791" s="36" t="s">
        <v>136</v>
      </c>
      <c r="I791" s="5" t="s">
        <v>3640</v>
      </c>
      <c r="J791" s="36"/>
      <c r="K791" s="36"/>
      <c r="L791" s="530" t="s">
        <v>2950</v>
      </c>
      <c r="M791" s="378"/>
      <c r="N791" s="378"/>
      <c r="O791" s="36"/>
      <c r="P791" s="379"/>
      <c r="Q791" s="379">
        <v>2</v>
      </c>
      <c r="R791" s="379" t="s">
        <v>153</v>
      </c>
      <c r="S791" s="36"/>
      <c r="T791" s="390"/>
      <c r="U791" s="391"/>
      <c r="V791" s="379"/>
      <c r="W791" s="57" t="s">
        <v>5084</v>
      </c>
      <c r="X791" s="57" t="s">
        <v>5084</v>
      </c>
      <c r="Y791" s="379">
        <v>0</v>
      </c>
      <c r="Z791" s="379">
        <v>0</v>
      </c>
      <c r="AA791" s="379"/>
      <c r="AB791" s="379"/>
      <c r="AC791" s="36"/>
      <c r="AD791" s="36"/>
      <c r="AE791" s="36">
        <v>0</v>
      </c>
      <c r="AF791" s="36"/>
      <c r="AG791" s="36"/>
      <c r="AH791" s="36"/>
      <c r="AI791" s="36"/>
      <c r="AJ791" s="36"/>
      <c r="AK791" s="401"/>
      <c r="AL791" s="401"/>
      <c r="AM791" s="401"/>
      <c r="AN791" s="36"/>
      <c r="AO791" s="36"/>
      <c r="AP791" s="36"/>
      <c r="AQ791" s="36" t="s">
        <v>2952</v>
      </c>
      <c r="AR791" s="407"/>
    </row>
    <row r="792" spans="1:44" ht="15" customHeight="1">
      <c r="A792" s="36">
        <v>3011007</v>
      </c>
      <c r="B792" s="5" t="s">
        <v>3638</v>
      </c>
      <c r="C792" s="224" t="s">
        <v>5085</v>
      </c>
      <c r="D792" s="36" t="s">
        <v>2601</v>
      </c>
      <c r="E792" s="36"/>
      <c r="F792" s="36">
        <v>6</v>
      </c>
      <c r="G792" s="48">
        <v>8</v>
      </c>
      <c r="H792" s="36" t="s">
        <v>136</v>
      </c>
      <c r="I792" s="5" t="s">
        <v>3640</v>
      </c>
      <c r="J792" s="36"/>
      <c r="K792" s="36"/>
      <c r="L792" s="530" t="s">
        <v>2954</v>
      </c>
      <c r="M792" s="378"/>
      <c r="N792" s="378"/>
      <c r="O792" s="36"/>
      <c r="P792" s="379"/>
      <c r="Q792" s="379">
        <v>0</v>
      </c>
      <c r="R792" s="379" t="s">
        <v>153</v>
      </c>
      <c r="S792" s="36">
        <v>3011005</v>
      </c>
      <c r="T792" s="390"/>
      <c r="U792" s="391"/>
      <c r="V792" s="379" t="s">
        <v>582</v>
      </c>
      <c r="W792" s="57" t="s">
        <v>5080</v>
      </c>
      <c r="X792" s="57" t="s">
        <v>5080</v>
      </c>
      <c r="Y792" s="379">
        <v>0</v>
      </c>
      <c r="Z792" s="379">
        <v>0</v>
      </c>
      <c r="AA792" s="379"/>
      <c r="AB792" s="379"/>
      <c r="AC792" s="36"/>
      <c r="AD792" s="36"/>
      <c r="AE792" s="36">
        <v>0</v>
      </c>
      <c r="AF792" s="36"/>
      <c r="AG792" s="36"/>
      <c r="AH792" s="36"/>
      <c r="AI792" s="36"/>
      <c r="AJ792" s="36"/>
      <c r="AK792" s="401"/>
      <c r="AL792" s="401"/>
      <c r="AM792" s="401"/>
      <c r="AN792" s="36"/>
      <c r="AO792" s="36"/>
      <c r="AP792" s="36"/>
      <c r="AQ792" s="36" t="s">
        <v>2955</v>
      </c>
      <c r="AR792" s="407"/>
    </row>
    <row r="793" spans="1:44" ht="15" customHeight="1">
      <c r="A793" s="36">
        <v>3011008</v>
      </c>
      <c r="B793" s="5" t="s">
        <v>3638</v>
      </c>
      <c r="C793" s="224" t="s">
        <v>5086</v>
      </c>
      <c r="D793" s="36" t="s">
        <v>2601</v>
      </c>
      <c r="E793" s="36"/>
      <c r="F793" s="36">
        <v>7</v>
      </c>
      <c r="G793" s="47">
        <v>8</v>
      </c>
      <c r="H793" s="36" t="s">
        <v>136</v>
      </c>
      <c r="I793" s="5" t="s">
        <v>3640</v>
      </c>
      <c r="J793" s="36"/>
      <c r="K793" s="36"/>
      <c r="L793" s="531" t="s">
        <v>2957</v>
      </c>
      <c r="M793" s="378"/>
      <c r="N793" s="378"/>
      <c r="O793" s="36"/>
      <c r="P793" s="379"/>
      <c r="Q793" s="379">
        <v>0</v>
      </c>
      <c r="R793" s="379" t="s">
        <v>153</v>
      </c>
      <c r="S793" s="36">
        <v>3011006</v>
      </c>
      <c r="T793" s="390"/>
      <c r="U793" s="391"/>
      <c r="V793" s="379" t="s">
        <v>582</v>
      </c>
      <c r="W793" s="57" t="s">
        <v>5087</v>
      </c>
      <c r="X793" s="57" t="s">
        <v>5087</v>
      </c>
      <c r="Y793" s="379">
        <v>0</v>
      </c>
      <c r="Z793" s="379">
        <v>0</v>
      </c>
      <c r="AA793" s="379"/>
      <c r="AB793" s="379"/>
      <c r="AC793" s="36"/>
      <c r="AD793" s="36"/>
      <c r="AE793" s="36">
        <v>0</v>
      </c>
      <c r="AF793" s="36"/>
      <c r="AG793" s="36"/>
      <c r="AH793" s="36"/>
      <c r="AI793" s="36"/>
      <c r="AJ793" s="36"/>
      <c r="AK793" s="401"/>
      <c r="AL793" s="401"/>
      <c r="AM793" s="401"/>
      <c r="AN793" s="535"/>
      <c r="AO793" s="535"/>
      <c r="AP793" s="535"/>
      <c r="AQ793" s="36" t="s">
        <v>2959</v>
      </c>
      <c r="AR793" s="407"/>
    </row>
    <row r="794" spans="1:44" ht="15" customHeight="1">
      <c r="A794" s="3">
        <v>3011009</v>
      </c>
      <c r="B794" s="5" t="s">
        <v>3638</v>
      </c>
      <c r="C794" s="224" t="s">
        <v>5088</v>
      </c>
      <c r="D794" s="3" t="s">
        <v>2601</v>
      </c>
      <c r="E794" s="3"/>
      <c r="F794" s="3">
        <v>8</v>
      </c>
      <c r="G794" s="48">
        <v>8</v>
      </c>
      <c r="H794" s="3" t="s">
        <v>136</v>
      </c>
      <c r="I794" s="5" t="s">
        <v>3640</v>
      </c>
      <c r="J794" s="3"/>
      <c r="K794" s="3"/>
      <c r="L794" s="236"/>
      <c r="M794" s="99"/>
      <c r="N794" s="99"/>
      <c r="O794" s="236"/>
      <c r="P794" s="22"/>
      <c r="Q794" s="22">
        <v>0</v>
      </c>
      <c r="R794" s="22" t="s">
        <v>153</v>
      </c>
      <c r="S794" s="3"/>
      <c r="T794" s="260"/>
      <c r="U794" s="261"/>
      <c r="V794" s="22"/>
      <c r="W794" s="57" t="s">
        <v>4948</v>
      </c>
      <c r="X794" s="57" t="s">
        <v>4948</v>
      </c>
      <c r="Y794" s="22"/>
      <c r="Z794" s="22"/>
      <c r="AA794" s="22"/>
      <c r="AB794" s="22" t="s">
        <v>114</v>
      </c>
      <c r="AC794" s="3"/>
      <c r="AD794" s="3"/>
      <c r="AE794" s="3">
        <v>0</v>
      </c>
      <c r="AF794" s="3">
        <v>0</v>
      </c>
      <c r="AG794" s="3">
        <v>0</v>
      </c>
      <c r="AH794" s="3"/>
      <c r="AI794" s="3">
        <v>0</v>
      </c>
      <c r="AJ794" s="3">
        <v>0</v>
      </c>
      <c r="AK794" s="3">
        <v>0</v>
      </c>
      <c r="AL794" s="3"/>
      <c r="AM794" s="3"/>
      <c r="AN794" s="3"/>
      <c r="AO794" s="3"/>
      <c r="AP794" s="3"/>
      <c r="AQ794" s="3" t="s">
        <v>2941</v>
      </c>
      <c r="AR794" s="281"/>
    </row>
    <row r="795" spans="1:44" ht="15" customHeight="1">
      <c r="A795" s="3">
        <v>3011010</v>
      </c>
      <c r="B795" s="5" t="s">
        <v>3638</v>
      </c>
      <c r="C795" s="224" t="s">
        <v>5089</v>
      </c>
      <c r="D795" s="3" t="s">
        <v>2601</v>
      </c>
      <c r="E795" s="3"/>
      <c r="F795" s="3">
        <v>9</v>
      </c>
      <c r="G795" s="47">
        <v>8</v>
      </c>
      <c r="H795" s="3" t="s">
        <v>136</v>
      </c>
      <c r="I795" s="5" t="s">
        <v>3640</v>
      </c>
      <c r="J795" s="3"/>
      <c r="K795" s="3"/>
      <c r="L795" s="236"/>
      <c r="M795" s="99"/>
      <c r="N795" s="99"/>
      <c r="O795" s="236"/>
      <c r="P795" s="22"/>
      <c r="Q795" s="22">
        <v>0</v>
      </c>
      <c r="R795" s="22" t="s">
        <v>153</v>
      </c>
      <c r="S795" s="3"/>
      <c r="T795" s="260"/>
      <c r="U795" s="261"/>
      <c r="V795" s="22"/>
      <c r="W795" s="57" t="s">
        <v>4941</v>
      </c>
      <c r="X795" s="57" t="s">
        <v>4941</v>
      </c>
      <c r="Y795" s="22"/>
      <c r="Z795" s="22"/>
      <c r="AA795" s="22"/>
      <c r="AB795" s="22" t="s">
        <v>114</v>
      </c>
      <c r="AC795" s="3"/>
      <c r="AD795" s="3"/>
      <c r="AE795" s="3">
        <v>0</v>
      </c>
      <c r="AF795" s="3">
        <v>0</v>
      </c>
      <c r="AG795" s="3">
        <v>0</v>
      </c>
      <c r="AH795" s="3"/>
      <c r="AI795" s="3">
        <v>0</v>
      </c>
      <c r="AJ795" s="3">
        <v>0</v>
      </c>
      <c r="AK795" s="3">
        <v>0</v>
      </c>
      <c r="AL795" s="3"/>
      <c r="AM795" s="3"/>
      <c r="AN795" s="3"/>
      <c r="AO795" s="3"/>
      <c r="AP795" s="3"/>
      <c r="AQ795" s="282" t="str">
        <f>"tricks/"&amp;A795</f>
        <v>tricks/3011010</v>
      </c>
    </row>
    <row r="796" spans="1:44" ht="15" customHeight="1">
      <c r="A796" s="3">
        <v>3011011</v>
      </c>
      <c r="B796" s="5" t="s">
        <v>3638</v>
      </c>
      <c r="C796" s="224" t="s">
        <v>5090</v>
      </c>
      <c r="D796" s="3" t="s">
        <v>2601</v>
      </c>
      <c r="E796" s="3"/>
      <c r="F796" s="3">
        <v>10</v>
      </c>
      <c r="G796" s="48">
        <v>8</v>
      </c>
      <c r="H796" s="3" t="s">
        <v>136</v>
      </c>
      <c r="I796" s="5" t="s">
        <v>3640</v>
      </c>
      <c r="J796" s="3"/>
      <c r="K796" s="3"/>
      <c r="L796" s="236"/>
      <c r="M796" s="99"/>
      <c r="N796" s="99"/>
      <c r="O796" s="236"/>
      <c r="P796" s="22"/>
      <c r="Q796" s="22">
        <v>0</v>
      </c>
      <c r="R796" s="22" t="s">
        <v>153</v>
      </c>
      <c r="S796" s="3"/>
      <c r="T796" s="260"/>
      <c r="U796" s="261"/>
      <c r="V796" s="22"/>
      <c r="W796" s="57" t="s">
        <v>5091</v>
      </c>
      <c r="X796" s="57" t="s">
        <v>5091</v>
      </c>
      <c r="Y796" s="22"/>
      <c r="Z796" s="22"/>
      <c r="AA796" s="22"/>
      <c r="AB796" s="22" t="s">
        <v>114</v>
      </c>
      <c r="AC796" s="3"/>
      <c r="AD796" s="3"/>
      <c r="AE796" s="3">
        <v>0</v>
      </c>
      <c r="AF796" s="3">
        <v>0</v>
      </c>
      <c r="AG796" s="3">
        <v>0</v>
      </c>
      <c r="AH796" s="3"/>
      <c r="AI796" s="3">
        <v>0</v>
      </c>
      <c r="AJ796" s="3">
        <v>0</v>
      </c>
      <c r="AK796" s="3">
        <v>0</v>
      </c>
      <c r="AL796" s="3"/>
      <c r="AM796" s="3"/>
      <c r="AN796" s="3"/>
      <c r="AO796" s="3"/>
      <c r="AP796" s="3"/>
      <c r="AQ796" s="282" t="str">
        <f>"tricks/"&amp;A796</f>
        <v>tricks/3011011</v>
      </c>
    </row>
    <row r="797" spans="1:44" ht="19.2">
      <c r="A797" s="6">
        <v>3011101</v>
      </c>
      <c r="B797" s="5" t="s">
        <v>3638</v>
      </c>
      <c r="C797" s="224" t="s">
        <v>5092</v>
      </c>
      <c r="D797" s="6" t="s">
        <v>2601</v>
      </c>
      <c r="E797" s="6"/>
      <c r="F797" s="36">
        <v>1</v>
      </c>
      <c r="G797" s="47">
        <v>8</v>
      </c>
      <c r="H797" s="6" t="s">
        <v>82</v>
      </c>
      <c r="I797" s="5" t="s">
        <v>3640</v>
      </c>
      <c r="J797" s="6"/>
      <c r="K797" s="6"/>
      <c r="L797" s="532" t="s">
        <v>2967</v>
      </c>
      <c r="M797" s="235"/>
      <c r="N797" s="235">
        <v>22</v>
      </c>
      <c r="O797" s="6"/>
      <c r="P797" s="40"/>
      <c r="Q797" s="40">
        <v>0</v>
      </c>
      <c r="R797" s="40" t="s">
        <v>153</v>
      </c>
      <c r="S797" s="6"/>
      <c r="T797" s="258"/>
      <c r="U797" s="259"/>
      <c r="V797" s="40"/>
      <c r="W797" s="57" t="s">
        <v>5093</v>
      </c>
      <c r="X797" s="57" t="s">
        <v>5093</v>
      </c>
      <c r="Y797" s="40">
        <v>0</v>
      </c>
      <c r="Z797" s="40">
        <v>0</v>
      </c>
      <c r="AA797" s="40"/>
      <c r="AB797" s="40"/>
      <c r="AC797" s="6"/>
      <c r="AD797" s="6"/>
      <c r="AE797" s="6">
        <v>2</v>
      </c>
      <c r="AF797" s="6"/>
      <c r="AG797" s="6">
        <v>30</v>
      </c>
      <c r="AH797" s="6"/>
      <c r="AI797" s="6"/>
      <c r="AJ797" s="6"/>
      <c r="AK797" s="272"/>
      <c r="AL797" s="272"/>
      <c r="AM797" s="272"/>
      <c r="AN797" s="42" t="s">
        <v>2969</v>
      </c>
      <c r="AO797" s="534"/>
      <c r="AP797" s="534"/>
      <c r="AQ797" s="6" t="s">
        <v>2970</v>
      </c>
      <c r="AR797" s="280"/>
    </row>
    <row r="798" spans="1:44" ht="15" customHeight="1">
      <c r="A798" s="6">
        <v>3011102</v>
      </c>
      <c r="B798" s="5" t="s">
        <v>3638</v>
      </c>
      <c r="C798" s="224" t="s">
        <v>5094</v>
      </c>
      <c r="D798" s="6" t="s">
        <v>2601</v>
      </c>
      <c r="E798" s="6"/>
      <c r="F798" s="36">
        <v>1</v>
      </c>
      <c r="G798" s="48">
        <v>8</v>
      </c>
      <c r="H798" s="6" t="s">
        <v>136</v>
      </c>
      <c r="I798" s="5" t="s">
        <v>3640</v>
      </c>
      <c r="J798" s="6"/>
      <c r="K798" s="6"/>
      <c r="L798" s="532" t="s">
        <v>2972</v>
      </c>
      <c r="M798" s="235"/>
      <c r="N798" s="235"/>
      <c r="O798" s="6"/>
      <c r="P798" s="40"/>
      <c r="Q798" s="40">
        <v>0</v>
      </c>
      <c r="R798" s="40" t="s">
        <v>153</v>
      </c>
      <c r="S798" s="6"/>
      <c r="T798" s="258"/>
      <c r="U798" s="259"/>
      <c r="V798" s="40"/>
      <c r="W798" s="57" t="s">
        <v>5041</v>
      </c>
      <c r="X798" s="57" t="s">
        <v>5041</v>
      </c>
      <c r="Y798" s="40">
        <v>0</v>
      </c>
      <c r="Z798" s="40">
        <v>0</v>
      </c>
      <c r="AA798" s="40"/>
      <c r="AB798" s="40"/>
      <c r="AC798" s="6"/>
      <c r="AD798" s="6"/>
      <c r="AE798" s="6">
        <v>0</v>
      </c>
      <c r="AF798" s="6"/>
      <c r="AG798" s="6"/>
      <c r="AH798" s="6"/>
      <c r="AI798" s="6"/>
      <c r="AJ798" s="6"/>
      <c r="AK798" s="272"/>
      <c r="AL798" s="272"/>
      <c r="AM798" s="272"/>
      <c r="AN798" s="534"/>
      <c r="AO798" s="534"/>
      <c r="AP798" s="534"/>
      <c r="AQ798" s="6" t="s">
        <v>2973</v>
      </c>
      <c r="AR798" s="280"/>
    </row>
    <row r="799" spans="1:44" ht="19.2">
      <c r="A799" s="6">
        <v>3011103</v>
      </c>
      <c r="B799" s="5" t="s">
        <v>3638</v>
      </c>
      <c r="C799" s="224" t="s">
        <v>5095</v>
      </c>
      <c r="D799" s="6" t="s">
        <v>2601</v>
      </c>
      <c r="E799" s="6"/>
      <c r="F799" s="36">
        <v>2</v>
      </c>
      <c r="G799" s="47">
        <v>8</v>
      </c>
      <c r="H799" s="6" t="s">
        <v>136</v>
      </c>
      <c r="I799" s="5" t="s">
        <v>3640</v>
      </c>
      <c r="J799" s="6"/>
      <c r="K799" s="6"/>
      <c r="L799" s="532" t="s">
        <v>2975</v>
      </c>
      <c r="M799" s="235"/>
      <c r="N799" s="235"/>
      <c r="O799" s="6"/>
      <c r="P799" s="40"/>
      <c r="Q799" s="40">
        <v>0</v>
      </c>
      <c r="R799" s="40" t="s">
        <v>153</v>
      </c>
      <c r="S799" s="6"/>
      <c r="T799" s="258"/>
      <c r="U799" s="259"/>
      <c r="V799" s="40"/>
      <c r="W799" s="57" t="s">
        <v>4586</v>
      </c>
      <c r="X799" s="57" t="s">
        <v>4586</v>
      </c>
      <c r="Y799" s="40">
        <v>0</v>
      </c>
      <c r="Z799" s="40">
        <v>0</v>
      </c>
      <c r="AA799" s="40"/>
      <c r="AB799" s="40"/>
      <c r="AC799" s="6"/>
      <c r="AD799" s="6"/>
      <c r="AE799" s="6">
        <v>0</v>
      </c>
      <c r="AF799" s="6"/>
      <c r="AG799" s="6"/>
      <c r="AH799" s="6"/>
      <c r="AI799" s="6"/>
      <c r="AJ799" s="6"/>
      <c r="AK799" s="272"/>
      <c r="AL799" s="272"/>
      <c r="AM799" s="272"/>
      <c r="AN799" s="534"/>
      <c r="AO799" s="534"/>
      <c r="AP799" s="534"/>
      <c r="AQ799" s="6" t="s">
        <v>2976</v>
      </c>
      <c r="AR799" s="280"/>
    </row>
    <row r="800" spans="1:44" ht="19.2">
      <c r="A800" s="6">
        <v>3011104</v>
      </c>
      <c r="B800" s="5" t="s">
        <v>3638</v>
      </c>
      <c r="C800" s="224" t="s">
        <v>5096</v>
      </c>
      <c r="D800" s="6" t="s">
        <v>2601</v>
      </c>
      <c r="E800" s="6"/>
      <c r="F800" s="36">
        <v>3</v>
      </c>
      <c r="G800" s="48">
        <v>8</v>
      </c>
      <c r="H800" s="6" t="s">
        <v>136</v>
      </c>
      <c r="I800" s="5" t="s">
        <v>3640</v>
      </c>
      <c r="J800" s="6"/>
      <c r="K800" s="6"/>
      <c r="L800" s="459" t="s">
        <v>2978</v>
      </c>
      <c r="M800" s="235"/>
      <c r="N800" s="235"/>
      <c r="O800" s="6"/>
      <c r="P800" s="40"/>
      <c r="Q800" s="40">
        <v>0</v>
      </c>
      <c r="R800" s="40" t="s">
        <v>153</v>
      </c>
      <c r="S800" s="6"/>
      <c r="T800" s="258"/>
      <c r="U800" s="259"/>
      <c r="V800" s="40"/>
      <c r="W800" s="57" t="s">
        <v>5097</v>
      </c>
      <c r="X800" s="57" t="s">
        <v>5097</v>
      </c>
      <c r="Y800" s="40">
        <v>0</v>
      </c>
      <c r="Z800" s="40">
        <v>0</v>
      </c>
      <c r="AA800" s="40"/>
      <c r="AB800" s="40"/>
      <c r="AC800" s="6"/>
      <c r="AD800" s="6"/>
      <c r="AE800" s="6">
        <v>0</v>
      </c>
      <c r="AF800" s="6"/>
      <c r="AG800" s="6"/>
      <c r="AH800" s="6"/>
      <c r="AI800" s="6"/>
      <c r="AJ800" s="6"/>
      <c r="AK800" s="272"/>
      <c r="AL800" s="272"/>
      <c r="AM800" s="272"/>
      <c r="AN800" s="534"/>
      <c r="AO800" s="534"/>
      <c r="AP800" s="534"/>
      <c r="AQ800" s="6" t="s">
        <v>2980</v>
      </c>
      <c r="AR800" s="280"/>
    </row>
    <row r="801" spans="1:44" ht="19.2">
      <c r="A801" s="6">
        <v>3011105</v>
      </c>
      <c r="B801" s="5" t="s">
        <v>3638</v>
      </c>
      <c r="C801" s="224" t="s">
        <v>5098</v>
      </c>
      <c r="D801" s="6" t="s">
        <v>2601</v>
      </c>
      <c r="E801" s="6"/>
      <c r="F801" s="36">
        <v>4</v>
      </c>
      <c r="G801" s="47">
        <v>8</v>
      </c>
      <c r="H801" s="6" t="s">
        <v>136</v>
      </c>
      <c r="I801" s="5" t="s">
        <v>3640</v>
      </c>
      <c r="J801" s="6"/>
      <c r="K801" s="6"/>
      <c r="L801" s="459" t="s">
        <v>2982</v>
      </c>
      <c r="M801" s="235"/>
      <c r="N801" s="235"/>
      <c r="O801" s="6"/>
      <c r="P801" s="40"/>
      <c r="Q801" s="40">
        <v>0</v>
      </c>
      <c r="R801" s="40" t="s">
        <v>153</v>
      </c>
      <c r="S801" s="6"/>
      <c r="T801" s="258"/>
      <c r="U801" s="259"/>
      <c r="V801" s="40"/>
      <c r="W801" s="57" t="s">
        <v>5099</v>
      </c>
      <c r="X801" s="57" t="s">
        <v>5099</v>
      </c>
      <c r="Y801" s="40">
        <v>0</v>
      </c>
      <c r="Z801" s="40">
        <v>0</v>
      </c>
      <c r="AA801" s="40"/>
      <c r="AB801" s="40"/>
      <c r="AC801" s="6"/>
      <c r="AD801" s="6"/>
      <c r="AE801" s="6">
        <v>0</v>
      </c>
      <c r="AF801" s="6"/>
      <c r="AG801" s="6"/>
      <c r="AH801" s="6"/>
      <c r="AI801" s="6"/>
      <c r="AJ801" s="6"/>
      <c r="AK801" s="272"/>
      <c r="AL801" s="272"/>
      <c r="AM801" s="272"/>
      <c r="AN801" s="534"/>
      <c r="AO801" s="534"/>
      <c r="AP801" s="534"/>
      <c r="AQ801" s="6" t="s">
        <v>2983</v>
      </c>
      <c r="AR801" s="280"/>
    </row>
    <row r="802" spans="1:44" ht="15" customHeight="1">
      <c r="A802" s="6">
        <v>3011106</v>
      </c>
      <c r="B802" s="5" t="s">
        <v>3638</v>
      </c>
      <c r="C802" s="224" t="s">
        <v>5100</v>
      </c>
      <c r="D802" s="6" t="s">
        <v>2601</v>
      </c>
      <c r="E802" s="6"/>
      <c r="F802" s="36">
        <v>5</v>
      </c>
      <c r="G802" s="48">
        <v>8</v>
      </c>
      <c r="H802" s="6" t="s">
        <v>136</v>
      </c>
      <c r="I802" s="5" t="s">
        <v>3640</v>
      </c>
      <c r="J802" s="6"/>
      <c r="K802" s="6"/>
      <c r="L802" s="459" t="s">
        <v>2985</v>
      </c>
      <c r="M802" s="235"/>
      <c r="N802" s="235"/>
      <c r="O802" s="6"/>
      <c r="P802" s="40"/>
      <c r="Q802" s="40">
        <v>0</v>
      </c>
      <c r="R802" s="40" t="s">
        <v>153</v>
      </c>
      <c r="S802" s="6"/>
      <c r="T802" s="258"/>
      <c r="U802" s="259"/>
      <c r="V802" s="40"/>
      <c r="W802" s="57" t="s">
        <v>5101</v>
      </c>
      <c r="X802" s="57" t="s">
        <v>5101</v>
      </c>
      <c r="Y802" s="40">
        <v>0</v>
      </c>
      <c r="Z802" s="40">
        <v>0</v>
      </c>
      <c r="AA802" s="40"/>
      <c r="AB802" s="40"/>
      <c r="AC802" s="6"/>
      <c r="AD802" s="6"/>
      <c r="AE802" s="6">
        <v>0</v>
      </c>
      <c r="AF802" s="6"/>
      <c r="AG802" s="6"/>
      <c r="AH802" s="6"/>
      <c r="AI802" s="6"/>
      <c r="AJ802" s="6"/>
      <c r="AK802" s="272"/>
      <c r="AL802" s="272"/>
      <c r="AM802" s="272"/>
      <c r="AN802" s="534"/>
      <c r="AO802" s="534"/>
      <c r="AP802" s="534"/>
      <c r="AQ802" s="6" t="s">
        <v>2987</v>
      </c>
      <c r="AR802" s="280"/>
    </row>
    <row r="803" spans="1:44" ht="15" customHeight="1">
      <c r="A803" s="6">
        <v>3011107</v>
      </c>
      <c r="B803" s="5" t="s">
        <v>3638</v>
      </c>
      <c r="C803" s="224" t="s">
        <v>5102</v>
      </c>
      <c r="D803" s="6" t="s">
        <v>2601</v>
      </c>
      <c r="E803" s="6"/>
      <c r="F803" s="36">
        <v>6</v>
      </c>
      <c r="G803" s="47">
        <v>8</v>
      </c>
      <c r="H803" s="6" t="s">
        <v>136</v>
      </c>
      <c r="I803" s="5" t="s">
        <v>3640</v>
      </c>
      <c r="J803" s="6"/>
      <c r="K803" s="6"/>
      <c r="L803" s="459" t="s">
        <v>2989</v>
      </c>
      <c r="M803" s="235"/>
      <c r="N803" s="235"/>
      <c r="O803" s="6"/>
      <c r="P803" s="40"/>
      <c r="Q803" s="40">
        <v>0</v>
      </c>
      <c r="R803" s="40" t="s">
        <v>153</v>
      </c>
      <c r="S803" s="6"/>
      <c r="T803" s="258"/>
      <c r="U803" s="259"/>
      <c r="V803" s="40"/>
      <c r="W803" s="57" t="s">
        <v>5103</v>
      </c>
      <c r="X803" s="57" t="s">
        <v>5103</v>
      </c>
      <c r="Y803" s="40">
        <v>0</v>
      </c>
      <c r="Z803" s="40">
        <v>0</v>
      </c>
      <c r="AA803" s="40"/>
      <c r="AB803" s="40"/>
      <c r="AC803" s="6"/>
      <c r="AD803" s="6"/>
      <c r="AE803" s="6">
        <v>0</v>
      </c>
      <c r="AF803" s="6"/>
      <c r="AG803" s="6"/>
      <c r="AH803" s="6"/>
      <c r="AI803" s="6"/>
      <c r="AJ803" s="6"/>
      <c r="AK803" s="272"/>
      <c r="AL803" s="272"/>
      <c r="AM803" s="272"/>
      <c r="AN803" s="534"/>
      <c r="AO803" s="534"/>
      <c r="AP803" s="534"/>
      <c r="AQ803" s="6" t="s">
        <v>2990</v>
      </c>
      <c r="AR803" s="280"/>
    </row>
    <row r="804" spans="1:44" ht="15" customHeight="1">
      <c r="A804" s="6">
        <v>3011108</v>
      </c>
      <c r="B804" s="5" t="s">
        <v>3638</v>
      </c>
      <c r="C804" s="224" t="s">
        <v>5104</v>
      </c>
      <c r="D804" s="6" t="s">
        <v>2601</v>
      </c>
      <c r="E804" s="6"/>
      <c r="F804" s="36">
        <v>7</v>
      </c>
      <c r="G804" s="48">
        <v>8</v>
      </c>
      <c r="H804" s="6" t="s">
        <v>136</v>
      </c>
      <c r="I804" s="5" t="s">
        <v>3640</v>
      </c>
      <c r="J804" s="6"/>
      <c r="K804" s="6"/>
      <c r="L804" s="459" t="s">
        <v>2992</v>
      </c>
      <c r="M804" s="235"/>
      <c r="N804" s="235"/>
      <c r="O804" s="6"/>
      <c r="P804" s="40"/>
      <c r="Q804" s="40">
        <v>0</v>
      </c>
      <c r="R804" s="40" t="s">
        <v>153</v>
      </c>
      <c r="S804" s="6"/>
      <c r="T804" s="258"/>
      <c r="U804" s="259"/>
      <c r="V804" s="40"/>
      <c r="W804" s="57" t="s">
        <v>5105</v>
      </c>
      <c r="X804" s="57" t="s">
        <v>5105</v>
      </c>
      <c r="Y804" s="40">
        <v>0</v>
      </c>
      <c r="Z804" s="40">
        <v>0</v>
      </c>
      <c r="AA804" s="40"/>
      <c r="AB804" s="40"/>
      <c r="AC804" s="6"/>
      <c r="AD804" s="6"/>
      <c r="AE804" s="6">
        <v>0</v>
      </c>
      <c r="AF804" s="6"/>
      <c r="AG804" s="6"/>
      <c r="AH804" s="6"/>
      <c r="AI804" s="6"/>
      <c r="AJ804" s="6"/>
      <c r="AK804" s="272"/>
      <c r="AL804" s="272"/>
      <c r="AM804" s="272"/>
      <c r="AN804" s="534"/>
      <c r="AO804" s="534"/>
      <c r="AP804" s="534"/>
      <c r="AQ804" s="6" t="s">
        <v>2994</v>
      </c>
      <c r="AR804" s="280"/>
    </row>
    <row r="805" spans="1:44" ht="15" customHeight="1">
      <c r="A805" s="3">
        <v>3011109</v>
      </c>
      <c r="B805" s="5" t="s">
        <v>3638</v>
      </c>
      <c r="C805" s="224" t="s">
        <v>5106</v>
      </c>
      <c r="D805" s="3" t="s">
        <v>2601</v>
      </c>
      <c r="E805" s="3"/>
      <c r="F805" s="3">
        <v>8</v>
      </c>
      <c r="G805" s="47">
        <v>8</v>
      </c>
      <c r="H805" s="3" t="s">
        <v>136</v>
      </c>
      <c r="I805" s="5" t="s">
        <v>3640</v>
      </c>
      <c r="J805" s="3"/>
      <c r="K805" s="3"/>
      <c r="L805" s="236"/>
      <c r="M805" s="99"/>
      <c r="N805" s="99"/>
      <c r="O805" s="236"/>
      <c r="P805" s="22"/>
      <c r="Q805" s="22">
        <v>0</v>
      </c>
      <c r="R805" s="22" t="s">
        <v>153</v>
      </c>
      <c r="S805" s="3"/>
      <c r="T805" s="260"/>
      <c r="U805" s="261"/>
      <c r="V805" s="22"/>
      <c r="W805" s="57" t="s">
        <v>5107</v>
      </c>
      <c r="X805" s="57" t="s">
        <v>5107</v>
      </c>
      <c r="Y805" s="22"/>
      <c r="Z805" s="22"/>
      <c r="AA805" s="22"/>
      <c r="AB805" s="22" t="s">
        <v>114</v>
      </c>
      <c r="AC805" s="3"/>
      <c r="AD805" s="3"/>
      <c r="AE805" s="3">
        <v>0</v>
      </c>
      <c r="AF805" s="3">
        <v>0</v>
      </c>
      <c r="AG805" s="3">
        <v>0</v>
      </c>
      <c r="AH805" s="3"/>
      <c r="AI805" s="3">
        <v>0</v>
      </c>
      <c r="AJ805" s="3">
        <v>0</v>
      </c>
      <c r="AK805" s="3">
        <v>0</v>
      </c>
      <c r="AL805" s="3"/>
      <c r="AM805" s="3"/>
      <c r="AN805" s="3"/>
      <c r="AO805" s="3"/>
      <c r="AP805" s="3"/>
      <c r="AQ805" s="3" t="s">
        <v>2976</v>
      </c>
      <c r="AR805" s="281"/>
    </row>
    <row r="806" spans="1:44" ht="15" customHeight="1">
      <c r="A806" s="3">
        <v>3011110</v>
      </c>
      <c r="B806" s="5" t="s">
        <v>3638</v>
      </c>
      <c r="C806" s="224" t="s">
        <v>5108</v>
      </c>
      <c r="D806" s="3" t="s">
        <v>2601</v>
      </c>
      <c r="E806" s="3"/>
      <c r="F806" s="3">
        <v>9</v>
      </c>
      <c r="G806" s="48">
        <v>8</v>
      </c>
      <c r="H806" s="3" t="s">
        <v>136</v>
      </c>
      <c r="I806" s="5" t="s">
        <v>3640</v>
      </c>
      <c r="J806" s="3"/>
      <c r="K806" s="3"/>
      <c r="L806" s="236"/>
      <c r="M806" s="99"/>
      <c r="N806" s="99"/>
      <c r="O806" s="236"/>
      <c r="P806" s="22"/>
      <c r="Q806" s="22">
        <v>0</v>
      </c>
      <c r="R806" s="22" t="s">
        <v>153</v>
      </c>
      <c r="S806" s="3"/>
      <c r="T806" s="260"/>
      <c r="U806" s="261"/>
      <c r="V806" s="22"/>
      <c r="W806" s="57" t="s">
        <v>5103</v>
      </c>
      <c r="X806" s="57" t="s">
        <v>5103</v>
      </c>
      <c r="Y806" s="22"/>
      <c r="Z806" s="22"/>
      <c r="AA806" s="22"/>
      <c r="AB806" s="22" t="s">
        <v>114</v>
      </c>
      <c r="AC806" s="3"/>
      <c r="AD806" s="3"/>
      <c r="AE806" s="3">
        <v>0</v>
      </c>
      <c r="AF806" s="3">
        <v>0</v>
      </c>
      <c r="AG806" s="3">
        <v>0</v>
      </c>
      <c r="AH806" s="3"/>
      <c r="AI806" s="3">
        <v>0</v>
      </c>
      <c r="AJ806" s="3">
        <v>0</v>
      </c>
      <c r="AK806" s="3">
        <v>0</v>
      </c>
      <c r="AL806" s="3"/>
      <c r="AM806" s="3"/>
      <c r="AN806" s="3"/>
      <c r="AO806" s="3"/>
      <c r="AP806" s="3"/>
      <c r="AQ806" s="282" t="str">
        <f>"tricks/"&amp;A806</f>
        <v>tricks/3011110</v>
      </c>
    </row>
    <row r="807" spans="1:44" ht="15" customHeight="1">
      <c r="A807" s="3">
        <v>3011111</v>
      </c>
      <c r="B807" s="5" t="s">
        <v>3638</v>
      </c>
      <c r="C807" s="224" t="s">
        <v>5109</v>
      </c>
      <c r="D807" s="3" t="s">
        <v>2601</v>
      </c>
      <c r="E807" s="3"/>
      <c r="F807" s="3">
        <v>10</v>
      </c>
      <c r="G807" s="47">
        <v>8</v>
      </c>
      <c r="H807" s="3" t="s">
        <v>136</v>
      </c>
      <c r="I807" s="5" t="s">
        <v>3640</v>
      </c>
      <c r="J807" s="3"/>
      <c r="K807" s="3"/>
      <c r="L807" s="236"/>
      <c r="M807" s="99"/>
      <c r="N807" s="99"/>
      <c r="O807" s="236"/>
      <c r="P807" s="22"/>
      <c r="Q807" s="22">
        <v>0</v>
      </c>
      <c r="R807" s="22" t="s">
        <v>153</v>
      </c>
      <c r="S807" s="3"/>
      <c r="T807" s="260"/>
      <c r="U807" s="261"/>
      <c r="V807" s="22"/>
      <c r="W807" s="57" t="s">
        <v>5110</v>
      </c>
      <c r="X807" s="57" t="s">
        <v>5110</v>
      </c>
      <c r="Y807" s="22"/>
      <c r="Z807" s="22"/>
      <c r="AA807" s="22"/>
      <c r="AB807" s="22" t="s">
        <v>114</v>
      </c>
      <c r="AC807" s="3"/>
      <c r="AD807" s="3"/>
      <c r="AE807" s="3">
        <v>0</v>
      </c>
      <c r="AF807" s="3">
        <v>0</v>
      </c>
      <c r="AG807" s="3">
        <v>0</v>
      </c>
      <c r="AH807" s="3"/>
      <c r="AI807" s="3">
        <v>0</v>
      </c>
      <c r="AJ807" s="3">
        <v>0</v>
      </c>
      <c r="AK807" s="3">
        <v>0</v>
      </c>
      <c r="AL807" s="3"/>
      <c r="AM807" s="3"/>
      <c r="AN807" s="3"/>
      <c r="AO807" s="3"/>
      <c r="AP807" s="3"/>
      <c r="AQ807" s="282" t="str">
        <f>"tricks/"&amp;A807</f>
        <v>tricks/3011111</v>
      </c>
    </row>
    <row r="808" spans="1:44" ht="19.2">
      <c r="A808" s="33">
        <v>3011201</v>
      </c>
      <c r="B808" s="5" t="s">
        <v>3638</v>
      </c>
      <c r="C808" s="224" t="s">
        <v>5111</v>
      </c>
      <c r="D808" s="33" t="s">
        <v>2601</v>
      </c>
      <c r="E808" s="33"/>
      <c r="F808" s="36">
        <v>1</v>
      </c>
      <c r="G808" s="48">
        <v>8</v>
      </c>
      <c r="H808" s="33" t="s">
        <v>82</v>
      </c>
      <c r="I808" s="5" t="s">
        <v>3640</v>
      </c>
      <c r="J808" s="33"/>
      <c r="K808" s="33"/>
      <c r="L808" s="533" t="s">
        <v>3001</v>
      </c>
      <c r="M808" s="367"/>
      <c r="N808" s="378">
        <v>14</v>
      </c>
      <c r="O808" s="33"/>
      <c r="P808" s="369"/>
      <c r="Q808" s="369">
        <v>0</v>
      </c>
      <c r="R808" s="369" t="s">
        <v>153</v>
      </c>
      <c r="S808" s="33"/>
      <c r="T808" s="380"/>
      <c r="U808" s="381"/>
      <c r="V808" s="369"/>
      <c r="W808" s="57" t="s">
        <v>5112</v>
      </c>
      <c r="X808" s="57" t="s">
        <v>5112</v>
      </c>
      <c r="Y808" s="369">
        <v>0</v>
      </c>
      <c r="Z808" s="369">
        <v>0</v>
      </c>
      <c r="AA808" s="369"/>
      <c r="AB808" s="369"/>
      <c r="AC808" s="33"/>
      <c r="AD808" s="33"/>
      <c r="AE808" s="33">
        <v>2</v>
      </c>
      <c r="AF808" s="33"/>
      <c r="AG808" s="33">
        <v>40</v>
      </c>
      <c r="AH808" s="33"/>
      <c r="AI808" s="33"/>
      <c r="AJ808" s="33"/>
      <c r="AK808" s="396"/>
      <c r="AL808" s="396"/>
      <c r="AM808" s="396"/>
      <c r="AN808" s="43" t="s">
        <v>3003</v>
      </c>
      <c r="AO808" s="397"/>
      <c r="AP808" s="397"/>
      <c r="AQ808" s="33" t="s">
        <v>3004</v>
      </c>
      <c r="AR808" s="404"/>
    </row>
    <row r="809" spans="1:44" ht="19.2">
      <c r="A809" s="33">
        <v>3011202</v>
      </c>
      <c r="B809" s="5" t="s">
        <v>3638</v>
      </c>
      <c r="C809" s="224" t="s">
        <v>5113</v>
      </c>
      <c r="D809" s="33" t="s">
        <v>2601</v>
      </c>
      <c r="E809" s="33"/>
      <c r="F809" s="36">
        <v>1</v>
      </c>
      <c r="G809" s="47">
        <v>8</v>
      </c>
      <c r="H809" s="33" t="s">
        <v>136</v>
      </c>
      <c r="I809" s="5" t="s">
        <v>3640</v>
      </c>
      <c r="J809" s="33"/>
      <c r="K809" s="33"/>
      <c r="L809" s="533" t="s">
        <v>3006</v>
      </c>
      <c r="M809" s="367"/>
      <c r="N809" s="367"/>
      <c r="O809" s="33"/>
      <c r="P809" s="369"/>
      <c r="Q809" s="369">
        <v>0</v>
      </c>
      <c r="R809" s="369" t="s">
        <v>153</v>
      </c>
      <c r="S809" s="33"/>
      <c r="T809" s="380"/>
      <c r="U809" s="381"/>
      <c r="V809" s="369"/>
      <c r="W809" s="57" t="s">
        <v>5099</v>
      </c>
      <c r="X809" s="57" t="s">
        <v>5099</v>
      </c>
      <c r="Y809" s="369">
        <v>0</v>
      </c>
      <c r="Z809" s="369">
        <v>0</v>
      </c>
      <c r="AA809" s="369"/>
      <c r="AB809" s="369"/>
      <c r="AC809" s="33"/>
      <c r="AD809" s="33"/>
      <c r="AE809" s="33">
        <v>0</v>
      </c>
      <c r="AF809" s="33"/>
      <c r="AG809" s="33"/>
      <c r="AH809" s="33"/>
      <c r="AI809" s="33"/>
      <c r="AJ809" s="33"/>
      <c r="AK809" s="396"/>
      <c r="AL809" s="396"/>
      <c r="AM809" s="396"/>
      <c r="AN809" s="397"/>
      <c r="AO809" s="397"/>
      <c r="AP809" s="397"/>
      <c r="AQ809" s="33" t="s">
        <v>3008</v>
      </c>
      <c r="AR809" s="404"/>
    </row>
    <row r="810" spans="1:44" ht="19.2">
      <c r="A810" s="33">
        <v>3011203</v>
      </c>
      <c r="B810" s="5" t="s">
        <v>3638</v>
      </c>
      <c r="C810" s="224" t="s">
        <v>5114</v>
      </c>
      <c r="D810" s="33" t="s">
        <v>2601</v>
      </c>
      <c r="E810" s="33"/>
      <c r="F810" s="36">
        <v>2</v>
      </c>
      <c r="G810" s="48">
        <v>8</v>
      </c>
      <c r="H810" s="33" t="s">
        <v>136</v>
      </c>
      <c r="I810" s="5" t="s">
        <v>3640</v>
      </c>
      <c r="J810" s="33"/>
      <c r="K810" s="33"/>
      <c r="L810" s="533" t="s">
        <v>3010</v>
      </c>
      <c r="M810" s="367"/>
      <c r="N810" s="367"/>
      <c r="O810" s="33"/>
      <c r="P810" s="369"/>
      <c r="Q810" s="369">
        <v>0</v>
      </c>
      <c r="R810" s="369" t="s">
        <v>153</v>
      </c>
      <c r="S810" s="33"/>
      <c r="T810" s="380"/>
      <c r="U810" s="381"/>
      <c r="V810" s="369"/>
      <c r="W810" s="57" t="s">
        <v>5115</v>
      </c>
      <c r="X810" s="57" t="s">
        <v>5115</v>
      </c>
      <c r="Y810" s="369">
        <v>0</v>
      </c>
      <c r="Z810" s="369">
        <v>0</v>
      </c>
      <c r="AA810" s="369"/>
      <c r="AB810" s="369"/>
      <c r="AC810" s="33"/>
      <c r="AD810" s="33"/>
      <c r="AE810" s="33">
        <v>0</v>
      </c>
      <c r="AF810" s="33"/>
      <c r="AG810" s="33"/>
      <c r="AH810" s="33"/>
      <c r="AI810" s="33"/>
      <c r="AJ810" s="33"/>
      <c r="AK810" s="396"/>
      <c r="AL810" s="396"/>
      <c r="AM810" s="396"/>
      <c r="AN810" s="397"/>
      <c r="AO810" s="397"/>
      <c r="AP810" s="397"/>
      <c r="AQ810" s="33" t="s">
        <v>3012</v>
      </c>
      <c r="AR810" s="404"/>
    </row>
    <row r="811" spans="1:44" ht="19.2">
      <c r="A811" s="33">
        <v>3011204</v>
      </c>
      <c r="B811" s="5" t="s">
        <v>3638</v>
      </c>
      <c r="C811" s="224" t="s">
        <v>5116</v>
      </c>
      <c r="D811" s="33" t="s">
        <v>2601</v>
      </c>
      <c r="E811" s="33"/>
      <c r="F811" s="36">
        <v>3</v>
      </c>
      <c r="G811" s="47">
        <v>8</v>
      </c>
      <c r="H811" s="33" t="s">
        <v>136</v>
      </c>
      <c r="I811" s="5" t="s">
        <v>3640</v>
      </c>
      <c r="J811" s="33"/>
      <c r="K811" s="33"/>
      <c r="L811" s="366" t="s">
        <v>3014</v>
      </c>
      <c r="M811" s="367"/>
      <c r="N811" s="367"/>
      <c r="O811" s="33"/>
      <c r="P811" s="369"/>
      <c r="Q811" s="369">
        <v>0</v>
      </c>
      <c r="R811" s="369" t="s">
        <v>153</v>
      </c>
      <c r="S811" s="33"/>
      <c r="T811" s="380"/>
      <c r="U811" s="381"/>
      <c r="V811" s="369"/>
      <c r="W811" s="57" t="s">
        <v>5117</v>
      </c>
      <c r="X811" s="57" t="s">
        <v>5117</v>
      </c>
      <c r="Y811" s="369">
        <v>0</v>
      </c>
      <c r="Z811" s="369">
        <v>0</v>
      </c>
      <c r="AA811" s="369"/>
      <c r="AB811" s="369"/>
      <c r="AC811" s="33"/>
      <c r="AD811" s="33"/>
      <c r="AE811" s="33">
        <v>0</v>
      </c>
      <c r="AF811" s="33"/>
      <c r="AG811" s="33"/>
      <c r="AH811" s="33"/>
      <c r="AI811" s="33"/>
      <c r="AJ811" s="33"/>
      <c r="AK811" s="396"/>
      <c r="AL811" s="396"/>
      <c r="AM811" s="396"/>
      <c r="AN811" s="397"/>
      <c r="AO811" s="33"/>
      <c r="AP811" s="33"/>
      <c r="AQ811" s="33" t="s">
        <v>3016</v>
      </c>
      <c r="AR811" s="404"/>
    </row>
    <row r="812" spans="1:44" ht="19.2">
      <c r="A812" s="33">
        <v>3011205</v>
      </c>
      <c r="B812" s="5" t="s">
        <v>3638</v>
      </c>
      <c r="C812" s="224" t="s">
        <v>5118</v>
      </c>
      <c r="D812" s="33" t="s">
        <v>2601</v>
      </c>
      <c r="E812" s="33"/>
      <c r="F812" s="36">
        <v>4</v>
      </c>
      <c r="G812" s="48">
        <v>8</v>
      </c>
      <c r="H812" s="33" t="s">
        <v>136</v>
      </c>
      <c r="I812" s="5" t="s">
        <v>3640</v>
      </c>
      <c r="J812" s="33"/>
      <c r="K812" s="33"/>
      <c r="L812" s="533" t="s">
        <v>3018</v>
      </c>
      <c r="M812" s="367"/>
      <c r="N812" s="367"/>
      <c r="O812" s="33"/>
      <c r="P812" s="369"/>
      <c r="Q812" s="369">
        <v>0</v>
      </c>
      <c r="R812" s="369" t="s">
        <v>153</v>
      </c>
      <c r="S812" s="33"/>
      <c r="T812" s="380"/>
      <c r="U812" s="381"/>
      <c r="V812" s="369"/>
      <c r="W812" s="57" t="s">
        <v>5119</v>
      </c>
      <c r="X812" s="57" t="s">
        <v>5119</v>
      </c>
      <c r="Y812" s="369">
        <v>0</v>
      </c>
      <c r="Z812" s="369">
        <v>0</v>
      </c>
      <c r="AA812" s="369"/>
      <c r="AB812" s="369"/>
      <c r="AC812" s="33"/>
      <c r="AD812" s="33"/>
      <c r="AE812" s="33">
        <v>0</v>
      </c>
      <c r="AF812" s="33"/>
      <c r="AG812" s="33"/>
      <c r="AH812" s="33"/>
      <c r="AI812" s="33"/>
      <c r="AJ812" s="33"/>
      <c r="AK812" s="396"/>
      <c r="AL812" s="396"/>
      <c r="AM812" s="396"/>
      <c r="AN812" s="397"/>
      <c r="AO812" s="397"/>
      <c r="AP812" s="397"/>
      <c r="AQ812" s="33" t="s">
        <v>3020</v>
      </c>
      <c r="AR812" s="404"/>
    </row>
    <row r="813" spans="1:44" ht="19.2">
      <c r="A813" s="33">
        <v>3011206</v>
      </c>
      <c r="B813" s="5" t="s">
        <v>3638</v>
      </c>
      <c r="C813" s="224" t="s">
        <v>5120</v>
      </c>
      <c r="D813" s="33" t="s">
        <v>2601</v>
      </c>
      <c r="E813" s="33"/>
      <c r="F813" s="36">
        <v>5</v>
      </c>
      <c r="G813" s="47">
        <v>8</v>
      </c>
      <c r="H813" s="33" t="s">
        <v>136</v>
      </c>
      <c r="I813" s="5" t="s">
        <v>3640</v>
      </c>
      <c r="J813" s="33"/>
      <c r="K813" s="33"/>
      <c r="L813" s="366" t="s">
        <v>3022</v>
      </c>
      <c r="M813" s="367"/>
      <c r="N813" s="367"/>
      <c r="O813" s="33"/>
      <c r="P813" s="369"/>
      <c r="Q813" s="369">
        <v>0</v>
      </c>
      <c r="R813" s="369" t="s">
        <v>153</v>
      </c>
      <c r="S813" s="33"/>
      <c r="T813" s="380"/>
      <c r="U813" s="381"/>
      <c r="V813" s="369"/>
      <c r="W813" s="57" t="s">
        <v>5121</v>
      </c>
      <c r="X813" s="57" t="s">
        <v>5121</v>
      </c>
      <c r="Y813" s="369">
        <v>0</v>
      </c>
      <c r="Z813" s="369">
        <v>0</v>
      </c>
      <c r="AA813" s="369"/>
      <c r="AB813" s="369"/>
      <c r="AC813" s="33"/>
      <c r="AD813" s="33"/>
      <c r="AE813" s="33">
        <v>0</v>
      </c>
      <c r="AF813" s="33"/>
      <c r="AG813" s="33"/>
      <c r="AH813" s="33"/>
      <c r="AI813" s="33"/>
      <c r="AJ813" s="33"/>
      <c r="AK813" s="396"/>
      <c r="AL813" s="396"/>
      <c r="AM813" s="396"/>
      <c r="AN813" s="397"/>
      <c r="AO813" s="33"/>
      <c r="AP813" s="33"/>
      <c r="AQ813" s="33" t="s">
        <v>3024</v>
      </c>
      <c r="AR813" s="404"/>
    </row>
    <row r="814" spans="1:44" ht="19.2">
      <c r="A814" s="33">
        <v>3011207</v>
      </c>
      <c r="B814" s="5" t="s">
        <v>3638</v>
      </c>
      <c r="C814" s="224" t="s">
        <v>5122</v>
      </c>
      <c r="D814" s="33" t="s">
        <v>2601</v>
      </c>
      <c r="E814" s="33"/>
      <c r="F814" s="36">
        <v>6</v>
      </c>
      <c r="G814" s="48">
        <v>8</v>
      </c>
      <c r="H814" s="33" t="s">
        <v>136</v>
      </c>
      <c r="I814" s="5" t="s">
        <v>3640</v>
      </c>
      <c r="J814" s="33"/>
      <c r="K814" s="33"/>
      <c r="L814" s="533" t="s">
        <v>3026</v>
      </c>
      <c r="M814" s="367"/>
      <c r="N814" s="367"/>
      <c r="O814" s="33"/>
      <c r="P814" s="369"/>
      <c r="Q814" s="369">
        <v>0</v>
      </c>
      <c r="R814" s="369" t="s">
        <v>153</v>
      </c>
      <c r="S814" s="33"/>
      <c r="T814" s="380"/>
      <c r="U814" s="381"/>
      <c r="V814" s="369"/>
      <c r="W814" s="57" t="s">
        <v>5123</v>
      </c>
      <c r="X814" s="57" t="s">
        <v>5123</v>
      </c>
      <c r="Y814" s="369">
        <v>0</v>
      </c>
      <c r="Z814" s="369">
        <v>0</v>
      </c>
      <c r="AA814" s="369"/>
      <c r="AB814" s="369"/>
      <c r="AC814" s="33"/>
      <c r="AD814" s="33"/>
      <c r="AE814" s="33">
        <v>0</v>
      </c>
      <c r="AF814" s="33"/>
      <c r="AG814" s="33"/>
      <c r="AH814" s="33"/>
      <c r="AI814" s="33"/>
      <c r="AJ814" s="33"/>
      <c r="AK814" s="396"/>
      <c r="AL814" s="396"/>
      <c r="AM814" s="396"/>
      <c r="AN814" s="397"/>
      <c r="AO814" s="33"/>
      <c r="AP814" s="33"/>
      <c r="AQ814" s="33" t="s">
        <v>3028</v>
      </c>
      <c r="AR814" s="404"/>
    </row>
    <row r="815" spans="1:44" ht="15" customHeight="1">
      <c r="A815" s="33">
        <v>3011208</v>
      </c>
      <c r="B815" s="5" t="s">
        <v>3638</v>
      </c>
      <c r="C815" s="224" t="s">
        <v>5124</v>
      </c>
      <c r="D815" s="33" t="s">
        <v>2601</v>
      </c>
      <c r="E815" s="33"/>
      <c r="F815" s="36">
        <v>7</v>
      </c>
      <c r="G815" s="47">
        <v>8</v>
      </c>
      <c r="H815" s="33" t="s">
        <v>136</v>
      </c>
      <c r="I815" s="5" t="s">
        <v>3640</v>
      </c>
      <c r="J815" s="33"/>
      <c r="K815" s="33"/>
      <c r="L815" s="533" t="s">
        <v>3030</v>
      </c>
      <c r="M815" s="367"/>
      <c r="N815" s="367"/>
      <c r="O815" s="33"/>
      <c r="P815" s="369"/>
      <c r="Q815" s="369">
        <v>0</v>
      </c>
      <c r="R815" s="369" t="s">
        <v>153</v>
      </c>
      <c r="S815" s="33"/>
      <c r="T815" s="380"/>
      <c r="U815" s="381"/>
      <c r="V815" s="369"/>
      <c r="W815" s="57" t="s">
        <v>5125</v>
      </c>
      <c r="X815" s="57" t="s">
        <v>5125</v>
      </c>
      <c r="Y815" s="369">
        <v>0</v>
      </c>
      <c r="Z815" s="369">
        <v>0</v>
      </c>
      <c r="AA815" s="369"/>
      <c r="AB815" s="369"/>
      <c r="AC815" s="33"/>
      <c r="AD815" s="33"/>
      <c r="AE815" s="33">
        <v>0</v>
      </c>
      <c r="AF815" s="33"/>
      <c r="AG815" s="33"/>
      <c r="AH815" s="33"/>
      <c r="AI815" s="33"/>
      <c r="AJ815" s="33"/>
      <c r="AK815" s="396"/>
      <c r="AL815" s="396"/>
      <c r="AM815" s="396"/>
      <c r="AN815" s="397"/>
      <c r="AO815" s="33"/>
      <c r="AP815" s="33"/>
      <c r="AQ815" s="33" t="s">
        <v>3032</v>
      </c>
      <c r="AR815" s="404"/>
    </row>
    <row r="816" spans="1:44" ht="15" customHeight="1">
      <c r="A816" s="3">
        <v>3011209</v>
      </c>
      <c r="B816" s="5" t="s">
        <v>3638</v>
      </c>
      <c r="C816" s="224" t="s">
        <v>5126</v>
      </c>
      <c r="D816" s="3" t="s">
        <v>2601</v>
      </c>
      <c r="E816" s="3"/>
      <c r="F816" s="3">
        <v>8</v>
      </c>
      <c r="G816" s="48">
        <v>8</v>
      </c>
      <c r="H816" s="3" t="s">
        <v>136</v>
      </c>
      <c r="I816" s="5" t="s">
        <v>3640</v>
      </c>
      <c r="J816" s="3"/>
      <c r="K816" s="3"/>
      <c r="L816" s="236"/>
      <c r="M816" s="99"/>
      <c r="N816" s="99"/>
      <c r="O816" s="236"/>
      <c r="P816" s="22"/>
      <c r="Q816" s="22">
        <v>0</v>
      </c>
      <c r="R816" s="22" t="s">
        <v>153</v>
      </c>
      <c r="S816" s="3"/>
      <c r="T816" s="260"/>
      <c r="U816" s="261"/>
      <c r="V816" s="22"/>
      <c r="W816" s="57" t="s">
        <v>5107</v>
      </c>
      <c r="X816" s="57" t="s">
        <v>5107</v>
      </c>
      <c r="Y816" s="22"/>
      <c r="Z816" s="22"/>
      <c r="AA816" s="22"/>
      <c r="AB816" s="22" t="s">
        <v>114</v>
      </c>
      <c r="AC816" s="3"/>
      <c r="AD816" s="3"/>
      <c r="AE816" s="3">
        <v>0</v>
      </c>
      <c r="AF816" s="3">
        <v>0</v>
      </c>
      <c r="AG816" s="3">
        <v>0</v>
      </c>
      <c r="AH816" s="3"/>
      <c r="AI816" s="3">
        <v>0</v>
      </c>
      <c r="AJ816" s="3">
        <v>0</v>
      </c>
      <c r="AK816" s="3">
        <v>0</v>
      </c>
      <c r="AL816" s="3"/>
      <c r="AM816" s="3"/>
      <c r="AN816" s="3"/>
      <c r="AO816" s="3"/>
      <c r="AP816" s="3"/>
      <c r="AQ816" s="3" t="s">
        <v>3012</v>
      </c>
      <c r="AR816" s="281"/>
    </row>
    <row r="817" spans="1:44" ht="15" customHeight="1">
      <c r="A817" s="3">
        <v>3011210</v>
      </c>
      <c r="B817" s="5" t="s">
        <v>3638</v>
      </c>
      <c r="C817" s="224" t="s">
        <v>5127</v>
      </c>
      <c r="D817" s="3" t="s">
        <v>2601</v>
      </c>
      <c r="E817" s="3"/>
      <c r="F817" s="3">
        <v>9</v>
      </c>
      <c r="G817" s="47">
        <v>8</v>
      </c>
      <c r="H817" s="3" t="s">
        <v>136</v>
      </c>
      <c r="I817" s="5" t="s">
        <v>3640</v>
      </c>
      <c r="J817" s="3"/>
      <c r="K817" s="3"/>
      <c r="L817" s="236"/>
      <c r="M817" s="99"/>
      <c r="N817" s="99"/>
      <c r="O817" s="236"/>
      <c r="P817" s="22"/>
      <c r="Q817" s="22">
        <v>0</v>
      </c>
      <c r="R817" s="22" t="s">
        <v>153</v>
      </c>
      <c r="S817" s="3"/>
      <c r="T817" s="260"/>
      <c r="U817" s="261"/>
      <c r="V817" s="22"/>
      <c r="W817" s="57" t="s">
        <v>5121</v>
      </c>
      <c r="X817" s="57" t="s">
        <v>5121</v>
      </c>
      <c r="Y817" s="22"/>
      <c r="Z817" s="22"/>
      <c r="AA817" s="22"/>
      <c r="AB817" s="22" t="s">
        <v>114</v>
      </c>
      <c r="AC817" s="3"/>
      <c r="AD817" s="3"/>
      <c r="AE817" s="3">
        <v>0</v>
      </c>
      <c r="AF817" s="3">
        <v>0</v>
      </c>
      <c r="AG817" s="3">
        <v>0</v>
      </c>
      <c r="AH817" s="3"/>
      <c r="AI817" s="3">
        <v>0</v>
      </c>
      <c r="AJ817" s="3">
        <v>0</v>
      </c>
      <c r="AK817" s="3">
        <v>0</v>
      </c>
      <c r="AL817" s="3"/>
      <c r="AM817" s="3"/>
      <c r="AN817" s="3"/>
      <c r="AO817" s="3"/>
      <c r="AP817" s="3"/>
      <c r="AQ817" s="282" t="str">
        <f>"tricks/"&amp;A817</f>
        <v>tricks/3011210</v>
      </c>
    </row>
    <row r="818" spans="1:44" ht="15" customHeight="1">
      <c r="A818" s="3">
        <v>3011211</v>
      </c>
      <c r="B818" s="5" t="s">
        <v>3638</v>
      </c>
      <c r="C818" s="224" t="s">
        <v>5128</v>
      </c>
      <c r="D818" s="3" t="s">
        <v>2601</v>
      </c>
      <c r="E818" s="3"/>
      <c r="F818" s="3">
        <v>10</v>
      </c>
      <c r="G818" s="48">
        <v>8</v>
      </c>
      <c r="H818" s="3" t="s">
        <v>136</v>
      </c>
      <c r="I818" s="5" t="s">
        <v>3640</v>
      </c>
      <c r="J818" s="3"/>
      <c r="K818" s="3"/>
      <c r="L818" s="236"/>
      <c r="M818" s="99"/>
      <c r="N818" s="99"/>
      <c r="O818" s="236"/>
      <c r="P818" s="22"/>
      <c r="Q818" s="22">
        <v>0</v>
      </c>
      <c r="R818" s="22" t="s">
        <v>153</v>
      </c>
      <c r="S818" s="3"/>
      <c r="T818" s="260"/>
      <c r="U818" s="261"/>
      <c r="V818" s="22"/>
      <c r="W818" s="57" t="s">
        <v>5129</v>
      </c>
      <c r="X818" s="57" t="s">
        <v>5129</v>
      </c>
      <c r="Y818" s="22"/>
      <c r="Z818" s="22"/>
      <c r="AA818" s="22"/>
      <c r="AB818" s="22" t="s">
        <v>114</v>
      </c>
      <c r="AC818" s="3"/>
      <c r="AD818" s="3"/>
      <c r="AE818" s="3">
        <v>0</v>
      </c>
      <c r="AF818" s="3">
        <v>0</v>
      </c>
      <c r="AG818" s="3">
        <v>0</v>
      </c>
      <c r="AH818" s="3"/>
      <c r="AI818" s="3">
        <v>0</v>
      </c>
      <c r="AJ818" s="3">
        <v>0</v>
      </c>
      <c r="AK818" s="3">
        <v>0</v>
      </c>
      <c r="AL818" s="3"/>
      <c r="AM818" s="3"/>
      <c r="AN818" s="3"/>
      <c r="AO818" s="3"/>
      <c r="AP818" s="3"/>
      <c r="AQ818" s="282" t="str">
        <f>"tricks/"&amp;A818</f>
        <v>tricks/3011211</v>
      </c>
    </row>
    <row r="819" spans="1:44" ht="15" customHeight="1">
      <c r="A819" s="34">
        <v>3011301</v>
      </c>
      <c r="B819" s="5" t="s">
        <v>3638</v>
      </c>
      <c r="C819" s="224" t="s">
        <v>5130</v>
      </c>
      <c r="D819" s="34" t="s">
        <v>2601</v>
      </c>
      <c r="E819" s="34"/>
      <c r="F819" s="36">
        <v>1</v>
      </c>
      <c r="G819" s="47">
        <v>8</v>
      </c>
      <c r="H819" s="34" t="s">
        <v>82</v>
      </c>
      <c r="I819" s="5" t="s">
        <v>3640</v>
      </c>
      <c r="J819" s="34"/>
      <c r="K819" s="34"/>
      <c r="L819" s="372" t="s">
        <v>3039</v>
      </c>
      <c r="M819" s="371"/>
      <c r="N819" s="378">
        <v>21</v>
      </c>
      <c r="O819" s="34"/>
      <c r="P819" s="130"/>
      <c r="Q819" s="130">
        <v>0</v>
      </c>
      <c r="R819" s="130" t="s">
        <v>153</v>
      </c>
      <c r="S819" s="34"/>
      <c r="T819" s="382"/>
      <c r="U819" s="383"/>
      <c r="V819" s="130"/>
      <c r="W819" s="57" t="s">
        <v>5131</v>
      </c>
      <c r="X819" s="57" t="s">
        <v>5131</v>
      </c>
      <c r="Y819" s="130">
        <v>0</v>
      </c>
      <c r="Z819" s="130">
        <v>0</v>
      </c>
      <c r="AA819" s="130"/>
      <c r="AB819" s="130"/>
      <c r="AC819" s="34"/>
      <c r="AD819" s="34"/>
      <c r="AE819" s="34">
        <v>2</v>
      </c>
      <c r="AF819" s="34"/>
      <c r="AG819" s="34">
        <v>30</v>
      </c>
      <c r="AH819" s="34"/>
      <c r="AI819" s="34"/>
      <c r="AJ819" s="34"/>
      <c r="AK819" s="131"/>
      <c r="AL819" s="131"/>
      <c r="AM819" s="131"/>
      <c r="AN819" s="43" t="s">
        <v>3041</v>
      </c>
      <c r="AO819" s="398"/>
      <c r="AP819" s="398"/>
      <c r="AQ819" s="34" t="s">
        <v>3042</v>
      </c>
      <c r="AR819" s="405"/>
    </row>
    <row r="820" spans="1:44" ht="15" customHeight="1">
      <c r="A820" s="34">
        <v>3011302</v>
      </c>
      <c r="B820" s="5" t="s">
        <v>3638</v>
      </c>
      <c r="C820" s="224" t="s">
        <v>5132</v>
      </c>
      <c r="D820" s="34" t="s">
        <v>2601</v>
      </c>
      <c r="E820" s="34"/>
      <c r="F820" s="36">
        <v>1</v>
      </c>
      <c r="G820" s="48">
        <v>8</v>
      </c>
      <c r="H820" s="34" t="s">
        <v>136</v>
      </c>
      <c r="I820" s="5" t="s">
        <v>3640</v>
      </c>
      <c r="J820" s="34"/>
      <c r="K820" s="34"/>
      <c r="L820" s="372" t="s">
        <v>3044</v>
      </c>
      <c r="M820" s="371"/>
      <c r="N820" s="371"/>
      <c r="O820" s="34"/>
      <c r="P820" s="130"/>
      <c r="Q820" s="130">
        <v>0</v>
      </c>
      <c r="R820" s="130" t="s">
        <v>153</v>
      </c>
      <c r="S820" s="34"/>
      <c r="T820" s="382"/>
      <c r="U820" s="383"/>
      <c r="V820" s="130"/>
      <c r="W820" s="57" t="s">
        <v>5110</v>
      </c>
      <c r="X820" s="57" t="s">
        <v>5110</v>
      </c>
      <c r="Y820" s="130">
        <v>0</v>
      </c>
      <c r="Z820" s="130">
        <v>0</v>
      </c>
      <c r="AA820" s="130"/>
      <c r="AB820" s="130"/>
      <c r="AC820" s="34"/>
      <c r="AD820" s="34"/>
      <c r="AE820" s="34">
        <v>0</v>
      </c>
      <c r="AF820" s="34"/>
      <c r="AG820" s="34"/>
      <c r="AH820" s="34"/>
      <c r="AI820" s="34"/>
      <c r="AJ820" s="34"/>
      <c r="AK820" s="34"/>
      <c r="AL820" s="34"/>
      <c r="AM820" s="34"/>
      <c r="AN820" s="398"/>
      <c r="AO820" s="398"/>
      <c r="AP820" s="398"/>
      <c r="AQ820" s="34" t="s">
        <v>3046</v>
      </c>
      <c r="AR820" s="405"/>
    </row>
    <row r="821" spans="1:44" ht="19.2">
      <c r="A821" s="34">
        <v>3011303</v>
      </c>
      <c r="B821" s="5" t="s">
        <v>3638</v>
      </c>
      <c r="C821" s="224" t="s">
        <v>5133</v>
      </c>
      <c r="D821" s="34" t="s">
        <v>2601</v>
      </c>
      <c r="E821" s="34"/>
      <c r="F821" s="36">
        <v>2</v>
      </c>
      <c r="G821" s="47">
        <v>8</v>
      </c>
      <c r="H821" s="34" t="s">
        <v>136</v>
      </c>
      <c r="I821" s="5" t="s">
        <v>3640</v>
      </c>
      <c r="J821" s="34"/>
      <c r="K821" s="34"/>
      <c r="L821" s="372" t="s">
        <v>3048</v>
      </c>
      <c r="M821" s="371"/>
      <c r="N821" s="371"/>
      <c r="O821" s="34"/>
      <c r="P821" s="130"/>
      <c r="Q821" s="130">
        <v>0</v>
      </c>
      <c r="R821" s="130" t="s">
        <v>153</v>
      </c>
      <c r="S821" s="34"/>
      <c r="T821" s="382"/>
      <c r="U821" s="383"/>
      <c r="V821" s="130"/>
      <c r="W821" s="57" t="s">
        <v>5134</v>
      </c>
      <c r="X821" s="57" t="s">
        <v>5134</v>
      </c>
      <c r="Y821" s="130">
        <v>0</v>
      </c>
      <c r="Z821" s="130">
        <v>0</v>
      </c>
      <c r="AA821" s="130"/>
      <c r="AB821" s="130"/>
      <c r="AC821" s="34"/>
      <c r="AD821" s="34"/>
      <c r="AE821" s="34">
        <v>0</v>
      </c>
      <c r="AF821" s="34"/>
      <c r="AG821" s="34"/>
      <c r="AH821" s="34"/>
      <c r="AI821" s="34"/>
      <c r="AJ821" s="34"/>
      <c r="AK821" s="34"/>
      <c r="AL821" s="34"/>
      <c r="AM821" s="34"/>
      <c r="AN821" s="398"/>
      <c r="AO821" s="398"/>
      <c r="AP821" s="398"/>
      <c r="AQ821" s="34" t="s">
        <v>3050</v>
      </c>
      <c r="AR821" s="405"/>
    </row>
    <row r="822" spans="1:44" ht="15" customHeight="1">
      <c r="A822" s="34">
        <v>3011304</v>
      </c>
      <c r="B822" s="5" t="s">
        <v>3638</v>
      </c>
      <c r="C822" s="224" t="s">
        <v>5135</v>
      </c>
      <c r="D822" s="34" t="s">
        <v>2601</v>
      </c>
      <c r="E822" s="34"/>
      <c r="F822" s="36">
        <v>3</v>
      </c>
      <c r="G822" s="48">
        <v>8</v>
      </c>
      <c r="H822" s="34" t="s">
        <v>136</v>
      </c>
      <c r="I822" s="5" t="s">
        <v>3640</v>
      </c>
      <c r="J822" s="34"/>
      <c r="K822" s="34"/>
      <c r="L822" s="372" t="s">
        <v>3052</v>
      </c>
      <c r="M822" s="371"/>
      <c r="N822" s="371"/>
      <c r="O822" s="34"/>
      <c r="P822" s="130"/>
      <c r="Q822" s="130">
        <v>0</v>
      </c>
      <c r="R822" s="130" t="s">
        <v>153</v>
      </c>
      <c r="S822" s="34"/>
      <c r="T822" s="382"/>
      <c r="U822" s="383"/>
      <c r="V822" s="130"/>
      <c r="W822" s="57" t="s">
        <v>5136</v>
      </c>
      <c r="X822" s="57" t="s">
        <v>5136</v>
      </c>
      <c r="Y822" s="130">
        <v>0</v>
      </c>
      <c r="Z822" s="130">
        <v>0</v>
      </c>
      <c r="AA822" s="130"/>
      <c r="AB822" s="130"/>
      <c r="AC822" s="34"/>
      <c r="AD822" s="34"/>
      <c r="AE822" s="34">
        <v>0</v>
      </c>
      <c r="AF822" s="34"/>
      <c r="AG822" s="34"/>
      <c r="AH822" s="34"/>
      <c r="AI822" s="34"/>
      <c r="AJ822" s="34"/>
      <c r="AK822" s="34"/>
      <c r="AL822" s="34"/>
      <c r="AM822" s="34"/>
      <c r="AN822" s="398"/>
      <c r="AO822" s="398"/>
      <c r="AP822" s="398"/>
      <c r="AQ822" s="34" t="s">
        <v>3054</v>
      </c>
      <c r="AR822" s="405"/>
    </row>
    <row r="823" spans="1:44" ht="19.2">
      <c r="A823" s="34">
        <v>3011305</v>
      </c>
      <c r="B823" s="5" t="s">
        <v>3638</v>
      </c>
      <c r="C823" s="224" t="s">
        <v>5137</v>
      </c>
      <c r="D823" s="34" t="s">
        <v>2601</v>
      </c>
      <c r="E823" s="34"/>
      <c r="F823" s="36">
        <v>4</v>
      </c>
      <c r="G823" s="47">
        <v>8</v>
      </c>
      <c r="H823" s="34" t="s">
        <v>136</v>
      </c>
      <c r="I823" s="5" t="s">
        <v>3640</v>
      </c>
      <c r="J823" s="34"/>
      <c r="K823" s="34"/>
      <c r="L823" s="372" t="s">
        <v>2696</v>
      </c>
      <c r="M823" s="371"/>
      <c r="N823" s="371"/>
      <c r="O823" s="34"/>
      <c r="P823" s="130"/>
      <c r="Q823" s="130">
        <v>0</v>
      </c>
      <c r="R823" s="130" t="s">
        <v>153</v>
      </c>
      <c r="S823" s="34"/>
      <c r="T823" s="382"/>
      <c r="U823" s="383"/>
      <c r="V823" s="130"/>
      <c r="W823" s="57" t="s">
        <v>5121</v>
      </c>
      <c r="X823" s="57" t="s">
        <v>5121</v>
      </c>
      <c r="Y823" s="130">
        <v>0</v>
      </c>
      <c r="Z823" s="130">
        <v>0</v>
      </c>
      <c r="AA823" s="130"/>
      <c r="AB823" s="130"/>
      <c r="AC823" s="34"/>
      <c r="AD823" s="34"/>
      <c r="AE823" s="34">
        <v>0</v>
      </c>
      <c r="AF823" s="34"/>
      <c r="AG823" s="34"/>
      <c r="AH823" s="34"/>
      <c r="AI823" s="34"/>
      <c r="AJ823" s="34"/>
      <c r="AK823" s="34"/>
      <c r="AL823" s="34"/>
      <c r="AM823" s="34"/>
      <c r="AN823" s="398"/>
      <c r="AO823" s="398"/>
      <c r="AP823" s="398"/>
      <c r="AQ823" s="34" t="s">
        <v>3057</v>
      </c>
      <c r="AR823" s="405"/>
    </row>
    <row r="824" spans="1:44" ht="19.2">
      <c r="A824" s="34">
        <v>3011306</v>
      </c>
      <c r="B824" s="5" t="s">
        <v>3638</v>
      </c>
      <c r="C824" s="224" t="s">
        <v>5138</v>
      </c>
      <c r="D824" s="34" t="s">
        <v>2601</v>
      </c>
      <c r="E824" s="34"/>
      <c r="F824" s="36">
        <v>5</v>
      </c>
      <c r="G824" s="48">
        <v>8</v>
      </c>
      <c r="H824" s="34" t="s">
        <v>136</v>
      </c>
      <c r="I824" s="5" t="s">
        <v>3640</v>
      </c>
      <c r="J824" s="34"/>
      <c r="K824" s="34"/>
      <c r="L824" s="372" t="s">
        <v>3059</v>
      </c>
      <c r="M824" s="371"/>
      <c r="N824" s="371"/>
      <c r="O824" s="34"/>
      <c r="P824" s="130"/>
      <c r="Q824" s="130">
        <v>0</v>
      </c>
      <c r="R824" s="130" t="s">
        <v>153</v>
      </c>
      <c r="S824" s="34"/>
      <c r="T824" s="382"/>
      <c r="U824" s="383"/>
      <c r="V824" s="130"/>
      <c r="W824" s="57" t="s">
        <v>5139</v>
      </c>
      <c r="X824" s="57" t="s">
        <v>5139</v>
      </c>
      <c r="Y824" s="130">
        <v>0</v>
      </c>
      <c r="Z824" s="130">
        <v>0</v>
      </c>
      <c r="AA824" s="130"/>
      <c r="AB824" s="130"/>
      <c r="AC824" s="34"/>
      <c r="AD824" s="34"/>
      <c r="AE824" s="34">
        <v>0</v>
      </c>
      <c r="AF824" s="34"/>
      <c r="AG824" s="34"/>
      <c r="AH824" s="34"/>
      <c r="AI824" s="34"/>
      <c r="AJ824" s="34"/>
      <c r="AK824" s="131"/>
      <c r="AL824" s="131"/>
      <c r="AM824" s="131"/>
      <c r="AN824" s="398"/>
      <c r="AO824" s="398"/>
      <c r="AP824" s="398"/>
      <c r="AQ824" s="34" t="s">
        <v>3061</v>
      </c>
      <c r="AR824" s="405"/>
    </row>
    <row r="825" spans="1:44" ht="19.2">
      <c r="A825" s="34">
        <v>3011307</v>
      </c>
      <c r="B825" s="5" t="s">
        <v>3638</v>
      </c>
      <c r="C825" s="224" t="s">
        <v>5140</v>
      </c>
      <c r="D825" s="34" t="s">
        <v>2601</v>
      </c>
      <c r="E825" s="34"/>
      <c r="F825" s="36">
        <v>6</v>
      </c>
      <c r="G825" s="47">
        <v>8</v>
      </c>
      <c r="H825" s="34" t="s">
        <v>136</v>
      </c>
      <c r="I825" s="5" t="s">
        <v>3640</v>
      </c>
      <c r="J825" s="34"/>
      <c r="K825" s="34"/>
      <c r="L825" s="372" t="s">
        <v>3063</v>
      </c>
      <c r="M825" s="371"/>
      <c r="N825" s="371"/>
      <c r="O825" s="34"/>
      <c r="P825" s="130"/>
      <c r="Q825" s="130">
        <v>0</v>
      </c>
      <c r="R825" s="130" t="s">
        <v>153</v>
      </c>
      <c r="S825" s="34"/>
      <c r="T825" s="382"/>
      <c r="U825" s="383"/>
      <c r="V825" s="130"/>
      <c r="W825" s="57" t="s">
        <v>5136</v>
      </c>
      <c r="X825" s="57" t="s">
        <v>5136</v>
      </c>
      <c r="Y825" s="130">
        <v>0</v>
      </c>
      <c r="Z825" s="130">
        <v>0</v>
      </c>
      <c r="AA825" s="130"/>
      <c r="AB825" s="130"/>
      <c r="AC825" s="34"/>
      <c r="AD825" s="34"/>
      <c r="AE825" s="34">
        <v>0</v>
      </c>
      <c r="AF825" s="34"/>
      <c r="AG825" s="34"/>
      <c r="AH825" s="34"/>
      <c r="AI825" s="34"/>
      <c r="AJ825" s="34"/>
      <c r="AK825" s="34"/>
      <c r="AL825" s="34"/>
      <c r="AM825" s="34"/>
      <c r="AN825" s="398"/>
      <c r="AO825" s="398"/>
      <c r="AP825" s="398"/>
      <c r="AQ825" s="34" t="s">
        <v>3064</v>
      </c>
      <c r="AR825" s="405"/>
    </row>
    <row r="826" spans="1:44" ht="19.2">
      <c r="A826" s="34">
        <v>3011308</v>
      </c>
      <c r="B826" s="5" t="s">
        <v>3638</v>
      </c>
      <c r="C826" s="224" t="s">
        <v>5141</v>
      </c>
      <c r="D826" s="34" t="s">
        <v>2601</v>
      </c>
      <c r="E826" s="34"/>
      <c r="F826" s="36">
        <v>7</v>
      </c>
      <c r="G826" s="48">
        <v>8</v>
      </c>
      <c r="H826" s="34" t="s">
        <v>136</v>
      </c>
      <c r="I826" s="5" t="s">
        <v>3640</v>
      </c>
      <c r="J826" s="34"/>
      <c r="K826" s="34"/>
      <c r="L826" s="372" t="s">
        <v>3066</v>
      </c>
      <c r="M826" s="371"/>
      <c r="N826" s="371"/>
      <c r="O826" s="34"/>
      <c r="P826" s="130"/>
      <c r="Q826" s="130">
        <v>0</v>
      </c>
      <c r="R826" s="130" t="s">
        <v>153</v>
      </c>
      <c r="S826" s="34"/>
      <c r="T826" s="382"/>
      <c r="U826" s="383"/>
      <c r="V826" s="130"/>
      <c r="W826" s="57" t="s">
        <v>5142</v>
      </c>
      <c r="X826" s="57" t="s">
        <v>5142</v>
      </c>
      <c r="Y826" s="130">
        <v>0</v>
      </c>
      <c r="Z826" s="130">
        <v>0</v>
      </c>
      <c r="AA826" s="130"/>
      <c r="AB826" s="130"/>
      <c r="AC826" s="34"/>
      <c r="AD826" s="34"/>
      <c r="AE826" s="34">
        <v>0</v>
      </c>
      <c r="AF826" s="34"/>
      <c r="AG826" s="34"/>
      <c r="AH826" s="34"/>
      <c r="AI826" s="34"/>
      <c r="AJ826" s="34"/>
      <c r="AK826" s="131"/>
      <c r="AL826" s="131"/>
      <c r="AM826" s="131"/>
      <c r="AN826" s="398"/>
      <c r="AO826" s="398"/>
      <c r="AP826" s="398"/>
      <c r="AQ826" s="34" t="s">
        <v>3068</v>
      </c>
      <c r="AR826" s="405"/>
    </row>
    <row r="827" spans="1:44" ht="19.2">
      <c r="A827" s="3">
        <v>3011309</v>
      </c>
      <c r="B827" s="5" t="s">
        <v>3638</v>
      </c>
      <c r="C827" s="224" t="s">
        <v>5143</v>
      </c>
      <c r="D827" s="3" t="s">
        <v>2601</v>
      </c>
      <c r="E827" s="3"/>
      <c r="F827" s="3">
        <v>8</v>
      </c>
      <c r="G827" s="47">
        <v>8</v>
      </c>
      <c r="H827" s="3" t="s">
        <v>136</v>
      </c>
      <c r="I827" s="5" t="s">
        <v>3640</v>
      </c>
      <c r="J827" s="3"/>
      <c r="K827" s="3"/>
      <c r="L827" s="236"/>
      <c r="M827" s="99"/>
      <c r="N827" s="99"/>
      <c r="O827" s="236"/>
      <c r="P827" s="22"/>
      <c r="Q827" s="22">
        <v>0</v>
      </c>
      <c r="R827" s="22" t="s">
        <v>153</v>
      </c>
      <c r="S827" s="3"/>
      <c r="T827" s="260"/>
      <c r="U827" s="261"/>
      <c r="V827" s="22"/>
      <c r="W827" s="57" t="s">
        <v>5107</v>
      </c>
      <c r="X827" s="57" t="s">
        <v>5107</v>
      </c>
      <c r="Y827" s="22"/>
      <c r="Z827" s="22"/>
      <c r="AA827" s="22"/>
      <c r="AB827" s="22" t="s">
        <v>114</v>
      </c>
      <c r="AC827" s="3"/>
      <c r="AD827" s="3"/>
      <c r="AE827" s="3">
        <v>0</v>
      </c>
      <c r="AF827" s="3">
        <v>0</v>
      </c>
      <c r="AG827" s="3">
        <v>0</v>
      </c>
      <c r="AH827" s="3"/>
      <c r="AI827" s="3">
        <v>0</v>
      </c>
      <c r="AJ827" s="3">
        <v>0</v>
      </c>
      <c r="AK827" s="3">
        <v>0</v>
      </c>
      <c r="AL827" s="3"/>
      <c r="AM827" s="3"/>
      <c r="AN827" s="3"/>
      <c r="AO827" s="3"/>
      <c r="AP827" s="3"/>
      <c r="AQ827" s="3" t="s">
        <v>3050</v>
      </c>
      <c r="AR827" s="281"/>
    </row>
    <row r="828" spans="1:44" ht="19.2">
      <c r="A828" s="3">
        <v>3011310</v>
      </c>
      <c r="B828" s="5" t="s">
        <v>3638</v>
      </c>
      <c r="C828" s="224" t="s">
        <v>5144</v>
      </c>
      <c r="D828" s="3" t="s">
        <v>2601</v>
      </c>
      <c r="E828" s="3"/>
      <c r="F828" s="3">
        <v>9</v>
      </c>
      <c r="G828" s="48">
        <v>8</v>
      </c>
      <c r="H828" s="3" t="s">
        <v>136</v>
      </c>
      <c r="I828" s="5" t="s">
        <v>3640</v>
      </c>
      <c r="J828" s="3"/>
      <c r="K828" s="3"/>
      <c r="L828" s="236"/>
      <c r="M828" s="99"/>
      <c r="N828" s="99"/>
      <c r="O828" s="236"/>
      <c r="P828" s="22"/>
      <c r="Q828" s="22">
        <v>0</v>
      </c>
      <c r="R828" s="22" t="s">
        <v>153</v>
      </c>
      <c r="S828" s="3"/>
      <c r="T828" s="260"/>
      <c r="U828" s="261"/>
      <c r="V828" s="22"/>
      <c r="W828" s="57" t="s">
        <v>5142</v>
      </c>
      <c r="X828" s="57" t="s">
        <v>5142</v>
      </c>
      <c r="Y828" s="22"/>
      <c r="Z828" s="22"/>
      <c r="AA828" s="22"/>
      <c r="AB828" s="22" t="s">
        <v>114</v>
      </c>
      <c r="AC828" s="3"/>
      <c r="AD828" s="3"/>
      <c r="AE828" s="3">
        <v>0</v>
      </c>
      <c r="AF828" s="3">
        <v>0</v>
      </c>
      <c r="AG828" s="3">
        <v>0</v>
      </c>
      <c r="AH828" s="3"/>
      <c r="AI828" s="3">
        <v>0</v>
      </c>
      <c r="AJ828" s="3">
        <v>0</v>
      </c>
      <c r="AK828" s="3">
        <v>0</v>
      </c>
      <c r="AL828" s="3"/>
      <c r="AM828" s="3"/>
      <c r="AN828" s="3"/>
      <c r="AO828" s="3"/>
      <c r="AP828" s="3"/>
      <c r="AQ828" s="282" t="str">
        <f>"tricks/"&amp;A828</f>
        <v>tricks/3011310</v>
      </c>
    </row>
    <row r="829" spans="1:44" ht="19.2">
      <c r="A829" s="3">
        <v>3011311</v>
      </c>
      <c r="B829" s="5" t="s">
        <v>3638</v>
      </c>
      <c r="C829" s="224" t="s">
        <v>5145</v>
      </c>
      <c r="D829" s="3" t="s">
        <v>2601</v>
      </c>
      <c r="E829" s="3"/>
      <c r="F829" s="3">
        <v>10</v>
      </c>
      <c r="G829" s="47">
        <v>8</v>
      </c>
      <c r="H829" s="3" t="s">
        <v>136</v>
      </c>
      <c r="I829" s="5" t="s">
        <v>3640</v>
      </c>
      <c r="J829" s="3"/>
      <c r="K829" s="3"/>
      <c r="L829" s="236"/>
      <c r="M829" s="99"/>
      <c r="N829" s="99"/>
      <c r="O829" s="236"/>
      <c r="P829" s="22"/>
      <c r="Q829" s="22">
        <v>0</v>
      </c>
      <c r="R829" s="22" t="s">
        <v>153</v>
      </c>
      <c r="S829" s="3"/>
      <c r="T829" s="260"/>
      <c r="U829" s="261"/>
      <c r="V829" s="22"/>
      <c r="W829" s="57" t="s">
        <v>5136</v>
      </c>
      <c r="X829" s="57" t="s">
        <v>5136</v>
      </c>
      <c r="Y829" s="22"/>
      <c r="Z829" s="22"/>
      <c r="AA829" s="22"/>
      <c r="AB829" s="22" t="s">
        <v>114</v>
      </c>
      <c r="AC829" s="3"/>
      <c r="AD829" s="3"/>
      <c r="AE829" s="3">
        <v>0</v>
      </c>
      <c r="AF829" s="3">
        <v>0</v>
      </c>
      <c r="AG829" s="3">
        <v>0</v>
      </c>
      <c r="AH829" s="3"/>
      <c r="AI829" s="3">
        <v>0</v>
      </c>
      <c r="AJ829" s="3">
        <v>0</v>
      </c>
      <c r="AK829" s="3">
        <v>0</v>
      </c>
      <c r="AL829" s="3"/>
      <c r="AM829" s="3"/>
      <c r="AN829" s="3"/>
      <c r="AO829" s="3"/>
      <c r="AP829" s="3"/>
      <c r="AQ829" s="282" t="str">
        <f>"tricks/"&amp;A829</f>
        <v>tricks/3011311</v>
      </c>
    </row>
    <row r="830" spans="1:44" ht="15" customHeight="1">
      <c r="A830" s="5">
        <v>3011401</v>
      </c>
      <c r="B830" s="5" t="s">
        <v>3638</v>
      </c>
      <c r="C830" s="224" t="s">
        <v>5146</v>
      </c>
      <c r="D830" s="5" t="s">
        <v>2601</v>
      </c>
      <c r="E830" s="5"/>
      <c r="F830" s="36">
        <v>1</v>
      </c>
      <c r="G830" s="48">
        <v>8</v>
      </c>
      <c r="H830" s="34" t="s">
        <v>82</v>
      </c>
      <c r="I830" s="5" t="s">
        <v>3640</v>
      </c>
      <c r="J830" s="5">
        <v>1</v>
      </c>
      <c r="K830" s="5"/>
      <c r="L830" s="346" t="s">
        <v>3076</v>
      </c>
      <c r="M830" s="231"/>
      <c r="N830" s="231"/>
      <c r="O830" s="5"/>
      <c r="P830" s="232"/>
      <c r="Q830" s="232">
        <v>0</v>
      </c>
      <c r="R830" s="232" t="s">
        <v>153</v>
      </c>
      <c r="S830" s="5"/>
      <c r="T830" s="256"/>
      <c r="U830" s="257"/>
      <c r="V830" s="232"/>
      <c r="W830" s="57" t="s">
        <v>5125</v>
      </c>
      <c r="X830" s="57" t="s">
        <v>5125</v>
      </c>
      <c r="Y830" s="232">
        <v>0</v>
      </c>
      <c r="Z830" s="232">
        <v>0</v>
      </c>
      <c r="AA830" s="232"/>
      <c r="AB830" s="232"/>
      <c r="AC830" s="5"/>
      <c r="AD830" s="5"/>
      <c r="AE830" s="5">
        <v>0</v>
      </c>
      <c r="AF830" s="5"/>
      <c r="AG830" s="5"/>
      <c r="AH830" s="5"/>
      <c r="AI830" s="5"/>
      <c r="AJ830" s="5"/>
      <c r="AK830" s="270"/>
      <c r="AL830" s="270"/>
      <c r="AM830" s="270"/>
      <c r="AN830" s="43"/>
      <c r="AO830" s="5"/>
      <c r="AP830" s="5"/>
      <c r="AQ830" s="5" t="s">
        <v>3078</v>
      </c>
      <c r="AR830" s="279"/>
    </row>
    <row r="831" spans="1:44" ht="19.2">
      <c r="A831" s="5">
        <v>3011402</v>
      </c>
      <c r="B831" s="5" t="s">
        <v>3638</v>
      </c>
      <c r="C831" s="224" t="s">
        <v>5147</v>
      </c>
      <c r="D831" s="5" t="s">
        <v>2601</v>
      </c>
      <c r="E831" s="5"/>
      <c r="F831" s="36">
        <v>1</v>
      </c>
      <c r="G831" s="47">
        <v>8</v>
      </c>
      <c r="H831" s="5" t="s">
        <v>136</v>
      </c>
      <c r="I831" s="5" t="s">
        <v>3640</v>
      </c>
      <c r="J831" s="5"/>
      <c r="K831" s="5"/>
      <c r="L831" s="248" t="s">
        <v>3080</v>
      </c>
      <c r="M831" s="231"/>
      <c r="N831" s="231"/>
      <c r="O831" s="5"/>
      <c r="P831" s="232"/>
      <c r="Q831" s="232">
        <v>0</v>
      </c>
      <c r="R831" s="232" t="s">
        <v>153</v>
      </c>
      <c r="S831" s="5"/>
      <c r="T831" s="256"/>
      <c r="U831" s="257"/>
      <c r="V831" s="232"/>
      <c r="W831" s="57" t="s">
        <v>5121</v>
      </c>
      <c r="X831" s="57" t="s">
        <v>5121</v>
      </c>
      <c r="Y831" s="232">
        <v>0</v>
      </c>
      <c r="Z831" s="232">
        <v>0</v>
      </c>
      <c r="AA831" s="232"/>
      <c r="AB831" s="232"/>
      <c r="AC831" s="5"/>
      <c r="AD831" s="5"/>
      <c r="AE831" s="5">
        <v>0</v>
      </c>
      <c r="AF831" s="5"/>
      <c r="AG831" s="5"/>
      <c r="AH831" s="5"/>
      <c r="AI831" s="5"/>
      <c r="AJ831" s="5"/>
      <c r="AK831" s="270"/>
      <c r="AL831" s="270"/>
      <c r="AM831" s="270"/>
      <c r="AN831" s="271"/>
      <c r="AO831" s="271"/>
      <c r="AP831" s="271"/>
      <c r="AQ831" s="5" t="s">
        <v>3082</v>
      </c>
      <c r="AR831" s="279"/>
    </row>
    <row r="832" spans="1:44" ht="19.2">
      <c r="A832" s="5">
        <v>3011403</v>
      </c>
      <c r="B832" s="5" t="s">
        <v>3638</v>
      </c>
      <c r="C832" s="224" t="s">
        <v>5148</v>
      </c>
      <c r="D832" s="5" t="s">
        <v>2601</v>
      </c>
      <c r="E832" s="5"/>
      <c r="F832" s="36">
        <v>2</v>
      </c>
      <c r="G832" s="48">
        <v>8</v>
      </c>
      <c r="H832" s="5" t="s">
        <v>136</v>
      </c>
      <c r="I832" s="5" t="s">
        <v>3640</v>
      </c>
      <c r="J832" s="5"/>
      <c r="K832" s="5"/>
      <c r="L832" s="248" t="s">
        <v>3084</v>
      </c>
      <c r="M832" s="231"/>
      <c r="N832" s="231"/>
      <c r="O832" s="5"/>
      <c r="P832" s="232"/>
      <c r="Q832" s="232">
        <v>0</v>
      </c>
      <c r="R832" s="232" t="s">
        <v>153</v>
      </c>
      <c r="S832" s="5"/>
      <c r="T832" s="256"/>
      <c r="U832" s="257"/>
      <c r="V832" s="232"/>
      <c r="W832" s="57" t="s">
        <v>5149</v>
      </c>
      <c r="X832" s="57" t="s">
        <v>5149</v>
      </c>
      <c r="Y832" s="232">
        <v>0</v>
      </c>
      <c r="Z832" s="232">
        <v>0</v>
      </c>
      <c r="AA832" s="232"/>
      <c r="AB832" s="232"/>
      <c r="AC832" s="5"/>
      <c r="AD832" s="5"/>
      <c r="AE832" s="5">
        <v>0</v>
      </c>
      <c r="AF832" s="5"/>
      <c r="AG832" s="5"/>
      <c r="AH832" s="5"/>
      <c r="AI832" s="5"/>
      <c r="AJ832" s="5"/>
      <c r="AK832" s="270"/>
      <c r="AL832" s="270"/>
      <c r="AM832" s="270"/>
      <c r="AN832" s="271"/>
      <c r="AO832" s="271"/>
      <c r="AP832" s="271"/>
      <c r="AQ832" s="5" t="s">
        <v>3086</v>
      </c>
      <c r="AR832" s="279"/>
    </row>
    <row r="833" spans="1:44" ht="19.2">
      <c r="A833" s="5">
        <v>3011404</v>
      </c>
      <c r="B833" s="5" t="s">
        <v>3638</v>
      </c>
      <c r="C833" s="224" t="s">
        <v>5150</v>
      </c>
      <c r="D833" s="5" t="s">
        <v>2601</v>
      </c>
      <c r="E833" s="5"/>
      <c r="F833" s="36">
        <v>3</v>
      </c>
      <c r="G833" s="47">
        <v>8</v>
      </c>
      <c r="H833" s="5" t="s">
        <v>136</v>
      </c>
      <c r="I833" s="5" t="s">
        <v>3640</v>
      </c>
      <c r="J833" s="5"/>
      <c r="K833" s="5"/>
      <c r="L833" s="248" t="s">
        <v>3088</v>
      </c>
      <c r="M833" s="231"/>
      <c r="N833" s="231"/>
      <c r="O833" s="5"/>
      <c r="P833" s="232"/>
      <c r="Q833" s="232">
        <v>0</v>
      </c>
      <c r="R833" s="232" t="s">
        <v>153</v>
      </c>
      <c r="S833" s="5"/>
      <c r="T833" s="256"/>
      <c r="U833" s="257"/>
      <c r="V833" s="232"/>
      <c r="W833" s="57" t="s">
        <v>5151</v>
      </c>
      <c r="X833" s="57" t="s">
        <v>5151</v>
      </c>
      <c r="Y833" s="232">
        <v>0</v>
      </c>
      <c r="Z833" s="232">
        <v>0</v>
      </c>
      <c r="AA833" s="232"/>
      <c r="AB833" s="232"/>
      <c r="AC833" s="5"/>
      <c r="AD833" s="5"/>
      <c r="AE833" s="5">
        <v>0</v>
      </c>
      <c r="AF833" s="5"/>
      <c r="AG833" s="5"/>
      <c r="AH833" s="5"/>
      <c r="AI833" s="5"/>
      <c r="AJ833" s="5"/>
      <c r="AK833" s="270"/>
      <c r="AL833" s="270"/>
      <c r="AM833" s="270"/>
      <c r="AN833" s="271"/>
      <c r="AO833" s="271"/>
      <c r="AP833" s="271"/>
      <c r="AQ833" s="5" t="s">
        <v>3090</v>
      </c>
      <c r="AR833" s="279"/>
    </row>
    <row r="834" spans="1:44" ht="19.2">
      <c r="A834" s="5">
        <v>3011405</v>
      </c>
      <c r="B834" s="5" t="s">
        <v>3638</v>
      </c>
      <c r="C834" s="224" t="s">
        <v>5152</v>
      </c>
      <c r="D834" s="5" t="s">
        <v>2601</v>
      </c>
      <c r="E834" s="5"/>
      <c r="F834" s="36">
        <v>4</v>
      </c>
      <c r="G834" s="48">
        <v>8</v>
      </c>
      <c r="H834" s="5" t="s">
        <v>136</v>
      </c>
      <c r="I834" s="5" t="s">
        <v>3640</v>
      </c>
      <c r="J834" s="5"/>
      <c r="K834" s="5"/>
      <c r="L834" s="248" t="s">
        <v>3092</v>
      </c>
      <c r="M834" s="231"/>
      <c r="N834" s="231"/>
      <c r="O834" s="5"/>
      <c r="P834" s="232"/>
      <c r="Q834" s="232">
        <v>0</v>
      </c>
      <c r="R834" s="232" t="s">
        <v>153</v>
      </c>
      <c r="S834" s="5"/>
      <c r="T834" s="256"/>
      <c r="U834" s="257"/>
      <c r="V834" s="232"/>
      <c r="W834" s="57" t="s">
        <v>5153</v>
      </c>
      <c r="X834" s="57" t="s">
        <v>5153</v>
      </c>
      <c r="Y834" s="232">
        <v>0</v>
      </c>
      <c r="Z834" s="232">
        <v>0</v>
      </c>
      <c r="AA834" s="232"/>
      <c r="AB834" s="232"/>
      <c r="AC834" s="5"/>
      <c r="AD834" s="5"/>
      <c r="AE834" s="5">
        <v>0</v>
      </c>
      <c r="AF834" s="5"/>
      <c r="AG834" s="5"/>
      <c r="AH834" s="5"/>
      <c r="AI834" s="5"/>
      <c r="AJ834" s="5"/>
      <c r="AK834" s="270"/>
      <c r="AL834" s="270"/>
      <c r="AM834" s="270"/>
      <c r="AN834" s="271"/>
      <c r="AO834" s="271"/>
      <c r="AP834" s="271"/>
      <c r="AQ834" s="5" t="s">
        <v>3094</v>
      </c>
      <c r="AR834" s="279"/>
    </row>
    <row r="835" spans="1:44" ht="19.2">
      <c r="A835" s="5">
        <v>3011406</v>
      </c>
      <c r="B835" s="5" t="s">
        <v>3638</v>
      </c>
      <c r="C835" s="224" t="s">
        <v>5154</v>
      </c>
      <c r="D835" s="5" t="s">
        <v>2601</v>
      </c>
      <c r="E835" s="5"/>
      <c r="F835" s="36">
        <v>5</v>
      </c>
      <c r="G835" s="47">
        <v>8</v>
      </c>
      <c r="H835" s="5" t="s">
        <v>136</v>
      </c>
      <c r="I835" s="5" t="s">
        <v>3640</v>
      </c>
      <c r="J835" s="5"/>
      <c r="K835" s="5"/>
      <c r="L835" s="346" t="s">
        <v>3096</v>
      </c>
      <c r="M835" s="231"/>
      <c r="N835" s="231"/>
      <c r="O835" s="5"/>
      <c r="P835" s="232"/>
      <c r="Q835" s="232">
        <v>0</v>
      </c>
      <c r="R835" s="232" t="s">
        <v>153</v>
      </c>
      <c r="S835" s="5"/>
      <c r="T835" s="256"/>
      <c r="U835" s="257"/>
      <c r="V835" s="232"/>
      <c r="W835" s="57" t="s">
        <v>5149</v>
      </c>
      <c r="X835" s="57" t="s">
        <v>5149</v>
      </c>
      <c r="Y835" s="232">
        <v>0</v>
      </c>
      <c r="Z835" s="232">
        <v>0</v>
      </c>
      <c r="AA835" s="232"/>
      <c r="AB835" s="232"/>
      <c r="AC835" s="5"/>
      <c r="AD835" s="5"/>
      <c r="AE835" s="5">
        <v>0</v>
      </c>
      <c r="AF835" s="5"/>
      <c r="AG835" s="5"/>
      <c r="AH835" s="5"/>
      <c r="AI835" s="5"/>
      <c r="AJ835" s="5"/>
      <c r="AK835" s="270"/>
      <c r="AL835" s="270"/>
      <c r="AM835" s="270"/>
      <c r="AN835" s="271"/>
      <c r="AO835" s="271"/>
      <c r="AP835" s="271"/>
      <c r="AQ835" s="5" t="s">
        <v>3097</v>
      </c>
      <c r="AR835" s="279"/>
    </row>
    <row r="836" spans="1:44" ht="19.2">
      <c r="A836" s="5">
        <v>3011407</v>
      </c>
      <c r="B836" s="5" t="s">
        <v>3638</v>
      </c>
      <c r="C836" s="224" t="s">
        <v>5155</v>
      </c>
      <c r="D836" s="5" t="s">
        <v>2601</v>
      </c>
      <c r="E836" s="5"/>
      <c r="F836" s="36">
        <v>6</v>
      </c>
      <c r="G836" s="48">
        <v>8</v>
      </c>
      <c r="H836" s="5" t="s">
        <v>136</v>
      </c>
      <c r="I836" s="5" t="s">
        <v>3640</v>
      </c>
      <c r="J836" s="5"/>
      <c r="K836" s="5"/>
      <c r="L836" s="346" t="s">
        <v>3099</v>
      </c>
      <c r="M836" s="231"/>
      <c r="N836" s="231"/>
      <c r="O836" s="5"/>
      <c r="P836" s="232"/>
      <c r="Q836" s="232">
        <v>0</v>
      </c>
      <c r="R836" s="232" t="s">
        <v>153</v>
      </c>
      <c r="S836" s="5"/>
      <c r="T836" s="256"/>
      <c r="U836" s="257"/>
      <c r="V836" s="232"/>
      <c r="W836" s="57" t="s">
        <v>5156</v>
      </c>
      <c r="X836" s="57" t="s">
        <v>5156</v>
      </c>
      <c r="Y836" s="232">
        <v>0</v>
      </c>
      <c r="Z836" s="232">
        <v>0</v>
      </c>
      <c r="AA836" s="232"/>
      <c r="AB836" s="232"/>
      <c r="AC836" s="5"/>
      <c r="AD836" s="5"/>
      <c r="AE836" s="5">
        <v>0</v>
      </c>
      <c r="AF836" s="5"/>
      <c r="AG836" s="5"/>
      <c r="AH836" s="5"/>
      <c r="AI836" s="5"/>
      <c r="AJ836" s="5"/>
      <c r="AK836" s="270"/>
      <c r="AL836" s="270"/>
      <c r="AM836" s="270"/>
      <c r="AN836" s="271"/>
      <c r="AO836" s="271"/>
      <c r="AP836" s="271"/>
      <c r="AQ836" s="5" t="s">
        <v>3101</v>
      </c>
      <c r="AR836" s="279"/>
    </row>
    <row r="837" spans="1:44" ht="15" customHeight="1">
      <c r="A837" s="5">
        <v>3011408</v>
      </c>
      <c r="B837" s="5" t="s">
        <v>3638</v>
      </c>
      <c r="C837" s="224" t="s">
        <v>5157</v>
      </c>
      <c r="D837" s="5" t="s">
        <v>2601</v>
      </c>
      <c r="E837" s="5"/>
      <c r="F837" s="36">
        <v>7</v>
      </c>
      <c r="G837" s="47">
        <v>8</v>
      </c>
      <c r="H837" s="5" t="s">
        <v>136</v>
      </c>
      <c r="I837" s="5" t="s">
        <v>3640</v>
      </c>
      <c r="J837" s="5"/>
      <c r="K837" s="5"/>
      <c r="L837" s="346" t="s">
        <v>3103</v>
      </c>
      <c r="M837" s="231"/>
      <c r="N837" s="231"/>
      <c r="O837" s="5"/>
      <c r="P837" s="232"/>
      <c r="Q837" s="232">
        <v>0</v>
      </c>
      <c r="R837" s="232" t="s">
        <v>153</v>
      </c>
      <c r="S837" s="5"/>
      <c r="T837" s="256"/>
      <c r="U837" s="257"/>
      <c r="V837" s="232"/>
      <c r="W837" s="57" t="s">
        <v>5158</v>
      </c>
      <c r="X837" s="57" t="s">
        <v>5158</v>
      </c>
      <c r="Y837" s="232">
        <v>0</v>
      </c>
      <c r="Z837" s="232">
        <v>0</v>
      </c>
      <c r="AA837" s="232"/>
      <c r="AB837" s="232"/>
      <c r="AC837" s="5"/>
      <c r="AD837" s="5"/>
      <c r="AE837" s="5">
        <v>0</v>
      </c>
      <c r="AF837" s="5"/>
      <c r="AG837" s="5"/>
      <c r="AH837" s="5"/>
      <c r="AI837" s="5"/>
      <c r="AJ837" s="5"/>
      <c r="AK837" s="270"/>
      <c r="AL837" s="270"/>
      <c r="AM837" s="270"/>
      <c r="AN837" s="271"/>
      <c r="AO837" s="271"/>
      <c r="AP837" s="271"/>
      <c r="AQ837" s="5" t="s">
        <v>3105</v>
      </c>
      <c r="AR837" s="279"/>
    </row>
    <row r="838" spans="1:44" ht="19.2">
      <c r="A838" s="3">
        <v>3011409</v>
      </c>
      <c r="B838" s="5" t="s">
        <v>3638</v>
      </c>
      <c r="C838" s="224" t="s">
        <v>5159</v>
      </c>
      <c r="D838" s="3" t="s">
        <v>2601</v>
      </c>
      <c r="E838" s="3"/>
      <c r="F838" s="3">
        <v>8</v>
      </c>
      <c r="G838" s="48">
        <v>8</v>
      </c>
      <c r="H838" s="3" t="s">
        <v>136</v>
      </c>
      <c r="I838" s="5" t="s">
        <v>3640</v>
      </c>
      <c r="J838" s="3"/>
      <c r="K838" s="3"/>
      <c r="L838" s="236"/>
      <c r="M838" s="99"/>
      <c r="N838" s="99"/>
      <c r="O838" s="236"/>
      <c r="P838" s="22"/>
      <c r="Q838" s="22">
        <v>0</v>
      </c>
      <c r="R838" s="22" t="s">
        <v>153</v>
      </c>
      <c r="S838" s="3"/>
      <c r="T838" s="260"/>
      <c r="U838" s="261"/>
      <c r="V838" s="22"/>
      <c r="W838" s="57" t="s">
        <v>5107</v>
      </c>
      <c r="X838" s="57" t="s">
        <v>5107</v>
      </c>
      <c r="Y838" s="22"/>
      <c r="Z838" s="22"/>
      <c r="AA838" s="22"/>
      <c r="AB838" s="22" t="s">
        <v>114</v>
      </c>
      <c r="AC838" s="3"/>
      <c r="AD838" s="3"/>
      <c r="AE838" s="3">
        <v>0</v>
      </c>
      <c r="AF838" s="3">
        <v>0</v>
      </c>
      <c r="AG838" s="3">
        <v>0</v>
      </c>
      <c r="AH838" s="3"/>
      <c r="AI838" s="3">
        <v>0</v>
      </c>
      <c r="AJ838" s="3">
        <v>0</v>
      </c>
      <c r="AK838" s="3">
        <v>0</v>
      </c>
      <c r="AL838" s="3"/>
      <c r="AM838" s="3"/>
      <c r="AN838" s="3"/>
      <c r="AO838" s="3"/>
      <c r="AP838" s="3"/>
      <c r="AQ838" s="3" t="s">
        <v>3086</v>
      </c>
      <c r="AR838" s="281"/>
    </row>
    <row r="839" spans="1:44" ht="19.2">
      <c r="A839" s="3">
        <v>3011410</v>
      </c>
      <c r="B839" s="5" t="s">
        <v>3638</v>
      </c>
      <c r="C839" s="224" t="s">
        <v>5160</v>
      </c>
      <c r="D839" s="3" t="s">
        <v>2601</v>
      </c>
      <c r="E839" s="3"/>
      <c r="F839" s="3">
        <v>9</v>
      </c>
      <c r="G839" s="47">
        <v>8</v>
      </c>
      <c r="H839" s="3" t="s">
        <v>136</v>
      </c>
      <c r="I839" s="5" t="s">
        <v>3640</v>
      </c>
      <c r="J839" s="3"/>
      <c r="K839" s="3"/>
      <c r="L839" s="236"/>
      <c r="M839" s="99"/>
      <c r="N839" s="99"/>
      <c r="O839" s="236"/>
      <c r="P839" s="22"/>
      <c r="Q839" s="22">
        <v>0</v>
      </c>
      <c r="R839" s="22" t="s">
        <v>153</v>
      </c>
      <c r="S839" s="3"/>
      <c r="T839" s="260"/>
      <c r="U839" s="261"/>
      <c r="V839" s="22"/>
      <c r="W839" s="57" t="s">
        <v>5161</v>
      </c>
      <c r="X839" s="57" t="s">
        <v>5161</v>
      </c>
      <c r="Y839" s="22"/>
      <c r="Z839" s="22"/>
      <c r="AA839" s="22"/>
      <c r="AB839" s="22" t="s">
        <v>114</v>
      </c>
      <c r="AC839" s="3"/>
      <c r="AD839" s="3"/>
      <c r="AE839" s="3">
        <v>0</v>
      </c>
      <c r="AF839" s="3">
        <v>0</v>
      </c>
      <c r="AG839" s="3">
        <v>0</v>
      </c>
      <c r="AH839" s="3"/>
      <c r="AI839" s="3">
        <v>0</v>
      </c>
      <c r="AJ839" s="3">
        <v>0</v>
      </c>
      <c r="AK839" s="3">
        <v>0</v>
      </c>
      <c r="AL839" s="3"/>
      <c r="AM839" s="3"/>
      <c r="AN839" s="3"/>
      <c r="AO839" s="3"/>
      <c r="AP839" s="3"/>
      <c r="AQ839" s="282" t="str">
        <f>"tricks/"&amp;A839</f>
        <v>tricks/3011410</v>
      </c>
    </row>
    <row r="840" spans="1:44" ht="19.2">
      <c r="A840" s="3">
        <v>3011411</v>
      </c>
      <c r="B840" s="5" t="s">
        <v>3638</v>
      </c>
      <c r="C840" s="224" t="s">
        <v>5162</v>
      </c>
      <c r="D840" s="3" t="s">
        <v>2601</v>
      </c>
      <c r="E840" s="3"/>
      <c r="F840" s="3">
        <v>10</v>
      </c>
      <c r="G840" s="48">
        <v>8</v>
      </c>
      <c r="H840" s="3" t="s">
        <v>136</v>
      </c>
      <c r="I840" s="5" t="s">
        <v>3640</v>
      </c>
      <c r="J840" s="3"/>
      <c r="K840" s="3"/>
      <c r="L840" s="236"/>
      <c r="M840" s="99"/>
      <c r="N840" s="99"/>
      <c r="O840" s="236"/>
      <c r="P840" s="22"/>
      <c r="Q840" s="22">
        <v>0</v>
      </c>
      <c r="R840" s="22" t="s">
        <v>153</v>
      </c>
      <c r="S840" s="3"/>
      <c r="T840" s="260"/>
      <c r="U840" s="261"/>
      <c r="V840" s="22"/>
      <c r="W840" s="57" t="s">
        <v>5153</v>
      </c>
      <c r="X840" s="57" t="s">
        <v>5153</v>
      </c>
      <c r="Y840" s="22"/>
      <c r="Z840" s="22"/>
      <c r="AA840" s="22"/>
      <c r="AB840" s="22" t="s">
        <v>114</v>
      </c>
      <c r="AC840" s="3"/>
      <c r="AD840" s="3"/>
      <c r="AE840" s="3">
        <v>0</v>
      </c>
      <c r="AF840" s="3">
        <v>0</v>
      </c>
      <c r="AG840" s="3">
        <v>0</v>
      </c>
      <c r="AH840" s="3"/>
      <c r="AI840" s="3">
        <v>0</v>
      </c>
      <c r="AJ840" s="3">
        <v>0</v>
      </c>
      <c r="AK840" s="3">
        <v>0</v>
      </c>
      <c r="AL840" s="3"/>
      <c r="AM840" s="3"/>
      <c r="AN840" s="3"/>
      <c r="AO840" s="3"/>
      <c r="AP840" s="3"/>
      <c r="AQ840" s="282" t="str">
        <f>"tricks/"&amp;A840</f>
        <v>tricks/3011411</v>
      </c>
    </row>
    <row r="841" spans="1:44" ht="19.2">
      <c r="A841" s="34">
        <v>3011501</v>
      </c>
      <c r="B841" s="5" t="s">
        <v>3638</v>
      </c>
      <c r="C841" s="224" t="s">
        <v>5163</v>
      </c>
      <c r="D841" s="34" t="s">
        <v>2601</v>
      </c>
      <c r="E841" s="34"/>
      <c r="F841" s="36">
        <v>1</v>
      </c>
      <c r="G841" s="47">
        <v>8</v>
      </c>
      <c r="H841" s="34" t="s">
        <v>82</v>
      </c>
      <c r="I841" s="5" t="s">
        <v>3640</v>
      </c>
      <c r="J841" s="34"/>
      <c r="K841" s="34"/>
      <c r="L841" s="372"/>
      <c r="M841" s="371"/>
      <c r="N841" s="378">
        <v>27</v>
      </c>
      <c r="O841" s="34"/>
      <c r="P841" s="130"/>
      <c r="Q841" s="130">
        <v>0</v>
      </c>
      <c r="R841" s="130" t="s">
        <v>153</v>
      </c>
      <c r="S841" s="34"/>
      <c r="T841" s="260" t="s">
        <v>3113</v>
      </c>
      <c r="U841" s="261" t="s">
        <v>3113</v>
      </c>
      <c r="V841" s="130"/>
      <c r="W841" s="57" t="s">
        <v>5164</v>
      </c>
      <c r="X841" s="57" t="s">
        <v>5164</v>
      </c>
      <c r="Y841" s="130">
        <v>0</v>
      </c>
      <c r="Z841" s="130">
        <v>0</v>
      </c>
      <c r="AA841" s="130"/>
      <c r="AB841" s="130"/>
      <c r="AC841" s="34"/>
      <c r="AD841" s="34"/>
      <c r="AE841" s="34">
        <v>2</v>
      </c>
      <c r="AF841" s="34"/>
      <c r="AG841" s="34">
        <v>30</v>
      </c>
      <c r="AH841" s="34"/>
      <c r="AI841" s="34"/>
      <c r="AJ841" s="34"/>
      <c r="AK841" s="131"/>
      <c r="AL841" s="131"/>
      <c r="AM841" s="131"/>
      <c r="AN841" s="43" t="s">
        <v>3115</v>
      </c>
      <c r="AO841" s="398" t="s">
        <v>3116</v>
      </c>
      <c r="AP841" s="398"/>
      <c r="AQ841" s="34" t="s">
        <v>3117</v>
      </c>
      <c r="AR841" s="405"/>
    </row>
    <row r="842" spans="1:44" ht="19.2">
      <c r="A842" s="34">
        <v>3011502</v>
      </c>
      <c r="B842" s="5" t="s">
        <v>3638</v>
      </c>
      <c r="C842" s="224" t="s">
        <v>5165</v>
      </c>
      <c r="D842" s="34" t="s">
        <v>2601</v>
      </c>
      <c r="E842" s="34"/>
      <c r="F842" s="36">
        <v>1</v>
      </c>
      <c r="G842" s="48">
        <v>8</v>
      </c>
      <c r="H842" s="34" t="s">
        <v>136</v>
      </c>
      <c r="I842" s="5" t="s">
        <v>3640</v>
      </c>
      <c r="J842" s="34"/>
      <c r="K842" s="34"/>
      <c r="L842" s="372"/>
      <c r="M842" s="371"/>
      <c r="N842" s="371"/>
      <c r="O842" s="34"/>
      <c r="P842" s="130"/>
      <c r="Q842" s="130">
        <v>0</v>
      </c>
      <c r="R842" s="130" t="s">
        <v>153</v>
      </c>
      <c r="S842" s="34"/>
      <c r="T842" s="382"/>
      <c r="U842" s="383"/>
      <c r="V842" s="130"/>
      <c r="W842" s="57" t="s">
        <v>5166</v>
      </c>
      <c r="X842" s="57" t="s">
        <v>5166</v>
      </c>
      <c r="Y842" s="130">
        <v>0</v>
      </c>
      <c r="Z842" s="130">
        <v>0</v>
      </c>
      <c r="AA842" s="130"/>
      <c r="AB842" s="130"/>
      <c r="AC842" s="34"/>
      <c r="AD842" s="34"/>
      <c r="AE842" s="34">
        <v>0</v>
      </c>
      <c r="AF842" s="34"/>
      <c r="AG842" s="34"/>
      <c r="AH842" s="34"/>
      <c r="AI842" s="34"/>
      <c r="AJ842" s="34"/>
      <c r="AK842" s="34"/>
      <c r="AL842" s="34"/>
      <c r="AM842" s="34"/>
      <c r="AN842" s="398"/>
      <c r="AO842" s="398"/>
      <c r="AP842" s="398"/>
      <c r="AQ842" s="34" t="s">
        <v>3120</v>
      </c>
      <c r="AR842" s="405"/>
    </row>
    <row r="843" spans="1:44" ht="19.2">
      <c r="A843" s="34">
        <v>3011503</v>
      </c>
      <c r="B843" s="5" t="s">
        <v>3638</v>
      </c>
      <c r="C843" s="224" t="s">
        <v>5167</v>
      </c>
      <c r="D843" s="34" t="s">
        <v>2601</v>
      </c>
      <c r="E843" s="34"/>
      <c r="F843" s="36">
        <v>2</v>
      </c>
      <c r="G843" s="47">
        <v>8</v>
      </c>
      <c r="H843" s="34" t="s">
        <v>136</v>
      </c>
      <c r="I843" s="5" t="s">
        <v>3640</v>
      </c>
      <c r="J843" s="34"/>
      <c r="K843" s="34"/>
      <c r="L843" s="372"/>
      <c r="M843" s="371"/>
      <c r="N843" s="371"/>
      <c r="O843" s="34"/>
      <c r="P843" s="130"/>
      <c r="Q843" s="130">
        <v>0</v>
      </c>
      <c r="R843" s="130" t="s">
        <v>153</v>
      </c>
      <c r="S843" s="34"/>
      <c r="T843" s="382"/>
      <c r="U843" s="383"/>
      <c r="V843" s="130"/>
      <c r="W843" s="57" t="s">
        <v>5168</v>
      </c>
      <c r="X843" s="57" t="s">
        <v>5168</v>
      </c>
      <c r="Y843" s="130">
        <v>0</v>
      </c>
      <c r="Z843" s="130">
        <v>0</v>
      </c>
      <c r="AA843" s="130"/>
      <c r="AB843" s="130"/>
      <c r="AC843" s="34"/>
      <c r="AD843" s="34"/>
      <c r="AE843" s="34">
        <v>0</v>
      </c>
      <c r="AF843" s="34"/>
      <c r="AG843" s="34"/>
      <c r="AH843" s="34"/>
      <c r="AI843" s="34"/>
      <c r="AJ843" s="34"/>
      <c r="AK843" s="34"/>
      <c r="AL843" s="34"/>
      <c r="AM843" s="34"/>
      <c r="AN843" s="398"/>
      <c r="AO843" s="398"/>
      <c r="AP843" s="398"/>
      <c r="AQ843" s="34" t="s">
        <v>3123</v>
      </c>
      <c r="AR843" s="405"/>
    </row>
    <row r="844" spans="1:44" ht="15" customHeight="1">
      <c r="A844" s="34">
        <v>3011504</v>
      </c>
      <c r="B844" s="5" t="s">
        <v>3638</v>
      </c>
      <c r="C844" s="224" t="s">
        <v>5169</v>
      </c>
      <c r="D844" s="34" t="s">
        <v>2601</v>
      </c>
      <c r="E844" s="34"/>
      <c r="F844" s="36">
        <v>3</v>
      </c>
      <c r="G844" s="48">
        <v>8</v>
      </c>
      <c r="H844" s="34" t="s">
        <v>136</v>
      </c>
      <c r="I844" s="5" t="s">
        <v>3640</v>
      </c>
      <c r="J844" s="34"/>
      <c r="K844" s="34"/>
      <c r="L844" s="372"/>
      <c r="M844" s="371"/>
      <c r="N844" s="371"/>
      <c r="O844" s="34"/>
      <c r="P844" s="130"/>
      <c r="Q844" s="130">
        <v>0</v>
      </c>
      <c r="R844" s="130" t="s">
        <v>153</v>
      </c>
      <c r="S844" s="34"/>
      <c r="T844" s="382"/>
      <c r="U844" s="383"/>
      <c r="V844" s="130"/>
      <c r="W844" s="57" t="s">
        <v>5125</v>
      </c>
      <c r="X844" s="57" t="s">
        <v>5125</v>
      </c>
      <c r="Y844" s="130">
        <v>0</v>
      </c>
      <c r="Z844" s="130">
        <v>0</v>
      </c>
      <c r="AA844" s="130"/>
      <c r="AB844" s="130"/>
      <c r="AC844" s="34"/>
      <c r="AD844" s="34"/>
      <c r="AE844" s="34">
        <v>0</v>
      </c>
      <c r="AF844" s="34"/>
      <c r="AG844" s="34"/>
      <c r="AH844" s="34"/>
      <c r="AI844" s="34"/>
      <c r="AJ844" s="34"/>
      <c r="AK844" s="34"/>
      <c r="AL844" s="34"/>
      <c r="AM844" s="34"/>
      <c r="AN844" s="398"/>
      <c r="AO844" s="398"/>
      <c r="AP844" s="398"/>
      <c r="AQ844" s="34" t="s">
        <v>3125</v>
      </c>
      <c r="AR844" s="405"/>
    </row>
    <row r="845" spans="1:44" ht="19.2">
      <c r="A845" s="34">
        <v>3011505</v>
      </c>
      <c r="B845" s="5" t="s">
        <v>3638</v>
      </c>
      <c r="C845" s="224" t="s">
        <v>5170</v>
      </c>
      <c r="D845" s="34" t="s">
        <v>2601</v>
      </c>
      <c r="E845" s="34"/>
      <c r="F845" s="36">
        <v>4</v>
      </c>
      <c r="G845" s="47">
        <v>8</v>
      </c>
      <c r="H845" s="34" t="s">
        <v>136</v>
      </c>
      <c r="I845" s="5" t="s">
        <v>3640</v>
      </c>
      <c r="J845" s="34"/>
      <c r="K845" s="34"/>
      <c r="L845" s="372"/>
      <c r="M845" s="371"/>
      <c r="N845" s="371"/>
      <c r="O845" s="34"/>
      <c r="P845" s="130"/>
      <c r="Q845" s="130">
        <v>0</v>
      </c>
      <c r="R845" s="130" t="s">
        <v>153</v>
      </c>
      <c r="S845" s="34"/>
      <c r="T845" s="382"/>
      <c r="U845" s="383"/>
      <c r="V845" s="130"/>
      <c r="W845" s="57" t="s">
        <v>5166</v>
      </c>
      <c r="X845" s="57" t="s">
        <v>5166</v>
      </c>
      <c r="Y845" s="130">
        <v>0</v>
      </c>
      <c r="Z845" s="130">
        <v>0</v>
      </c>
      <c r="AA845" s="130"/>
      <c r="AB845" s="130"/>
      <c r="AC845" s="34"/>
      <c r="AD845" s="34"/>
      <c r="AE845" s="34">
        <v>0</v>
      </c>
      <c r="AF845" s="34"/>
      <c r="AG845" s="34"/>
      <c r="AH845" s="34"/>
      <c r="AI845" s="34"/>
      <c r="AJ845" s="34"/>
      <c r="AK845" s="34"/>
      <c r="AL845" s="34"/>
      <c r="AM845" s="34"/>
      <c r="AN845" s="398"/>
      <c r="AO845" s="398"/>
      <c r="AP845" s="398"/>
      <c r="AQ845" s="34" t="s">
        <v>3127</v>
      </c>
      <c r="AR845" s="405"/>
    </row>
    <row r="846" spans="1:44" ht="19.2">
      <c r="A846" s="34">
        <v>3011506</v>
      </c>
      <c r="B846" s="5" t="s">
        <v>3638</v>
      </c>
      <c r="C846" s="224" t="s">
        <v>5171</v>
      </c>
      <c r="D846" s="34" t="s">
        <v>2601</v>
      </c>
      <c r="E846" s="34"/>
      <c r="F846" s="36">
        <v>5</v>
      </c>
      <c r="G846" s="48">
        <v>8</v>
      </c>
      <c r="H846" s="34" t="s">
        <v>136</v>
      </c>
      <c r="I846" s="5" t="s">
        <v>3640</v>
      </c>
      <c r="J846" s="34"/>
      <c r="K846" s="34"/>
      <c r="L846" s="372"/>
      <c r="M846" s="371"/>
      <c r="N846" s="371"/>
      <c r="O846" s="34"/>
      <c r="P846" s="130"/>
      <c r="Q846" s="130">
        <v>0</v>
      </c>
      <c r="R846" s="130" t="s">
        <v>153</v>
      </c>
      <c r="S846" s="34"/>
      <c r="T846" s="382"/>
      <c r="U846" s="383"/>
      <c r="V846" s="130"/>
      <c r="W846" s="57" t="s">
        <v>5172</v>
      </c>
      <c r="X846" s="57" t="s">
        <v>5172</v>
      </c>
      <c r="Y846" s="130">
        <v>0</v>
      </c>
      <c r="Z846" s="130">
        <v>0</v>
      </c>
      <c r="AA846" s="130"/>
      <c r="AB846" s="130"/>
      <c r="AC846" s="34"/>
      <c r="AD846" s="34"/>
      <c r="AE846" s="34">
        <v>0</v>
      </c>
      <c r="AF846" s="34"/>
      <c r="AG846" s="34"/>
      <c r="AH846" s="34"/>
      <c r="AI846" s="34"/>
      <c r="AJ846" s="34"/>
      <c r="AK846" s="131"/>
      <c r="AL846" s="131"/>
      <c r="AM846" s="131"/>
      <c r="AN846" s="398"/>
      <c r="AO846" s="398"/>
      <c r="AP846" s="398"/>
      <c r="AQ846" s="34" t="s">
        <v>3130</v>
      </c>
      <c r="AR846" s="405"/>
    </row>
    <row r="847" spans="1:44" ht="19.2">
      <c r="A847" s="34">
        <v>3011507</v>
      </c>
      <c r="B847" s="5" t="s">
        <v>3638</v>
      </c>
      <c r="C847" s="224" t="s">
        <v>5173</v>
      </c>
      <c r="D847" s="34" t="s">
        <v>2601</v>
      </c>
      <c r="E847" s="34"/>
      <c r="F847" s="36">
        <v>6</v>
      </c>
      <c r="G847" s="47">
        <v>8</v>
      </c>
      <c r="H847" s="34" t="s">
        <v>136</v>
      </c>
      <c r="I847" s="5" t="s">
        <v>3640</v>
      </c>
      <c r="J847" s="34"/>
      <c r="K847" s="34"/>
      <c r="L847" s="372"/>
      <c r="M847" s="371"/>
      <c r="N847" s="371"/>
      <c r="O847" s="34"/>
      <c r="P847" s="130"/>
      <c r="Q847" s="130">
        <v>0</v>
      </c>
      <c r="R847" s="130" t="s">
        <v>153</v>
      </c>
      <c r="S847" s="34"/>
      <c r="T847" s="382"/>
      <c r="U847" s="383"/>
      <c r="V847" s="130"/>
      <c r="W847" s="57" t="s">
        <v>5099</v>
      </c>
      <c r="X847" s="57" t="s">
        <v>5099</v>
      </c>
      <c r="Y847" s="130">
        <v>0</v>
      </c>
      <c r="Z847" s="130">
        <v>0</v>
      </c>
      <c r="AA847" s="130"/>
      <c r="AB847" s="130"/>
      <c r="AC847" s="34"/>
      <c r="AD847" s="34"/>
      <c r="AE847" s="34">
        <v>0</v>
      </c>
      <c r="AF847" s="34"/>
      <c r="AG847" s="34"/>
      <c r="AH847" s="34"/>
      <c r="AI847" s="34"/>
      <c r="AJ847" s="34"/>
      <c r="AK847" s="34"/>
      <c r="AL847" s="34"/>
      <c r="AM847" s="34"/>
      <c r="AN847" s="398"/>
      <c r="AO847" s="398"/>
      <c r="AP847" s="398"/>
      <c r="AQ847" s="34" t="s">
        <v>3132</v>
      </c>
      <c r="AR847" s="405"/>
    </row>
    <row r="848" spans="1:44" ht="19.2">
      <c r="A848" s="34">
        <v>3011508</v>
      </c>
      <c r="B848" s="5" t="s">
        <v>3638</v>
      </c>
      <c r="C848" s="224" t="s">
        <v>5174</v>
      </c>
      <c r="D848" s="34" t="s">
        <v>2601</v>
      </c>
      <c r="E848" s="34"/>
      <c r="F848" s="36">
        <v>7</v>
      </c>
      <c r="G848" s="48">
        <v>8</v>
      </c>
      <c r="H848" s="34" t="s">
        <v>136</v>
      </c>
      <c r="I848" s="5" t="s">
        <v>3640</v>
      </c>
      <c r="J848" s="34"/>
      <c r="K848" s="34"/>
      <c r="L848" s="372"/>
      <c r="M848" s="371"/>
      <c r="N848" s="371"/>
      <c r="O848" s="34"/>
      <c r="P848" s="130"/>
      <c r="Q848" s="130">
        <v>0</v>
      </c>
      <c r="R848" s="130" t="s">
        <v>153</v>
      </c>
      <c r="S848" s="34"/>
      <c r="T848" s="382"/>
      <c r="U848" s="383"/>
      <c r="V848" s="130"/>
      <c r="W848" s="57" t="s">
        <v>5175</v>
      </c>
      <c r="X848" s="57" t="s">
        <v>5175</v>
      </c>
      <c r="Y848" s="130">
        <v>0</v>
      </c>
      <c r="Z848" s="130">
        <v>0</v>
      </c>
      <c r="AA848" s="130"/>
      <c r="AB848" s="130"/>
      <c r="AC848" s="34"/>
      <c r="AD848" s="34"/>
      <c r="AE848" s="34">
        <v>0</v>
      </c>
      <c r="AF848" s="34"/>
      <c r="AG848" s="34"/>
      <c r="AH848" s="34"/>
      <c r="AI848" s="34"/>
      <c r="AJ848" s="34"/>
      <c r="AK848" s="131"/>
      <c r="AL848" s="131"/>
      <c r="AM848" s="131"/>
      <c r="AN848" s="398"/>
      <c r="AO848" s="398"/>
      <c r="AP848" s="398"/>
      <c r="AQ848" s="34" t="s">
        <v>3135</v>
      </c>
      <c r="AR848" s="405"/>
    </row>
    <row r="849" spans="1:44" ht="15" customHeight="1">
      <c r="A849" s="3">
        <v>3011509</v>
      </c>
      <c r="B849" s="5" t="s">
        <v>3638</v>
      </c>
      <c r="C849" s="224" t="s">
        <v>5176</v>
      </c>
      <c r="D849" s="3" t="s">
        <v>2601</v>
      </c>
      <c r="E849" s="3"/>
      <c r="F849" s="3">
        <v>8</v>
      </c>
      <c r="G849" s="47">
        <v>8</v>
      </c>
      <c r="H849" s="3" t="s">
        <v>136</v>
      </c>
      <c r="I849" s="5" t="s">
        <v>3640</v>
      </c>
      <c r="J849" s="3"/>
      <c r="K849" s="3"/>
      <c r="L849" s="236"/>
      <c r="M849" s="99"/>
      <c r="N849" s="99"/>
      <c r="O849" s="236"/>
      <c r="P849" s="22"/>
      <c r="Q849" s="22">
        <v>0</v>
      </c>
      <c r="R849" s="22" t="s">
        <v>153</v>
      </c>
      <c r="S849" s="3"/>
      <c r="T849" s="260"/>
      <c r="U849" s="261"/>
      <c r="V849" s="22"/>
      <c r="W849" s="57" t="s">
        <v>5107</v>
      </c>
      <c r="X849" s="57" t="s">
        <v>5107</v>
      </c>
      <c r="Y849" s="22"/>
      <c r="Z849" s="22"/>
      <c r="AA849" s="22"/>
      <c r="AB849" s="22" t="s">
        <v>114</v>
      </c>
      <c r="AC849" s="3"/>
      <c r="AD849" s="3"/>
      <c r="AE849" s="3">
        <v>0</v>
      </c>
      <c r="AF849" s="3">
        <v>0</v>
      </c>
      <c r="AG849" s="3">
        <v>0</v>
      </c>
      <c r="AH849" s="3"/>
      <c r="AI849" s="3">
        <v>0</v>
      </c>
      <c r="AJ849" s="3">
        <v>0</v>
      </c>
      <c r="AK849" s="3">
        <v>0</v>
      </c>
      <c r="AL849" s="3"/>
      <c r="AM849" s="3"/>
      <c r="AN849" s="3"/>
      <c r="AO849" s="3"/>
      <c r="AP849" s="3"/>
      <c r="AQ849" s="3" t="s">
        <v>3123</v>
      </c>
      <c r="AR849" s="281"/>
    </row>
    <row r="850" spans="1:44" ht="15" customHeight="1">
      <c r="A850" s="3">
        <v>3011510</v>
      </c>
      <c r="B850" s="5" t="s">
        <v>3638</v>
      </c>
      <c r="C850" s="224" t="s">
        <v>5177</v>
      </c>
      <c r="D850" s="3" t="s">
        <v>2601</v>
      </c>
      <c r="E850" s="3"/>
      <c r="F850" s="3">
        <v>9</v>
      </c>
      <c r="G850" s="48">
        <v>8</v>
      </c>
      <c r="H850" s="3" t="s">
        <v>136</v>
      </c>
      <c r="I850" s="5" t="s">
        <v>3640</v>
      </c>
      <c r="J850" s="3"/>
      <c r="K850" s="3"/>
      <c r="L850" s="236"/>
      <c r="M850" s="99"/>
      <c r="N850" s="99"/>
      <c r="O850" s="236"/>
      <c r="P850" s="22"/>
      <c r="Q850" s="22">
        <v>0</v>
      </c>
      <c r="R850" s="22" t="s">
        <v>153</v>
      </c>
      <c r="S850" s="3"/>
      <c r="T850" s="260"/>
      <c r="U850" s="261"/>
      <c r="V850" s="22"/>
      <c r="W850" s="57" t="s">
        <v>5166</v>
      </c>
      <c r="X850" s="57" t="s">
        <v>5166</v>
      </c>
      <c r="Y850" s="22"/>
      <c r="Z850" s="22"/>
      <c r="AA850" s="22"/>
      <c r="AB850" s="22" t="s">
        <v>114</v>
      </c>
      <c r="AC850" s="3"/>
      <c r="AD850" s="3"/>
      <c r="AE850" s="3">
        <v>0</v>
      </c>
      <c r="AF850" s="3">
        <v>0</v>
      </c>
      <c r="AG850" s="3">
        <v>0</v>
      </c>
      <c r="AH850" s="3"/>
      <c r="AI850" s="3">
        <v>0</v>
      </c>
      <c r="AJ850" s="3">
        <v>0</v>
      </c>
      <c r="AK850" s="3">
        <v>0</v>
      </c>
      <c r="AL850" s="3"/>
      <c r="AM850" s="3"/>
      <c r="AN850" s="3"/>
      <c r="AO850" s="3"/>
      <c r="AP850" s="3"/>
      <c r="AQ850" s="282" t="str">
        <f>"tricks/"&amp;A850</f>
        <v>tricks/3011510</v>
      </c>
    </row>
    <row r="851" spans="1:44" ht="15" customHeight="1">
      <c r="A851" s="3">
        <v>3011511</v>
      </c>
      <c r="B851" s="5" t="s">
        <v>3638</v>
      </c>
      <c r="C851" s="224" t="s">
        <v>5178</v>
      </c>
      <c r="D851" s="3" t="s">
        <v>2601</v>
      </c>
      <c r="E851" s="3"/>
      <c r="F851" s="3">
        <v>10</v>
      </c>
      <c r="G851" s="47">
        <v>8</v>
      </c>
      <c r="H851" s="3" t="s">
        <v>136</v>
      </c>
      <c r="I851" s="5" t="s">
        <v>3640</v>
      </c>
      <c r="J851" s="3"/>
      <c r="K851" s="3"/>
      <c r="L851" s="236"/>
      <c r="M851" s="99"/>
      <c r="N851" s="99"/>
      <c r="O851" s="236"/>
      <c r="P851" s="22"/>
      <c r="Q851" s="22">
        <v>0</v>
      </c>
      <c r="R851" s="22" t="s">
        <v>153</v>
      </c>
      <c r="S851" s="3"/>
      <c r="T851" s="260"/>
      <c r="U851" s="261"/>
      <c r="V851" s="22"/>
      <c r="W851" s="57" t="s">
        <v>5179</v>
      </c>
      <c r="X851" s="57" t="s">
        <v>5179</v>
      </c>
      <c r="Y851" s="22"/>
      <c r="Z851" s="22"/>
      <c r="AA851" s="22"/>
      <c r="AB851" s="22" t="s">
        <v>114</v>
      </c>
      <c r="AC851" s="3"/>
      <c r="AD851" s="3"/>
      <c r="AE851" s="3">
        <v>0</v>
      </c>
      <c r="AF851" s="3">
        <v>0</v>
      </c>
      <c r="AG851" s="3">
        <v>0</v>
      </c>
      <c r="AH851" s="3"/>
      <c r="AI851" s="3">
        <v>0</v>
      </c>
      <c r="AJ851" s="3">
        <v>0</v>
      </c>
      <c r="AK851" s="3">
        <v>0</v>
      </c>
      <c r="AL851" s="3"/>
      <c r="AM851" s="3"/>
      <c r="AN851" s="3"/>
      <c r="AO851" s="3"/>
      <c r="AP851" s="3"/>
      <c r="AQ851" s="282" t="str">
        <f>"tricks/"&amp;A851</f>
        <v>tricks/3011511</v>
      </c>
    </row>
    <row r="852" spans="1:44" ht="15" customHeight="1">
      <c r="A852" s="41">
        <v>3011601</v>
      </c>
      <c r="B852" s="5" t="s">
        <v>3638</v>
      </c>
      <c r="C852" s="224" t="s">
        <v>5180</v>
      </c>
      <c r="D852" s="41" t="s">
        <v>2601</v>
      </c>
      <c r="E852" s="41"/>
      <c r="F852" s="36">
        <v>1</v>
      </c>
      <c r="G852" s="48">
        <v>8</v>
      </c>
      <c r="H852" s="41" t="s">
        <v>82</v>
      </c>
      <c r="I852" s="5" t="s">
        <v>3640</v>
      </c>
      <c r="J852" s="41"/>
      <c r="K852" s="41"/>
      <c r="L852" s="536"/>
      <c r="M852" s="438"/>
      <c r="N852" s="438">
        <v>28</v>
      </c>
      <c r="O852" s="41"/>
      <c r="P852" s="137"/>
      <c r="Q852" s="137">
        <v>0</v>
      </c>
      <c r="R852" s="137" t="s">
        <v>153</v>
      </c>
      <c r="S852" s="41"/>
      <c r="T852" s="444"/>
      <c r="U852" s="445"/>
      <c r="V852" s="137"/>
      <c r="W852" s="57" t="s">
        <v>5181</v>
      </c>
      <c r="X852" s="57" t="s">
        <v>5181</v>
      </c>
      <c r="Y852" s="137">
        <v>0</v>
      </c>
      <c r="Z852" s="137">
        <v>0</v>
      </c>
      <c r="AA852" s="137"/>
      <c r="AB852" s="137"/>
      <c r="AC852" s="41"/>
      <c r="AD852" s="41"/>
      <c r="AE852" s="41">
        <v>2</v>
      </c>
      <c r="AF852" s="41"/>
      <c r="AG852" s="41">
        <v>30</v>
      </c>
      <c r="AH852" s="41"/>
      <c r="AI852" s="41"/>
      <c r="AJ852" s="41"/>
      <c r="AK852" s="139"/>
      <c r="AL852" s="139"/>
      <c r="AM852" s="139"/>
      <c r="AN852" s="44" t="s">
        <v>3144</v>
      </c>
      <c r="AO852" s="538"/>
      <c r="AP852" s="538"/>
      <c r="AQ852" s="41" t="s">
        <v>3145</v>
      </c>
      <c r="AR852" s="449"/>
    </row>
    <row r="853" spans="1:44" ht="15" customHeight="1">
      <c r="A853" s="41">
        <v>3011602</v>
      </c>
      <c r="B853" s="5" t="s">
        <v>3638</v>
      </c>
      <c r="C853" s="224" t="s">
        <v>5182</v>
      </c>
      <c r="D853" s="41" t="s">
        <v>2601</v>
      </c>
      <c r="E853" s="41"/>
      <c r="F853" s="36">
        <v>1</v>
      </c>
      <c r="G853" s="47">
        <v>8</v>
      </c>
      <c r="H853" s="41" t="s">
        <v>136</v>
      </c>
      <c r="I853" s="5" t="s">
        <v>3640</v>
      </c>
      <c r="J853" s="41"/>
      <c r="K853" s="41"/>
      <c r="L853" s="536"/>
      <c r="M853" s="438"/>
      <c r="N853" s="438"/>
      <c r="O853" s="41"/>
      <c r="P853" s="137"/>
      <c r="Q853" s="137">
        <v>0</v>
      </c>
      <c r="R853" s="137" t="s">
        <v>153</v>
      </c>
      <c r="S853" s="41"/>
      <c r="T853" s="441"/>
      <c r="U853" s="443"/>
      <c r="V853" s="137"/>
      <c r="W853" s="57" t="s">
        <v>5183</v>
      </c>
      <c r="X853" s="57" t="s">
        <v>5183</v>
      </c>
      <c r="Y853" s="137">
        <v>0</v>
      </c>
      <c r="Z853" s="137">
        <v>0</v>
      </c>
      <c r="AA853" s="137"/>
      <c r="AB853" s="137"/>
      <c r="AC853" s="41"/>
      <c r="AD853" s="41"/>
      <c r="AE853" s="41">
        <v>0</v>
      </c>
      <c r="AF853" s="41"/>
      <c r="AG853" s="41"/>
      <c r="AH853" s="41"/>
      <c r="AI853" s="41"/>
      <c r="AJ853" s="41"/>
      <c r="AK853" s="41"/>
      <c r="AL853" s="41"/>
      <c r="AM853" s="41"/>
      <c r="AN853" s="538"/>
      <c r="AO853" s="538"/>
      <c r="AP853" s="538"/>
      <c r="AQ853" s="41" t="s">
        <v>3148</v>
      </c>
      <c r="AR853" s="449"/>
    </row>
    <row r="854" spans="1:44" ht="15" customHeight="1">
      <c r="A854" s="41">
        <v>3011603</v>
      </c>
      <c r="B854" s="5" t="s">
        <v>3638</v>
      </c>
      <c r="C854" s="224" t="s">
        <v>5184</v>
      </c>
      <c r="D854" s="41" t="s">
        <v>2601</v>
      </c>
      <c r="E854" s="41"/>
      <c r="F854" s="36">
        <v>2</v>
      </c>
      <c r="G854" s="48">
        <v>8</v>
      </c>
      <c r="H854" s="41" t="s">
        <v>136</v>
      </c>
      <c r="I854" s="5" t="s">
        <v>3640</v>
      </c>
      <c r="J854" s="41"/>
      <c r="K854" s="41"/>
      <c r="L854" s="536"/>
      <c r="M854" s="438"/>
      <c r="N854" s="438"/>
      <c r="O854" s="41"/>
      <c r="P854" s="137"/>
      <c r="Q854" s="137">
        <v>0</v>
      </c>
      <c r="R854" s="137" t="s">
        <v>153</v>
      </c>
      <c r="S854" s="41"/>
      <c r="T854" s="441"/>
      <c r="U854" s="443"/>
      <c r="V854" s="137"/>
      <c r="W854" s="57" t="s">
        <v>5121</v>
      </c>
      <c r="X854" s="57" t="s">
        <v>5121</v>
      </c>
      <c r="Y854" s="137">
        <v>0</v>
      </c>
      <c r="Z854" s="137">
        <v>0</v>
      </c>
      <c r="AA854" s="137"/>
      <c r="AB854" s="137"/>
      <c r="AC854" s="41"/>
      <c r="AD854" s="41"/>
      <c r="AE854" s="41">
        <v>0</v>
      </c>
      <c r="AF854" s="41"/>
      <c r="AG854" s="41"/>
      <c r="AH854" s="41"/>
      <c r="AI854" s="41"/>
      <c r="AJ854" s="41"/>
      <c r="AK854" s="41"/>
      <c r="AL854" s="41"/>
      <c r="AM854" s="41"/>
      <c r="AN854" s="538"/>
      <c r="AO854" s="538"/>
      <c r="AP854" s="538"/>
      <c r="AQ854" s="41" t="s">
        <v>3151</v>
      </c>
      <c r="AR854" s="449"/>
    </row>
    <row r="855" spans="1:44" ht="19.2">
      <c r="A855" s="41">
        <v>3011604</v>
      </c>
      <c r="B855" s="5" t="s">
        <v>3638</v>
      </c>
      <c r="C855" s="224" t="s">
        <v>5185</v>
      </c>
      <c r="D855" s="41" t="s">
        <v>2601</v>
      </c>
      <c r="E855" s="41"/>
      <c r="F855" s="36">
        <v>3</v>
      </c>
      <c r="G855" s="47">
        <v>8</v>
      </c>
      <c r="H855" s="41" t="s">
        <v>136</v>
      </c>
      <c r="I855" s="5" t="s">
        <v>3640</v>
      </c>
      <c r="J855" s="41"/>
      <c r="K855" s="41"/>
      <c r="L855" s="536"/>
      <c r="M855" s="438"/>
      <c r="N855" s="438"/>
      <c r="O855" s="41"/>
      <c r="P855" s="137"/>
      <c r="Q855" s="137">
        <v>0</v>
      </c>
      <c r="R855" s="137" t="s">
        <v>153</v>
      </c>
      <c r="S855" s="41"/>
      <c r="T855" s="441"/>
      <c r="U855" s="443"/>
      <c r="V855" s="137"/>
      <c r="W855" s="57" t="s">
        <v>5186</v>
      </c>
      <c r="X855" s="57" t="s">
        <v>5186</v>
      </c>
      <c r="Y855" s="137">
        <v>0</v>
      </c>
      <c r="Z855" s="137">
        <v>0</v>
      </c>
      <c r="AA855" s="137"/>
      <c r="AB855" s="137"/>
      <c r="AC855" s="41"/>
      <c r="AD855" s="41"/>
      <c r="AE855" s="41">
        <v>0</v>
      </c>
      <c r="AF855" s="41"/>
      <c r="AG855" s="41"/>
      <c r="AH855" s="41"/>
      <c r="AI855" s="41"/>
      <c r="AJ855" s="41"/>
      <c r="AK855" s="41"/>
      <c r="AL855" s="41"/>
      <c r="AM855" s="41"/>
      <c r="AN855" s="538"/>
      <c r="AO855" s="538"/>
      <c r="AP855" s="538"/>
      <c r="AQ855" s="41" t="s">
        <v>3154</v>
      </c>
      <c r="AR855" s="449"/>
    </row>
    <row r="856" spans="1:44" ht="15" customHeight="1">
      <c r="A856" s="41">
        <v>3011605</v>
      </c>
      <c r="B856" s="5" t="s">
        <v>3638</v>
      </c>
      <c r="C856" s="224" t="s">
        <v>5187</v>
      </c>
      <c r="D856" s="41" t="s">
        <v>2601</v>
      </c>
      <c r="E856" s="41"/>
      <c r="F856" s="36">
        <v>4</v>
      </c>
      <c r="G856" s="48">
        <v>8</v>
      </c>
      <c r="H856" s="41" t="s">
        <v>136</v>
      </c>
      <c r="I856" s="5" t="s">
        <v>3640</v>
      </c>
      <c r="J856" s="41"/>
      <c r="K856" s="41"/>
      <c r="L856" s="536"/>
      <c r="M856" s="438"/>
      <c r="N856" s="438"/>
      <c r="O856" s="41"/>
      <c r="P856" s="137"/>
      <c r="Q856" s="137">
        <v>0</v>
      </c>
      <c r="R856" s="137" t="s">
        <v>153</v>
      </c>
      <c r="S856" s="41"/>
      <c r="T856" s="441"/>
      <c r="U856" s="443"/>
      <c r="V856" s="137"/>
      <c r="W856" s="57" t="s">
        <v>5188</v>
      </c>
      <c r="X856" s="57" t="s">
        <v>5188</v>
      </c>
      <c r="Y856" s="137">
        <v>0</v>
      </c>
      <c r="Z856" s="137">
        <v>0</v>
      </c>
      <c r="AA856" s="137"/>
      <c r="AB856" s="137"/>
      <c r="AC856" s="41"/>
      <c r="AD856" s="41"/>
      <c r="AE856" s="41">
        <v>0</v>
      </c>
      <c r="AF856" s="41"/>
      <c r="AG856" s="41"/>
      <c r="AH856" s="41"/>
      <c r="AI856" s="41"/>
      <c r="AJ856" s="41"/>
      <c r="AK856" s="41"/>
      <c r="AL856" s="41"/>
      <c r="AM856" s="41"/>
      <c r="AN856" s="538"/>
      <c r="AO856" s="538"/>
      <c r="AP856" s="538"/>
      <c r="AQ856" s="41" t="s">
        <v>3157</v>
      </c>
      <c r="AR856" s="449"/>
    </row>
    <row r="857" spans="1:44" ht="19.2">
      <c r="A857" s="41">
        <v>3011606</v>
      </c>
      <c r="B857" s="5" t="s">
        <v>3638</v>
      </c>
      <c r="C857" s="224" t="s">
        <v>5189</v>
      </c>
      <c r="D857" s="41" t="s">
        <v>2601</v>
      </c>
      <c r="E857" s="41"/>
      <c r="F857" s="36">
        <v>5</v>
      </c>
      <c r="G857" s="47">
        <v>8</v>
      </c>
      <c r="H857" s="41" t="s">
        <v>136</v>
      </c>
      <c r="I857" s="5" t="s">
        <v>3640</v>
      </c>
      <c r="J857" s="41"/>
      <c r="K857" s="41"/>
      <c r="L857" s="536"/>
      <c r="M857" s="438"/>
      <c r="N857" s="438"/>
      <c r="O857" s="41"/>
      <c r="P857" s="137"/>
      <c r="Q857" s="137">
        <v>0</v>
      </c>
      <c r="R857" s="137" t="s">
        <v>153</v>
      </c>
      <c r="S857" s="41"/>
      <c r="T857" s="441"/>
      <c r="U857" s="443"/>
      <c r="V857" s="137"/>
      <c r="W857" s="57" t="s">
        <v>5190</v>
      </c>
      <c r="X857" s="57" t="s">
        <v>5190</v>
      </c>
      <c r="Y857" s="137">
        <v>0</v>
      </c>
      <c r="Z857" s="137">
        <v>0</v>
      </c>
      <c r="AA857" s="137"/>
      <c r="AB857" s="137"/>
      <c r="AC857" s="41"/>
      <c r="AD857" s="41"/>
      <c r="AE857" s="41">
        <v>0</v>
      </c>
      <c r="AF857" s="41"/>
      <c r="AG857" s="41"/>
      <c r="AH857" s="41"/>
      <c r="AI857" s="41"/>
      <c r="AJ857" s="41"/>
      <c r="AK857" s="139"/>
      <c r="AL857" s="139"/>
      <c r="AM857" s="139"/>
      <c r="AN857" s="538"/>
      <c r="AO857" s="538"/>
      <c r="AP857" s="538"/>
      <c r="AQ857" s="41" t="s">
        <v>3160</v>
      </c>
      <c r="AR857" s="449"/>
    </row>
    <row r="858" spans="1:44" ht="19.2">
      <c r="A858" s="41">
        <v>3011607</v>
      </c>
      <c r="B858" s="5" t="s">
        <v>3638</v>
      </c>
      <c r="C858" s="224" t="s">
        <v>5191</v>
      </c>
      <c r="D858" s="41" t="s">
        <v>2601</v>
      </c>
      <c r="E858" s="41"/>
      <c r="F858" s="36">
        <v>6</v>
      </c>
      <c r="G858" s="48">
        <v>8</v>
      </c>
      <c r="H858" s="41" t="s">
        <v>136</v>
      </c>
      <c r="I858" s="5" t="s">
        <v>3640</v>
      </c>
      <c r="J858" s="41"/>
      <c r="K858" s="41"/>
      <c r="L858" s="536"/>
      <c r="M858" s="438"/>
      <c r="N858" s="438"/>
      <c r="O858" s="41"/>
      <c r="P858" s="137"/>
      <c r="Q858" s="137">
        <v>0</v>
      </c>
      <c r="R858" s="137" t="s">
        <v>153</v>
      </c>
      <c r="S858" s="41"/>
      <c r="T858" s="441"/>
      <c r="U858" s="443"/>
      <c r="V858" s="137"/>
      <c r="W858" s="57" t="s">
        <v>5186</v>
      </c>
      <c r="X858" s="57" t="s">
        <v>5186</v>
      </c>
      <c r="Y858" s="137">
        <v>0</v>
      </c>
      <c r="Z858" s="137">
        <v>0</v>
      </c>
      <c r="AA858" s="137"/>
      <c r="AB858" s="137"/>
      <c r="AC858" s="41"/>
      <c r="AD858" s="41"/>
      <c r="AE858" s="41">
        <v>0</v>
      </c>
      <c r="AF858" s="41"/>
      <c r="AG858" s="41"/>
      <c r="AH858" s="41"/>
      <c r="AI858" s="41"/>
      <c r="AJ858" s="41"/>
      <c r="AK858" s="41"/>
      <c r="AL858" s="41"/>
      <c r="AM858" s="41"/>
      <c r="AN858" s="538"/>
      <c r="AO858" s="538"/>
      <c r="AP858" s="538"/>
      <c r="AQ858" s="41" t="s">
        <v>3162</v>
      </c>
      <c r="AR858" s="449"/>
    </row>
    <row r="859" spans="1:44" ht="19.2">
      <c r="A859" s="41">
        <v>3011608</v>
      </c>
      <c r="B859" s="5" t="s">
        <v>3638</v>
      </c>
      <c r="C859" s="224" t="s">
        <v>5192</v>
      </c>
      <c r="D859" s="41" t="s">
        <v>2601</v>
      </c>
      <c r="E859" s="41"/>
      <c r="F859" s="36">
        <v>7</v>
      </c>
      <c r="G859" s="47">
        <v>8</v>
      </c>
      <c r="H859" s="41" t="s">
        <v>136</v>
      </c>
      <c r="I859" s="5" t="s">
        <v>3640</v>
      </c>
      <c r="J859" s="41"/>
      <c r="K859" s="41"/>
      <c r="L859" s="536"/>
      <c r="M859" s="438"/>
      <c r="N859" s="438"/>
      <c r="O859" s="41"/>
      <c r="P859" s="137"/>
      <c r="Q859" s="137">
        <v>0</v>
      </c>
      <c r="R859" s="137" t="s">
        <v>153</v>
      </c>
      <c r="S859" s="41"/>
      <c r="T859" s="441"/>
      <c r="U859" s="443"/>
      <c r="V859" s="137"/>
      <c r="W859" s="57" t="s">
        <v>5193</v>
      </c>
      <c r="X859" s="57" t="s">
        <v>5193</v>
      </c>
      <c r="Y859" s="137">
        <v>0</v>
      </c>
      <c r="Z859" s="137">
        <v>0</v>
      </c>
      <c r="AA859" s="137"/>
      <c r="AB859" s="137"/>
      <c r="AC859" s="41"/>
      <c r="AD859" s="41"/>
      <c r="AE859" s="41">
        <v>0</v>
      </c>
      <c r="AF859" s="41"/>
      <c r="AG859" s="41"/>
      <c r="AH859" s="41"/>
      <c r="AI859" s="41"/>
      <c r="AJ859" s="41"/>
      <c r="AK859" s="139"/>
      <c r="AL859" s="139"/>
      <c r="AM859" s="139"/>
      <c r="AN859" s="538"/>
      <c r="AO859" s="538"/>
      <c r="AP859" s="538"/>
      <c r="AQ859" s="41" t="s">
        <v>3165</v>
      </c>
      <c r="AR859" s="449"/>
    </row>
    <row r="860" spans="1:44" ht="19.2">
      <c r="A860" s="41">
        <v>3011609</v>
      </c>
      <c r="B860" s="5" t="s">
        <v>3638</v>
      </c>
      <c r="C860" s="224" t="s">
        <v>5194</v>
      </c>
      <c r="D860" s="3" t="s">
        <v>2601</v>
      </c>
      <c r="E860" s="41"/>
      <c r="F860" s="3">
        <v>8</v>
      </c>
      <c r="G860" s="48">
        <v>8</v>
      </c>
      <c r="H860" s="41" t="s">
        <v>136</v>
      </c>
      <c r="I860" s="5" t="s">
        <v>3640</v>
      </c>
      <c r="J860" s="41"/>
      <c r="K860" s="41"/>
      <c r="L860" s="174"/>
      <c r="M860" s="438"/>
      <c r="N860" s="438"/>
      <c r="O860" s="174"/>
      <c r="P860" s="137"/>
      <c r="Q860" s="137">
        <v>0</v>
      </c>
      <c r="R860" s="137" t="s">
        <v>153</v>
      </c>
      <c r="S860" s="41"/>
      <c r="T860" s="441"/>
      <c r="U860" s="443"/>
      <c r="V860" s="137"/>
      <c r="W860" s="57" t="s">
        <v>5195</v>
      </c>
      <c r="X860" s="57" t="s">
        <v>5195</v>
      </c>
      <c r="Y860" s="137"/>
      <c r="Z860" s="137"/>
      <c r="AA860" s="137"/>
      <c r="AB860" s="137" t="s">
        <v>114</v>
      </c>
      <c r="AC860" s="41"/>
      <c r="AD860" s="41"/>
      <c r="AE860" s="41">
        <v>0</v>
      </c>
      <c r="AF860" s="41">
        <v>0</v>
      </c>
      <c r="AG860" s="41">
        <v>0</v>
      </c>
      <c r="AH860" s="41"/>
      <c r="AI860" s="41">
        <v>0</v>
      </c>
      <c r="AJ860" s="41">
        <v>0</v>
      </c>
      <c r="AK860" s="41">
        <v>0</v>
      </c>
      <c r="AL860" s="41"/>
      <c r="AM860" s="41"/>
      <c r="AN860" s="41"/>
      <c r="AO860" s="41"/>
      <c r="AP860" s="41"/>
      <c r="AQ860" s="41" t="s">
        <v>3151</v>
      </c>
      <c r="AR860" s="449"/>
    </row>
    <row r="861" spans="1:44" ht="15" customHeight="1">
      <c r="A861" s="3">
        <v>3011610</v>
      </c>
      <c r="B861" s="5" t="s">
        <v>3638</v>
      </c>
      <c r="C861" s="224" t="s">
        <v>5196</v>
      </c>
      <c r="D861" s="3" t="s">
        <v>2601</v>
      </c>
      <c r="E861" s="3"/>
      <c r="F861" s="3">
        <v>9</v>
      </c>
      <c r="G861" s="47">
        <v>8</v>
      </c>
      <c r="H861" s="3" t="s">
        <v>136</v>
      </c>
      <c r="I861" s="5" t="s">
        <v>3640</v>
      </c>
      <c r="J861" s="3"/>
      <c r="K861" s="3"/>
      <c r="L861" s="236"/>
      <c r="M861" s="99"/>
      <c r="N861" s="99"/>
      <c r="O861" s="236"/>
      <c r="P861" s="22"/>
      <c r="Q861" s="22">
        <v>0</v>
      </c>
      <c r="R861" s="22" t="s">
        <v>153</v>
      </c>
      <c r="S861" s="3"/>
      <c r="T861" s="260"/>
      <c r="U861" s="261"/>
      <c r="V861" s="22"/>
      <c r="W861" s="57" t="s">
        <v>5197</v>
      </c>
      <c r="X861" s="57" t="s">
        <v>5197</v>
      </c>
      <c r="Y861" s="22"/>
      <c r="Z861" s="22"/>
      <c r="AA861" s="22"/>
      <c r="AB861" s="22" t="s">
        <v>114</v>
      </c>
      <c r="AC861" s="3"/>
      <c r="AD861" s="3"/>
      <c r="AE861" s="3">
        <v>0</v>
      </c>
      <c r="AF861" s="3">
        <v>0</v>
      </c>
      <c r="AG861" s="3">
        <v>0</v>
      </c>
      <c r="AH861" s="3"/>
      <c r="AI861" s="3">
        <v>0</v>
      </c>
      <c r="AJ861" s="3">
        <v>0</v>
      </c>
      <c r="AK861" s="3">
        <v>0</v>
      </c>
      <c r="AL861" s="3"/>
      <c r="AM861" s="3"/>
      <c r="AN861" s="3"/>
      <c r="AO861" s="3"/>
      <c r="AP861" s="3"/>
      <c r="AQ861" s="282" t="str">
        <f t="shared" ref="AQ861:AQ873" si="6">"tricks/"&amp;A861</f>
        <v>tricks/3011610</v>
      </c>
    </row>
    <row r="862" spans="1:44" ht="19.2">
      <c r="A862" s="3">
        <v>3011611</v>
      </c>
      <c r="B862" s="5" t="s">
        <v>3638</v>
      </c>
      <c r="C862" s="224" t="s">
        <v>5198</v>
      </c>
      <c r="D862" s="3" t="s">
        <v>2601</v>
      </c>
      <c r="E862" s="3"/>
      <c r="F862" s="3">
        <v>10</v>
      </c>
      <c r="G862" s="48">
        <v>8</v>
      </c>
      <c r="H862" s="3" t="s">
        <v>136</v>
      </c>
      <c r="I862" s="5" t="s">
        <v>3640</v>
      </c>
      <c r="J862" s="3"/>
      <c r="K862" s="3"/>
      <c r="L862" s="236"/>
      <c r="M862" s="99"/>
      <c r="N862" s="99"/>
      <c r="O862" s="236"/>
      <c r="P862" s="22"/>
      <c r="Q862" s="22">
        <v>0</v>
      </c>
      <c r="R862" s="22" t="s">
        <v>153</v>
      </c>
      <c r="S862" s="3"/>
      <c r="T862" s="260"/>
      <c r="U862" s="261"/>
      <c r="V862" s="22"/>
      <c r="W862" s="57" t="s">
        <v>5188</v>
      </c>
      <c r="X862" s="57" t="s">
        <v>5188</v>
      </c>
      <c r="Y862" s="22"/>
      <c r="Z862" s="22"/>
      <c r="AA862" s="22"/>
      <c r="AB862" s="22" t="s">
        <v>114</v>
      </c>
      <c r="AC862" s="3"/>
      <c r="AD862" s="3"/>
      <c r="AE862" s="3">
        <v>0</v>
      </c>
      <c r="AF862" s="3">
        <v>0</v>
      </c>
      <c r="AG862" s="3">
        <v>0</v>
      </c>
      <c r="AH862" s="3"/>
      <c r="AI862" s="3">
        <v>0</v>
      </c>
      <c r="AJ862" s="3">
        <v>0</v>
      </c>
      <c r="AK862" s="3">
        <v>0</v>
      </c>
      <c r="AL862" s="3"/>
      <c r="AM862" s="3"/>
      <c r="AN862" s="3"/>
      <c r="AO862" s="3"/>
      <c r="AP862" s="3"/>
      <c r="AQ862" s="282" t="str">
        <f t="shared" si="6"/>
        <v>tricks/3011611</v>
      </c>
    </row>
    <row r="863" spans="1:44" ht="19.2">
      <c r="A863" s="34">
        <v>3011701</v>
      </c>
      <c r="B863" s="5" t="s">
        <v>3638</v>
      </c>
      <c r="C863" s="224" t="s">
        <v>5199</v>
      </c>
      <c r="D863" s="34" t="s">
        <v>2601</v>
      </c>
      <c r="E863" s="34"/>
      <c r="F863" s="36">
        <v>1</v>
      </c>
      <c r="G863" s="47">
        <v>8</v>
      </c>
      <c r="H863" s="34" t="s">
        <v>82</v>
      </c>
      <c r="I863" s="5" t="s">
        <v>3640</v>
      </c>
      <c r="J863" s="34"/>
      <c r="K863" s="34"/>
      <c r="L863" s="372"/>
      <c r="M863" s="371"/>
      <c r="N863" s="378"/>
      <c r="O863" s="34"/>
      <c r="P863" s="130"/>
      <c r="Q863" s="130">
        <v>0</v>
      </c>
      <c r="R863" s="130" t="s">
        <v>153</v>
      </c>
      <c r="S863" s="34"/>
      <c r="T863" s="382"/>
      <c r="U863" s="383"/>
      <c r="V863" s="130"/>
      <c r="W863" s="57" t="s">
        <v>5200</v>
      </c>
      <c r="X863" s="57" t="s">
        <v>5200</v>
      </c>
      <c r="Y863" s="130">
        <v>0</v>
      </c>
      <c r="Z863" s="130">
        <v>0</v>
      </c>
      <c r="AA863" s="130"/>
      <c r="AB863" s="130"/>
      <c r="AC863" s="34"/>
      <c r="AD863" s="34"/>
      <c r="AE863" s="34">
        <v>0</v>
      </c>
      <c r="AF863" s="34"/>
      <c r="AG863" s="34"/>
      <c r="AH863" s="34"/>
      <c r="AI863" s="34"/>
      <c r="AJ863" s="34"/>
      <c r="AK863" s="131"/>
      <c r="AL863" s="131"/>
      <c r="AM863" s="131"/>
      <c r="AN863" s="43"/>
      <c r="AO863" s="398"/>
      <c r="AP863" s="398"/>
      <c r="AQ863" s="8" t="str">
        <f t="shared" si="6"/>
        <v>tricks/3011701</v>
      </c>
      <c r="AR863" s="405"/>
    </row>
    <row r="864" spans="1:44" ht="19.2">
      <c r="A864" s="34">
        <v>3011702</v>
      </c>
      <c r="B864" s="5" t="s">
        <v>3638</v>
      </c>
      <c r="C864" s="224" t="s">
        <v>5201</v>
      </c>
      <c r="D864" s="34" t="s">
        <v>2601</v>
      </c>
      <c r="E864" s="34"/>
      <c r="F864" s="36">
        <v>1</v>
      </c>
      <c r="G864" s="48">
        <v>8</v>
      </c>
      <c r="H864" s="34" t="s">
        <v>136</v>
      </c>
      <c r="I864" s="5" t="s">
        <v>3640</v>
      </c>
      <c r="J864" s="34"/>
      <c r="K864" s="34"/>
      <c r="L864" s="372"/>
      <c r="M864" s="371"/>
      <c r="N864" s="371"/>
      <c r="O864" s="34"/>
      <c r="P864" s="130"/>
      <c r="Q864" s="130">
        <v>0</v>
      </c>
      <c r="R864" s="130" t="s">
        <v>153</v>
      </c>
      <c r="S864" s="34"/>
      <c r="T864" s="382"/>
      <c r="U864" s="383"/>
      <c r="V864" s="130"/>
      <c r="W864" s="57" t="s">
        <v>5202</v>
      </c>
      <c r="X864" s="57" t="s">
        <v>5202</v>
      </c>
      <c r="Y864" s="130">
        <v>0</v>
      </c>
      <c r="Z864" s="130">
        <v>0</v>
      </c>
      <c r="AA864" s="130"/>
      <c r="AB864" s="130"/>
      <c r="AC864" s="34"/>
      <c r="AD864" s="34"/>
      <c r="AE864" s="34">
        <v>0</v>
      </c>
      <c r="AF864" s="34"/>
      <c r="AG864" s="34"/>
      <c r="AH864" s="34"/>
      <c r="AI864" s="34"/>
      <c r="AJ864" s="34"/>
      <c r="AK864" s="34"/>
      <c r="AL864" s="34"/>
      <c r="AM864" s="34"/>
      <c r="AN864" s="398"/>
      <c r="AO864" s="398"/>
      <c r="AP864" s="398"/>
      <c r="AQ864" s="8" t="str">
        <f t="shared" si="6"/>
        <v>tricks/3011702</v>
      </c>
      <c r="AR864" s="405"/>
    </row>
    <row r="865" spans="1:44" ht="19.2">
      <c r="A865" s="34">
        <v>3011703</v>
      </c>
      <c r="B865" s="5" t="s">
        <v>3638</v>
      </c>
      <c r="C865" s="224" t="s">
        <v>5203</v>
      </c>
      <c r="D865" s="34" t="s">
        <v>2601</v>
      </c>
      <c r="E865" s="34"/>
      <c r="F865" s="36">
        <v>2</v>
      </c>
      <c r="G865" s="47">
        <v>8</v>
      </c>
      <c r="H865" s="34" t="s">
        <v>136</v>
      </c>
      <c r="I865" s="5" t="s">
        <v>3640</v>
      </c>
      <c r="J865" s="34"/>
      <c r="K865" s="34"/>
      <c r="L865" s="372"/>
      <c r="M865" s="371"/>
      <c r="N865" s="371"/>
      <c r="O865" s="34"/>
      <c r="P865" s="130"/>
      <c r="Q865" s="130">
        <v>0</v>
      </c>
      <c r="R865" s="130" t="s">
        <v>153</v>
      </c>
      <c r="S865" s="34"/>
      <c r="T865" s="382"/>
      <c r="U865" s="383"/>
      <c r="V865" s="130"/>
      <c r="W865" s="57" t="s">
        <v>5204</v>
      </c>
      <c r="X865" s="57" t="s">
        <v>5204</v>
      </c>
      <c r="Y865" s="130">
        <v>0</v>
      </c>
      <c r="Z865" s="130">
        <v>0</v>
      </c>
      <c r="AA865" s="130"/>
      <c r="AB865" s="130"/>
      <c r="AC865" s="34"/>
      <c r="AD865" s="34"/>
      <c r="AE865" s="34">
        <v>0</v>
      </c>
      <c r="AF865" s="34"/>
      <c r="AG865" s="34"/>
      <c r="AH865" s="34"/>
      <c r="AI865" s="34"/>
      <c r="AJ865" s="34"/>
      <c r="AK865" s="34"/>
      <c r="AL865" s="34"/>
      <c r="AM865" s="34"/>
      <c r="AN865" s="398"/>
      <c r="AO865" s="398"/>
      <c r="AP865" s="398"/>
      <c r="AQ865" s="8" t="str">
        <f t="shared" si="6"/>
        <v>tricks/3011703</v>
      </c>
      <c r="AR865" s="405"/>
    </row>
    <row r="866" spans="1:44" ht="15" customHeight="1">
      <c r="A866" s="34">
        <v>3011704</v>
      </c>
      <c r="B866" s="5" t="s">
        <v>3638</v>
      </c>
      <c r="C866" s="224" t="s">
        <v>5205</v>
      </c>
      <c r="D866" s="34" t="s">
        <v>2601</v>
      </c>
      <c r="E866" s="34"/>
      <c r="F866" s="36">
        <v>3</v>
      </c>
      <c r="G866" s="48">
        <v>8</v>
      </c>
      <c r="H866" s="34" t="s">
        <v>136</v>
      </c>
      <c r="I866" s="5" t="s">
        <v>3640</v>
      </c>
      <c r="J866" s="34"/>
      <c r="K866" s="34"/>
      <c r="L866" s="372"/>
      <c r="M866" s="371"/>
      <c r="N866" s="371"/>
      <c r="O866" s="34"/>
      <c r="P866" s="130"/>
      <c r="Q866" s="130">
        <v>0</v>
      </c>
      <c r="R866" s="130" t="s">
        <v>153</v>
      </c>
      <c r="S866" s="34"/>
      <c r="T866" s="382"/>
      <c r="U866" s="383"/>
      <c r="V866" s="130"/>
      <c r="W866" s="57" t="s">
        <v>5206</v>
      </c>
      <c r="X866" s="57" t="s">
        <v>5206</v>
      </c>
      <c r="Y866" s="130">
        <v>0</v>
      </c>
      <c r="Z866" s="130">
        <v>0</v>
      </c>
      <c r="AA866" s="130"/>
      <c r="AB866" s="130"/>
      <c r="AC866" s="34"/>
      <c r="AD866" s="34"/>
      <c r="AE866" s="34">
        <v>0</v>
      </c>
      <c r="AF866" s="34"/>
      <c r="AG866" s="34"/>
      <c r="AH866" s="34"/>
      <c r="AI866" s="34"/>
      <c r="AJ866" s="34"/>
      <c r="AK866" s="34"/>
      <c r="AL866" s="34"/>
      <c r="AM866" s="34"/>
      <c r="AN866" s="398"/>
      <c r="AO866" s="398"/>
      <c r="AP866" s="398"/>
      <c r="AQ866" s="8" t="str">
        <f t="shared" si="6"/>
        <v>tricks/3011704</v>
      </c>
      <c r="AR866" s="405"/>
    </row>
    <row r="867" spans="1:44" ht="19.2">
      <c r="A867" s="34">
        <v>3011705</v>
      </c>
      <c r="B867" s="5" t="s">
        <v>3638</v>
      </c>
      <c r="C867" s="224" t="s">
        <v>5207</v>
      </c>
      <c r="D867" s="34" t="s">
        <v>2601</v>
      </c>
      <c r="E867" s="34"/>
      <c r="F867" s="36">
        <v>4</v>
      </c>
      <c r="G867" s="47">
        <v>8</v>
      </c>
      <c r="H867" s="34" t="s">
        <v>136</v>
      </c>
      <c r="I867" s="5" t="s">
        <v>3640</v>
      </c>
      <c r="J867" s="34"/>
      <c r="K867" s="34"/>
      <c r="L867" s="372"/>
      <c r="M867" s="371"/>
      <c r="N867" s="371"/>
      <c r="O867" s="34"/>
      <c r="P867" s="130"/>
      <c r="Q867" s="130">
        <v>0</v>
      </c>
      <c r="R867" s="130" t="s">
        <v>153</v>
      </c>
      <c r="S867" s="34"/>
      <c r="T867" s="382"/>
      <c r="U867" s="383"/>
      <c r="V867" s="130"/>
      <c r="W867" s="57" t="s">
        <v>5208</v>
      </c>
      <c r="X867" s="57" t="s">
        <v>5208</v>
      </c>
      <c r="Y867" s="130">
        <v>0</v>
      </c>
      <c r="Z867" s="130">
        <v>0</v>
      </c>
      <c r="AA867" s="130"/>
      <c r="AB867" s="130"/>
      <c r="AC867" s="34"/>
      <c r="AD867" s="34"/>
      <c r="AE867" s="34">
        <v>0</v>
      </c>
      <c r="AF867" s="34"/>
      <c r="AG867" s="34"/>
      <c r="AH867" s="34"/>
      <c r="AI867" s="34"/>
      <c r="AJ867" s="34"/>
      <c r="AK867" s="34"/>
      <c r="AL867" s="34"/>
      <c r="AM867" s="34"/>
      <c r="AN867" s="398"/>
      <c r="AO867" s="398"/>
      <c r="AP867" s="398"/>
      <c r="AQ867" s="8" t="str">
        <f t="shared" si="6"/>
        <v>tricks/3011705</v>
      </c>
      <c r="AR867" s="405"/>
    </row>
    <row r="868" spans="1:44" ht="19.2">
      <c r="A868" s="34">
        <v>3011706</v>
      </c>
      <c r="B868" s="5" t="s">
        <v>3638</v>
      </c>
      <c r="C868" s="224" t="s">
        <v>5209</v>
      </c>
      <c r="D868" s="34" t="s">
        <v>2601</v>
      </c>
      <c r="E868" s="34"/>
      <c r="F868" s="36">
        <v>5</v>
      </c>
      <c r="G868" s="48">
        <v>8</v>
      </c>
      <c r="H868" s="34" t="s">
        <v>136</v>
      </c>
      <c r="I868" s="5" t="s">
        <v>3640</v>
      </c>
      <c r="J868" s="34"/>
      <c r="K868" s="34"/>
      <c r="L868" s="372"/>
      <c r="M868" s="371"/>
      <c r="N868" s="371"/>
      <c r="O868" s="34"/>
      <c r="P868" s="130"/>
      <c r="Q868" s="130">
        <v>0</v>
      </c>
      <c r="R868" s="130" t="s">
        <v>153</v>
      </c>
      <c r="S868" s="34"/>
      <c r="T868" s="382"/>
      <c r="U868" s="383"/>
      <c r="V868" s="130"/>
      <c r="W868" s="57" t="s">
        <v>5210</v>
      </c>
      <c r="X868" s="57" t="s">
        <v>5210</v>
      </c>
      <c r="Y868" s="130">
        <v>0</v>
      </c>
      <c r="Z868" s="130">
        <v>0</v>
      </c>
      <c r="AA868" s="130"/>
      <c r="AB868" s="130"/>
      <c r="AC868" s="34"/>
      <c r="AD868" s="34"/>
      <c r="AE868" s="34">
        <v>0</v>
      </c>
      <c r="AF868" s="34"/>
      <c r="AG868" s="34"/>
      <c r="AH868" s="34"/>
      <c r="AI868" s="34"/>
      <c r="AJ868" s="34"/>
      <c r="AK868" s="131"/>
      <c r="AL868" s="131"/>
      <c r="AM868" s="131"/>
      <c r="AN868" s="398"/>
      <c r="AO868" s="398"/>
      <c r="AP868" s="398"/>
      <c r="AQ868" s="8" t="str">
        <f t="shared" si="6"/>
        <v>tricks/3011706</v>
      </c>
      <c r="AR868" s="405"/>
    </row>
    <row r="869" spans="1:44" ht="19.2">
      <c r="A869" s="34">
        <v>3011707</v>
      </c>
      <c r="B869" s="5" t="s">
        <v>3638</v>
      </c>
      <c r="C869" s="224" t="s">
        <v>5211</v>
      </c>
      <c r="D869" s="34" t="s">
        <v>2601</v>
      </c>
      <c r="E869" s="34"/>
      <c r="F869" s="36">
        <v>6</v>
      </c>
      <c r="G869" s="47">
        <v>8</v>
      </c>
      <c r="H869" s="34" t="s">
        <v>136</v>
      </c>
      <c r="I869" s="5" t="s">
        <v>3640</v>
      </c>
      <c r="J869" s="34"/>
      <c r="K869" s="34"/>
      <c r="L869" s="372"/>
      <c r="M869" s="371"/>
      <c r="N869" s="371"/>
      <c r="O869" s="34"/>
      <c r="P869" s="130"/>
      <c r="Q869" s="130">
        <v>0</v>
      </c>
      <c r="R869" s="130" t="s">
        <v>153</v>
      </c>
      <c r="S869" s="34"/>
      <c r="T869" s="382"/>
      <c r="U869" s="383"/>
      <c r="V869" s="130"/>
      <c r="W869" s="57" t="s">
        <v>5200</v>
      </c>
      <c r="X869" s="57" t="s">
        <v>5200</v>
      </c>
      <c r="Y869" s="130">
        <v>0</v>
      </c>
      <c r="Z869" s="130">
        <v>0</v>
      </c>
      <c r="AA869" s="130"/>
      <c r="AB869" s="130"/>
      <c r="AC869" s="34"/>
      <c r="AD869" s="34"/>
      <c r="AE869" s="34">
        <v>0</v>
      </c>
      <c r="AF869" s="34"/>
      <c r="AG869" s="34"/>
      <c r="AH869" s="34"/>
      <c r="AI869" s="34"/>
      <c r="AJ869" s="34"/>
      <c r="AK869" s="34"/>
      <c r="AL869" s="34"/>
      <c r="AM869" s="34"/>
      <c r="AN869" s="398"/>
      <c r="AO869" s="398"/>
      <c r="AP869" s="398"/>
      <c r="AQ869" s="8" t="str">
        <f t="shared" si="6"/>
        <v>tricks/3011707</v>
      </c>
      <c r="AR869" s="405"/>
    </row>
    <row r="870" spans="1:44" ht="19.2">
      <c r="A870" s="34">
        <v>3011708</v>
      </c>
      <c r="B870" s="5" t="s">
        <v>3638</v>
      </c>
      <c r="C870" s="224" t="s">
        <v>5212</v>
      </c>
      <c r="D870" s="34" t="s">
        <v>2601</v>
      </c>
      <c r="E870" s="34"/>
      <c r="F870" s="36">
        <v>7</v>
      </c>
      <c r="G870" s="48">
        <v>8</v>
      </c>
      <c r="H870" s="34" t="s">
        <v>136</v>
      </c>
      <c r="I870" s="5" t="s">
        <v>3640</v>
      </c>
      <c r="J870" s="34"/>
      <c r="K870" s="34"/>
      <c r="L870" s="372"/>
      <c r="M870" s="371"/>
      <c r="N870" s="371"/>
      <c r="O870" s="34"/>
      <c r="P870" s="130"/>
      <c r="Q870" s="130">
        <v>0</v>
      </c>
      <c r="R870" s="130" t="s">
        <v>153</v>
      </c>
      <c r="S870" s="34"/>
      <c r="T870" s="382"/>
      <c r="U870" s="383"/>
      <c r="V870" s="130"/>
      <c r="W870" s="57" t="s">
        <v>5213</v>
      </c>
      <c r="X870" s="57" t="s">
        <v>5213</v>
      </c>
      <c r="Y870" s="130">
        <v>0</v>
      </c>
      <c r="Z870" s="130">
        <v>0</v>
      </c>
      <c r="AA870" s="130"/>
      <c r="AB870" s="130"/>
      <c r="AC870" s="34"/>
      <c r="AD870" s="34"/>
      <c r="AE870" s="34">
        <v>0</v>
      </c>
      <c r="AF870" s="34"/>
      <c r="AG870" s="34"/>
      <c r="AH870" s="34"/>
      <c r="AI870" s="34"/>
      <c r="AJ870" s="34"/>
      <c r="AK870" s="131"/>
      <c r="AL870" s="131"/>
      <c r="AM870" s="131"/>
      <c r="AN870" s="398"/>
      <c r="AO870" s="398"/>
      <c r="AP870" s="398"/>
      <c r="AQ870" s="8" t="str">
        <f t="shared" si="6"/>
        <v>tricks/3011708</v>
      </c>
      <c r="AR870" s="405"/>
    </row>
    <row r="871" spans="1:44" ht="15" customHeight="1">
      <c r="A871" s="3">
        <v>3011709</v>
      </c>
      <c r="B871" s="5" t="s">
        <v>3638</v>
      </c>
      <c r="C871" s="224" t="s">
        <v>5214</v>
      </c>
      <c r="D871" s="3" t="s">
        <v>2601</v>
      </c>
      <c r="E871" s="3"/>
      <c r="F871" s="3">
        <v>8</v>
      </c>
      <c r="G871" s="47">
        <v>8</v>
      </c>
      <c r="H871" s="3" t="s">
        <v>136</v>
      </c>
      <c r="I871" s="5" t="s">
        <v>3640</v>
      </c>
      <c r="J871" s="3"/>
      <c r="K871" s="3"/>
      <c r="L871" s="236"/>
      <c r="M871" s="99"/>
      <c r="N871" s="99"/>
      <c r="O871" s="236"/>
      <c r="P871" s="22"/>
      <c r="Q871" s="22">
        <v>0</v>
      </c>
      <c r="R871" s="22" t="s">
        <v>153</v>
      </c>
      <c r="S871" s="3"/>
      <c r="T871" s="260"/>
      <c r="U871" s="261"/>
      <c r="V871" s="22"/>
      <c r="W871" s="57" t="s">
        <v>5107</v>
      </c>
      <c r="X871" s="57" t="s">
        <v>5107</v>
      </c>
      <c r="Y871" s="22"/>
      <c r="Z871" s="22"/>
      <c r="AA871" s="22"/>
      <c r="AB871" s="22" t="s">
        <v>114</v>
      </c>
      <c r="AC871" s="3"/>
      <c r="AD871" s="3"/>
      <c r="AE871" s="3">
        <v>0</v>
      </c>
      <c r="AF871" s="3">
        <v>0</v>
      </c>
      <c r="AG871" s="3">
        <v>0</v>
      </c>
      <c r="AH871" s="3"/>
      <c r="AI871" s="3">
        <v>0</v>
      </c>
      <c r="AJ871" s="3">
        <v>0</v>
      </c>
      <c r="AK871" s="3">
        <v>0</v>
      </c>
      <c r="AL871" s="3"/>
      <c r="AM871" s="3"/>
      <c r="AN871" s="3"/>
      <c r="AO871" s="3"/>
      <c r="AP871" s="3"/>
      <c r="AQ871" s="8" t="str">
        <f t="shared" si="6"/>
        <v>tricks/3011709</v>
      </c>
      <c r="AR871" s="281"/>
    </row>
    <row r="872" spans="1:44" ht="15" customHeight="1">
      <c r="A872" s="3">
        <v>3011710</v>
      </c>
      <c r="B872" s="5" t="s">
        <v>3638</v>
      </c>
      <c r="C872" s="224" t="s">
        <v>5215</v>
      </c>
      <c r="D872" s="3" t="s">
        <v>2601</v>
      </c>
      <c r="E872" s="3"/>
      <c r="F872" s="3">
        <v>9</v>
      </c>
      <c r="G872" s="48">
        <v>8</v>
      </c>
      <c r="H872" s="3" t="s">
        <v>136</v>
      </c>
      <c r="I872" s="5" t="s">
        <v>3640</v>
      </c>
      <c r="J872" s="3"/>
      <c r="K872" s="3"/>
      <c r="L872" s="236"/>
      <c r="M872" s="99"/>
      <c r="N872" s="99"/>
      <c r="O872" s="236"/>
      <c r="P872" s="22"/>
      <c r="Q872" s="22">
        <v>0</v>
      </c>
      <c r="R872" s="22" t="s">
        <v>153</v>
      </c>
      <c r="S872" s="3"/>
      <c r="T872" s="260"/>
      <c r="U872" s="261"/>
      <c r="V872" s="22"/>
      <c r="W872" s="57" t="s">
        <v>5216</v>
      </c>
      <c r="X872" s="57" t="s">
        <v>5216</v>
      </c>
      <c r="Y872" s="22"/>
      <c r="Z872" s="22"/>
      <c r="AA872" s="22"/>
      <c r="AB872" s="22" t="s">
        <v>114</v>
      </c>
      <c r="AC872" s="3"/>
      <c r="AD872" s="3"/>
      <c r="AE872" s="3">
        <v>0</v>
      </c>
      <c r="AF872" s="3">
        <v>0</v>
      </c>
      <c r="AG872" s="3">
        <v>0</v>
      </c>
      <c r="AH872" s="3"/>
      <c r="AI872" s="3">
        <v>0</v>
      </c>
      <c r="AJ872" s="3">
        <v>0</v>
      </c>
      <c r="AK872" s="3">
        <v>0</v>
      </c>
      <c r="AL872" s="3"/>
      <c r="AM872" s="3"/>
      <c r="AN872" s="3"/>
      <c r="AO872" s="3"/>
      <c r="AP872" s="3"/>
      <c r="AQ872" s="8" t="str">
        <f t="shared" si="6"/>
        <v>tricks/3011710</v>
      </c>
    </row>
    <row r="873" spans="1:44" ht="15" customHeight="1">
      <c r="A873" s="3">
        <v>3011711</v>
      </c>
      <c r="B873" s="5" t="s">
        <v>3638</v>
      </c>
      <c r="C873" s="224" t="s">
        <v>5217</v>
      </c>
      <c r="D873" s="3" t="s">
        <v>2601</v>
      </c>
      <c r="E873" s="3"/>
      <c r="F873" s="3">
        <v>10</v>
      </c>
      <c r="G873" s="47">
        <v>8</v>
      </c>
      <c r="H873" s="3" t="s">
        <v>136</v>
      </c>
      <c r="I873" s="5" t="s">
        <v>3640</v>
      </c>
      <c r="J873" s="3"/>
      <c r="K873" s="3"/>
      <c r="L873" s="236"/>
      <c r="M873" s="99"/>
      <c r="N873" s="99"/>
      <c r="O873" s="236"/>
      <c r="P873" s="22"/>
      <c r="Q873" s="22">
        <v>0</v>
      </c>
      <c r="R873" s="22" t="s">
        <v>153</v>
      </c>
      <c r="S873" s="3"/>
      <c r="T873" s="260"/>
      <c r="U873" s="261"/>
      <c r="V873" s="22"/>
      <c r="W873" s="57" t="s">
        <v>5218</v>
      </c>
      <c r="X873" s="57" t="s">
        <v>5218</v>
      </c>
      <c r="Y873" s="22"/>
      <c r="Z873" s="22"/>
      <c r="AA873" s="22"/>
      <c r="AB873" s="22" t="s">
        <v>114</v>
      </c>
      <c r="AC873" s="3"/>
      <c r="AD873" s="3"/>
      <c r="AE873" s="3">
        <v>0</v>
      </c>
      <c r="AF873" s="3">
        <v>0</v>
      </c>
      <c r="AG873" s="3">
        <v>0</v>
      </c>
      <c r="AH873" s="3"/>
      <c r="AI873" s="3">
        <v>0</v>
      </c>
      <c r="AJ873" s="3">
        <v>0</v>
      </c>
      <c r="AK873" s="3">
        <v>0</v>
      </c>
      <c r="AL873" s="3"/>
      <c r="AM873" s="3"/>
      <c r="AN873" s="3"/>
      <c r="AO873" s="3"/>
      <c r="AP873" s="3"/>
      <c r="AQ873" s="8" t="str">
        <f t="shared" si="6"/>
        <v>tricks/3011711</v>
      </c>
    </row>
    <row r="874" spans="1:44" ht="19.2">
      <c r="A874" s="3">
        <v>5210001</v>
      </c>
      <c r="B874" s="5" t="s">
        <v>3638</v>
      </c>
      <c r="C874" s="224" t="s">
        <v>5219</v>
      </c>
      <c r="D874" s="3" t="s">
        <v>3197</v>
      </c>
      <c r="E874" s="3" t="s">
        <v>79</v>
      </c>
      <c r="F874" s="3">
        <v>1</v>
      </c>
      <c r="G874" s="3">
        <v>1</v>
      </c>
      <c r="H874" s="3" t="s">
        <v>82</v>
      </c>
      <c r="I874" s="5" t="s">
        <v>3640</v>
      </c>
      <c r="J874" s="3"/>
      <c r="K874" s="3"/>
      <c r="L874" s="537" t="s">
        <v>3199</v>
      </c>
      <c r="M874" s="99"/>
      <c r="N874" s="99"/>
      <c r="O874" s="3"/>
      <c r="P874" s="22">
        <v>1</v>
      </c>
      <c r="Q874" s="22">
        <v>0</v>
      </c>
      <c r="R874" s="22" t="s">
        <v>85</v>
      </c>
      <c r="S874" s="3">
        <v>5210001</v>
      </c>
      <c r="T874" s="260" t="s">
        <v>3200</v>
      </c>
      <c r="U874" s="261" t="s">
        <v>3201</v>
      </c>
      <c r="V874" s="22" t="s">
        <v>582</v>
      </c>
      <c r="W874" s="57" t="s">
        <v>5220</v>
      </c>
      <c r="X874" s="57" t="s">
        <v>5220</v>
      </c>
      <c r="Y874" s="137"/>
      <c r="Z874" s="137"/>
      <c r="AE874" s="1">
        <v>2</v>
      </c>
      <c r="AF874" s="3">
        <v>0</v>
      </c>
      <c r="AG874" s="3">
        <v>7</v>
      </c>
      <c r="AH874" s="3"/>
      <c r="AI874" s="539">
        <v>58</v>
      </c>
      <c r="AJ874" s="539">
        <v>39</v>
      </c>
      <c r="AN874" s="538" t="s">
        <v>3203</v>
      </c>
      <c r="AQ874" s="1" t="s">
        <v>3204</v>
      </c>
    </row>
    <row r="875" spans="1:44" ht="19.2">
      <c r="A875" s="3">
        <v>5210002</v>
      </c>
      <c r="B875" s="5" t="s">
        <v>3638</v>
      </c>
      <c r="C875" s="224" t="s">
        <v>5221</v>
      </c>
      <c r="D875" s="3" t="s">
        <v>3197</v>
      </c>
      <c r="E875" s="3" t="s">
        <v>79</v>
      </c>
      <c r="F875" s="3">
        <v>1</v>
      </c>
      <c r="G875" s="3">
        <v>1</v>
      </c>
      <c r="H875" s="3" t="s">
        <v>82</v>
      </c>
      <c r="I875" s="5" t="s">
        <v>3640</v>
      </c>
      <c r="J875" s="3"/>
      <c r="K875" s="3"/>
      <c r="L875" s="537" t="s">
        <v>3206</v>
      </c>
      <c r="M875" s="99"/>
      <c r="N875" s="99"/>
      <c r="O875" s="3"/>
      <c r="P875" s="22">
        <v>1</v>
      </c>
      <c r="Q875" s="22">
        <v>0</v>
      </c>
      <c r="R875" s="22" t="s">
        <v>85</v>
      </c>
      <c r="S875" s="3">
        <v>5210002</v>
      </c>
      <c r="T875" s="260" t="s">
        <v>3207</v>
      </c>
      <c r="U875" s="261" t="s">
        <v>3208</v>
      </c>
      <c r="V875" s="22" t="s">
        <v>582</v>
      </c>
      <c r="W875" s="57" t="s">
        <v>5222</v>
      </c>
      <c r="X875" s="57" t="s">
        <v>5222</v>
      </c>
      <c r="Y875" s="137"/>
      <c r="Z875" s="137"/>
      <c r="AE875" s="1">
        <v>2</v>
      </c>
      <c r="AF875" s="3">
        <v>0</v>
      </c>
      <c r="AG875" s="3">
        <v>5</v>
      </c>
      <c r="AH875" s="3"/>
      <c r="AI875" s="539">
        <v>45</v>
      </c>
      <c r="AJ875" s="539">
        <v>32</v>
      </c>
      <c r="AN875" s="538" t="s">
        <v>3210</v>
      </c>
      <c r="AQ875" s="1" t="s">
        <v>3211</v>
      </c>
    </row>
    <row r="876" spans="1:44" ht="19.2">
      <c r="A876" s="3">
        <v>5310001</v>
      </c>
      <c r="B876" s="5" t="s">
        <v>3638</v>
      </c>
      <c r="C876" s="224" t="s">
        <v>5223</v>
      </c>
      <c r="D876" s="3" t="s">
        <v>3197</v>
      </c>
      <c r="E876" s="3" t="s">
        <v>79</v>
      </c>
      <c r="F876" s="3">
        <v>1</v>
      </c>
      <c r="G876" s="3">
        <v>1</v>
      </c>
      <c r="H876" s="3" t="s">
        <v>82</v>
      </c>
      <c r="I876" s="5" t="s">
        <v>3640</v>
      </c>
      <c r="J876" s="3"/>
      <c r="K876" s="3"/>
      <c r="L876" s="537" t="s">
        <v>3214</v>
      </c>
      <c r="M876" s="99"/>
      <c r="N876" s="99"/>
      <c r="O876" s="3"/>
      <c r="P876" s="22">
        <v>1</v>
      </c>
      <c r="Q876" s="22">
        <v>0</v>
      </c>
      <c r="R876" s="22" t="s">
        <v>85</v>
      </c>
      <c r="S876" s="3">
        <v>5310001</v>
      </c>
      <c r="T876" s="260" t="s">
        <v>3207</v>
      </c>
      <c r="U876" s="261" t="s">
        <v>3208</v>
      </c>
      <c r="V876" s="22" t="s">
        <v>582</v>
      </c>
      <c r="W876" s="57" t="s">
        <v>5224</v>
      </c>
      <c r="X876" s="57" t="s">
        <v>5224</v>
      </c>
      <c r="Y876" s="137"/>
      <c r="Z876" s="137"/>
      <c r="AE876" s="1">
        <v>2</v>
      </c>
      <c r="AF876" s="3">
        <v>0</v>
      </c>
      <c r="AG876" s="3">
        <v>7</v>
      </c>
      <c r="AH876" s="3"/>
      <c r="AI876" s="539">
        <v>58</v>
      </c>
      <c r="AJ876" s="539">
        <v>39</v>
      </c>
      <c r="AN876" s="538" t="s">
        <v>3216</v>
      </c>
      <c r="AQ876" s="1" t="s">
        <v>3217</v>
      </c>
    </row>
    <row r="877" spans="1:44" ht="15" customHeight="1">
      <c r="A877" s="3">
        <v>5610001</v>
      </c>
      <c r="B877" s="5" t="s">
        <v>3638</v>
      </c>
      <c r="C877" s="224" t="s">
        <v>5219</v>
      </c>
      <c r="D877" s="3" t="s">
        <v>3197</v>
      </c>
      <c r="E877" s="3" t="s">
        <v>79</v>
      </c>
      <c r="F877" s="3">
        <v>1</v>
      </c>
      <c r="G877" s="3">
        <v>999</v>
      </c>
      <c r="H877" s="3" t="s">
        <v>82</v>
      </c>
      <c r="I877" s="5" t="s">
        <v>3640</v>
      </c>
      <c r="J877" s="3"/>
      <c r="K877" s="3"/>
      <c r="L877" s="537" t="s">
        <v>3219</v>
      </c>
      <c r="M877" s="99"/>
      <c r="N877" s="99"/>
      <c r="O877" s="3"/>
      <c r="P877" s="22">
        <v>1</v>
      </c>
      <c r="Q877" s="22">
        <v>0</v>
      </c>
      <c r="R877" s="22" t="s">
        <v>85</v>
      </c>
      <c r="S877" s="3">
        <v>5210001</v>
      </c>
      <c r="T877" s="260" t="s">
        <v>3200</v>
      </c>
      <c r="U877" s="261" t="s">
        <v>3201</v>
      </c>
      <c r="V877" s="22" t="s">
        <v>582</v>
      </c>
      <c r="W877" s="57" t="s">
        <v>5220</v>
      </c>
      <c r="X877" s="57" t="s">
        <v>5220</v>
      </c>
      <c r="Y877" s="137"/>
      <c r="Z877" s="137"/>
      <c r="AE877" s="1">
        <v>2</v>
      </c>
      <c r="AF877" s="3">
        <v>0</v>
      </c>
      <c r="AG877" s="3">
        <v>7</v>
      </c>
      <c r="AH877" s="3"/>
      <c r="AI877" s="539">
        <v>58</v>
      </c>
      <c r="AJ877" s="539">
        <v>39</v>
      </c>
      <c r="AN877" s="538" t="s">
        <v>3220</v>
      </c>
      <c r="AQ877" s="1" t="s">
        <v>3204</v>
      </c>
    </row>
    <row r="878" spans="1:44" ht="19.2">
      <c r="A878" s="3">
        <v>9000001</v>
      </c>
      <c r="B878" s="5" t="s">
        <v>3638</v>
      </c>
      <c r="C878" s="224" t="s">
        <v>5225</v>
      </c>
      <c r="D878" s="3" t="s">
        <v>3197</v>
      </c>
      <c r="E878" s="3" t="s">
        <v>3221</v>
      </c>
      <c r="F878" s="3">
        <v>1</v>
      </c>
      <c r="G878" s="3">
        <v>0</v>
      </c>
      <c r="H878" s="3" t="s">
        <v>82</v>
      </c>
      <c r="I878" s="5" t="s">
        <v>3640</v>
      </c>
      <c r="J878" s="3"/>
      <c r="K878" s="3"/>
      <c r="L878" s="537"/>
      <c r="M878" s="99"/>
      <c r="N878" s="99"/>
      <c r="O878" s="3" t="s">
        <v>3221</v>
      </c>
      <c r="P878" s="22"/>
      <c r="Q878" s="22">
        <v>0</v>
      </c>
      <c r="R878" s="22"/>
      <c r="S878" s="3">
        <v>9000001</v>
      </c>
      <c r="T878" s="260"/>
      <c r="U878" s="261"/>
      <c r="V878" s="22" t="s">
        <v>582</v>
      </c>
      <c r="W878" s="57" t="s">
        <v>5226</v>
      </c>
      <c r="X878" s="57" t="s">
        <v>5226</v>
      </c>
      <c r="AE878" s="1">
        <v>2</v>
      </c>
      <c r="AF878" s="3"/>
      <c r="AG878" s="3"/>
      <c r="AH878" s="3"/>
      <c r="AJ878" s="539"/>
      <c r="AN878" s="540"/>
      <c r="AO878" s="540"/>
      <c r="AP878" s="540"/>
      <c r="AQ878" s="1" t="s">
        <v>3224</v>
      </c>
    </row>
    <row r="879" spans="1:44" ht="19.2">
      <c r="A879" s="3">
        <v>9000002</v>
      </c>
      <c r="B879" s="5" t="s">
        <v>3638</v>
      </c>
      <c r="C879" s="224" t="s">
        <v>5227</v>
      </c>
      <c r="D879" s="3" t="s">
        <v>3197</v>
      </c>
      <c r="E879" s="3" t="s">
        <v>2785</v>
      </c>
      <c r="F879" s="3">
        <v>1</v>
      </c>
      <c r="G879" s="3">
        <v>0</v>
      </c>
      <c r="H879" s="3" t="s">
        <v>82</v>
      </c>
      <c r="I879" s="5" t="s">
        <v>3640</v>
      </c>
      <c r="J879" s="3"/>
      <c r="K879" s="3"/>
      <c r="L879" s="537"/>
      <c r="M879" s="99"/>
      <c r="N879" s="99"/>
      <c r="O879" s="3" t="s">
        <v>3225</v>
      </c>
      <c r="P879" s="22"/>
      <c r="Q879" s="22">
        <v>0</v>
      </c>
      <c r="R879" s="22"/>
      <c r="S879" s="3">
        <v>9000002</v>
      </c>
      <c r="T879" s="260"/>
      <c r="U879" s="261"/>
      <c r="V879" s="22" t="s">
        <v>582</v>
      </c>
      <c r="W879" s="57" t="s">
        <v>5228</v>
      </c>
      <c r="X879" s="57" t="s">
        <v>5228</v>
      </c>
      <c r="AE879" s="1">
        <v>2</v>
      </c>
      <c r="AF879" s="3">
        <v>0</v>
      </c>
      <c r="AG879" s="3">
        <v>1</v>
      </c>
      <c r="AH879" s="3"/>
      <c r="AI879" s="1">
        <v>0</v>
      </c>
      <c r="AJ879" s="539">
        <v>0</v>
      </c>
      <c r="AN879" s="540"/>
      <c r="AO879" s="540"/>
      <c r="AP879" s="540"/>
      <c r="AQ879" s="1" t="s">
        <v>3227</v>
      </c>
    </row>
    <row r="880" spans="1:44" ht="19.2">
      <c r="A880" s="3">
        <v>9000003</v>
      </c>
      <c r="B880" s="5" t="s">
        <v>3638</v>
      </c>
      <c r="C880" s="224" t="s">
        <v>5229</v>
      </c>
      <c r="D880" s="3" t="s">
        <v>3197</v>
      </c>
      <c r="E880" s="3" t="s">
        <v>3228</v>
      </c>
      <c r="F880" s="3">
        <v>1</v>
      </c>
      <c r="G880" s="3">
        <v>0</v>
      </c>
      <c r="H880" s="3" t="s">
        <v>82</v>
      </c>
      <c r="I880" s="5" t="s">
        <v>3640</v>
      </c>
      <c r="J880" s="3"/>
      <c r="K880" s="3"/>
      <c r="L880" s="365" t="s">
        <v>3229</v>
      </c>
      <c r="M880" s="99"/>
      <c r="N880" s="99"/>
      <c r="O880" s="3" t="s">
        <v>3228</v>
      </c>
      <c r="P880" s="22"/>
      <c r="Q880" s="22">
        <v>0</v>
      </c>
      <c r="R880" s="22"/>
      <c r="S880" s="3">
        <v>9000003</v>
      </c>
      <c r="T880" s="260"/>
      <c r="U880" s="261"/>
      <c r="V880" s="22" t="s">
        <v>582</v>
      </c>
      <c r="W880" s="57" t="s">
        <v>5230</v>
      </c>
      <c r="X880" s="57" t="s">
        <v>5230</v>
      </c>
      <c r="Y880" s="137"/>
      <c r="Z880" s="137"/>
      <c r="AE880" s="1">
        <v>0</v>
      </c>
      <c r="AF880" s="3"/>
      <c r="AG880" s="3"/>
      <c r="AH880" s="3"/>
      <c r="AI880" s="539"/>
      <c r="AJ880" s="539"/>
      <c r="AN880" s="538"/>
      <c r="AQ880" s="1" t="s">
        <v>3231</v>
      </c>
    </row>
    <row r="881" spans="1:44" ht="19.2">
      <c r="A881" s="3">
        <v>9000004</v>
      </c>
      <c r="B881" s="5" t="s">
        <v>3638</v>
      </c>
      <c r="C881" s="224" t="s">
        <v>5231</v>
      </c>
      <c r="D881" s="3">
        <v>0</v>
      </c>
      <c r="E881" s="3" t="s">
        <v>82</v>
      </c>
      <c r="F881" s="3">
        <v>1</v>
      </c>
      <c r="G881" s="3">
        <v>0</v>
      </c>
      <c r="H881" s="3" t="s">
        <v>82</v>
      </c>
      <c r="I881" s="5" t="s">
        <v>3640</v>
      </c>
      <c r="J881" s="3"/>
      <c r="K881" s="3"/>
      <c r="L881" s="365"/>
      <c r="M881" s="99"/>
      <c r="N881" s="99"/>
      <c r="O881" s="3" t="s">
        <v>3232</v>
      </c>
      <c r="P881" s="22"/>
      <c r="Q881" s="22"/>
      <c r="R881" s="22" t="s">
        <v>85</v>
      </c>
      <c r="S881" s="3"/>
      <c r="T881" s="260"/>
      <c r="U881" s="261">
        <v>200</v>
      </c>
      <c r="V881" s="22" t="s">
        <v>582</v>
      </c>
      <c r="W881" s="57" t="s">
        <v>5232</v>
      </c>
      <c r="X881" s="57" t="s">
        <v>5232</v>
      </c>
      <c r="AE881" s="1">
        <v>3</v>
      </c>
      <c r="AF881" s="3"/>
      <c r="AG881" s="3">
        <v>6</v>
      </c>
      <c r="AH881" s="3"/>
      <c r="AI881" s="3"/>
      <c r="AJ881" s="3"/>
      <c r="AN881" s="93" t="s">
        <v>3234</v>
      </c>
      <c r="AO881" s="93"/>
      <c r="AP881" s="93"/>
      <c r="AQ881" s="1" t="s">
        <v>3235</v>
      </c>
    </row>
    <row r="882" spans="1:44" ht="19.2">
      <c r="A882" s="3">
        <v>9000005</v>
      </c>
      <c r="B882" s="5" t="s">
        <v>3638</v>
      </c>
      <c r="C882" s="224" t="s">
        <v>5233</v>
      </c>
      <c r="D882" s="3" t="s">
        <v>3197</v>
      </c>
      <c r="E882" s="3" t="s">
        <v>2785</v>
      </c>
      <c r="F882" s="3">
        <v>1</v>
      </c>
      <c r="G882" s="3">
        <v>0</v>
      </c>
      <c r="H882" s="3" t="s">
        <v>82</v>
      </c>
      <c r="I882" s="5" t="s">
        <v>3640</v>
      </c>
      <c r="J882" s="3"/>
      <c r="K882" s="3"/>
      <c r="L882" s="537"/>
      <c r="M882" s="99"/>
      <c r="N882" s="99"/>
      <c r="O882" s="3" t="s">
        <v>3225</v>
      </c>
      <c r="P882" s="22"/>
      <c r="Q882" s="22">
        <v>0</v>
      </c>
      <c r="R882" s="22"/>
      <c r="S882" s="3">
        <v>9000002</v>
      </c>
      <c r="T882" s="260"/>
      <c r="U882" s="261"/>
      <c r="V882" s="22" t="s">
        <v>582</v>
      </c>
      <c r="W882" s="57" t="s">
        <v>5228</v>
      </c>
      <c r="X882" s="57" t="s">
        <v>5228</v>
      </c>
      <c r="AE882" s="1">
        <v>2</v>
      </c>
      <c r="AF882" s="3">
        <v>0</v>
      </c>
      <c r="AG882" s="3">
        <v>1</v>
      </c>
      <c r="AH882" s="3"/>
      <c r="AI882" s="1">
        <v>0</v>
      </c>
      <c r="AJ882" s="539">
        <v>0</v>
      </c>
      <c r="AN882" s="540"/>
      <c r="AO882" s="540"/>
      <c r="AP882" s="540"/>
      <c r="AQ882" s="1" t="s">
        <v>3227</v>
      </c>
    </row>
    <row r="883" spans="1:44" ht="19.2">
      <c r="A883" s="3">
        <v>9000006</v>
      </c>
      <c r="B883" s="5" t="s">
        <v>3638</v>
      </c>
      <c r="C883" s="224" t="s">
        <v>5234</v>
      </c>
      <c r="D883" s="3">
        <v>0</v>
      </c>
      <c r="E883" s="3" t="s">
        <v>82</v>
      </c>
      <c r="F883" s="3">
        <v>1</v>
      </c>
      <c r="G883" s="3">
        <v>0</v>
      </c>
      <c r="H883" s="3" t="s">
        <v>82</v>
      </c>
      <c r="I883" s="5" t="s">
        <v>3640</v>
      </c>
      <c r="J883" s="3"/>
      <c r="K883" s="3"/>
      <c r="L883" s="365"/>
      <c r="M883" s="99"/>
      <c r="N883" s="99"/>
      <c r="O883" s="3" t="s">
        <v>3237</v>
      </c>
      <c r="P883" s="22"/>
      <c r="Q883" s="22"/>
      <c r="R883" s="22" t="s">
        <v>85</v>
      </c>
      <c r="S883" s="3"/>
      <c r="T883" s="260" t="s">
        <v>3238</v>
      </c>
      <c r="U883" s="261" t="s">
        <v>3239</v>
      </c>
      <c r="V883" s="22" t="s">
        <v>582</v>
      </c>
      <c r="W883" s="260"/>
      <c r="X883" s="260"/>
      <c r="AE883" s="1">
        <v>0</v>
      </c>
      <c r="AF883" s="3"/>
      <c r="AG883" s="3">
        <v>0</v>
      </c>
      <c r="AH883" s="3"/>
      <c r="AI883" s="3"/>
      <c r="AJ883" s="3"/>
      <c r="AN883" s="18" t="s">
        <v>3240</v>
      </c>
      <c r="AO883" s="93"/>
      <c r="AP883" s="93"/>
      <c r="AQ883" s="1" t="s">
        <v>3235</v>
      </c>
    </row>
    <row r="884" spans="1:44" ht="19.2">
      <c r="A884" s="3">
        <v>9000007</v>
      </c>
      <c r="B884" s="5" t="s">
        <v>3638</v>
      </c>
      <c r="C884" s="224" t="s">
        <v>5235</v>
      </c>
      <c r="D884" s="3">
        <v>0</v>
      </c>
      <c r="E884" s="3" t="s">
        <v>82</v>
      </c>
      <c r="F884" s="3">
        <v>1</v>
      </c>
      <c r="G884" s="3">
        <v>0</v>
      </c>
      <c r="H884" s="3" t="s">
        <v>82</v>
      </c>
      <c r="I884" s="5" t="s">
        <v>3640</v>
      </c>
      <c r="J884" s="3"/>
      <c r="K884" s="3"/>
      <c r="L884" s="365"/>
      <c r="M884" s="99"/>
      <c r="N884" s="99"/>
      <c r="O884" s="3" t="s">
        <v>3237</v>
      </c>
      <c r="P884" s="22"/>
      <c r="Q884" s="22"/>
      <c r="R884" s="22" t="s">
        <v>85</v>
      </c>
      <c r="S884" s="3"/>
      <c r="T884" s="260" t="s">
        <v>3238</v>
      </c>
      <c r="U884" s="261" t="s">
        <v>3239</v>
      </c>
      <c r="V884" s="22" t="s">
        <v>582</v>
      </c>
      <c r="W884" s="260"/>
      <c r="X884" s="260"/>
      <c r="AE884" s="1">
        <v>0</v>
      </c>
      <c r="AF884" s="3"/>
      <c r="AG884" s="3">
        <v>0</v>
      </c>
      <c r="AH884" s="3"/>
      <c r="AI884" s="3"/>
      <c r="AJ884" s="3"/>
      <c r="AN884" s="25" t="s">
        <v>3242</v>
      </c>
      <c r="AO884" s="93"/>
      <c r="AP884" s="93"/>
      <c r="AQ884" s="1" t="s">
        <v>3235</v>
      </c>
    </row>
    <row r="885" spans="1:44" ht="19.2">
      <c r="A885" s="3">
        <v>9000013</v>
      </c>
      <c r="B885" s="5" t="s">
        <v>3638</v>
      </c>
      <c r="C885" s="224" t="s">
        <v>5236</v>
      </c>
      <c r="D885" s="3" t="s">
        <v>3197</v>
      </c>
      <c r="E885" s="3" t="s">
        <v>3228</v>
      </c>
      <c r="F885" s="3">
        <v>1</v>
      </c>
      <c r="G885" s="3">
        <v>0</v>
      </c>
      <c r="H885" s="3" t="s">
        <v>82</v>
      </c>
      <c r="I885" s="5" t="s">
        <v>3640</v>
      </c>
      <c r="J885" s="3"/>
      <c r="K885" s="3"/>
      <c r="L885" s="365" t="s">
        <v>3229</v>
      </c>
      <c r="M885" s="99"/>
      <c r="N885" s="99"/>
      <c r="O885" s="3" t="s">
        <v>3228</v>
      </c>
      <c r="P885" s="22"/>
      <c r="Q885" s="22">
        <v>0</v>
      </c>
      <c r="R885" s="22"/>
      <c r="S885" s="3">
        <v>9000013</v>
      </c>
      <c r="T885" s="260"/>
      <c r="U885" s="261"/>
      <c r="V885" s="22" t="s">
        <v>582</v>
      </c>
      <c r="W885" s="57" t="s">
        <v>5237</v>
      </c>
      <c r="X885" s="57" t="s">
        <v>5237</v>
      </c>
      <c r="Y885" s="137"/>
      <c r="Z885" s="137"/>
      <c r="AE885" s="1">
        <v>2</v>
      </c>
      <c r="AF885" s="3"/>
      <c r="AG885" s="3"/>
      <c r="AH885" s="3"/>
      <c r="AI885" s="539"/>
      <c r="AJ885" s="539"/>
      <c r="AN885" s="538"/>
      <c r="AQ885" s="1" t="s">
        <v>3231</v>
      </c>
    </row>
    <row r="886" spans="1:44" ht="19.2">
      <c r="A886" s="3">
        <v>9010001</v>
      </c>
      <c r="B886" s="5" t="s">
        <v>3638</v>
      </c>
      <c r="C886" s="224" t="s">
        <v>5238</v>
      </c>
      <c r="D886" s="3" t="s">
        <v>3197</v>
      </c>
      <c r="E886" s="3" t="s">
        <v>79</v>
      </c>
      <c r="F886" s="3">
        <v>1</v>
      </c>
      <c r="G886" s="3">
        <v>1</v>
      </c>
      <c r="H886" s="3" t="s">
        <v>82</v>
      </c>
      <c r="I886" s="5" t="s">
        <v>3640</v>
      </c>
      <c r="J886" s="3"/>
      <c r="K886" s="3"/>
      <c r="L886" s="537" t="s">
        <v>3245</v>
      </c>
      <c r="M886" s="99"/>
      <c r="N886" s="99"/>
      <c r="O886" s="3"/>
      <c r="P886" s="22">
        <v>1</v>
      </c>
      <c r="Q886" s="22">
        <v>0</v>
      </c>
      <c r="R886" s="22" t="s">
        <v>85</v>
      </c>
      <c r="S886" s="3">
        <v>9010001</v>
      </c>
      <c r="T886" s="260" t="s">
        <v>3246</v>
      </c>
      <c r="U886" s="261" t="s">
        <v>3247</v>
      </c>
      <c r="V886" s="22" t="s">
        <v>582</v>
      </c>
      <c r="W886" s="57" t="s">
        <v>5239</v>
      </c>
      <c r="X886" s="57" t="s">
        <v>5239</v>
      </c>
      <c r="AE886" s="1">
        <v>0</v>
      </c>
      <c r="AF886" s="3">
        <v>0</v>
      </c>
      <c r="AG886" s="3">
        <v>0</v>
      </c>
      <c r="AH886" s="3"/>
      <c r="AI886" s="1">
        <v>15</v>
      </c>
      <c r="AJ886" s="539">
        <v>15</v>
      </c>
      <c r="AN886" s="540" t="s">
        <v>3249</v>
      </c>
      <c r="AO886" s="540"/>
      <c r="AP886" s="540"/>
      <c r="AQ886" s="1" t="s">
        <v>3250</v>
      </c>
    </row>
    <row r="887" spans="1:44" ht="19.2">
      <c r="A887" s="3">
        <v>9010002</v>
      </c>
      <c r="B887" s="5" t="s">
        <v>3638</v>
      </c>
      <c r="C887" s="224" t="s">
        <v>5240</v>
      </c>
      <c r="D887" s="3" t="s">
        <v>3197</v>
      </c>
      <c r="E887" s="3" t="s">
        <v>79</v>
      </c>
      <c r="F887" s="3">
        <v>1</v>
      </c>
      <c r="G887" s="3">
        <v>1</v>
      </c>
      <c r="H887" s="3" t="s">
        <v>82</v>
      </c>
      <c r="I887" s="5" t="s">
        <v>3640</v>
      </c>
      <c r="J887" s="3"/>
      <c r="K887" s="3"/>
      <c r="L887" s="537" t="s">
        <v>3252</v>
      </c>
      <c r="M887" s="99"/>
      <c r="N887" s="99"/>
      <c r="O887" s="3"/>
      <c r="P887" s="22">
        <v>1</v>
      </c>
      <c r="Q887" s="22">
        <v>0</v>
      </c>
      <c r="R887" s="22" t="s">
        <v>85</v>
      </c>
      <c r="S887" s="3">
        <v>9010002</v>
      </c>
      <c r="T887" s="260" t="s">
        <v>3253</v>
      </c>
      <c r="U887" s="261" t="s">
        <v>3254</v>
      </c>
      <c r="V887" s="22" t="s">
        <v>582</v>
      </c>
      <c r="W887" s="57" t="s">
        <v>5239</v>
      </c>
      <c r="X887" s="57" t="s">
        <v>5239</v>
      </c>
      <c r="AE887" s="1">
        <v>0</v>
      </c>
      <c r="AF887" s="3">
        <v>0</v>
      </c>
      <c r="AG887" s="3">
        <v>0</v>
      </c>
      <c r="AH887" s="3"/>
      <c r="AI887" s="1">
        <v>20</v>
      </c>
      <c r="AJ887" s="539">
        <v>18</v>
      </c>
      <c r="AN887" s="540" t="s">
        <v>3255</v>
      </c>
      <c r="AO887" s="540"/>
      <c r="AP887" s="540"/>
      <c r="AQ887" s="1" t="s">
        <v>3256</v>
      </c>
    </row>
    <row r="888" spans="1:44" ht="19.2">
      <c r="A888" s="3">
        <v>9010003</v>
      </c>
      <c r="B888" s="5" t="s">
        <v>3638</v>
      </c>
      <c r="C888" s="224" t="s">
        <v>5241</v>
      </c>
      <c r="D888" s="3" t="s">
        <v>3197</v>
      </c>
      <c r="E888" s="3" t="s">
        <v>79</v>
      </c>
      <c r="F888" s="3">
        <v>1</v>
      </c>
      <c r="G888" s="3">
        <v>1</v>
      </c>
      <c r="H888" s="3" t="s">
        <v>82</v>
      </c>
      <c r="I888" s="5" t="s">
        <v>3640</v>
      </c>
      <c r="J888" s="3"/>
      <c r="K888" s="3"/>
      <c r="L888" s="365" t="s">
        <v>3258</v>
      </c>
      <c r="M888" s="99"/>
      <c r="N888" s="99"/>
      <c r="O888" s="3"/>
      <c r="P888" s="22">
        <v>1</v>
      </c>
      <c r="Q888" s="22">
        <v>0</v>
      </c>
      <c r="R888" s="22" t="s">
        <v>85</v>
      </c>
      <c r="S888" s="3">
        <v>9010003</v>
      </c>
      <c r="T888" s="260" t="s">
        <v>3259</v>
      </c>
      <c r="U888" s="261" t="s">
        <v>3260</v>
      </c>
      <c r="V888" s="22" t="s">
        <v>582</v>
      </c>
      <c r="W888" s="57" t="s">
        <v>5239</v>
      </c>
      <c r="X888" s="57" t="s">
        <v>5239</v>
      </c>
      <c r="AE888" s="1">
        <v>0</v>
      </c>
      <c r="AF888" s="3">
        <v>0</v>
      </c>
      <c r="AG888" s="3">
        <v>0</v>
      </c>
      <c r="AH888" s="3"/>
      <c r="AI888" s="539">
        <v>25</v>
      </c>
      <c r="AJ888" s="539">
        <v>20</v>
      </c>
      <c r="AN888" s="540" t="s">
        <v>3261</v>
      </c>
      <c r="AO888" s="540"/>
      <c r="AP888" s="540"/>
      <c r="AQ888" s="1" t="s">
        <v>3262</v>
      </c>
    </row>
    <row r="889" spans="1:44" ht="19.2">
      <c r="A889" s="3">
        <v>9010004</v>
      </c>
      <c r="B889" s="5" t="s">
        <v>3638</v>
      </c>
      <c r="C889" s="224" t="s">
        <v>5242</v>
      </c>
      <c r="D889" s="3" t="s">
        <v>3197</v>
      </c>
      <c r="E889" s="3" t="s">
        <v>79</v>
      </c>
      <c r="F889" s="3">
        <v>1</v>
      </c>
      <c r="G889" s="3">
        <v>1</v>
      </c>
      <c r="H889" s="3" t="s">
        <v>82</v>
      </c>
      <c r="I889" s="5" t="s">
        <v>3640</v>
      </c>
      <c r="J889" s="3"/>
      <c r="K889" s="3"/>
      <c r="L889" s="365" t="s">
        <v>3264</v>
      </c>
      <c r="M889" s="99"/>
      <c r="N889" s="99"/>
      <c r="O889" s="3"/>
      <c r="P889" s="22">
        <v>1</v>
      </c>
      <c r="Q889" s="22">
        <v>0</v>
      </c>
      <c r="R889" s="22" t="s">
        <v>85</v>
      </c>
      <c r="S889" s="3">
        <v>9010004</v>
      </c>
      <c r="T889" s="260" t="s">
        <v>3265</v>
      </c>
      <c r="U889" s="261" t="s">
        <v>3266</v>
      </c>
      <c r="V889" s="22" t="s">
        <v>582</v>
      </c>
      <c r="W889" s="57" t="s">
        <v>5239</v>
      </c>
      <c r="X889" s="57" t="s">
        <v>5239</v>
      </c>
      <c r="AE889" s="1">
        <v>0</v>
      </c>
      <c r="AF889" s="3">
        <v>0</v>
      </c>
      <c r="AG889" s="3">
        <v>0</v>
      </c>
      <c r="AH889" s="3"/>
      <c r="AI889" s="539">
        <v>30</v>
      </c>
      <c r="AJ889" s="539">
        <v>23</v>
      </c>
      <c r="AN889" s="540" t="s">
        <v>3267</v>
      </c>
      <c r="AO889" s="540"/>
      <c r="AP889" s="540"/>
      <c r="AQ889" s="1" t="s">
        <v>3268</v>
      </c>
    </row>
    <row r="890" spans="1:44" ht="15" customHeight="1">
      <c r="A890" s="3">
        <v>9010005</v>
      </c>
      <c r="B890" s="5" t="s">
        <v>3638</v>
      </c>
      <c r="C890" s="224" t="s">
        <v>5243</v>
      </c>
      <c r="D890" s="3" t="s">
        <v>3197</v>
      </c>
      <c r="E890" s="3" t="s">
        <v>79</v>
      </c>
      <c r="F890" s="3">
        <v>1</v>
      </c>
      <c r="G890" s="3">
        <v>1</v>
      </c>
      <c r="H890" s="3" t="s">
        <v>82</v>
      </c>
      <c r="I890" s="5" t="s">
        <v>3640</v>
      </c>
      <c r="J890" s="3"/>
      <c r="K890" s="3"/>
      <c r="L890" s="365" t="s">
        <v>3270</v>
      </c>
      <c r="M890" s="99"/>
      <c r="N890" s="99"/>
      <c r="O890" s="3"/>
      <c r="P890" s="22">
        <v>2</v>
      </c>
      <c r="Q890" s="22">
        <v>0</v>
      </c>
      <c r="R890" s="22" t="s">
        <v>85</v>
      </c>
      <c r="S890" s="3">
        <v>9010005</v>
      </c>
      <c r="T890" s="260" t="s">
        <v>3271</v>
      </c>
      <c r="U890" s="261" t="s">
        <v>3272</v>
      </c>
      <c r="V890" s="22" t="s">
        <v>582</v>
      </c>
      <c r="W890" s="57" t="s">
        <v>5244</v>
      </c>
      <c r="X890" s="57" t="s">
        <v>5244</v>
      </c>
      <c r="AB890" s="111" t="s">
        <v>90</v>
      </c>
      <c r="AC890" s="1" t="s">
        <v>3274</v>
      </c>
      <c r="AE890" s="1">
        <v>2</v>
      </c>
      <c r="AF890" s="3">
        <v>0</v>
      </c>
      <c r="AG890" s="3">
        <v>1</v>
      </c>
      <c r="AH890" s="3"/>
      <c r="AI890" s="3">
        <v>52</v>
      </c>
      <c r="AJ890" s="3">
        <v>39</v>
      </c>
      <c r="AN890" s="540" t="s">
        <v>3275</v>
      </c>
      <c r="AO890" s="540"/>
      <c r="AP890" s="540"/>
      <c r="AQ890" s="1" t="s">
        <v>3276</v>
      </c>
      <c r="AR890" s="222">
        <v>223</v>
      </c>
    </row>
    <row r="891" spans="1:44" ht="19.2">
      <c r="A891" s="3">
        <v>9010006</v>
      </c>
      <c r="B891" s="5" t="s">
        <v>3638</v>
      </c>
      <c r="C891" s="224" t="s">
        <v>5243</v>
      </c>
      <c r="D891" s="3" t="s">
        <v>3197</v>
      </c>
      <c r="E891" s="3" t="s">
        <v>79</v>
      </c>
      <c r="F891" s="3">
        <v>1</v>
      </c>
      <c r="G891" s="3">
        <v>1</v>
      </c>
      <c r="H891" s="3" t="s">
        <v>82</v>
      </c>
      <c r="I891" s="5" t="s">
        <v>3640</v>
      </c>
      <c r="J891" s="3"/>
      <c r="K891" s="3"/>
      <c r="L891" s="365" t="s">
        <v>3277</v>
      </c>
      <c r="M891" s="99"/>
      <c r="N891" s="99"/>
      <c r="O891" s="3"/>
      <c r="P891" s="22">
        <v>3</v>
      </c>
      <c r="Q891" s="22">
        <v>0</v>
      </c>
      <c r="R891" s="22" t="s">
        <v>85</v>
      </c>
      <c r="S891" s="3">
        <v>9010006</v>
      </c>
      <c r="T891" s="260" t="s">
        <v>3271</v>
      </c>
      <c r="U891" s="261" t="s">
        <v>3272</v>
      </c>
      <c r="V891" s="22" t="s">
        <v>582</v>
      </c>
      <c r="W891" s="57" t="s">
        <v>5244</v>
      </c>
      <c r="X891" s="57" t="s">
        <v>5244</v>
      </c>
      <c r="AB891" s="111" t="s">
        <v>90</v>
      </c>
      <c r="AC891" s="1" t="s">
        <v>1155</v>
      </c>
      <c r="AE891" s="1">
        <v>2</v>
      </c>
      <c r="AF891" s="3">
        <v>0</v>
      </c>
      <c r="AG891" s="3">
        <v>1</v>
      </c>
      <c r="AH891" s="3"/>
      <c r="AI891" s="3">
        <v>52</v>
      </c>
      <c r="AJ891" s="3">
        <v>39</v>
      </c>
      <c r="AN891" s="540" t="s">
        <v>3275</v>
      </c>
      <c r="AO891" s="540"/>
      <c r="AP891" s="540"/>
      <c r="AQ891" s="1" t="s">
        <v>3276</v>
      </c>
      <c r="AR891" s="222">
        <v>223</v>
      </c>
    </row>
    <row r="892" spans="1:44" ht="19.2">
      <c r="A892" s="3">
        <v>9010007</v>
      </c>
      <c r="B892" s="5" t="s">
        <v>3638</v>
      </c>
      <c r="C892" s="224" t="s">
        <v>5227</v>
      </c>
      <c r="D892" s="3" t="s">
        <v>3197</v>
      </c>
      <c r="E892" s="3" t="s">
        <v>2785</v>
      </c>
      <c r="F892" s="3">
        <v>1</v>
      </c>
      <c r="G892" s="3">
        <v>1</v>
      </c>
      <c r="H892" s="3" t="s">
        <v>82</v>
      </c>
      <c r="I892" s="5" t="s">
        <v>3640</v>
      </c>
      <c r="J892" s="3"/>
      <c r="K892" s="3"/>
      <c r="L892" s="537" t="s">
        <v>3278</v>
      </c>
      <c r="M892" s="99"/>
      <c r="N892" s="99"/>
      <c r="O892" s="537" t="s">
        <v>3225</v>
      </c>
      <c r="P892" s="22">
        <v>0</v>
      </c>
      <c r="Q892" s="22">
        <v>0</v>
      </c>
      <c r="R892" s="22"/>
      <c r="S892" s="3">
        <v>9010007</v>
      </c>
      <c r="T892" s="260"/>
      <c r="U892" s="261">
        <v>0</v>
      </c>
      <c r="V892" s="22" t="s">
        <v>582</v>
      </c>
      <c r="W892" s="57" t="s">
        <v>5228</v>
      </c>
      <c r="X892" s="57" t="s">
        <v>5228</v>
      </c>
      <c r="AA892" s="111">
        <v>1</v>
      </c>
      <c r="AE892" s="1">
        <v>2</v>
      </c>
      <c r="AF892" s="3">
        <v>0</v>
      </c>
      <c r="AG892" s="3">
        <v>1</v>
      </c>
      <c r="AH892" s="3"/>
      <c r="AI892" s="3">
        <v>0</v>
      </c>
      <c r="AJ892" s="3">
        <v>0</v>
      </c>
      <c r="AN892" s="540" t="s">
        <v>3279</v>
      </c>
      <c r="AO892" s="540" t="s">
        <v>3280</v>
      </c>
      <c r="AP892" s="540"/>
      <c r="AQ892" s="1" t="s">
        <v>3227</v>
      </c>
    </row>
    <row r="893" spans="1:44" ht="19.2">
      <c r="A893" s="3">
        <v>9010008</v>
      </c>
      <c r="B893" s="5" t="s">
        <v>3638</v>
      </c>
      <c r="C893" s="224" t="s">
        <v>5233</v>
      </c>
      <c r="D893" s="3" t="s">
        <v>3197</v>
      </c>
      <c r="E893" s="3" t="s">
        <v>2785</v>
      </c>
      <c r="F893" s="3">
        <v>1</v>
      </c>
      <c r="G893" s="3">
        <v>0</v>
      </c>
      <c r="H893" s="3" t="s">
        <v>82</v>
      </c>
      <c r="I893" s="5" t="s">
        <v>3640</v>
      </c>
      <c r="J893" s="3"/>
      <c r="K893" s="3"/>
      <c r="L893" s="537"/>
      <c r="M893" s="99"/>
      <c r="N893" s="99"/>
      <c r="O893" s="3" t="s">
        <v>3225</v>
      </c>
      <c r="P893" s="22"/>
      <c r="Q893" s="22">
        <v>0</v>
      </c>
      <c r="R893" s="22"/>
      <c r="S893" s="3">
        <v>9000002</v>
      </c>
      <c r="T893" s="260"/>
      <c r="U893" s="261"/>
      <c r="V893" s="22" t="s">
        <v>582</v>
      </c>
      <c r="W893" s="57" t="s">
        <v>5228</v>
      </c>
      <c r="X893" s="57" t="s">
        <v>5228</v>
      </c>
      <c r="AE893" s="1">
        <v>2</v>
      </c>
      <c r="AF893" s="3">
        <v>0</v>
      </c>
      <c r="AG893" s="3">
        <v>1</v>
      </c>
      <c r="AH893" s="3"/>
      <c r="AI893" s="1">
        <v>0</v>
      </c>
      <c r="AJ893" s="539">
        <v>0</v>
      </c>
      <c r="AN893" s="540" t="s">
        <v>3281</v>
      </c>
      <c r="AO893" s="540"/>
      <c r="AP893" s="540"/>
      <c r="AQ893" s="1" t="s">
        <v>3227</v>
      </c>
    </row>
    <row r="894" spans="1:44" ht="19.2">
      <c r="A894" s="3">
        <v>9020001</v>
      </c>
      <c r="B894" s="5" t="s">
        <v>3638</v>
      </c>
      <c r="C894" s="224" t="s">
        <v>5245</v>
      </c>
      <c r="D894" s="3" t="s">
        <v>3197</v>
      </c>
      <c r="E894" s="3" t="s">
        <v>325</v>
      </c>
      <c r="F894" s="3">
        <v>1</v>
      </c>
      <c r="G894" s="3">
        <v>2</v>
      </c>
      <c r="H894" s="3" t="s">
        <v>82</v>
      </c>
      <c r="I894" s="5" t="s">
        <v>3640</v>
      </c>
      <c r="J894" s="3"/>
      <c r="K894" s="3"/>
      <c r="L894" s="537"/>
      <c r="M894" s="99"/>
      <c r="N894" s="99"/>
      <c r="O894" s="3"/>
      <c r="P894" s="22">
        <v>2</v>
      </c>
      <c r="Q894" s="22">
        <v>0</v>
      </c>
      <c r="R894" s="22" t="s">
        <v>85</v>
      </c>
      <c r="S894" s="3">
        <v>9020001</v>
      </c>
      <c r="T894" s="319" t="s">
        <v>3253</v>
      </c>
      <c r="U894" s="320" t="s">
        <v>3254</v>
      </c>
      <c r="V894" s="22" t="s">
        <v>582</v>
      </c>
      <c r="W894" s="57" t="s">
        <v>5246</v>
      </c>
      <c r="X894" s="57" t="s">
        <v>5246</v>
      </c>
      <c r="AA894" s="111">
        <v>1</v>
      </c>
      <c r="AE894" s="1">
        <v>0</v>
      </c>
      <c r="AF894" s="3">
        <v>0</v>
      </c>
      <c r="AG894" s="3">
        <v>0</v>
      </c>
      <c r="AH894" s="3"/>
      <c r="AI894" s="3">
        <v>20</v>
      </c>
      <c r="AJ894" s="3">
        <v>19</v>
      </c>
      <c r="AN894" s="540" t="s">
        <v>3284</v>
      </c>
      <c r="AO894" s="540"/>
      <c r="AP894" s="540"/>
      <c r="AQ894" s="1" t="s">
        <v>3285</v>
      </c>
    </row>
    <row r="895" spans="1:44" ht="19.2">
      <c r="A895" s="3">
        <v>9020002</v>
      </c>
      <c r="B895" s="5" t="s">
        <v>3638</v>
      </c>
      <c r="C895" s="224" t="s">
        <v>5247</v>
      </c>
      <c r="D895" s="3" t="s">
        <v>3197</v>
      </c>
      <c r="E895" s="3" t="s">
        <v>325</v>
      </c>
      <c r="F895" s="3">
        <v>1</v>
      </c>
      <c r="G895" s="3">
        <v>2</v>
      </c>
      <c r="H895" s="3" t="s">
        <v>82</v>
      </c>
      <c r="I895" s="5" t="s">
        <v>3640</v>
      </c>
      <c r="J895" s="3"/>
      <c r="K895" s="3"/>
      <c r="L895" s="365"/>
      <c r="M895" s="99"/>
      <c r="N895" s="99"/>
      <c r="O895" s="3"/>
      <c r="P895" s="22">
        <v>2</v>
      </c>
      <c r="Q895" s="22">
        <v>0</v>
      </c>
      <c r="R895" s="22" t="s">
        <v>85</v>
      </c>
      <c r="S895" s="3">
        <v>9020002</v>
      </c>
      <c r="T895" s="319" t="s">
        <v>3259</v>
      </c>
      <c r="U895" s="320" t="s">
        <v>3260</v>
      </c>
      <c r="V895" s="22" t="s">
        <v>582</v>
      </c>
      <c r="W895" s="57" t="s">
        <v>5246</v>
      </c>
      <c r="X895" s="57" t="s">
        <v>5246</v>
      </c>
      <c r="AA895" s="111">
        <v>1</v>
      </c>
      <c r="AE895" s="1">
        <v>0</v>
      </c>
      <c r="AF895" s="3">
        <v>0</v>
      </c>
      <c r="AG895" s="3">
        <v>0</v>
      </c>
      <c r="AH895" s="3"/>
      <c r="AI895" s="3">
        <v>30</v>
      </c>
      <c r="AJ895" s="3">
        <v>26</v>
      </c>
      <c r="AN895" s="540" t="s">
        <v>3287</v>
      </c>
      <c r="AO895" s="540"/>
      <c r="AP895" s="540"/>
      <c r="AQ895" s="1" t="s">
        <v>3288</v>
      </c>
    </row>
    <row r="896" spans="1:44" ht="19.2">
      <c r="A896" s="3">
        <v>9020003</v>
      </c>
      <c r="B896" s="5" t="s">
        <v>3638</v>
      </c>
      <c r="C896" s="224" t="s">
        <v>5248</v>
      </c>
      <c r="D896" s="3" t="s">
        <v>3197</v>
      </c>
      <c r="E896" s="3" t="s">
        <v>325</v>
      </c>
      <c r="F896" s="3">
        <v>1</v>
      </c>
      <c r="G896" s="3">
        <v>2</v>
      </c>
      <c r="H896" s="3" t="s">
        <v>82</v>
      </c>
      <c r="I896" s="5" t="s">
        <v>3640</v>
      </c>
      <c r="J896" s="3"/>
      <c r="K896" s="3"/>
      <c r="L896" s="365"/>
      <c r="M896" s="99"/>
      <c r="N896" s="99"/>
      <c r="O896" s="3"/>
      <c r="P896" s="22">
        <v>2</v>
      </c>
      <c r="Q896" s="22">
        <v>0</v>
      </c>
      <c r="R896" s="22" t="s">
        <v>85</v>
      </c>
      <c r="S896" s="3">
        <v>9020003</v>
      </c>
      <c r="T896" s="319" t="s">
        <v>3265</v>
      </c>
      <c r="U896" s="320" t="s">
        <v>3266</v>
      </c>
      <c r="V896" s="22" t="s">
        <v>582</v>
      </c>
      <c r="W896" s="57" t="s">
        <v>5246</v>
      </c>
      <c r="X896" s="57" t="s">
        <v>5246</v>
      </c>
      <c r="AA896" s="111">
        <v>1</v>
      </c>
      <c r="AE896" s="1">
        <v>0</v>
      </c>
      <c r="AF896" s="3">
        <v>0</v>
      </c>
      <c r="AG896" s="3">
        <v>0</v>
      </c>
      <c r="AH896" s="3"/>
      <c r="AI896" s="3">
        <v>40</v>
      </c>
      <c r="AJ896" s="3">
        <v>32</v>
      </c>
      <c r="AN896" s="540" t="s">
        <v>3290</v>
      </c>
      <c r="AO896" s="540"/>
      <c r="AP896" s="540"/>
      <c r="AQ896" s="1" t="s">
        <v>3291</v>
      </c>
    </row>
    <row r="897" spans="1:44" ht="19.2">
      <c r="A897" s="3">
        <v>9020011</v>
      </c>
      <c r="B897" s="5" t="s">
        <v>3638</v>
      </c>
      <c r="C897" s="224" t="s">
        <v>5249</v>
      </c>
      <c r="D897" s="3" t="s">
        <v>3197</v>
      </c>
      <c r="E897" s="3" t="s">
        <v>325</v>
      </c>
      <c r="F897" s="3">
        <v>1</v>
      </c>
      <c r="G897" s="3">
        <v>2</v>
      </c>
      <c r="H897" s="3" t="s">
        <v>82</v>
      </c>
      <c r="I897" s="5" t="s">
        <v>3640</v>
      </c>
      <c r="J897" s="3"/>
      <c r="K897" s="3"/>
      <c r="L897" s="365" t="s">
        <v>3270</v>
      </c>
      <c r="M897" s="99"/>
      <c r="N897" s="99"/>
      <c r="O897" s="3"/>
      <c r="P897" s="22">
        <v>2</v>
      </c>
      <c r="Q897" s="22">
        <v>0</v>
      </c>
      <c r="R897" s="22" t="s">
        <v>85</v>
      </c>
      <c r="S897" s="3">
        <v>9020011</v>
      </c>
      <c r="T897" s="260" t="s">
        <v>3271</v>
      </c>
      <c r="U897" s="261" t="s">
        <v>3272</v>
      </c>
      <c r="V897" s="22" t="s">
        <v>582</v>
      </c>
      <c r="W897" s="57" t="s">
        <v>5250</v>
      </c>
      <c r="X897" s="57" t="s">
        <v>5250</v>
      </c>
      <c r="AA897" s="111">
        <v>1</v>
      </c>
      <c r="AE897" s="1">
        <v>2</v>
      </c>
      <c r="AF897" s="3">
        <v>0</v>
      </c>
      <c r="AG897" s="3">
        <v>1</v>
      </c>
      <c r="AH897" s="3"/>
      <c r="AI897" s="3">
        <v>65</v>
      </c>
      <c r="AJ897" s="3">
        <v>26</v>
      </c>
      <c r="AN897" s="540" t="s">
        <v>3294</v>
      </c>
      <c r="AO897" s="540"/>
      <c r="AP897" s="540"/>
      <c r="AQ897" s="1" t="s">
        <v>3295</v>
      </c>
      <c r="AR897" s="222">
        <v>188</v>
      </c>
    </row>
    <row r="898" spans="1:44" ht="19.2">
      <c r="A898" s="3">
        <v>9020012</v>
      </c>
      <c r="B898" s="5" t="s">
        <v>3638</v>
      </c>
      <c r="C898" s="224" t="s">
        <v>5249</v>
      </c>
      <c r="D898" s="3" t="s">
        <v>3197</v>
      </c>
      <c r="E898" s="3" t="s">
        <v>325</v>
      </c>
      <c r="F898" s="3">
        <v>1</v>
      </c>
      <c r="G898" s="3">
        <v>2</v>
      </c>
      <c r="H898" s="3" t="s">
        <v>82</v>
      </c>
      <c r="I898" s="5" t="s">
        <v>3640</v>
      </c>
      <c r="J898" s="3"/>
      <c r="K898" s="3"/>
      <c r="L898" s="3" t="s">
        <v>3277</v>
      </c>
      <c r="M898" s="99"/>
      <c r="N898" s="99"/>
      <c r="O898" s="3"/>
      <c r="P898" s="22">
        <v>2</v>
      </c>
      <c r="Q898" s="22">
        <v>0</v>
      </c>
      <c r="R898" s="22" t="s">
        <v>85</v>
      </c>
      <c r="S898" s="3">
        <v>9020012</v>
      </c>
      <c r="T898" s="260" t="s">
        <v>3271</v>
      </c>
      <c r="U898" s="261" t="s">
        <v>3272</v>
      </c>
      <c r="V898" s="22" t="s">
        <v>582</v>
      </c>
      <c r="W898" s="57" t="s">
        <v>5250</v>
      </c>
      <c r="X898" s="57" t="s">
        <v>5250</v>
      </c>
      <c r="AA898" s="111">
        <v>1</v>
      </c>
      <c r="AE898" s="1">
        <v>2</v>
      </c>
      <c r="AF898" s="1">
        <v>0</v>
      </c>
      <c r="AG898" s="1">
        <v>1</v>
      </c>
      <c r="AI898" s="1">
        <v>65</v>
      </c>
      <c r="AJ898" s="1">
        <v>52</v>
      </c>
      <c r="AN898" s="93" t="s">
        <v>3294</v>
      </c>
      <c r="AO898" s="93"/>
      <c r="AP898" s="93"/>
      <c r="AQ898" s="1" t="s">
        <v>3295</v>
      </c>
      <c r="AR898" s="222">
        <v>188</v>
      </c>
    </row>
    <row r="899" spans="1:44" ht="19.2">
      <c r="A899" s="3">
        <v>9020021</v>
      </c>
      <c r="B899" s="5" t="s">
        <v>3638</v>
      </c>
      <c r="C899" s="224" t="s">
        <v>5227</v>
      </c>
      <c r="D899" s="3" t="s">
        <v>3197</v>
      </c>
      <c r="E899" s="3" t="s">
        <v>2785</v>
      </c>
      <c r="F899" s="3">
        <v>1</v>
      </c>
      <c r="G899" s="3">
        <v>2</v>
      </c>
      <c r="H899" s="3" t="s">
        <v>82</v>
      </c>
      <c r="I899" s="5" t="s">
        <v>3640</v>
      </c>
      <c r="J899" s="3"/>
      <c r="K899" s="3"/>
      <c r="L899" s="3" t="s">
        <v>3278</v>
      </c>
      <c r="M899" s="99"/>
      <c r="N899" s="99"/>
      <c r="O899" s="3" t="s">
        <v>3225</v>
      </c>
      <c r="P899" s="22">
        <v>0</v>
      </c>
      <c r="Q899" s="22">
        <v>0</v>
      </c>
      <c r="R899" s="22"/>
      <c r="S899" s="3">
        <v>9020021</v>
      </c>
      <c r="T899" s="260"/>
      <c r="U899" s="261">
        <v>0</v>
      </c>
      <c r="V899" s="22" t="s">
        <v>582</v>
      </c>
      <c r="W899" s="57" t="s">
        <v>5228</v>
      </c>
      <c r="X899" s="57" t="s">
        <v>5228</v>
      </c>
      <c r="AA899" s="111">
        <v>1</v>
      </c>
      <c r="AE899" s="1">
        <v>2</v>
      </c>
      <c r="AF899" s="1">
        <v>0</v>
      </c>
      <c r="AG899" s="1">
        <v>1</v>
      </c>
      <c r="AI899" s="1">
        <v>0</v>
      </c>
      <c r="AJ899" s="1">
        <v>0</v>
      </c>
      <c r="AN899" s="93" t="s">
        <v>3296</v>
      </c>
      <c r="AO899" s="93" t="s">
        <v>3297</v>
      </c>
      <c r="AP899" s="93"/>
      <c r="AQ899" s="1" t="s">
        <v>3227</v>
      </c>
    </row>
    <row r="900" spans="1:44" ht="15" customHeight="1">
      <c r="A900" s="3">
        <v>9020022</v>
      </c>
      <c r="B900" s="5" t="s">
        <v>3638</v>
      </c>
      <c r="C900" s="224" t="s">
        <v>5233</v>
      </c>
      <c r="D900" s="3" t="s">
        <v>3197</v>
      </c>
      <c r="E900" s="3" t="s">
        <v>2785</v>
      </c>
      <c r="F900" s="3">
        <v>1</v>
      </c>
      <c r="G900" s="3">
        <v>0</v>
      </c>
      <c r="H900" s="3" t="s">
        <v>82</v>
      </c>
      <c r="I900" s="5" t="s">
        <v>3640</v>
      </c>
      <c r="J900" s="3"/>
      <c r="K900" s="3"/>
      <c r="L900" s="537"/>
      <c r="M900" s="99"/>
      <c r="N900" s="99"/>
      <c r="O900" s="3" t="s">
        <v>3225</v>
      </c>
      <c r="P900" s="22"/>
      <c r="Q900" s="22">
        <v>0</v>
      </c>
      <c r="R900" s="22"/>
      <c r="S900" s="3">
        <v>9000002</v>
      </c>
      <c r="T900" s="260"/>
      <c r="U900" s="261"/>
      <c r="V900" s="22" t="s">
        <v>582</v>
      </c>
      <c r="W900" s="57" t="s">
        <v>5228</v>
      </c>
      <c r="X900" s="57" t="s">
        <v>5228</v>
      </c>
      <c r="AE900" s="1">
        <v>2</v>
      </c>
      <c r="AF900" s="3">
        <v>0</v>
      </c>
      <c r="AG900" s="3">
        <v>1</v>
      </c>
      <c r="AH900" s="3"/>
      <c r="AI900" s="1">
        <v>0</v>
      </c>
      <c r="AJ900" s="539">
        <v>0</v>
      </c>
      <c r="AN900" s="540" t="s">
        <v>3298</v>
      </c>
      <c r="AO900" s="540"/>
      <c r="AP900" s="540"/>
      <c r="AQ900" s="1" t="s">
        <v>3227</v>
      </c>
    </row>
    <row r="901" spans="1:44" ht="19.2">
      <c r="A901" s="3">
        <v>9030001</v>
      </c>
      <c r="B901" s="5" t="s">
        <v>3638</v>
      </c>
      <c r="C901" s="224" t="s">
        <v>5251</v>
      </c>
      <c r="D901" s="3" t="s">
        <v>3197</v>
      </c>
      <c r="E901" s="3" t="s">
        <v>655</v>
      </c>
      <c r="F901" s="3">
        <v>1</v>
      </c>
      <c r="G901" s="3">
        <v>3</v>
      </c>
      <c r="H901" s="3" t="s">
        <v>82</v>
      </c>
      <c r="I901" s="5" t="s">
        <v>3640</v>
      </c>
      <c r="J901" s="3"/>
      <c r="K901" s="3"/>
      <c r="L901" s="365" t="s">
        <v>3300</v>
      </c>
      <c r="M901" s="99"/>
      <c r="N901" s="99"/>
      <c r="O901" s="3"/>
      <c r="P901" s="22"/>
      <c r="Q901" s="22">
        <v>0</v>
      </c>
      <c r="R901" s="22" t="s">
        <v>85</v>
      </c>
      <c r="S901" s="3">
        <v>9030001</v>
      </c>
      <c r="T901" s="260" t="s">
        <v>3301</v>
      </c>
      <c r="U901" s="261" t="s">
        <v>3302</v>
      </c>
      <c r="V901" s="22" t="s">
        <v>582</v>
      </c>
      <c r="W901" s="57" t="s">
        <v>5252</v>
      </c>
      <c r="X901" s="57" t="s">
        <v>5252</v>
      </c>
      <c r="AB901" s="1"/>
      <c r="AE901" s="1">
        <v>0</v>
      </c>
      <c r="AF901" s="1">
        <v>0</v>
      </c>
      <c r="AG901" s="1">
        <v>0</v>
      </c>
      <c r="AI901" s="1">
        <v>50</v>
      </c>
      <c r="AJ901" s="1">
        <v>23</v>
      </c>
      <c r="AN901" s="93" t="s">
        <v>3304</v>
      </c>
      <c r="AQ901" s="1" t="s">
        <v>3305</v>
      </c>
    </row>
    <row r="902" spans="1:44" ht="19.2">
      <c r="A902" s="3">
        <v>9030002</v>
      </c>
      <c r="B902" s="5" t="s">
        <v>3638</v>
      </c>
      <c r="C902" s="224" t="s">
        <v>5253</v>
      </c>
      <c r="D902" s="3" t="s">
        <v>3197</v>
      </c>
      <c r="E902" s="3" t="s">
        <v>655</v>
      </c>
      <c r="F902" s="3">
        <v>1</v>
      </c>
      <c r="G902" s="3">
        <v>3</v>
      </c>
      <c r="H902" s="3" t="s">
        <v>82</v>
      </c>
      <c r="I902" s="5" t="s">
        <v>3640</v>
      </c>
      <c r="J902" s="3"/>
      <c r="K902" s="3"/>
      <c r="L902" s="365" t="s">
        <v>3307</v>
      </c>
      <c r="M902" s="99"/>
      <c r="N902" s="99"/>
      <c r="O902" s="3"/>
      <c r="P902" s="22"/>
      <c r="Q902" s="22">
        <v>0</v>
      </c>
      <c r="R902" s="22" t="s">
        <v>85</v>
      </c>
      <c r="S902" s="3">
        <v>9030002</v>
      </c>
      <c r="T902" s="260" t="s">
        <v>3308</v>
      </c>
      <c r="U902" s="261" t="s">
        <v>3309</v>
      </c>
      <c r="V902" s="22" t="s">
        <v>582</v>
      </c>
      <c r="W902" s="57" t="s">
        <v>5252</v>
      </c>
      <c r="X902" s="57" t="s">
        <v>5252</v>
      </c>
      <c r="AB902" s="1"/>
      <c r="AE902" s="1">
        <v>0</v>
      </c>
      <c r="AF902" s="1">
        <v>0</v>
      </c>
      <c r="AG902" s="1">
        <v>0</v>
      </c>
      <c r="AI902" s="1">
        <v>50</v>
      </c>
      <c r="AJ902" s="1">
        <v>23</v>
      </c>
      <c r="AN902" s="93" t="s">
        <v>3310</v>
      </c>
      <c r="AO902" s="93"/>
      <c r="AP902" s="93"/>
      <c r="AQ902" s="1" t="s">
        <v>3311</v>
      </c>
    </row>
    <row r="903" spans="1:44" ht="19.2">
      <c r="A903" s="3">
        <v>9030011</v>
      </c>
      <c r="B903" s="5" t="s">
        <v>3638</v>
      </c>
      <c r="C903" s="224" t="s">
        <v>5254</v>
      </c>
      <c r="D903" s="3" t="s">
        <v>3197</v>
      </c>
      <c r="E903" s="3" t="s">
        <v>655</v>
      </c>
      <c r="F903" s="3">
        <v>1</v>
      </c>
      <c r="G903" s="3">
        <v>3</v>
      </c>
      <c r="H903" s="3" t="s">
        <v>82</v>
      </c>
      <c r="I903" s="5" t="s">
        <v>3640</v>
      </c>
      <c r="J903" s="3"/>
      <c r="K903" s="3"/>
      <c r="L903" s="365" t="s">
        <v>3270</v>
      </c>
      <c r="M903" s="99"/>
      <c r="N903" s="99"/>
      <c r="O903" s="3"/>
      <c r="P903" s="22"/>
      <c r="Q903" s="22">
        <v>0</v>
      </c>
      <c r="R903" s="22" t="s">
        <v>85</v>
      </c>
      <c r="S903" s="3">
        <v>9030011</v>
      </c>
      <c r="T903" s="260" t="s">
        <v>3271</v>
      </c>
      <c r="U903" s="261" t="s">
        <v>3272</v>
      </c>
      <c r="V903" s="22" t="s">
        <v>582</v>
      </c>
      <c r="W903" s="57" t="s">
        <v>5255</v>
      </c>
      <c r="X903" s="57" t="s">
        <v>5255</v>
      </c>
      <c r="AB903" s="1"/>
      <c r="AE903" s="1">
        <v>2</v>
      </c>
      <c r="AF903" s="1">
        <v>0</v>
      </c>
      <c r="AG903" s="1">
        <v>1</v>
      </c>
      <c r="AI903" s="1">
        <v>65</v>
      </c>
      <c r="AJ903" s="1">
        <v>32</v>
      </c>
      <c r="AK903" s="92" t="s">
        <v>3314</v>
      </c>
      <c r="AN903" s="93" t="s">
        <v>3315</v>
      </c>
      <c r="AO903" s="93"/>
      <c r="AP903" s="93"/>
      <c r="AQ903" s="1" t="s">
        <v>3316</v>
      </c>
      <c r="AR903" s="222">
        <v>240</v>
      </c>
    </row>
    <row r="904" spans="1:44" ht="19.2">
      <c r="A904" s="3">
        <v>9030012</v>
      </c>
      <c r="B904" s="5" t="s">
        <v>3638</v>
      </c>
      <c r="C904" s="224" t="s">
        <v>5254</v>
      </c>
      <c r="D904" s="3" t="s">
        <v>3197</v>
      </c>
      <c r="E904" s="3" t="s">
        <v>655</v>
      </c>
      <c r="F904" s="3">
        <v>1</v>
      </c>
      <c r="G904" s="3">
        <v>3</v>
      </c>
      <c r="H904" s="3" t="s">
        <v>82</v>
      </c>
      <c r="I904" s="5" t="s">
        <v>3640</v>
      </c>
      <c r="J904" s="3"/>
      <c r="K904" s="3"/>
      <c r="L904" s="365" t="s">
        <v>3277</v>
      </c>
      <c r="M904" s="99"/>
      <c r="N904" s="99"/>
      <c r="O904" s="3"/>
      <c r="P904" s="22"/>
      <c r="Q904" s="22">
        <v>0</v>
      </c>
      <c r="R904" s="22" t="s">
        <v>85</v>
      </c>
      <c r="S904" s="3">
        <v>9030012</v>
      </c>
      <c r="T904" s="260" t="s">
        <v>3271</v>
      </c>
      <c r="U904" s="261" t="s">
        <v>3272</v>
      </c>
      <c r="V904" s="22" t="s">
        <v>582</v>
      </c>
      <c r="W904" s="57" t="s">
        <v>5255</v>
      </c>
      <c r="X904" s="57" t="s">
        <v>5255</v>
      </c>
      <c r="AB904" s="1"/>
      <c r="AE904" s="1">
        <v>2</v>
      </c>
      <c r="AF904" s="1">
        <v>0</v>
      </c>
      <c r="AG904" s="1">
        <v>1</v>
      </c>
      <c r="AI904" s="1">
        <v>75</v>
      </c>
      <c r="AJ904" s="1">
        <v>39</v>
      </c>
      <c r="AK904" s="92" t="s">
        <v>3314</v>
      </c>
      <c r="AN904" s="93" t="s">
        <v>3315</v>
      </c>
      <c r="AO904" s="93"/>
      <c r="AP904" s="93"/>
      <c r="AQ904" s="1" t="s">
        <v>3316</v>
      </c>
      <c r="AR904" s="222">
        <v>240</v>
      </c>
    </row>
    <row r="905" spans="1:44" ht="19.2">
      <c r="A905" s="3">
        <v>9030021</v>
      </c>
      <c r="B905" s="5" t="s">
        <v>3638</v>
      </c>
      <c r="C905" s="224" t="s">
        <v>5227</v>
      </c>
      <c r="D905" s="3" t="s">
        <v>3197</v>
      </c>
      <c r="E905" s="3" t="s">
        <v>2785</v>
      </c>
      <c r="F905" s="3">
        <v>1</v>
      </c>
      <c r="G905" s="3">
        <v>3</v>
      </c>
      <c r="H905" s="3" t="s">
        <v>82</v>
      </c>
      <c r="I905" s="5" t="s">
        <v>3640</v>
      </c>
      <c r="J905" s="3"/>
      <c r="K905" s="3"/>
      <c r="L905" s="365" t="s">
        <v>3278</v>
      </c>
      <c r="M905" s="99"/>
      <c r="N905" s="99"/>
      <c r="O905" s="3" t="s">
        <v>3225</v>
      </c>
      <c r="P905" s="22"/>
      <c r="Q905" s="22">
        <v>0</v>
      </c>
      <c r="R905" s="22"/>
      <c r="S905" s="3">
        <v>9030021</v>
      </c>
      <c r="T905" s="260"/>
      <c r="U905" s="261">
        <v>0</v>
      </c>
      <c r="V905" s="22" t="s">
        <v>582</v>
      </c>
      <c r="W905" s="57" t="s">
        <v>5228</v>
      </c>
      <c r="X905" s="57" t="s">
        <v>5228</v>
      </c>
      <c r="AE905" s="1">
        <v>2</v>
      </c>
      <c r="AF905" s="1">
        <v>0</v>
      </c>
      <c r="AG905" s="1">
        <v>1</v>
      </c>
      <c r="AI905" s="1">
        <v>0</v>
      </c>
      <c r="AJ905" s="1">
        <v>0</v>
      </c>
      <c r="AN905" s="93" t="s">
        <v>3317</v>
      </c>
      <c r="AO905" s="93" t="s">
        <v>3318</v>
      </c>
      <c r="AP905" s="93"/>
      <c r="AQ905" s="1" t="s">
        <v>3227</v>
      </c>
    </row>
    <row r="906" spans="1:44" ht="19.2">
      <c r="A906" s="3">
        <v>9030022</v>
      </c>
      <c r="B906" s="5" t="s">
        <v>3638</v>
      </c>
      <c r="C906" s="224" t="s">
        <v>5233</v>
      </c>
      <c r="D906" s="3" t="s">
        <v>3197</v>
      </c>
      <c r="E906" s="3" t="s">
        <v>2785</v>
      </c>
      <c r="F906" s="3">
        <v>1</v>
      </c>
      <c r="G906" s="3">
        <v>0</v>
      </c>
      <c r="H906" s="3" t="s">
        <v>82</v>
      </c>
      <c r="I906" s="5" t="s">
        <v>3640</v>
      </c>
      <c r="J906" s="3"/>
      <c r="K906" s="3"/>
      <c r="L906" s="537"/>
      <c r="M906" s="99"/>
      <c r="N906" s="99"/>
      <c r="O906" s="3" t="s">
        <v>3225</v>
      </c>
      <c r="P906" s="22"/>
      <c r="Q906" s="22">
        <v>0</v>
      </c>
      <c r="R906" s="22"/>
      <c r="S906" s="3">
        <v>9000002</v>
      </c>
      <c r="T906" s="260"/>
      <c r="U906" s="261"/>
      <c r="V906" s="22" t="s">
        <v>582</v>
      </c>
      <c r="W906" s="57" t="s">
        <v>5228</v>
      </c>
      <c r="X906" s="57" t="s">
        <v>5228</v>
      </c>
      <c r="AE906" s="1">
        <v>2</v>
      </c>
      <c r="AF906" s="3">
        <v>0</v>
      </c>
      <c r="AG906" s="3">
        <v>1</v>
      </c>
      <c r="AH906" s="3"/>
      <c r="AI906" s="1">
        <v>0</v>
      </c>
      <c r="AJ906" s="539">
        <v>0</v>
      </c>
      <c r="AN906" s="540" t="s">
        <v>3319</v>
      </c>
      <c r="AO906" s="540"/>
      <c r="AP906" s="540"/>
      <c r="AQ906" s="1" t="s">
        <v>3227</v>
      </c>
    </row>
    <row r="907" spans="1:44" ht="19.2">
      <c r="A907" s="3">
        <v>9040001</v>
      </c>
      <c r="B907" s="5" t="s">
        <v>3638</v>
      </c>
      <c r="C907" s="224" t="s">
        <v>5256</v>
      </c>
      <c r="D907" s="3" t="s">
        <v>3197</v>
      </c>
      <c r="E907" s="3" t="s">
        <v>765</v>
      </c>
      <c r="F907" s="3">
        <v>1</v>
      </c>
      <c r="G907" s="3">
        <v>4</v>
      </c>
      <c r="H907" s="3" t="s">
        <v>82</v>
      </c>
      <c r="I907" s="5" t="s">
        <v>3640</v>
      </c>
      <c r="J907" s="3"/>
      <c r="K907" s="3"/>
      <c r="L907" s="365" t="s">
        <v>3321</v>
      </c>
      <c r="M907" s="99"/>
      <c r="N907" s="99"/>
      <c r="O907" s="22"/>
      <c r="P907" s="22">
        <v>1</v>
      </c>
      <c r="Q907" s="22">
        <v>0</v>
      </c>
      <c r="R907" s="22" t="s">
        <v>85</v>
      </c>
      <c r="S907" s="3">
        <v>9040001</v>
      </c>
      <c r="T907" s="319" t="s">
        <v>3253</v>
      </c>
      <c r="U907" s="320" t="s">
        <v>3254</v>
      </c>
      <c r="V907" s="22" t="s">
        <v>582</v>
      </c>
      <c r="W907" s="57" t="s">
        <v>5257</v>
      </c>
      <c r="X907" s="57" t="s">
        <v>5257</v>
      </c>
      <c r="AE907" s="1">
        <v>0</v>
      </c>
      <c r="AF907" s="1">
        <v>0</v>
      </c>
      <c r="AG907" s="1">
        <v>0</v>
      </c>
      <c r="AI907" s="1">
        <v>20</v>
      </c>
      <c r="AJ907" s="1">
        <v>15</v>
      </c>
      <c r="AN907" s="93" t="s">
        <v>3323</v>
      </c>
      <c r="AO907" s="93"/>
      <c r="AP907" s="93"/>
      <c r="AQ907" s="1" t="s">
        <v>3324</v>
      </c>
    </row>
    <row r="908" spans="1:44" ht="19.2">
      <c r="A908" s="3">
        <v>9040002</v>
      </c>
      <c r="B908" s="5" t="s">
        <v>3638</v>
      </c>
      <c r="C908" s="224" t="s">
        <v>5258</v>
      </c>
      <c r="D908" s="3" t="s">
        <v>3197</v>
      </c>
      <c r="E908" s="3" t="s">
        <v>765</v>
      </c>
      <c r="F908" s="3">
        <v>1</v>
      </c>
      <c r="G908" s="3">
        <v>4</v>
      </c>
      <c r="H908" s="3" t="s">
        <v>82</v>
      </c>
      <c r="I908" s="5" t="s">
        <v>3640</v>
      </c>
      <c r="J908" s="3"/>
      <c r="K908" s="3"/>
      <c r="L908" s="365" t="s">
        <v>3326</v>
      </c>
      <c r="M908" s="99"/>
      <c r="N908" s="99"/>
      <c r="O908" s="22"/>
      <c r="P908" s="22">
        <v>1</v>
      </c>
      <c r="Q908" s="22">
        <v>0</v>
      </c>
      <c r="R908" s="22" t="s">
        <v>85</v>
      </c>
      <c r="S908" s="3">
        <v>9040002</v>
      </c>
      <c r="T908" s="319" t="s">
        <v>3327</v>
      </c>
      <c r="U908" s="320" t="s">
        <v>3328</v>
      </c>
      <c r="V908" s="22" t="s">
        <v>582</v>
      </c>
      <c r="W908" s="57" t="s">
        <v>5257</v>
      </c>
      <c r="X908" s="57" t="s">
        <v>5257</v>
      </c>
      <c r="AE908" s="1">
        <v>0</v>
      </c>
      <c r="AF908" s="1">
        <v>0</v>
      </c>
      <c r="AG908" s="1">
        <v>0</v>
      </c>
      <c r="AI908" s="1">
        <v>30</v>
      </c>
      <c r="AJ908" s="1">
        <v>18</v>
      </c>
      <c r="AN908" s="93" t="s">
        <v>3329</v>
      </c>
      <c r="AO908" s="93"/>
      <c r="AP908" s="93"/>
      <c r="AQ908" s="1" t="s">
        <v>3330</v>
      </c>
    </row>
    <row r="909" spans="1:44" ht="15" customHeight="1">
      <c r="A909" s="3">
        <v>9040003</v>
      </c>
      <c r="B909" s="5" t="s">
        <v>3638</v>
      </c>
      <c r="C909" s="224" t="s">
        <v>5259</v>
      </c>
      <c r="D909" s="3" t="s">
        <v>3197</v>
      </c>
      <c r="E909" s="3" t="s">
        <v>765</v>
      </c>
      <c r="F909" s="3">
        <v>1</v>
      </c>
      <c r="G909" s="3">
        <v>4</v>
      </c>
      <c r="H909" s="3" t="s">
        <v>82</v>
      </c>
      <c r="I909" s="5" t="s">
        <v>3640</v>
      </c>
      <c r="J909" s="3"/>
      <c r="K909" s="3"/>
      <c r="L909" s="541" t="s">
        <v>3332</v>
      </c>
      <c r="M909" s="99"/>
      <c r="N909" s="99"/>
      <c r="O909" s="3"/>
      <c r="P909" s="22">
        <v>1</v>
      </c>
      <c r="Q909" s="22">
        <v>0</v>
      </c>
      <c r="R909" s="22" t="s">
        <v>85</v>
      </c>
      <c r="S909" s="3">
        <v>9040003</v>
      </c>
      <c r="T909" s="319" t="s">
        <v>3265</v>
      </c>
      <c r="U909" s="320" t="s">
        <v>3266</v>
      </c>
      <c r="V909" s="22" t="s">
        <v>582</v>
      </c>
      <c r="W909" s="57" t="s">
        <v>5257</v>
      </c>
      <c r="X909" s="57" t="s">
        <v>5257</v>
      </c>
      <c r="Y909" s="549"/>
      <c r="Z909" s="549"/>
      <c r="AA909" s="549"/>
      <c r="AB909" s="549"/>
      <c r="AC909" s="550"/>
      <c r="AD909" s="550"/>
      <c r="AE909" s="1">
        <v>0</v>
      </c>
      <c r="AF909" s="1">
        <v>0</v>
      </c>
      <c r="AG909" s="1">
        <v>0</v>
      </c>
      <c r="AI909" s="1">
        <v>40</v>
      </c>
      <c r="AJ909" s="1">
        <v>20</v>
      </c>
      <c r="AK909" s="550"/>
      <c r="AL909" s="550"/>
      <c r="AM909" s="550"/>
      <c r="AN909" s="554" t="s">
        <v>3333</v>
      </c>
      <c r="AO909" s="554"/>
      <c r="AP909" s="554"/>
      <c r="AQ909" s="550" t="s">
        <v>3334</v>
      </c>
      <c r="AR909" s="559"/>
    </row>
    <row r="910" spans="1:44" ht="15" customHeight="1">
      <c r="A910" s="3">
        <v>9040004</v>
      </c>
      <c r="B910" s="5" t="s">
        <v>3638</v>
      </c>
      <c r="C910" s="224" t="s">
        <v>5260</v>
      </c>
      <c r="D910" s="3" t="s">
        <v>3197</v>
      </c>
      <c r="E910" s="3" t="s">
        <v>765</v>
      </c>
      <c r="F910" s="3">
        <v>1</v>
      </c>
      <c r="G910" s="3">
        <v>4</v>
      </c>
      <c r="H910" s="3" t="s">
        <v>82</v>
      </c>
      <c r="I910" s="5" t="s">
        <v>3640</v>
      </c>
      <c r="J910" s="3"/>
      <c r="K910" s="3"/>
      <c r="L910" s="541" t="s">
        <v>3336</v>
      </c>
      <c r="M910" s="99"/>
      <c r="N910" s="99"/>
      <c r="O910" s="3"/>
      <c r="P910" s="22">
        <v>1</v>
      </c>
      <c r="Q910" s="22">
        <v>0</v>
      </c>
      <c r="R910" s="22" t="s">
        <v>85</v>
      </c>
      <c r="S910" s="3">
        <v>9040004</v>
      </c>
      <c r="T910" s="260" t="s">
        <v>3271</v>
      </c>
      <c r="U910" s="261" t="s">
        <v>3272</v>
      </c>
      <c r="V910" s="22" t="s">
        <v>582</v>
      </c>
      <c r="W910" s="57" t="s">
        <v>5261</v>
      </c>
      <c r="X910" s="57" t="s">
        <v>5261</v>
      </c>
      <c r="Y910" s="549"/>
      <c r="Z910" s="549"/>
      <c r="AA910" s="549"/>
      <c r="AB910" s="549"/>
      <c r="AC910" s="550"/>
      <c r="AD910" s="550"/>
      <c r="AE910" s="1">
        <v>2</v>
      </c>
      <c r="AF910" s="1">
        <v>0</v>
      </c>
      <c r="AG910" s="1">
        <v>1</v>
      </c>
      <c r="AI910" s="1">
        <v>39</v>
      </c>
      <c r="AJ910" s="1">
        <v>23</v>
      </c>
      <c r="AK910" s="550"/>
      <c r="AL910" s="550"/>
      <c r="AM910" s="550"/>
      <c r="AN910" s="554" t="s">
        <v>3338</v>
      </c>
      <c r="AO910" s="554"/>
      <c r="AP910" s="554"/>
      <c r="AQ910" s="550" t="s">
        <v>3339</v>
      </c>
      <c r="AR910" s="559">
        <v>245</v>
      </c>
    </row>
    <row r="911" spans="1:44" ht="19.2">
      <c r="A911" s="3">
        <v>9040005</v>
      </c>
      <c r="B911" s="5" t="s">
        <v>3638</v>
      </c>
      <c r="C911" s="224" t="s">
        <v>5260</v>
      </c>
      <c r="D911" s="3" t="s">
        <v>3197</v>
      </c>
      <c r="E911" s="3" t="s">
        <v>765</v>
      </c>
      <c r="F911" s="3">
        <v>1</v>
      </c>
      <c r="G911" s="3">
        <v>4</v>
      </c>
      <c r="H911" s="3" t="s">
        <v>82</v>
      </c>
      <c r="I911" s="5" t="s">
        <v>3640</v>
      </c>
      <c r="J911" s="3"/>
      <c r="K911" s="3"/>
      <c r="L911" s="541" t="s">
        <v>3340</v>
      </c>
      <c r="M911" s="99"/>
      <c r="N911" s="99"/>
      <c r="O911" s="3"/>
      <c r="P911" s="22">
        <v>2</v>
      </c>
      <c r="Q911" s="22">
        <v>0</v>
      </c>
      <c r="R911" s="22" t="s">
        <v>85</v>
      </c>
      <c r="S911" s="3">
        <v>9040005</v>
      </c>
      <c r="T911" s="260" t="s">
        <v>3271</v>
      </c>
      <c r="U911" s="261" t="s">
        <v>3272</v>
      </c>
      <c r="V911" s="22" t="s">
        <v>582</v>
      </c>
      <c r="W911" s="57" t="s">
        <v>5261</v>
      </c>
      <c r="X911" s="57" t="s">
        <v>5261</v>
      </c>
      <c r="Y911" s="549"/>
      <c r="Z911" s="549"/>
      <c r="AA911" s="549"/>
      <c r="AB911" s="549" t="s">
        <v>90</v>
      </c>
      <c r="AC911" s="551" t="s">
        <v>3274</v>
      </c>
      <c r="AD911" s="550"/>
      <c r="AE911" s="1">
        <v>2</v>
      </c>
      <c r="AF911" s="1">
        <v>0</v>
      </c>
      <c r="AG911" s="1">
        <v>1</v>
      </c>
      <c r="AI911" s="1">
        <v>52</v>
      </c>
      <c r="AJ911" s="1">
        <v>39</v>
      </c>
      <c r="AK911" s="550"/>
      <c r="AL911" s="550"/>
      <c r="AM911" s="550"/>
      <c r="AN911" s="554" t="s">
        <v>3341</v>
      </c>
      <c r="AO911" s="554"/>
      <c r="AP911" s="554"/>
      <c r="AQ911" s="550" t="s">
        <v>3339</v>
      </c>
      <c r="AR911" s="559">
        <v>245</v>
      </c>
    </row>
    <row r="912" spans="1:44" ht="19.2">
      <c r="A912" s="3">
        <v>9040006</v>
      </c>
      <c r="B912" s="5" t="s">
        <v>3638</v>
      </c>
      <c r="C912" s="224" t="s">
        <v>5260</v>
      </c>
      <c r="D912" s="3" t="s">
        <v>3197</v>
      </c>
      <c r="E912" s="3" t="s">
        <v>765</v>
      </c>
      <c r="F912" s="3">
        <v>1</v>
      </c>
      <c r="G912" s="3">
        <v>4</v>
      </c>
      <c r="H912" s="3" t="s">
        <v>82</v>
      </c>
      <c r="I912" s="5" t="s">
        <v>3640</v>
      </c>
      <c r="J912" s="3"/>
      <c r="K912" s="3"/>
      <c r="L912" s="541" t="s">
        <v>3277</v>
      </c>
      <c r="M912" s="99"/>
      <c r="N912" s="99"/>
      <c r="O912" s="3"/>
      <c r="P912" s="22">
        <v>3</v>
      </c>
      <c r="Q912" s="22">
        <v>0</v>
      </c>
      <c r="R912" s="22" t="s">
        <v>85</v>
      </c>
      <c r="S912" s="3">
        <v>9040006</v>
      </c>
      <c r="T912" s="260" t="s">
        <v>3271</v>
      </c>
      <c r="U912" s="261" t="s">
        <v>3272</v>
      </c>
      <c r="V912" s="22" t="s">
        <v>582</v>
      </c>
      <c r="W912" s="57" t="s">
        <v>5261</v>
      </c>
      <c r="X912" s="57" t="s">
        <v>5261</v>
      </c>
      <c r="Y912" s="549"/>
      <c r="Z912" s="549"/>
      <c r="AA912" s="549"/>
      <c r="AB912" s="549" t="s">
        <v>90</v>
      </c>
      <c r="AC912" s="550" t="s">
        <v>1155</v>
      </c>
      <c r="AD912" s="550"/>
      <c r="AE912" s="1">
        <v>2</v>
      </c>
      <c r="AF912" s="1">
        <v>0</v>
      </c>
      <c r="AG912" s="1">
        <v>1</v>
      </c>
      <c r="AI912" s="1">
        <v>52</v>
      </c>
      <c r="AJ912" s="1">
        <v>39</v>
      </c>
      <c r="AK912" s="555"/>
      <c r="AL912" s="555"/>
      <c r="AM912" s="555"/>
      <c r="AN912" s="554" t="s">
        <v>3341</v>
      </c>
      <c r="AO912" s="554"/>
      <c r="AP912" s="554"/>
      <c r="AQ912" s="550" t="s">
        <v>3339</v>
      </c>
      <c r="AR912" s="559"/>
    </row>
    <row r="913" spans="1:44" ht="19.2">
      <c r="A913" s="50">
        <v>9040007</v>
      </c>
      <c r="B913" s="5" t="s">
        <v>3638</v>
      </c>
      <c r="C913" s="224" t="s">
        <v>5227</v>
      </c>
      <c r="D913" s="50" t="s">
        <v>3197</v>
      </c>
      <c r="E913" s="3" t="s">
        <v>2785</v>
      </c>
      <c r="F913" s="50">
        <v>1</v>
      </c>
      <c r="G913" s="50">
        <v>4</v>
      </c>
      <c r="H913" s="50" t="s">
        <v>82</v>
      </c>
      <c r="I913" s="5" t="s">
        <v>3640</v>
      </c>
      <c r="J913" s="50"/>
      <c r="L913" s="220" t="s">
        <v>3278</v>
      </c>
      <c r="O913" s="542" t="s">
        <v>3225</v>
      </c>
      <c r="P913" s="543">
        <v>0</v>
      </c>
      <c r="Q913" s="543">
        <v>0</v>
      </c>
      <c r="R913" s="543"/>
      <c r="S913" s="3">
        <v>9040007</v>
      </c>
      <c r="T913" s="547"/>
      <c r="U913" s="548"/>
      <c r="V913" s="22" t="s">
        <v>582</v>
      </c>
      <c r="W913" s="57" t="s">
        <v>5228</v>
      </c>
      <c r="X913" s="57" t="s">
        <v>5228</v>
      </c>
      <c r="AA913" s="111">
        <v>1</v>
      </c>
      <c r="AD913" s="50"/>
      <c r="AE913" s="50">
        <v>2</v>
      </c>
      <c r="AF913" s="50">
        <v>0</v>
      </c>
      <c r="AG913" s="50">
        <v>1</v>
      </c>
      <c r="AH913" s="50"/>
      <c r="AI913" s="50">
        <v>0</v>
      </c>
      <c r="AJ913" s="50">
        <v>0</v>
      </c>
      <c r="AK913" s="550"/>
      <c r="AL913" s="550"/>
      <c r="AM913" s="550"/>
      <c r="AN913" s="50" t="s">
        <v>3342</v>
      </c>
      <c r="AO913" s="50" t="s">
        <v>3343</v>
      </c>
      <c r="AP913" s="50"/>
      <c r="AQ913" s="50" t="s">
        <v>3227</v>
      </c>
    </row>
    <row r="914" spans="1:44" ht="19.2">
      <c r="A914" s="50">
        <v>9040008</v>
      </c>
      <c r="B914" s="5" t="s">
        <v>3638</v>
      </c>
      <c r="C914" s="224" t="s">
        <v>5233</v>
      </c>
      <c r="D914" s="3" t="s">
        <v>3197</v>
      </c>
      <c r="E914" s="3" t="s">
        <v>2785</v>
      </c>
      <c r="F914" s="3">
        <v>1</v>
      </c>
      <c r="G914" s="3">
        <v>0</v>
      </c>
      <c r="H914" s="3" t="s">
        <v>82</v>
      </c>
      <c r="I914" s="5" t="s">
        <v>3640</v>
      </c>
      <c r="J914" s="3"/>
      <c r="K914" s="3"/>
      <c r="L914" s="537"/>
      <c r="M914" s="99"/>
      <c r="N914" s="99"/>
      <c r="O914" s="3" t="s">
        <v>3225</v>
      </c>
      <c r="P914" s="22"/>
      <c r="Q914" s="22">
        <v>0</v>
      </c>
      <c r="R914" s="22"/>
      <c r="S914" s="3">
        <v>9000002</v>
      </c>
      <c r="T914" s="260"/>
      <c r="U914" s="261"/>
      <c r="V914" s="22" t="s">
        <v>582</v>
      </c>
      <c r="W914" s="57" t="s">
        <v>5228</v>
      </c>
      <c r="X914" s="57" t="s">
        <v>5228</v>
      </c>
      <c r="AE914" s="1">
        <v>2</v>
      </c>
      <c r="AF914" s="3">
        <v>0</v>
      </c>
      <c r="AG914" s="3">
        <v>1</v>
      </c>
      <c r="AH914" s="3"/>
      <c r="AI914" s="1">
        <v>0</v>
      </c>
      <c r="AJ914" s="539">
        <v>0</v>
      </c>
      <c r="AN914" s="540" t="s">
        <v>3344</v>
      </c>
      <c r="AO914" s="540"/>
      <c r="AP914" s="540"/>
      <c r="AQ914" s="1" t="s">
        <v>3227</v>
      </c>
    </row>
    <row r="915" spans="1:44" ht="28.8">
      <c r="A915" s="50">
        <v>9040009</v>
      </c>
      <c r="B915" s="5" t="s">
        <v>3638</v>
      </c>
      <c r="C915" s="224" t="s">
        <v>5262</v>
      </c>
      <c r="D915" s="50" t="s">
        <v>3197</v>
      </c>
      <c r="E915" s="50" t="s">
        <v>765</v>
      </c>
      <c r="F915" s="50">
        <v>1</v>
      </c>
      <c r="G915" s="50">
        <v>4</v>
      </c>
      <c r="H915" s="50" t="s">
        <v>82</v>
      </c>
      <c r="I915" s="5" t="s">
        <v>3640</v>
      </c>
      <c r="J915" s="50"/>
      <c r="L915" s="220" t="s">
        <v>3346</v>
      </c>
      <c r="O915" s="542"/>
      <c r="P915" s="543"/>
      <c r="Q915" s="543">
        <v>0</v>
      </c>
      <c r="R915" s="543"/>
      <c r="S915" s="3">
        <v>9040008</v>
      </c>
      <c r="T915" s="547"/>
      <c r="U915" s="548">
        <v>0</v>
      </c>
      <c r="V915" s="22" t="s">
        <v>582</v>
      </c>
      <c r="W915" s="57" t="s">
        <v>5263</v>
      </c>
      <c r="X915" s="57" t="s">
        <v>5263</v>
      </c>
      <c r="AD915" s="50"/>
      <c r="AE915" s="50">
        <v>2</v>
      </c>
      <c r="AF915" s="50"/>
      <c r="AG915" s="50"/>
      <c r="AH915" s="50"/>
      <c r="AI915" s="50"/>
      <c r="AJ915" s="50"/>
      <c r="AK915" s="555"/>
      <c r="AL915" s="555"/>
      <c r="AM915" s="555"/>
      <c r="AN915" s="50"/>
      <c r="AO915" s="50"/>
      <c r="AP915" s="50"/>
      <c r="AQ915" s="50" t="s">
        <v>3348</v>
      </c>
    </row>
    <row r="916" spans="1:44" ht="19.2">
      <c r="A916" s="50">
        <v>9050001</v>
      </c>
      <c r="B916" s="5" t="s">
        <v>3638</v>
      </c>
      <c r="C916" s="224" t="s">
        <v>5264</v>
      </c>
      <c r="D916" s="50" t="s">
        <v>3197</v>
      </c>
      <c r="E916" s="50" t="s">
        <v>1009</v>
      </c>
      <c r="F916" s="50">
        <v>1</v>
      </c>
      <c r="G916" s="50">
        <v>5</v>
      </c>
      <c r="H916" s="50" t="s">
        <v>82</v>
      </c>
      <c r="I916" s="5" t="s">
        <v>3640</v>
      </c>
      <c r="J916" s="50"/>
      <c r="L916" s="220" t="s">
        <v>3350</v>
      </c>
      <c r="O916" s="542"/>
      <c r="P916" s="543">
        <v>1</v>
      </c>
      <c r="Q916" s="543">
        <v>0</v>
      </c>
      <c r="R916" s="543" t="s">
        <v>85</v>
      </c>
      <c r="S916" s="3">
        <v>9050001</v>
      </c>
      <c r="T916" s="260" t="s">
        <v>3246</v>
      </c>
      <c r="U916" s="261" t="s">
        <v>3247</v>
      </c>
      <c r="V916" s="22" t="s">
        <v>582</v>
      </c>
      <c r="W916" s="57" t="s">
        <v>5265</v>
      </c>
      <c r="X916" s="57" t="s">
        <v>5265</v>
      </c>
      <c r="AD916" s="50"/>
      <c r="AE916" s="50">
        <v>0</v>
      </c>
      <c r="AF916" s="50">
        <v>0</v>
      </c>
      <c r="AG916" s="50">
        <v>0</v>
      </c>
      <c r="AH916" s="50"/>
      <c r="AI916" s="50">
        <v>15</v>
      </c>
      <c r="AJ916" s="50">
        <v>15</v>
      </c>
      <c r="AK916" s="550" t="s">
        <v>3352</v>
      </c>
      <c r="AL916" s="550"/>
      <c r="AM916" s="550"/>
      <c r="AN916" s="50" t="s">
        <v>3353</v>
      </c>
      <c r="AO916" s="50"/>
      <c r="AP916" s="50"/>
      <c r="AQ916" s="50" t="s">
        <v>3354</v>
      </c>
    </row>
    <row r="917" spans="1:44" ht="19.2">
      <c r="A917" s="50">
        <v>9050002</v>
      </c>
      <c r="B917" s="5" t="s">
        <v>3638</v>
      </c>
      <c r="C917" s="224" t="s">
        <v>5266</v>
      </c>
      <c r="D917" s="50" t="s">
        <v>3197</v>
      </c>
      <c r="E917" s="50" t="s">
        <v>1009</v>
      </c>
      <c r="F917" s="50">
        <v>1</v>
      </c>
      <c r="G917" s="50">
        <v>5</v>
      </c>
      <c r="H917" s="50" t="s">
        <v>82</v>
      </c>
      <c r="I917" s="5" t="s">
        <v>3640</v>
      </c>
      <c r="J917" s="50"/>
      <c r="L917" s="220" t="s">
        <v>3356</v>
      </c>
      <c r="O917" s="50"/>
      <c r="P917" s="543">
        <v>1</v>
      </c>
      <c r="Q917" s="543">
        <v>0</v>
      </c>
      <c r="R917" s="543" t="s">
        <v>85</v>
      </c>
      <c r="S917" s="3">
        <v>9050002</v>
      </c>
      <c r="T917" s="260" t="s">
        <v>3253</v>
      </c>
      <c r="U917" s="261" t="s">
        <v>3254</v>
      </c>
      <c r="V917" s="22" t="s">
        <v>582</v>
      </c>
      <c r="W917" s="57" t="s">
        <v>5265</v>
      </c>
      <c r="X917" s="57" t="s">
        <v>5265</v>
      </c>
      <c r="AD917" s="50"/>
      <c r="AE917" s="50">
        <v>0</v>
      </c>
      <c r="AF917" s="50">
        <v>0</v>
      </c>
      <c r="AG917" s="50">
        <v>0</v>
      </c>
      <c r="AH917" s="50"/>
      <c r="AI917" s="50">
        <v>20</v>
      </c>
      <c r="AJ917" s="50">
        <v>18</v>
      </c>
      <c r="AK917" s="550" t="s">
        <v>3352</v>
      </c>
      <c r="AL917" s="550"/>
      <c r="AM917" s="550"/>
      <c r="AN917" s="50" t="s">
        <v>3357</v>
      </c>
      <c r="AO917" s="50"/>
      <c r="AP917" s="50"/>
      <c r="AQ917" s="50" t="s">
        <v>3358</v>
      </c>
    </row>
    <row r="918" spans="1:44" ht="19.2">
      <c r="A918" s="51">
        <v>9050003</v>
      </c>
      <c r="B918" s="5" t="s">
        <v>3638</v>
      </c>
      <c r="C918" s="224" t="s">
        <v>5267</v>
      </c>
      <c r="D918" s="51" t="s">
        <v>3197</v>
      </c>
      <c r="E918" s="51" t="s">
        <v>1009</v>
      </c>
      <c r="F918" s="51">
        <v>1</v>
      </c>
      <c r="G918" s="51">
        <v>5</v>
      </c>
      <c r="H918" s="51" t="s">
        <v>82</v>
      </c>
      <c r="I918" s="5" t="s">
        <v>3640</v>
      </c>
      <c r="J918" s="51"/>
      <c r="K918" s="51"/>
      <c r="L918" s="544" t="s">
        <v>3360</v>
      </c>
      <c r="M918" s="545"/>
      <c r="N918" s="545"/>
      <c r="O918" s="51"/>
      <c r="P918" s="546">
        <v>1</v>
      </c>
      <c r="Q918" s="546">
        <v>0</v>
      </c>
      <c r="R918" s="546" t="s">
        <v>85</v>
      </c>
      <c r="S918" s="51">
        <v>9050003</v>
      </c>
      <c r="T918" s="260" t="s">
        <v>3259</v>
      </c>
      <c r="U918" s="261" t="s">
        <v>3260</v>
      </c>
      <c r="V918" s="546" t="s">
        <v>582</v>
      </c>
      <c r="W918" s="57" t="s">
        <v>5265</v>
      </c>
      <c r="X918" s="57" t="s">
        <v>5265</v>
      </c>
      <c r="Y918" s="546"/>
      <c r="Z918" s="546"/>
      <c r="AA918" s="546"/>
      <c r="AB918" s="546"/>
      <c r="AC918" s="51"/>
      <c r="AD918" s="51"/>
      <c r="AE918" s="552">
        <v>0</v>
      </c>
      <c r="AF918" s="552">
        <v>0</v>
      </c>
      <c r="AG918" s="552">
        <v>0</v>
      </c>
      <c r="AH918" s="552"/>
      <c r="AI918" s="552">
        <v>25</v>
      </c>
      <c r="AJ918" s="552">
        <v>20</v>
      </c>
      <c r="AK918" s="51" t="s">
        <v>3352</v>
      </c>
      <c r="AL918" s="51"/>
      <c r="AM918" s="51"/>
      <c r="AN918" s="556" t="s">
        <v>3361</v>
      </c>
      <c r="AO918" s="556"/>
      <c r="AP918" s="556"/>
      <c r="AQ918" s="51" t="s">
        <v>3362</v>
      </c>
      <c r="AR918" s="423"/>
    </row>
    <row r="919" spans="1:44" ht="19.2">
      <c r="A919" s="51">
        <v>9050004</v>
      </c>
      <c r="B919" s="5" t="s">
        <v>3638</v>
      </c>
      <c r="C919" s="224" t="s">
        <v>5268</v>
      </c>
      <c r="D919" s="51" t="s">
        <v>3197</v>
      </c>
      <c r="E919" s="51" t="s">
        <v>1009</v>
      </c>
      <c r="F919" s="51">
        <v>1</v>
      </c>
      <c r="G919" s="51">
        <v>5</v>
      </c>
      <c r="H919" s="51" t="s">
        <v>82</v>
      </c>
      <c r="I919" s="5" t="s">
        <v>3640</v>
      </c>
      <c r="J919" s="51"/>
      <c r="K919" s="51"/>
      <c r="L919" s="544" t="s">
        <v>3364</v>
      </c>
      <c r="M919" s="545"/>
      <c r="N919" s="545"/>
      <c r="O919" s="51"/>
      <c r="P919" s="546">
        <v>1</v>
      </c>
      <c r="Q919" s="546">
        <v>0</v>
      </c>
      <c r="R919" s="546" t="s">
        <v>85</v>
      </c>
      <c r="S919" s="51">
        <v>9050004</v>
      </c>
      <c r="T919" s="260" t="s">
        <v>3265</v>
      </c>
      <c r="U919" s="261" t="s">
        <v>3266</v>
      </c>
      <c r="V919" s="546" t="s">
        <v>582</v>
      </c>
      <c r="W919" s="57" t="s">
        <v>5265</v>
      </c>
      <c r="X919" s="57" t="s">
        <v>5265</v>
      </c>
      <c r="Y919" s="546"/>
      <c r="Z919" s="546"/>
      <c r="AA919" s="546"/>
      <c r="AB919" s="546"/>
      <c r="AC919" s="51"/>
      <c r="AD919" s="51"/>
      <c r="AE919" s="552">
        <v>0</v>
      </c>
      <c r="AF919" s="552">
        <v>0</v>
      </c>
      <c r="AG919" s="552">
        <v>0</v>
      </c>
      <c r="AH919" s="552"/>
      <c r="AI919" s="552">
        <v>30</v>
      </c>
      <c r="AJ919" s="552">
        <v>23</v>
      </c>
      <c r="AK919" s="51" t="s">
        <v>3352</v>
      </c>
      <c r="AL919" s="51"/>
      <c r="AM919" s="51"/>
      <c r="AN919" s="556" t="s">
        <v>3365</v>
      </c>
      <c r="AO919" s="556"/>
      <c r="AP919" s="556"/>
      <c r="AQ919" s="51" t="s">
        <v>3366</v>
      </c>
      <c r="AR919" s="423"/>
    </row>
    <row r="920" spans="1:44" ht="19.2">
      <c r="A920" s="51">
        <v>9050005</v>
      </c>
      <c r="B920" s="5" t="s">
        <v>3638</v>
      </c>
      <c r="C920" s="224" t="s">
        <v>5269</v>
      </c>
      <c r="D920" s="51" t="s">
        <v>3197</v>
      </c>
      <c r="E920" s="51" t="s">
        <v>1009</v>
      </c>
      <c r="F920" s="51">
        <v>1</v>
      </c>
      <c r="G920" s="51">
        <v>5</v>
      </c>
      <c r="H920" s="51" t="s">
        <v>82</v>
      </c>
      <c r="I920" s="5" t="s">
        <v>3640</v>
      </c>
      <c r="J920" s="51"/>
      <c r="K920" s="51"/>
      <c r="L920" s="544" t="s">
        <v>3270</v>
      </c>
      <c r="M920" s="545"/>
      <c r="N920" s="545"/>
      <c r="O920" s="51"/>
      <c r="P920" s="546">
        <v>2</v>
      </c>
      <c r="Q920" s="546">
        <v>0</v>
      </c>
      <c r="R920" s="546" t="s">
        <v>85</v>
      </c>
      <c r="S920" s="51">
        <v>9050005</v>
      </c>
      <c r="T920" s="415" t="s">
        <v>3271</v>
      </c>
      <c r="U920" s="416" t="s">
        <v>3272</v>
      </c>
      <c r="V920" s="546" t="s">
        <v>582</v>
      </c>
      <c r="W920" s="57" t="s">
        <v>5270</v>
      </c>
      <c r="X920" s="57" t="s">
        <v>5270</v>
      </c>
      <c r="Y920" s="546"/>
      <c r="Z920" s="546"/>
      <c r="AA920" s="546"/>
      <c r="AB920" s="546" t="s">
        <v>90</v>
      </c>
      <c r="AC920" s="553" t="s">
        <v>3274</v>
      </c>
      <c r="AD920" s="51"/>
      <c r="AE920" s="552">
        <v>2</v>
      </c>
      <c r="AF920" s="552">
        <v>0</v>
      </c>
      <c r="AG920" s="552">
        <v>1</v>
      </c>
      <c r="AH920" s="552"/>
      <c r="AI920" s="552">
        <v>52</v>
      </c>
      <c r="AJ920" s="552">
        <v>39</v>
      </c>
      <c r="AK920" s="51" t="s">
        <v>3352</v>
      </c>
      <c r="AL920" s="51"/>
      <c r="AM920" s="51"/>
      <c r="AN920" s="556" t="s">
        <v>3369</v>
      </c>
      <c r="AO920" s="556"/>
      <c r="AP920" s="556"/>
      <c r="AQ920" s="51" t="s">
        <v>3370</v>
      </c>
      <c r="AR920" s="423">
        <v>261</v>
      </c>
    </row>
    <row r="921" spans="1:44" ht="19.2">
      <c r="A921" s="51">
        <v>9050006</v>
      </c>
      <c r="B921" s="5" t="s">
        <v>3638</v>
      </c>
      <c r="C921" s="224" t="s">
        <v>5269</v>
      </c>
      <c r="D921" s="51" t="s">
        <v>3197</v>
      </c>
      <c r="E921" s="51" t="s">
        <v>1009</v>
      </c>
      <c r="F921" s="51">
        <v>1</v>
      </c>
      <c r="G921" s="51">
        <v>5</v>
      </c>
      <c r="H921" s="51" t="s">
        <v>82</v>
      </c>
      <c r="I921" s="5" t="s">
        <v>3640</v>
      </c>
      <c r="J921" s="51"/>
      <c r="K921" s="51"/>
      <c r="L921" s="544" t="s">
        <v>3277</v>
      </c>
      <c r="M921" s="545"/>
      <c r="N921" s="545"/>
      <c r="O921" s="51"/>
      <c r="P921" s="546">
        <v>3</v>
      </c>
      <c r="Q921" s="546">
        <v>0</v>
      </c>
      <c r="R921" s="546" t="s">
        <v>85</v>
      </c>
      <c r="S921" s="51">
        <v>9050006</v>
      </c>
      <c r="T921" s="260" t="s">
        <v>3271</v>
      </c>
      <c r="U921" s="261" t="s">
        <v>3272</v>
      </c>
      <c r="V921" s="546" t="s">
        <v>582</v>
      </c>
      <c r="W921" s="57" t="s">
        <v>5270</v>
      </c>
      <c r="X921" s="57" t="s">
        <v>5270</v>
      </c>
      <c r="Y921" s="546"/>
      <c r="Z921" s="546"/>
      <c r="AA921" s="546"/>
      <c r="AB921" s="546" t="s">
        <v>90</v>
      </c>
      <c r="AC921" s="51" t="s">
        <v>1155</v>
      </c>
      <c r="AD921" s="51"/>
      <c r="AE921" s="552">
        <v>2</v>
      </c>
      <c r="AF921" s="552">
        <v>0</v>
      </c>
      <c r="AG921" s="552">
        <v>1</v>
      </c>
      <c r="AH921" s="552"/>
      <c r="AI921" s="552">
        <v>52</v>
      </c>
      <c r="AJ921" s="552">
        <v>39</v>
      </c>
      <c r="AK921" s="557" t="s">
        <v>3352</v>
      </c>
      <c r="AL921" s="557"/>
      <c r="AM921" s="557"/>
      <c r="AN921" s="556" t="s">
        <v>3369</v>
      </c>
      <c r="AO921" s="556"/>
      <c r="AP921" s="556"/>
      <c r="AQ921" s="51" t="s">
        <v>3370</v>
      </c>
      <c r="AR921" s="423">
        <v>261</v>
      </c>
    </row>
    <row r="922" spans="1:44" ht="19.2">
      <c r="A922" s="3">
        <v>9050021</v>
      </c>
      <c r="B922" s="5" t="s">
        <v>3638</v>
      </c>
      <c r="C922" s="224" t="s">
        <v>5227</v>
      </c>
      <c r="D922" s="3" t="s">
        <v>3197</v>
      </c>
      <c r="E922" s="3" t="s">
        <v>2785</v>
      </c>
      <c r="F922" s="3">
        <v>1</v>
      </c>
      <c r="G922" s="3">
        <v>5</v>
      </c>
      <c r="H922" s="3" t="s">
        <v>82</v>
      </c>
      <c r="I922" s="5" t="s">
        <v>3640</v>
      </c>
      <c r="J922" s="3"/>
      <c r="K922" s="3"/>
      <c r="L922" s="365" t="s">
        <v>3278</v>
      </c>
      <c r="M922" s="99"/>
      <c r="N922" s="99"/>
      <c r="O922" s="3" t="s">
        <v>3225</v>
      </c>
      <c r="P922" s="22">
        <v>0</v>
      </c>
      <c r="Q922" s="22">
        <v>0</v>
      </c>
      <c r="R922" s="22"/>
      <c r="S922" s="3">
        <v>9050021</v>
      </c>
      <c r="T922" s="260"/>
      <c r="U922" s="261"/>
      <c r="V922" s="22" t="s">
        <v>582</v>
      </c>
      <c r="W922" s="57" t="s">
        <v>5228</v>
      </c>
      <c r="X922" s="57" t="s">
        <v>5228</v>
      </c>
      <c r="Y922" s="549"/>
      <c r="Z922" s="549"/>
      <c r="AA922" s="549">
        <v>1</v>
      </c>
      <c r="AB922" s="549"/>
      <c r="AC922" s="550"/>
      <c r="AD922" s="550"/>
      <c r="AE922" s="550">
        <v>2</v>
      </c>
      <c r="AF922" s="550">
        <v>0</v>
      </c>
      <c r="AG922" s="550">
        <v>1</v>
      </c>
      <c r="AH922" s="550"/>
      <c r="AI922" s="550">
        <v>0</v>
      </c>
      <c r="AJ922" s="550">
        <v>0</v>
      </c>
      <c r="AK922" s="550"/>
      <c r="AL922" s="550"/>
      <c r="AM922" s="550"/>
      <c r="AN922" s="558" t="s">
        <v>3371</v>
      </c>
      <c r="AO922" s="558" t="s">
        <v>3372</v>
      </c>
      <c r="AP922" s="558"/>
      <c r="AQ922" s="550" t="s">
        <v>3227</v>
      </c>
      <c r="AR922" s="559"/>
    </row>
    <row r="923" spans="1:44" ht="19.2">
      <c r="A923" s="3">
        <v>9050022</v>
      </c>
      <c r="B923" s="5" t="s">
        <v>3638</v>
      </c>
      <c r="C923" s="224" t="s">
        <v>5233</v>
      </c>
      <c r="D923" s="3" t="s">
        <v>3197</v>
      </c>
      <c r="E923" s="3" t="s">
        <v>2785</v>
      </c>
      <c r="F923" s="3">
        <v>1</v>
      </c>
      <c r="G923" s="3">
        <v>0</v>
      </c>
      <c r="H923" s="3" t="s">
        <v>82</v>
      </c>
      <c r="I923" s="5" t="s">
        <v>3640</v>
      </c>
      <c r="J923" s="3"/>
      <c r="K923" s="3"/>
      <c r="L923" s="537"/>
      <c r="M923" s="99"/>
      <c r="N923" s="99"/>
      <c r="O923" s="3" t="s">
        <v>3225</v>
      </c>
      <c r="P923" s="22"/>
      <c r="Q923" s="22">
        <v>0</v>
      </c>
      <c r="R923" s="22"/>
      <c r="S923" s="3">
        <v>9000002</v>
      </c>
      <c r="T923" s="260"/>
      <c r="U923" s="261"/>
      <c r="V923" s="22" t="s">
        <v>582</v>
      </c>
      <c r="W923" s="57" t="s">
        <v>5228</v>
      </c>
      <c r="X923" s="57" t="s">
        <v>5228</v>
      </c>
      <c r="AE923" s="1">
        <v>2</v>
      </c>
      <c r="AF923" s="3">
        <v>0</v>
      </c>
      <c r="AG923" s="3">
        <v>1</v>
      </c>
      <c r="AH923" s="3"/>
      <c r="AI923" s="1">
        <v>0</v>
      </c>
      <c r="AJ923" s="539">
        <v>0</v>
      </c>
      <c r="AN923" s="540" t="s">
        <v>3373</v>
      </c>
      <c r="AO923" s="540"/>
      <c r="AP923" s="540"/>
      <c r="AQ923" s="1" t="s">
        <v>3227</v>
      </c>
    </row>
    <row r="924" spans="1:44" ht="19.2">
      <c r="A924" s="3">
        <v>9060001</v>
      </c>
      <c r="B924" s="5" t="s">
        <v>3638</v>
      </c>
      <c r="C924" s="224" t="s">
        <v>5271</v>
      </c>
      <c r="D924" s="3" t="s">
        <v>3197</v>
      </c>
      <c r="E924" s="3" t="s">
        <v>1129</v>
      </c>
      <c r="F924" s="3">
        <v>1</v>
      </c>
      <c r="G924" s="3">
        <v>6</v>
      </c>
      <c r="H924" s="3" t="s">
        <v>82</v>
      </c>
      <c r="I924" s="5" t="s">
        <v>3640</v>
      </c>
      <c r="J924" s="3"/>
      <c r="K924" s="3"/>
      <c r="L924" s="365" t="s">
        <v>3375</v>
      </c>
      <c r="M924" s="99"/>
      <c r="N924" s="99"/>
      <c r="O924" s="3"/>
      <c r="P924" s="22">
        <v>6</v>
      </c>
      <c r="Q924" s="22">
        <v>0</v>
      </c>
      <c r="R924" s="22" t="s">
        <v>85</v>
      </c>
      <c r="S924" s="3">
        <v>9060001</v>
      </c>
      <c r="T924" s="260"/>
      <c r="U924" s="261"/>
      <c r="V924" s="22" t="s">
        <v>582</v>
      </c>
      <c r="W924" s="57" t="s">
        <v>5272</v>
      </c>
      <c r="X924" s="57" t="s">
        <v>5272</v>
      </c>
      <c r="Y924" s="549"/>
      <c r="Z924" s="549"/>
      <c r="AA924" s="549"/>
      <c r="AB924" s="549"/>
      <c r="AC924" s="550"/>
      <c r="AD924" s="550"/>
      <c r="AE924" s="550">
        <v>2</v>
      </c>
      <c r="AF924" s="550">
        <v>0</v>
      </c>
      <c r="AG924" s="550">
        <v>0</v>
      </c>
      <c r="AH924" s="550"/>
      <c r="AI924" s="550">
        <v>20</v>
      </c>
      <c r="AJ924" s="550">
        <v>15</v>
      </c>
      <c r="AK924" s="550"/>
      <c r="AL924" s="550"/>
      <c r="AM924" s="550"/>
      <c r="AN924" s="558" t="s">
        <v>3377</v>
      </c>
      <c r="AO924" s="558"/>
      <c r="AP924" s="558"/>
      <c r="AQ924" s="550" t="s">
        <v>3378</v>
      </c>
      <c r="AR924" s="559"/>
    </row>
    <row r="925" spans="1:44" ht="19.2">
      <c r="A925" s="3">
        <v>9060002</v>
      </c>
      <c r="B925" s="5" t="s">
        <v>3638</v>
      </c>
      <c r="C925" s="224" t="s">
        <v>5273</v>
      </c>
      <c r="D925" s="3" t="s">
        <v>3197</v>
      </c>
      <c r="E925" s="3" t="s">
        <v>1129</v>
      </c>
      <c r="F925" s="3">
        <v>1</v>
      </c>
      <c r="G925" s="3">
        <v>6</v>
      </c>
      <c r="H925" s="3" t="s">
        <v>82</v>
      </c>
      <c r="I925" s="5" t="s">
        <v>3640</v>
      </c>
      <c r="J925" s="3"/>
      <c r="K925" s="3"/>
      <c r="L925" s="365" t="s">
        <v>3380</v>
      </c>
      <c r="M925" s="99"/>
      <c r="N925" s="99"/>
      <c r="O925" s="3"/>
      <c r="P925" s="22">
        <v>6</v>
      </c>
      <c r="Q925" s="22">
        <v>0</v>
      </c>
      <c r="R925" s="22" t="s">
        <v>85</v>
      </c>
      <c r="S925" s="3">
        <v>9060002</v>
      </c>
      <c r="T925" s="260"/>
      <c r="U925" s="261"/>
      <c r="V925" s="22" t="s">
        <v>582</v>
      </c>
      <c r="W925" s="57" t="s">
        <v>5272</v>
      </c>
      <c r="X925" s="57" t="s">
        <v>5272</v>
      </c>
      <c r="Y925" s="549"/>
      <c r="Z925" s="549"/>
      <c r="AA925" s="549"/>
      <c r="AB925" s="549"/>
      <c r="AC925" s="550"/>
      <c r="AD925" s="550"/>
      <c r="AE925" s="550">
        <v>2</v>
      </c>
      <c r="AF925" s="550">
        <v>0</v>
      </c>
      <c r="AG925" s="550">
        <v>0</v>
      </c>
      <c r="AH925" s="550"/>
      <c r="AI925" s="550">
        <v>30</v>
      </c>
      <c r="AJ925" s="550">
        <v>18</v>
      </c>
      <c r="AK925" s="550"/>
      <c r="AL925" s="550"/>
      <c r="AM925" s="550"/>
      <c r="AN925" s="558" t="s">
        <v>3381</v>
      </c>
      <c r="AO925" s="558"/>
      <c r="AP925" s="558"/>
      <c r="AQ925" s="550" t="s">
        <v>3382</v>
      </c>
      <c r="AR925" s="559"/>
    </row>
    <row r="926" spans="1:44" ht="19.2">
      <c r="A926" s="3">
        <v>9060003</v>
      </c>
      <c r="B926" s="5" t="s">
        <v>3638</v>
      </c>
      <c r="C926" s="224" t="s">
        <v>5274</v>
      </c>
      <c r="D926" s="3" t="s">
        <v>3197</v>
      </c>
      <c r="E926" s="3" t="s">
        <v>1129</v>
      </c>
      <c r="F926" s="3">
        <v>1</v>
      </c>
      <c r="G926" s="3">
        <v>6</v>
      </c>
      <c r="H926" s="3" t="s">
        <v>82</v>
      </c>
      <c r="I926" s="5" t="s">
        <v>3640</v>
      </c>
      <c r="J926" s="3"/>
      <c r="K926" s="3"/>
      <c r="L926" s="365" t="s">
        <v>3384</v>
      </c>
      <c r="M926" s="99"/>
      <c r="N926" s="99"/>
      <c r="O926" s="3"/>
      <c r="P926" s="22">
        <v>7</v>
      </c>
      <c r="Q926" s="22">
        <v>0</v>
      </c>
      <c r="R926" s="22" t="s">
        <v>85</v>
      </c>
      <c r="S926" s="3">
        <v>9060003</v>
      </c>
      <c r="T926" s="260"/>
      <c r="U926" s="261"/>
      <c r="V926" s="22" t="s">
        <v>582</v>
      </c>
      <c r="W926" s="57" t="s">
        <v>5272</v>
      </c>
      <c r="X926" s="57" t="s">
        <v>5272</v>
      </c>
      <c r="Y926" s="549"/>
      <c r="Z926" s="549"/>
      <c r="AA926" s="549"/>
      <c r="AB926" s="549"/>
      <c r="AC926" s="550"/>
      <c r="AD926" s="550"/>
      <c r="AE926" s="550">
        <v>2</v>
      </c>
      <c r="AF926" s="550">
        <v>0</v>
      </c>
      <c r="AG926" s="550">
        <v>0</v>
      </c>
      <c r="AH926" s="550"/>
      <c r="AI926" s="550">
        <v>40</v>
      </c>
      <c r="AJ926" s="550">
        <v>20</v>
      </c>
      <c r="AK926" s="550"/>
      <c r="AL926" s="550"/>
      <c r="AM926" s="550"/>
      <c r="AN926" s="558" t="s">
        <v>3385</v>
      </c>
      <c r="AO926" s="558"/>
      <c r="AP926" s="558"/>
      <c r="AQ926" s="550" t="s">
        <v>3386</v>
      </c>
      <c r="AR926" s="559"/>
    </row>
    <row r="927" spans="1:44" ht="19.2">
      <c r="A927" s="3">
        <v>9060011</v>
      </c>
      <c r="B927" s="5" t="s">
        <v>3638</v>
      </c>
      <c r="C927" s="224" t="s">
        <v>5275</v>
      </c>
      <c r="D927" s="3" t="s">
        <v>3197</v>
      </c>
      <c r="E927" s="3" t="s">
        <v>1129</v>
      </c>
      <c r="F927" s="3">
        <v>1</v>
      </c>
      <c r="G927" s="3">
        <v>6</v>
      </c>
      <c r="H927" s="3" t="s">
        <v>82</v>
      </c>
      <c r="I927" s="5" t="s">
        <v>3640</v>
      </c>
      <c r="J927" s="3"/>
      <c r="K927" s="3"/>
      <c r="L927" s="365" t="s">
        <v>3270</v>
      </c>
      <c r="M927" s="99"/>
      <c r="N927" s="99"/>
      <c r="O927" s="3"/>
      <c r="P927" s="22">
        <v>7</v>
      </c>
      <c r="Q927" s="22">
        <v>0</v>
      </c>
      <c r="R927" s="22" t="s">
        <v>85</v>
      </c>
      <c r="S927" s="3">
        <v>9060011</v>
      </c>
      <c r="T927" s="260"/>
      <c r="U927" s="261"/>
      <c r="V927" s="22" t="s">
        <v>582</v>
      </c>
      <c r="W927" s="57" t="s">
        <v>5276</v>
      </c>
      <c r="X927" s="57" t="s">
        <v>5276</v>
      </c>
      <c r="Y927" s="549"/>
      <c r="Z927" s="549"/>
      <c r="AA927" s="549"/>
      <c r="AB927" s="549"/>
      <c r="AC927" s="550"/>
      <c r="AD927" s="550"/>
      <c r="AE927" s="550">
        <v>2</v>
      </c>
      <c r="AF927" s="550">
        <v>0</v>
      </c>
      <c r="AG927" s="550">
        <v>1</v>
      </c>
      <c r="AH927" s="550"/>
      <c r="AI927" s="550">
        <v>52</v>
      </c>
      <c r="AJ927" s="550">
        <v>39</v>
      </c>
      <c r="AK927" s="550"/>
      <c r="AL927" s="550"/>
      <c r="AM927" s="550"/>
      <c r="AN927" s="558" t="s">
        <v>3389</v>
      </c>
      <c r="AO927" s="558"/>
      <c r="AP927" s="558"/>
      <c r="AQ927" s="550" t="s">
        <v>3390</v>
      </c>
      <c r="AR927" s="559">
        <v>267</v>
      </c>
    </row>
    <row r="928" spans="1:44" ht="19.2">
      <c r="A928" s="3">
        <v>9060012</v>
      </c>
      <c r="B928" s="5" t="s">
        <v>3638</v>
      </c>
      <c r="C928" s="224" t="s">
        <v>5275</v>
      </c>
      <c r="D928" s="3" t="s">
        <v>3197</v>
      </c>
      <c r="E928" s="3" t="s">
        <v>1129</v>
      </c>
      <c r="F928" s="3">
        <v>1</v>
      </c>
      <c r="G928" s="3">
        <v>6</v>
      </c>
      <c r="H928" s="3" t="s">
        <v>82</v>
      </c>
      <c r="I928" s="5" t="s">
        <v>3640</v>
      </c>
      <c r="J928" s="3"/>
      <c r="K928" s="3"/>
      <c r="L928" s="365" t="s">
        <v>3277</v>
      </c>
      <c r="M928" s="99"/>
      <c r="N928" s="99"/>
      <c r="O928" s="3"/>
      <c r="P928" s="22">
        <v>7</v>
      </c>
      <c r="Q928" s="22">
        <v>0</v>
      </c>
      <c r="R928" s="22" t="s">
        <v>85</v>
      </c>
      <c r="S928" s="3">
        <v>9060012</v>
      </c>
      <c r="T928" s="260"/>
      <c r="U928" s="261"/>
      <c r="V928" s="22" t="s">
        <v>582</v>
      </c>
      <c r="W928" s="57" t="s">
        <v>5276</v>
      </c>
      <c r="X928" s="57" t="s">
        <v>5276</v>
      </c>
      <c r="Y928" s="549"/>
      <c r="Z928" s="549"/>
      <c r="AA928" s="549"/>
      <c r="AB928" s="549"/>
      <c r="AC928" s="550"/>
      <c r="AD928" s="550"/>
      <c r="AE928" s="550">
        <v>2</v>
      </c>
      <c r="AF928" s="550">
        <v>0</v>
      </c>
      <c r="AG928" s="550">
        <v>1</v>
      </c>
      <c r="AH928" s="550"/>
      <c r="AI928" s="550">
        <v>52</v>
      </c>
      <c r="AJ928" s="550">
        <v>39</v>
      </c>
      <c r="AK928" s="555"/>
      <c r="AL928" s="555"/>
      <c r="AM928" s="555"/>
      <c r="AN928" s="558" t="s">
        <v>3389</v>
      </c>
      <c r="AO928" s="558"/>
      <c r="AP928" s="558"/>
      <c r="AQ928" s="550" t="s">
        <v>3390</v>
      </c>
      <c r="AR928" s="559">
        <v>267</v>
      </c>
    </row>
    <row r="929" spans="1:44" ht="19.2">
      <c r="A929" s="1">
        <v>9060021</v>
      </c>
      <c r="B929" s="5" t="s">
        <v>3638</v>
      </c>
      <c r="C929" s="224" t="s">
        <v>5227</v>
      </c>
      <c r="D929" s="1" t="s">
        <v>3197</v>
      </c>
      <c r="E929" s="3" t="s">
        <v>2785</v>
      </c>
      <c r="F929" s="1">
        <v>1</v>
      </c>
      <c r="G929" s="1">
        <v>6</v>
      </c>
      <c r="H929" s="1" t="s">
        <v>82</v>
      </c>
      <c r="I929" s="5" t="s">
        <v>3640</v>
      </c>
      <c r="L929" s="220" t="s">
        <v>3278</v>
      </c>
      <c r="O929" s="1" t="s">
        <v>3225</v>
      </c>
      <c r="Q929" s="111">
        <v>0</v>
      </c>
      <c r="S929" s="1">
        <v>9060021</v>
      </c>
      <c r="T929" s="547"/>
      <c r="U929" s="548"/>
      <c r="V929" s="111" t="s">
        <v>582</v>
      </c>
      <c r="W929" s="57" t="s">
        <v>5228</v>
      </c>
      <c r="X929" s="57" t="s">
        <v>5228</v>
      </c>
      <c r="AE929" s="1">
        <v>2</v>
      </c>
      <c r="AF929" s="1">
        <v>0</v>
      </c>
      <c r="AG929" s="1">
        <v>1</v>
      </c>
      <c r="AI929" s="1">
        <v>0</v>
      </c>
      <c r="AJ929" s="1">
        <v>0</v>
      </c>
      <c r="AN929" s="1" t="s">
        <v>3391</v>
      </c>
      <c r="AO929" s="1" t="s">
        <v>3392</v>
      </c>
      <c r="AQ929" s="1" t="s">
        <v>3227</v>
      </c>
    </row>
    <row r="930" spans="1:44" ht="19.2">
      <c r="A930" s="1">
        <v>9060022</v>
      </c>
      <c r="B930" s="5" t="s">
        <v>3638</v>
      </c>
      <c r="C930" s="224" t="s">
        <v>5233</v>
      </c>
      <c r="D930" s="3" t="s">
        <v>3197</v>
      </c>
      <c r="E930" s="3" t="s">
        <v>2785</v>
      </c>
      <c r="F930" s="3">
        <v>1</v>
      </c>
      <c r="G930" s="3">
        <v>0</v>
      </c>
      <c r="H930" s="3" t="s">
        <v>82</v>
      </c>
      <c r="I930" s="5" t="s">
        <v>3640</v>
      </c>
      <c r="J930" s="3"/>
      <c r="K930" s="3"/>
      <c r="L930" s="537"/>
      <c r="M930" s="99"/>
      <c r="N930" s="99"/>
      <c r="O930" s="3" t="s">
        <v>3225</v>
      </c>
      <c r="P930" s="22"/>
      <c r="Q930" s="22">
        <v>0</v>
      </c>
      <c r="R930" s="22"/>
      <c r="S930" s="3">
        <v>9000002</v>
      </c>
      <c r="T930" s="260"/>
      <c r="U930" s="261"/>
      <c r="V930" s="22" t="s">
        <v>582</v>
      </c>
      <c r="W930" s="57" t="s">
        <v>5228</v>
      </c>
      <c r="X930" s="57" t="s">
        <v>5228</v>
      </c>
      <c r="AE930" s="1">
        <v>2</v>
      </c>
      <c r="AF930" s="3">
        <v>0</v>
      </c>
      <c r="AG930" s="3">
        <v>1</v>
      </c>
      <c r="AH930" s="3"/>
      <c r="AI930" s="1">
        <v>0</v>
      </c>
      <c r="AJ930" s="539">
        <v>0</v>
      </c>
      <c r="AN930" s="540" t="s">
        <v>3393</v>
      </c>
      <c r="AO930" s="540"/>
      <c r="AP930" s="540"/>
      <c r="AQ930" s="1" t="s">
        <v>3227</v>
      </c>
    </row>
    <row r="931" spans="1:44" ht="19.2">
      <c r="A931" s="1">
        <v>9090001</v>
      </c>
      <c r="B931" s="5" t="s">
        <v>3638</v>
      </c>
      <c r="C931" s="224" t="s">
        <v>5277</v>
      </c>
      <c r="D931" s="1" t="s">
        <v>3197</v>
      </c>
      <c r="E931" s="1" t="s">
        <v>1227</v>
      </c>
      <c r="F931" s="1">
        <v>1</v>
      </c>
      <c r="G931" s="1">
        <v>9</v>
      </c>
      <c r="H931" s="1" t="s">
        <v>82</v>
      </c>
      <c r="I931" s="5" t="s">
        <v>3640</v>
      </c>
      <c r="L931" s="220" t="s">
        <v>3395</v>
      </c>
      <c r="P931" s="111">
        <v>1</v>
      </c>
      <c r="Q931" s="111">
        <v>0</v>
      </c>
      <c r="R931" s="111" t="s">
        <v>85</v>
      </c>
      <c r="S931" s="1">
        <v>9090001</v>
      </c>
      <c r="T931" s="260" t="s">
        <v>3246</v>
      </c>
      <c r="U931" s="261" t="s">
        <v>3247</v>
      </c>
      <c r="V931" s="111" t="s">
        <v>582</v>
      </c>
      <c r="W931" s="57" t="s">
        <v>5278</v>
      </c>
      <c r="X931" s="57" t="s">
        <v>5278</v>
      </c>
      <c r="AE931" s="1">
        <v>0</v>
      </c>
      <c r="AF931" s="1">
        <v>0</v>
      </c>
      <c r="AG931" s="1">
        <v>0</v>
      </c>
      <c r="AI931" s="1">
        <v>15</v>
      </c>
      <c r="AJ931" s="1">
        <v>15</v>
      </c>
      <c r="AN931" s="1" t="s">
        <v>3397</v>
      </c>
      <c r="AQ931" s="1" t="s">
        <v>3398</v>
      </c>
    </row>
    <row r="932" spans="1:44" ht="19.2">
      <c r="A932" s="1">
        <v>9090002</v>
      </c>
      <c r="B932" s="5" t="s">
        <v>3638</v>
      </c>
      <c r="C932" s="224" t="s">
        <v>5279</v>
      </c>
      <c r="D932" s="1" t="s">
        <v>3197</v>
      </c>
      <c r="E932" s="1" t="s">
        <v>1227</v>
      </c>
      <c r="F932" s="1">
        <v>1</v>
      </c>
      <c r="G932" s="1">
        <v>9</v>
      </c>
      <c r="H932" s="1" t="s">
        <v>82</v>
      </c>
      <c r="I932" s="5" t="s">
        <v>3640</v>
      </c>
      <c r="L932" s="220" t="s">
        <v>3400</v>
      </c>
      <c r="P932" s="111">
        <v>1</v>
      </c>
      <c r="Q932" s="111">
        <v>0</v>
      </c>
      <c r="R932" s="111" t="s">
        <v>85</v>
      </c>
      <c r="S932" s="1">
        <v>9090002</v>
      </c>
      <c r="T932" s="260" t="s">
        <v>3253</v>
      </c>
      <c r="U932" s="261" t="s">
        <v>3254</v>
      </c>
      <c r="V932" s="111" t="s">
        <v>582</v>
      </c>
      <c r="W932" s="57" t="s">
        <v>5278</v>
      </c>
      <c r="X932" s="57" t="s">
        <v>5278</v>
      </c>
      <c r="AE932" s="1">
        <v>0</v>
      </c>
      <c r="AF932" s="1">
        <v>0</v>
      </c>
      <c r="AG932" s="1">
        <v>0</v>
      </c>
      <c r="AI932" s="1">
        <v>20</v>
      </c>
      <c r="AJ932" s="1">
        <v>18</v>
      </c>
      <c r="AN932" s="1" t="s">
        <v>3401</v>
      </c>
      <c r="AQ932" s="1" t="s">
        <v>3402</v>
      </c>
    </row>
    <row r="933" spans="1:44" ht="19.2">
      <c r="A933" s="1">
        <v>9090003</v>
      </c>
      <c r="B933" s="5" t="s">
        <v>3638</v>
      </c>
      <c r="C933" s="224" t="s">
        <v>5280</v>
      </c>
      <c r="D933" s="1" t="s">
        <v>3197</v>
      </c>
      <c r="E933" s="1" t="s">
        <v>1227</v>
      </c>
      <c r="F933" s="1">
        <v>1</v>
      </c>
      <c r="G933" s="1">
        <v>9</v>
      </c>
      <c r="H933" s="1" t="s">
        <v>82</v>
      </c>
      <c r="I933" s="5" t="s">
        <v>3640</v>
      </c>
      <c r="L933" s="220" t="s">
        <v>3404</v>
      </c>
      <c r="P933" s="111">
        <v>2</v>
      </c>
      <c r="Q933" s="111">
        <v>0</v>
      </c>
      <c r="R933" s="111" t="s">
        <v>85</v>
      </c>
      <c r="S933" s="1">
        <v>9090003</v>
      </c>
      <c r="T933" s="260" t="s">
        <v>3259</v>
      </c>
      <c r="U933" s="261" t="s">
        <v>3260</v>
      </c>
      <c r="V933" s="111" t="s">
        <v>582</v>
      </c>
      <c r="W933" s="57" t="s">
        <v>5278</v>
      </c>
      <c r="X933" s="57" t="s">
        <v>5278</v>
      </c>
      <c r="AE933" s="1">
        <v>0</v>
      </c>
      <c r="AF933" s="1">
        <v>0</v>
      </c>
      <c r="AG933" s="1">
        <v>0</v>
      </c>
      <c r="AI933" s="1">
        <v>25</v>
      </c>
      <c r="AJ933" s="1">
        <v>20</v>
      </c>
      <c r="AN933" s="1" t="s">
        <v>3405</v>
      </c>
      <c r="AQ933" s="1" t="s">
        <v>3406</v>
      </c>
    </row>
    <row r="934" spans="1:44" ht="19.2">
      <c r="A934" s="1">
        <v>9090004</v>
      </c>
      <c r="B934" s="5" t="s">
        <v>3638</v>
      </c>
      <c r="C934" s="224" t="s">
        <v>5281</v>
      </c>
      <c r="D934" s="1" t="s">
        <v>3197</v>
      </c>
      <c r="E934" s="1" t="s">
        <v>1227</v>
      </c>
      <c r="F934" s="1">
        <v>1</v>
      </c>
      <c r="G934" s="1">
        <v>9</v>
      </c>
      <c r="H934" s="1" t="s">
        <v>82</v>
      </c>
      <c r="I934" s="5" t="s">
        <v>3640</v>
      </c>
      <c r="L934" s="220" t="s">
        <v>3408</v>
      </c>
      <c r="P934" s="111">
        <v>2</v>
      </c>
      <c r="Q934" s="111">
        <v>0</v>
      </c>
      <c r="R934" s="111" t="s">
        <v>85</v>
      </c>
      <c r="S934" s="1">
        <v>9090004</v>
      </c>
      <c r="T934" s="260" t="s">
        <v>3265</v>
      </c>
      <c r="U934" s="261" t="s">
        <v>3266</v>
      </c>
      <c r="V934" s="111" t="s">
        <v>582</v>
      </c>
      <c r="W934" s="57" t="s">
        <v>5278</v>
      </c>
      <c r="X934" s="57" t="s">
        <v>5278</v>
      </c>
      <c r="AE934" s="1">
        <v>0</v>
      </c>
      <c r="AF934" s="1">
        <v>0</v>
      </c>
      <c r="AG934" s="1">
        <v>0</v>
      </c>
      <c r="AI934" s="1">
        <v>30</v>
      </c>
      <c r="AJ934" s="1">
        <v>23</v>
      </c>
      <c r="AN934" s="1" t="s">
        <v>3409</v>
      </c>
      <c r="AQ934" s="1" t="s">
        <v>3410</v>
      </c>
    </row>
    <row r="935" spans="1:44" ht="19.2">
      <c r="A935" s="1">
        <v>9090011</v>
      </c>
      <c r="B935" s="5" t="s">
        <v>3638</v>
      </c>
      <c r="C935" s="224" t="s">
        <v>5282</v>
      </c>
      <c r="D935" s="1" t="s">
        <v>3197</v>
      </c>
      <c r="E935" s="1" t="s">
        <v>1227</v>
      </c>
      <c r="F935" s="1">
        <v>1</v>
      </c>
      <c r="G935" s="1">
        <v>9</v>
      </c>
      <c r="H935" s="1" t="s">
        <v>82</v>
      </c>
      <c r="I935" s="5" t="s">
        <v>3640</v>
      </c>
      <c r="L935" s="220" t="s">
        <v>3270</v>
      </c>
      <c r="P935" s="111">
        <v>2</v>
      </c>
      <c r="Q935" s="111">
        <v>0</v>
      </c>
      <c r="R935" s="111" t="s">
        <v>85</v>
      </c>
      <c r="S935" s="1">
        <v>9090011</v>
      </c>
      <c r="T935" s="547" t="s">
        <v>3271</v>
      </c>
      <c r="U935" s="548" t="s">
        <v>3272</v>
      </c>
      <c r="V935" s="111" t="s">
        <v>582</v>
      </c>
      <c r="W935" s="57" t="s">
        <v>5283</v>
      </c>
      <c r="X935" s="57" t="s">
        <v>5283</v>
      </c>
      <c r="AE935" s="1">
        <v>2</v>
      </c>
      <c r="AF935" s="1">
        <v>0</v>
      </c>
      <c r="AG935" s="1">
        <v>1</v>
      </c>
      <c r="AI935" s="1">
        <v>52</v>
      </c>
      <c r="AJ935" s="1">
        <v>39</v>
      </c>
      <c r="AN935" s="1" t="s">
        <v>3413</v>
      </c>
      <c r="AQ935" s="1" t="s">
        <v>3414</v>
      </c>
      <c r="AR935" s="222">
        <v>273</v>
      </c>
    </row>
    <row r="936" spans="1:44" ht="19.2">
      <c r="A936" s="1">
        <v>9090012</v>
      </c>
      <c r="B936" s="5" t="s">
        <v>3638</v>
      </c>
      <c r="C936" s="224" t="s">
        <v>5282</v>
      </c>
      <c r="D936" s="1" t="s">
        <v>3197</v>
      </c>
      <c r="E936" s="1" t="s">
        <v>1227</v>
      </c>
      <c r="F936" s="1">
        <v>1</v>
      </c>
      <c r="G936" s="1">
        <v>9</v>
      </c>
      <c r="H936" s="1" t="s">
        <v>82</v>
      </c>
      <c r="I936" s="5" t="s">
        <v>3640</v>
      </c>
      <c r="L936" s="220" t="s">
        <v>3277</v>
      </c>
      <c r="P936" s="111">
        <v>2</v>
      </c>
      <c r="Q936" s="111">
        <v>0</v>
      </c>
      <c r="R936" s="111" t="s">
        <v>85</v>
      </c>
      <c r="S936" s="1">
        <v>9090012</v>
      </c>
      <c r="T936" s="260" t="s">
        <v>3271</v>
      </c>
      <c r="U936" s="261" t="s">
        <v>3272</v>
      </c>
      <c r="V936" s="111" t="s">
        <v>582</v>
      </c>
      <c r="W936" s="57" t="s">
        <v>5283</v>
      </c>
      <c r="X936" s="57" t="s">
        <v>5283</v>
      </c>
      <c r="AE936" s="1">
        <v>2</v>
      </c>
      <c r="AF936" s="1">
        <v>0</v>
      </c>
      <c r="AG936" s="1">
        <v>1</v>
      </c>
      <c r="AI936" s="1">
        <v>52</v>
      </c>
      <c r="AJ936" s="1">
        <v>39</v>
      </c>
      <c r="AN936" s="1" t="s">
        <v>3413</v>
      </c>
      <c r="AQ936" s="1" t="s">
        <v>3414</v>
      </c>
      <c r="AR936" s="222">
        <v>273</v>
      </c>
    </row>
    <row r="937" spans="1:44" ht="19.2">
      <c r="A937" s="1">
        <v>9090021</v>
      </c>
      <c r="B937" s="5" t="s">
        <v>3638</v>
      </c>
      <c r="C937" s="224" t="s">
        <v>5227</v>
      </c>
      <c r="D937" s="1" t="s">
        <v>3197</v>
      </c>
      <c r="E937" s="3" t="s">
        <v>2785</v>
      </c>
      <c r="F937" s="1">
        <v>1</v>
      </c>
      <c r="G937" s="1">
        <v>9</v>
      </c>
      <c r="H937" s="1" t="s">
        <v>82</v>
      </c>
      <c r="I937" s="5" t="s">
        <v>3640</v>
      </c>
      <c r="L937" s="220" t="s">
        <v>3278</v>
      </c>
      <c r="O937" s="1" t="s">
        <v>3225</v>
      </c>
      <c r="Q937" s="111">
        <v>0</v>
      </c>
      <c r="S937" s="1">
        <v>9090021</v>
      </c>
      <c r="T937" s="547"/>
      <c r="U937" s="548"/>
      <c r="V937" s="111" t="s">
        <v>582</v>
      </c>
      <c r="W937" s="57" t="s">
        <v>5228</v>
      </c>
      <c r="X937" s="57" t="s">
        <v>5228</v>
      </c>
      <c r="AE937" s="1">
        <v>2</v>
      </c>
      <c r="AF937" s="1">
        <v>0</v>
      </c>
      <c r="AG937" s="1">
        <v>1</v>
      </c>
      <c r="AI937" s="1">
        <v>0</v>
      </c>
      <c r="AJ937" s="1">
        <v>0</v>
      </c>
      <c r="AN937" s="1" t="s">
        <v>3415</v>
      </c>
      <c r="AO937" s="1" t="s">
        <v>3416</v>
      </c>
      <c r="AQ937" s="1" t="s">
        <v>3227</v>
      </c>
    </row>
    <row r="938" spans="1:44" ht="19.2">
      <c r="A938" s="1">
        <v>9090022</v>
      </c>
      <c r="B938" s="5" t="s">
        <v>3638</v>
      </c>
      <c r="C938" s="224" t="s">
        <v>5233</v>
      </c>
      <c r="D938" s="3" t="s">
        <v>3197</v>
      </c>
      <c r="E938" s="3" t="s">
        <v>2785</v>
      </c>
      <c r="F938" s="3">
        <v>1</v>
      </c>
      <c r="G938" s="3">
        <v>0</v>
      </c>
      <c r="H938" s="3" t="s">
        <v>82</v>
      </c>
      <c r="I938" s="5" t="s">
        <v>3640</v>
      </c>
      <c r="J938" s="3"/>
      <c r="K938" s="3"/>
      <c r="L938" s="537"/>
      <c r="M938" s="99"/>
      <c r="N938" s="99"/>
      <c r="O938" s="3" t="s">
        <v>3225</v>
      </c>
      <c r="P938" s="22"/>
      <c r="Q938" s="22">
        <v>0</v>
      </c>
      <c r="R938" s="22"/>
      <c r="S938" s="3">
        <v>9000002</v>
      </c>
      <c r="T938" s="260"/>
      <c r="U938" s="261"/>
      <c r="V938" s="22" t="s">
        <v>582</v>
      </c>
      <c r="W938" s="57" t="s">
        <v>5228</v>
      </c>
      <c r="X938" s="57" t="s">
        <v>5228</v>
      </c>
      <c r="AE938" s="1">
        <v>2</v>
      </c>
      <c r="AF938" s="3">
        <v>0</v>
      </c>
      <c r="AG938" s="3">
        <v>1</v>
      </c>
      <c r="AH938" s="3"/>
      <c r="AI938" s="1">
        <v>0</v>
      </c>
      <c r="AJ938" s="539">
        <v>0</v>
      </c>
      <c r="AN938" s="540" t="s">
        <v>3417</v>
      </c>
      <c r="AO938" s="540"/>
      <c r="AP938" s="540"/>
      <c r="AQ938" s="1" t="s">
        <v>3227</v>
      </c>
    </row>
    <row r="939" spans="1:44" ht="19.2">
      <c r="A939" s="1">
        <v>9100001</v>
      </c>
      <c r="B939" s="5" t="s">
        <v>3638</v>
      </c>
      <c r="C939" s="224" t="s">
        <v>5284</v>
      </c>
      <c r="D939" s="1" t="s">
        <v>3197</v>
      </c>
      <c r="E939" s="1" t="s">
        <v>1341</v>
      </c>
      <c r="F939" s="1">
        <v>1</v>
      </c>
      <c r="G939" s="1">
        <v>10</v>
      </c>
      <c r="H939" s="1" t="s">
        <v>82</v>
      </c>
      <c r="I939" s="5" t="s">
        <v>3640</v>
      </c>
      <c r="L939" s="220" t="s">
        <v>3419</v>
      </c>
      <c r="P939" s="111">
        <v>2</v>
      </c>
      <c r="Q939" s="111">
        <v>0</v>
      </c>
      <c r="R939" s="111" t="s">
        <v>85</v>
      </c>
      <c r="S939" s="1">
        <v>9100001</v>
      </c>
      <c r="T939" s="260" t="s">
        <v>3253</v>
      </c>
      <c r="U939" s="261" t="s">
        <v>3254</v>
      </c>
      <c r="V939" s="111" t="s">
        <v>582</v>
      </c>
      <c r="W939" s="57" t="s">
        <v>5285</v>
      </c>
      <c r="X939" s="57" t="s">
        <v>5285</v>
      </c>
      <c r="AE939" s="1">
        <v>0</v>
      </c>
      <c r="AF939" s="1">
        <v>0</v>
      </c>
      <c r="AG939" s="1">
        <v>0</v>
      </c>
      <c r="AI939" s="1">
        <v>20</v>
      </c>
      <c r="AJ939" s="1">
        <v>19</v>
      </c>
      <c r="AN939" s="1" t="s">
        <v>3421</v>
      </c>
      <c r="AQ939" s="1" t="s">
        <v>3422</v>
      </c>
    </row>
    <row r="940" spans="1:44" ht="19.2">
      <c r="A940" s="1">
        <v>9100002</v>
      </c>
      <c r="B940" s="5" t="s">
        <v>3638</v>
      </c>
      <c r="C940" s="224" t="s">
        <v>5286</v>
      </c>
      <c r="D940" s="1" t="s">
        <v>3197</v>
      </c>
      <c r="E940" s="1" t="s">
        <v>1341</v>
      </c>
      <c r="F940" s="1">
        <v>1</v>
      </c>
      <c r="G940" s="1">
        <v>10</v>
      </c>
      <c r="H940" s="1" t="s">
        <v>82</v>
      </c>
      <c r="I940" s="5" t="s">
        <v>3640</v>
      </c>
      <c r="L940" s="220" t="s">
        <v>3424</v>
      </c>
      <c r="P940" s="111">
        <v>2</v>
      </c>
      <c r="Q940" s="111">
        <v>0</v>
      </c>
      <c r="R940" s="111" t="s">
        <v>85</v>
      </c>
      <c r="S940" s="1">
        <v>9100002</v>
      </c>
      <c r="T940" s="260" t="s">
        <v>3259</v>
      </c>
      <c r="U940" s="261" t="s">
        <v>3260</v>
      </c>
      <c r="V940" s="111" t="s">
        <v>582</v>
      </c>
      <c r="W940" s="57" t="s">
        <v>5285</v>
      </c>
      <c r="X940" s="57" t="s">
        <v>5285</v>
      </c>
      <c r="AE940" s="1">
        <v>0</v>
      </c>
      <c r="AF940" s="1">
        <v>0</v>
      </c>
      <c r="AG940" s="1">
        <v>0</v>
      </c>
      <c r="AI940" s="1">
        <v>30</v>
      </c>
      <c r="AJ940" s="1">
        <v>26</v>
      </c>
      <c r="AN940" s="1" t="s">
        <v>3425</v>
      </c>
      <c r="AQ940" s="1" t="s">
        <v>3426</v>
      </c>
    </row>
    <row r="941" spans="1:44" ht="19.2">
      <c r="A941" s="1">
        <v>9100003</v>
      </c>
      <c r="B941" s="5" t="s">
        <v>3638</v>
      </c>
      <c r="C941" s="224" t="s">
        <v>5287</v>
      </c>
      <c r="D941" s="1" t="s">
        <v>3197</v>
      </c>
      <c r="E941" s="1" t="s">
        <v>1341</v>
      </c>
      <c r="F941" s="1">
        <v>1</v>
      </c>
      <c r="G941" s="1">
        <v>10</v>
      </c>
      <c r="H941" s="1" t="s">
        <v>82</v>
      </c>
      <c r="I941" s="5" t="s">
        <v>3640</v>
      </c>
      <c r="L941" s="220" t="s">
        <v>3428</v>
      </c>
      <c r="P941" s="111">
        <v>3</v>
      </c>
      <c r="Q941" s="111">
        <v>0</v>
      </c>
      <c r="R941" s="111" t="s">
        <v>85</v>
      </c>
      <c r="S941" s="1">
        <v>9100003</v>
      </c>
      <c r="T941" s="260" t="s">
        <v>3265</v>
      </c>
      <c r="U941" s="261" t="s">
        <v>3266</v>
      </c>
      <c r="V941" s="111" t="s">
        <v>582</v>
      </c>
      <c r="W941" s="57" t="s">
        <v>5285</v>
      </c>
      <c r="X941" s="57" t="s">
        <v>5285</v>
      </c>
      <c r="AE941" s="1">
        <v>0</v>
      </c>
      <c r="AF941" s="1">
        <v>0</v>
      </c>
      <c r="AG941" s="1">
        <v>0</v>
      </c>
      <c r="AI941" s="1">
        <v>40</v>
      </c>
      <c r="AJ941" s="1">
        <v>32</v>
      </c>
      <c r="AN941" s="1" t="s">
        <v>3429</v>
      </c>
      <c r="AQ941" s="1" t="s">
        <v>3430</v>
      </c>
    </row>
    <row r="942" spans="1:44" ht="19.2">
      <c r="A942" s="1">
        <v>9100011</v>
      </c>
      <c r="B942" s="5" t="s">
        <v>3638</v>
      </c>
      <c r="C942" s="224" t="s">
        <v>5288</v>
      </c>
      <c r="D942" s="1" t="s">
        <v>3197</v>
      </c>
      <c r="E942" s="1" t="s">
        <v>1341</v>
      </c>
      <c r="F942" s="1">
        <v>1</v>
      </c>
      <c r="G942" s="1">
        <v>10</v>
      </c>
      <c r="H942" s="1" t="s">
        <v>82</v>
      </c>
      <c r="I942" s="5" t="s">
        <v>3640</v>
      </c>
      <c r="L942" s="220" t="s">
        <v>3270</v>
      </c>
      <c r="P942" s="111">
        <v>3</v>
      </c>
      <c r="Q942" s="111">
        <v>0</v>
      </c>
      <c r="R942" s="111" t="s">
        <v>85</v>
      </c>
      <c r="S942" s="1">
        <v>9100011</v>
      </c>
      <c r="T942" s="547" t="s">
        <v>3271</v>
      </c>
      <c r="U942" s="548" t="s">
        <v>3272</v>
      </c>
      <c r="V942" s="111" t="s">
        <v>582</v>
      </c>
      <c r="W942" s="57" t="s">
        <v>5289</v>
      </c>
      <c r="X942" s="57" t="s">
        <v>5289</v>
      </c>
      <c r="AE942" s="1">
        <v>2</v>
      </c>
      <c r="AF942" s="1">
        <v>0</v>
      </c>
      <c r="AG942" s="1">
        <v>1</v>
      </c>
      <c r="AI942" s="1">
        <v>65</v>
      </c>
      <c r="AJ942" s="1">
        <v>26</v>
      </c>
      <c r="AN942" s="1" t="s">
        <v>3433</v>
      </c>
      <c r="AQ942" s="1" t="s">
        <v>3434</v>
      </c>
      <c r="AR942" s="222">
        <v>279</v>
      </c>
    </row>
    <row r="943" spans="1:44" ht="19.2">
      <c r="A943" s="1">
        <v>9100012</v>
      </c>
      <c r="B943" s="5" t="s">
        <v>3638</v>
      </c>
      <c r="C943" s="224" t="s">
        <v>5288</v>
      </c>
      <c r="D943" s="1" t="s">
        <v>3197</v>
      </c>
      <c r="E943" s="1" t="s">
        <v>1341</v>
      </c>
      <c r="F943" s="1">
        <v>1</v>
      </c>
      <c r="G943" s="1">
        <v>10</v>
      </c>
      <c r="H943" s="1" t="s">
        <v>82</v>
      </c>
      <c r="I943" s="5" t="s">
        <v>3640</v>
      </c>
      <c r="L943" s="220" t="s">
        <v>3277</v>
      </c>
      <c r="P943" s="111">
        <v>3</v>
      </c>
      <c r="Q943" s="111">
        <v>0</v>
      </c>
      <c r="R943" s="111" t="s">
        <v>85</v>
      </c>
      <c r="S943" s="1">
        <v>9100012</v>
      </c>
      <c r="T943" s="260" t="s">
        <v>3271</v>
      </c>
      <c r="U943" s="261" t="s">
        <v>3272</v>
      </c>
      <c r="V943" s="111" t="s">
        <v>582</v>
      </c>
      <c r="W943" s="57" t="s">
        <v>5289</v>
      </c>
      <c r="X943" s="57" t="s">
        <v>5289</v>
      </c>
      <c r="AE943" s="1">
        <v>2</v>
      </c>
      <c r="AF943" s="1">
        <v>0</v>
      </c>
      <c r="AG943" s="1">
        <v>1</v>
      </c>
      <c r="AI943" s="1">
        <v>65</v>
      </c>
      <c r="AJ943" s="1">
        <v>52</v>
      </c>
      <c r="AN943" s="1" t="s">
        <v>3433</v>
      </c>
      <c r="AQ943" s="1" t="s">
        <v>3434</v>
      </c>
      <c r="AR943" s="222">
        <v>279</v>
      </c>
    </row>
    <row r="944" spans="1:44" ht="19.2">
      <c r="A944" s="1">
        <v>9100021</v>
      </c>
      <c r="B944" s="5" t="s">
        <v>3638</v>
      </c>
      <c r="C944" s="224" t="s">
        <v>5227</v>
      </c>
      <c r="D944" s="1" t="s">
        <v>3197</v>
      </c>
      <c r="E944" s="3" t="s">
        <v>2785</v>
      </c>
      <c r="F944" s="1">
        <v>1</v>
      </c>
      <c r="G944" s="1">
        <v>10</v>
      </c>
      <c r="H944" s="1" t="s">
        <v>82</v>
      </c>
      <c r="I944" s="5" t="s">
        <v>3640</v>
      </c>
      <c r="L944" s="220" t="s">
        <v>3278</v>
      </c>
      <c r="O944" s="3" t="s">
        <v>3225</v>
      </c>
      <c r="Q944" s="111">
        <v>0</v>
      </c>
      <c r="S944" s="1">
        <v>9100021</v>
      </c>
      <c r="T944" s="547"/>
      <c r="U944" s="548"/>
      <c r="V944" s="111" t="s">
        <v>582</v>
      </c>
      <c r="W944" s="57" t="s">
        <v>5228</v>
      </c>
      <c r="X944" s="57" t="s">
        <v>5228</v>
      </c>
      <c r="AE944" s="1">
        <v>2</v>
      </c>
      <c r="AF944" s="1">
        <v>0</v>
      </c>
      <c r="AG944" s="1">
        <v>1</v>
      </c>
      <c r="AI944" s="1">
        <v>0</v>
      </c>
      <c r="AJ944" s="1">
        <v>0</v>
      </c>
      <c r="AN944" s="1" t="s">
        <v>3435</v>
      </c>
      <c r="AO944" s="1" t="s">
        <v>3436</v>
      </c>
      <c r="AQ944" s="1" t="s">
        <v>3227</v>
      </c>
    </row>
    <row r="945" spans="1:44" ht="19.2">
      <c r="A945" s="1">
        <v>9100022</v>
      </c>
      <c r="B945" s="5" t="s">
        <v>3638</v>
      </c>
      <c r="C945" s="224" t="s">
        <v>5233</v>
      </c>
      <c r="D945" s="3" t="s">
        <v>3197</v>
      </c>
      <c r="E945" s="3" t="s">
        <v>2785</v>
      </c>
      <c r="F945" s="3">
        <v>1</v>
      </c>
      <c r="G945" s="3">
        <v>0</v>
      </c>
      <c r="H945" s="3" t="s">
        <v>82</v>
      </c>
      <c r="I945" s="5" t="s">
        <v>3640</v>
      </c>
      <c r="J945" s="3"/>
      <c r="K945" s="3"/>
      <c r="L945" s="537"/>
      <c r="M945" s="99"/>
      <c r="N945" s="99"/>
      <c r="O945" s="3" t="s">
        <v>3225</v>
      </c>
      <c r="P945" s="22"/>
      <c r="Q945" s="22">
        <v>0</v>
      </c>
      <c r="R945" s="22"/>
      <c r="S945" s="3">
        <v>9000002</v>
      </c>
      <c r="T945" s="260"/>
      <c r="U945" s="261"/>
      <c r="V945" s="22" t="s">
        <v>582</v>
      </c>
      <c r="W945" s="57" t="s">
        <v>5228</v>
      </c>
      <c r="X945" s="57" t="s">
        <v>5228</v>
      </c>
      <c r="AE945" s="1">
        <v>2</v>
      </c>
      <c r="AF945" s="3">
        <v>0</v>
      </c>
      <c r="AG945" s="1">
        <v>1</v>
      </c>
      <c r="AH945" s="3"/>
      <c r="AI945" s="1">
        <v>0</v>
      </c>
      <c r="AJ945" s="539">
        <v>0</v>
      </c>
      <c r="AN945" s="540" t="s">
        <v>3437</v>
      </c>
      <c r="AO945" s="540"/>
      <c r="AP945" s="540"/>
      <c r="AQ945" s="1" t="s">
        <v>3227</v>
      </c>
    </row>
    <row r="946" spans="1:44" ht="19.2">
      <c r="A946" s="1">
        <v>9110001</v>
      </c>
      <c r="B946" s="5" t="s">
        <v>3638</v>
      </c>
      <c r="C946" s="224" t="s">
        <v>5290</v>
      </c>
      <c r="D946" s="1" t="s">
        <v>3197</v>
      </c>
      <c r="E946" s="1" t="s">
        <v>1520</v>
      </c>
      <c r="F946" s="1">
        <v>1</v>
      </c>
      <c r="G946" s="1">
        <v>11</v>
      </c>
      <c r="H946" s="1" t="s">
        <v>82</v>
      </c>
      <c r="I946" s="5" t="s">
        <v>3640</v>
      </c>
      <c r="L946" s="220" t="s">
        <v>3439</v>
      </c>
      <c r="P946" s="111">
        <v>1</v>
      </c>
      <c r="Q946" s="111">
        <v>0</v>
      </c>
      <c r="R946" s="111" t="s">
        <v>85</v>
      </c>
      <c r="S946" s="1">
        <v>9110001</v>
      </c>
      <c r="T946" s="260" t="s">
        <v>3440</v>
      </c>
      <c r="U946" s="261" t="s">
        <v>3441</v>
      </c>
      <c r="V946" s="111" t="s">
        <v>582</v>
      </c>
      <c r="W946" s="57" t="s">
        <v>5291</v>
      </c>
      <c r="X946" s="57" t="s">
        <v>5291</v>
      </c>
      <c r="AC946" s="1">
        <v>0.7</v>
      </c>
      <c r="AE946" s="1">
        <v>0</v>
      </c>
      <c r="AF946" s="1">
        <v>0</v>
      </c>
      <c r="AG946" s="1">
        <v>0</v>
      </c>
      <c r="AI946" s="1">
        <v>20</v>
      </c>
      <c r="AJ946" s="1">
        <v>15</v>
      </c>
      <c r="AN946" s="1" t="s">
        <v>3443</v>
      </c>
      <c r="AQ946" s="1" t="s">
        <v>3444</v>
      </c>
    </row>
    <row r="947" spans="1:44" ht="19.2">
      <c r="A947" s="1">
        <v>9110002</v>
      </c>
      <c r="B947" s="5" t="s">
        <v>3638</v>
      </c>
      <c r="C947" s="224" t="s">
        <v>5292</v>
      </c>
      <c r="D947" s="1" t="s">
        <v>3197</v>
      </c>
      <c r="E947" s="1" t="s">
        <v>1520</v>
      </c>
      <c r="F947" s="1">
        <v>1</v>
      </c>
      <c r="G947" s="1">
        <v>11</v>
      </c>
      <c r="H947" s="1" t="s">
        <v>82</v>
      </c>
      <c r="I947" s="5" t="s">
        <v>3640</v>
      </c>
      <c r="L947" s="220" t="s">
        <v>3446</v>
      </c>
      <c r="P947" s="111">
        <v>1</v>
      </c>
      <c r="Q947" s="111">
        <v>0</v>
      </c>
      <c r="R947" s="111" t="s">
        <v>85</v>
      </c>
      <c r="S947" s="1">
        <v>9110002</v>
      </c>
      <c r="T947" s="260" t="s">
        <v>3440</v>
      </c>
      <c r="U947" s="261" t="s">
        <v>3447</v>
      </c>
      <c r="V947" s="111" t="s">
        <v>582</v>
      </c>
      <c r="W947" s="57" t="s">
        <v>5291</v>
      </c>
      <c r="X947" s="57" t="s">
        <v>5291</v>
      </c>
      <c r="AC947" s="1">
        <v>0.7</v>
      </c>
      <c r="AE947" s="1">
        <v>0</v>
      </c>
      <c r="AF947" s="1">
        <v>0</v>
      </c>
      <c r="AG947" s="1">
        <v>0</v>
      </c>
      <c r="AI947" s="1">
        <v>30</v>
      </c>
      <c r="AJ947" s="1">
        <v>18</v>
      </c>
      <c r="AN947" s="1" t="s">
        <v>3448</v>
      </c>
      <c r="AQ947" s="1" t="s">
        <v>3449</v>
      </c>
    </row>
    <row r="948" spans="1:44" ht="19.2">
      <c r="A948" s="1">
        <v>9110003</v>
      </c>
      <c r="B948" s="5" t="s">
        <v>3638</v>
      </c>
      <c r="C948" s="224" t="s">
        <v>5293</v>
      </c>
      <c r="D948" s="1" t="s">
        <v>3197</v>
      </c>
      <c r="E948" s="1" t="s">
        <v>1520</v>
      </c>
      <c r="F948" s="1">
        <v>1</v>
      </c>
      <c r="G948" s="1">
        <v>11</v>
      </c>
      <c r="H948" s="1" t="s">
        <v>82</v>
      </c>
      <c r="I948" s="5" t="s">
        <v>3640</v>
      </c>
      <c r="L948" s="220" t="s">
        <v>3451</v>
      </c>
      <c r="P948" s="111">
        <v>1</v>
      </c>
      <c r="Q948" s="111">
        <v>0</v>
      </c>
      <c r="R948" s="111" t="s">
        <v>85</v>
      </c>
      <c r="S948" s="1">
        <v>9110003</v>
      </c>
      <c r="T948" s="260" t="s">
        <v>3452</v>
      </c>
      <c r="U948" s="261" t="s">
        <v>3447</v>
      </c>
      <c r="V948" s="111" t="s">
        <v>582</v>
      </c>
      <c r="W948" s="57" t="s">
        <v>5291</v>
      </c>
      <c r="X948" s="57" t="s">
        <v>5291</v>
      </c>
      <c r="AC948" s="1">
        <v>0.7</v>
      </c>
      <c r="AE948" s="1">
        <v>0</v>
      </c>
      <c r="AF948" s="1">
        <v>0</v>
      </c>
      <c r="AG948" s="1">
        <v>0</v>
      </c>
      <c r="AI948" s="1">
        <v>40</v>
      </c>
      <c r="AJ948" s="1">
        <v>20</v>
      </c>
      <c r="AN948" s="1" t="s">
        <v>3453</v>
      </c>
      <c r="AQ948" s="1" t="s">
        <v>3454</v>
      </c>
    </row>
    <row r="949" spans="1:44" ht="19.2">
      <c r="A949" s="1">
        <v>9110011</v>
      </c>
      <c r="B949" s="5" t="s">
        <v>3638</v>
      </c>
      <c r="C949" s="224" t="s">
        <v>5294</v>
      </c>
      <c r="D949" s="1" t="s">
        <v>3197</v>
      </c>
      <c r="E949" s="1" t="s">
        <v>1520</v>
      </c>
      <c r="F949" s="1">
        <v>1</v>
      </c>
      <c r="G949" s="1">
        <v>11</v>
      </c>
      <c r="H949" s="1" t="s">
        <v>82</v>
      </c>
      <c r="I949" s="5" t="s">
        <v>3640</v>
      </c>
      <c r="L949" s="220" t="s">
        <v>3456</v>
      </c>
      <c r="P949" s="111">
        <v>1</v>
      </c>
      <c r="Q949" s="111">
        <v>0</v>
      </c>
      <c r="R949" s="111" t="s">
        <v>85</v>
      </c>
      <c r="S949" s="1">
        <v>9110011</v>
      </c>
      <c r="T949" s="260" t="s">
        <v>3271</v>
      </c>
      <c r="U949" s="261" t="s">
        <v>3272</v>
      </c>
      <c r="V949" s="111" t="s">
        <v>582</v>
      </c>
      <c r="W949" s="57" t="s">
        <v>5295</v>
      </c>
      <c r="X949" s="57" t="s">
        <v>5295</v>
      </c>
      <c r="AC949" s="1">
        <v>0.7</v>
      </c>
      <c r="AE949" s="1">
        <v>2</v>
      </c>
      <c r="AF949" s="1">
        <v>0</v>
      </c>
      <c r="AG949" s="1">
        <v>1</v>
      </c>
      <c r="AI949" s="1">
        <v>39</v>
      </c>
      <c r="AJ949" s="1">
        <v>23</v>
      </c>
      <c r="AN949" s="1" t="s">
        <v>3458</v>
      </c>
      <c r="AQ949" s="1" t="s">
        <v>3459</v>
      </c>
      <c r="AR949" s="222">
        <v>285</v>
      </c>
    </row>
    <row r="950" spans="1:44" ht="19.2">
      <c r="A950" s="1">
        <v>9110012</v>
      </c>
      <c r="B950" s="5" t="s">
        <v>3638</v>
      </c>
      <c r="C950" s="224" t="s">
        <v>5294</v>
      </c>
      <c r="D950" s="1" t="s">
        <v>3197</v>
      </c>
      <c r="E950" s="1" t="s">
        <v>1520</v>
      </c>
      <c r="F950" s="1">
        <v>1</v>
      </c>
      <c r="G950" s="1">
        <v>11</v>
      </c>
      <c r="H950" s="1" t="s">
        <v>82</v>
      </c>
      <c r="I950" s="5" t="s">
        <v>3640</v>
      </c>
      <c r="L950" s="220" t="s">
        <v>3460</v>
      </c>
      <c r="P950" s="111">
        <v>2</v>
      </c>
      <c r="Q950" s="111">
        <v>0</v>
      </c>
      <c r="R950" s="111" t="s">
        <v>85</v>
      </c>
      <c r="S950" s="1">
        <v>9110012</v>
      </c>
      <c r="T950" s="547" t="s">
        <v>3271</v>
      </c>
      <c r="U950" s="548" t="s">
        <v>3272</v>
      </c>
      <c r="V950" s="111" t="s">
        <v>582</v>
      </c>
      <c r="W950" s="57" t="s">
        <v>5295</v>
      </c>
      <c r="X950" s="57" t="s">
        <v>5295</v>
      </c>
      <c r="AB950" s="111" t="s">
        <v>90</v>
      </c>
      <c r="AC950" s="1" t="s">
        <v>1155</v>
      </c>
      <c r="AE950" s="1">
        <v>2</v>
      </c>
      <c r="AF950" s="1">
        <v>0</v>
      </c>
      <c r="AG950" s="1">
        <v>1</v>
      </c>
      <c r="AI950" s="1">
        <v>52</v>
      </c>
      <c r="AJ950" s="1">
        <v>39</v>
      </c>
      <c r="AN950" s="1" t="s">
        <v>3458</v>
      </c>
      <c r="AQ950" s="1" t="s">
        <v>3459</v>
      </c>
      <c r="AR950" s="222">
        <v>285</v>
      </c>
    </row>
    <row r="951" spans="1:44" ht="19.2">
      <c r="A951" s="1">
        <v>9110021</v>
      </c>
      <c r="B951" s="5" t="s">
        <v>3638</v>
      </c>
      <c r="C951" s="224" t="s">
        <v>5227</v>
      </c>
      <c r="D951" s="1" t="s">
        <v>3197</v>
      </c>
      <c r="E951" s="3" t="s">
        <v>2785</v>
      </c>
      <c r="F951" s="1">
        <v>1</v>
      </c>
      <c r="G951" s="1">
        <v>11</v>
      </c>
      <c r="H951" s="1" t="s">
        <v>82</v>
      </c>
      <c r="I951" s="5" t="s">
        <v>3640</v>
      </c>
      <c r="L951" s="220" t="s">
        <v>3278</v>
      </c>
      <c r="O951" s="3" t="s">
        <v>3225</v>
      </c>
      <c r="Q951" s="111">
        <v>0</v>
      </c>
      <c r="R951" s="22"/>
      <c r="S951" s="1">
        <v>9120021</v>
      </c>
      <c r="T951" s="260"/>
      <c r="U951" s="261"/>
      <c r="V951" s="111" t="s">
        <v>582</v>
      </c>
      <c r="W951" s="57" t="s">
        <v>5228</v>
      </c>
      <c r="X951" s="57" t="s">
        <v>5228</v>
      </c>
      <c r="AA951" s="111">
        <v>1</v>
      </c>
      <c r="AE951" s="1">
        <v>2</v>
      </c>
      <c r="AF951" s="1">
        <v>0</v>
      </c>
      <c r="AG951" s="1">
        <v>1</v>
      </c>
      <c r="AI951" s="1">
        <v>0</v>
      </c>
      <c r="AJ951" s="1">
        <v>0</v>
      </c>
      <c r="AN951" s="1" t="s">
        <v>3461</v>
      </c>
      <c r="AO951" s="1" t="s">
        <v>3462</v>
      </c>
      <c r="AQ951" s="1" t="s">
        <v>3227</v>
      </c>
    </row>
    <row r="952" spans="1:44" ht="19.2">
      <c r="A952" s="1">
        <v>9110022</v>
      </c>
      <c r="B952" s="5" t="s">
        <v>3638</v>
      </c>
      <c r="C952" s="224" t="s">
        <v>5233</v>
      </c>
      <c r="D952" s="3" t="s">
        <v>3197</v>
      </c>
      <c r="E952" s="3" t="s">
        <v>2785</v>
      </c>
      <c r="F952" s="3">
        <v>1</v>
      </c>
      <c r="G952" s="3">
        <v>0</v>
      </c>
      <c r="H952" s="3" t="s">
        <v>82</v>
      </c>
      <c r="I952" s="5" t="s">
        <v>3640</v>
      </c>
      <c r="J952" s="3"/>
      <c r="K952" s="3"/>
      <c r="L952" s="537"/>
      <c r="M952" s="99"/>
      <c r="N952" s="99"/>
      <c r="O952" s="3" t="s">
        <v>3225</v>
      </c>
      <c r="P952" s="22"/>
      <c r="Q952" s="22">
        <v>0</v>
      </c>
      <c r="R952" s="22"/>
      <c r="S952" s="3">
        <v>9000002</v>
      </c>
      <c r="T952" s="260"/>
      <c r="U952" s="261"/>
      <c r="V952" s="22" t="s">
        <v>582</v>
      </c>
      <c r="W952" s="57" t="s">
        <v>5228</v>
      </c>
      <c r="X952" s="57" t="s">
        <v>5228</v>
      </c>
      <c r="AE952" s="1">
        <v>2</v>
      </c>
      <c r="AF952" s="1">
        <v>0</v>
      </c>
      <c r="AG952" s="1">
        <v>1</v>
      </c>
      <c r="AH952" s="3"/>
      <c r="AI952" s="1">
        <v>0</v>
      </c>
      <c r="AJ952" s="539">
        <v>0</v>
      </c>
      <c r="AN952" s="540" t="s">
        <v>3463</v>
      </c>
      <c r="AO952" s="540"/>
      <c r="AP952" s="540"/>
      <c r="AQ952" s="1" t="s">
        <v>3227</v>
      </c>
    </row>
    <row r="953" spans="1:44" ht="19.2">
      <c r="A953" s="1">
        <v>9120001</v>
      </c>
      <c r="B953" s="5" t="s">
        <v>3638</v>
      </c>
      <c r="C953" s="224" t="s">
        <v>5296</v>
      </c>
      <c r="D953" s="1" t="s">
        <v>3197</v>
      </c>
      <c r="E953" s="1" t="s">
        <v>1574</v>
      </c>
      <c r="F953" s="1">
        <v>1</v>
      </c>
      <c r="G953" s="1">
        <v>12</v>
      </c>
      <c r="H953" s="1" t="s">
        <v>82</v>
      </c>
      <c r="I953" s="5" t="s">
        <v>3640</v>
      </c>
      <c r="L953" s="220" t="s">
        <v>3465</v>
      </c>
      <c r="P953" s="111">
        <v>1</v>
      </c>
      <c r="Q953" s="111">
        <v>0</v>
      </c>
      <c r="R953" s="111" t="s">
        <v>85</v>
      </c>
      <c r="S953" s="1">
        <v>9120001</v>
      </c>
      <c r="T953" s="260"/>
      <c r="U953" s="261"/>
      <c r="V953" s="111" t="s">
        <v>582</v>
      </c>
      <c r="W953" s="57" t="s">
        <v>5297</v>
      </c>
      <c r="X953" s="57" t="s">
        <v>5297</v>
      </c>
      <c r="AE953" s="1">
        <v>0</v>
      </c>
      <c r="AF953" s="1">
        <v>0</v>
      </c>
      <c r="AG953" s="1">
        <v>0</v>
      </c>
      <c r="AI953" s="1">
        <v>50</v>
      </c>
      <c r="AJ953" s="1">
        <v>15</v>
      </c>
      <c r="AN953" s="1" t="s">
        <v>3467</v>
      </c>
      <c r="AQ953" s="1" t="s">
        <v>3468</v>
      </c>
    </row>
    <row r="954" spans="1:44" ht="19.2">
      <c r="A954" s="1">
        <v>9120011</v>
      </c>
      <c r="B954" s="5" t="s">
        <v>3638</v>
      </c>
      <c r="C954" s="224" t="s">
        <v>5298</v>
      </c>
      <c r="D954" s="1" t="s">
        <v>3197</v>
      </c>
      <c r="E954" s="1" t="s">
        <v>1574</v>
      </c>
      <c r="F954" s="1">
        <v>1</v>
      </c>
      <c r="G954" s="1">
        <v>12</v>
      </c>
      <c r="H954" s="1" t="s">
        <v>82</v>
      </c>
      <c r="I954" s="5" t="s">
        <v>3640</v>
      </c>
      <c r="L954" s="220" t="s">
        <v>3277</v>
      </c>
      <c r="P954" s="111">
        <v>1</v>
      </c>
      <c r="Q954" s="111">
        <v>0</v>
      </c>
      <c r="R954" s="111" t="s">
        <v>85</v>
      </c>
      <c r="S954" s="1">
        <v>9120011</v>
      </c>
      <c r="T954" s="547"/>
      <c r="U954" s="548"/>
      <c r="V954" s="111" t="s">
        <v>582</v>
      </c>
      <c r="W954" s="57" t="s">
        <v>5299</v>
      </c>
      <c r="X954" s="57" t="s">
        <v>5299</v>
      </c>
      <c r="AE954" s="1">
        <v>2</v>
      </c>
      <c r="AF954" s="1">
        <v>0</v>
      </c>
      <c r="AG954" s="1">
        <v>1</v>
      </c>
      <c r="AI954" s="1">
        <v>60</v>
      </c>
      <c r="AJ954" s="1">
        <v>18</v>
      </c>
      <c r="AN954" s="1" t="s">
        <v>3471</v>
      </c>
      <c r="AQ954" s="1" t="s">
        <v>3472</v>
      </c>
      <c r="AR954" s="222">
        <v>297</v>
      </c>
    </row>
    <row r="955" spans="1:44" ht="19.2">
      <c r="A955" s="1">
        <v>9120012</v>
      </c>
      <c r="B955" s="5" t="s">
        <v>3638</v>
      </c>
      <c r="C955" s="224" t="s">
        <v>5298</v>
      </c>
      <c r="D955" s="1" t="s">
        <v>3197</v>
      </c>
      <c r="E955" s="1" t="s">
        <v>1574</v>
      </c>
      <c r="F955" s="1">
        <v>1</v>
      </c>
      <c r="G955" s="1">
        <v>12</v>
      </c>
      <c r="H955" s="1" t="s">
        <v>82</v>
      </c>
      <c r="I955" s="5" t="s">
        <v>3640</v>
      </c>
      <c r="L955" s="220" t="s">
        <v>3473</v>
      </c>
      <c r="P955" s="111">
        <v>2</v>
      </c>
      <c r="Q955" s="111">
        <v>0</v>
      </c>
      <c r="R955" s="111" t="s">
        <v>85</v>
      </c>
      <c r="S955" s="1">
        <v>9120012</v>
      </c>
      <c r="T955" s="547"/>
      <c r="U955" s="548"/>
      <c r="V955" s="111" t="s">
        <v>582</v>
      </c>
      <c r="W955" s="57" t="s">
        <v>5299</v>
      </c>
      <c r="X955" s="57" t="s">
        <v>5299</v>
      </c>
      <c r="AE955" s="1">
        <v>2</v>
      </c>
      <c r="AF955" s="1">
        <v>0</v>
      </c>
      <c r="AG955" s="1">
        <v>1</v>
      </c>
      <c r="AI955" s="1">
        <v>70</v>
      </c>
      <c r="AJ955" s="1">
        <v>20</v>
      </c>
      <c r="AN955" s="1" t="s">
        <v>3471</v>
      </c>
      <c r="AQ955" s="1" t="s">
        <v>3472</v>
      </c>
      <c r="AR955" s="222">
        <v>297</v>
      </c>
    </row>
    <row r="956" spans="1:44" ht="19.2">
      <c r="A956" s="1">
        <v>9120021</v>
      </c>
      <c r="B956" s="5" t="s">
        <v>3638</v>
      </c>
      <c r="C956" s="224" t="s">
        <v>5227</v>
      </c>
      <c r="D956" s="1" t="s">
        <v>3197</v>
      </c>
      <c r="E956" s="3" t="s">
        <v>2785</v>
      </c>
      <c r="F956" s="1">
        <v>1</v>
      </c>
      <c r="G956" s="1">
        <v>12</v>
      </c>
      <c r="H956" s="1" t="s">
        <v>82</v>
      </c>
      <c r="I956" s="5" t="s">
        <v>3640</v>
      </c>
      <c r="L956" s="220" t="s">
        <v>3278</v>
      </c>
      <c r="O956" s="1" t="s">
        <v>3225</v>
      </c>
      <c r="Q956" s="111">
        <v>0</v>
      </c>
      <c r="S956" s="1">
        <v>9120021</v>
      </c>
      <c r="T956" s="260"/>
      <c r="U956" s="261"/>
      <c r="V956" s="111" t="s">
        <v>582</v>
      </c>
      <c r="W956" s="57" t="s">
        <v>5228</v>
      </c>
      <c r="X956" s="57" t="s">
        <v>5228</v>
      </c>
      <c r="AA956" s="111">
        <v>1</v>
      </c>
      <c r="AE956" s="1">
        <v>2</v>
      </c>
      <c r="AF956" s="1">
        <v>0</v>
      </c>
      <c r="AG956" s="1">
        <v>1</v>
      </c>
      <c r="AI956" s="1">
        <v>0</v>
      </c>
      <c r="AJ956" s="1">
        <v>0</v>
      </c>
      <c r="AN956" s="1" t="s">
        <v>3474</v>
      </c>
      <c r="AO956" s="1" t="s">
        <v>3475</v>
      </c>
      <c r="AQ956" s="1" t="s">
        <v>3227</v>
      </c>
    </row>
    <row r="957" spans="1:44" ht="19.2">
      <c r="A957" s="1">
        <v>9120022</v>
      </c>
      <c r="B957" s="5" t="s">
        <v>3638</v>
      </c>
      <c r="C957" s="224" t="s">
        <v>5233</v>
      </c>
      <c r="D957" s="3" t="s">
        <v>3197</v>
      </c>
      <c r="E957" s="3" t="s">
        <v>2785</v>
      </c>
      <c r="F957" s="3">
        <v>1</v>
      </c>
      <c r="G957" s="3">
        <v>0</v>
      </c>
      <c r="H957" s="3" t="s">
        <v>82</v>
      </c>
      <c r="I957" s="5" t="s">
        <v>3640</v>
      </c>
      <c r="J957" s="3"/>
      <c r="K957" s="3"/>
      <c r="L957" s="537"/>
      <c r="M957" s="99"/>
      <c r="N957" s="99"/>
      <c r="O957" s="3" t="s">
        <v>3225</v>
      </c>
      <c r="P957" s="22"/>
      <c r="Q957" s="22">
        <v>0</v>
      </c>
      <c r="R957" s="22"/>
      <c r="S957" s="3">
        <v>9000002</v>
      </c>
      <c r="T957" s="260"/>
      <c r="U957" s="261"/>
      <c r="V957" s="22" t="s">
        <v>582</v>
      </c>
      <c r="W957" s="57" t="s">
        <v>5228</v>
      </c>
      <c r="X957" s="57" t="s">
        <v>5228</v>
      </c>
      <c r="AE957" s="1">
        <v>2</v>
      </c>
      <c r="AF957" s="1">
        <v>0</v>
      </c>
      <c r="AG957" s="1">
        <v>1</v>
      </c>
      <c r="AH957" s="3"/>
      <c r="AI957" s="1">
        <v>0</v>
      </c>
      <c r="AJ957" s="539">
        <v>0</v>
      </c>
      <c r="AN957" s="540" t="s">
        <v>3476</v>
      </c>
      <c r="AO957" s="540"/>
      <c r="AP957" s="540"/>
      <c r="AQ957" s="1" t="s">
        <v>3227</v>
      </c>
    </row>
    <row r="958" spans="1:44" ht="19.2">
      <c r="A958" s="3">
        <v>9130001</v>
      </c>
      <c r="B958" s="5" t="s">
        <v>3638</v>
      </c>
      <c r="C958" s="224" t="s">
        <v>5300</v>
      </c>
      <c r="D958" s="3" t="s">
        <v>3197</v>
      </c>
      <c r="E958" s="3" t="s">
        <v>1630</v>
      </c>
      <c r="F958" s="3">
        <v>1</v>
      </c>
      <c r="G958" s="3">
        <v>13</v>
      </c>
      <c r="H958" s="3" t="s">
        <v>82</v>
      </c>
      <c r="I958" s="5" t="s">
        <v>3640</v>
      </c>
      <c r="J958" s="3"/>
      <c r="K958" s="3"/>
      <c r="L958" s="537"/>
      <c r="M958" s="99"/>
      <c r="N958" s="99"/>
      <c r="O958" s="3"/>
      <c r="P958" s="22">
        <v>2</v>
      </c>
      <c r="Q958" s="22">
        <v>0</v>
      </c>
      <c r="R958" s="22" t="s">
        <v>85</v>
      </c>
      <c r="S958" s="3">
        <v>9020001</v>
      </c>
      <c r="T958" s="319" t="s">
        <v>3253</v>
      </c>
      <c r="U958" s="320" t="s">
        <v>3254</v>
      </c>
      <c r="V958" s="22" t="s">
        <v>582</v>
      </c>
      <c r="W958" s="57" t="s">
        <v>5301</v>
      </c>
      <c r="X958" s="57" t="s">
        <v>5301</v>
      </c>
      <c r="AA958" s="111">
        <v>1</v>
      </c>
      <c r="AE958" s="1">
        <v>0</v>
      </c>
      <c r="AF958" s="3">
        <v>0</v>
      </c>
      <c r="AG958" s="3">
        <v>0</v>
      </c>
      <c r="AH958" s="3"/>
      <c r="AI958" s="3">
        <v>20</v>
      </c>
      <c r="AJ958" s="3">
        <v>19</v>
      </c>
      <c r="AN958" s="540" t="s">
        <v>3479</v>
      </c>
      <c r="AO958" s="540"/>
      <c r="AP958" s="540"/>
      <c r="AQ958" s="1" t="s">
        <v>3480</v>
      </c>
    </row>
    <row r="959" spans="1:44" ht="19.2">
      <c r="A959" s="3">
        <v>9130002</v>
      </c>
      <c r="B959" s="5" t="s">
        <v>3638</v>
      </c>
      <c r="C959" s="224" t="s">
        <v>5302</v>
      </c>
      <c r="D959" s="3" t="s">
        <v>3197</v>
      </c>
      <c r="E959" s="3" t="s">
        <v>1630</v>
      </c>
      <c r="F959" s="3">
        <v>1</v>
      </c>
      <c r="G959" s="3">
        <v>13</v>
      </c>
      <c r="H959" s="3" t="s">
        <v>82</v>
      </c>
      <c r="I959" s="5" t="s">
        <v>3640</v>
      </c>
      <c r="J959" s="3"/>
      <c r="K959" s="3"/>
      <c r="L959" s="365"/>
      <c r="M959" s="99"/>
      <c r="N959" s="99"/>
      <c r="O959" s="3"/>
      <c r="P959" s="22">
        <v>2</v>
      </c>
      <c r="Q959" s="22">
        <v>0</v>
      </c>
      <c r="R959" s="22" t="s">
        <v>85</v>
      </c>
      <c r="S959" s="3">
        <v>9020002</v>
      </c>
      <c r="T959" s="319" t="s">
        <v>3259</v>
      </c>
      <c r="U959" s="320" t="s">
        <v>3260</v>
      </c>
      <c r="V959" s="22" t="s">
        <v>582</v>
      </c>
      <c r="W959" s="57" t="s">
        <v>5301</v>
      </c>
      <c r="X959" s="57" t="s">
        <v>5301</v>
      </c>
      <c r="AA959" s="111">
        <v>1</v>
      </c>
      <c r="AE959" s="1">
        <v>0</v>
      </c>
      <c r="AF959" s="3">
        <v>0</v>
      </c>
      <c r="AG959" s="3">
        <v>0</v>
      </c>
      <c r="AH959" s="3"/>
      <c r="AI959" s="3">
        <v>30</v>
      </c>
      <c r="AJ959" s="3">
        <v>26</v>
      </c>
      <c r="AN959" s="540" t="s">
        <v>3482</v>
      </c>
      <c r="AO959" s="540"/>
      <c r="AP959" s="540"/>
      <c r="AQ959" s="1" t="s">
        <v>3483</v>
      </c>
    </row>
    <row r="960" spans="1:44" ht="19.2">
      <c r="A960" s="3">
        <v>9130003</v>
      </c>
      <c r="B960" s="5" t="s">
        <v>3638</v>
      </c>
      <c r="C960" s="224" t="s">
        <v>5303</v>
      </c>
      <c r="D960" s="3" t="s">
        <v>3197</v>
      </c>
      <c r="E960" s="3" t="s">
        <v>1630</v>
      </c>
      <c r="F960" s="3">
        <v>1</v>
      </c>
      <c r="G960" s="3">
        <v>13</v>
      </c>
      <c r="H960" s="3" t="s">
        <v>82</v>
      </c>
      <c r="I960" s="5" t="s">
        <v>3640</v>
      </c>
      <c r="J960" s="3"/>
      <c r="K960" s="3"/>
      <c r="L960" s="365"/>
      <c r="M960" s="99"/>
      <c r="N960" s="99"/>
      <c r="O960" s="3"/>
      <c r="P960" s="22">
        <v>2</v>
      </c>
      <c r="Q960" s="22">
        <v>0</v>
      </c>
      <c r="R960" s="22" t="s">
        <v>85</v>
      </c>
      <c r="S960" s="3">
        <v>9020003</v>
      </c>
      <c r="T960" s="319" t="s">
        <v>3265</v>
      </c>
      <c r="U960" s="320" t="s">
        <v>3266</v>
      </c>
      <c r="V960" s="22" t="s">
        <v>582</v>
      </c>
      <c r="W960" s="57" t="s">
        <v>5301</v>
      </c>
      <c r="X960" s="57" t="s">
        <v>5301</v>
      </c>
      <c r="AA960" s="111">
        <v>1</v>
      </c>
      <c r="AE960" s="1">
        <v>0</v>
      </c>
      <c r="AF960" s="3">
        <v>0</v>
      </c>
      <c r="AG960" s="3">
        <v>0</v>
      </c>
      <c r="AH960" s="3"/>
      <c r="AI960" s="3">
        <v>40</v>
      </c>
      <c r="AJ960" s="3">
        <v>32</v>
      </c>
      <c r="AN960" s="540" t="s">
        <v>3485</v>
      </c>
      <c r="AO960" s="540"/>
      <c r="AP960" s="540"/>
      <c r="AQ960" s="1" t="s">
        <v>3486</v>
      </c>
    </row>
    <row r="961" spans="1:44" ht="19.2">
      <c r="A961" s="3">
        <v>9130011</v>
      </c>
      <c r="B961" s="5" t="s">
        <v>3638</v>
      </c>
      <c r="C961" s="224" t="s">
        <v>5304</v>
      </c>
      <c r="D961" s="3" t="s">
        <v>3197</v>
      </c>
      <c r="E961" s="3" t="s">
        <v>1630</v>
      </c>
      <c r="F961" s="3">
        <v>1</v>
      </c>
      <c r="G961" s="3">
        <v>13</v>
      </c>
      <c r="H961" s="3" t="s">
        <v>82</v>
      </c>
      <c r="I961" s="5" t="s">
        <v>3640</v>
      </c>
      <c r="J961" s="3"/>
      <c r="K961" s="3"/>
      <c r="L961" s="365" t="s">
        <v>3270</v>
      </c>
      <c r="M961" s="99"/>
      <c r="N961" s="99"/>
      <c r="O961" s="3"/>
      <c r="P961" s="22">
        <v>2</v>
      </c>
      <c r="Q961" s="22">
        <v>0</v>
      </c>
      <c r="R961" s="22" t="s">
        <v>85</v>
      </c>
      <c r="S961" s="3">
        <v>9020011</v>
      </c>
      <c r="T961" s="260" t="s">
        <v>3271</v>
      </c>
      <c r="U961" s="261" t="s">
        <v>3272</v>
      </c>
      <c r="V961" s="22" t="s">
        <v>582</v>
      </c>
      <c r="W961" s="57" t="s">
        <v>5301</v>
      </c>
      <c r="X961" s="57" t="s">
        <v>5301</v>
      </c>
      <c r="AA961" s="111">
        <v>1</v>
      </c>
      <c r="AE961" s="1">
        <v>2</v>
      </c>
      <c r="AF961" s="3">
        <v>0</v>
      </c>
      <c r="AG961" s="3">
        <v>1</v>
      </c>
      <c r="AH961" s="3"/>
      <c r="AI961" s="3">
        <v>65</v>
      </c>
      <c r="AJ961" s="3">
        <v>26</v>
      </c>
      <c r="AN961" s="540" t="s">
        <v>3488</v>
      </c>
      <c r="AO961" s="540"/>
      <c r="AP961" s="540"/>
      <c r="AQ961" s="1" t="s">
        <v>3489</v>
      </c>
      <c r="AR961" s="222">
        <v>333</v>
      </c>
    </row>
    <row r="962" spans="1:44" ht="19.2">
      <c r="A962" s="3">
        <v>9130012</v>
      </c>
      <c r="B962" s="5" t="s">
        <v>3638</v>
      </c>
      <c r="C962" s="224" t="s">
        <v>5304</v>
      </c>
      <c r="D962" s="3" t="s">
        <v>3197</v>
      </c>
      <c r="E962" s="3" t="s">
        <v>1630</v>
      </c>
      <c r="F962" s="3">
        <v>1</v>
      </c>
      <c r="G962" s="3">
        <v>13</v>
      </c>
      <c r="H962" s="3" t="s">
        <v>82</v>
      </c>
      <c r="I962" s="5" t="s">
        <v>3640</v>
      </c>
      <c r="J962" s="3"/>
      <c r="K962" s="3"/>
      <c r="L962" s="3" t="s">
        <v>3277</v>
      </c>
      <c r="M962" s="99"/>
      <c r="N962" s="99"/>
      <c r="O962" s="3"/>
      <c r="P962" s="22">
        <v>2</v>
      </c>
      <c r="Q962" s="22">
        <v>0</v>
      </c>
      <c r="R962" s="22" t="s">
        <v>85</v>
      </c>
      <c r="S962" s="3">
        <v>9020012</v>
      </c>
      <c r="T962" s="260" t="s">
        <v>3271</v>
      </c>
      <c r="U962" s="261" t="s">
        <v>3272</v>
      </c>
      <c r="V962" s="22" t="s">
        <v>582</v>
      </c>
      <c r="W962" s="57" t="s">
        <v>5301</v>
      </c>
      <c r="X962" s="57" t="s">
        <v>5301</v>
      </c>
      <c r="AA962" s="111">
        <v>1</v>
      </c>
      <c r="AE962" s="1">
        <v>2</v>
      </c>
      <c r="AF962" s="1">
        <v>0</v>
      </c>
      <c r="AG962" s="1">
        <v>1</v>
      </c>
      <c r="AI962" s="1">
        <v>65</v>
      </c>
      <c r="AJ962" s="1">
        <v>52</v>
      </c>
      <c r="AN962" s="93" t="s">
        <v>3488</v>
      </c>
      <c r="AO962" s="93"/>
      <c r="AP962" s="93"/>
      <c r="AQ962" s="1" t="s">
        <v>3489</v>
      </c>
      <c r="AR962" s="222">
        <v>333</v>
      </c>
    </row>
    <row r="963" spans="1:44" ht="19.2">
      <c r="A963" s="1">
        <v>9130021</v>
      </c>
      <c r="B963" s="5" t="s">
        <v>3638</v>
      </c>
      <c r="C963" s="224" t="s">
        <v>5227</v>
      </c>
      <c r="D963" s="1" t="s">
        <v>3197</v>
      </c>
      <c r="E963" s="3" t="s">
        <v>2785</v>
      </c>
      <c r="F963" s="1">
        <v>1</v>
      </c>
      <c r="G963" s="1">
        <v>13</v>
      </c>
      <c r="H963" s="1" t="s">
        <v>82</v>
      </c>
      <c r="I963" s="5" t="s">
        <v>3640</v>
      </c>
      <c r="O963" s="1" t="s">
        <v>3225</v>
      </c>
      <c r="Q963" s="111">
        <v>0</v>
      </c>
      <c r="S963" s="1">
        <v>9130021</v>
      </c>
      <c r="T963" s="260"/>
      <c r="U963" s="261"/>
      <c r="V963" s="111" t="s">
        <v>582</v>
      </c>
      <c r="W963" s="57" t="s">
        <v>5228</v>
      </c>
      <c r="X963" s="57" t="s">
        <v>5228</v>
      </c>
      <c r="AE963" s="1">
        <v>2</v>
      </c>
      <c r="AF963" s="1">
        <v>0</v>
      </c>
      <c r="AG963" s="1">
        <v>1</v>
      </c>
      <c r="AI963" s="1">
        <v>0</v>
      </c>
      <c r="AJ963" s="1">
        <v>0</v>
      </c>
      <c r="AN963" s="1" t="s">
        <v>3490</v>
      </c>
      <c r="AO963" s="1" t="s">
        <v>3491</v>
      </c>
      <c r="AQ963" s="1" t="s">
        <v>3227</v>
      </c>
    </row>
    <row r="964" spans="1:44" ht="19.2">
      <c r="A964" s="1">
        <v>9130022</v>
      </c>
      <c r="B964" s="5" t="s">
        <v>3638</v>
      </c>
      <c r="C964" s="224" t="s">
        <v>5233</v>
      </c>
      <c r="D964" s="3" t="s">
        <v>3197</v>
      </c>
      <c r="E964" s="3" t="s">
        <v>2785</v>
      </c>
      <c r="F964" s="3">
        <v>1</v>
      </c>
      <c r="G964" s="3">
        <v>0</v>
      </c>
      <c r="H964" s="3" t="s">
        <v>82</v>
      </c>
      <c r="I964" s="5" t="s">
        <v>3640</v>
      </c>
      <c r="J964" s="3"/>
      <c r="K964" s="3"/>
      <c r="L964" s="537"/>
      <c r="M964" s="99"/>
      <c r="N964" s="99"/>
      <c r="O964" s="3" t="s">
        <v>3225</v>
      </c>
      <c r="P964" s="22"/>
      <c r="Q964" s="22">
        <v>0</v>
      </c>
      <c r="R964" s="22"/>
      <c r="S964" s="3">
        <v>9000002</v>
      </c>
      <c r="T964" s="260"/>
      <c r="U964" s="261"/>
      <c r="V964" s="22" t="s">
        <v>582</v>
      </c>
      <c r="W964" s="57" t="s">
        <v>5228</v>
      </c>
      <c r="X964" s="57" t="s">
        <v>5228</v>
      </c>
      <c r="AE964" s="1">
        <v>2</v>
      </c>
      <c r="AF964" s="1">
        <v>0</v>
      </c>
      <c r="AG964" s="1">
        <v>1</v>
      </c>
      <c r="AH964" s="3"/>
      <c r="AI964" s="1">
        <v>0</v>
      </c>
      <c r="AJ964" s="539">
        <v>0</v>
      </c>
      <c r="AN964" s="540" t="s">
        <v>3492</v>
      </c>
      <c r="AO964" s="540"/>
      <c r="AP964" s="540"/>
      <c r="AQ964" s="1" t="s">
        <v>3227</v>
      </c>
    </row>
    <row r="965" spans="1:44" ht="19.2">
      <c r="A965" s="1">
        <v>9140001</v>
      </c>
      <c r="B965" s="5" t="s">
        <v>3638</v>
      </c>
      <c r="C965" s="224" t="s">
        <v>5305</v>
      </c>
      <c r="D965" s="1" t="s">
        <v>3197</v>
      </c>
      <c r="E965" s="1" t="s">
        <v>1715</v>
      </c>
      <c r="F965" s="1">
        <v>1</v>
      </c>
      <c r="G965" s="1">
        <v>14</v>
      </c>
      <c r="H965" s="1" t="s">
        <v>82</v>
      </c>
      <c r="I965" s="5" t="s">
        <v>3640</v>
      </c>
      <c r="L965" s="220" t="s">
        <v>3465</v>
      </c>
      <c r="P965" s="111">
        <v>1</v>
      </c>
      <c r="Q965" s="111">
        <v>0</v>
      </c>
      <c r="R965" s="111" t="s">
        <v>85</v>
      </c>
      <c r="S965" s="1">
        <v>9140001</v>
      </c>
      <c r="T965" s="260" t="s">
        <v>3494</v>
      </c>
      <c r="U965" s="261"/>
      <c r="V965" s="111" t="s">
        <v>582</v>
      </c>
      <c r="W965" s="57" t="s">
        <v>5306</v>
      </c>
      <c r="X965" s="57" t="s">
        <v>5306</v>
      </c>
      <c r="AE965" s="1">
        <v>0</v>
      </c>
      <c r="AF965" s="1">
        <v>0</v>
      </c>
      <c r="AG965" s="1">
        <v>0</v>
      </c>
      <c r="AI965" s="1">
        <v>35</v>
      </c>
      <c r="AJ965" s="1">
        <v>25</v>
      </c>
      <c r="AN965" s="1" t="s">
        <v>3496</v>
      </c>
      <c r="AQ965" s="1" t="s">
        <v>3497</v>
      </c>
    </row>
    <row r="966" spans="1:44" ht="19.2">
      <c r="A966" s="1">
        <v>9140011</v>
      </c>
      <c r="B966" s="5" t="s">
        <v>3638</v>
      </c>
      <c r="C966" s="224" t="s">
        <v>5307</v>
      </c>
      <c r="D966" s="1" t="s">
        <v>3197</v>
      </c>
      <c r="E966" s="1" t="s">
        <v>1715</v>
      </c>
      <c r="F966" s="1">
        <v>1</v>
      </c>
      <c r="G966" s="1">
        <v>14</v>
      </c>
      <c r="H966" s="1" t="s">
        <v>82</v>
      </c>
      <c r="I966" s="5" t="s">
        <v>3640</v>
      </c>
      <c r="L966" s="220" t="s">
        <v>3277</v>
      </c>
      <c r="P966" s="111">
        <v>1</v>
      </c>
      <c r="Q966" s="111">
        <v>0</v>
      </c>
      <c r="R966" s="111" t="s">
        <v>85</v>
      </c>
      <c r="S966" s="1">
        <v>9140011</v>
      </c>
      <c r="T966" s="547"/>
      <c r="U966" s="548"/>
      <c r="V966" s="111" t="s">
        <v>582</v>
      </c>
      <c r="W966" s="57" t="s">
        <v>5308</v>
      </c>
      <c r="X966" s="57" t="s">
        <v>5308</v>
      </c>
      <c r="AE966" s="1">
        <v>0</v>
      </c>
      <c r="AF966" s="1">
        <v>0</v>
      </c>
      <c r="AG966" s="1">
        <v>0</v>
      </c>
      <c r="AI966" s="1">
        <v>0</v>
      </c>
      <c r="AJ966" s="1">
        <v>0</v>
      </c>
      <c r="AN966" s="1" t="s">
        <v>3500</v>
      </c>
      <c r="AQ966" s="1" t="s">
        <v>3501</v>
      </c>
      <c r="AR966" s="222">
        <v>291</v>
      </c>
    </row>
    <row r="967" spans="1:44" ht="19.2">
      <c r="A967" s="1">
        <v>9140012</v>
      </c>
      <c r="B967" s="5" t="s">
        <v>3638</v>
      </c>
      <c r="C967" s="224" t="s">
        <v>5307</v>
      </c>
      <c r="D967" s="1" t="s">
        <v>3197</v>
      </c>
      <c r="E967" s="1" t="s">
        <v>1715</v>
      </c>
      <c r="F967" s="1">
        <v>1</v>
      </c>
      <c r="G967" s="1">
        <v>14</v>
      </c>
      <c r="H967" s="1" t="s">
        <v>82</v>
      </c>
      <c r="I967" s="5" t="s">
        <v>3640</v>
      </c>
      <c r="L967" s="220" t="s">
        <v>3473</v>
      </c>
      <c r="P967" s="111">
        <v>2</v>
      </c>
      <c r="Q967" s="111">
        <v>0</v>
      </c>
      <c r="R967" s="111" t="s">
        <v>85</v>
      </c>
      <c r="S967" s="1">
        <v>9140012</v>
      </c>
      <c r="T967" s="547"/>
      <c r="U967" s="548"/>
      <c r="V967" s="111" t="s">
        <v>582</v>
      </c>
      <c r="W967" s="57" t="s">
        <v>5308</v>
      </c>
      <c r="X967" s="57" t="s">
        <v>5308</v>
      </c>
      <c r="AE967" s="1">
        <v>0</v>
      </c>
      <c r="AF967" s="1">
        <v>0</v>
      </c>
      <c r="AG967" s="1">
        <v>0</v>
      </c>
      <c r="AI967" s="1">
        <v>0</v>
      </c>
      <c r="AJ967" s="1">
        <v>0</v>
      </c>
      <c r="AN967" s="1" t="s">
        <v>3500</v>
      </c>
      <c r="AQ967" s="1" t="s">
        <v>3501</v>
      </c>
      <c r="AR967" s="222">
        <v>291</v>
      </c>
    </row>
    <row r="968" spans="1:44" ht="19.2">
      <c r="A968" s="1">
        <v>9140021</v>
      </c>
      <c r="B968" s="5" t="s">
        <v>3638</v>
      </c>
      <c r="C968" s="224" t="s">
        <v>5227</v>
      </c>
      <c r="D968" s="1" t="s">
        <v>3197</v>
      </c>
      <c r="E968" s="3" t="s">
        <v>2785</v>
      </c>
      <c r="F968" s="1">
        <v>1</v>
      </c>
      <c r="G968" s="1">
        <v>14</v>
      </c>
      <c r="H968" s="1" t="s">
        <v>82</v>
      </c>
      <c r="I968" s="5" t="s">
        <v>3640</v>
      </c>
      <c r="L968" s="220" t="s">
        <v>3278</v>
      </c>
      <c r="O968" s="1" t="s">
        <v>3225</v>
      </c>
      <c r="Q968" s="111">
        <v>0</v>
      </c>
      <c r="S968" s="1">
        <v>9140021</v>
      </c>
      <c r="T968" s="260"/>
      <c r="U968" s="261"/>
      <c r="V968" s="111" t="s">
        <v>582</v>
      </c>
      <c r="W968" s="57" t="s">
        <v>5228</v>
      </c>
      <c r="X968" s="57" t="s">
        <v>5228</v>
      </c>
      <c r="AA968" s="111">
        <v>1</v>
      </c>
      <c r="AE968" s="1">
        <v>2</v>
      </c>
      <c r="AF968" s="1">
        <v>0</v>
      </c>
      <c r="AG968" s="1">
        <v>1</v>
      </c>
      <c r="AI968" s="1">
        <v>0</v>
      </c>
      <c r="AJ968" s="1">
        <v>0</v>
      </c>
      <c r="AN968" s="1" t="s">
        <v>3502</v>
      </c>
      <c r="AO968" s="1" t="s">
        <v>3503</v>
      </c>
      <c r="AQ968" s="1" t="s">
        <v>3227</v>
      </c>
    </row>
    <row r="969" spans="1:44" ht="19.2">
      <c r="A969" s="1">
        <v>9140022</v>
      </c>
      <c r="B969" s="5" t="s">
        <v>3638</v>
      </c>
      <c r="C969" s="224" t="s">
        <v>5233</v>
      </c>
      <c r="D969" s="3" t="s">
        <v>3197</v>
      </c>
      <c r="E969" s="3" t="s">
        <v>2785</v>
      </c>
      <c r="F969" s="3">
        <v>1</v>
      </c>
      <c r="G969" s="3">
        <v>0</v>
      </c>
      <c r="H969" s="3" t="s">
        <v>82</v>
      </c>
      <c r="I969" s="5" t="s">
        <v>3640</v>
      </c>
      <c r="J969" s="3"/>
      <c r="K969" s="3"/>
      <c r="L969" s="537"/>
      <c r="M969" s="99"/>
      <c r="N969" s="99"/>
      <c r="O969" s="3" t="s">
        <v>3225</v>
      </c>
      <c r="P969" s="22"/>
      <c r="Q969" s="22">
        <v>0</v>
      </c>
      <c r="R969" s="22"/>
      <c r="S969" s="3">
        <v>9000002</v>
      </c>
      <c r="T969" s="260"/>
      <c r="U969" s="261"/>
      <c r="V969" s="22" t="s">
        <v>582</v>
      </c>
      <c r="W969" s="57" t="s">
        <v>5228</v>
      </c>
      <c r="X969" s="57" t="s">
        <v>5228</v>
      </c>
      <c r="AE969" s="1">
        <v>2</v>
      </c>
      <c r="AF969" s="1">
        <v>0</v>
      </c>
      <c r="AG969" s="3">
        <v>1</v>
      </c>
      <c r="AH969" s="3"/>
      <c r="AI969" s="1">
        <v>0</v>
      </c>
      <c r="AJ969" s="539">
        <v>0</v>
      </c>
      <c r="AN969" s="540" t="s">
        <v>3504</v>
      </c>
      <c r="AO969" s="540"/>
      <c r="AP969" s="540"/>
      <c r="AQ969" s="1" t="s">
        <v>3227</v>
      </c>
    </row>
    <row r="970" spans="1:44" ht="19.2">
      <c r="A970" s="1">
        <v>9150001</v>
      </c>
      <c r="B970" s="5" t="s">
        <v>3638</v>
      </c>
      <c r="C970" s="224" t="s">
        <v>5309</v>
      </c>
      <c r="D970" s="1" t="s">
        <v>3197</v>
      </c>
      <c r="E970" s="1" t="s">
        <v>1770</v>
      </c>
      <c r="F970" s="1">
        <v>1</v>
      </c>
      <c r="G970" s="1">
        <v>15</v>
      </c>
      <c r="H970" s="1" t="s">
        <v>82</v>
      </c>
      <c r="I970" s="5" t="s">
        <v>3640</v>
      </c>
      <c r="L970" s="220" t="s">
        <v>3465</v>
      </c>
      <c r="P970" s="111">
        <v>1</v>
      </c>
      <c r="Q970" s="111">
        <v>0</v>
      </c>
      <c r="R970" s="111" t="s">
        <v>85</v>
      </c>
      <c r="S970" s="1">
        <v>9150001</v>
      </c>
      <c r="T970" s="260" t="s">
        <v>3246</v>
      </c>
      <c r="U970" s="261" t="s">
        <v>3247</v>
      </c>
      <c r="V970" s="111" t="s">
        <v>582</v>
      </c>
      <c r="W970" s="57" t="s">
        <v>5310</v>
      </c>
      <c r="X970" s="57" t="s">
        <v>5310</v>
      </c>
      <c r="AE970" s="1">
        <v>0</v>
      </c>
      <c r="AF970" s="1">
        <v>0</v>
      </c>
      <c r="AG970" s="1">
        <v>0</v>
      </c>
      <c r="AI970" s="1">
        <v>15</v>
      </c>
      <c r="AJ970" s="1">
        <v>15</v>
      </c>
      <c r="AN970" s="1" t="s">
        <v>3507</v>
      </c>
      <c r="AQ970" s="1" t="s">
        <v>3508</v>
      </c>
    </row>
    <row r="971" spans="1:44" ht="19.2">
      <c r="A971" s="1">
        <v>9150002</v>
      </c>
      <c r="B971" s="5" t="s">
        <v>3638</v>
      </c>
      <c r="C971" s="224" t="s">
        <v>5311</v>
      </c>
      <c r="D971" s="1" t="s">
        <v>3197</v>
      </c>
      <c r="E971" s="1" t="s">
        <v>1770</v>
      </c>
      <c r="F971" s="1">
        <v>1</v>
      </c>
      <c r="G971" s="1">
        <v>15</v>
      </c>
      <c r="H971" s="1" t="s">
        <v>82</v>
      </c>
      <c r="I971" s="5" t="s">
        <v>3640</v>
      </c>
      <c r="L971" s="220" t="s">
        <v>3510</v>
      </c>
      <c r="P971" s="111">
        <v>1</v>
      </c>
      <c r="Q971" s="111">
        <v>0</v>
      </c>
      <c r="R971" s="111" t="s">
        <v>85</v>
      </c>
      <c r="S971" s="1">
        <v>9150002</v>
      </c>
      <c r="T971" s="260" t="s">
        <v>3253</v>
      </c>
      <c r="U971" s="261" t="s">
        <v>3254</v>
      </c>
      <c r="V971" s="111" t="s">
        <v>582</v>
      </c>
      <c r="W971" s="57" t="s">
        <v>5310</v>
      </c>
      <c r="X971" s="57" t="s">
        <v>5310</v>
      </c>
      <c r="AE971" s="1">
        <v>0</v>
      </c>
      <c r="AF971" s="1">
        <v>0</v>
      </c>
      <c r="AG971" s="1">
        <v>0</v>
      </c>
      <c r="AI971" s="1">
        <v>20</v>
      </c>
      <c r="AJ971" s="1">
        <v>18</v>
      </c>
      <c r="AN971" s="1" t="s">
        <v>3511</v>
      </c>
      <c r="AQ971" s="1" t="s">
        <v>3512</v>
      </c>
    </row>
    <row r="972" spans="1:44" ht="19.2">
      <c r="A972" s="1">
        <v>9150003</v>
      </c>
      <c r="B972" s="5" t="s">
        <v>3638</v>
      </c>
      <c r="C972" s="224" t="s">
        <v>5312</v>
      </c>
      <c r="D972" s="1" t="s">
        <v>3197</v>
      </c>
      <c r="E972" s="1" t="s">
        <v>1770</v>
      </c>
      <c r="F972" s="1">
        <v>1</v>
      </c>
      <c r="G972" s="1">
        <v>15</v>
      </c>
      <c r="H972" s="1" t="s">
        <v>82</v>
      </c>
      <c r="I972" s="5" t="s">
        <v>3640</v>
      </c>
      <c r="L972" s="220" t="s">
        <v>3514</v>
      </c>
      <c r="P972" s="111">
        <v>1</v>
      </c>
      <c r="Q972" s="111">
        <v>0</v>
      </c>
      <c r="R972" s="111" t="s">
        <v>85</v>
      </c>
      <c r="S972" s="1">
        <v>9150003</v>
      </c>
      <c r="T972" s="260" t="s">
        <v>3259</v>
      </c>
      <c r="U972" s="261" t="s">
        <v>3260</v>
      </c>
      <c r="V972" s="111" t="s">
        <v>582</v>
      </c>
      <c r="W972" s="57" t="s">
        <v>5310</v>
      </c>
      <c r="X972" s="57" t="s">
        <v>5310</v>
      </c>
      <c r="AE972" s="1">
        <v>0</v>
      </c>
      <c r="AF972" s="1">
        <v>0</v>
      </c>
      <c r="AG972" s="1">
        <v>0</v>
      </c>
      <c r="AI972" s="1">
        <v>25</v>
      </c>
      <c r="AJ972" s="1">
        <v>20</v>
      </c>
      <c r="AN972" s="1" t="s">
        <v>3515</v>
      </c>
      <c r="AQ972" s="1" t="s">
        <v>3516</v>
      </c>
    </row>
    <row r="973" spans="1:44" ht="19.2">
      <c r="A973" s="1">
        <v>9150004</v>
      </c>
      <c r="B973" s="5" t="s">
        <v>3638</v>
      </c>
      <c r="C973" s="224" t="s">
        <v>5313</v>
      </c>
      <c r="D973" s="1" t="s">
        <v>3197</v>
      </c>
      <c r="E973" s="1" t="s">
        <v>1770</v>
      </c>
      <c r="F973" s="1">
        <v>1</v>
      </c>
      <c r="G973" s="1">
        <v>15</v>
      </c>
      <c r="H973" s="1" t="s">
        <v>82</v>
      </c>
      <c r="I973" s="5" t="s">
        <v>3640</v>
      </c>
      <c r="L973" s="220" t="s">
        <v>3518</v>
      </c>
      <c r="P973" s="111">
        <v>1</v>
      </c>
      <c r="Q973" s="111">
        <v>0</v>
      </c>
      <c r="R973" s="111" t="s">
        <v>85</v>
      </c>
      <c r="S973" s="1">
        <v>9150003</v>
      </c>
      <c r="T973" s="260" t="s">
        <v>3265</v>
      </c>
      <c r="U973" s="261" t="s">
        <v>3266</v>
      </c>
      <c r="V973" s="111" t="s">
        <v>582</v>
      </c>
      <c r="W973" s="57" t="s">
        <v>5310</v>
      </c>
      <c r="X973" s="57" t="s">
        <v>5310</v>
      </c>
      <c r="AE973" s="1">
        <v>0</v>
      </c>
      <c r="AF973" s="1">
        <v>0</v>
      </c>
      <c r="AG973" s="1">
        <v>0</v>
      </c>
      <c r="AI973" s="1">
        <v>30</v>
      </c>
      <c r="AJ973" s="1">
        <v>23</v>
      </c>
      <c r="AN973" s="1" t="s">
        <v>3519</v>
      </c>
      <c r="AQ973" s="1" t="s">
        <v>3520</v>
      </c>
    </row>
    <row r="974" spans="1:44" ht="19.2">
      <c r="A974" s="1">
        <v>9150011</v>
      </c>
      <c r="B974" s="5" t="s">
        <v>3638</v>
      </c>
      <c r="C974" s="224" t="s">
        <v>5314</v>
      </c>
      <c r="D974" s="1" t="s">
        <v>3197</v>
      </c>
      <c r="E974" s="1" t="s">
        <v>1770</v>
      </c>
      <c r="F974" s="1">
        <v>1</v>
      </c>
      <c r="G974" s="1">
        <v>15</v>
      </c>
      <c r="H974" s="1" t="s">
        <v>82</v>
      </c>
      <c r="I974" s="5" t="s">
        <v>3640</v>
      </c>
      <c r="L974" s="220" t="s">
        <v>3277</v>
      </c>
      <c r="P974" s="111">
        <v>1</v>
      </c>
      <c r="Q974" s="111">
        <v>0</v>
      </c>
      <c r="R974" s="111" t="s">
        <v>85</v>
      </c>
      <c r="S974" s="1">
        <v>9150011</v>
      </c>
      <c r="T974" s="260" t="s">
        <v>3271</v>
      </c>
      <c r="U974" s="261" t="s">
        <v>3272</v>
      </c>
      <c r="V974" s="111" t="s">
        <v>582</v>
      </c>
      <c r="W974" s="57" t="s">
        <v>5315</v>
      </c>
      <c r="X974" s="57" t="s">
        <v>5315</v>
      </c>
      <c r="AE974" s="1">
        <v>2</v>
      </c>
      <c r="AF974" s="1">
        <v>0</v>
      </c>
      <c r="AG974" s="1">
        <v>1</v>
      </c>
      <c r="AI974" s="1">
        <v>52</v>
      </c>
      <c r="AJ974" s="1">
        <v>39</v>
      </c>
      <c r="AN974" s="1" t="s">
        <v>3523</v>
      </c>
      <c r="AQ974" s="1" t="s">
        <v>3524</v>
      </c>
      <c r="AR974" s="222">
        <v>303</v>
      </c>
    </row>
    <row r="975" spans="1:44" ht="19.2">
      <c r="A975" s="1">
        <v>9150012</v>
      </c>
      <c r="B975" s="5" t="s">
        <v>3638</v>
      </c>
      <c r="C975" s="224" t="s">
        <v>5314</v>
      </c>
      <c r="D975" s="1" t="s">
        <v>3197</v>
      </c>
      <c r="E975" s="1" t="s">
        <v>1770</v>
      </c>
      <c r="F975" s="1">
        <v>1</v>
      </c>
      <c r="G975" s="1">
        <v>15</v>
      </c>
      <c r="H975" s="1" t="s">
        <v>82</v>
      </c>
      <c r="I975" s="5" t="s">
        <v>3640</v>
      </c>
      <c r="L975" s="220" t="s">
        <v>3473</v>
      </c>
      <c r="P975" s="111">
        <v>2</v>
      </c>
      <c r="Q975" s="111">
        <v>0</v>
      </c>
      <c r="R975" s="111" t="s">
        <v>85</v>
      </c>
      <c r="S975" s="1">
        <v>9150012</v>
      </c>
      <c r="T975" s="260" t="s">
        <v>3271</v>
      </c>
      <c r="U975" s="261" t="s">
        <v>3272</v>
      </c>
      <c r="V975" s="111" t="s">
        <v>582</v>
      </c>
      <c r="W975" s="57" t="s">
        <v>5315</v>
      </c>
      <c r="X975" s="57" t="s">
        <v>5315</v>
      </c>
      <c r="AE975" s="1">
        <v>2</v>
      </c>
      <c r="AF975" s="1">
        <v>0</v>
      </c>
      <c r="AG975" s="1">
        <v>1</v>
      </c>
      <c r="AI975" s="1">
        <v>52</v>
      </c>
      <c r="AJ975" s="1">
        <v>39</v>
      </c>
      <c r="AN975" s="1" t="s">
        <v>3523</v>
      </c>
      <c r="AQ975" s="1" t="s">
        <v>3524</v>
      </c>
      <c r="AR975" s="222">
        <v>303</v>
      </c>
    </row>
    <row r="976" spans="1:44" ht="19.2">
      <c r="A976" s="1">
        <v>9150021</v>
      </c>
      <c r="B976" s="5" t="s">
        <v>3638</v>
      </c>
      <c r="C976" s="224" t="s">
        <v>5227</v>
      </c>
      <c r="D976" s="1" t="s">
        <v>3197</v>
      </c>
      <c r="E976" s="3" t="s">
        <v>2785</v>
      </c>
      <c r="F976" s="1">
        <v>1</v>
      </c>
      <c r="G976" s="1">
        <v>15</v>
      </c>
      <c r="H976" s="1" t="s">
        <v>82</v>
      </c>
      <c r="I976" s="5" t="s">
        <v>3640</v>
      </c>
      <c r="L976" s="220" t="s">
        <v>3278</v>
      </c>
      <c r="O976" s="1" t="s">
        <v>3225</v>
      </c>
      <c r="P976" s="111">
        <v>0</v>
      </c>
      <c r="Q976" s="111">
        <v>0</v>
      </c>
      <c r="S976" s="1">
        <v>9150021</v>
      </c>
      <c r="T976" s="547"/>
      <c r="U976" s="548"/>
      <c r="V976" s="111" t="s">
        <v>582</v>
      </c>
      <c r="W976" s="57" t="s">
        <v>5228</v>
      </c>
      <c r="X976" s="57" t="s">
        <v>5228</v>
      </c>
      <c r="AA976" s="111">
        <v>1</v>
      </c>
      <c r="AE976" s="1">
        <v>2</v>
      </c>
      <c r="AF976" s="1">
        <v>0</v>
      </c>
      <c r="AG976" s="1">
        <v>1</v>
      </c>
      <c r="AI976" s="1">
        <v>0</v>
      </c>
      <c r="AJ976" s="1">
        <v>0</v>
      </c>
      <c r="AN976" s="1" t="s">
        <v>3525</v>
      </c>
      <c r="AO976" s="1" t="s">
        <v>3526</v>
      </c>
      <c r="AQ976" s="1" t="s">
        <v>3227</v>
      </c>
    </row>
    <row r="977" spans="1:43" ht="19.2">
      <c r="A977" s="1">
        <v>9150022</v>
      </c>
      <c r="B977" s="5" t="s">
        <v>3638</v>
      </c>
      <c r="C977" s="224" t="s">
        <v>5233</v>
      </c>
      <c r="D977" s="3" t="s">
        <v>3197</v>
      </c>
      <c r="E977" s="3" t="s">
        <v>2785</v>
      </c>
      <c r="F977" s="3">
        <v>1</v>
      </c>
      <c r="G977" s="3">
        <v>0</v>
      </c>
      <c r="H977" s="3" t="s">
        <v>82</v>
      </c>
      <c r="I977" s="5" t="s">
        <v>3640</v>
      </c>
      <c r="J977" s="3"/>
      <c r="K977" s="3"/>
      <c r="L977" s="537"/>
      <c r="M977" s="99"/>
      <c r="N977" s="99"/>
      <c r="O977" s="3" t="s">
        <v>3225</v>
      </c>
      <c r="P977" s="22"/>
      <c r="Q977" s="22">
        <v>0</v>
      </c>
      <c r="R977" s="22"/>
      <c r="S977" s="3">
        <v>9000002</v>
      </c>
      <c r="T977" s="260"/>
      <c r="U977" s="261"/>
      <c r="V977" s="22" t="s">
        <v>582</v>
      </c>
      <c r="W977" s="57" t="s">
        <v>5228</v>
      </c>
      <c r="X977" s="57" t="s">
        <v>5228</v>
      </c>
      <c r="AE977" s="1">
        <v>2</v>
      </c>
      <c r="AF977" s="3">
        <v>0</v>
      </c>
      <c r="AG977" s="3">
        <v>1</v>
      </c>
      <c r="AH977" s="3"/>
      <c r="AI977" s="1">
        <v>0</v>
      </c>
      <c r="AJ977" s="539">
        <v>0</v>
      </c>
      <c r="AN977" s="540" t="s">
        <v>3527</v>
      </c>
      <c r="AO977" s="540"/>
      <c r="AP977" s="540"/>
      <c r="AQ977" s="1" t="s">
        <v>3227</v>
      </c>
    </row>
    <row r="978" spans="1:43" ht="19.2">
      <c r="A978" s="1">
        <v>9210001</v>
      </c>
      <c r="B978" s="5" t="s">
        <v>3638</v>
      </c>
      <c r="C978" s="224" t="s">
        <v>5316</v>
      </c>
      <c r="D978" s="1" t="s">
        <v>3197</v>
      </c>
      <c r="E978" s="1" t="s">
        <v>79</v>
      </c>
      <c r="F978" s="1">
        <v>1</v>
      </c>
      <c r="G978" s="1">
        <v>1</v>
      </c>
      <c r="H978" s="1" t="s">
        <v>82</v>
      </c>
      <c r="I978" s="5" t="s">
        <v>3640</v>
      </c>
      <c r="L978" s="220" t="s">
        <v>3530</v>
      </c>
      <c r="P978" s="111">
        <v>1</v>
      </c>
      <c r="Q978" s="111">
        <v>0</v>
      </c>
      <c r="R978" s="111" t="s">
        <v>85</v>
      </c>
      <c r="S978" s="1">
        <v>9210001</v>
      </c>
      <c r="T978" s="260" t="s">
        <v>3531</v>
      </c>
      <c r="U978" s="261" t="s">
        <v>3532</v>
      </c>
      <c r="V978" s="111" t="s">
        <v>582</v>
      </c>
      <c r="W978" s="57" t="s">
        <v>5317</v>
      </c>
      <c r="X978" s="57" t="s">
        <v>5317</v>
      </c>
      <c r="AE978" s="1">
        <v>0</v>
      </c>
      <c r="AF978" s="1">
        <v>0</v>
      </c>
      <c r="AG978" s="1">
        <v>0</v>
      </c>
      <c r="AI978" s="1">
        <v>30</v>
      </c>
      <c r="AJ978" s="1">
        <v>15</v>
      </c>
      <c r="AN978" s="1" t="s">
        <v>3534</v>
      </c>
      <c r="AQ978" s="1" t="s">
        <v>3535</v>
      </c>
    </row>
    <row r="979" spans="1:43" ht="19.2">
      <c r="A979" s="1">
        <v>9210002</v>
      </c>
      <c r="B979" s="5" t="s">
        <v>3638</v>
      </c>
      <c r="C979" s="224" t="s">
        <v>5318</v>
      </c>
      <c r="D979" s="1" t="s">
        <v>3197</v>
      </c>
      <c r="E979" s="1" t="s">
        <v>79</v>
      </c>
      <c r="F979" s="1">
        <v>1</v>
      </c>
      <c r="G979" s="1">
        <v>1</v>
      </c>
      <c r="H979" s="1" t="s">
        <v>82</v>
      </c>
      <c r="I979" s="5" t="s">
        <v>3640</v>
      </c>
      <c r="L979" s="220" t="s">
        <v>3537</v>
      </c>
      <c r="P979" s="111">
        <v>1</v>
      </c>
      <c r="Q979" s="111">
        <v>0</v>
      </c>
      <c r="R979" s="111" t="s">
        <v>85</v>
      </c>
      <c r="S979" s="1">
        <v>9210001</v>
      </c>
      <c r="T979" s="260" t="s">
        <v>3531</v>
      </c>
      <c r="U979" s="261" t="s">
        <v>3532</v>
      </c>
      <c r="V979" s="111" t="s">
        <v>582</v>
      </c>
      <c r="W979" s="57" t="s">
        <v>5222</v>
      </c>
      <c r="X979" s="57" t="s">
        <v>5222</v>
      </c>
      <c r="AE979" s="1">
        <v>0</v>
      </c>
      <c r="AF979" s="1">
        <v>0</v>
      </c>
      <c r="AG979" s="1">
        <v>0</v>
      </c>
      <c r="AI979" s="1">
        <v>30</v>
      </c>
      <c r="AJ979" s="1">
        <v>15</v>
      </c>
      <c r="AN979" s="1" t="s">
        <v>3203</v>
      </c>
      <c r="AQ979" s="1" t="s">
        <v>3535</v>
      </c>
    </row>
    <row r="980" spans="1:43" ht="19.2">
      <c r="A980" s="1">
        <v>9310001</v>
      </c>
      <c r="B980" s="5" t="s">
        <v>3638</v>
      </c>
      <c r="C980" s="224" t="s">
        <v>5316</v>
      </c>
      <c r="D980" s="1" t="s">
        <v>3197</v>
      </c>
      <c r="E980" s="1" t="s">
        <v>79</v>
      </c>
      <c r="F980" s="1">
        <v>1</v>
      </c>
      <c r="G980" s="1">
        <v>101</v>
      </c>
      <c r="H980" s="1" t="s">
        <v>82</v>
      </c>
      <c r="I980" s="5" t="s">
        <v>3640</v>
      </c>
      <c r="L980" s="220" t="s">
        <v>3539</v>
      </c>
      <c r="P980" s="111">
        <v>1</v>
      </c>
      <c r="Q980" s="111">
        <v>0</v>
      </c>
      <c r="R980" s="111" t="s">
        <v>85</v>
      </c>
      <c r="S980" s="1">
        <v>9310001</v>
      </c>
      <c r="T980" s="547" t="s">
        <v>3540</v>
      </c>
      <c r="U980" s="548" t="s">
        <v>3541</v>
      </c>
      <c r="V980" s="111" t="s">
        <v>582</v>
      </c>
      <c r="W980" s="57" t="s">
        <v>5319</v>
      </c>
      <c r="X980" s="57" t="s">
        <v>5319</v>
      </c>
      <c r="AE980" s="1">
        <v>0</v>
      </c>
      <c r="AF980" s="1">
        <v>0</v>
      </c>
      <c r="AG980" s="1">
        <v>0</v>
      </c>
      <c r="AI980" s="1">
        <v>30</v>
      </c>
      <c r="AJ980" s="1">
        <v>15</v>
      </c>
      <c r="AN980" s="1" t="s">
        <v>3543</v>
      </c>
      <c r="AQ980" s="1" t="s">
        <v>3544</v>
      </c>
    </row>
    <row r="981" spans="1:43" ht="19.2">
      <c r="A981" s="1">
        <v>9310002</v>
      </c>
      <c r="B981" s="5" t="s">
        <v>3638</v>
      </c>
      <c r="C981" s="224" t="s">
        <v>5320</v>
      </c>
      <c r="D981" s="1" t="s">
        <v>3197</v>
      </c>
      <c r="E981" s="1" t="s">
        <v>79</v>
      </c>
      <c r="F981" s="1">
        <v>1</v>
      </c>
      <c r="G981" s="1">
        <v>101</v>
      </c>
      <c r="H981" s="1" t="s">
        <v>82</v>
      </c>
      <c r="I981" s="5" t="s">
        <v>3640</v>
      </c>
      <c r="L981" s="220" t="s">
        <v>3546</v>
      </c>
      <c r="P981" s="111">
        <v>1</v>
      </c>
      <c r="Q981" s="111">
        <v>0</v>
      </c>
      <c r="R981" s="111" t="s">
        <v>85</v>
      </c>
      <c r="S981" s="1">
        <v>9310001</v>
      </c>
      <c r="T981" s="547" t="s">
        <v>3540</v>
      </c>
      <c r="U981" s="548" t="s">
        <v>3541</v>
      </c>
      <c r="V981" s="111" t="s">
        <v>582</v>
      </c>
      <c r="W981" s="57" t="s">
        <v>5321</v>
      </c>
      <c r="X981" s="57" t="s">
        <v>5321</v>
      </c>
      <c r="AE981" s="1">
        <v>0</v>
      </c>
      <c r="AF981" s="1">
        <v>0</v>
      </c>
      <c r="AG981" s="1">
        <v>0</v>
      </c>
      <c r="AI981" s="1">
        <v>30</v>
      </c>
      <c r="AJ981" s="1">
        <v>15</v>
      </c>
      <c r="AN981" s="1" t="s">
        <v>3548</v>
      </c>
      <c r="AQ981" s="1" t="s">
        <v>3544</v>
      </c>
    </row>
    <row r="982" spans="1:43" ht="19.2">
      <c r="A982" s="1">
        <v>9320001</v>
      </c>
      <c r="B982" s="5" t="s">
        <v>3638</v>
      </c>
      <c r="C982" s="224" t="s">
        <v>5316</v>
      </c>
      <c r="D982" s="1" t="s">
        <v>3197</v>
      </c>
      <c r="E982" s="1" t="s">
        <v>79</v>
      </c>
      <c r="F982" s="1">
        <v>1</v>
      </c>
      <c r="G982" s="1">
        <v>110</v>
      </c>
      <c r="H982" s="1" t="s">
        <v>82</v>
      </c>
      <c r="I982" s="5" t="s">
        <v>3640</v>
      </c>
      <c r="L982" s="220" t="s">
        <v>3550</v>
      </c>
      <c r="P982" s="111">
        <v>1</v>
      </c>
      <c r="Q982" s="111">
        <v>0</v>
      </c>
      <c r="R982" s="111" t="s">
        <v>85</v>
      </c>
      <c r="S982" s="1">
        <v>9210001</v>
      </c>
      <c r="T982" s="260" t="s">
        <v>3531</v>
      </c>
      <c r="U982" s="261" t="s">
        <v>3532</v>
      </c>
      <c r="V982" s="111" t="s">
        <v>582</v>
      </c>
      <c r="W982" s="57" t="s">
        <v>5322</v>
      </c>
      <c r="X982" s="57" t="s">
        <v>5322</v>
      </c>
      <c r="AE982" s="1">
        <v>0</v>
      </c>
      <c r="AF982" s="1">
        <v>0</v>
      </c>
      <c r="AG982" s="1">
        <v>0</v>
      </c>
      <c r="AI982" s="1">
        <v>30</v>
      </c>
      <c r="AJ982" s="1">
        <v>15</v>
      </c>
      <c r="AN982" s="1" t="s">
        <v>3552</v>
      </c>
      <c r="AQ982" s="1" t="s">
        <v>3535</v>
      </c>
    </row>
    <row r="983" spans="1:43" ht="19.2">
      <c r="A983" s="1">
        <v>9320002</v>
      </c>
      <c r="B983" s="5" t="s">
        <v>3638</v>
      </c>
      <c r="C983" s="224" t="s">
        <v>5227</v>
      </c>
      <c r="D983" s="1" t="s">
        <v>3197</v>
      </c>
      <c r="E983" s="3" t="s">
        <v>2785</v>
      </c>
      <c r="F983" s="1">
        <v>1</v>
      </c>
      <c r="G983" s="1">
        <v>110</v>
      </c>
      <c r="H983" s="1" t="s">
        <v>82</v>
      </c>
      <c r="I983" s="5" t="s">
        <v>3640</v>
      </c>
      <c r="L983" s="220" t="s">
        <v>3553</v>
      </c>
      <c r="O983" s="3" t="s">
        <v>3225</v>
      </c>
      <c r="Q983" s="111">
        <v>0</v>
      </c>
      <c r="R983" s="22"/>
      <c r="S983" s="1">
        <v>9210001</v>
      </c>
      <c r="T983" s="260"/>
      <c r="U983" s="261"/>
      <c r="V983" s="111" t="s">
        <v>582</v>
      </c>
      <c r="W983" s="57" t="s">
        <v>5228</v>
      </c>
      <c r="X983" s="57" t="s">
        <v>5228</v>
      </c>
      <c r="AE983" s="1">
        <v>2</v>
      </c>
      <c r="AF983" s="1">
        <v>0</v>
      </c>
      <c r="AG983" s="1">
        <v>1</v>
      </c>
      <c r="AI983" s="1">
        <v>0</v>
      </c>
      <c r="AJ983" s="1">
        <v>0</v>
      </c>
      <c r="AN983" s="1" t="s">
        <v>3554</v>
      </c>
      <c r="AQ983" s="1" t="s">
        <v>3535</v>
      </c>
    </row>
    <row r="984" spans="1:43" ht="19.2">
      <c r="A984" s="1">
        <v>9330001</v>
      </c>
      <c r="B984" s="5" t="s">
        <v>3638</v>
      </c>
      <c r="C984" s="224" t="s">
        <v>5316</v>
      </c>
      <c r="D984" s="1" t="s">
        <v>3197</v>
      </c>
      <c r="E984" s="1" t="s">
        <v>79</v>
      </c>
      <c r="F984" s="1">
        <v>1</v>
      </c>
      <c r="G984" s="1">
        <v>111</v>
      </c>
      <c r="H984" s="1" t="s">
        <v>82</v>
      </c>
      <c r="I984" s="5" t="s">
        <v>3640</v>
      </c>
      <c r="L984" s="220" t="s">
        <v>3556</v>
      </c>
      <c r="P984" s="111">
        <v>1</v>
      </c>
      <c r="Q984" s="111">
        <v>0</v>
      </c>
      <c r="R984" s="111" t="s">
        <v>85</v>
      </c>
      <c r="S984" s="1">
        <v>9210001</v>
      </c>
      <c r="T984" s="260" t="s">
        <v>3531</v>
      </c>
      <c r="U984" s="261" t="s">
        <v>3532</v>
      </c>
      <c r="V984" s="111" t="s">
        <v>582</v>
      </c>
      <c r="W984" s="57" t="s">
        <v>5323</v>
      </c>
      <c r="X984" s="57" t="s">
        <v>5323</v>
      </c>
      <c r="AE984" s="1">
        <v>0</v>
      </c>
      <c r="AF984" s="1">
        <v>0</v>
      </c>
      <c r="AG984" s="1">
        <v>0</v>
      </c>
      <c r="AI984" s="1">
        <v>30</v>
      </c>
      <c r="AJ984" s="1">
        <v>15</v>
      </c>
      <c r="AN984" s="1" t="s">
        <v>3558</v>
      </c>
      <c r="AQ984" s="1" t="s">
        <v>3535</v>
      </c>
    </row>
    <row r="985" spans="1:43" ht="19.2">
      <c r="A985" s="1">
        <v>9330002</v>
      </c>
      <c r="B985" s="5" t="s">
        <v>3638</v>
      </c>
      <c r="C985" s="224" t="s">
        <v>5227</v>
      </c>
      <c r="D985" s="1" t="s">
        <v>3197</v>
      </c>
      <c r="E985" s="3" t="s">
        <v>2785</v>
      </c>
      <c r="F985" s="1">
        <v>1</v>
      </c>
      <c r="G985" s="1">
        <v>111</v>
      </c>
      <c r="H985" s="1" t="s">
        <v>82</v>
      </c>
      <c r="I985" s="5" t="s">
        <v>3640</v>
      </c>
      <c r="L985" s="220" t="s">
        <v>3559</v>
      </c>
      <c r="O985" s="3" t="s">
        <v>3225</v>
      </c>
      <c r="Q985" s="111">
        <v>0</v>
      </c>
      <c r="R985" s="22"/>
      <c r="S985" s="1">
        <v>9210001</v>
      </c>
      <c r="T985" s="260"/>
      <c r="U985" s="261"/>
      <c r="V985" s="111" t="s">
        <v>582</v>
      </c>
      <c r="W985" s="57" t="s">
        <v>5228</v>
      </c>
      <c r="X985" s="57" t="s">
        <v>5228</v>
      </c>
      <c r="AE985" s="1">
        <v>2</v>
      </c>
      <c r="AF985" s="1">
        <v>0</v>
      </c>
      <c r="AG985" s="1">
        <v>1</v>
      </c>
      <c r="AI985" s="1">
        <v>0</v>
      </c>
      <c r="AJ985" s="1">
        <v>0</v>
      </c>
      <c r="AN985" s="1" t="s">
        <v>3560</v>
      </c>
      <c r="AQ985" s="1" t="s">
        <v>3535</v>
      </c>
    </row>
    <row r="986" spans="1:43" ht="19.2">
      <c r="A986" s="1">
        <v>9340001</v>
      </c>
      <c r="B986" s="5" t="s">
        <v>3638</v>
      </c>
      <c r="C986" s="224" t="s">
        <v>5316</v>
      </c>
      <c r="D986" s="3" t="s">
        <v>3197</v>
      </c>
      <c r="E986" s="3" t="s">
        <v>79</v>
      </c>
      <c r="F986" s="3">
        <v>1</v>
      </c>
      <c r="G986" s="3">
        <v>112</v>
      </c>
      <c r="H986" s="3" t="s">
        <v>82</v>
      </c>
      <c r="I986" s="5" t="s">
        <v>3640</v>
      </c>
      <c r="J986" s="3"/>
      <c r="K986" s="3"/>
      <c r="L986" s="220" t="s">
        <v>3562</v>
      </c>
      <c r="M986" s="99"/>
      <c r="N986" s="99"/>
      <c r="O986" s="3"/>
      <c r="P986" s="22">
        <v>1</v>
      </c>
      <c r="Q986" s="22">
        <v>0</v>
      </c>
      <c r="R986" s="22" t="s">
        <v>85</v>
      </c>
      <c r="S986" s="3">
        <v>5310001</v>
      </c>
      <c r="T986" s="260" t="s">
        <v>3207</v>
      </c>
      <c r="U986" s="261" t="s">
        <v>3208</v>
      </c>
      <c r="V986" s="22" t="s">
        <v>582</v>
      </c>
      <c r="W986" s="57" t="s">
        <v>5324</v>
      </c>
      <c r="X986" s="57" t="s">
        <v>5324</v>
      </c>
      <c r="Y986" s="137"/>
      <c r="Z986" s="137"/>
      <c r="AE986" s="1">
        <v>2</v>
      </c>
      <c r="AF986" s="3">
        <v>0</v>
      </c>
      <c r="AG986" s="3">
        <v>7</v>
      </c>
      <c r="AH986" s="3"/>
      <c r="AI986" s="539">
        <v>58</v>
      </c>
      <c r="AJ986" s="539">
        <v>39</v>
      </c>
      <c r="AN986" s="538" t="s">
        <v>3564</v>
      </c>
      <c r="AQ986" s="1" t="s">
        <v>3217</v>
      </c>
    </row>
    <row r="987" spans="1:43" ht="19.2">
      <c r="A987" s="1">
        <v>9340002</v>
      </c>
      <c r="B987" s="5" t="s">
        <v>3638</v>
      </c>
      <c r="C987" s="224" t="s">
        <v>5227</v>
      </c>
      <c r="D987" s="3" t="s">
        <v>3197</v>
      </c>
      <c r="E987" s="3" t="s">
        <v>2785</v>
      </c>
      <c r="F987" s="3">
        <v>1</v>
      </c>
      <c r="G987" s="3">
        <v>112</v>
      </c>
      <c r="H987" s="3" t="s">
        <v>82</v>
      </c>
      <c r="I987" s="5" t="s">
        <v>3640</v>
      </c>
      <c r="J987" s="3"/>
      <c r="K987" s="3"/>
      <c r="L987" s="220" t="s">
        <v>3565</v>
      </c>
      <c r="M987" s="99"/>
      <c r="N987" s="99"/>
      <c r="O987" s="3" t="s">
        <v>3225</v>
      </c>
      <c r="P987" s="22"/>
      <c r="Q987" s="22">
        <v>0</v>
      </c>
      <c r="R987" s="22"/>
      <c r="S987" s="3">
        <v>5310001</v>
      </c>
      <c r="T987" s="260"/>
      <c r="U987" s="261"/>
      <c r="V987" s="22" t="s">
        <v>582</v>
      </c>
      <c r="W987" s="57" t="s">
        <v>5228</v>
      </c>
      <c r="X987" s="57" t="s">
        <v>5228</v>
      </c>
      <c r="Y987" s="137"/>
      <c r="Z987" s="137"/>
      <c r="AE987" s="1">
        <v>2</v>
      </c>
      <c r="AF987" s="1">
        <v>0</v>
      </c>
      <c r="AG987" s="1">
        <v>1</v>
      </c>
      <c r="AH987" s="3"/>
      <c r="AI987" s="1">
        <v>0</v>
      </c>
      <c r="AJ987" s="1">
        <v>0</v>
      </c>
      <c r="AN987" s="538" t="s">
        <v>3566</v>
      </c>
      <c r="AQ987" s="1" t="s">
        <v>3217</v>
      </c>
    </row>
    <row r="988" spans="1:43" ht="19.2">
      <c r="A988" s="1">
        <v>9350001</v>
      </c>
      <c r="B988" s="5" t="s">
        <v>3638</v>
      </c>
      <c r="C988" s="224" t="s">
        <v>5316</v>
      </c>
      <c r="D988" s="1" t="s">
        <v>3197</v>
      </c>
      <c r="E988" s="1" t="s">
        <v>79</v>
      </c>
      <c r="F988" s="1">
        <v>1</v>
      </c>
      <c r="G988" s="1">
        <v>106</v>
      </c>
      <c r="H988" s="1" t="s">
        <v>82</v>
      </c>
      <c r="I988" s="5" t="s">
        <v>3640</v>
      </c>
      <c r="L988" s="220" t="s">
        <v>3568</v>
      </c>
      <c r="P988" s="111">
        <v>1</v>
      </c>
      <c r="Q988" s="111">
        <v>0</v>
      </c>
      <c r="R988" s="111" t="s">
        <v>85</v>
      </c>
      <c r="S988" s="1">
        <v>9210001</v>
      </c>
      <c r="T988" s="260" t="s">
        <v>3531</v>
      </c>
      <c r="U988" s="261" t="s">
        <v>3532</v>
      </c>
      <c r="V988" s="111" t="s">
        <v>582</v>
      </c>
      <c r="W988" s="57" t="s">
        <v>5325</v>
      </c>
      <c r="X988" s="57" t="s">
        <v>5325</v>
      </c>
      <c r="AE988" s="1">
        <v>0</v>
      </c>
      <c r="AF988" s="1">
        <v>0</v>
      </c>
      <c r="AG988" s="1">
        <v>0</v>
      </c>
      <c r="AI988" s="1">
        <v>30</v>
      </c>
      <c r="AJ988" s="1">
        <v>15</v>
      </c>
      <c r="AN988" s="1" t="s">
        <v>3570</v>
      </c>
      <c r="AQ988" s="1" t="s">
        <v>3535</v>
      </c>
    </row>
    <row r="989" spans="1:43" ht="19.2">
      <c r="A989" s="1">
        <v>9350002</v>
      </c>
      <c r="B989" s="5" t="s">
        <v>3638</v>
      </c>
      <c r="C989" s="224" t="s">
        <v>5227</v>
      </c>
      <c r="D989" s="1" t="s">
        <v>3197</v>
      </c>
      <c r="E989" s="3" t="s">
        <v>2785</v>
      </c>
      <c r="F989" s="1">
        <v>1</v>
      </c>
      <c r="G989" s="1">
        <v>106</v>
      </c>
      <c r="H989" s="1" t="s">
        <v>82</v>
      </c>
      <c r="I989" s="5" t="s">
        <v>3640</v>
      </c>
      <c r="L989" s="220" t="s">
        <v>3571</v>
      </c>
      <c r="O989" s="3" t="s">
        <v>3225</v>
      </c>
      <c r="Q989" s="111">
        <v>0</v>
      </c>
      <c r="R989" s="22"/>
      <c r="S989" s="1">
        <v>9210001</v>
      </c>
      <c r="T989" s="260"/>
      <c r="U989" s="261"/>
      <c r="V989" s="111" t="s">
        <v>582</v>
      </c>
      <c r="W989" s="57" t="s">
        <v>5228</v>
      </c>
      <c r="X989" s="57" t="s">
        <v>5228</v>
      </c>
      <c r="AE989" s="1">
        <v>2</v>
      </c>
      <c r="AF989" s="1">
        <v>0</v>
      </c>
      <c r="AG989" s="1">
        <v>1</v>
      </c>
      <c r="AI989" s="1">
        <v>0</v>
      </c>
      <c r="AJ989" s="1">
        <v>0</v>
      </c>
      <c r="AN989" s="1" t="s">
        <v>3572</v>
      </c>
      <c r="AQ989" s="1" t="s">
        <v>3535</v>
      </c>
    </row>
    <row r="990" spans="1:43" ht="19.2">
      <c r="A990" s="1">
        <v>9360001</v>
      </c>
      <c r="B990" s="5" t="s">
        <v>3638</v>
      </c>
      <c r="C990" s="224" t="s">
        <v>5316</v>
      </c>
      <c r="D990" s="1" t="s">
        <v>3197</v>
      </c>
      <c r="E990" s="1" t="s">
        <v>79</v>
      </c>
      <c r="F990" s="1">
        <v>1</v>
      </c>
      <c r="G990" s="1">
        <v>105</v>
      </c>
      <c r="H990" s="1" t="s">
        <v>82</v>
      </c>
      <c r="I990" s="5" t="s">
        <v>3640</v>
      </c>
      <c r="L990" s="220" t="s">
        <v>3574</v>
      </c>
      <c r="P990" s="111">
        <v>1</v>
      </c>
      <c r="Q990" s="111">
        <v>0</v>
      </c>
      <c r="R990" s="111" t="s">
        <v>85</v>
      </c>
      <c r="S990" s="1">
        <v>9210001</v>
      </c>
      <c r="T990" s="260" t="s">
        <v>3531</v>
      </c>
      <c r="U990" s="261" t="s">
        <v>3532</v>
      </c>
      <c r="V990" s="111" t="s">
        <v>582</v>
      </c>
      <c r="W990" s="57" t="s">
        <v>5326</v>
      </c>
      <c r="X990" s="57" t="s">
        <v>5326</v>
      </c>
      <c r="AE990" s="1">
        <v>0</v>
      </c>
      <c r="AF990" s="1">
        <v>0</v>
      </c>
      <c r="AG990" s="1">
        <v>0</v>
      </c>
      <c r="AI990" s="1">
        <v>30</v>
      </c>
      <c r="AJ990" s="1">
        <v>15</v>
      </c>
      <c r="AN990" s="1" t="s">
        <v>3576</v>
      </c>
      <c r="AQ990" s="1" t="s">
        <v>3535</v>
      </c>
    </row>
    <row r="991" spans="1:43" ht="19.2">
      <c r="A991" s="1">
        <v>9360002</v>
      </c>
      <c r="B991" s="5" t="s">
        <v>3638</v>
      </c>
      <c r="C991" s="224" t="s">
        <v>5227</v>
      </c>
      <c r="D991" s="1" t="s">
        <v>3197</v>
      </c>
      <c r="E991" s="3" t="s">
        <v>2785</v>
      </c>
      <c r="F991" s="1">
        <v>1</v>
      </c>
      <c r="G991" s="1">
        <v>105</v>
      </c>
      <c r="H991" s="1" t="s">
        <v>82</v>
      </c>
      <c r="I991" s="5" t="s">
        <v>3640</v>
      </c>
      <c r="L991" s="220" t="s">
        <v>3577</v>
      </c>
      <c r="O991" s="3" t="s">
        <v>3225</v>
      </c>
      <c r="Q991" s="111">
        <v>0</v>
      </c>
      <c r="R991" s="22"/>
      <c r="S991" s="1">
        <v>9210001</v>
      </c>
      <c r="T991" s="260"/>
      <c r="U991" s="261"/>
      <c r="V991" s="111" t="s">
        <v>582</v>
      </c>
      <c r="W991" s="57" t="s">
        <v>5228</v>
      </c>
      <c r="X991" s="57" t="s">
        <v>5228</v>
      </c>
      <c r="AE991" s="1">
        <v>2</v>
      </c>
      <c r="AF991" s="1">
        <v>0</v>
      </c>
      <c r="AG991" s="1">
        <v>1</v>
      </c>
      <c r="AI991" s="1">
        <v>0</v>
      </c>
      <c r="AJ991" s="1">
        <v>0</v>
      </c>
      <c r="AN991" s="1" t="s">
        <v>3578</v>
      </c>
      <c r="AQ991" s="1" t="s">
        <v>3535</v>
      </c>
    </row>
    <row r="992" spans="1:43" ht="19.2">
      <c r="A992" s="1">
        <v>9370001</v>
      </c>
      <c r="B992" s="5" t="s">
        <v>3638</v>
      </c>
      <c r="C992" s="224" t="s">
        <v>5316</v>
      </c>
      <c r="D992" s="1" t="s">
        <v>3197</v>
      </c>
      <c r="E992" s="1" t="s">
        <v>79</v>
      </c>
      <c r="F992" s="1">
        <v>1</v>
      </c>
      <c r="G992" s="1">
        <v>103</v>
      </c>
      <c r="H992" s="1" t="s">
        <v>82</v>
      </c>
      <c r="I992" s="5" t="s">
        <v>3640</v>
      </c>
      <c r="L992" s="220" t="s">
        <v>3580</v>
      </c>
      <c r="P992" s="111">
        <v>1</v>
      </c>
      <c r="Q992" s="111">
        <v>0</v>
      </c>
      <c r="R992" s="111" t="s">
        <v>85</v>
      </c>
      <c r="S992" s="1">
        <v>9210001</v>
      </c>
      <c r="T992" s="260" t="s">
        <v>3531</v>
      </c>
      <c r="U992" s="261" t="s">
        <v>3532</v>
      </c>
      <c r="V992" s="111" t="s">
        <v>582</v>
      </c>
      <c r="W992" s="57" t="s">
        <v>5327</v>
      </c>
      <c r="X992" s="57" t="s">
        <v>5327</v>
      </c>
      <c r="AE992" s="1">
        <v>0</v>
      </c>
      <c r="AF992" s="1">
        <v>0</v>
      </c>
      <c r="AG992" s="1">
        <v>0</v>
      </c>
      <c r="AI992" s="1">
        <v>30</v>
      </c>
      <c r="AJ992" s="1">
        <v>15</v>
      </c>
      <c r="AN992" s="1" t="s">
        <v>3582</v>
      </c>
      <c r="AQ992" s="1" t="s">
        <v>3535</v>
      </c>
    </row>
    <row r="993" spans="1:43" ht="19.2">
      <c r="A993" s="1">
        <v>9370002</v>
      </c>
      <c r="B993" s="5" t="s">
        <v>3638</v>
      </c>
      <c r="C993" s="224" t="s">
        <v>5227</v>
      </c>
      <c r="D993" s="1" t="s">
        <v>3197</v>
      </c>
      <c r="E993" s="3" t="s">
        <v>2785</v>
      </c>
      <c r="F993" s="1">
        <v>1</v>
      </c>
      <c r="G993" s="1">
        <v>103</v>
      </c>
      <c r="H993" s="1" t="s">
        <v>82</v>
      </c>
      <c r="I993" s="5" t="s">
        <v>3640</v>
      </c>
      <c r="L993" s="220" t="s">
        <v>3583</v>
      </c>
      <c r="O993" s="3" t="s">
        <v>3225</v>
      </c>
      <c r="Q993" s="111">
        <v>0</v>
      </c>
      <c r="R993" s="22"/>
      <c r="S993" s="1">
        <v>9210001</v>
      </c>
      <c r="T993" s="260"/>
      <c r="U993" s="261"/>
      <c r="V993" s="111" t="s">
        <v>582</v>
      </c>
      <c r="W993" s="57" t="s">
        <v>5228</v>
      </c>
      <c r="X993" s="57" t="s">
        <v>5228</v>
      </c>
      <c r="AE993" s="1">
        <v>2</v>
      </c>
      <c r="AF993" s="1">
        <v>0</v>
      </c>
      <c r="AG993" s="1">
        <v>1</v>
      </c>
      <c r="AI993" s="1">
        <v>0</v>
      </c>
      <c r="AJ993" s="1">
        <v>0</v>
      </c>
      <c r="AN993" s="1" t="s">
        <v>3584</v>
      </c>
      <c r="AQ993" s="1" t="s">
        <v>3535</v>
      </c>
    </row>
    <row r="994" spans="1:43" ht="19.2">
      <c r="A994" s="1">
        <v>9380001</v>
      </c>
      <c r="B994" s="5" t="s">
        <v>3638</v>
      </c>
      <c r="C994" s="224" t="s">
        <v>5316</v>
      </c>
      <c r="D994" s="1" t="s">
        <v>3197</v>
      </c>
      <c r="E994" s="1" t="s">
        <v>79</v>
      </c>
      <c r="F994" s="1">
        <v>1</v>
      </c>
      <c r="G994" s="1">
        <v>107</v>
      </c>
      <c r="H994" s="1" t="s">
        <v>82</v>
      </c>
      <c r="I994" s="5" t="s">
        <v>3640</v>
      </c>
      <c r="L994" s="220" t="s">
        <v>3586</v>
      </c>
      <c r="P994" s="111">
        <v>1</v>
      </c>
      <c r="Q994" s="111">
        <v>0</v>
      </c>
      <c r="R994" s="111" t="s">
        <v>85</v>
      </c>
      <c r="S994" s="1">
        <v>9210001</v>
      </c>
      <c r="T994" s="260" t="s">
        <v>3531</v>
      </c>
      <c r="U994" s="261" t="s">
        <v>3532</v>
      </c>
      <c r="V994" s="111" t="s">
        <v>582</v>
      </c>
      <c r="W994" s="57" t="s">
        <v>5328</v>
      </c>
      <c r="X994" s="57" t="s">
        <v>5328</v>
      </c>
      <c r="AE994" s="1">
        <v>0</v>
      </c>
      <c r="AF994" s="1">
        <v>0</v>
      </c>
      <c r="AG994" s="1">
        <v>0</v>
      </c>
      <c r="AI994" s="1">
        <v>30</v>
      </c>
      <c r="AJ994" s="1">
        <v>15</v>
      </c>
      <c r="AN994" s="1" t="s">
        <v>3588</v>
      </c>
      <c r="AQ994" s="1" t="s">
        <v>3535</v>
      </c>
    </row>
    <row r="995" spans="1:43" ht="19.2">
      <c r="A995" s="1">
        <v>9380002</v>
      </c>
      <c r="B995" s="5" t="s">
        <v>3638</v>
      </c>
      <c r="C995" s="224" t="s">
        <v>5227</v>
      </c>
      <c r="D995" s="1" t="s">
        <v>3197</v>
      </c>
      <c r="E995" s="3" t="s">
        <v>2785</v>
      </c>
      <c r="F995" s="1">
        <v>1</v>
      </c>
      <c r="G995" s="1">
        <v>107</v>
      </c>
      <c r="H995" s="1" t="s">
        <v>82</v>
      </c>
      <c r="I995" s="5" t="s">
        <v>3640</v>
      </c>
      <c r="L995" s="220" t="s">
        <v>3589</v>
      </c>
      <c r="O995" s="3" t="s">
        <v>3225</v>
      </c>
      <c r="Q995" s="111">
        <v>0</v>
      </c>
      <c r="R995" s="22"/>
      <c r="S995" s="1">
        <v>9210001</v>
      </c>
      <c r="T995" s="260"/>
      <c r="U995" s="261"/>
      <c r="V995" s="111" t="s">
        <v>582</v>
      </c>
      <c r="W995" s="57" t="s">
        <v>5228</v>
      </c>
      <c r="X995" s="57" t="s">
        <v>5228</v>
      </c>
      <c r="AE995" s="1">
        <v>2</v>
      </c>
      <c r="AF995" s="1">
        <v>0</v>
      </c>
      <c r="AG995" s="1">
        <v>1</v>
      </c>
      <c r="AI995" s="1">
        <v>0</v>
      </c>
      <c r="AJ995" s="1">
        <v>0</v>
      </c>
      <c r="AN995" s="1" t="s">
        <v>3590</v>
      </c>
      <c r="AQ995" s="1" t="s">
        <v>3535</v>
      </c>
    </row>
    <row r="996" spans="1:43" ht="19.2">
      <c r="A996" s="1">
        <v>9390001</v>
      </c>
      <c r="B996" s="5" t="s">
        <v>3638</v>
      </c>
      <c r="C996" s="224" t="s">
        <v>5316</v>
      </c>
      <c r="D996" s="1" t="s">
        <v>3197</v>
      </c>
      <c r="E996" s="1" t="s">
        <v>79</v>
      </c>
      <c r="F996" s="1">
        <v>1</v>
      </c>
      <c r="G996" s="1">
        <v>104</v>
      </c>
      <c r="H996" s="1" t="s">
        <v>82</v>
      </c>
      <c r="I996" s="5" t="s">
        <v>3640</v>
      </c>
      <c r="L996" s="220" t="s">
        <v>3592</v>
      </c>
      <c r="P996" s="111">
        <v>1</v>
      </c>
      <c r="Q996" s="111">
        <v>0</v>
      </c>
      <c r="R996" s="111" t="s">
        <v>85</v>
      </c>
      <c r="S996" s="1">
        <v>9210001</v>
      </c>
      <c r="T996" s="260" t="s">
        <v>3531</v>
      </c>
      <c r="U996" s="261" t="s">
        <v>3532</v>
      </c>
      <c r="V996" s="111" t="s">
        <v>582</v>
      </c>
      <c r="W996" s="57" t="s">
        <v>5328</v>
      </c>
      <c r="X996" s="57" t="s">
        <v>5328</v>
      </c>
      <c r="AE996" s="1">
        <v>0</v>
      </c>
      <c r="AF996" s="1">
        <v>0</v>
      </c>
      <c r="AG996" s="1">
        <v>0</v>
      </c>
      <c r="AI996" s="1">
        <v>30</v>
      </c>
      <c r="AJ996" s="1">
        <v>15</v>
      </c>
      <c r="AN996" s="1" t="s">
        <v>3593</v>
      </c>
      <c r="AQ996" s="1" t="s">
        <v>3535</v>
      </c>
    </row>
    <row r="997" spans="1:43" ht="19.2">
      <c r="A997" s="1">
        <v>9390002</v>
      </c>
      <c r="B997" s="5" t="s">
        <v>3638</v>
      </c>
      <c r="C997" s="224" t="s">
        <v>5227</v>
      </c>
      <c r="D997" s="1" t="s">
        <v>3197</v>
      </c>
      <c r="E997" s="3" t="s">
        <v>2785</v>
      </c>
      <c r="F997" s="1">
        <v>1</v>
      </c>
      <c r="G997" s="1">
        <v>104</v>
      </c>
      <c r="H997" s="1" t="s">
        <v>82</v>
      </c>
      <c r="I997" s="5" t="s">
        <v>3640</v>
      </c>
      <c r="L997" s="220" t="s">
        <v>3594</v>
      </c>
      <c r="O997" s="3" t="s">
        <v>3225</v>
      </c>
      <c r="Q997" s="111">
        <v>0</v>
      </c>
      <c r="R997" s="22"/>
      <c r="S997" s="1">
        <v>9210001</v>
      </c>
      <c r="T997" s="260"/>
      <c r="U997" s="261"/>
      <c r="V997" s="111" t="s">
        <v>582</v>
      </c>
      <c r="W997" s="57" t="s">
        <v>5228</v>
      </c>
      <c r="X997" s="57" t="s">
        <v>5228</v>
      </c>
      <c r="AE997" s="1">
        <v>2</v>
      </c>
      <c r="AF997" s="1">
        <v>0</v>
      </c>
      <c r="AG997" s="1">
        <v>1</v>
      </c>
      <c r="AI997" s="1">
        <v>0</v>
      </c>
      <c r="AJ997" s="1">
        <v>0</v>
      </c>
      <c r="AN997" s="1" t="s">
        <v>3595</v>
      </c>
      <c r="AQ997" s="1" t="s">
        <v>3535</v>
      </c>
    </row>
    <row r="998" spans="1:43" ht="19.2">
      <c r="A998" s="1">
        <v>9400001</v>
      </c>
      <c r="B998" s="5" t="s">
        <v>3638</v>
      </c>
      <c r="C998" s="224" t="s">
        <v>5316</v>
      </c>
      <c r="D998" s="1" t="s">
        <v>3197</v>
      </c>
      <c r="E998" s="1" t="s">
        <v>79</v>
      </c>
      <c r="F998" s="1">
        <v>1</v>
      </c>
      <c r="G998" s="1">
        <v>108</v>
      </c>
      <c r="H998" s="1" t="s">
        <v>82</v>
      </c>
      <c r="I998" s="5" t="s">
        <v>3640</v>
      </c>
      <c r="L998" s="220" t="s">
        <v>3597</v>
      </c>
      <c r="P998" s="111">
        <v>1</v>
      </c>
      <c r="Q998" s="111">
        <v>0</v>
      </c>
      <c r="R998" s="111" t="s">
        <v>85</v>
      </c>
      <c r="S998" s="1">
        <v>9210001</v>
      </c>
      <c r="T998" s="260" t="s">
        <v>3531</v>
      </c>
      <c r="U998" s="261" t="s">
        <v>3532</v>
      </c>
      <c r="V998" s="111" t="s">
        <v>582</v>
      </c>
      <c r="W998" s="57" t="s">
        <v>5328</v>
      </c>
      <c r="X998" s="57" t="s">
        <v>5328</v>
      </c>
      <c r="AE998" s="1">
        <v>0</v>
      </c>
      <c r="AF998" s="1">
        <v>0</v>
      </c>
      <c r="AG998" s="1">
        <v>0</v>
      </c>
      <c r="AI998" s="1">
        <v>30</v>
      </c>
      <c r="AJ998" s="1">
        <v>15</v>
      </c>
      <c r="AN998" s="1" t="s">
        <v>3598</v>
      </c>
      <c r="AQ998" s="1" t="s">
        <v>3535</v>
      </c>
    </row>
    <row r="999" spans="1:43" ht="19.2">
      <c r="A999" s="1">
        <v>9400002</v>
      </c>
      <c r="B999" s="5" t="s">
        <v>3638</v>
      </c>
      <c r="C999" s="224" t="s">
        <v>5227</v>
      </c>
      <c r="D999" s="1" t="s">
        <v>3197</v>
      </c>
      <c r="E999" s="3" t="s">
        <v>2785</v>
      </c>
      <c r="F999" s="1">
        <v>1</v>
      </c>
      <c r="G999" s="1">
        <v>108</v>
      </c>
      <c r="H999" s="1" t="s">
        <v>82</v>
      </c>
      <c r="I999" s="5" t="s">
        <v>3640</v>
      </c>
      <c r="L999" s="220" t="s">
        <v>3599</v>
      </c>
      <c r="O999" s="3" t="s">
        <v>3225</v>
      </c>
      <c r="Q999" s="111">
        <v>0</v>
      </c>
      <c r="R999" s="22"/>
      <c r="S999" s="1">
        <v>9210001</v>
      </c>
      <c r="T999" s="260"/>
      <c r="U999" s="261"/>
      <c r="V999" s="111" t="s">
        <v>582</v>
      </c>
      <c r="W999" s="57" t="s">
        <v>5228</v>
      </c>
      <c r="X999" s="57" t="s">
        <v>5228</v>
      </c>
      <c r="AE999" s="1">
        <v>2</v>
      </c>
      <c r="AF999" s="1">
        <v>0</v>
      </c>
      <c r="AG999" s="1">
        <v>1</v>
      </c>
      <c r="AI999" s="1">
        <v>0</v>
      </c>
      <c r="AJ999" s="1">
        <v>0</v>
      </c>
      <c r="AN999" s="1" t="s">
        <v>3600</v>
      </c>
      <c r="AQ999" s="1" t="s">
        <v>3535</v>
      </c>
    </row>
    <row r="1000" spans="1:43" ht="19.2">
      <c r="A1000" s="1">
        <v>9410001</v>
      </c>
      <c r="B1000" s="5" t="s">
        <v>3638</v>
      </c>
      <c r="C1000" s="224" t="s">
        <v>5316</v>
      </c>
      <c r="D1000" s="1" t="s">
        <v>3197</v>
      </c>
      <c r="E1000" s="1" t="s">
        <v>79</v>
      </c>
      <c r="F1000" s="1">
        <v>1</v>
      </c>
      <c r="G1000" s="1">
        <v>109</v>
      </c>
      <c r="H1000" s="1" t="s">
        <v>82</v>
      </c>
      <c r="I1000" s="5" t="s">
        <v>3640</v>
      </c>
      <c r="L1000" s="220" t="s">
        <v>3602</v>
      </c>
      <c r="P1000" s="111">
        <v>1</v>
      </c>
      <c r="Q1000" s="111">
        <v>0</v>
      </c>
      <c r="R1000" s="111" t="s">
        <v>85</v>
      </c>
      <c r="S1000" s="1">
        <v>9210001</v>
      </c>
      <c r="T1000" s="260" t="s">
        <v>3531</v>
      </c>
      <c r="U1000" s="261" t="s">
        <v>3532</v>
      </c>
      <c r="V1000" s="111" t="s">
        <v>582</v>
      </c>
      <c r="W1000" s="57" t="s">
        <v>5329</v>
      </c>
      <c r="X1000" s="57" t="s">
        <v>5329</v>
      </c>
      <c r="AE1000" s="1">
        <v>0</v>
      </c>
      <c r="AF1000" s="1">
        <v>0</v>
      </c>
      <c r="AG1000" s="1">
        <v>0</v>
      </c>
      <c r="AI1000" s="1">
        <v>30</v>
      </c>
      <c r="AJ1000" s="1">
        <v>15</v>
      </c>
      <c r="AN1000" s="1" t="s">
        <v>3603</v>
      </c>
      <c r="AQ1000" s="1" t="s">
        <v>3535</v>
      </c>
    </row>
    <row r="1001" spans="1:43" ht="19.2">
      <c r="A1001" s="1">
        <v>9410002</v>
      </c>
      <c r="B1001" s="5" t="s">
        <v>3638</v>
      </c>
      <c r="C1001" s="224" t="s">
        <v>5330</v>
      </c>
      <c r="D1001" s="1" t="s">
        <v>3197</v>
      </c>
      <c r="E1001" s="1" t="s">
        <v>79</v>
      </c>
      <c r="F1001" s="1">
        <v>1</v>
      </c>
      <c r="G1001" s="1">
        <v>110</v>
      </c>
      <c r="H1001" s="1" t="s">
        <v>82</v>
      </c>
      <c r="I1001" s="5" t="s">
        <v>3640</v>
      </c>
      <c r="L1001" s="220" t="s">
        <v>3605</v>
      </c>
      <c r="P1001" s="111">
        <v>1</v>
      </c>
      <c r="Q1001" s="111">
        <v>0</v>
      </c>
      <c r="R1001" s="111" t="s">
        <v>85</v>
      </c>
      <c r="S1001" s="1">
        <v>9210001</v>
      </c>
      <c r="T1001" s="260" t="s">
        <v>3531</v>
      </c>
      <c r="U1001" s="261" t="s">
        <v>3532</v>
      </c>
      <c r="V1001" s="111" t="s">
        <v>582</v>
      </c>
      <c r="W1001" s="57" t="s">
        <v>5331</v>
      </c>
      <c r="X1001" s="57" t="s">
        <v>5331</v>
      </c>
      <c r="AE1001" s="1">
        <v>0</v>
      </c>
      <c r="AF1001" s="1">
        <v>0</v>
      </c>
      <c r="AG1001" s="1">
        <v>0</v>
      </c>
      <c r="AI1001" s="1">
        <v>30</v>
      </c>
      <c r="AJ1001" s="1">
        <v>15</v>
      </c>
      <c r="AN1001" s="1" t="s">
        <v>3220</v>
      </c>
      <c r="AQ1001" s="1" t="s">
        <v>3535</v>
      </c>
    </row>
    <row r="1002" spans="1:43" ht="19.2">
      <c r="A1002" s="1">
        <v>9410022</v>
      </c>
      <c r="B1002" s="5" t="s">
        <v>3638</v>
      </c>
      <c r="C1002" s="224" t="s">
        <v>5227</v>
      </c>
      <c r="D1002" s="1" t="s">
        <v>3197</v>
      </c>
      <c r="E1002" s="3" t="s">
        <v>2785</v>
      </c>
      <c r="F1002" s="1">
        <v>1</v>
      </c>
      <c r="G1002" s="1">
        <v>109</v>
      </c>
      <c r="H1002" s="1" t="s">
        <v>82</v>
      </c>
      <c r="I1002" s="5" t="s">
        <v>3640</v>
      </c>
      <c r="L1002" s="220" t="s">
        <v>3606</v>
      </c>
      <c r="O1002" s="3" t="s">
        <v>3225</v>
      </c>
      <c r="Q1002" s="111">
        <v>0</v>
      </c>
      <c r="R1002" s="22"/>
      <c r="S1002" s="1">
        <v>9210001</v>
      </c>
      <c r="T1002" s="260"/>
      <c r="U1002" s="261"/>
      <c r="V1002" s="111" t="s">
        <v>582</v>
      </c>
      <c r="W1002" s="57" t="s">
        <v>5228</v>
      </c>
      <c r="X1002" s="57" t="s">
        <v>5228</v>
      </c>
      <c r="AE1002" s="1">
        <v>2</v>
      </c>
      <c r="AF1002" s="1">
        <v>0</v>
      </c>
      <c r="AG1002" s="1">
        <v>1</v>
      </c>
      <c r="AI1002" s="1">
        <v>0</v>
      </c>
      <c r="AJ1002" s="1">
        <v>0</v>
      </c>
      <c r="AN1002" s="1" t="s">
        <v>3607</v>
      </c>
      <c r="AQ1002" s="1" t="s">
        <v>3535</v>
      </c>
    </row>
    <row r="1003" spans="1:43" ht="19.2">
      <c r="A1003" s="1">
        <v>9420001</v>
      </c>
      <c r="B1003" s="5" t="s">
        <v>3638</v>
      </c>
      <c r="C1003" s="224" t="s">
        <v>5316</v>
      </c>
      <c r="D1003" s="1" t="s">
        <v>3197</v>
      </c>
      <c r="E1003" s="1" t="s">
        <v>79</v>
      </c>
      <c r="F1003" s="1">
        <v>1</v>
      </c>
      <c r="G1003" s="1">
        <v>109</v>
      </c>
      <c r="H1003" s="1" t="s">
        <v>82</v>
      </c>
      <c r="I1003" s="5" t="s">
        <v>3640</v>
      </c>
      <c r="L1003" s="220" t="s">
        <v>3608</v>
      </c>
      <c r="P1003" s="111">
        <v>1</v>
      </c>
      <c r="Q1003" s="111">
        <v>0</v>
      </c>
      <c r="R1003" s="111" t="s">
        <v>85</v>
      </c>
      <c r="S1003" s="1">
        <v>9210001</v>
      </c>
      <c r="T1003" s="260" t="s">
        <v>3531</v>
      </c>
      <c r="U1003" s="261" t="s">
        <v>3532</v>
      </c>
      <c r="V1003" s="111" t="s">
        <v>582</v>
      </c>
      <c r="W1003" s="57" t="s">
        <v>5332</v>
      </c>
      <c r="X1003" s="57" t="s">
        <v>5332</v>
      </c>
      <c r="AE1003" s="1">
        <v>0</v>
      </c>
      <c r="AF1003" s="1">
        <v>0</v>
      </c>
      <c r="AG1003" s="1">
        <v>0</v>
      </c>
      <c r="AI1003" s="1">
        <v>30</v>
      </c>
      <c r="AJ1003" s="1">
        <v>15</v>
      </c>
      <c r="AN1003" s="1" t="s">
        <v>3593</v>
      </c>
      <c r="AQ1003" s="1" t="s">
        <v>3535</v>
      </c>
    </row>
    <row r="1004" spans="1:43" ht="19.2">
      <c r="A1004" s="1">
        <v>9420002</v>
      </c>
      <c r="B1004" s="5" t="s">
        <v>3638</v>
      </c>
      <c r="C1004" s="224" t="s">
        <v>5227</v>
      </c>
      <c r="D1004" s="1" t="s">
        <v>3197</v>
      </c>
      <c r="E1004" s="3" t="s">
        <v>2785</v>
      </c>
      <c r="F1004" s="1">
        <v>1</v>
      </c>
      <c r="G1004" s="1">
        <v>109</v>
      </c>
      <c r="H1004" s="1" t="s">
        <v>82</v>
      </c>
      <c r="I1004" s="5" t="s">
        <v>3640</v>
      </c>
      <c r="L1004" s="220" t="s">
        <v>3608</v>
      </c>
      <c r="O1004" s="3" t="s">
        <v>3225</v>
      </c>
      <c r="Q1004" s="111">
        <v>0</v>
      </c>
      <c r="R1004" s="22"/>
      <c r="S1004" s="1">
        <v>9210001</v>
      </c>
      <c r="T1004" s="260"/>
      <c r="U1004" s="261"/>
      <c r="V1004" s="111" t="s">
        <v>582</v>
      </c>
      <c r="W1004" s="57" t="s">
        <v>5228</v>
      </c>
      <c r="X1004" s="57" t="s">
        <v>5228</v>
      </c>
      <c r="AE1004" s="1">
        <v>2</v>
      </c>
      <c r="AF1004" s="1">
        <v>0</v>
      </c>
      <c r="AG1004" s="1">
        <v>1</v>
      </c>
      <c r="AI1004" s="1">
        <v>0</v>
      </c>
      <c r="AJ1004" s="1">
        <v>0</v>
      </c>
      <c r="AN1004" s="1" t="s">
        <v>3595</v>
      </c>
      <c r="AQ1004" s="1" t="s">
        <v>3535</v>
      </c>
    </row>
    <row r="1005" spans="1:43" ht="19.2">
      <c r="A1005" s="1">
        <v>9510002</v>
      </c>
      <c r="B1005" s="5" t="s">
        <v>3638</v>
      </c>
      <c r="C1005" s="224" t="s">
        <v>5333</v>
      </c>
      <c r="D1005" s="1" t="s">
        <v>3197</v>
      </c>
      <c r="E1005" s="1" t="s">
        <v>79</v>
      </c>
      <c r="F1005" s="1">
        <v>1</v>
      </c>
      <c r="G1005" s="1">
        <v>111</v>
      </c>
      <c r="H1005" s="1" t="s">
        <v>82</v>
      </c>
      <c r="I1005" s="5" t="s">
        <v>3640</v>
      </c>
      <c r="L1005" s="220" t="s">
        <v>3612</v>
      </c>
      <c r="P1005" s="111">
        <v>1</v>
      </c>
      <c r="Q1005" s="111">
        <v>0</v>
      </c>
      <c r="R1005" s="111" t="s">
        <v>85</v>
      </c>
      <c r="S1005" s="1">
        <v>9210001</v>
      </c>
      <c r="T1005" s="260" t="s">
        <v>3531</v>
      </c>
      <c r="U1005" s="261" t="s">
        <v>3532</v>
      </c>
      <c r="V1005" s="111" t="s">
        <v>582</v>
      </c>
      <c r="W1005" s="57" t="s">
        <v>5334</v>
      </c>
      <c r="X1005" s="57" t="s">
        <v>5334</v>
      </c>
      <c r="AE1005" s="1">
        <v>0</v>
      </c>
      <c r="AF1005" s="1">
        <v>0</v>
      </c>
      <c r="AG1005" s="1">
        <v>0</v>
      </c>
      <c r="AI1005" s="1">
        <v>30</v>
      </c>
      <c r="AJ1005" s="1">
        <v>15</v>
      </c>
      <c r="AN1005" s="1" t="s">
        <v>3613</v>
      </c>
      <c r="AQ1005" s="1" t="s">
        <v>3535</v>
      </c>
    </row>
    <row r="1006" spans="1:43" ht="19.2">
      <c r="A1006" s="1">
        <v>9610002</v>
      </c>
      <c r="B1006" s="5" t="s">
        <v>3638</v>
      </c>
      <c r="C1006" s="224" t="s">
        <v>5320</v>
      </c>
      <c r="D1006" s="3" t="s">
        <v>3197</v>
      </c>
      <c r="E1006" s="3" t="s">
        <v>79</v>
      </c>
      <c r="F1006" s="3">
        <v>1</v>
      </c>
      <c r="G1006" s="3">
        <v>112</v>
      </c>
      <c r="H1006" s="3" t="s">
        <v>82</v>
      </c>
      <c r="I1006" s="5" t="s">
        <v>3640</v>
      </c>
      <c r="J1006" s="3"/>
      <c r="K1006" s="3"/>
      <c r="L1006" s="220" t="s">
        <v>3615</v>
      </c>
      <c r="M1006" s="99"/>
      <c r="N1006" s="99"/>
      <c r="O1006" s="3"/>
      <c r="P1006" s="22">
        <v>1</v>
      </c>
      <c r="Q1006" s="22">
        <v>0</v>
      </c>
      <c r="R1006" s="22" t="s">
        <v>85</v>
      </c>
      <c r="S1006" s="3">
        <v>5310001</v>
      </c>
      <c r="T1006" s="260" t="s">
        <v>3207</v>
      </c>
      <c r="U1006" s="261" t="s">
        <v>3208</v>
      </c>
      <c r="V1006" s="22" t="s">
        <v>582</v>
      </c>
      <c r="W1006" s="57" t="s">
        <v>5335</v>
      </c>
      <c r="X1006" s="57" t="s">
        <v>5335</v>
      </c>
      <c r="Y1006" s="137"/>
      <c r="Z1006" s="137"/>
      <c r="AE1006" s="1">
        <v>2</v>
      </c>
      <c r="AF1006" s="3">
        <v>0</v>
      </c>
      <c r="AG1006" s="3">
        <v>7</v>
      </c>
      <c r="AH1006" s="3"/>
      <c r="AI1006" s="539">
        <v>58</v>
      </c>
      <c r="AJ1006" s="539">
        <v>39</v>
      </c>
      <c r="AN1006" s="538" t="s">
        <v>3616</v>
      </c>
      <c r="AQ1006" s="1" t="s">
        <v>3217</v>
      </c>
    </row>
    <row r="1007" spans="1:43" ht="19.2">
      <c r="A1007" s="1">
        <v>9710002</v>
      </c>
      <c r="B1007" s="5" t="s">
        <v>3638</v>
      </c>
      <c r="C1007" s="224" t="s">
        <v>5320</v>
      </c>
      <c r="D1007" s="1" t="s">
        <v>3197</v>
      </c>
      <c r="E1007" s="1" t="s">
        <v>79</v>
      </c>
      <c r="F1007" s="1">
        <v>1</v>
      </c>
      <c r="G1007" s="1">
        <v>106</v>
      </c>
      <c r="H1007" s="1" t="s">
        <v>82</v>
      </c>
      <c r="I1007" s="5" t="s">
        <v>3640</v>
      </c>
      <c r="L1007" s="220" t="s">
        <v>3618</v>
      </c>
      <c r="P1007" s="111">
        <v>1</v>
      </c>
      <c r="Q1007" s="111">
        <v>0</v>
      </c>
      <c r="R1007" s="111" t="s">
        <v>85</v>
      </c>
      <c r="S1007" s="1">
        <v>9210001</v>
      </c>
      <c r="T1007" s="260" t="s">
        <v>3531</v>
      </c>
      <c r="U1007" s="261" t="s">
        <v>3532</v>
      </c>
      <c r="V1007" s="111" t="s">
        <v>582</v>
      </c>
      <c r="W1007" s="57" t="s">
        <v>5336</v>
      </c>
      <c r="X1007" s="57" t="s">
        <v>5336</v>
      </c>
      <c r="AE1007" s="1">
        <v>0</v>
      </c>
      <c r="AF1007" s="1">
        <v>0</v>
      </c>
      <c r="AG1007" s="1">
        <v>0</v>
      </c>
      <c r="AI1007" s="1">
        <v>30</v>
      </c>
      <c r="AJ1007" s="1">
        <v>15</v>
      </c>
      <c r="AN1007" s="1" t="s">
        <v>3619</v>
      </c>
      <c r="AQ1007" s="1" t="s">
        <v>3535</v>
      </c>
    </row>
    <row r="1008" spans="1:43" ht="19.2">
      <c r="A1008" s="1">
        <v>9810002</v>
      </c>
      <c r="B1008" s="5" t="s">
        <v>3638</v>
      </c>
      <c r="C1008" s="224" t="s">
        <v>5320</v>
      </c>
      <c r="D1008" s="1" t="s">
        <v>3197</v>
      </c>
      <c r="E1008" s="1" t="s">
        <v>79</v>
      </c>
      <c r="F1008" s="1">
        <v>1</v>
      </c>
      <c r="G1008" s="1">
        <v>105</v>
      </c>
      <c r="H1008" s="1" t="s">
        <v>82</v>
      </c>
      <c r="I1008" s="5" t="s">
        <v>3640</v>
      </c>
      <c r="L1008" s="220" t="s">
        <v>3621</v>
      </c>
      <c r="P1008" s="111">
        <v>1</v>
      </c>
      <c r="Q1008" s="111">
        <v>0</v>
      </c>
      <c r="R1008" s="111" t="s">
        <v>85</v>
      </c>
      <c r="S1008" s="1">
        <v>9210001</v>
      </c>
      <c r="T1008" s="260" t="s">
        <v>3531</v>
      </c>
      <c r="U1008" s="261" t="s">
        <v>3532</v>
      </c>
      <c r="V1008" s="111" t="s">
        <v>582</v>
      </c>
      <c r="W1008" s="57" t="s">
        <v>5337</v>
      </c>
      <c r="X1008" s="57" t="s">
        <v>5337</v>
      </c>
      <c r="AE1008" s="1">
        <v>0</v>
      </c>
      <c r="AF1008" s="1">
        <v>0</v>
      </c>
      <c r="AG1008" s="1">
        <v>0</v>
      </c>
      <c r="AI1008" s="1">
        <v>30</v>
      </c>
      <c r="AJ1008" s="1">
        <v>15</v>
      </c>
      <c r="AN1008" s="1" t="s">
        <v>3622</v>
      </c>
      <c r="AQ1008" s="1" t="s">
        <v>3535</v>
      </c>
    </row>
    <row r="1009" spans="1:43" ht="19.2">
      <c r="A1009" s="1">
        <v>9910002</v>
      </c>
      <c r="B1009" s="5" t="s">
        <v>3638</v>
      </c>
      <c r="C1009" s="224" t="s">
        <v>5320</v>
      </c>
      <c r="D1009" s="1" t="s">
        <v>3197</v>
      </c>
      <c r="E1009" s="1" t="s">
        <v>79</v>
      </c>
      <c r="F1009" s="1">
        <v>1</v>
      </c>
      <c r="G1009" s="1">
        <v>103</v>
      </c>
      <c r="H1009" s="1" t="s">
        <v>82</v>
      </c>
      <c r="I1009" s="5" t="s">
        <v>3640</v>
      </c>
      <c r="L1009" s="220" t="s">
        <v>3624</v>
      </c>
      <c r="P1009" s="111">
        <v>1</v>
      </c>
      <c r="Q1009" s="111">
        <v>0</v>
      </c>
      <c r="R1009" s="111" t="s">
        <v>85</v>
      </c>
      <c r="S1009" s="1">
        <v>9210001</v>
      </c>
      <c r="T1009" s="260" t="s">
        <v>3531</v>
      </c>
      <c r="U1009" s="261" t="s">
        <v>3532</v>
      </c>
      <c r="V1009" s="111" t="s">
        <v>582</v>
      </c>
      <c r="W1009" s="57" t="s">
        <v>5338</v>
      </c>
      <c r="X1009" s="57" t="s">
        <v>5338</v>
      </c>
      <c r="AE1009" s="1">
        <v>0</v>
      </c>
      <c r="AF1009" s="1">
        <v>0</v>
      </c>
      <c r="AG1009" s="1">
        <v>0</v>
      </c>
      <c r="AI1009" s="1">
        <v>30</v>
      </c>
      <c r="AJ1009" s="1">
        <v>15</v>
      </c>
      <c r="AN1009" s="1" t="s">
        <v>3625</v>
      </c>
      <c r="AQ1009" s="1" t="s">
        <v>3535</v>
      </c>
    </row>
    <row r="1010" spans="1:43" ht="19.2">
      <c r="A1010" s="1">
        <v>10010002</v>
      </c>
      <c r="B1010" s="5" t="s">
        <v>3638</v>
      </c>
      <c r="C1010" s="224" t="s">
        <v>5320</v>
      </c>
      <c r="D1010" s="1" t="s">
        <v>3197</v>
      </c>
      <c r="E1010" s="1" t="s">
        <v>79</v>
      </c>
      <c r="F1010" s="1">
        <v>1</v>
      </c>
      <c r="G1010" s="1">
        <v>107</v>
      </c>
      <c r="H1010" s="1" t="s">
        <v>82</v>
      </c>
      <c r="I1010" s="5" t="s">
        <v>3640</v>
      </c>
      <c r="L1010" s="220" t="s">
        <v>3626</v>
      </c>
      <c r="P1010" s="111">
        <v>1</v>
      </c>
      <c r="Q1010" s="111">
        <v>0</v>
      </c>
      <c r="R1010" s="111" t="s">
        <v>85</v>
      </c>
      <c r="S1010" s="1">
        <v>9210001</v>
      </c>
      <c r="T1010" s="260" t="s">
        <v>3531</v>
      </c>
      <c r="U1010" s="261" t="s">
        <v>3532</v>
      </c>
      <c r="V1010" s="111" t="s">
        <v>582</v>
      </c>
      <c r="W1010" s="57" t="s">
        <v>5332</v>
      </c>
      <c r="X1010" s="57" t="s">
        <v>5332</v>
      </c>
      <c r="AE1010" s="1">
        <v>0</v>
      </c>
      <c r="AF1010" s="1">
        <v>0</v>
      </c>
      <c r="AG1010" s="1">
        <v>0</v>
      </c>
      <c r="AI1010" s="1">
        <v>30</v>
      </c>
      <c r="AJ1010" s="1">
        <v>15</v>
      </c>
      <c r="AN1010" s="1" t="s">
        <v>3627</v>
      </c>
      <c r="AQ1010" s="1" t="s">
        <v>3535</v>
      </c>
    </row>
    <row r="1011" spans="1:43" ht="19.2">
      <c r="A1011" s="1">
        <v>10110002</v>
      </c>
      <c r="B1011" s="5" t="s">
        <v>3638</v>
      </c>
      <c r="C1011" s="224" t="s">
        <v>5320</v>
      </c>
      <c r="D1011" s="1" t="s">
        <v>3197</v>
      </c>
      <c r="E1011" s="1" t="s">
        <v>79</v>
      </c>
      <c r="F1011" s="1">
        <v>1</v>
      </c>
      <c r="G1011" s="1">
        <v>104</v>
      </c>
      <c r="H1011" s="1" t="s">
        <v>82</v>
      </c>
      <c r="I1011" s="5" t="s">
        <v>3640</v>
      </c>
      <c r="L1011" s="220" t="s">
        <v>3629</v>
      </c>
      <c r="P1011" s="111">
        <v>1</v>
      </c>
      <c r="Q1011" s="111">
        <v>0</v>
      </c>
      <c r="R1011" s="111" t="s">
        <v>85</v>
      </c>
      <c r="S1011" s="1">
        <v>9210001</v>
      </c>
      <c r="T1011" s="260" t="s">
        <v>3531</v>
      </c>
      <c r="U1011" s="261" t="s">
        <v>3532</v>
      </c>
      <c r="V1011" s="111" t="s">
        <v>582</v>
      </c>
      <c r="W1011" s="57" t="s">
        <v>5332</v>
      </c>
      <c r="X1011" s="57" t="s">
        <v>5332</v>
      </c>
      <c r="AE1011" s="1">
        <v>0</v>
      </c>
      <c r="AF1011" s="1">
        <v>0</v>
      </c>
      <c r="AG1011" s="1">
        <v>0</v>
      </c>
      <c r="AI1011" s="1">
        <v>30</v>
      </c>
      <c r="AJ1011" s="1">
        <v>15</v>
      </c>
      <c r="AN1011" s="1" t="s">
        <v>3630</v>
      </c>
      <c r="AQ1011" s="1" t="s">
        <v>3535</v>
      </c>
    </row>
    <row r="1012" spans="1:43" ht="19.2">
      <c r="A1012" s="1">
        <v>10210002</v>
      </c>
      <c r="B1012" s="5" t="s">
        <v>3638</v>
      </c>
      <c r="C1012" s="224" t="s">
        <v>5339</v>
      </c>
      <c r="D1012" s="1" t="s">
        <v>3197</v>
      </c>
      <c r="E1012" s="1" t="s">
        <v>79</v>
      </c>
      <c r="F1012" s="1">
        <v>1</v>
      </c>
      <c r="G1012" s="1">
        <v>108</v>
      </c>
      <c r="H1012" s="1" t="s">
        <v>82</v>
      </c>
      <c r="I1012" s="5" t="s">
        <v>3640</v>
      </c>
      <c r="L1012" s="220" t="s">
        <v>3633</v>
      </c>
      <c r="P1012" s="111">
        <v>1</v>
      </c>
      <c r="Q1012" s="111">
        <v>0</v>
      </c>
      <c r="R1012" s="111" t="s">
        <v>85</v>
      </c>
      <c r="S1012" s="1">
        <v>9210001</v>
      </c>
      <c r="T1012" s="260" t="s">
        <v>3531</v>
      </c>
      <c r="U1012" s="261" t="s">
        <v>3532</v>
      </c>
      <c r="V1012" s="111" t="s">
        <v>582</v>
      </c>
      <c r="W1012" s="57" t="s">
        <v>5332</v>
      </c>
      <c r="X1012" s="57" t="s">
        <v>5332</v>
      </c>
      <c r="AE1012" s="1">
        <v>0</v>
      </c>
      <c r="AF1012" s="1">
        <v>0</v>
      </c>
      <c r="AG1012" s="1">
        <v>0</v>
      </c>
      <c r="AI1012" s="1">
        <v>30</v>
      </c>
      <c r="AJ1012" s="1">
        <v>15</v>
      </c>
      <c r="AN1012" s="1" t="s">
        <v>3634</v>
      </c>
      <c r="AQ1012" s="1" t="s">
        <v>3535</v>
      </c>
    </row>
    <row r="1013" spans="1:43" ht="19.2">
      <c r="A1013" s="1">
        <v>10310003</v>
      </c>
      <c r="B1013" s="5" t="s">
        <v>3638</v>
      </c>
      <c r="C1013" s="224" t="s">
        <v>5320</v>
      </c>
      <c r="D1013" s="1" t="s">
        <v>3197</v>
      </c>
      <c r="E1013" s="1" t="s">
        <v>79</v>
      </c>
      <c r="F1013" s="1">
        <v>1</v>
      </c>
      <c r="G1013" s="1">
        <v>109</v>
      </c>
      <c r="H1013" s="1" t="s">
        <v>82</v>
      </c>
      <c r="I1013" s="5" t="s">
        <v>3640</v>
      </c>
      <c r="L1013" s="220" t="s">
        <v>3636</v>
      </c>
      <c r="P1013" s="111">
        <v>1</v>
      </c>
      <c r="Q1013" s="111">
        <v>0</v>
      </c>
      <c r="R1013" s="111" t="s">
        <v>85</v>
      </c>
      <c r="S1013" s="1">
        <v>9210001</v>
      </c>
      <c r="T1013" s="260" t="s">
        <v>3531</v>
      </c>
      <c r="U1013" s="261" t="s">
        <v>3532</v>
      </c>
      <c r="V1013" s="111" t="s">
        <v>582</v>
      </c>
      <c r="W1013" s="57" t="s">
        <v>5332</v>
      </c>
      <c r="X1013" s="57" t="s">
        <v>5332</v>
      </c>
      <c r="AE1013" s="1">
        <v>0</v>
      </c>
      <c r="AF1013" s="1">
        <v>0</v>
      </c>
      <c r="AG1013" s="1">
        <v>0</v>
      </c>
      <c r="AI1013" s="1">
        <v>30</v>
      </c>
      <c r="AJ1013" s="1">
        <v>15</v>
      </c>
      <c r="AN1013" s="1" t="s">
        <v>3637</v>
      </c>
      <c r="AQ1013" s="1" t="s">
        <v>3535</v>
      </c>
    </row>
  </sheetData>
  <phoneticPr fontId="45" type="noConversion"/>
  <conditionalFormatting sqref="A214">
    <cfRule type="duplicateValues" dxfId="295" priority="76"/>
    <cfRule type="duplicateValues" dxfId="294" priority="75"/>
    <cfRule type="duplicateValues" dxfId="293" priority="74"/>
    <cfRule type="duplicateValues" dxfId="292" priority="73"/>
    <cfRule type="duplicateValues" dxfId="291" priority="72"/>
    <cfRule type="duplicateValues" dxfId="290" priority="71"/>
    <cfRule type="duplicateValues" dxfId="289" priority="70"/>
  </conditionalFormatting>
  <conditionalFormatting sqref="A326">
    <cfRule type="duplicateValues" dxfId="288" priority="53"/>
    <cfRule type="duplicateValues" dxfId="287" priority="52"/>
    <cfRule type="duplicateValues" dxfId="286" priority="51"/>
    <cfRule type="duplicateValues" dxfId="285" priority="47"/>
    <cfRule type="duplicateValues" dxfId="284" priority="46"/>
    <cfRule type="duplicateValues" dxfId="283" priority="45"/>
  </conditionalFormatting>
  <conditionalFormatting sqref="A337">
    <cfRule type="duplicateValues" dxfId="282" priority="43"/>
    <cfRule type="duplicateValues" dxfId="281" priority="42"/>
    <cfRule type="duplicateValues" dxfId="280" priority="41"/>
    <cfRule type="duplicateValues" dxfId="279" priority="37"/>
    <cfRule type="duplicateValues" dxfId="278" priority="36"/>
    <cfRule type="duplicateValues" dxfId="277" priority="35"/>
  </conditionalFormatting>
  <conditionalFormatting sqref="B740">
    <cfRule type="duplicateValues" dxfId="276" priority="106"/>
  </conditionalFormatting>
  <conditionalFormatting sqref="C740">
    <cfRule type="duplicateValues" dxfId="275" priority="2"/>
  </conditionalFormatting>
  <conditionalFormatting sqref="B749">
    <cfRule type="duplicateValues" dxfId="274" priority="98"/>
  </conditionalFormatting>
  <conditionalFormatting sqref="C749">
    <cfRule type="duplicateValues" dxfId="273" priority="1"/>
  </conditionalFormatting>
  <conditionalFormatting sqref="A761">
    <cfRule type="duplicateValues" dxfId="272" priority="198"/>
  </conditionalFormatting>
  <conditionalFormatting sqref="A766">
    <cfRule type="duplicateValues" dxfId="271" priority="193"/>
    <cfRule type="duplicateValues" dxfId="270" priority="192"/>
  </conditionalFormatting>
  <conditionalFormatting sqref="A784">
    <cfRule type="duplicateValues" dxfId="269" priority="191"/>
    <cfRule type="duplicateValues" dxfId="268" priority="190"/>
  </conditionalFormatting>
  <conditionalFormatting sqref="A790">
    <cfRule type="duplicateValues" dxfId="267" priority="188"/>
    <cfRule type="duplicateValues" dxfId="266" priority="187"/>
    <cfRule type="duplicateValues" dxfId="265" priority="186"/>
  </conditionalFormatting>
  <conditionalFormatting sqref="A798">
    <cfRule type="duplicateValues" dxfId="264" priority="185"/>
    <cfRule type="duplicateValues" dxfId="263" priority="184"/>
    <cfRule type="duplicateValues" dxfId="262" priority="183"/>
  </conditionalFormatting>
  <conditionalFormatting sqref="A807">
    <cfRule type="duplicateValues" dxfId="261" priority="182"/>
    <cfRule type="duplicateValues" dxfId="260" priority="181"/>
    <cfRule type="duplicateValues" dxfId="259" priority="180"/>
  </conditionalFormatting>
  <conditionalFormatting sqref="A815">
    <cfRule type="duplicateValues" dxfId="258" priority="158"/>
    <cfRule type="duplicateValues" dxfId="257" priority="157"/>
    <cfRule type="duplicateValues" dxfId="256" priority="156"/>
  </conditionalFormatting>
  <conditionalFormatting sqref="A822">
    <cfRule type="duplicateValues" dxfId="255" priority="179"/>
    <cfRule type="duplicateValues" dxfId="254" priority="178"/>
    <cfRule type="duplicateValues" dxfId="253" priority="177"/>
  </conditionalFormatting>
  <conditionalFormatting sqref="A830">
    <cfRule type="duplicateValues" dxfId="252" priority="176"/>
    <cfRule type="duplicateValues" dxfId="251" priority="175"/>
    <cfRule type="duplicateValues" dxfId="250" priority="174"/>
  </conditionalFormatting>
  <conditionalFormatting sqref="A837">
    <cfRule type="duplicateValues" dxfId="249" priority="173"/>
    <cfRule type="duplicateValues" dxfId="248" priority="172"/>
    <cfRule type="duplicateValues" dxfId="247" priority="171"/>
  </conditionalFormatting>
  <conditionalFormatting sqref="A843">
    <cfRule type="duplicateValues" dxfId="246" priority="199"/>
  </conditionalFormatting>
  <conditionalFormatting sqref="A844">
    <cfRule type="duplicateValues" dxfId="245" priority="170"/>
    <cfRule type="duplicateValues" dxfId="244" priority="169"/>
    <cfRule type="duplicateValues" dxfId="243" priority="168"/>
  </conditionalFormatting>
  <conditionalFormatting sqref="A849">
    <cfRule type="duplicateValues" dxfId="242" priority="167"/>
    <cfRule type="duplicateValues" dxfId="241" priority="166"/>
    <cfRule type="duplicateValues" dxfId="240" priority="165"/>
  </conditionalFormatting>
  <conditionalFormatting sqref="A856">
    <cfRule type="duplicateValues" dxfId="239" priority="164"/>
    <cfRule type="duplicateValues" dxfId="238" priority="163"/>
    <cfRule type="duplicateValues" dxfId="237" priority="162"/>
  </conditionalFormatting>
  <conditionalFormatting sqref="A861">
    <cfRule type="duplicateValues" dxfId="236" priority="161"/>
    <cfRule type="duplicateValues" dxfId="235" priority="160"/>
    <cfRule type="duplicateValues" dxfId="234" priority="159"/>
  </conditionalFormatting>
  <conditionalFormatting sqref="A865">
    <cfRule type="duplicateValues" dxfId="233" priority="10"/>
  </conditionalFormatting>
  <conditionalFormatting sqref="A866">
    <cfRule type="duplicateValues" dxfId="232" priority="9"/>
    <cfRule type="duplicateValues" dxfId="231" priority="8"/>
    <cfRule type="duplicateValues" dxfId="230" priority="7"/>
  </conditionalFormatting>
  <conditionalFormatting sqref="A871">
    <cfRule type="duplicateValues" dxfId="229" priority="6"/>
    <cfRule type="duplicateValues" dxfId="228" priority="5"/>
    <cfRule type="duplicateValues" dxfId="227" priority="4"/>
  </conditionalFormatting>
  <conditionalFormatting sqref="A884">
    <cfRule type="duplicateValues" dxfId="226" priority="196"/>
  </conditionalFormatting>
  <conditionalFormatting sqref="A885">
    <cfRule type="duplicateValues" dxfId="225" priority="151"/>
    <cfRule type="duplicateValues" dxfId="224" priority="150"/>
    <cfRule type="duplicateValues" dxfId="223" priority="149"/>
    <cfRule type="duplicateValues" dxfId="222" priority="148"/>
  </conditionalFormatting>
  <conditionalFormatting sqref="A897">
    <cfRule type="duplicateValues" dxfId="221" priority="195"/>
  </conditionalFormatting>
  <conditionalFormatting sqref="A130:A142">
    <cfRule type="duplicateValues" dxfId="220" priority="61"/>
    <cfRule type="duplicateValues" dxfId="219" priority="60"/>
    <cfRule type="duplicateValues" dxfId="218" priority="59"/>
    <cfRule type="duplicateValues" dxfId="217" priority="58"/>
    <cfRule type="duplicateValues" dxfId="216" priority="57"/>
    <cfRule type="duplicateValues" dxfId="215" priority="56"/>
    <cfRule type="duplicateValues" dxfId="214" priority="55"/>
    <cfRule type="duplicateValues" dxfId="213" priority="54"/>
  </conditionalFormatting>
  <conditionalFormatting sqref="A156:A166">
    <cfRule type="duplicateValues" dxfId="212" priority="69"/>
    <cfRule type="duplicateValues" dxfId="211" priority="68"/>
    <cfRule type="duplicateValues" dxfId="210" priority="67"/>
    <cfRule type="duplicateValues" dxfId="209" priority="66"/>
    <cfRule type="duplicateValues" dxfId="208" priority="65"/>
    <cfRule type="duplicateValues" dxfId="207" priority="64"/>
    <cfRule type="duplicateValues" dxfId="206" priority="63"/>
  </conditionalFormatting>
  <conditionalFormatting sqref="A204:A213">
    <cfRule type="duplicateValues" dxfId="205" priority="83"/>
    <cfRule type="duplicateValues" dxfId="204" priority="82"/>
    <cfRule type="duplicateValues" dxfId="203" priority="81"/>
    <cfRule type="duplicateValues" dxfId="202" priority="80"/>
    <cfRule type="duplicateValues" dxfId="201" priority="79"/>
    <cfRule type="duplicateValues" dxfId="200" priority="78"/>
    <cfRule type="duplicateValues" dxfId="199" priority="77"/>
  </conditionalFormatting>
  <conditionalFormatting sqref="A228:A237">
    <cfRule type="duplicateValues" dxfId="198" priority="140"/>
    <cfRule type="duplicateValues" dxfId="197" priority="139"/>
    <cfRule type="duplicateValues" dxfId="196" priority="138"/>
    <cfRule type="duplicateValues" dxfId="195" priority="137"/>
    <cfRule type="duplicateValues" dxfId="194" priority="136"/>
    <cfRule type="duplicateValues" dxfId="193" priority="135"/>
  </conditionalFormatting>
  <conditionalFormatting sqref="A253:A263">
    <cfRule type="duplicateValues" dxfId="192" priority="25"/>
    <cfRule type="duplicateValues" dxfId="191" priority="24"/>
    <cfRule type="duplicateValues" dxfId="190" priority="23"/>
    <cfRule type="duplicateValues" dxfId="189" priority="22"/>
    <cfRule type="duplicateValues" dxfId="188" priority="21"/>
    <cfRule type="duplicateValues" dxfId="187" priority="20"/>
    <cfRule type="duplicateValues" dxfId="186" priority="19"/>
    <cfRule type="duplicateValues" dxfId="185" priority="18"/>
  </conditionalFormatting>
  <conditionalFormatting sqref="A277:A288">
    <cfRule type="duplicateValues" dxfId="184" priority="134"/>
    <cfRule type="duplicateValues" dxfId="183" priority="133"/>
    <cfRule type="duplicateValues" dxfId="182" priority="132"/>
    <cfRule type="duplicateValues" dxfId="181" priority="131"/>
    <cfRule type="duplicateValues" dxfId="180" priority="130"/>
    <cfRule type="duplicateValues" dxfId="179" priority="129"/>
  </conditionalFormatting>
  <conditionalFormatting sqref="A304:A313">
    <cfRule type="duplicateValues" dxfId="178" priority="202"/>
    <cfRule type="duplicateValues" dxfId="177" priority="201"/>
  </conditionalFormatting>
  <conditionalFormatting sqref="A316:A326">
    <cfRule type="duplicateValues" dxfId="176" priority="50"/>
    <cfRule type="duplicateValues" dxfId="175" priority="44"/>
  </conditionalFormatting>
  <conditionalFormatting sqref="A316:A325">
    <cfRule type="duplicateValues" dxfId="174" priority="49"/>
    <cfRule type="duplicateValues" dxfId="173" priority="48"/>
  </conditionalFormatting>
  <conditionalFormatting sqref="A327:A337">
    <cfRule type="duplicateValues" dxfId="172" priority="40"/>
    <cfRule type="duplicateValues" dxfId="171" priority="34"/>
  </conditionalFormatting>
  <conditionalFormatting sqref="A327:A336">
    <cfRule type="duplicateValues" dxfId="170" priority="39"/>
    <cfRule type="duplicateValues" dxfId="169" priority="38"/>
  </conditionalFormatting>
  <conditionalFormatting sqref="A352:A353">
    <cfRule type="duplicateValues" dxfId="168" priority="17"/>
    <cfRule type="duplicateValues" dxfId="167" priority="16"/>
    <cfRule type="duplicateValues" dxfId="166" priority="15"/>
    <cfRule type="duplicateValues" dxfId="165" priority="14"/>
    <cfRule type="duplicateValues" dxfId="164" priority="13"/>
    <cfRule type="duplicateValues" dxfId="163" priority="12"/>
    <cfRule type="duplicateValues" dxfId="162" priority="11"/>
  </conditionalFormatting>
  <conditionalFormatting sqref="A412:A424">
    <cfRule type="duplicateValues" dxfId="161" priority="207"/>
  </conditionalFormatting>
  <conditionalFormatting sqref="A585:A592">
    <cfRule type="duplicateValues" dxfId="160" priority="120"/>
    <cfRule type="duplicateValues" dxfId="159" priority="119"/>
    <cfRule type="duplicateValues" dxfId="158" priority="118"/>
    <cfRule type="duplicateValues" dxfId="157" priority="117"/>
    <cfRule type="duplicateValues" dxfId="156" priority="116"/>
    <cfRule type="duplicateValues" dxfId="155" priority="115"/>
    <cfRule type="duplicateValues" dxfId="154" priority="114"/>
  </conditionalFormatting>
  <conditionalFormatting sqref="A595:A601">
    <cfRule type="duplicateValues" dxfId="153" priority="97"/>
    <cfRule type="duplicateValues" dxfId="152" priority="96"/>
    <cfRule type="duplicateValues" dxfId="151" priority="95"/>
    <cfRule type="duplicateValues" dxfId="150" priority="94"/>
    <cfRule type="duplicateValues" dxfId="149" priority="93"/>
    <cfRule type="duplicateValues" dxfId="148" priority="92"/>
    <cfRule type="duplicateValues" dxfId="147" priority="91"/>
  </conditionalFormatting>
  <conditionalFormatting sqref="A740:A747">
    <cfRule type="duplicateValues" dxfId="146" priority="113"/>
    <cfRule type="duplicateValues" dxfId="145" priority="112"/>
    <cfRule type="duplicateValues" dxfId="144" priority="111"/>
    <cfRule type="duplicateValues" dxfId="143" priority="110"/>
    <cfRule type="duplicateValues" dxfId="142" priority="109"/>
    <cfRule type="duplicateValues" dxfId="141" priority="108"/>
    <cfRule type="duplicateValues" dxfId="140" priority="107"/>
  </conditionalFormatting>
  <conditionalFormatting sqref="A749:A756">
    <cfRule type="duplicateValues" dxfId="139" priority="105"/>
    <cfRule type="duplicateValues" dxfId="138" priority="104"/>
    <cfRule type="duplicateValues" dxfId="137" priority="103"/>
    <cfRule type="duplicateValues" dxfId="136" priority="102"/>
    <cfRule type="duplicateValues" dxfId="135" priority="101"/>
    <cfRule type="duplicateValues" dxfId="134" priority="100"/>
    <cfRule type="duplicateValues" dxfId="133" priority="99"/>
  </conditionalFormatting>
  <conditionalFormatting sqref="A768:A769">
    <cfRule type="duplicateValues" dxfId="132" priority="155"/>
    <cfRule type="duplicateValues" dxfId="131" priority="154"/>
    <cfRule type="duplicateValues" dxfId="130" priority="153"/>
    <cfRule type="duplicateValues" dxfId="129" priority="152"/>
  </conditionalFormatting>
  <conditionalFormatting sqref="A850:A854">
    <cfRule type="duplicateValues" dxfId="128" priority="121"/>
  </conditionalFormatting>
  <conditionalFormatting sqref="A872:A873">
    <cfRule type="duplicateValues" dxfId="127" priority="3"/>
  </conditionalFormatting>
  <conditionalFormatting sqref="AN396:AN400">
    <cfRule type="duplicateValues" dxfId="126" priority="141"/>
  </conditionalFormatting>
  <conditionalFormatting sqref="AN412:AN413">
    <cfRule type="duplicateValues" dxfId="125" priority="208"/>
  </conditionalFormatting>
  <conditionalFormatting sqref="A909:A1048576 A748 A593 A167:A203 A289:A303 A238:A252 A367:A406 A215:A227 A757:A849 A430:A584 A143:A155 A338:A350 A70:A129 A264:A276 A314:A315 A62:A65 A1:A52 A603:A739 A874:A897 A855:A871">
    <cfRule type="duplicateValues" dxfId="124" priority="206"/>
  </conditionalFormatting>
  <conditionalFormatting sqref="A886:A897 A757:A767 A593 A167:A203 A748 A770:A849 A238:A252 A289:A303 A367:A406 A215:A227 A430:A584 A143:A155 A338:A350 A70:A129 A264:A276 A909:A1048576 A314:A315 A62:A65 A1:A52 A603:A739 A874:A884 A855:A871">
    <cfRule type="duplicateValues" dxfId="123" priority="205"/>
  </conditionalFormatting>
  <conditionalFormatting sqref="A748 A593 A167:A203 A289:A303 A238:A252 A367:A406 A215:A227 A757:A849 A430:A584 A143:A155 A338:A350 A70:A129 A264:A276 A314:A315 A62:A65 A1:A52 A603:A739 A874:A1048576 A855:A871">
    <cfRule type="duplicateValues" dxfId="122" priority="204"/>
  </conditionalFormatting>
  <conditionalFormatting sqref="A748 A593 A167:A203 A215:A252 A757:A849 A143:A155 A338:A350 A70:A129 A62:A65 A1:A52 A264:A315 A603:A739 A874:A1048576 A855:A871 A367:A584">
    <cfRule type="duplicateValues" dxfId="121" priority="203"/>
  </conditionalFormatting>
  <conditionalFormatting sqref="A876 A757:A760 A593 A167:A203 A748 A855 A845:A848 A762:A765 A878 A880 A808:A814 A770:A783 A857:A860 A831:A836 A823:A829 A816:A821 A799:A806 A791:A797 A785:A789 A767 A838:A842 A886:A896 A882 A238:A252 A289:A303 A367:A406 A215:A227 A430:A584 A143:A155 A338:A350 A70:A129 A264:A276 A909:A1048576 A314:A315 A62:A65 A1:A52 A603:A739 A874 A867:A870 A862:A864">
    <cfRule type="duplicateValues" dxfId="120" priority="200"/>
  </conditionalFormatting>
  <conditionalFormatting sqref="A886:A897 A757:A765 A593 A167:A203 A748 A855 A845:A848 A767 A785:A789 A791:A797 A799:A806 A808:A814 A838:A843 A770:A783 A857:A860 A831:A836 A823:A829 A816:A821 A238:A252 A289:A303 A367:A406 A215:A227 A430:A584 A143:A155 A338:A350 A70:A129 A264:A276 A909:A1048576 A314:A315 A62:A65 A1:A52 A603:A739 A874:A884 A867:A870 A862:A865">
    <cfRule type="duplicateValues" dxfId="119" priority="194"/>
  </conditionalFormatting>
  <conditionalFormatting sqref="A886:A897 A757:A767 A593 A167:A203 A748 A855 A845:A848 A791:A797 A799:A806 A816:A821 A823:A829 A808:A814 A838:A843 A770:A789 A857:A860 A831:A836 A238:A252 A289:A303 A367:A406 A215:A227 A430:A584 A143:A155 A338:A350 A70:A129 A264:A276 A909:A1048576 A314:A315 A62:A65 A1:A52 A603:A739 A874:A884 A867:A870 A862:A865">
    <cfRule type="duplicateValues" dxfId="118" priority="189"/>
  </conditionalFormatting>
  <conditionalFormatting sqref="A143:A252 A70:A129 A62:A65 A1:A52 A264:A315 A338:A1048576">
    <cfRule type="duplicateValues" dxfId="117" priority="62"/>
  </conditionalFormatting>
  <conditionalFormatting sqref="A66:A69 A53:A61">
    <cfRule type="duplicateValues" dxfId="116" priority="33"/>
    <cfRule type="duplicateValues" dxfId="115" priority="32"/>
    <cfRule type="duplicateValues" dxfId="114" priority="31"/>
    <cfRule type="duplicateValues" dxfId="113" priority="30"/>
    <cfRule type="duplicateValues" dxfId="112" priority="29"/>
    <cfRule type="duplicateValues" dxfId="111" priority="28"/>
    <cfRule type="duplicateValues" dxfId="110" priority="27"/>
    <cfRule type="duplicateValues" dxfId="109" priority="26"/>
  </conditionalFormatting>
  <conditionalFormatting sqref="A351 A354:A366">
    <cfRule type="duplicateValues" dxfId="108" priority="128"/>
    <cfRule type="duplicateValues" dxfId="107" priority="127"/>
    <cfRule type="duplicateValues" dxfId="106" priority="126"/>
    <cfRule type="duplicateValues" dxfId="105" priority="125"/>
    <cfRule type="duplicateValues" dxfId="104" priority="124"/>
    <cfRule type="duplicateValues" dxfId="103" priority="123"/>
    <cfRule type="duplicateValues" dxfId="102" priority="122"/>
  </conditionalFormatting>
  <conditionalFormatting sqref="A420:A429 A407:A411">
    <cfRule type="duplicateValues" dxfId="101" priority="147"/>
    <cfRule type="duplicateValues" dxfId="100" priority="146"/>
    <cfRule type="duplicateValues" dxfId="99" priority="145"/>
    <cfRule type="duplicateValues" dxfId="98" priority="144"/>
    <cfRule type="duplicateValues" dxfId="97" priority="143"/>
    <cfRule type="duplicateValues" dxfId="96" priority="142"/>
  </conditionalFormatting>
  <conditionalFormatting sqref="A594 A602 A600 A598 A596">
    <cfRule type="duplicateValues" dxfId="95" priority="90"/>
    <cfRule type="duplicateValues" dxfId="94" priority="89"/>
    <cfRule type="duplicateValues" dxfId="93" priority="88"/>
    <cfRule type="duplicateValues" dxfId="92" priority="87"/>
    <cfRule type="duplicateValues" dxfId="91" priority="86"/>
    <cfRule type="duplicateValues" dxfId="90" priority="85"/>
    <cfRule type="duplicateValues" dxfId="89" priority="84"/>
  </conditionalFormatting>
  <conditionalFormatting sqref="A875 A883 A881 A879 A877">
    <cfRule type="duplicateValues" dxfId="88" priority="197"/>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2"/>
  <sheetViews>
    <sheetView zoomScale="85" zoomScaleNormal="85" workbookViewId="0">
      <pane xSplit="3" ySplit="2" topLeftCell="I53" activePane="bottomRight" state="frozenSplit"/>
      <selection pane="topRight"/>
      <selection pane="bottomLeft"/>
      <selection pane="bottomRight" activeCell="I75" sqref="I75"/>
    </sheetView>
  </sheetViews>
  <sheetFormatPr defaultColWidth="8.88671875" defaultRowHeight="20.399999999999999"/>
  <cols>
    <col min="1" max="1" width="20" customWidth="1"/>
    <col min="2" max="2" width="18.21875" customWidth="1"/>
    <col min="3" max="3" width="25.33203125" customWidth="1"/>
    <col min="4" max="4" width="9.5546875" style="182" customWidth="1"/>
    <col min="5" max="5" width="13.5546875" style="182" customWidth="1"/>
    <col min="6" max="6" width="25.109375" style="182" customWidth="1"/>
    <col min="7" max="7" width="101.88671875" style="182" customWidth="1"/>
    <col min="8" max="8" width="29.44140625" style="182" customWidth="1"/>
    <col min="9" max="9" width="39.44140625" style="182" customWidth="1"/>
    <col min="10" max="10" width="22.88671875" style="182" customWidth="1"/>
    <col min="11" max="11" width="105.44140625" customWidth="1"/>
    <col min="12" max="12" width="28.5546875" customWidth="1"/>
    <col min="13" max="13" width="40.77734375" customWidth="1"/>
    <col min="14" max="14" width="37.33203125" style="74" customWidth="1"/>
    <col min="15" max="15" width="20" customWidth="1"/>
    <col min="16" max="16" width="18.21875" customWidth="1"/>
    <col min="17" max="18" width="8.88671875" style="74"/>
  </cols>
  <sheetData>
    <row r="1" spans="1:18" ht="40.799999999999997">
      <c r="A1" s="183" t="s">
        <v>5340</v>
      </c>
      <c r="B1" s="183" t="s">
        <v>5341</v>
      </c>
      <c r="C1" s="183" t="s">
        <v>8</v>
      </c>
      <c r="D1" s="184" t="s">
        <v>5342</v>
      </c>
      <c r="E1" s="185" t="s">
        <v>5343</v>
      </c>
      <c r="F1" s="184" t="s">
        <v>5344</v>
      </c>
      <c r="G1" s="186" t="s">
        <v>5345</v>
      </c>
      <c r="H1" s="184" t="s">
        <v>5346</v>
      </c>
      <c r="I1" s="184" t="s">
        <v>5347</v>
      </c>
      <c r="J1" s="184" t="s">
        <v>6</v>
      </c>
      <c r="K1" s="183" t="s">
        <v>5348</v>
      </c>
      <c r="L1" s="183" t="s">
        <v>77</v>
      </c>
      <c r="M1" s="183" t="s">
        <v>5349</v>
      </c>
      <c r="N1" s="9" t="s">
        <v>5350</v>
      </c>
      <c r="O1" s="183"/>
      <c r="P1" s="183"/>
      <c r="Q1" s="2" t="s">
        <v>5351</v>
      </c>
      <c r="R1" s="2" t="s">
        <v>5352</v>
      </c>
    </row>
    <row r="2" spans="1:18">
      <c r="A2" s="54" t="s">
        <v>5353</v>
      </c>
      <c r="B2" s="54" t="s">
        <v>42</v>
      </c>
      <c r="C2" s="54" t="s">
        <v>50</v>
      </c>
      <c r="D2" s="187" t="s">
        <v>5354</v>
      </c>
      <c r="E2" s="187" t="s">
        <v>5355</v>
      </c>
      <c r="F2" s="187" t="s">
        <v>5356</v>
      </c>
      <c r="G2" s="187" t="s">
        <v>5357</v>
      </c>
      <c r="H2" s="188" t="s">
        <v>5358</v>
      </c>
      <c r="I2" s="188" t="s">
        <v>5359</v>
      </c>
      <c r="J2" s="188" t="s">
        <v>48</v>
      </c>
      <c r="K2" s="56" t="s">
        <v>5360</v>
      </c>
      <c r="L2" s="56" t="s">
        <v>5361</v>
      </c>
      <c r="M2" s="56" t="s">
        <v>5362</v>
      </c>
      <c r="N2" s="9" t="s">
        <v>5363</v>
      </c>
      <c r="O2" s="54"/>
      <c r="P2" s="54"/>
      <c r="Q2" s="193" t="s">
        <v>5364</v>
      </c>
      <c r="R2" s="193" t="s">
        <v>5365</v>
      </c>
    </row>
    <row r="3" spans="1:18" ht="16.8" customHeight="1">
      <c r="A3" s="1">
        <v>101000</v>
      </c>
      <c r="B3" s="11" t="s">
        <v>5366</v>
      </c>
      <c r="C3" s="9" t="s">
        <v>79</v>
      </c>
      <c r="D3" s="9" t="s">
        <v>5367</v>
      </c>
      <c r="E3" s="9">
        <v>1</v>
      </c>
      <c r="F3" s="9" t="s">
        <v>5368</v>
      </c>
      <c r="G3" s="9" t="s">
        <v>5369</v>
      </c>
      <c r="H3" s="9"/>
      <c r="I3" s="9"/>
      <c r="J3" s="9">
        <v>1</v>
      </c>
      <c r="K3" s="9" t="s">
        <v>5370</v>
      </c>
      <c r="L3" s="9" t="s">
        <v>5371</v>
      </c>
      <c r="M3" s="190" t="s">
        <v>5372</v>
      </c>
      <c r="N3" s="9">
        <v>1</v>
      </c>
      <c r="O3" s="1">
        <v>101000</v>
      </c>
      <c r="P3" s="11" t="s">
        <v>5366</v>
      </c>
      <c r="R3" s="194"/>
    </row>
    <row r="4" spans="1:18" ht="16.8" customHeight="1">
      <c r="A4" s="1">
        <v>101001</v>
      </c>
      <c r="B4" s="9" t="s">
        <v>99</v>
      </c>
      <c r="C4" s="9" t="s">
        <v>79</v>
      </c>
      <c r="D4" s="9" t="s">
        <v>5367</v>
      </c>
      <c r="E4" s="9">
        <v>1</v>
      </c>
      <c r="F4" s="9" t="s">
        <v>5368</v>
      </c>
      <c r="G4" s="9" t="s">
        <v>5373</v>
      </c>
      <c r="H4" s="9" t="s">
        <v>5369</v>
      </c>
      <c r="I4" s="9"/>
      <c r="J4" s="9">
        <v>1</v>
      </c>
      <c r="K4" s="9" t="s">
        <v>5374</v>
      </c>
      <c r="L4" s="9" t="s">
        <v>5375</v>
      </c>
      <c r="M4" s="190" t="s">
        <v>5372</v>
      </c>
      <c r="N4" s="9">
        <v>1</v>
      </c>
      <c r="O4" s="104">
        <v>101001</v>
      </c>
      <c r="P4" s="104" t="s">
        <v>99</v>
      </c>
      <c r="Q4" s="74">
        <v>87</v>
      </c>
      <c r="R4" s="194">
        <v>121</v>
      </c>
    </row>
    <row r="5" spans="1:18" s="52" customFormat="1" ht="16.8" customHeight="1">
      <c r="A5" s="1">
        <v>101002</v>
      </c>
      <c r="B5" s="9" t="s">
        <v>176</v>
      </c>
      <c r="C5" s="9" t="s">
        <v>79</v>
      </c>
      <c r="D5" s="9" t="s">
        <v>5367</v>
      </c>
      <c r="E5" s="9">
        <v>1</v>
      </c>
      <c r="F5" s="9" t="s">
        <v>5368</v>
      </c>
      <c r="G5" s="9" t="s">
        <v>5376</v>
      </c>
      <c r="H5" s="9" t="s">
        <v>5369</v>
      </c>
      <c r="I5" s="9"/>
      <c r="J5" s="9">
        <v>1</v>
      </c>
      <c r="K5" s="14" t="s">
        <v>5377</v>
      </c>
      <c r="L5" s="9" t="s">
        <v>5378</v>
      </c>
      <c r="M5" s="190" t="s">
        <v>5372</v>
      </c>
      <c r="N5" s="9">
        <v>1</v>
      </c>
      <c r="O5" s="104">
        <v>101002</v>
      </c>
      <c r="P5" s="104" t="s">
        <v>176</v>
      </c>
      <c r="Q5" s="74">
        <v>88</v>
      </c>
      <c r="R5" s="194">
        <v>121</v>
      </c>
    </row>
    <row r="6" spans="1:18" s="52" customFormat="1" ht="16.8" customHeight="1">
      <c r="A6" s="1">
        <v>101003</v>
      </c>
      <c r="B6" s="9" t="s">
        <v>234</v>
      </c>
      <c r="C6" s="9" t="s">
        <v>79</v>
      </c>
      <c r="D6" s="9" t="s">
        <v>5379</v>
      </c>
      <c r="E6" s="9">
        <v>2</v>
      </c>
      <c r="F6" s="9" t="s">
        <v>5368</v>
      </c>
      <c r="G6" s="9" t="s">
        <v>5380</v>
      </c>
      <c r="H6" s="9" t="s">
        <v>5369</v>
      </c>
      <c r="I6" s="9"/>
      <c r="J6" s="9">
        <v>1</v>
      </c>
      <c r="K6" s="205" t="s">
        <v>5381</v>
      </c>
      <c r="L6" s="9" t="s">
        <v>5382</v>
      </c>
      <c r="M6" s="190" t="s">
        <v>5372</v>
      </c>
      <c r="N6" s="9">
        <v>0</v>
      </c>
      <c r="O6" s="104">
        <v>101003</v>
      </c>
      <c r="P6" s="104" t="s">
        <v>234</v>
      </c>
      <c r="Q6" s="74">
        <v>86</v>
      </c>
      <c r="R6" s="194">
        <v>121</v>
      </c>
    </row>
    <row r="7" spans="1:18" s="52" customFormat="1" ht="16.8" customHeight="1">
      <c r="A7" s="1">
        <v>101004</v>
      </c>
      <c r="B7" s="10" t="s">
        <v>292</v>
      </c>
      <c r="C7" s="9" t="s">
        <v>79</v>
      </c>
      <c r="D7" s="9" t="s">
        <v>5367</v>
      </c>
      <c r="E7" s="9">
        <v>2</v>
      </c>
      <c r="F7" s="9" t="s">
        <v>5368</v>
      </c>
      <c r="G7" s="9" t="s">
        <v>5383</v>
      </c>
      <c r="H7" s="9" t="s">
        <v>5369</v>
      </c>
      <c r="I7" s="9"/>
      <c r="J7" s="9">
        <v>1</v>
      </c>
      <c r="K7" s="206" t="s">
        <v>5384</v>
      </c>
      <c r="L7" s="10" t="s">
        <v>5385</v>
      </c>
      <c r="M7" s="190" t="s">
        <v>5372</v>
      </c>
      <c r="N7" s="9">
        <v>0</v>
      </c>
      <c r="O7" s="104">
        <v>101003</v>
      </c>
      <c r="P7" s="104" t="s">
        <v>292</v>
      </c>
      <c r="Q7" s="74">
        <v>538</v>
      </c>
      <c r="R7" s="194">
        <v>121</v>
      </c>
    </row>
    <row r="8" spans="1:18" ht="16.8" customHeight="1">
      <c r="A8" s="1">
        <v>102000</v>
      </c>
      <c r="B8" s="11" t="s">
        <v>5386</v>
      </c>
      <c r="C8" s="9" t="s">
        <v>325</v>
      </c>
      <c r="D8" s="9" t="s">
        <v>5367</v>
      </c>
      <c r="E8" s="9">
        <v>1</v>
      </c>
      <c r="F8" s="9" t="s">
        <v>5387</v>
      </c>
      <c r="G8" s="9" t="s">
        <v>5388</v>
      </c>
      <c r="H8" s="9"/>
      <c r="I8" s="9"/>
      <c r="J8" s="9">
        <v>2</v>
      </c>
      <c r="K8" s="9" t="s">
        <v>5389</v>
      </c>
      <c r="L8" s="9" t="s">
        <v>5390</v>
      </c>
      <c r="M8" s="190" t="s">
        <v>5391</v>
      </c>
      <c r="N8" s="9">
        <v>1</v>
      </c>
      <c r="O8" s="1">
        <v>102000</v>
      </c>
      <c r="P8" s="11" t="s">
        <v>5386</v>
      </c>
      <c r="R8" s="194"/>
    </row>
    <row r="9" spans="1:18" ht="16.8" customHeight="1">
      <c r="A9" s="1">
        <v>102001</v>
      </c>
      <c r="B9" s="9" t="s">
        <v>338</v>
      </c>
      <c r="C9" s="9" t="s">
        <v>325</v>
      </c>
      <c r="D9" s="9" t="s">
        <v>5367</v>
      </c>
      <c r="E9" s="9">
        <v>1</v>
      </c>
      <c r="F9" s="9" t="s">
        <v>5387</v>
      </c>
      <c r="G9" s="9" t="s">
        <v>5392</v>
      </c>
      <c r="H9" s="9" t="s">
        <v>5388</v>
      </c>
      <c r="I9" s="9" t="s">
        <v>5393</v>
      </c>
      <c r="J9" s="9">
        <v>2</v>
      </c>
      <c r="K9" s="205" t="s">
        <v>5394</v>
      </c>
      <c r="L9" s="9" t="s">
        <v>5395</v>
      </c>
      <c r="M9" s="190" t="s">
        <v>5391</v>
      </c>
      <c r="N9" s="9">
        <v>1</v>
      </c>
      <c r="O9" s="104">
        <v>102001</v>
      </c>
      <c r="P9" s="104" t="s">
        <v>338</v>
      </c>
      <c r="Q9" s="74">
        <v>82</v>
      </c>
      <c r="R9" s="194">
        <v>120</v>
      </c>
    </row>
    <row r="10" spans="1:18" ht="16.8" customHeight="1">
      <c r="A10" s="1">
        <v>102002</v>
      </c>
      <c r="B10" s="9" t="s">
        <v>408</v>
      </c>
      <c r="C10" s="9" t="s">
        <v>325</v>
      </c>
      <c r="D10" s="9" t="s">
        <v>5367</v>
      </c>
      <c r="E10" s="9">
        <v>1</v>
      </c>
      <c r="F10" s="9" t="s">
        <v>5396</v>
      </c>
      <c r="G10" s="9" t="s">
        <v>5397</v>
      </c>
      <c r="H10" s="9" t="s">
        <v>5388</v>
      </c>
      <c r="I10" s="9"/>
      <c r="J10" s="9">
        <v>2</v>
      </c>
      <c r="K10" s="205" t="s">
        <v>5398</v>
      </c>
      <c r="L10" s="9" t="s">
        <v>5399</v>
      </c>
      <c r="M10" s="190" t="s">
        <v>5400</v>
      </c>
      <c r="N10" s="9">
        <v>1</v>
      </c>
      <c r="O10" s="104">
        <v>102002</v>
      </c>
      <c r="P10" s="104" t="s">
        <v>408</v>
      </c>
      <c r="Q10" s="74">
        <v>81</v>
      </c>
      <c r="R10" s="194">
        <v>120</v>
      </c>
    </row>
    <row r="11" spans="1:18" ht="16.8" customHeight="1">
      <c r="A11" s="1">
        <v>102003</v>
      </c>
      <c r="B11" s="9" t="s">
        <v>465</v>
      </c>
      <c r="C11" s="9" t="s">
        <v>325</v>
      </c>
      <c r="D11" s="9" t="s">
        <v>5401</v>
      </c>
      <c r="E11" s="9">
        <v>1</v>
      </c>
      <c r="F11" s="9" t="s">
        <v>5402</v>
      </c>
      <c r="G11" s="9" t="s">
        <v>5403</v>
      </c>
      <c r="H11" s="9" t="s">
        <v>5388</v>
      </c>
      <c r="I11" s="9"/>
      <c r="J11" s="9">
        <v>2</v>
      </c>
      <c r="K11" s="205" t="s">
        <v>5404</v>
      </c>
      <c r="L11" s="9" t="s">
        <v>5405</v>
      </c>
      <c r="M11" s="190" t="s">
        <v>5406</v>
      </c>
      <c r="N11" s="9">
        <v>0</v>
      </c>
      <c r="O11" s="104">
        <v>102003</v>
      </c>
      <c r="P11" s="104" t="s">
        <v>465</v>
      </c>
      <c r="Q11" s="74">
        <v>83</v>
      </c>
      <c r="R11" s="194">
        <v>120</v>
      </c>
    </row>
    <row r="12" spans="1:18" ht="16.8" customHeight="1">
      <c r="A12" s="1">
        <v>102005</v>
      </c>
      <c r="B12" s="11" t="s">
        <v>525</v>
      </c>
      <c r="C12" s="9" t="s">
        <v>325</v>
      </c>
      <c r="D12" s="9" t="s">
        <v>5379</v>
      </c>
      <c r="E12" s="9">
        <v>2</v>
      </c>
      <c r="F12" s="9" t="s">
        <v>5387</v>
      </c>
      <c r="G12" s="9" t="s">
        <v>5407</v>
      </c>
      <c r="H12" s="9" t="s">
        <v>5388</v>
      </c>
      <c r="I12" s="9"/>
      <c r="J12" s="9">
        <v>2</v>
      </c>
      <c r="K12" s="9" t="s">
        <v>5408</v>
      </c>
      <c r="L12" s="9" t="s">
        <v>5409</v>
      </c>
      <c r="M12" s="190" t="s">
        <v>5391</v>
      </c>
      <c r="N12" s="9">
        <v>0</v>
      </c>
      <c r="O12" s="104">
        <v>102005</v>
      </c>
      <c r="P12" s="104" t="s">
        <v>525</v>
      </c>
      <c r="Q12" s="74">
        <v>84</v>
      </c>
      <c r="R12" s="194">
        <v>120</v>
      </c>
    </row>
    <row r="13" spans="1:18" s="21" customFormat="1" ht="16.8" customHeight="1">
      <c r="A13" s="22">
        <v>102006</v>
      </c>
      <c r="B13" s="12" t="s">
        <v>579</v>
      </c>
      <c r="C13" s="13" t="s">
        <v>325</v>
      </c>
      <c r="D13" s="13" t="s">
        <v>5367</v>
      </c>
      <c r="E13" s="13">
        <v>1</v>
      </c>
      <c r="F13" s="13" t="s">
        <v>5387</v>
      </c>
      <c r="G13" s="9" t="s">
        <v>5410</v>
      </c>
      <c r="H13" s="13" t="s">
        <v>5388</v>
      </c>
      <c r="I13" s="13"/>
      <c r="J13" s="13">
        <v>2</v>
      </c>
      <c r="K13" s="13" t="s">
        <v>5411</v>
      </c>
      <c r="L13" s="13" t="s">
        <v>5412</v>
      </c>
      <c r="M13" s="13" t="s">
        <v>5391</v>
      </c>
      <c r="N13" s="13">
        <v>0</v>
      </c>
      <c r="O13" s="22">
        <v>102006</v>
      </c>
      <c r="P13" s="22" t="s">
        <v>579</v>
      </c>
      <c r="Q13" s="21">
        <v>85</v>
      </c>
      <c r="R13" s="195">
        <v>120</v>
      </c>
    </row>
    <row r="14" spans="1:18" s="21" customFormat="1" ht="16.8" customHeight="1">
      <c r="A14" s="22">
        <v>102007</v>
      </c>
      <c r="B14" s="12" t="s">
        <v>622</v>
      </c>
      <c r="C14" s="13" t="s">
        <v>325</v>
      </c>
      <c r="D14" s="204" t="s">
        <v>5413</v>
      </c>
      <c r="E14" s="13">
        <v>1</v>
      </c>
      <c r="F14" s="13" t="s">
        <v>5387</v>
      </c>
      <c r="G14" s="9" t="s">
        <v>5414</v>
      </c>
      <c r="H14" s="13" t="s">
        <v>5388</v>
      </c>
      <c r="I14" s="13"/>
      <c r="J14" s="13">
        <v>2</v>
      </c>
      <c r="K14" s="13" t="s">
        <v>5415</v>
      </c>
      <c r="L14" s="13" t="s">
        <v>5416</v>
      </c>
      <c r="M14" s="13" t="s">
        <v>5391</v>
      </c>
      <c r="N14" s="13">
        <v>0</v>
      </c>
      <c r="O14" s="22">
        <v>102007</v>
      </c>
      <c r="P14" s="12" t="s">
        <v>622</v>
      </c>
      <c r="Q14" s="74">
        <v>550</v>
      </c>
      <c r="R14" s="194">
        <v>120</v>
      </c>
    </row>
    <row r="15" spans="1:18" ht="16.8" customHeight="1">
      <c r="A15" s="1">
        <v>103000</v>
      </c>
      <c r="B15" s="11" t="s">
        <v>5417</v>
      </c>
      <c r="C15" s="9" t="s">
        <v>655</v>
      </c>
      <c r="D15" s="9" t="s">
        <v>5367</v>
      </c>
      <c r="E15" s="9">
        <v>1</v>
      </c>
      <c r="F15" s="9" t="s">
        <v>5418</v>
      </c>
      <c r="G15" s="9" t="s">
        <v>5419</v>
      </c>
      <c r="H15" s="9"/>
      <c r="I15" s="9"/>
      <c r="J15" s="9">
        <v>3</v>
      </c>
      <c r="K15" s="9" t="s">
        <v>3303</v>
      </c>
      <c r="L15" s="9" t="s">
        <v>5420</v>
      </c>
      <c r="M15" s="190" t="s">
        <v>5421</v>
      </c>
      <c r="N15" s="9">
        <v>1</v>
      </c>
      <c r="O15" s="1">
        <v>103000</v>
      </c>
      <c r="P15" s="11" t="s">
        <v>5417</v>
      </c>
      <c r="R15" s="194"/>
    </row>
    <row r="16" spans="1:18" s="77" customFormat="1" ht="16.8" customHeight="1">
      <c r="A16" s="1">
        <v>103001</v>
      </c>
      <c r="B16" s="11" t="s">
        <v>668</v>
      </c>
      <c r="C16" s="9" t="s">
        <v>655</v>
      </c>
      <c r="D16" s="9" t="s">
        <v>5367</v>
      </c>
      <c r="E16" s="9">
        <v>1</v>
      </c>
      <c r="F16" s="9" t="s">
        <v>5418</v>
      </c>
      <c r="G16" s="9" t="s">
        <v>5422</v>
      </c>
      <c r="H16" s="9" t="s">
        <v>5419</v>
      </c>
      <c r="I16" s="9"/>
      <c r="J16" s="9">
        <v>3</v>
      </c>
      <c r="K16" s="9" t="s">
        <v>5423</v>
      </c>
      <c r="L16" s="9" t="s">
        <v>5424</v>
      </c>
      <c r="M16" s="190" t="s">
        <v>5421</v>
      </c>
      <c r="N16" s="9">
        <v>1</v>
      </c>
      <c r="O16" s="104">
        <v>103001</v>
      </c>
      <c r="P16" s="104" t="s">
        <v>668</v>
      </c>
      <c r="Q16" s="74">
        <v>89</v>
      </c>
      <c r="R16" s="194">
        <v>123</v>
      </c>
    </row>
    <row r="17" spans="1:19" s="77" customFormat="1" ht="16.8" customHeight="1">
      <c r="A17" s="1">
        <v>103002</v>
      </c>
      <c r="B17" s="11" t="s">
        <v>722</v>
      </c>
      <c r="C17" s="9" t="s">
        <v>655</v>
      </c>
      <c r="D17" s="9" t="s">
        <v>5425</v>
      </c>
      <c r="E17" s="9">
        <v>1</v>
      </c>
      <c r="F17" s="9" t="s">
        <v>5418</v>
      </c>
      <c r="G17" s="9" t="s">
        <v>5426</v>
      </c>
      <c r="H17" s="9" t="s">
        <v>5419</v>
      </c>
      <c r="I17" s="9"/>
      <c r="J17" s="9">
        <v>3</v>
      </c>
      <c r="K17" s="9" t="s">
        <v>5427</v>
      </c>
      <c r="L17" s="9" t="s">
        <v>5428</v>
      </c>
      <c r="M17" s="190" t="s">
        <v>5421</v>
      </c>
      <c r="N17" s="9">
        <v>1</v>
      </c>
      <c r="O17" s="104">
        <v>103002</v>
      </c>
      <c r="P17" s="104" t="s">
        <v>722</v>
      </c>
      <c r="Q17" s="74">
        <v>119</v>
      </c>
      <c r="R17" s="194">
        <v>123</v>
      </c>
    </row>
    <row r="18" spans="1:19" s="18" customFormat="1" ht="16.8" customHeight="1">
      <c r="A18" s="1">
        <v>104000</v>
      </c>
      <c r="B18" s="11" t="s">
        <v>5429</v>
      </c>
      <c r="C18" s="9" t="s">
        <v>765</v>
      </c>
      <c r="D18" s="9" t="s">
        <v>5367</v>
      </c>
      <c r="E18" s="9">
        <v>1</v>
      </c>
      <c r="F18" s="9" t="s">
        <v>5430</v>
      </c>
      <c r="G18" s="9" t="s">
        <v>5431</v>
      </c>
      <c r="H18" s="9"/>
      <c r="I18" s="9"/>
      <c r="J18" s="9">
        <v>4</v>
      </c>
      <c r="K18" s="9" t="s">
        <v>5432</v>
      </c>
      <c r="L18" s="9" t="s">
        <v>5433</v>
      </c>
      <c r="M18" s="190" t="s">
        <v>5434</v>
      </c>
      <c r="N18" s="9">
        <v>1</v>
      </c>
      <c r="O18" s="1">
        <v>104000</v>
      </c>
      <c r="P18" s="11" t="s">
        <v>5429</v>
      </c>
      <c r="Q18" s="74"/>
      <c r="R18" s="194"/>
      <c r="S18" s="196"/>
    </row>
    <row r="19" spans="1:19" s="18" customFormat="1" ht="16.8" customHeight="1">
      <c r="A19" s="1">
        <v>104001</v>
      </c>
      <c r="B19" s="9" t="s">
        <v>782</v>
      </c>
      <c r="C19" s="9" t="s">
        <v>765</v>
      </c>
      <c r="D19" s="9" t="s">
        <v>5367</v>
      </c>
      <c r="E19" s="9">
        <v>1</v>
      </c>
      <c r="F19" s="9" t="s">
        <v>5430</v>
      </c>
      <c r="G19" s="9" t="s">
        <v>5435</v>
      </c>
      <c r="H19" s="9" t="s">
        <v>5436</v>
      </c>
      <c r="I19" s="9"/>
      <c r="J19" s="9">
        <v>4</v>
      </c>
      <c r="K19" s="205" t="s">
        <v>5437</v>
      </c>
      <c r="L19" s="9" t="s">
        <v>5438</v>
      </c>
      <c r="M19" s="190" t="s">
        <v>5434</v>
      </c>
      <c r="N19" s="9">
        <v>1</v>
      </c>
      <c r="O19" s="104">
        <v>104001</v>
      </c>
      <c r="P19" s="104" t="s">
        <v>782</v>
      </c>
      <c r="Q19" s="74">
        <v>90</v>
      </c>
      <c r="R19" s="194">
        <v>122</v>
      </c>
      <c r="S19" s="196"/>
    </row>
    <row r="20" spans="1:19" s="18" customFormat="1" ht="16.8" customHeight="1">
      <c r="A20" s="1">
        <v>104002</v>
      </c>
      <c r="B20" s="11" t="s">
        <v>836</v>
      </c>
      <c r="C20" s="9" t="s">
        <v>765</v>
      </c>
      <c r="D20" s="9" t="s">
        <v>5367</v>
      </c>
      <c r="E20" s="9">
        <v>1</v>
      </c>
      <c r="F20" s="9" t="s">
        <v>5430</v>
      </c>
      <c r="G20" s="9" t="s">
        <v>5439</v>
      </c>
      <c r="H20" s="9" t="s">
        <v>5436</v>
      </c>
      <c r="I20" s="9"/>
      <c r="J20" s="9">
        <v>4</v>
      </c>
      <c r="K20" s="9" t="s">
        <v>5440</v>
      </c>
      <c r="L20" s="9" t="s">
        <v>5441</v>
      </c>
      <c r="M20" s="190" t="s">
        <v>5434</v>
      </c>
      <c r="N20" s="9">
        <v>1</v>
      </c>
      <c r="O20" s="104">
        <v>104002</v>
      </c>
      <c r="P20" s="104" t="s">
        <v>836</v>
      </c>
      <c r="Q20" s="74">
        <v>91</v>
      </c>
      <c r="R20" s="194">
        <v>122</v>
      </c>
      <c r="S20" s="196"/>
    </row>
    <row r="21" spans="1:19" ht="16.8" customHeight="1">
      <c r="A21" s="1">
        <v>104003</v>
      </c>
      <c r="B21" s="11" t="s">
        <v>897</v>
      </c>
      <c r="C21" s="9" t="s">
        <v>765</v>
      </c>
      <c r="D21" s="9" t="s">
        <v>5367</v>
      </c>
      <c r="E21" s="9">
        <v>1</v>
      </c>
      <c r="F21" s="9" t="s">
        <v>5430</v>
      </c>
      <c r="G21" s="9" t="s">
        <v>5442</v>
      </c>
      <c r="H21" s="9" t="s">
        <v>5436</v>
      </c>
      <c r="I21" s="9"/>
      <c r="J21" s="9">
        <v>4</v>
      </c>
      <c r="K21" s="9" t="s">
        <v>5443</v>
      </c>
      <c r="L21" s="9" t="s">
        <v>5444</v>
      </c>
      <c r="M21" s="190" t="s">
        <v>5434</v>
      </c>
      <c r="N21" s="9">
        <v>1</v>
      </c>
      <c r="O21" s="104">
        <v>104003</v>
      </c>
      <c r="P21" s="104" t="s">
        <v>897</v>
      </c>
      <c r="Q21" s="74">
        <v>92</v>
      </c>
      <c r="R21" s="194">
        <v>122</v>
      </c>
    </row>
    <row r="22" spans="1:19" ht="16.8" customHeight="1">
      <c r="A22" s="1">
        <v>104004</v>
      </c>
      <c r="B22" s="14" t="s">
        <v>954</v>
      </c>
      <c r="C22" s="9" t="s">
        <v>765</v>
      </c>
      <c r="D22" s="9" t="s">
        <v>5425</v>
      </c>
      <c r="E22" s="9">
        <v>1</v>
      </c>
      <c r="F22" s="9" t="s">
        <v>5430</v>
      </c>
      <c r="G22" s="9" t="s">
        <v>5445</v>
      </c>
      <c r="H22" s="9" t="s">
        <v>5436</v>
      </c>
      <c r="I22" s="9"/>
      <c r="J22" s="9">
        <v>4</v>
      </c>
      <c r="K22" s="9" t="s">
        <v>5446</v>
      </c>
      <c r="L22" s="9" t="s">
        <v>5447</v>
      </c>
      <c r="M22" s="190" t="s">
        <v>5434</v>
      </c>
      <c r="N22" s="9">
        <v>1</v>
      </c>
      <c r="O22" s="104">
        <v>104004</v>
      </c>
      <c r="P22" s="104" t="s">
        <v>954</v>
      </c>
      <c r="Q22" s="74">
        <v>502</v>
      </c>
      <c r="R22" s="194">
        <v>122</v>
      </c>
    </row>
    <row r="23" spans="1:19" ht="16.8" customHeight="1">
      <c r="A23" s="1">
        <v>105000</v>
      </c>
      <c r="B23" s="11" t="s">
        <v>5448</v>
      </c>
      <c r="C23" s="9" t="s">
        <v>1077</v>
      </c>
      <c r="D23" s="9" t="s">
        <v>5367</v>
      </c>
      <c r="E23" s="9">
        <v>2</v>
      </c>
      <c r="F23" s="9" t="s">
        <v>5449</v>
      </c>
      <c r="G23" s="9" t="s">
        <v>5450</v>
      </c>
      <c r="H23" s="9"/>
      <c r="I23" s="9"/>
      <c r="J23" s="9">
        <v>5</v>
      </c>
      <c r="K23" s="9" t="s">
        <v>5451</v>
      </c>
      <c r="L23" s="9" t="s">
        <v>5452</v>
      </c>
      <c r="M23" s="190" t="s">
        <v>5453</v>
      </c>
      <c r="N23" s="9">
        <v>1</v>
      </c>
      <c r="O23" s="1">
        <v>105000</v>
      </c>
      <c r="P23" s="11" t="s">
        <v>5448</v>
      </c>
      <c r="R23" s="194"/>
    </row>
    <row r="24" spans="1:19" ht="16.8" customHeight="1">
      <c r="A24" s="1">
        <v>105001</v>
      </c>
      <c r="B24" s="9" t="s">
        <v>1024</v>
      </c>
      <c r="C24" s="9" t="s">
        <v>1077</v>
      </c>
      <c r="D24" s="9" t="s">
        <v>5401</v>
      </c>
      <c r="E24" s="9">
        <v>2</v>
      </c>
      <c r="F24" s="9" t="s">
        <v>5449</v>
      </c>
      <c r="G24" s="9" t="s">
        <v>5454</v>
      </c>
      <c r="H24" s="9" t="s">
        <v>5450</v>
      </c>
      <c r="I24" s="9"/>
      <c r="J24" s="9">
        <v>5</v>
      </c>
      <c r="K24" s="205" t="s">
        <v>5455</v>
      </c>
      <c r="L24" s="9" t="s">
        <v>5456</v>
      </c>
      <c r="M24" s="190" t="s">
        <v>5453</v>
      </c>
      <c r="N24" s="9">
        <v>0</v>
      </c>
      <c r="O24" s="104">
        <v>105001</v>
      </c>
      <c r="P24" s="104" t="s">
        <v>1024</v>
      </c>
      <c r="Q24" s="74">
        <v>93</v>
      </c>
      <c r="R24" s="194">
        <v>126</v>
      </c>
    </row>
    <row r="25" spans="1:19" s="181" customFormat="1" ht="16.8" customHeight="1">
      <c r="A25" s="189">
        <v>105002</v>
      </c>
      <c r="B25" s="15" t="s">
        <v>1081</v>
      </c>
      <c r="C25" s="15" t="s">
        <v>1077</v>
      </c>
      <c r="D25" s="15" t="s">
        <v>5367</v>
      </c>
      <c r="E25" s="15">
        <v>2</v>
      </c>
      <c r="F25" s="15" t="s">
        <v>5449</v>
      </c>
      <c r="G25" s="9" t="s">
        <v>5457</v>
      </c>
      <c r="H25" s="15" t="s">
        <v>5450</v>
      </c>
      <c r="I25" s="15"/>
      <c r="J25" s="15">
        <v>5</v>
      </c>
      <c r="K25" s="207" t="s">
        <v>5458</v>
      </c>
      <c r="L25" s="15" t="s">
        <v>5459</v>
      </c>
      <c r="M25" s="191" t="s">
        <v>5453</v>
      </c>
      <c r="N25" s="15">
        <v>1</v>
      </c>
      <c r="O25" s="189">
        <v>105002</v>
      </c>
      <c r="P25" s="189" t="s">
        <v>1081</v>
      </c>
      <c r="Q25" s="181">
        <v>4115</v>
      </c>
      <c r="R25" s="197">
        <v>126</v>
      </c>
    </row>
    <row r="26" spans="1:19" ht="16.8" customHeight="1">
      <c r="A26" s="1">
        <v>106000</v>
      </c>
      <c r="B26" s="11" t="s">
        <v>5460</v>
      </c>
      <c r="C26" s="9" t="s">
        <v>1129</v>
      </c>
      <c r="D26" s="9" t="s">
        <v>5367</v>
      </c>
      <c r="E26" s="9">
        <v>2</v>
      </c>
      <c r="F26" s="9" t="s">
        <v>5461</v>
      </c>
      <c r="G26" s="9" t="s">
        <v>5462</v>
      </c>
      <c r="H26" s="9"/>
      <c r="I26" s="9"/>
      <c r="J26" s="9">
        <v>6</v>
      </c>
      <c r="K26" s="9" t="s">
        <v>5463</v>
      </c>
      <c r="L26" s="9" t="s">
        <v>5464</v>
      </c>
      <c r="M26" s="190" t="s">
        <v>5465</v>
      </c>
      <c r="N26" s="9">
        <v>1</v>
      </c>
      <c r="O26" s="1">
        <v>106000</v>
      </c>
      <c r="P26" s="11" t="s">
        <v>5460</v>
      </c>
      <c r="R26" s="194"/>
    </row>
    <row r="27" spans="1:19" ht="16.8" customHeight="1">
      <c r="A27" s="1">
        <v>106001</v>
      </c>
      <c r="B27" s="9" t="s">
        <v>1142</v>
      </c>
      <c r="C27" s="9" t="s">
        <v>1129</v>
      </c>
      <c r="D27" s="9" t="s">
        <v>5367</v>
      </c>
      <c r="E27" s="9">
        <v>2</v>
      </c>
      <c r="F27" s="9" t="s">
        <v>5461</v>
      </c>
      <c r="G27" s="9" t="s">
        <v>5466</v>
      </c>
      <c r="H27" s="9" t="s">
        <v>5462</v>
      </c>
      <c r="I27" s="9"/>
      <c r="J27" s="9">
        <v>6</v>
      </c>
      <c r="K27" s="14" t="s">
        <v>5467</v>
      </c>
      <c r="L27" s="9" t="s">
        <v>5468</v>
      </c>
      <c r="M27" s="190" t="s">
        <v>5465</v>
      </c>
      <c r="N27" s="9">
        <v>1</v>
      </c>
      <c r="O27" s="104">
        <v>106001</v>
      </c>
      <c r="P27" s="104" t="s">
        <v>1142</v>
      </c>
      <c r="Q27" s="74">
        <v>94</v>
      </c>
      <c r="R27" s="194">
        <v>127</v>
      </c>
    </row>
    <row r="28" spans="1:19" ht="16.8" customHeight="1">
      <c r="A28" s="1">
        <v>106002</v>
      </c>
      <c r="B28" s="204" t="s">
        <v>1192</v>
      </c>
      <c r="C28" s="9" t="s">
        <v>1129</v>
      </c>
      <c r="D28" s="204" t="s">
        <v>5413</v>
      </c>
      <c r="E28" s="9">
        <v>1</v>
      </c>
      <c r="F28" s="9" t="s">
        <v>5461</v>
      </c>
      <c r="G28" s="9" t="s">
        <v>5469</v>
      </c>
      <c r="H28" s="9" t="s">
        <v>5462</v>
      </c>
      <c r="I28" s="9"/>
      <c r="J28" s="9">
        <v>6</v>
      </c>
      <c r="K28" s="14" t="s">
        <v>5470</v>
      </c>
      <c r="L28" s="10" t="s">
        <v>5471</v>
      </c>
      <c r="M28" s="190" t="s">
        <v>5465</v>
      </c>
      <c r="N28" s="9">
        <v>0</v>
      </c>
      <c r="O28" s="104">
        <v>106001</v>
      </c>
      <c r="P28" s="104" t="s">
        <v>1142</v>
      </c>
      <c r="Q28" s="74">
        <v>562</v>
      </c>
      <c r="R28" s="194">
        <v>127</v>
      </c>
    </row>
    <row r="29" spans="1:19" ht="16.8" customHeight="1">
      <c r="A29" s="1">
        <v>109000</v>
      </c>
      <c r="B29" s="11" t="s">
        <v>5472</v>
      </c>
      <c r="C29" s="9" t="s">
        <v>1227</v>
      </c>
      <c r="D29" s="9" t="s">
        <v>5367</v>
      </c>
      <c r="E29" s="9">
        <v>1</v>
      </c>
      <c r="F29" s="9" t="s">
        <v>5473</v>
      </c>
      <c r="G29" s="9" t="s">
        <v>5474</v>
      </c>
      <c r="H29" s="9" t="s">
        <v>5474</v>
      </c>
      <c r="I29" s="9"/>
      <c r="J29" s="9">
        <v>9</v>
      </c>
      <c r="K29" s="9" t="s">
        <v>5475</v>
      </c>
      <c r="L29" s="9" t="s">
        <v>5476</v>
      </c>
      <c r="M29" s="9" t="s">
        <v>5477</v>
      </c>
      <c r="N29" s="9">
        <v>1</v>
      </c>
      <c r="O29" s="1">
        <v>109000</v>
      </c>
      <c r="P29" s="11" t="s">
        <v>5472</v>
      </c>
      <c r="R29" s="194"/>
    </row>
    <row r="30" spans="1:19" ht="16.8" customHeight="1">
      <c r="A30" s="1">
        <v>109001</v>
      </c>
      <c r="B30" s="11" t="s">
        <v>1240</v>
      </c>
      <c r="C30" s="9" t="s">
        <v>1227</v>
      </c>
      <c r="D30" s="9" t="s">
        <v>5367</v>
      </c>
      <c r="E30" s="9">
        <v>1</v>
      </c>
      <c r="F30" s="9" t="s">
        <v>5473</v>
      </c>
      <c r="G30" s="9" t="s">
        <v>5478</v>
      </c>
      <c r="H30" s="9" t="s">
        <v>5474</v>
      </c>
      <c r="I30" s="9"/>
      <c r="J30" s="9">
        <v>9</v>
      </c>
      <c r="K30" s="9" t="s">
        <v>5479</v>
      </c>
      <c r="L30" s="9" t="s">
        <v>5480</v>
      </c>
      <c r="M30" s="9" t="s">
        <v>5477</v>
      </c>
      <c r="N30" s="9">
        <v>1</v>
      </c>
      <c r="O30" s="104">
        <v>109001</v>
      </c>
      <c r="P30" s="104" t="s">
        <v>1240</v>
      </c>
      <c r="Q30" s="74">
        <v>95</v>
      </c>
      <c r="R30" s="194">
        <v>125</v>
      </c>
    </row>
    <row r="31" spans="1:19" s="181" customFormat="1" ht="16.8" customHeight="1">
      <c r="A31" s="189">
        <v>109002</v>
      </c>
      <c r="B31" s="16" t="s">
        <v>1297</v>
      </c>
      <c r="C31" s="15" t="s">
        <v>1227</v>
      </c>
      <c r="D31" s="15" t="s">
        <v>5367</v>
      </c>
      <c r="E31" s="15">
        <v>1</v>
      </c>
      <c r="F31" s="15" t="s">
        <v>5473</v>
      </c>
      <c r="G31" s="9" t="s">
        <v>5481</v>
      </c>
      <c r="H31" s="15" t="s">
        <v>5474</v>
      </c>
      <c r="I31" s="15"/>
      <c r="J31" s="15">
        <v>9</v>
      </c>
      <c r="K31" s="207" t="s">
        <v>5482</v>
      </c>
      <c r="L31" s="15" t="s">
        <v>5483</v>
      </c>
      <c r="M31" s="15" t="s">
        <v>5477</v>
      </c>
      <c r="N31" s="15">
        <v>1</v>
      </c>
      <c r="O31" s="189">
        <v>109002</v>
      </c>
      <c r="P31" s="189" t="s">
        <v>1297</v>
      </c>
      <c r="Q31" s="181">
        <v>4117</v>
      </c>
      <c r="R31" s="198">
        <v>125</v>
      </c>
    </row>
    <row r="32" spans="1:19" ht="16.8" customHeight="1">
      <c r="A32" s="1">
        <v>110000</v>
      </c>
      <c r="B32" s="11" t="s">
        <v>5484</v>
      </c>
      <c r="C32" s="9" t="s">
        <v>1341</v>
      </c>
      <c r="D32" s="9" t="s">
        <v>5367</v>
      </c>
      <c r="E32" s="9">
        <v>1</v>
      </c>
      <c r="F32" s="9" t="s">
        <v>5485</v>
      </c>
      <c r="G32" s="9" t="s">
        <v>5486</v>
      </c>
      <c r="H32" s="9"/>
      <c r="I32" s="9"/>
      <c r="J32" s="9">
        <v>10</v>
      </c>
      <c r="K32" s="9" t="s">
        <v>5487</v>
      </c>
      <c r="L32" s="9" t="s">
        <v>5488</v>
      </c>
      <c r="M32" s="9" t="s">
        <v>5489</v>
      </c>
      <c r="N32" s="9">
        <v>1</v>
      </c>
      <c r="O32" s="1">
        <v>110000</v>
      </c>
      <c r="P32" s="11" t="s">
        <v>5484</v>
      </c>
      <c r="R32" s="194"/>
    </row>
    <row r="33" spans="1:18" ht="16.8" customHeight="1">
      <c r="A33" s="1">
        <v>110001</v>
      </c>
      <c r="B33" s="11" t="s">
        <v>1354</v>
      </c>
      <c r="C33" s="9" t="s">
        <v>1341</v>
      </c>
      <c r="D33" s="9" t="s">
        <v>5367</v>
      </c>
      <c r="E33" s="9">
        <v>1</v>
      </c>
      <c r="F33" s="9" t="s">
        <v>5485</v>
      </c>
      <c r="G33" s="9" t="s">
        <v>5490</v>
      </c>
      <c r="H33" s="9" t="s">
        <v>5486</v>
      </c>
      <c r="I33" s="9"/>
      <c r="J33" s="9">
        <v>10</v>
      </c>
      <c r="K33" s="9" t="s">
        <v>5491</v>
      </c>
      <c r="L33" s="9" t="s">
        <v>5492</v>
      </c>
      <c r="M33" s="9" t="s">
        <v>5489</v>
      </c>
      <c r="N33" s="9">
        <v>1</v>
      </c>
      <c r="O33" s="104">
        <v>110001</v>
      </c>
      <c r="P33" s="104" t="s">
        <v>1354</v>
      </c>
      <c r="Q33" s="74">
        <v>96</v>
      </c>
      <c r="R33" s="194">
        <v>124</v>
      </c>
    </row>
    <row r="34" spans="1:18" s="181" customFormat="1" ht="16.8" customHeight="1">
      <c r="A34" s="189">
        <v>110002</v>
      </c>
      <c r="B34" s="16" t="s">
        <v>1413</v>
      </c>
      <c r="C34" s="15" t="s">
        <v>1341</v>
      </c>
      <c r="D34" s="15" t="s">
        <v>5367</v>
      </c>
      <c r="E34" s="15">
        <v>1</v>
      </c>
      <c r="F34" s="15" t="s">
        <v>5485</v>
      </c>
      <c r="G34" s="9" t="s">
        <v>5493</v>
      </c>
      <c r="H34" s="15" t="s">
        <v>5486</v>
      </c>
      <c r="I34" s="15"/>
      <c r="J34" s="15">
        <v>10</v>
      </c>
      <c r="K34" s="207" t="s">
        <v>5494</v>
      </c>
      <c r="L34" s="15" t="s">
        <v>5495</v>
      </c>
      <c r="M34" s="15" t="s">
        <v>5489</v>
      </c>
      <c r="N34" s="15">
        <v>1</v>
      </c>
      <c r="O34" s="189">
        <v>110002</v>
      </c>
      <c r="P34" s="189" t="s">
        <v>1413</v>
      </c>
      <c r="Q34" s="181">
        <v>4116</v>
      </c>
      <c r="R34" s="198">
        <v>124</v>
      </c>
    </row>
    <row r="35" spans="1:18" ht="16.8" customHeight="1">
      <c r="A35" s="3">
        <v>110003</v>
      </c>
      <c r="B35" s="17" t="s">
        <v>1455</v>
      </c>
      <c r="C35" s="18" t="s">
        <v>1341</v>
      </c>
      <c r="D35" s="18" t="s">
        <v>5367</v>
      </c>
      <c r="E35" s="18">
        <v>1</v>
      </c>
      <c r="F35" s="18" t="s">
        <v>5485</v>
      </c>
      <c r="G35" s="10" t="s">
        <v>5496</v>
      </c>
      <c r="H35" s="18" t="s">
        <v>5486</v>
      </c>
      <c r="I35" s="18"/>
      <c r="J35" s="18">
        <v>10</v>
      </c>
      <c r="K35" s="208" t="s">
        <v>5497</v>
      </c>
      <c r="L35" s="25" t="s">
        <v>5498</v>
      </c>
      <c r="M35" s="18" t="s">
        <v>5489</v>
      </c>
      <c r="N35" s="18">
        <v>1</v>
      </c>
      <c r="O35" s="3">
        <v>110002</v>
      </c>
      <c r="P35" s="3"/>
      <c r="Q35" s="74">
        <v>526</v>
      </c>
      <c r="R35" s="194">
        <v>124</v>
      </c>
    </row>
    <row r="36" spans="1:18" ht="16.8" customHeight="1">
      <c r="A36" s="3">
        <v>110004</v>
      </c>
      <c r="B36" s="17" t="s">
        <v>1487</v>
      </c>
      <c r="C36" s="18" t="s">
        <v>1341</v>
      </c>
      <c r="D36" s="18" t="s">
        <v>5367</v>
      </c>
      <c r="E36" s="18">
        <v>1</v>
      </c>
      <c r="F36" s="18" t="s">
        <v>5485</v>
      </c>
      <c r="G36" s="10" t="s">
        <v>5499</v>
      </c>
      <c r="H36" s="18" t="s">
        <v>5486</v>
      </c>
      <c r="I36" s="18"/>
      <c r="J36" s="18">
        <v>10</v>
      </c>
      <c r="K36" s="208" t="s">
        <v>5500</v>
      </c>
      <c r="L36" s="25" t="s">
        <v>5501</v>
      </c>
      <c r="M36" s="18" t="s">
        <v>5489</v>
      </c>
      <c r="N36" s="18">
        <v>1</v>
      </c>
      <c r="O36" s="3">
        <v>110002</v>
      </c>
      <c r="P36" s="3"/>
      <c r="Q36" s="74">
        <v>514</v>
      </c>
      <c r="R36" s="194">
        <v>124</v>
      </c>
    </row>
    <row r="37" spans="1:18" ht="16.8" customHeight="1">
      <c r="A37" s="1">
        <v>111000</v>
      </c>
      <c r="B37" s="11" t="s">
        <v>5502</v>
      </c>
      <c r="C37" s="11" t="s">
        <v>1520</v>
      </c>
      <c r="D37" s="11" t="s">
        <v>5367</v>
      </c>
      <c r="E37" s="11">
        <v>1</v>
      </c>
      <c r="F37" s="11" t="s">
        <v>5503</v>
      </c>
      <c r="G37" s="11" t="s">
        <v>5504</v>
      </c>
      <c r="H37" s="11"/>
      <c r="I37" s="11"/>
      <c r="J37" s="11">
        <v>11</v>
      </c>
      <c r="K37" s="9" t="s">
        <v>5505</v>
      </c>
      <c r="L37" s="9" t="s">
        <v>5506</v>
      </c>
      <c r="M37" s="9" t="s">
        <v>5507</v>
      </c>
      <c r="N37" s="9">
        <v>1</v>
      </c>
      <c r="O37" s="1">
        <v>111000</v>
      </c>
      <c r="P37" s="11" t="s">
        <v>5502</v>
      </c>
      <c r="R37" s="194"/>
    </row>
    <row r="38" spans="1:18" s="21" customFormat="1" ht="16.8" customHeight="1">
      <c r="A38" s="22">
        <v>111001</v>
      </c>
      <c r="B38" s="12" t="s">
        <v>1518</v>
      </c>
      <c r="C38" s="12" t="s">
        <v>1520</v>
      </c>
      <c r="D38" s="12" t="s">
        <v>5367</v>
      </c>
      <c r="E38" s="12">
        <v>1</v>
      </c>
      <c r="F38" s="12" t="s">
        <v>5503</v>
      </c>
      <c r="G38" s="9" t="s">
        <v>5508</v>
      </c>
      <c r="H38" s="12" t="s">
        <v>5504</v>
      </c>
      <c r="I38" s="12"/>
      <c r="J38" s="12">
        <v>11</v>
      </c>
      <c r="K38" s="13" t="s">
        <v>5509</v>
      </c>
      <c r="L38" s="13" t="s">
        <v>5510</v>
      </c>
      <c r="M38" s="13" t="s">
        <v>5507</v>
      </c>
      <c r="N38" s="13">
        <v>1</v>
      </c>
      <c r="O38" s="22">
        <v>111001</v>
      </c>
      <c r="P38" s="22" t="s">
        <v>1518</v>
      </c>
      <c r="Q38" s="21">
        <v>97</v>
      </c>
      <c r="R38" s="195">
        <v>130</v>
      </c>
    </row>
    <row r="39" spans="1:18" s="21" customFormat="1" ht="16.8" customHeight="1">
      <c r="A39" s="22">
        <v>112000</v>
      </c>
      <c r="B39" s="12" t="s">
        <v>5511</v>
      </c>
      <c r="C39" s="13" t="s">
        <v>1574</v>
      </c>
      <c r="D39" s="13" t="s">
        <v>5367</v>
      </c>
      <c r="E39" s="13">
        <v>1</v>
      </c>
      <c r="F39" s="13" t="s">
        <v>5512</v>
      </c>
      <c r="G39" s="13" t="s">
        <v>5513</v>
      </c>
      <c r="H39" s="13"/>
      <c r="I39" s="13"/>
      <c r="J39" s="13">
        <v>12</v>
      </c>
      <c r="K39" s="13" t="s">
        <v>5514</v>
      </c>
      <c r="L39" s="13" t="s">
        <v>5515</v>
      </c>
      <c r="M39" s="13" t="s">
        <v>5516</v>
      </c>
      <c r="N39" s="13">
        <v>1</v>
      </c>
      <c r="O39" s="22">
        <v>112000</v>
      </c>
      <c r="P39" s="12" t="s">
        <v>5511</v>
      </c>
      <c r="R39" s="195"/>
    </row>
    <row r="40" spans="1:18" s="21" customFormat="1" ht="16.8" customHeight="1">
      <c r="A40" s="22">
        <v>112001</v>
      </c>
      <c r="B40" s="12" t="s">
        <v>1572</v>
      </c>
      <c r="C40" s="13" t="s">
        <v>1574</v>
      </c>
      <c r="D40" s="13" t="s">
        <v>5367</v>
      </c>
      <c r="E40" s="13">
        <v>1</v>
      </c>
      <c r="F40" s="13" t="s">
        <v>5512</v>
      </c>
      <c r="G40" s="9" t="s">
        <v>5517</v>
      </c>
      <c r="H40" s="13" t="s">
        <v>5513</v>
      </c>
      <c r="I40" s="13"/>
      <c r="J40" s="13">
        <v>12</v>
      </c>
      <c r="K40" s="13" t="s">
        <v>5518</v>
      </c>
      <c r="L40" s="13" t="s">
        <v>5519</v>
      </c>
      <c r="M40" s="13" t="s">
        <v>5516</v>
      </c>
      <c r="N40" s="13">
        <v>1</v>
      </c>
      <c r="O40" s="22">
        <v>112001</v>
      </c>
      <c r="P40" s="22" t="s">
        <v>1572</v>
      </c>
      <c r="Q40" s="21">
        <v>99</v>
      </c>
      <c r="R40" s="195">
        <v>128</v>
      </c>
    </row>
    <row r="41" spans="1:18" s="21" customFormat="1" ht="16.8" customHeight="1">
      <c r="A41" s="22">
        <v>113000</v>
      </c>
      <c r="B41" s="12" t="s">
        <v>5520</v>
      </c>
      <c r="C41" s="13" t="s">
        <v>1630</v>
      </c>
      <c r="D41" s="13" t="s">
        <v>5367</v>
      </c>
      <c r="E41" s="13">
        <v>1</v>
      </c>
      <c r="F41" s="13" t="s">
        <v>5521</v>
      </c>
      <c r="G41" s="13" t="s">
        <v>5522</v>
      </c>
      <c r="H41" s="13"/>
      <c r="I41" s="13"/>
      <c r="J41" s="13">
        <v>13</v>
      </c>
      <c r="K41" s="13" t="s">
        <v>5523</v>
      </c>
      <c r="L41" s="13" t="s">
        <v>5524</v>
      </c>
      <c r="M41" s="13" t="s">
        <v>5525</v>
      </c>
      <c r="N41" s="13">
        <v>1</v>
      </c>
      <c r="O41" s="22">
        <v>113000</v>
      </c>
      <c r="P41" s="22" t="s">
        <v>5520</v>
      </c>
      <c r="R41" s="195"/>
    </row>
    <row r="42" spans="1:18" s="21" customFormat="1" ht="16.8" customHeight="1">
      <c r="A42" s="22">
        <v>113001</v>
      </c>
      <c r="B42" s="12" t="s">
        <v>1628</v>
      </c>
      <c r="C42" s="13" t="s">
        <v>1630</v>
      </c>
      <c r="D42" s="13" t="s">
        <v>5526</v>
      </c>
      <c r="E42" s="13">
        <v>1</v>
      </c>
      <c r="F42" s="13" t="s">
        <v>5521</v>
      </c>
      <c r="G42" s="9" t="s">
        <v>5527</v>
      </c>
      <c r="H42" s="13" t="s">
        <v>5522</v>
      </c>
      <c r="I42" s="13"/>
      <c r="J42" s="13">
        <v>13</v>
      </c>
      <c r="K42" s="13" t="s">
        <v>5528</v>
      </c>
      <c r="L42" s="13" t="s">
        <v>5529</v>
      </c>
      <c r="M42" s="13" t="s">
        <v>5525</v>
      </c>
      <c r="N42" s="13">
        <v>0</v>
      </c>
      <c r="O42" s="22">
        <v>113001</v>
      </c>
      <c r="P42" s="22" t="s">
        <v>1628</v>
      </c>
      <c r="Q42" s="21">
        <v>4118</v>
      </c>
      <c r="R42" s="21">
        <v>4118</v>
      </c>
    </row>
    <row r="43" spans="1:18" s="21" customFormat="1" ht="16.8" customHeight="1">
      <c r="A43" s="22">
        <v>113002</v>
      </c>
      <c r="B43" s="12" t="s">
        <v>1681</v>
      </c>
      <c r="C43" s="13" t="s">
        <v>1630</v>
      </c>
      <c r="D43" s="13" t="s">
        <v>5367</v>
      </c>
      <c r="E43" s="13">
        <v>2</v>
      </c>
      <c r="F43" s="13" t="s">
        <v>5521</v>
      </c>
      <c r="G43" s="10" t="s">
        <v>5530</v>
      </c>
      <c r="H43" s="13" t="s">
        <v>5522</v>
      </c>
      <c r="I43" s="13"/>
      <c r="J43" s="13">
        <v>13</v>
      </c>
      <c r="K43" s="13" t="s">
        <v>5531</v>
      </c>
      <c r="L43" s="13" t="s">
        <v>5532</v>
      </c>
      <c r="M43" s="13" t="s">
        <v>5525</v>
      </c>
      <c r="N43" s="13">
        <v>1</v>
      </c>
      <c r="O43" s="22">
        <v>113001</v>
      </c>
      <c r="P43" s="22" t="s">
        <v>1628</v>
      </c>
      <c r="Q43" s="199">
        <v>4120</v>
      </c>
      <c r="R43" s="21">
        <v>4118</v>
      </c>
    </row>
    <row r="44" spans="1:18" s="21" customFormat="1" ht="16.8" customHeight="1">
      <c r="A44" s="22">
        <v>114000</v>
      </c>
      <c r="B44" s="12" t="s">
        <v>5533</v>
      </c>
      <c r="C44" s="13" t="s">
        <v>1715</v>
      </c>
      <c r="D44" s="13" t="s">
        <v>5367</v>
      </c>
      <c r="E44" s="13">
        <v>1</v>
      </c>
      <c r="F44" s="13" t="s">
        <v>5534</v>
      </c>
      <c r="G44" s="13" t="s">
        <v>5535</v>
      </c>
      <c r="H44" s="13"/>
      <c r="I44" s="13"/>
      <c r="J44" s="13">
        <v>14</v>
      </c>
      <c r="K44" s="13" t="s">
        <v>5536</v>
      </c>
      <c r="L44" s="13" t="s">
        <v>5537</v>
      </c>
      <c r="M44" s="13" t="s">
        <v>5525</v>
      </c>
      <c r="N44" s="13">
        <v>1</v>
      </c>
      <c r="O44" s="22">
        <v>114000</v>
      </c>
      <c r="P44" s="12" t="s">
        <v>5533</v>
      </c>
      <c r="R44" s="195"/>
    </row>
    <row r="45" spans="1:18" s="21" customFormat="1" ht="16.8" customHeight="1">
      <c r="A45" s="22">
        <v>114001</v>
      </c>
      <c r="B45" s="12" t="s">
        <v>1713</v>
      </c>
      <c r="C45" s="13" t="s">
        <v>1715</v>
      </c>
      <c r="D45" s="13" t="s">
        <v>5367</v>
      </c>
      <c r="E45" s="13">
        <v>1</v>
      </c>
      <c r="F45" s="13" t="s">
        <v>5534</v>
      </c>
      <c r="G45" s="9" t="s">
        <v>5538</v>
      </c>
      <c r="H45" s="13" t="s">
        <v>5535</v>
      </c>
      <c r="I45" s="13"/>
      <c r="J45" s="13">
        <v>14</v>
      </c>
      <c r="K45" s="13" t="s">
        <v>5539</v>
      </c>
      <c r="L45" s="13" t="s">
        <v>5540</v>
      </c>
      <c r="M45" s="13" t="s">
        <v>5525</v>
      </c>
      <c r="N45" s="13">
        <v>1</v>
      </c>
      <c r="O45" s="22">
        <v>114001</v>
      </c>
      <c r="P45" s="22" t="s">
        <v>1713</v>
      </c>
      <c r="Q45" s="21">
        <v>98</v>
      </c>
      <c r="R45" s="195">
        <v>131</v>
      </c>
    </row>
    <row r="46" spans="1:18" s="21" customFormat="1" ht="16.8" customHeight="1">
      <c r="A46" s="22">
        <v>115000</v>
      </c>
      <c r="B46" s="12" t="s">
        <v>5541</v>
      </c>
      <c r="C46" s="13" t="s">
        <v>1770</v>
      </c>
      <c r="D46" s="13" t="s">
        <v>5367</v>
      </c>
      <c r="E46" s="13">
        <v>2</v>
      </c>
      <c r="F46" s="13" t="s">
        <v>5542</v>
      </c>
      <c r="G46" s="13" t="s">
        <v>5543</v>
      </c>
      <c r="H46" s="13"/>
      <c r="I46" s="13"/>
      <c r="J46" s="13">
        <v>15</v>
      </c>
      <c r="K46" s="13" t="s">
        <v>5544</v>
      </c>
      <c r="L46" s="13" t="s">
        <v>5545</v>
      </c>
      <c r="M46" s="13" t="s">
        <v>5546</v>
      </c>
      <c r="N46" s="13">
        <v>1</v>
      </c>
      <c r="O46" s="22">
        <v>115000</v>
      </c>
      <c r="P46" s="12" t="s">
        <v>5541</v>
      </c>
      <c r="R46" s="195"/>
    </row>
    <row r="47" spans="1:18" s="21" customFormat="1" ht="16.8" customHeight="1">
      <c r="A47" s="22">
        <v>115001</v>
      </c>
      <c r="B47" s="12" t="s">
        <v>1823</v>
      </c>
      <c r="C47" s="13" t="s">
        <v>1770</v>
      </c>
      <c r="D47" s="13" t="s">
        <v>5526</v>
      </c>
      <c r="E47" s="13">
        <v>2</v>
      </c>
      <c r="F47" s="13" t="s">
        <v>5542</v>
      </c>
      <c r="G47" s="9" t="s">
        <v>5547</v>
      </c>
      <c r="H47" s="13" t="s">
        <v>5543</v>
      </c>
      <c r="I47" s="13"/>
      <c r="J47" s="13">
        <v>15</v>
      </c>
      <c r="K47" s="13" t="s">
        <v>5548</v>
      </c>
      <c r="L47" s="13" t="s">
        <v>5549</v>
      </c>
      <c r="M47" s="13" t="s">
        <v>5546</v>
      </c>
      <c r="N47" s="13">
        <v>1</v>
      </c>
      <c r="O47" s="22">
        <v>115001</v>
      </c>
      <c r="P47" s="22" t="s">
        <v>1823</v>
      </c>
      <c r="Q47" s="21">
        <v>100</v>
      </c>
      <c r="R47" s="195">
        <v>129</v>
      </c>
    </row>
    <row r="48" spans="1:18" s="181" customFormat="1" ht="16.8" customHeight="1">
      <c r="A48" s="189">
        <v>115002</v>
      </c>
      <c r="B48" s="16" t="s">
        <v>1827</v>
      </c>
      <c r="C48" s="15" t="s">
        <v>1770</v>
      </c>
      <c r="D48" s="15" t="s">
        <v>5367</v>
      </c>
      <c r="E48" s="15">
        <v>2</v>
      </c>
      <c r="F48" s="15" t="s">
        <v>5542</v>
      </c>
      <c r="G48" s="9" t="s">
        <v>5550</v>
      </c>
      <c r="H48" s="15" t="s">
        <v>5543</v>
      </c>
      <c r="I48" s="15"/>
      <c r="J48" s="15">
        <v>15</v>
      </c>
      <c r="K48" s="209" t="s">
        <v>5551</v>
      </c>
      <c r="L48" s="15" t="s">
        <v>5552</v>
      </c>
      <c r="M48" s="15" t="s">
        <v>5546</v>
      </c>
      <c r="N48" s="15">
        <v>1</v>
      </c>
      <c r="O48" s="189">
        <v>115002</v>
      </c>
      <c r="P48" s="189" t="s">
        <v>1827</v>
      </c>
      <c r="Q48" s="181">
        <v>4114</v>
      </c>
      <c r="R48" s="198">
        <v>129</v>
      </c>
    </row>
    <row r="49" spans="1:18" s="181" customFormat="1" ht="16.8" customHeight="1">
      <c r="A49" s="189">
        <v>199099</v>
      </c>
      <c r="B49" s="19" t="s">
        <v>1872</v>
      </c>
      <c r="C49" s="20" t="s">
        <v>325</v>
      </c>
      <c r="D49" s="20" t="s">
        <v>1872</v>
      </c>
      <c r="E49" s="15">
        <v>2</v>
      </c>
      <c r="F49" s="9" t="s">
        <v>5387</v>
      </c>
      <c r="G49" s="9"/>
      <c r="H49" s="15"/>
      <c r="I49" s="15"/>
      <c r="J49" s="15">
        <v>2</v>
      </c>
      <c r="K49" s="209" t="s">
        <v>5553</v>
      </c>
      <c r="L49" s="15" t="s">
        <v>5554</v>
      </c>
      <c r="M49" s="15"/>
      <c r="N49" s="15">
        <v>0</v>
      </c>
      <c r="O49" s="189">
        <v>199099</v>
      </c>
      <c r="P49" s="189" t="s">
        <v>1872</v>
      </c>
      <c r="Q49" s="181">
        <v>4114</v>
      </c>
      <c r="R49" s="198">
        <v>129</v>
      </c>
    </row>
    <row r="50" spans="1:18" s="21" customFormat="1" ht="16.8" customHeight="1">
      <c r="A50" s="22">
        <v>201001</v>
      </c>
      <c r="B50" s="13" t="s">
        <v>1874</v>
      </c>
      <c r="C50" s="13" t="s">
        <v>1876</v>
      </c>
      <c r="D50" s="13" t="s">
        <v>5401</v>
      </c>
      <c r="E50" s="13"/>
      <c r="F50" s="13"/>
      <c r="G50" s="9" t="s">
        <v>5555</v>
      </c>
      <c r="H50" s="13"/>
      <c r="I50" s="13"/>
      <c r="J50" s="13">
        <v>7</v>
      </c>
      <c r="K50" s="201" t="s">
        <v>5556</v>
      </c>
      <c r="L50" s="13" t="s">
        <v>5557</v>
      </c>
      <c r="M50" s="13"/>
      <c r="N50" s="13">
        <v>0</v>
      </c>
      <c r="O50" s="22">
        <v>201001</v>
      </c>
      <c r="P50" s="22" t="s">
        <v>1874</v>
      </c>
      <c r="R50" s="195"/>
    </row>
    <row r="51" spans="1:18" s="21" customFormat="1" ht="16.8" customHeight="1">
      <c r="A51" s="22">
        <v>201002</v>
      </c>
      <c r="B51" s="13" t="s">
        <v>1915</v>
      </c>
      <c r="C51" s="13" t="s">
        <v>1876</v>
      </c>
      <c r="D51" s="13" t="s">
        <v>5367</v>
      </c>
      <c r="E51" s="13"/>
      <c r="F51" s="13"/>
      <c r="G51" s="9" t="s">
        <v>5558</v>
      </c>
      <c r="H51" s="13"/>
      <c r="I51" s="13"/>
      <c r="J51" s="13">
        <v>7</v>
      </c>
      <c r="K51" s="201" t="s">
        <v>5559</v>
      </c>
      <c r="L51" s="13" t="s">
        <v>5560</v>
      </c>
      <c r="M51" s="13"/>
      <c r="N51" s="13">
        <v>0</v>
      </c>
      <c r="O51" s="22">
        <v>201002</v>
      </c>
      <c r="P51" s="22" t="s">
        <v>1915</v>
      </c>
      <c r="R51" s="195"/>
    </row>
    <row r="52" spans="1:18" s="21" customFormat="1" ht="16.8" customHeight="1">
      <c r="A52" s="22">
        <v>201003</v>
      </c>
      <c r="B52" s="13" t="s">
        <v>1957</v>
      </c>
      <c r="C52" s="13" t="s">
        <v>1876</v>
      </c>
      <c r="D52" s="13" t="s">
        <v>5367</v>
      </c>
      <c r="E52" s="13"/>
      <c r="F52" s="13"/>
      <c r="G52" s="9" t="s">
        <v>5561</v>
      </c>
      <c r="H52" s="13"/>
      <c r="I52" s="13"/>
      <c r="J52" s="13">
        <v>7</v>
      </c>
      <c r="K52" s="13" t="s">
        <v>5562</v>
      </c>
      <c r="L52" s="13" t="s">
        <v>5563</v>
      </c>
      <c r="M52" s="13"/>
      <c r="N52" s="13">
        <v>1</v>
      </c>
      <c r="O52" s="22">
        <v>201003</v>
      </c>
      <c r="P52" s="22" t="s">
        <v>1957</v>
      </c>
      <c r="R52" s="195"/>
    </row>
    <row r="53" spans="1:18" s="21" customFormat="1" ht="16.8" customHeight="1">
      <c r="A53" s="22">
        <v>201004</v>
      </c>
      <c r="B53" s="21" t="s">
        <v>1994</v>
      </c>
      <c r="C53" s="13" t="s">
        <v>1876</v>
      </c>
      <c r="D53" s="13" t="s">
        <v>5526</v>
      </c>
      <c r="E53" s="13"/>
      <c r="F53" s="13"/>
      <c r="G53" s="9" t="s">
        <v>5564</v>
      </c>
      <c r="H53" s="13"/>
      <c r="I53" s="13"/>
      <c r="J53" s="13">
        <v>7</v>
      </c>
      <c r="K53" s="13" t="s">
        <v>5565</v>
      </c>
      <c r="L53" s="13" t="s">
        <v>5566</v>
      </c>
      <c r="M53" s="13"/>
      <c r="N53" s="13">
        <v>0</v>
      </c>
      <c r="O53" s="22">
        <v>201004</v>
      </c>
      <c r="P53" s="22" t="s">
        <v>1994</v>
      </c>
      <c r="R53" s="195"/>
    </row>
    <row r="54" spans="1:18" s="21" customFormat="1" ht="16.8" customHeight="1">
      <c r="A54" s="22">
        <v>201005</v>
      </c>
      <c r="B54" s="13" t="s">
        <v>2031</v>
      </c>
      <c r="C54" s="13" t="s">
        <v>1876</v>
      </c>
      <c r="D54" s="13" t="s">
        <v>5367</v>
      </c>
      <c r="E54" s="13"/>
      <c r="F54" s="13"/>
      <c r="G54" s="9" t="s">
        <v>5567</v>
      </c>
      <c r="H54" s="13"/>
      <c r="I54" s="13"/>
      <c r="J54" s="13">
        <v>7</v>
      </c>
      <c r="K54" s="13" t="s">
        <v>5568</v>
      </c>
      <c r="L54" s="13" t="s">
        <v>5569</v>
      </c>
      <c r="M54" s="13"/>
      <c r="N54" s="13">
        <v>0</v>
      </c>
      <c r="O54" s="22">
        <v>201005</v>
      </c>
      <c r="P54" s="22" t="s">
        <v>2031</v>
      </c>
      <c r="R54" s="195"/>
    </row>
    <row r="55" spans="1:18" s="21" customFormat="1" ht="16.8" customHeight="1">
      <c r="A55" s="22">
        <v>201006</v>
      </c>
      <c r="B55" s="13" t="s">
        <v>2069</v>
      </c>
      <c r="C55" s="13" t="s">
        <v>1876</v>
      </c>
      <c r="D55" s="13" t="s">
        <v>5401</v>
      </c>
      <c r="E55" s="13"/>
      <c r="F55" s="13"/>
      <c r="G55" s="9" t="s">
        <v>5570</v>
      </c>
      <c r="H55" s="13"/>
      <c r="I55" s="13"/>
      <c r="J55" s="13">
        <v>7</v>
      </c>
      <c r="K55" s="13" t="s">
        <v>5571</v>
      </c>
      <c r="L55" s="13" t="s">
        <v>5572</v>
      </c>
      <c r="M55" s="13"/>
      <c r="N55" s="13">
        <v>1</v>
      </c>
      <c r="O55" s="22">
        <v>201006</v>
      </c>
      <c r="P55" s="22" t="s">
        <v>2069</v>
      </c>
      <c r="R55" s="195"/>
    </row>
    <row r="56" spans="1:18" s="21" customFormat="1" ht="16.8" customHeight="1">
      <c r="A56" s="22">
        <v>201007</v>
      </c>
      <c r="B56" s="12" t="s">
        <v>2107</v>
      </c>
      <c r="C56" s="13" t="s">
        <v>1876</v>
      </c>
      <c r="D56" s="13" t="s">
        <v>5379</v>
      </c>
      <c r="E56" s="13"/>
      <c r="F56" s="13"/>
      <c r="G56" s="9" t="s">
        <v>5573</v>
      </c>
      <c r="H56" s="13"/>
      <c r="I56" s="13"/>
      <c r="J56" s="13">
        <v>7</v>
      </c>
      <c r="K56" s="13" t="s">
        <v>5574</v>
      </c>
      <c r="L56" s="13" t="s">
        <v>5575</v>
      </c>
      <c r="M56" s="13"/>
      <c r="N56" s="13">
        <v>0</v>
      </c>
      <c r="O56" s="22">
        <v>201007</v>
      </c>
      <c r="P56" s="22" t="s">
        <v>2107</v>
      </c>
      <c r="R56" s="195"/>
    </row>
    <row r="57" spans="1:18" s="21" customFormat="1" ht="16.8" customHeight="1">
      <c r="A57" s="22">
        <v>201008</v>
      </c>
      <c r="B57" s="12" t="s">
        <v>2146</v>
      </c>
      <c r="C57" s="13" t="s">
        <v>1876</v>
      </c>
      <c r="D57" s="13" t="s">
        <v>5367</v>
      </c>
      <c r="E57" s="13"/>
      <c r="F57" s="13"/>
      <c r="G57" s="9" t="s">
        <v>5576</v>
      </c>
      <c r="H57" s="13"/>
      <c r="I57" s="13"/>
      <c r="J57" s="13">
        <v>7</v>
      </c>
      <c r="K57" s="13" t="s">
        <v>5577</v>
      </c>
      <c r="L57" s="13" t="s">
        <v>5578</v>
      </c>
      <c r="M57" s="13"/>
      <c r="N57" s="13">
        <v>0</v>
      </c>
      <c r="O57" s="22">
        <v>201008</v>
      </c>
      <c r="P57" s="22" t="s">
        <v>2146</v>
      </c>
      <c r="R57" s="195"/>
    </row>
    <row r="58" spans="1:18" s="21" customFormat="1" ht="16.8" customHeight="1">
      <c r="A58" s="22">
        <v>201009</v>
      </c>
      <c r="B58" s="12" t="s">
        <v>2185</v>
      </c>
      <c r="C58" s="13" t="s">
        <v>1876</v>
      </c>
      <c r="D58" s="13" t="s">
        <v>5367</v>
      </c>
      <c r="E58" s="13"/>
      <c r="F58" s="13"/>
      <c r="G58" s="9" t="s">
        <v>5579</v>
      </c>
      <c r="H58" s="13"/>
      <c r="I58" s="13"/>
      <c r="J58" s="13">
        <v>7</v>
      </c>
      <c r="K58" s="13" t="s">
        <v>5580</v>
      </c>
      <c r="L58" s="13" t="s">
        <v>5581</v>
      </c>
      <c r="M58" s="13"/>
      <c r="N58" s="13">
        <v>0</v>
      </c>
      <c r="O58" s="22">
        <v>201009</v>
      </c>
      <c r="P58" s="22" t="s">
        <v>2185</v>
      </c>
      <c r="R58" s="195"/>
    </row>
    <row r="59" spans="1:18" s="21" customFormat="1" ht="16.8" customHeight="1">
      <c r="A59" s="22">
        <v>201010</v>
      </c>
      <c r="B59" s="12" t="s">
        <v>2224</v>
      </c>
      <c r="C59" s="13" t="s">
        <v>1876</v>
      </c>
      <c r="D59" s="13" t="s">
        <v>5367</v>
      </c>
      <c r="E59" s="13"/>
      <c r="F59" s="13"/>
      <c r="G59" s="9" t="s">
        <v>5582</v>
      </c>
      <c r="H59" s="13"/>
      <c r="I59" s="13"/>
      <c r="J59" s="13">
        <v>7</v>
      </c>
      <c r="K59" s="13" t="s">
        <v>5583</v>
      </c>
      <c r="L59" s="13" t="s">
        <v>5584</v>
      </c>
      <c r="M59" s="13"/>
      <c r="N59" s="13">
        <v>0</v>
      </c>
      <c r="O59" s="22">
        <v>201010</v>
      </c>
      <c r="P59" s="22" t="s">
        <v>2224</v>
      </c>
      <c r="R59" s="195"/>
    </row>
    <row r="60" spans="1:18" s="21" customFormat="1" ht="16.8" customHeight="1">
      <c r="A60" s="22">
        <v>201011</v>
      </c>
      <c r="B60" s="12" t="s">
        <v>2264</v>
      </c>
      <c r="C60" s="13" t="s">
        <v>1876</v>
      </c>
      <c r="D60" s="13" t="s">
        <v>5367</v>
      </c>
      <c r="E60" s="13"/>
      <c r="F60" s="13"/>
      <c r="G60" s="9" t="s">
        <v>5585</v>
      </c>
      <c r="H60" s="13"/>
      <c r="I60" s="13"/>
      <c r="J60" s="13">
        <v>7</v>
      </c>
      <c r="K60" s="13" t="s">
        <v>5586</v>
      </c>
      <c r="L60" s="13" t="s">
        <v>5587</v>
      </c>
      <c r="M60" s="13"/>
      <c r="N60" s="13">
        <v>1</v>
      </c>
      <c r="O60" s="22">
        <v>201011</v>
      </c>
      <c r="P60" s="22" t="s">
        <v>2264</v>
      </c>
      <c r="R60" s="195"/>
    </row>
    <row r="61" spans="1:18" s="21" customFormat="1" ht="16.8" customHeight="1">
      <c r="A61" s="22">
        <v>201012</v>
      </c>
      <c r="B61" s="12" t="s">
        <v>2302</v>
      </c>
      <c r="C61" s="13" t="s">
        <v>1876</v>
      </c>
      <c r="D61" s="13" t="s">
        <v>5367</v>
      </c>
      <c r="E61" s="13"/>
      <c r="F61" s="13"/>
      <c r="G61" s="9" t="s">
        <v>5588</v>
      </c>
      <c r="H61" s="13"/>
      <c r="I61" s="13"/>
      <c r="J61" s="13">
        <v>7</v>
      </c>
      <c r="K61" s="13" t="s">
        <v>5589</v>
      </c>
      <c r="L61" s="13" t="s">
        <v>5590</v>
      </c>
      <c r="M61" s="13"/>
      <c r="N61" s="13">
        <v>0</v>
      </c>
      <c r="O61" s="22">
        <v>201012</v>
      </c>
      <c r="P61" s="22" t="s">
        <v>2302</v>
      </c>
      <c r="R61" s="195"/>
    </row>
    <row r="62" spans="1:18" s="21" customFormat="1" ht="16.8" customHeight="1">
      <c r="A62" s="22">
        <v>201013</v>
      </c>
      <c r="B62" s="13" t="s">
        <v>2340</v>
      </c>
      <c r="C62" s="13" t="s">
        <v>1876</v>
      </c>
      <c r="D62" s="13" t="s">
        <v>5367</v>
      </c>
      <c r="E62" s="13"/>
      <c r="F62" s="13"/>
      <c r="G62" s="9" t="s">
        <v>5591</v>
      </c>
      <c r="H62" s="13"/>
      <c r="I62" s="13"/>
      <c r="J62" s="13">
        <v>7</v>
      </c>
      <c r="K62" s="13" t="s">
        <v>5592</v>
      </c>
      <c r="L62" s="13" t="s">
        <v>5593</v>
      </c>
      <c r="M62" s="13"/>
      <c r="N62" s="13">
        <v>0</v>
      </c>
      <c r="O62" s="22">
        <v>201013</v>
      </c>
      <c r="P62" s="22" t="s">
        <v>2340</v>
      </c>
      <c r="R62" s="195"/>
    </row>
    <row r="63" spans="1:18" s="21" customFormat="1" ht="14.4">
      <c r="A63" s="22">
        <v>201014</v>
      </c>
      <c r="B63" s="21" t="s">
        <v>2379</v>
      </c>
      <c r="C63" s="13" t="s">
        <v>1876</v>
      </c>
      <c r="D63" s="13" t="s">
        <v>5379</v>
      </c>
      <c r="E63" s="13"/>
      <c r="F63" s="13"/>
      <c r="G63" s="9" t="s">
        <v>5594</v>
      </c>
      <c r="H63" s="13"/>
      <c r="I63" s="13"/>
      <c r="J63" s="13">
        <v>7</v>
      </c>
      <c r="K63" s="21" t="s">
        <v>5595</v>
      </c>
      <c r="L63" s="13" t="s">
        <v>5596</v>
      </c>
      <c r="M63" s="13"/>
      <c r="N63" s="13">
        <v>0</v>
      </c>
      <c r="O63" s="22">
        <v>201014</v>
      </c>
      <c r="P63" s="22" t="s">
        <v>2379</v>
      </c>
      <c r="R63" s="195"/>
    </row>
    <row r="64" spans="1:18" s="21" customFormat="1" ht="14.4">
      <c r="A64" s="22">
        <v>201015</v>
      </c>
      <c r="B64" s="21" t="s">
        <v>2418</v>
      </c>
      <c r="C64" s="13" t="s">
        <v>1876</v>
      </c>
      <c r="D64" s="13" t="s">
        <v>5367</v>
      </c>
      <c r="E64" s="13"/>
      <c r="F64" s="13"/>
      <c r="G64" s="9" t="s">
        <v>5597</v>
      </c>
      <c r="H64" s="13"/>
      <c r="I64" s="13"/>
      <c r="J64" s="13">
        <v>7</v>
      </c>
      <c r="K64" s="21" t="s">
        <v>5598</v>
      </c>
      <c r="L64" s="13" t="s">
        <v>5599</v>
      </c>
      <c r="M64" s="13"/>
      <c r="N64" s="13">
        <v>1</v>
      </c>
      <c r="O64" s="22">
        <v>201015</v>
      </c>
      <c r="P64" s="22" t="s">
        <v>2418</v>
      </c>
      <c r="R64" s="195"/>
    </row>
    <row r="65" spans="1:18" s="21" customFormat="1" ht="14.4">
      <c r="A65" s="22">
        <v>201016</v>
      </c>
      <c r="B65" s="22" t="s">
        <v>2454</v>
      </c>
      <c r="C65" s="13" t="s">
        <v>1876</v>
      </c>
      <c r="D65" s="13" t="s">
        <v>5367</v>
      </c>
      <c r="E65" s="13"/>
      <c r="F65" s="13"/>
      <c r="G65" s="9" t="s">
        <v>5600</v>
      </c>
      <c r="H65" s="13"/>
      <c r="I65" s="13"/>
      <c r="J65" s="13">
        <v>7</v>
      </c>
      <c r="K65" s="21" t="s">
        <v>5601</v>
      </c>
      <c r="L65" s="13" t="s">
        <v>5602</v>
      </c>
      <c r="M65" s="13"/>
      <c r="N65" s="13">
        <v>1</v>
      </c>
      <c r="O65" s="22">
        <v>201016</v>
      </c>
      <c r="P65" s="22" t="s">
        <v>2454</v>
      </c>
      <c r="R65" s="195"/>
    </row>
    <row r="66" spans="1:18" s="21" customFormat="1" ht="14.4">
      <c r="A66" s="22">
        <v>201017</v>
      </c>
      <c r="B66" s="23" t="s">
        <v>2494</v>
      </c>
      <c r="C66" s="13" t="s">
        <v>1876</v>
      </c>
      <c r="D66" s="13" t="s">
        <v>5526</v>
      </c>
      <c r="E66" s="13"/>
      <c r="F66" s="13"/>
      <c r="G66" s="9" t="s">
        <v>5603</v>
      </c>
      <c r="H66" s="13"/>
      <c r="I66" s="13"/>
      <c r="J66" s="13">
        <v>7</v>
      </c>
      <c r="K66" s="21" t="s">
        <v>5604</v>
      </c>
      <c r="L66" s="13" t="s">
        <v>5605</v>
      </c>
      <c r="M66" s="13"/>
      <c r="N66" s="13">
        <v>0</v>
      </c>
      <c r="O66" s="22">
        <v>201017</v>
      </c>
      <c r="P66" s="22" t="s">
        <v>2494</v>
      </c>
      <c r="R66" s="195"/>
    </row>
    <row r="67" spans="1:18" s="21" customFormat="1" ht="14.4">
      <c r="A67" s="22">
        <v>201018</v>
      </c>
      <c r="B67" s="23" t="s">
        <v>2524</v>
      </c>
      <c r="C67" s="13" t="s">
        <v>1876</v>
      </c>
      <c r="D67" s="13" t="s">
        <v>5367</v>
      </c>
      <c r="E67" s="13"/>
      <c r="F67" s="13"/>
      <c r="G67" s="9" t="s">
        <v>5606</v>
      </c>
      <c r="H67" s="13"/>
      <c r="I67" s="13"/>
      <c r="J67" s="13">
        <v>7</v>
      </c>
      <c r="K67" s="21" t="s">
        <v>5607</v>
      </c>
      <c r="L67" s="13" t="s">
        <v>5608</v>
      </c>
      <c r="M67" s="13"/>
      <c r="N67" s="13">
        <v>1</v>
      </c>
      <c r="O67" s="22">
        <v>201018</v>
      </c>
      <c r="P67" s="22" t="s">
        <v>2524</v>
      </c>
      <c r="R67" s="195"/>
    </row>
    <row r="68" spans="1:18" s="21" customFormat="1" ht="14.4">
      <c r="A68" s="22">
        <v>201019</v>
      </c>
      <c r="B68" s="24" t="s">
        <v>2554</v>
      </c>
      <c r="C68" s="13" t="s">
        <v>1876</v>
      </c>
      <c r="D68" s="13" t="s">
        <v>5425</v>
      </c>
      <c r="E68" s="13"/>
      <c r="F68" s="13"/>
      <c r="G68" s="9" t="s">
        <v>5609</v>
      </c>
      <c r="H68" s="13"/>
      <c r="I68" s="13"/>
      <c r="J68" s="13">
        <v>7</v>
      </c>
      <c r="K68" s="21" t="s">
        <v>5610</v>
      </c>
      <c r="L68" s="13" t="s">
        <v>5611</v>
      </c>
      <c r="M68" s="13"/>
      <c r="N68" s="13">
        <v>0</v>
      </c>
      <c r="O68" s="22">
        <v>201019</v>
      </c>
      <c r="P68" s="22" t="s">
        <v>2554</v>
      </c>
      <c r="R68" s="195"/>
    </row>
    <row r="69" spans="1:18" s="21" customFormat="1" ht="14.4">
      <c r="A69" s="22">
        <v>201020</v>
      </c>
      <c r="B69" s="24" t="s">
        <v>2577</v>
      </c>
      <c r="C69" s="13" t="s">
        <v>1876</v>
      </c>
      <c r="D69" s="204" t="s">
        <v>5413</v>
      </c>
      <c r="E69" s="13"/>
      <c r="F69" s="13"/>
      <c r="G69" s="10" t="s">
        <v>5612</v>
      </c>
      <c r="H69" s="13"/>
      <c r="I69" s="13"/>
      <c r="J69" s="13">
        <v>7</v>
      </c>
      <c r="K69" s="21" t="s">
        <v>5613</v>
      </c>
      <c r="L69" s="13" t="s">
        <v>5614</v>
      </c>
      <c r="M69" s="13"/>
      <c r="N69" s="13">
        <v>0</v>
      </c>
      <c r="O69" s="22">
        <v>201019</v>
      </c>
      <c r="P69" s="22" t="s">
        <v>2554</v>
      </c>
      <c r="R69" s="195"/>
    </row>
    <row r="70" spans="1:18" s="21" customFormat="1" ht="16.8" customHeight="1">
      <c r="A70" s="22">
        <v>301001</v>
      </c>
      <c r="B70" s="13" t="s">
        <v>2599</v>
      </c>
      <c r="C70" s="13" t="s">
        <v>2601</v>
      </c>
      <c r="D70" s="13" t="s">
        <v>5401</v>
      </c>
      <c r="E70" s="13"/>
      <c r="F70" s="13"/>
      <c r="G70" s="9" t="s">
        <v>5615</v>
      </c>
      <c r="H70" s="13"/>
      <c r="I70" s="13"/>
      <c r="J70" s="13">
        <v>8</v>
      </c>
      <c r="K70" s="201" t="s">
        <v>5616</v>
      </c>
      <c r="L70" s="13" t="s">
        <v>5617</v>
      </c>
      <c r="M70" s="13"/>
      <c r="N70" s="13">
        <v>0</v>
      </c>
      <c r="O70" s="22">
        <v>301001</v>
      </c>
      <c r="P70" s="22" t="s">
        <v>2599</v>
      </c>
      <c r="R70" s="195"/>
    </row>
    <row r="71" spans="1:18" s="21" customFormat="1" ht="16.8" customHeight="1">
      <c r="A71" s="22">
        <v>301002</v>
      </c>
      <c r="B71" s="13" t="s">
        <v>2639</v>
      </c>
      <c r="C71" s="13" t="s">
        <v>2601</v>
      </c>
      <c r="D71" s="13" t="s">
        <v>5367</v>
      </c>
      <c r="E71" s="13"/>
      <c r="F71" s="13"/>
      <c r="G71" s="9" t="s">
        <v>5618</v>
      </c>
      <c r="H71" s="13"/>
      <c r="I71" s="13"/>
      <c r="J71" s="13">
        <v>8</v>
      </c>
      <c r="K71" s="13" t="s">
        <v>5619</v>
      </c>
      <c r="L71" s="13" t="s">
        <v>5620</v>
      </c>
      <c r="M71" s="13"/>
      <c r="N71" s="13">
        <v>1</v>
      </c>
      <c r="O71" s="22">
        <v>301002</v>
      </c>
      <c r="P71" s="22" t="s">
        <v>2639</v>
      </c>
      <c r="R71" s="195"/>
    </row>
    <row r="72" spans="1:18" s="21" customFormat="1" ht="16.8" customHeight="1">
      <c r="A72" s="22">
        <v>301003</v>
      </c>
      <c r="B72" s="13" t="s">
        <v>2676</v>
      </c>
      <c r="C72" s="13" t="s">
        <v>2601</v>
      </c>
      <c r="D72" s="13" t="s">
        <v>5367</v>
      </c>
      <c r="E72" s="13"/>
      <c r="F72" s="13"/>
      <c r="G72" s="9" t="s">
        <v>5621</v>
      </c>
      <c r="H72" s="13"/>
      <c r="I72" s="13"/>
      <c r="J72" s="13">
        <v>8</v>
      </c>
      <c r="K72" s="13" t="s">
        <v>5622</v>
      </c>
      <c r="L72" s="13" t="s">
        <v>5623</v>
      </c>
      <c r="M72" s="13"/>
      <c r="N72" s="13">
        <v>0</v>
      </c>
      <c r="O72" s="22">
        <v>301003</v>
      </c>
      <c r="P72" s="22" t="s">
        <v>2676</v>
      </c>
      <c r="R72" s="195"/>
    </row>
    <row r="73" spans="1:18" s="21" customFormat="1" ht="16.8" customHeight="1">
      <c r="A73" s="22">
        <v>301004</v>
      </c>
      <c r="B73" s="13" t="s">
        <v>2708</v>
      </c>
      <c r="C73" s="13" t="s">
        <v>2601</v>
      </c>
      <c r="D73" s="13" t="s">
        <v>5367</v>
      </c>
      <c r="E73" s="13"/>
      <c r="F73" s="13"/>
      <c r="G73" s="9" t="s">
        <v>5624</v>
      </c>
      <c r="H73" s="13"/>
      <c r="I73" s="13"/>
      <c r="J73" s="13">
        <v>8</v>
      </c>
      <c r="K73" s="13" t="s">
        <v>5625</v>
      </c>
      <c r="L73" s="13" t="s">
        <v>5626</v>
      </c>
      <c r="M73" s="13"/>
      <c r="N73" s="13">
        <v>1</v>
      </c>
      <c r="O73" s="22">
        <v>301004</v>
      </c>
      <c r="P73" s="22" t="s">
        <v>2708</v>
      </c>
      <c r="R73" s="195"/>
    </row>
    <row r="74" spans="1:18" s="21" customFormat="1" ht="16.8" customHeight="1">
      <c r="A74" s="22">
        <v>301005</v>
      </c>
      <c r="B74" s="13" t="s">
        <v>2745</v>
      </c>
      <c r="C74" s="13" t="s">
        <v>2601</v>
      </c>
      <c r="D74" s="13" t="s">
        <v>5367</v>
      </c>
      <c r="E74" s="13"/>
      <c r="F74" s="13"/>
      <c r="G74" s="9" t="s">
        <v>5627</v>
      </c>
      <c r="H74" s="13"/>
      <c r="I74" s="13"/>
      <c r="J74" s="13">
        <v>8</v>
      </c>
      <c r="K74" s="13" t="s">
        <v>5628</v>
      </c>
      <c r="L74" s="13" t="s">
        <v>5629</v>
      </c>
      <c r="M74" s="13"/>
      <c r="N74" s="13">
        <v>1</v>
      </c>
      <c r="O74" s="22">
        <v>301005</v>
      </c>
      <c r="P74" s="22" t="s">
        <v>2745</v>
      </c>
      <c r="R74" s="195"/>
    </row>
    <row r="75" spans="1:18" s="21" customFormat="1" ht="16.8" customHeight="1">
      <c r="A75" s="22">
        <v>301006</v>
      </c>
      <c r="B75" s="13" t="s">
        <v>2782</v>
      </c>
      <c r="C75" s="13" t="s">
        <v>2601</v>
      </c>
      <c r="D75" s="13" t="s">
        <v>5367</v>
      </c>
      <c r="E75" s="13"/>
      <c r="F75" s="13"/>
      <c r="G75" s="9" t="s">
        <v>5630</v>
      </c>
      <c r="H75" s="13"/>
      <c r="I75" s="13"/>
      <c r="J75" s="13">
        <v>8</v>
      </c>
      <c r="K75" s="13" t="s">
        <v>5631</v>
      </c>
      <c r="L75" s="13" t="s">
        <v>5632</v>
      </c>
      <c r="M75" s="13"/>
      <c r="N75" s="13">
        <v>0</v>
      </c>
      <c r="O75" s="22">
        <v>301006</v>
      </c>
      <c r="P75" s="22" t="s">
        <v>2782</v>
      </c>
      <c r="R75" s="195"/>
    </row>
    <row r="76" spans="1:18" s="21" customFormat="1" ht="16.8" customHeight="1">
      <c r="A76" s="22">
        <v>301007</v>
      </c>
      <c r="B76" s="12" t="s">
        <v>2820</v>
      </c>
      <c r="C76" s="13" t="s">
        <v>2601</v>
      </c>
      <c r="D76" s="13" t="s">
        <v>5379</v>
      </c>
      <c r="E76" s="13"/>
      <c r="F76" s="13"/>
      <c r="G76" s="9" t="s">
        <v>5633</v>
      </c>
      <c r="H76" s="13"/>
      <c r="I76" s="13"/>
      <c r="J76" s="13">
        <v>8</v>
      </c>
      <c r="K76" s="13" t="s">
        <v>5634</v>
      </c>
      <c r="L76" s="13" t="s">
        <v>5635</v>
      </c>
      <c r="M76" s="13"/>
      <c r="N76" s="13">
        <v>0</v>
      </c>
      <c r="O76" s="22">
        <v>301007</v>
      </c>
      <c r="P76" s="22" t="s">
        <v>2820</v>
      </c>
      <c r="R76" s="195"/>
    </row>
    <row r="77" spans="1:18" s="21" customFormat="1" ht="16.8" customHeight="1">
      <c r="A77" s="22">
        <v>301008</v>
      </c>
      <c r="B77" s="12" t="s">
        <v>2855</v>
      </c>
      <c r="C77" s="13" t="s">
        <v>2601</v>
      </c>
      <c r="D77" s="13" t="s">
        <v>5526</v>
      </c>
      <c r="E77" s="13"/>
      <c r="F77" s="13"/>
      <c r="G77" s="9" t="s">
        <v>5636</v>
      </c>
      <c r="H77" s="13"/>
      <c r="I77" s="13"/>
      <c r="J77" s="13">
        <v>8</v>
      </c>
      <c r="K77" s="13" t="s">
        <v>5637</v>
      </c>
      <c r="L77" s="13" t="s">
        <v>5638</v>
      </c>
      <c r="M77" s="13"/>
      <c r="N77" s="13">
        <v>0</v>
      </c>
      <c r="O77" s="22">
        <v>301008</v>
      </c>
      <c r="P77" s="22" t="s">
        <v>2855</v>
      </c>
      <c r="R77" s="195"/>
    </row>
    <row r="78" spans="1:18" s="21" customFormat="1" ht="16.8" customHeight="1">
      <c r="A78" s="22">
        <v>301009</v>
      </c>
      <c r="B78" s="12" t="s">
        <v>2891</v>
      </c>
      <c r="C78" s="13" t="s">
        <v>2601</v>
      </c>
      <c r="D78" s="13" t="s">
        <v>5367</v>
      </c>
      <c r="E78" s="13"/>
      <c r="F78" s="13"/>
      <c r="G78" s="9" t="s">
        <v>5639</v>
      </c>
      <c r="H78" s="13"/>
      <c r="I78" s="13"/>
      <c r="J78" s="13">
        <v>8</v>
      </c>
      <c r="K78" s="13" t="s">
        <v>5640</v>
      </c>
      <c r="L78" s="13" t="s">
        <v>5641</v>
      </c>
      <c r="M78" s="13"/>
      <c r="N78" s="13">
        <v>1</v>
      </c>
      <c r="O78" s="22">
        <v>301009</v>
      </c>
      <c r="P78" s="22" t="s">
        <v>2891</v>
      </c>
      <c r="R78" s="195"/>
    </row>
    <row r="79" spans="1:18" s="21" customFormat="1" ht="16.8" customHeight="1">
      <c r="A79" s="22">
        <v>301010</v>
      </c>
      <c r="B79" s="12" t="s">
        <v>2928</v>
      </c>
      <c r="C79" s="13" t="s">
        <v>2601</v>
      </c>
      <c r="D79" s="13" t="s">
        <v>5367</v>
      </c>
      <c r="E79" s="13"/>
      <c r="F79" s="13"/>
      <c r="G79" s="9" t="s">
        <v>5642</v>
      </c>
      <c r="H79" s="13"/>
      <c r="I79" s="13"/>
      <c r="J79" s="13">
        <v>8</v>
      </c>
      <c r="K79" s="13" t="s">
        <v>5643</v>
      </c>
      <c r="L79" s="13" t="s">
        <v>5644</v>
      </c>
      <c r="M79" s="13"/>
      <c r="N79" s="13">
        <v>0</v>
      </c>
      <c r="O79" s="22">
        <v>301010</v>
      </c>
      <c r="P79" s="22" t="s">
        <v>2928</v>
      </c>
      <c r="R79" s="195"/>
    </row>
    <row r="80" spans="1:18" s="21" customFormat="1" ht="16.8" customHeight="1">
      <c r="A80" s="22">
        <v>301011</v>
      </c>
      <c r="B80" s="12" t="s">
        <v>2999</v>
      </c>
      <c r="C80" s="13" t="s">
        <v>2601</v>
      </c>
      <c r="D80" s="13" t="s">
        <v>5367</v>
      </c>
      <c r="E80" s="13"/>
      <c r="F80" s="13"/>
      <c r="G80" s="9" t="s">
        <v>5645</v>
      </c>
      <c r="H80" s="13"/>
      <c r="I80" s="13"/>
      <c r="J80" s="13">
        <v>8</v>
      </c>
      <c r="K80" s="13" t="s">
        <v>5646</v>
      </c>
      <c r="L80" s="13" t="s">
        <v>5647</v>
      </c>
      <c r="M80" s="13"/>
      <c r="N80" s="13">
        <v>0</v>
      </c>
      <c r="O80" s="22">
        <v>301011</v>
      </c>
      <c r="P80" s="22" t="s">
        <v>2999</v>
      </c>
      <c r="R80" s="195"/>
    </row>
    <row r="81" spans="1:18" s="21" customFormat="1" ht="16.8" customHeight="1">
      <c r="A81" s="22">
        <v>301012</v>
      </c>
      <c r="B81" s="13" t="s">
        <v>2965</v>
      </c>
      <c r="C81" s="13" t="s">
        <v>2601</v>
      </c>
      <c r="D81" s="13" t="s">
        <v>5367</v>
      </c>
      <c r="E81" s="13"/>
      <c r="F81" s="13"/>
      <c r="G81" s="9" t="s">
        <v>5648</v>
      </c>
      <c r="H81" s="13"/>
      <c r="I81" s="13"/>
      <c r="J81" s="13">
        <v>8</v>
      </c>
      <c r="K81" s="13" t="s">
        <v>5649</v>
      </c>
      <c r="L81" s="13" t="s">
        <v>5650</v>
      </c>
      <c r="M81" s="13"/>
      <c r="N81" s="13">
        <v>0</v>
      </c>
      <c r="O81" s="22">
        <v>301012</v>
      </c>
      <c r="P81" s="22" t="s">
        <v>2965</v>
      </c>
      <c r="R81" s="195"/>
    </row>
    <row r="82" spans="1:18" s="21" customFormat="1" ht="16.8" customHeight="1">
      <c r="A82" s="22">
        <v>301013</v>
      </c>
      <c r="B82" s="12" t="s">
        <v>3037</v>
      </c>
      <c r="C82" s="13" t="s">
        <v>2601</v>
      </c>
      <c r="D82" s="13" t="s">
        <v>5367</v>
      </c>
      <c r="E82" s="13"/>
      <c r="F82" s="13"/>
      <c r="G82" s="9" t="s">
        <v>5651</v>
      </c>
      <c r="H82" s="13"/>
      <c r="I82" s="13"/>
      <c r="J82" s="13">
        <v>8</v>
      </c>
      <c r="K82" s="13" t="s">
        <v>5652</v>
      </c>
      <c r="L82" s="13" t="s">
        <v>5653</v>
      </c>
      <c r="M82" s="13"/>
      <c r="N82" s="13">
        <v>1</v>
      </c>
      <c r="O82" s="22">
        <v>301013</v>
      </c>
      <c r="P82" s="22" t="s">
        <v>3037</v>
      </c>
      <c r="R82" s="195"/>
    </row>
    <row r="83" spans="1:18" s="21" customFormat="1" ht="16.8" customHeight="1">
      <c r="A83" s="22">
        <v>301014</v>
      </c>
      <c r="B83" s="12" t="s">
        <v>3074</v>
      </c>
      <c r="C83" s="13" t="s">
        <v>2601</v>
      </c>
      <c r="D83" s="13" t="s">
        <v>5367</v>
      </c>
      <c r="E83" s="13"/>
      <c r="F83" s="13"/>
      <c r="G83" s="9" t="s">
        <v>5654</v>
      </c>
      <c r="H83" s="13"/>
      <c r="I83" s="13"/>
      <c r="J83" s="13">
        <v>8</v>
      </c>
      <c r="K83" s="13" t="s">
        <v>5655</v>
      </c>
      <c r="L83" s="13" t="s">
        <v>5656</v>
      </c>
      <c r="M83" s="13"/>
      <c r="N83" s="13">
        <v>1</v>
      </c>
      <c r="O83" s="22">
        <v>301014</v>
      </c>
      <c r="P83" s="22" t="s">
        <v>3074</v>
      </c>
      <c r="R83" s="195"/>
    </row>
    <row r="84" spans="1:18" s="21" customFormat="1" ht="16.8" customHeight="1">
      <c r="A84" s="22">
        <v>301015</v>
      </c>
      <c r="B84" s="12" t="s">
        <v>3111</v>
      </c>
      <c r="C84" s="13" t="s">
        <v>2601</v>
      </c>
      <c r="D84" s="13" t="s">
        <v>5367</v>
      </c>
      <c r="E84" s="13"/>
      <c r="F84" s="13"/>
      <c r="G84" s="9" t="s">
        <v>5657</v>
      </c>
      <c r="H84" s="13"/>
      <c r="I84" s="13"/>
      <c r="J84" s="13">
        <v>8</v>
      </c>
      <c r="K84" s="13" t="s">
        <v>5658</v>
      </c>
      <c r="L84" s="13" t="s">
        <v>5659</v>
      </c>
      <c r="M84" s="13"/>
      <c r="N84" s="13">
        <v>1</v>
      </c>
      <c r="O84" s="22">
        <v>301015</v>
      </c>
      <c r="P84" s="22" t="s">
        <v>3111</v>
      </c>
      <c r="R84" s="195"/>
    </row>
    <row r="85" spans="1:18" s="21" customFormat="1" ht="16.8" customHeight="1">
      <c r="A85" s="22">
        <v>301016</v>
      </c>
      <c r="B85" s="12" t="s">
        <v>3141</v>
      </c>
      <c r="C85" s="13" t="s">
        <v>2601</v>
      </c>
      <c r="D85" s="13" t="s">
        <v>5425</v>
      </c>
      <c r="E85" s="13"/>
      <c r="F85" s="13"/>
      <c r="G85" s="9" t="s">
        <v>5660</v>
      </c>
      <c r="H85" s="13"/>
      <c r="I85" s="13"/>
      <c r="J85" s="13">
        <v>8</v>
      </c>
      <c r="K85" s="13" t="s">
        <v>5661</v>
      </c>
      <c r="L85" s="13" t="s">
        <v>5662</v>
      </c>
      <c r="M85" s="13"/>
      <c r="N85" s="13">
        <v>0</v>
      </c>
      <c r="O85" s="22">
        <v>301016</v>
      </c>
      <c r="P85" s="22" t="s">
        <v>3141</v>
      </c>
      <c r="R85" s="195"/>
    </row>
    <row r="86" spans="1:18" s="21" customFormat="1" ht="16.8" customHeight="1">
      <c r="A86" s="22">
        <v>301017</v>
      </c>
      <c r="B86" s="12" t="s">
        <v>3172</v>
      </c>
      <c r="C86" s="13" t="s">
        <v>2601</v>
      </c>
      <c r="D86" s="204" t="s">
        <v>5413</v>
      </c>
      <c r="E86" s="13"/>
      <c r="F86" s="13"/>
      <c r="G86" s="10" t="s">
        <v>5663</v>
      </c>
      <c r="H86" s="13"/>
      <c r="I86" s="13"/>
      <c r="J86" s="13">
        <v>8</v>
      </c>
      <c r="K86" s="13" t="s">
        <v>5664</v>
      </c>
      <c r="L86" s="13" t="s">
        <v>5665</v>
      </c>
      <c r="M86" s="13"/>
      <c r="N86" s="13">
        <v>0</v>
      </c>
      <c r="O86" s="22">
        <v>301016</v>
      </c>
      <c r="P86" s="22" t="s">
        <v>3141</v>
      </c>
      <c r="R86" s="195"/>
    </row>
    <row r="87" spans="1:18" s="21" customFormat="1" ht="16.8" customHeight="1">
      <c r="A87" s="22">
        <v>501001</v>
      </c>
      <c r="B87" s="13" t="s">
        <v>3528</v>
      </c>
      <c r="C87" s="13" t="s">
        <v>79</v>
      </c>
      <c r="D87" s="13" t="s">
        <v>5367</v>
      </c>
      <c r="E87" s="13"/>
      <c r="F87" s="13" t="s">
        <v>5666</v>
      </c>
      <c r="G87" s="13" t="s">
        <v>5667</v>
      </c>
      <c r="H87" s="13"/>
      <c r="I87" s="13"/>
      <c r="J87" s="13">
        <v>1</v>
      </c>
      <c r="K87" s="202" t="s">
        <v>5668</v>
      </c>
      <c r="L87" s="13" t="s">
        <v>5669</v>
      </c>
      <c r="M87" s="13" t="s">
        <v>5670</v>
      </c>
      <c r="N87" s="13">
        <v>0</v>
      </c>
      <c r="O87" s="22">
        <v>501001</v>
      </c>
      <c r="P87" s="22" t="s">
        <v>3528</v>
      </c>
      <c r="R87" s="195"/>
    </row>
    <row r="88" spans="1:18" s="21" customFormat="1" ht="16.8" customHeight="1">
      <c r="A88" s="22">
        <v>501002</v>
      </c>
      <c r="B88" s="13" t="s">
        <v>3538</v>
      </c>
      <c r="C88" s="13" t="s">
        <v>79</v>
      </c>
      <c r="D88" s="13" t="s">
        <v>5367</v>
      </c>
      <c r="E88" s="13"/>
      <c r="F88" s="13" t="s">
        <v>5671</v>
      </c>
      <c r="G88" s="13">
        <v>5310001</v>
      </c>
      <c r="H88" s="13"/>
      <c r="I88" s="13"/>
      <c r="J88" s="13">
        <v>1</v>
      </c>
      <c r="K88" s="201" t="s">
        <v>5672</v>
      </c>
      <c r="L88" s="13" t="s">
        <v>5673</v>
      </c>
      <c r="M88" s="13" t="s">
        <v>5674</v>
      </c>
      <c r="N88" s="13">
        <v>0</v>
      </c>
      <c r="O88" s="22">
        <v>501002</v>
      </c>
      <c r="P88" s="22" t="s">
        <v>3538</v>
      </c>
      <c r="R88" s="195"/>
    </row>
    <row r="89" spans="1:18" s="21" customFormat="1" ht="16.8" customHeight="1">
      <c r="A89" s="22">
        <v>501003</v>
      </c>
      <c r="B89" s="13" t="s">
        <v>5675</v>
      </c>
      <c r="C89" s="13" t="s">
        <v>1876</v>
      </c>
      <c r="D89" s="13" t="s">
        <v>5367</v>
      </c>
      <c r="E89" s="13"/>
      <c r="F89" s="13"/>
      <c r="G89" s="13"/>
      <c r="H89" s="13"/>
      <c r="I89" s="13"/>
      <c r="J89" s="13"/>
      <c r="K89" s="201"/>
      <c r="L89" s="13"/>
      <c r="M89" s="13"/>
      <c r="N89" s="13">
        <v>0</v>
      </c>
      <c r="O89" s="22">
        <v>501003</v>
      </c>
      <c r="P89" s="22" t="s">
        <v>5675</v>
      </c>
      <c r="R89" s="195"/>
    </row>
    <row r="90" spans="1:18" s="21" customFormat="1" ht="16.8" customHeight="1">
      <c r="A90" s="22">
        <v>501004</v>
      </c>
      <c r="B90" s="13" t="s">
        <v>5676</v>
      </c>
      <c r="C90" s="13" t="s">
        <v>2601</v>
      </c>
      <c r="D90" s="13" t="s">
        <v>5367</v>
      </c>
      <c r="E90" s="13"/>
      <c r="F90" s="13"/>
      <c r="G90" s="13"/>
      <c r="H90" s="13"/>
      <c r="I90" s="13"/>
      <c r="J90" s="13"/>
      <c r="K90" s="201"/>
      <c r="L90" s="13"/>
      <c r="M90" s="13"/>
      <c r="N90" s="13">
        <v>0</v>
      </c>
      <c r="O90" s="22">
        <v>501004</v>
      </c>
      <c r="P90" s="22" t="s">
        <v>5676</v>
      </c>
      <c r="R90" s="195"/>
    </row>
    <row r="91" spans="1:18" s="21" customFormat="1" ht="16.8" customHeight="1">
      <c r="A91" s="22">
        <v>501005</v>
      </c>
      <c r="B91" s="13" t="s">
        <v>5677</v>
      </c>
      <c r="C91" s="13" t="s">
        <v>79</v>
      </c>
      <c r="D91" s="13" t="s">
        <v>5367</v>
      </c>
      <c r="E91" s="13"/>
      <c r="F91" s="13" t="s">
        <v>5678</v>
      </c>
      <c r="G91" s="13">
        <v>9610002</v>
      </c>
      <c r="H91" s="13"/>
      <c r="I91" s="13"/>
      <c r="J91" s="13">
        <v>1</v>
      </c>
      <c r="K91" s="201"/>
      <c r="L91" s="13" t="s">
        <v>5679</v>
      </c>
      <c r="M91" s="13" t="s">
        <v>5674</v>
      </c>
      <c r="N91" s="13">
        <v>0</v>
      </c>
      <c r="O91" s="22">
        <v>501005</v>
      </c>
      <c r="P91" s="22" t="s">
        <v>5677</v>
      </c>
      <c r="R91" s="195"/>
    </row>
    <row r="92" spans="1:18" s="21" customFormat="1" ht="16.8" customHeight="1">
      <c r="A92" s="22">
        <v>501006</v>
      </c>
      <c r="B92" s="13" t="s">
        <v>3549</v>
      </c>
      <c r="C92" s="13" t="s">
        <v>79</v>
      </c>
      <c r="D92" s="13" t="s">
        <v>5367</v>
      </c>
      <c r="E92" s="13"/>
      <c r="F92" s="13" t="s">
        <v>5680</v>
      </c>
      <c r="G92" s="13">
        <v>9410002</v>
      </c>
      <c r="H92" s="13"/>
      <c r="I92" s="13"/>
      <c r="J92" s="13">
        <v>999</v>
      </c>
      <c r="K92" s="202"/>
      <c r="L92" s="13" t="s">
        <v>5669</v>
      </c>
      <c r="M92" s="13" t="s">
        <v>5681</v>
      </c>
      <c r="N92" s="13">
        <v>0</v>
      </c>
      <c r="O92" s="22">
        <v>501006</v>
      </c>
      <c r="P92" s="22" t="s">
        <v>3549</v>
      </c>
      <c r="R92" s="195"/>
    </row>
    <row r="93" spans="1:18" s="21" customFormat="1" ht="16.8" customHeight="1">
      <c r="A93" s="22">
        <v>501007</v>
      </c>
      <c r="B93" s="210" t="s">
        <v>3601</v>
      </c>
      <c r="C93" s="13" t="s">
        <v>79</v>
      </c>
      <c r="D93" s="13" t="s">
        <v>5367</v>
      </c>
      <c r="E93" s="13"/>
      <c r="F93" s="13" t="s">
        <v>5682</v>
      </c>
      <c r="G93" s="13">
        <v>9410001</v>
      </c>
      <c r="H93" s="13"/>
      <c r="I93" s="13"/>
      <c r="J93" s="13">
        <v>999</v>
      </c>
      <c r="K93" s="202"/>
      <c r="L93" s="13" t="s">
        <v>5669</v>
      </c>
      <c r="M93" s="13"/>
      <c r="N93" s="13">
        <v>0</v>
      </c>
      <c r="O93" s="22">
        <v>501007</v>
      </c>
      <c r="P93" s="22" t="s">
        <v>3601</v>
      </c>
      <c r="R93" s="195"/>
    </row>
    <row r="94" spans="1:18" s="21" customFormat="1" ht="16.8" customHeight="1">
      <c r="A94" s="22">
        <v>501008</v>
      </c>
      <c r="B94" s="13" t="s">
        <v>3596</v>
      </c>
      <c r="C94" s="13" t="s">
        <v>79</v>
      </c>
      <c r="D94" s="13" t="s">
        <v>5367</v>
      </c>
      <c r="E94" s="13"/>
      <c r="F94" s="13" t="s">
        <v>5683</v>
      </c>
      <c r="G94" s="13">
        <v>10210002</v>
      </c>
      <c r="H94" s="13"/>
      <c r="I94" s="13"/>
      <c r="J94" s="13">
        <v>999</v>
      </c>
      <c r="K94" s="202"/>
      <c r="L94" s="13" t="s">
        <v>5669</v>
      </c>
      <c r="M94" s="13"/>
      <c r="N94" s="13">
        <v>0</v>
      </c>
      <c r="O94" s="22">
        <v>501008</v>
      </c>
      <c r="P94" s="22" t="s">
        <v>3596</v>
      </c>
      <c r="R94" s="195"/>
    </row>
    <row r="95" spans="1:18" s="21" customFormat="1" ht="16.8" customHeight="1">
      <c r="A95" s="22">
        <v>501009</v>
      </c>
      <c r="B95" s="13" t="s">
        <v>5684</v>
      </c>
      <c r="C95" s="13" t="s">
        <v>79</v>
      </c>
      <c r="D95" s="13" t="s">
        <v>5367</v>
      </c>
      <c r="E95" s="13"/>
      <c r="F95" s="13" t="s">
        <v>5685</v>
      </c>
      <c r="G95" s="13">
        <v>9510002</v>
      </c>
      <c r="H95" s="13"/>
      <c r="I95" s="13"/>
      <c r="J95" s="13">
        <v>999</v>
      </c>
      <c r="K95" s="202"/>
      <c r="L95" s="13" t="s">
        <v>5669</v>
      </c>
      <c r="M95" s="13"/>
      <c r="N95" s="13">
        <v>0</v>
      </c>
      <c r="O95" s="22">
        <v>501009</v>
      </c>
      <c r="P95" s="22" t="s">
        <v>5684</v>
      </c>
      <c r="R95" s="195"/>
    </row>
    <row r="96" spans="1:18" s="21" customFormat="1" ht="16.8" customHeight="1">
      <c r="A96" s="22">
        <v>501010</v>
      </c>
      <c r="B96" s="13" t="s">
        <v>5686</v>
      </c>
      <c r="C96" s="13" t="s">
        <v>79</v>
      </c>
      <c r="D96" s="13" t="s">
        <v>5367</v>
      </c>
      <c r="E96" s="13"/>
      <c r="F96" s="13" t="s">
        <v>5687</v>
      </c>
      <c r="G96" s="13">
        <v>10010002</v>
      </c>
      <c r="H96" s="13"/>
      <c r="I96" s="13"/>
      <c r="J96" s="13">
        <v>999</v>
      </c>
      <c r="K96" s="202"/>
      <c r="L96" s="13" t="s">
        <v>5669</v>
      </c>
      <c r="M96" s="13"/>
      <c r="N96" s="13">
        <v>0</v>
      </c>
      <c r="O96" s="22">
        <v>501010</v>
      </c>
      <c r="P96" s="22" t="s">
        <v>5686</v>
      </c>
      <c r="R96" s="195"/>
    </row>
    <row r="97" spans="1:18" s="21" customFormat="1" ht="16.8" customHeight="1">
      <c r="A97" s="22">
        <v>501011</v>
      </c>
      <c r="B97" s="13" t="s">
        <v>3573</v>
      </c>
      <c r="C97" s="13" t="s">
        <v>79</v>
      </c>
      <c r="D97" s="13" t="s">
        <v>5367</v>
      </c>
      <c r="E97" s="13"/>
      <c r="F97" s="13" t="s">
        <v>5688</v>
      </c>
      <c r="G97" s="13">
        <v>9810002</v>
      </c>
      <c r="H97" s="13"/>
      <c r="I97" s="13"/>
      <c r="J97" s="13">
        <v>999</v>
      </c>
      <c r="K97" s="202"/>
      <c r="L97" s="13" t="s">
        <v>5669</v>
      </c>
      <c r="M97" s="13"/>
      <c r="N97" s="13">
        <v>0</v>
      </c>
      <c r="O97" s="22">
        <v>501011</v>
      </c>
      <c r="P97" s="22" t="s">
        <v>3573</v>
      </c>
      <c r="R97" s="195"/>
    </row>
    <row r="98" spans="1:18" s="21" customFormat="1" ht="16.8" customHeight="1">
      <c r="A98" s="22">
        <v>501012</v>
      </c>
      <c r="B98" s="13" t="s">
        <v>5689</v>
      </c>
      <c r="C98" s="13" t="s">
        <v>79</v>
      </c>
      <c r="D98" s="13" t="s">
        <v>5367</v>
      </c>
      <c r="E98" s="13"/>
      <c r="F98" s="13" t="s">
        <v>5690</v>
      </c>
      <c r="G98" s="13">
        <v>9710002</v>
      </c>
      <c r="H98" s="13"/>
      <c r="I98" s="13"/>
      <c r="J98" s="13">
        <v>999</v>
      </c>
      <c r="K98" s="202"/>
      <c r="L98" s="13" t="s">
        <v>5669</v>
      </c>
      <c r="M98" s="13"/>
      <c r="N98" s="13">
        <v>0</v>
      </c>
      <c r="O98" s="22">
        <v>501012</v>
      </c>
      <c r="P98" s="22" t="s">
        <v>5689</v>
      </c>
      <c r="R98" s="195"/>
    </row>
    <row r="99" spans="1:18" s="21" customFormat="1" ht="16.8" customHeight="1">
      <c r="A99" s="22">
        <v>501013</v>
      </c>
      <c r="B99" s="13" t="s">
        <v>3579</v>
      </c>
      <c r="C99" s="13" t="s">
        <v>79</v>
      </c>
      <c r="D99" s="13" t="s">
        <v>5367</v>
      </c>
      <c r="E99" s="13"/>
      <c r="F99" s="13" t="s">
        <v>5691</v>
      </c>
      <c r="G99" s="13">
        <v>9910002</v>
      </c>
      <c r="H99" s="13"/>
      <c r="I99" s="13"/>
      <c r="J99" s="13">
        <v>999</v>
      </c>
      <c r="K99" s="202"/>
      <c r="L99" s="13" t="s">
        <v>5669</v>
      </c>
      <c r="M99" s="13"/>
      <c r="N99" s="13">
        <v>0</v>
      </c>
      <c r="O99" s="22">
        <v>501013</v>
      </c>
      <c r="P99" s="22" t="s">
        <v>3579</v>
      </c>
      <c r="R99" s="195"/>
    </row>
    <row r="100" spans="1:18" ht="16.8" customHeight="1">
      <c r="A100" s="3">
        <v>501014</v>
      </c>
      <c r="B100" s="18" t="s">
        <v>3591</v>
      </c>
      <c r="C100" s="18" t="s">
        <v>79</v>
      </c>
      <c r="D100" s="18" t="s">
        <v>5367</v>
      </c>
      <c r="E100" s="18"/>
      <c r="F100" s="18" t="s">
        <v>5692</v>
      </c>
      <c r="G100" s="18">
        <v>10110002</v>
      </c>
      <c r="H100" s="18"/>
      <c r="I100" s="18"/>
      <c r="J100" s="18">
        <v>999</v>
      </c>
      <c r="K100" s="203"/>
      <c r="L100" s="18" t="s">
        <v>5669</v>
      </c>
      <c r="M100" s="13"/>
      <c r="N100" s="9">
        <v>0</v>
      </c>
      <c r="O100" s="104">
        <v>501014</v>
      </c>
      <c r="P100" s="104" t="s">
        <v>3591</v>
      </c>
      <c r="R100" s="194"/>
    </row>
    <row r="101" spans="1:18" ht="16.8" customHeight="1">
      <c r="A101" s="3">
        <v>501015</v>
      </c>
      <c r="B101" s="211" t="s">
        <v>3635</v>
      </c>
      <c r="C101" s="18" t="s">
        <v>79</v>
      </c>
      <c r="D101" s="18" t="s">
        <v>5367</v>
      </c>
      <c r="E101" s="18"/>
      <c r="F101" s="18" t="s">
        <v>5693</v>
      </c>
      <c r="G101" s="18">
        <v>10310003</v>
      </c>
      <c r="H101" s="18"/>
      <c r="I101" s="18"/>
      <c r="J101" s="18">
        <v>999</v>
      </c>
      <c r="K101" s="203"/>
      <c r="L101" s="18" t="s">
        <v>5669</v>
      </c>
      <c r="M101" s="13"/>
      <c r="N101" s="9">
        <v>0</v>
      </c>
      <c r="O101" s="104">
        <v>501015</v>
      </c>
      <c r="P101" s="104" t="s">
        <v>3635</v>
      </c>
      <c r="R101" s="194"/>
    </row>
    <row r="102" spans="1:18" ht="16.8" customHeight="1">
      <c r="A102" s="3">
        <v>900000</v>
      </c>
      <c r="B102" s="63" t="s">
        <v>3228</v>
      </c>
      <c r="C102" s="18" t="s">
        <v>3228</v>
      </c>
      <c r="D102" s="18" t="s">
        <v>5367</v>
      </c>
      <c r="E102" s="18"/>
      <c r="F102" s="18"/>
      <c r="G102" s="18">
        <v>9000001</v>
      </c>
      <c r="H102" s="18"/>
      <c r="I102" s="18"/>
      <c r="J102" s="18"/>
      <c r="K102" s="18" t="s">
        <v>5694</v>
      </c>
      <c r="L102" s="18" t="s">
        <v>5695</v>
      </c>
      <c r="N102" s="9">
        <v>0</v>
      </c>
      <c r="O102" s="104">
        <v>900000</v>
      </c>
      <c r="P102" s="104" t="s">
        <v>3228</v>
      </c>
      <c r="R102" s="194"/>
    </row>
  </sheetData>
  <phoneticPr fontId="45" type="noConversion"/>
  <conditionalFormatting sqref="A7">
    <cfRule type="duplicateValues" dxfId="87" priority="2"/>
  </conditionalFormatting>
  <conditionalFormatting sqref="A14">
    <cfRule type="duplicateValues" dxfId="86" priority="5"/>
  </conditionalFormatting>
  <conditionalFormatting sqref="A17">
    <cfRule type="duplicateValues" dxfId="85" priority="6"/>
  </conditionalFormatting>
  <conditionalFormatting sqref="A25">
    <cfRule type="duplicateValues" dxfId="84" priority="15"/>
  </conditionalFormatting>
  <conditionalFormatting sqref="A28">
    <cfRule type="duplicateValues" dxfId="83" priority="1"/>
  </conditionalFormatting>
  <conditionalFormatting sqref="A31">
    <cfRule type="duplicateValues" dxfId="82" priority="12"/>
  </conditionalFormatting>
  <conditionalFormatting sqref="A34">
    <cfRule type="duplicateValues" dxfId="81" priority="14"/>
  </conditionalFormatting>
  <conditionalFormatting sqref="A35">
    <cfRule type="duplicateValues" dxfId="80" priority="4"/>
  </conditionalFormatting>
  <conditionalFormatting sqref="A36">
    <cfRule type="duplicateValues" dxfId="79" priority="3"/>
  </conditionalFormatting>
  <conditionalFormatting sqref="A41:A43">
    <cfRule type="duplicateValues" dxfId="78" priority="524"/>
  </conditionalFormatting>
  <conditionalFormatting sqref="A48:A49">
    <cfRule type="duplicateValues" dxfId="77" priority="13"/>
  </conditionalFormatting>
  <conditionalFormatting sqref="A44:A47 A37:A40 A18:A24 A1:A6 A26:A27 A32:A33 A15:A16 A8:A13 A29:A30 A50:A1048576">
    <cfRule type="duplicateValues" dxfId="76" priority="273"/>
  </conditionalFormatting>
  <pageMargins left="0.75" right="0.75" top="1" bottom="1" header="0.5" footer="0.5"/>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2"/>
  <sheetViews>
    <sheetView zoomScale="85" zoomScaleNormal="85" workbookViewId="0">
      <pane xSplit="3" ySplit="2" topLeftCell="K3" activePane="bottomRight" state="frozenSplit"/>
      <selection pane="topRight"/>
      <selection pane="bottomLeft"/>
      <selection pane="bottomRight" activeCell="M14" sqref="M14"/>
    </sheetView>
  </sheetViews>
  <sheetFormatPr defaultColWidth="8.88671875" defaultRowHeight="20.399999999999999"/>
  <cols>
    <col min="1" max="1" width="20" customWidth="1"/>
    <col min="2" max="2" width="18.21875" customWidth="1"/>
    <col min="3" max="3" width="25.33203125" customWidth="1"/>
    <col min="4" max="4" width="9.5546875" style="182" customWidth="1"/>
    <col min="5" max="5" width="13.5546875" style="182" customWidth="1"/>
    <col min="6" max="6" width="25.109375" style="182" customWidth="1"/>
    <col min="7" max="7" width="101.88671875" style="182" customWidth="1"/>
    <col min="8" max="8" width="29.44140625" style="182" customWidth="1"/>
    <col min="9" max="9" width="39.44140625" style="182" customWidth="1"/>
    <col min="10" max="10" width="22.88671875" style="182" customWidth="1"/>
    <col min="11" max="11" width="105.44140625" customWidth="1"/>
    <col min="12" max="12" width="28.5546875" customWidth="1"/>
    <col min="13" max="13" width="40.77734375" customWidth="1"/>
    <col min="14" max="14" width="37.33203125" style="74" customWidth="1"/>
    <col min="15" max="15" width="20" customWidth="1"/>
    <col min="16" max="16" width="18.21875" customWidth="1"/>
    <col min="17" max="18" width="8.88671875" style="74"/>
  </cols>
  <sheetData>
    <row r="1" spans="1:18" ht="40.799999999999997">
      <c r="A1" s="183" t="s">
        <v>5340</v>
      </c>
      <c r="B1" s="183" t="s">
        <v>5341</v>
      </c>
      <c r="C1" s="183" t="s">
        <v>8</v>
      </c>
      <c r="D1" s="184" t="s">
        <v>5342</v>
      </c>
      <c r="E1" s="185" t="s">
        <v>5343</v>
      </c>
      <c r="F1" s="184" t="s">
        <v>5344</v>
      </c>
      <c r="G1" s="186" t="s">
        <v>5345</v>
      </c>
      <c r="H1" s="184" t="s">
        <v>5346</v>
      </c>
      <c r="I1" s="184" t="s">
        <v>5347</v>
      </c>
      <c r="J1" s="184" t="s">
        <v>6</v>
      </c>
      <c r="K1" s="183" t="s">
        <v>5348</v>
      </c>
      <c r="L1" s="183" t="s">
        <v>77</v>
      </c>
      <c r="M1" s="183" t="s">
        <v>5349</v>
      </c>
      <c r="N1" s="9" t="s">
        <v>5350</v>
      </c>
      <c r="O1" s="183"/>
      <c r="P1" s="183"/>
      <c r="Q1" s="2" t="s">
        <v>5351</v>
      </c>
      <c r="R1" s="2" t="s">
        <v>5352</v>
      </c>
    </row>
    <row r="2" spans="1:18">
      <c r="A2" s="54" t="s">
        <v>5353</v>
      </c>
      <c r="B2" s="54" t="s">
        <v>42</v>
      </c>
      <c r="C2" s="54" t="s">
        <v>50</v>
      </c>
      <c r="D2" s="187" t="s">
        <v>5354</v>
      </c>
      <c r="E2" s="187" t="s">
        <v>5355</v>
      </c>
      <c r="F2" s="187" t="s">
        <v>5356</v>
      </c>
      <c r="G2" s="187" t="s">
        <v>5357</v>
      </c>
      <c r="H2" s="188" t="s">
        <v>5358</v>
      </c>
      <c r="I2" s="188" t="s">
        <v>5359</v>
      </c>
      <c r="J2" s="188" t="s">
        <v>48</v>
      </c>
      <c r="K2" s="56" t="s">
        <v>5360</v>
      </c>
      <c r="L2" s="56" t="s">
        <v>5361</v>
      </c>
      <c r="M2" s="56" t="s">
        <v>5362</v>
      </c>
      <c r="N2" s="9" t="s">
        <v>5363</v>
      </c>
      <c r="O2" s="54"/>
      <c r="P2" s="54"/>
      <c r="Q2" s="193" t="s">
        <v>5364</v>
      </c>
      <c r="R2" s="193" t="s">
        <v>5365</v>
      </c>
    </row>
    <row r="3" spans="1:18" ht="16.8" customHeight="1">
      <c r="A3" s="1">
        <v>101000</v>
      </c>
      <c r="B3" s="57" t="s">
        <v>5696</v>
      </c>
      <c r="C3" s="9" t="s">
        <v>79</v>
      </c>
      <c r="D3" s="9" t="s">
        <v>5367</v>
      </c>
      <c r="E3" s="9">
        <v>1</v>
      </c>
      <c r="F3" s="9" t="s">
        <v>5368</v>
      </c>
      <c r="G3" s="9" t="s">
        <v>5369</v>
      </c>
      <c r="H3" s="9"/>
      <c r="I3" s="9"/>
      <c r="J3" s="9">
        <v>1</v>
      </c>
      <c r="K3" s="69" t="s">
        <v>5697</v>
      </c>
      <c r="L3" s="9" t="s">
        <v>5371</v>
      </c>
      <c r="M3" s="190" t="s">
        <v>5372</v>
      </c>
      <c r="N3" s="9">
        <v>1</v>
      </c>
      <c r="O3" s="1">
        <v>101000</v>
      </c>
      <c r="P3" s="11" t="s">
        <v>5366</v>
      </c>
      <c r="R3" s="194"/>
    </row>
    <row r="4" spans="1:18" ht="16.8" customHeight="1">
      <c r="A4" s="1">
        <v>101001</v>
      </c>
      <c r="B4" s="57" t="s">
        <v>5698</v>
      </c>
      <c r="C4" s="9" t="s">
        <v>79</v>
      </c>
      <c r="D4" s="9" t="s">
        <v>5367</v>
      </c>
      <c r="E4" s="9">
        <v>1</v>
      </c>
      <c r="F4" s="9" t="s">
        <v>5368</v>
      </c>
      <c r="G4" s="9" t="s">
        <v>5373</v>
      </c>
      <c r="H4" s="9" t="s">
        <v>5369</v>
      </c>
      <c r="I4" s="9"/>
      <c r="J4" s="9">
        <v>1</v>
      </c>
      <c r="K4" s="69" t="s">
        <v>5699</v>
      </c>
      <c r="L4" s="9" t="s">
        <v>5375</v>
      </c>
      <c r="M4" s="190" t="s">
        <v>5372</v>
      </c>
      <c r="N4" s="9">
        <v>1</v>
      </c>
      <c r="O4" s="104">
        <v>101001</v>
      </c>
      <c r="P4" s="104" t="s">
        <v>99</v>
      </c>
      <c r="Q4" s="74">
        <v>87</v>
      </c>
      <c r="R4" s="194">
        <v>121</v>
      </c>
    </row>
    <row r="5" spans="1:18" s="52" customFormat="1" ht="16.8" customHeight="1">
      <c r="A5" s="1">
        <v>101002</v>
      </c>
      <c r="B5" s="57" t="s">
        <v>5700</v>
      </c>
      <c r="C5" s="9" t="s">
        <v>79</v>
      </c>
      <c r="D5" s="9" t="s">
        <v>5367</v>
      </c>
      <c r="E5" s="9">
        <v>1</v>
      </c>
      <c r="F5" s="9" t="s">
        <v>5368</v>
      </c>
      <c r="G5" s="9" t="s">
        <v>5376</v>
      </c>
      <c r="H5" s="9" t="s">
        <v>5369</v>
      </c>
      <c r="I5" s="9"/>
      <c r="J5" s="9">
        <v>1</v>
      </c>
      <c r="K5" s="69" t="s">
        <v>5701</v>
      </c>
      <c r="L5" s="9" t="s">
        <v>5378</v>
      </c>
      <c r="M5" s="190" t="s">
        <v>5372</v>
      </c>
      <c r="N5" s="9">
        <v>1</v>
      </c>
      <c r="O5" s="104">
        <v>101002</v>
      </c>
      <c r="P5" s="104" t="s">
        <v>176</v>
      </c>
      <c r="Q5" s="74">
        <v>88</v>
      </c>
      <c r="R5" s="194">
        <v>121</v>
      </c>
    </row>
    <row r="6" spans="1:18" s="52" customFormat="1" ht="16.8" customHeight="1">
      <c r="A6" s="1">
        <v>101003</v>
      </c>
      <c r="B6" s="57" t="s">
        <v>5702</v>
      </c>
      <c r="C6" s="9" t="s">
        <v>79</v>
      </c>
      <c r="D6" s="9" t="s">
        <v>5379</v>
      </c>
      <c r="E6" s="9">
        <v>2</v>
      </c>
      <c r="F6" s="9" t="s">
        <v>5368</v>
      </c>
      <c r="G6" s="9" t="s">
        <v>5380</v>
      </c>
      <c r="H6" s="9" t="s">
        <v>5369</v>
      </c>
      <c r="I6" s="9"/>
      <c r="J6" s="9">
        <v>1</v>
      </c>
      <c r="K6" s="69" t="s">
        <v>5703</v>
      </c>
      <c r="L6" s="9" t="s">
        <v>5382</v>
      </c>
      <c r="M6" s="190" t="s">
        <v>5372</v>
      </c>
      <c r="N6" s="9">
        <v>0</v>
      </c>
      <c r="O6" s="104">
        <v>101003</v>
      </c>
      <c r="P6" s="104" t="s">
        <v>234</v>
      </c>
      <c r="Q6" s="74">
        <v>86</v>
      </c>
      <c r="R6" s="194">
        <v>121</v>
      </c>
    </row>
    <row r="7" spans="1:18" s="52" customFormat="1" ht="16.8" customHeight="1">
      <c r="A7" s="1">
        <v>101004</v>
      </c>
      <c r="B7" s="57" t="s">
        <v>5704</v>
      </c>
      <c r="C7" s="9" t="s">
        <v>79</v>
      </c>
      <c r="D7" s="9" t="s">
        <v>5367</v>
      </c>
      <c r="E7" s="9">
        <v>2</v>
      </c>
      <c r="F7" s="9" t="s">
        <v>5368</v>
      </c>
      <c r="G7" s="9" t="s">
        <v>5383</v>
      </c>
      <c r="H7" s="9" t="s">
        <v>5369</v>
      </c>
      <c r="I7" s="9"/>
      <c r="J7" s="9">
        <v>1</v>
      </c>
      <c r="K7" s="69" t="s">
        <v>5705</v>
      </c>
      <c r="L7" s="10" t="s">
        <v>5385</v>
      </c>
      <c r="M7" s="190" t="s">
        <v>5372</v>
      </c>
      <c r="N7" s="9">
        <v>0</v>
      </c>
      <c r="O7" s="104">
        <v>101003</v>
      </c>
      <c r="P7" s="104" t="s">
        <v>292</v>
      </c>
      <c r="Q7" s="74">
        <v>538</v>
      </c>
      <c r="R7" s="194">
        <v>121</v>
      </c>
    </row>
    <row r="8" spans="1:18" ht="16.8" customHeight="1">
      <c r="A8" s="1">
        <v>102000</v>
      </c>
      <c r="B8" s="57" t="s">
        <v>5706</v>
      </c>
      <c r="C8" s="9" t="s">
        <v>325</v>
      </c>
      <c r="D8" s="9" t="s">
        <v>5367</v>
      </c>
      <c r="E8" s="9">
        <v>1</v>
      </c>
      <c r="F8" s="9" t="s">
        <v>5387</v>
      </c>
      <c r="G8" s="9" t="s">
        <v>5388</v>
      </c>
      <c r="H8" s="9"/>
      <c r="I8" s="9"/>
      <c r="J8" s="9">
        <v>2</v>
      </c>
      <c r="K8" s="69" t="s">
        <v>5707</v>
      </c>
      <c r="L8" s="9" t="s">
        <v>5390</v>
      </c>
      <c r="M8" s="190" t="s">
        <v>5391</v>
      </c>
      <c r="N8" s="9">
        <v>1</v>
      </c>
      <c r="O8" s="1">
        <v>102000</v>
      </c>
      <c r="P8" s="11" t="s">
        <v>5386</v>
      </c>
      <c r="R8" s="194"/>
    </row>
    <row r="9" spans="1:18" ht="16.8" customHeight="1">
      <c r="A9" s="1">
        <v>102001</v>
      </c>
      <c r="B9" s="57" t="s">
        <v>5708</v>
      </c>
      <c r="C9" s="9" t="s">
        <v>325</v>
      </c>
      <c r="D9" s="9" t="s">
        <v>5367</v>
      </c>
      <c r="E9" s="9">
        <v>1</v>
      </c>
      <c r="F9" s="9" t="s">
        <v>5387</v>
      </c>
      <c r="G9" s="9" t="s">
        <v>5392</v>
      </c>
      <c r="H9" s="9" t="s">
        <v>5388</v>
      </c>
      <c r="I9" s="9" t="s">
        <v>5393</v>
      </c>
      <c r="J9" s="9">
        <v>2</v>
      </c>
      <c r="K9" s="69" t="s">
        <v>5709</v>
      </c>
      <c r="L9" s="9" t="s">
        <v>5395</v>
      </c>
      <c r="M9" s="190" t="s">
        <v>5391</v>
      </c>
      <c r="N9" s="9">
        <v>1</v>
      </c>
      <c r="O9" s="104">
        <v>102001</v>
      </c>
      <c r="P9" s="104" t="s">
        <v>338</v>
      </c>
      <c r="Q9" s="74">
        <v>82</v>
      </c>
      <c r="R9" s="194">
        <v>120</v>
      </c>
    </row>
    <row r="10" spans="1:18" ht="16.8" customHeight="1">
      <c r="A10" s="1">
        <v>102002</v>
      </c>
      <c r="B10" s="57" t="s">
        <v>5710</v>
      </c>
      <c r="C10" s="9" t="s">
        <v>325</v>
      </c>
      <c r="D10" s="9" t="s">
        <v>5367</v>
      </c>
      <c r="E10" s="9">
        <v>1</v>
      </c>
      <c r="F10" s="9" t="s">
        <v>5396</v>
      </c>
      <c r="G10" s="9" t="s">
        <v>5397</v>
      </c>
      <c r="H10" s="9" t="s">
        <v>5388</v>
      </c>
      <c r="I10" s="9"/>
      <c r="J10" s="9">
        <v>2</v>
      </c>
      <c r="K10" s="69" t="s">
        <v>5711</v>
      </c>
      <c r="L10" s="9" t="s">
        <v>5399</v>
      </c>
      <c r="M10" s="190" t="s">
        <v>5400</v>
      </c>
      <c r="N10" s="9">
        <v>1</v>
      </c>
      <c r="O10" s="104">
        <v>102002</v>
      </c>
      <c r="P10" s="104" t="s">
        <v>408</v>
      </c>
      <c r="Q10" s="74">
        <v>81</v>
      </c>
      <c r="R10" s="194">
        <v>120</v>
      </c>
    </row>
    <row r="11" spans="1:18" ht="16.8" customHeight="1">
      <c r="A11" s="1">
        <v>102003</v>
      </c>
      <c r="B11" s="57" t="s">
        <v>5712</v>
      </c>
      <c r="C11" s="9" t="s">
        <v>325</v>
      </c>
      <c r="D11" s="9" t="s">
        <v>5401</v>
      </c>
      <c r="E11" s="9">
        <v>1</v>
      </c>
      <c r="F11" s="9" t="s">
        <v>5402</v>
      </c>
      <c r="G11" s="9" t="s">
        <v>5403</v>
      </c>
      <c r="H11" s="9" t="s">
        <v>5388</v>
      </c>
      <c r="I11" s="9"/>
      <c r="J11" s="9">
        <v>2</v>
      </c>
      <c r="K11" s="69" t="s">
        <v>5713</v>
      </c>
      <c r="L11" s="9" t="s">
        <v>5405</v>
      </c>
      <c r="M11" s="190" t="s">
        <v>5406</v>
      </c>
      <c r="N11" s="9">
        <v>0</v>
      </c>
      <c r="O11" s="104">
        <v>102003</v>
      </c>
      <c r="P11" s="104" t="s">
        <v>465</v>
      </c>
      <c r="Q11" s="74">
        <v>83</v>
      </c>
      <c r="R11" s="194">
        <v>120</v>
      </c>
    </row>
    <row r="12" spans="1:18" ht="16.8" customHeight="1">
      <c r="A12" s="1">
        <v>102005</v>
      </c>
      <c r="B12" s="57" t="s">
        <v>5714</v>
      </c>
      <c r="C12" s="9" t="s">
        <v>325</v>
      </c>
      <c r="D12" s="9" t="s">
        <v>5379</v>
      </c>
      <c r="E12" s="9">
        <v>2</v>
      </c>
      <c r="F12" s="9" t="s">
        <v>5387</v>
      </c>
      <c r="G12" s="9" t="s">
        <v>5407</v>
      </c>
      <c r="H12" s="9" t="s">
        <v>5388</v>
      </c>
      <c r="I12" s="9"/>
      <c r="J12" s="9">
        <v>2</v>
      </c>
      <c r="K12" s="69" t="s">
        <v>5715</v>
      </c>
      <c r="L12" s="9" t="s">
        <v>5409</v>
      </c>
      <c r="M12" s="190" t="s">
        <v>5391</v>
      </c>
      <c r="N12" s="9">
        <v>0</v>
      </c>
      <c r="O12" s="104">
        <v>102005</v>
      </c>
      <c r="P12" s="104" t="s">
        <v>525</v>
      </c>
      <c r="Q12" s="74">
        <v>84</v>
      </c>
      <c r="R12" s="194">
        <v>120</v>
      </c>
    </row>
    <row r="13" spans="1:18" s="21" customFormat="1" ht="16.8" customHeight="1">
      <c r="A13" s="22">
        <v>102006</v>
      </c>
      <c r="B13" s="57" t="s">
        <v>5716</v>
      </c>
      <c r="C13" s="13" t="s">
        <v>325</v>
      </c>
      <c r="D13" s="13" t="s">
        <v>5367</v>
      </c>
      <c r="E13" s="13">
        <v>1</v>
      </c>
      <c r="F13" s="13" t="s">
        <v>5387</v>
      </c>
      <c r="G13" s="9" t="s">
        <v>5410</v>
      </c>
      <c r="H13" s="13" t="s">
        <v>5388</v>
      </c>
      <c r="I13" s="13"/>
      <c r="J13" s="13">
        <v>2</v>
      </c>
      <c r="K13" s="69" t="s">
        <v>5717</v>
      </c>
      <c r="L13" s="13" t="s">
        <v>5412</v>
      </c>
      <c r="M13" s="13" t="s">
        <v>5391</v>
      </c>
      <c r="N13" s="13">
        <v>0</v>
      </c>
      <c r="O13" s="22">
        <v>102006</v>
      </c>
      <c r="P13" s="22" t="s">
        <v>579</v>
      </c>
      <c r="Q13" s="21">
        <v>85</v>
      </c>
      <c r="R13" s="195">
        <v>120</v>
      </c>
    </row>
    <row r="14" spans="1:18" s="21" customFormat="1" ht="16.8" customHeight="1">
      <c r="A14" s="22">
        <v>102007</v>
      </c>
      <c r="B14" s="57" t="s">
        <v>5718</v>
      </c>
      <c r="C14" s="13" t="s">
        <v>325</v>
      </c>
      <c r="D14" s="204" t="s">
        <v>5413</v>
      </c>
      <c r="E14" s="13">
        <v>1</v>
      </c>
      <c r="F14" s="13" t="s">
        <v>5387</v>
      </c>
      <c r="G14" s="9" t="s">
        <v>5414</v>
      </c>
      <c r="H14" s="13" t="s">
        <v>5388</v>
      </c>
      <c r="I14" s="13"/>
      <c r="J14" s="13">
        <v>2</v>
      </c>
      <c r="K14" s="69" t="s">
        <v>5719</v>
      </c>
      <c r="L14" s="13" t="s">
        <v>5416</v>
      </c>
      <c r="M14" s="13" t="s">
        <v>5391</v>
      </c>
      <c r="N14" s="13">
        <v>0</v>
      </c>
      <c r="O14" s="22">
        <v>102007</v>
      </c>
      <c r="P14" s="12" t="s">
        <v>622</v>
      </c>
      <c r="Q14" s="74">
        <v>550</v>
      </c>
      <c r="R14" s="194">
        <v>120</v>
      </c>
    </row>
    <row r="15" spans="1:18" ht="16.8" customHeight="1">
      <c r="A15" s="1">
        <v>103000</v>
      </c>
      <c r="B15" s="57" t="s">
        <v>5720</v>
      </c>
      <c r="C15" s="9" t="s">
        <v>655</v>
      </c>
      <c r="D15" s="9" t="s">
        <v>5367</v>
      </c>
      <c r="E15" s="9">
        <v>1</v>
      </c>
      <c r="F15" s="9" t="s">
        <v>5418</v>
      </c>
      <c r="G15" s="9" t="s">
        <v>5419</v>
      </c>
      <c r="H15" s="9"/>
      <c r="I15" s="9"/>
      <c r="J15" s="9">
        <v>3</v>
      </c>
      <c r="K15" s="69" t="s">
        <v>5721</v>
      </c>
      <c r="L15" s="9" t="s">
        <v>5420</v>
      </c>
      <c r="M15" s="190" t="s">
        <v>5421</v>
      </c>
      <c r="N15" s="9">
        <v>1</v>
      </c>
      <c r="O15" s="1">
        <v>103000</v>
      </c>
      <c r="P15" s="11" t="s">
        <v>5417</v>
      </c>
      <c r="R15" s="194"/>
    </row>
    <row r="16" spans="1:18" s="77" customFormat="1" ht="16.8" customHeight="1">
      <c r="A16" s="1">
        <v>103001</v>
      </c>
      <c r="B16" s="57" t="s">
        <v>5722</v>
      </c>
      <c r="C16" s="9" t="s">
        <v>655</v>
      </c>
      <c r="D16" s="9" t="s">
        <v>5367</v>
      </c>
      <c r="E16" s="9">
        <v>1</v>
      </c>
      <c r="F16" s="9" t="s">
        <v>5418</v>
      </c>
      <c r="G16" s="9" t="s">
        <v>5422</v>
      </c>
      <c r="H16" s="9" t="s">
        <v>5419</v>
      </c>
      <c r="I16" s="9"/>
      <c r="J16" s="9">
        <v>3</v>
      </c>
      <c r="K16" s="69" t="s">
        <v>5723</v>
      </c>
      <c r="L16" s="9" t="s">
        <v>5424</v>
      </c>
      <c r="M16" s="190" t="s">
        <v>5421</v>
      </c>
      <c r="N16" s="9">
        <v>1</v>
      </c>
      <c r="O16" s="104">
        <v>103001</v>
      </c>
      <c r="P16" s="104" t="s">
        <v>668</v>
      </c>
      <c r="Q16" s="74">
        <v>89</v>
      </c>
      <c r="R16" s="194">
        <v>123</v>
      </c>
    </row>
    <row r="17" spans="1:19" s="77" customFormat="1" ht="16.8" customHeight="1">
      <c r="A17" s="1">
        <v>103002</v>
      </c>
      <c r="B17" s="57" t="s">
        <v>5724</v>
      </c>
      <c r="C17" s="9" t="s">
        <v>655</v>
      </c>
      <c r="D17" s="9" t="s">
        <v>5425</v>
      </c>
      <c r="E17" s="9">
        <v>1</v>
      </c>
      <c r="F17" s="9" t="s">
        <v>5418</v>
      </c>
      <c r="G17" s="9" t="s">
        <v>5426</v>
      </c>
      <c r="H17" s="9" t="s">
        <v>5419</v>
      </c>
      <c r="I17" s="9"/>
      <c r="J17" s="9">
        <v>3</v>
      </c>
      <c r="K17" s="69" t="s">
        <v>5725</v>
      </c>
      <c r="L17" s="9" t="s">
        <v>5428</v>
      </c>
      <c r="M17" s="190" t="s">
        <v>5421</v>
      </c>
      <c r="N17" s="9">
        <v>1</v>
      </c>
      <c r="O17" s="104">
        <v>103002</v>
      </c>
      <c r="P17" s="104" t="s">
        <v>722</v>
      </c>
      <c r="Q17" s="74">
        <v>119</v>
      </c>
      <c r="R17" s="194">
        <v>123</v>
      </c>
    </row>
    <row r="18" spans="1:19" s="18" customFormat="1" ht="16.8" customHeight="1">
      <c r="A18" s="1">
        <v>104000</v>
      </c>
      <c r="B18" s="57" t="s">
        <v>5726</v>
      </c>
      <c r="C18" s="9" t="s">
        <v>765</v>
      </c>
      <c r="D18" s="9" t="s">
        <v>5367</v>
      </c>
      <c r="E18" s="9">
        <v>1</v>
      </c>
      <c r="F18" s="9" t="s">
        <v>5430</v>
      </c>
      <c r="G18" s="9" t="s">
        <v>5431</v>
      </c>
      <c r="H18" s="9"/>
      <c r="I18" s="9"/>
      <c r="J18" s="9">
        <v>4</v>
      </c>
      <c r="K18" s="69" t="s">
        <v>5727</v>
      </c>
      <c r="L18" s="9" t="s">
        <v>5433</v>
      </c>
      <c r="M18" s="190" t="s">
        <v>5434</v>
      </c>
      <c r="N18" s="9">
        <v>1</v>
      </c>
      <c r="O18" s="1">
        <v>104000</v>
      </c>
      <c r="P18" s="11" t="s">
        <v>5429</v>
      </c>
      <c r="Q18" s="74"/>
      <c r="R18" s="194"/>
      <c r="S18" s="196"/>
    </row>
    <row r="19" spans="1:19" s="18" customFormat="1" ht="16.8" customHeight="1">
      <c r="A19" s="1">
        <v>104001</v>
      </c>
      <c r="B19" s="57" t="s">
        <v>5728</v>
      </c>
      <c r="C19" s="9" t="s">
        <v>765</v>
      </c>
      <c r="D19" s="9" t="s">
        <v>5367</v>
      </c>
      <c r="E19" s="9">
        <v>1</v>
      </c>
      <c r="F19" s="9" t="s">
        <v>5430</v>
      </c>
      <c r="G19" s="9" t="s">
        <v>5435</v>
      </c>
      <c r="H19" s="9" t="s">
        <v>5436</v>
      </c>
      <c r="I19" s="9"/>
      <c r="J19" s="9">
        <v>4</v>
      </c>
      <c r="K19" s="59" t="s">
        <v>5729</v>
      </c>
      <c r="L19" s="9" t="s">
        <v>5438</v>
      </c>
      <c r="M19" s="190" t="s">
        <v>5434</v>
      </c>
      <c r="N19" s="9">
        <v>1</v>
      </c>
      <c r="O19" s="104">
        <v>104001</v>
      </c>
      <c r="P19" s="104" t="s">
        <v>782</v>
      </c>
      <c r="Q19" s="74">
        <v>90</v>
      </c>
      <c r="R19" s="194">
        <v>122</v>
      </c>
      <c r="S19" s="196"/>
    </row>
    <row r="20" spans="1:19" s="18" customFormat="1" ht="16.8" customHeight="1">
      <c r="A20" s="1">
        <v>104002</v>
      </c>
      <c r="B20" s="57" t="s">
        <v>5730</v>
      </c>
      <c r="C20" s="9" t="s">
        <v>765</v>
      </c>
      <c r="D20" s="9" t="s">
        <v>5367</v>
      </c>
      <c r="E20" s="9">
        <v>1</v>
      </c>
      <c r="F20" s="9" t="s">
        <v>5430</v>
      </c>
      <c r="G20" s="9" t="s">
        <v>5439</v>
      </c>
      <c r="H20" s="9" t="s">
        <v>5436</v>
      </c>
      <c r="I20" s="9"/>
      <c r="J20" s="9">
        <v>4</v>
      </c>
      <c r="K20" s="59" t="s">
        <v>5731</v>
      </c>
      <c r="L20" s="9" t="s">
        <v>5441</v>
      </c>
      <c r="M20" s="190" t="s">
        <v>5434</v>
      </c>
      <c r="N20" s="9">
        <v>1</v>
      </c>
      <c r="O20" s="104">
        <v>104002</v>
      </c>
      <c r="P20" s="104" t="s">
        <v>836</v>
      </c>
      <c r="Q20" s="74">
        <v>91</v>
      </c>
      <c r="R20" s="194">
        <v>122</v>
      </c>
      <c r="S20" s="196"/>
    </row>
    <row r="21" spans="1:19" ht="16.8" customHeight="1">
      <c r="A21" s="1">
        <v>104003</v>
      </c>
      <c r="B21" s="57" t="s">
        <v>5732</v>
      </c>
      <c r="C21" s="9" t="s">
        <v>765</v>
      </c>
      <c r="D21" s="9" t="s">
        <v>5367</v>
      </c>
      <c r="E21" s="9">
        <v>1</v>
      </c>
      <c r="F21" s="9" t="s">
        <v>5430</v>
      </c>
      <c r="G21" s="9" t="s">
        <v>5442</v>
      </c>
      <c r="H21" s="9" t="s">
        <v>5436</v>
      </c>
      <c r="I21" s="9"/>
      <c r="J21" s="9">
        <v>4</v>
      </c>
      <c r="K21" s="59" t="s">
        <v>5733</v>
      </c>
      <c r="L21" s="9" t="s">
        <v>5444</v>
      </c>
      <c r="M21" s="190" t="s">
        <v>5434</v>
      </c>
      <c r="N21" s="9">
        <v>1</v>
      </c>
      <c r="O21" s="104">
        <v>104003</v>
      </c>
      <c r="P21" s="104" t="s">
        <v>897</v>
      </c>
      <c r="Q21" s="74">
        <v>92</v>
      </c>
      <c r="R21" s="194">
        <v>122</v>
      </c>
    </row>
    <row r="22" spans="1:19" ht="16.8" customHeight="1">
      <c r="A22" s="1">
        <v>104004</v>
      </c>
      <c r="B22" s="57" t="s">
        <v>5734</v>
      </c>
      <c r="C22" s="9" t="s">
        <v>765</v>
      </c>
      <c r="D22" s="9" t="s">
        <v>5425</v>
      </c>
      <c r="E22" s="9">
        <v>1</v>
      </c>
      <c r="F22" s="9" t="s">
        <v>5430</v>
      </c>
      <c r="G22" s="9" t="s">
        <v>5445</v>
      </c>
      <c r="H22" s="9" t="s">
        <v>5436</v>
      </c>
      <c r="I22" s="9"/>
      <c r="J22" s="9">
        <v>4</v>
      </c>
      <c r="K22" s="59" t="s">
        <v>5735</v>
      </c>
      <c r="L22" s="9" t="s">
        <v>5447</v>
      </c>
      <c r="M22" s="190" t="s">
        <v>5434</v>
      </c>
      <c r="N22" s="9">
        <v>1</v>
      </c>
      <c r="O22" s="104">
        <v>104004</v>
      </c>
      <c r="P22" s="104" t="s">
        <v>954</v>
      </c>
      <c r="Q22" s="74">
        <v>502</v>
      </c>
      <c r="R22" s="194">
        <v>122</v>
      </c>
    </row>
    <row r="23" spans="1:19" ht="16.8" customHeight="1">
      <c r="A23" s="1">
        <v>105000</v>
      </c>
      <c r="B23" s="57" t="s">
        <v>5736</v>
      </c>
      <c r="C23" s="9" t="s">
        <v>1077</v>
      </c>
      <c r="D23" s="9" t="s">
        <v>5367</v>
      </c>
      <c r="E23" s="9">
        <v>2</v>
      </c>
      <c r="F23" s="9" t="s">
        <v>5449</v>
      </c>
      <c r="G23" s="9" t="s">
        <v>5450</v>
      </c>
      <c r="H23" s="9"/>
      <c r="I23" s="9"/>
      <c r="J23" s="9">
        <v>5</v>
      </c>
      <c r="K23" s="59" t="s">
        <v>5737</v>
      </c>
      <c r="L23" s="9" t="s">
        <v>5452</v>
      </c>
      <c r="M23" s="190" t="s">
        <v>5453</v>
      </c>
      <c r="N23" s="9">
        <v>1</v>
      </c>
      <c r="O23" s="1">
        <v>105000</v>
      </c>
      <c r="P23" s="11" t="s">
        <v>5448</v>
      </c>
      <c r="R23" s="194"/>
    </row>
    <row r="24" spans="1:19" ht="16.8" customHeight="1">
      <c r="A24" s="1">
        <v>105001</v>
      </c>
      <c r="B24" s="57" t="s">
        <v>5738</v>
      </c>
      <c r="C24" s="9" t="s">
        <v>1077</v>
      </c>
      <c r="D24" s="9" t="s">
        <v>5401</v>
      </c>
      <c r="E24" s="9">
        <v>2</v>
      </c>
      <c r="F24" s="9" t="s">
        <v>5449</v>
      </c>
      <c r="G24" s="9" t="s">
        <v>5454</v>
      </c>
      <c r="H24" s="9" t="s">
        <v>5450</v>
      </c>
      <c r="I24" s="9"/>
      <c r="J24" s="9">
        <v>5</v>
      </c>
      <c r="K24" s="59" t="s">
        <v>5739</v>
      </c>
      <c r="L24" s="9" t="s">
        <v>5456</v>
      </c>
      <c r="M24" s="190" t="s">
        <v>5453</v>
      </c>
      <c r="N24" s="9">
        <v>0</v>
      </c>
      <c r="O24" s="104">
        <v>105001</v>
      </c>
      <c r="P24" s="104" t="s">
        <v>1024</v>
      </c>
      <c r="Q24" s="74">
        <v>93</v>
      </c>
      <c r="R24" s="194">
        <v>126</v>
      </c>
    </row>
    <row r="25" spans="1:19" s="181" customFormat="1" ht="16.8" customHeight="1">
      <c r="A25" s="189">
        <v>105002</v>
      </c>
      <c r="B25" s="57" t="s">
        <v>5740</v>
      </c>
      <c r="C25" s="15" t="s">
        <v>1077</v>
      </c>
      <c r="D25" s="15" t="s">
        <v>5367</v>
      </c>
      <c r="E25" s="15">
        <v>2</v>
      </c>
      <c r="F25" s="15" t="s">
        <v>5449</v>
      </c>
      <c r="G25" s="9" t="s">
        <v>5457</v>
      </c>
      <c r="H25" s="15" t="s">
        <v>5450</v>
      </c>
      <c r="I25" s="15"/>
      <c r="J25" s="15">
        <v>5</v>
      </c>
      <c r="K25" s="59" t="s">
        <v>5741</v>
      </c>
      <c r="L25" s="15" t="s">
        <v>5459</v>
      </c>
      <c r="M25" s="191" t="s">
        <v>5453</v>
      </c>
      <c r="N25" s="15">
        <v>1</v>
      </c>
      <c r="O25" s="189">
        <v>105002</v>
      </c>
      <c r="P25" s="189" t="s">
        <v>1081</v>
      </c>
      <c r="Q25" s="181">
        <v>4115</v>
      </c>
      <c r="R25" s="197">
        <v>126</v>
      </c>
    </row>
    <row r="26" spans="1:19" ht="16.8" customHeight="1">
      <c r="A26" s="1">
        <v>106000</v>
      </c>
      <c r="B26" s="57" t="s">
        <v>5742</v>
      </c>
      <c r="C26" s="9" t="s">
        <v>1129</v>
      </c>
      <c r="D26" s="9" t="s">
        <v>5367</v>
      </c>
      <c r="E26" s="9">
        <v>2</v>
      </c>
      <c r="F26" s="9" t="s">
        <v>5461</v>
      </c>
      <c r="G26" s="9" t="s">
        <v>5462</v>
      </c>
      <c r="H26" s="9"/>
      <c r="I26" s="9"/>
      <c r="J26" s="9">
        <v>6</v>
      </c>
      <c r="K26" s="59" t="s">
        <v>5743</v>
      </c>
      <c r="L26" s="9" t="s">
        <v>5464</v>
      </c>
      <c r="M26" s="190" t="s">
        <v>5465</v>
      </c>
      <c r="N26" s="9">
        <v>1</v>
      </c>
      <c r="O26" s="1">
        <v>106000</v>
      </c>
      <c r="P26" s="11" t="s">
        <v>5460</v>
      </c>
      <c r="R26" s="194"/>
    </row>
    <row r="27" spans="1:19" ht="16.8" customHeight="1">
      <c r="A27" s="1">
        <v>106001</v>
      </c>
      <c r="B27" s="57" t="s">
        <v>5744</v>
      </c>
      <c r="C27" s="9" t="s">
        <v>1129</v>
      </c>
      <c r="D27" s="9" t="s">
        <v>5367</v>
      </c>
      <c r="E27" s="9">
        <v>2</v>
      </c>
      <c r="F27" s="9" t="s">
        <v>5461</v>
      </c>
      <c r="G27" s="9" t="s">
        <v>5466</v>
      </c>
      <c r="H27" s="9" t="s">
        <v>5462</v>
      </c>
      <c r="I27" s="9"/>
      <c r="J27" s="9">
        <v>6</v>
      </c>
      <c r="K27" s="59" t="s">
        <v>5745</v>
      </c>
      <c r="L27" s="9" t="s">
        <v>5468</v>
      </c>
      <c r="M27" s="190" t="s">
        <v>5465</v>
      </c>
      <c r="N27" s="9">
        <v>1</v>
      </c>
      <c r="O27" s="104">
        <v>106001</v>
      </c>
      <c r="P27" s="104" t="s">
        <v>1142</v>
      </c>
      <c r="Q27" s="74">
        <v>94</v>
      </c>
      <c r="R27" s="194">
        <v>127</v>
      </c>
    </row>
    <row r="28" spans="1:19" ht="16.8" customHeight="1">
      <c r="A28" s="1">
        <v>106002</v>
      </c>
      <c r="B28" s="57" t="s">
        <v>5746</v>
      </c>
      <c r="C28" s="9" t="s">
        <v>1129</v>
      </c>
      <c r="D28" s="204" t="s">
        <v>5413</v>
      </c>
      <c r="E28" s="9">
        <v>1</v>
      </c>
      <c r="F28" s="9" t="s">
        <v>5461</v>
      </c>
      <c r="G28" s="9" t="s">
        <v>5469</v>
      </c>
      <c r="H28" s="9" t="s">
        <v>5462</v>
      </c>
      <c r="I28" s="9"/>
      <c r="J28" s="9">
        <v>6</v>
      </c>
      <c r="K28" s="59" t="s">
        <v>5747</v>
      </c>
      <c r="L28" s="10" t="s">
        <v>5471</v>
      </c>
      <c r="M28" s="190" t="s">
        <v>5465</v>
      </c>
      <c r="N28" s="9">
        <v>0</v>
      </c>
      <c r="O28" s="104">
        <v>106001</v>
      </c>
      <c r="P28" s="104" t="s">
        <v>1142</v>
      </c>
      <c r="Q28" s="74">
        <v>562</v>
      </c>
      <c r="R28" s="194">
        <v>127</v>
      </c>
    </row>
    <row r="29" spans="1:19" ht="16.8" customHeight="1">
      <c r="A29" s="1">
        <v>109000</v>
      </c>
      <c r="B29" s="57" t="s">
        <v>5748</v>
      </c>
      <c r="C29" s="9" t="s">
        <v>1227</v>
      </c>
      <c r="D29" s="9" t="s">
        <v>5367</v>
      </c>
      <c r="E29" s="9">
        <v>1</v>
      </c>
      <c r="F29" s="9" t="s">
        <v>5473</v>
      </c>
      <c r="G29" s="9" t="s">
        <v>5474</v>
      </c>
      <c r="H29" s="9" t="s">
        <v>5474</v>
      </c>
      <c r="I29" s="9"/>
      <c r="J29" s="9">
        <v>9</v>
      </c>
      <c r="K29" s="59" t="s">
        <v>5749</v>
      </c>
      <c r="L29" s="9" t="s">
        <v>5476</v>
      </c>
      <c r="M29" s="9" t="s">
        <v>5477</v>
      </c>
      <c r="N29" s="9">
        <v>1</v>
      </c>
      <c r="O29" s="1">
        <v>109000</v>
      </c>
      <c r="P29" s="11" t="s">
        <v>5472</v>
      </c>
      <c r="R29" s="194"/>
    </row>
    <row r="30" spans="1:19" ht="16.8" customHeight="1">
      <c r="A30" s="1">
        <v>109001</v>
      </c>
      <c r="B30" s="57" t="s">
        <v>5750</v>
      </c>
      <c r="C30" s="9" t="s">
        <v>1227</v>
      </c>
      <c r="D30" s="9" t="s">
        <v>5367</v>
      </c>
      <c r="E30" s="9">
        <v>1</v>
      </c>
      <c r="F30" s="9" t="s">
        <v>5473</v>
      </c>
      <c r="G30" s="9" t="s">
        <v>5478</v>
      </c>
      <c r="H30" s="9" t="s">
        <v>5474</v>
      </c>
      <c r="I30" s="9"/>
      <c r="J30" s="9">
        <v>9</v>
      </c>
      <c r="K30" s="59" t="s">
        <v>5751</v>
      </c>
      <c r="L30" s="9" t="s">
        <v>5480</v>
      </c>
      <c r="M30" s="9" t="s">
        <v>5477</v>
      </c>
      <c r="N30" s="9">
        <v>1</v>
      </c>
      <c r="O30" s="104">
        <v>109001</v>
      </c>
      <c r="P30" s="104" t="s">
        <v>1240</v>
      </c>
      <c r="Q30" s="74">
        <v>95</v>
      </c>
      <c r="R30" s="194">
        <v>125</v>
      </c>
    </row>
    <row r="31" spans="1:19" s="181" customFormat="1" ht="16.8" customHeight="1">
      <c r="A31" s="189">
        <v>109002</v>
      </c>
      <c r="B31" s="57" t="s">
        <v>5752</v>
      </c>
      <c r="C31" s="15" t="s">
        <v>1227</v>
      </c>
      <c r="D31" s="15" t="s">
        <v>5367</v>
      </c>
      <c r="E31" s="15">
        <v>1</v>
      </c>
      <c r="F31" s="15" t="s">
        <v>5473</v>
      </c>
      <c r="G31" s="9" t="s">
        <v>5481</v>
      </c>
      <c r="H31" s="15" t="s">
        <v>5474</v>
      </c>
      <c r="I31" s="15"/>
      <c r="J31" s="15">
        <v>9</v>
      </c>
      <c r="K31" s="59" t="s">
        <v>5753</v>
      </c>
      <c r="L31" s="15" t="s">
        <v>5483</v>
      </c>
      <c r="M31" s="15" t="s">
        <v>5477</v>
      </c>
      <c r="N31" s="15">
        <v>1</v>
      </c>
      <c r="O31" s="189">
        <v>109002</v>
      </c>
      <c r="P31" s="189" t="s">
        <v>1297</v>
      </c>
      <c r="Q31" s="181">
        <v>4117</v>
      </c>
      <c r="R31" s="198">
        <v>125</v>
      </c>
    </row>
    <row r="32" spans="1:19" ht="16.8" customHeight="1">
      <c r="A32" s="1">
        <v>110000</v>
      </c>
      <c r="B32" s="57" t="s">
        <v>5754</v>
      </c>
      <c r="C32" s="9" t="s">
        <v>1341</v>
      </c>
      <c r="D32" s="9" t="s">
        <v>5367</v>
      </c>
      <c r="E32" s="9">
        <v>1</v>
      </c>
      <c r="F32" s="9" t="s">
        <v>5485</v>
      </c>
      <c r="G32" s="9" t="s">
        <v>5486</v>
      </c>
      <c r="H32" s="9"/>
      <c r="I32" s="9"/>
      <c r="J32" s="9">
        <v>10</v>
      </c>
      <c r="K32" s="59" t="s">
        <v>5755</v>
      </c>
      <c r="L32" s="9" t="s">
        <v>5488</v>
      </c>
      <c r="M32" s="9" t="s">
        <v>5489</v>
      </c>
      <c r="N32" s="9">
        <v>1</v>
      </c>
      <c r="O32" s="1">
        <v>110000</v>
      </c>
      <c r="P32" s="11" t="s">
        <v>5484</v>
      </c>
      <c r="R32" s="194"/>
    </row>
    <row r="33" spans="1:18" ht="16.8" customHeight="1">
      <c r="A33" s="1">
        <v>110001</v>
      </c>
      <c r="B33" s="57" t="s">
        <v>5756</v>
      </c>
      <c r="C33" s="9" t="s">
        <v>1341</v>
      </c>
      <c r="D33" s="9" t="s">
        <v>5367</v>
      </c>
      <c r="E33" s="9">
        <v>1</v>
      </c>
      <c r="F33" s="9" t="s">
        <v>5485</v>
      </c>
      <c r="G33" s="9" t="s">
        <v>5490</v>
      </c>
      <c r="H33" s="9" t="s">
        <v>5486</v>
      </c>
      <c r="I33" s="9"/>
      <c r="J33" s="9">
        <v>10</v>
      </c>
      <c r="K33" s="59" t="s">
        <v>5757</v>
      </c>
      <c r="L33" s="9" t="s">
        <v>5492</v>
      </c>
      <c r="M33" s="9" t="s">
        <v>5489</v>
      </c>
      <c r="N33" s="9">
        <v>1</v>
      </c>
      <c r="O33" s="104">
        <v>110001</v>
      </c>
      <c r="P33" s="104" t="s">
        <v>1354</v>
      </c>
      <c r="Q33" s="74">
        <v>96</v>
      </c>
      <c r="R33" s="194">
        <v>124</v>
      </c>
    </row>
    <row r="34" spans="1:18" s="181" customFormat="1" ht="16.8" customHeight="1">
      <c r="A34" s="189">
        <v>110002</v>
      </c>
      <c r="B34" s="57" t="s">
        <v>5758</v>
      </c>
      <c r="C34" s="15" t="s">
        <v>1341</v>
      </c>
      <c r="D34" s="15" t="s">
        <v>5367</v>
      </c>
      <c r="E34" s="15">
        <v>1</v>
      </c>
      <c r="F34" s="15" t="s">
        <v>5485</v>
      </c>
      <c r="G34" s="9" t="s">
        <v>5493</v>
      </c>
      <c r="H34" s="15" t="s">
        <v>5486</v>
      </c>
      <c r="I34" s="15"/>
      <c r="J34" s="15">
        <v>10</v>
      </c>
      <c r="K34" s="59" t="s">
        <v>5759</v>
      </c>
      <c r="L34" s="15" t="s">
        <v>5495</v>
      </c>
      <c r="M34" s="15" t="s">
        <v>5489</v>
      </c>
      <c r="N34" s="15">
        <v>1</v>
      </c>
      <c r="O34" s="189">
        <v>110002</v>
      </c>
      <c r="P34" s="189" t="s">
        <v>1413</v>
      </c>
      <c r="Q34" s="181">
        <v>4116</v>
      </c>
      <c r="R34" s="198">
        <v>124</v>
      </c>
    </row>
    <row r="35" spans="1:18" ht="16.8" customHeight="1">
      <c r="A35" s="3">
        <v>110003</v>
      </c>
      <c r="B35" s="57" t="s">
        <v>5760</v>
      </c>
      <c r="C35" s="18" t="s">
        <v>1341</v>
      </c>
      <c r="D35" s="18" t="s">
        <v>5367</v>
      </c>
      <c r="E35" s="18">
        <v>1</v>
      </c>
      <c r="F35" s="18" t="s">
        <v>5485</v>
      </c>
      <c r="G35" s="10" t="s">
        <v>5496</v>
      </c>
      <c r="H35" s="18" t="s">
        <v>5486</v>
      </c>
      <c r="I35" s="18"/>
      <c r="J35" s="18">
        <v>10</v>
      </c>
      <c r="K35" s="59" t="s">
        <v>5761</v>
      </c>
      <c r="L35" s="25" t="s">
        <v>5498</v>
      </c>
      <c r="M35" s="18" t="s">
        <v>5489</v>
      </c>
      <c r="N35" s="18">
        <v>1</v>
      </c>
      <c r="O35" s="3">
        <v>110002</v>
      </c>
      <c r="P35" s="3"/>
      <c r="Q35" s="74">
        <v>526</v>
      </c>
      <c r="R35" s="194">
        <v>124</v>
      </c>
    </row>
    <row r="36" spans="1:18" ht="16.8" customHeight="1">
      <c r="A36" s="3">
        <v>110004</v>
      </c>
      <c r="B36" s="57" t="s">
        <v>5762</v>
      </c>
      <c r="C36" s="18" t="s">
        <v>1341</v>
      </c>
      <c r="D36" s="18" t="s">
        <v>5367</v>
      </c>
      <c r="E36" s="18">
        <v>1</v>
      </c>
      <c r="F36" s="18" t="s">
        <v>5485</v>
      </c>
      <c r="G36" s="10" t="s">
        <v>5499</v>
      </c>
      <c r="H36" s="18" t="s">
        <v>5486</v>
      </c>
      <c r="I36" s="18"/>
      <c r="J36" s="18">
        <v>10</v>
      </c>
      <c r="K36" s="59" t="s">
        <v>5763</v>
      </c>
      <c r="L36" s="25" t="s">
        <v>5501</v>
      </c>
      <c r="M36" s="18" t="s">
        <v>5489</v>
      </c>
      <c r="N36" s="18">
        <v>1</v>
      </c>
      <c r="O36" s="3">
        <v>110002</v>
      </c>
      <c r="P36" s="3"/>
      <c r="Q36" s="74">
        <v>514</v>
      </c>
      <c r="R36" s="194">
        <v>124</v>
      </c>
    </row>
    <row r="37" spans="1:18" ht="16.8" customHeight="1">
      <c r="A37" s="1">
        <v>111000</v>
      </c>
      <c r="B37" s="57" t="s">
        <v>5764</v>
      </c>
      <c r="C37" s="11" t="s">
        <v>1520</v>
      </c>
      <c r="D37" s="11" t="s">
        <v>5367</v>
      </c>
      <c r="E37" s="11">
        <v>1</v>
      </c>
      <c r="F37" s="11" t="s">
        <v>5503</v>
      </c>
      <c r="G37" s="11" t="s">
        <v>5504</v>
      </c>
      <c r="H37" s="11"/>
      <c r="I37" s="11"/>
      <c r="J37" s="11">
        <v>11</v>
      </c>
      <c r="K37" s="59" t="s">
        <v>5765</v>
      </c>
      <c r="L37" s="9" t="s">
        <v>5506</v>
      </c>
      <c r="M37" s="9" t="s">
        <v>5507</v>
      </c>
      <c r="N37" s="9">
        <v>1</v>
      </c>
      <c r="O37" s="1">
        <v>111000</v>
      </c>
      <c r="P37" s="11" t="s">
        <v>5502</v>
      </c>
      <c r="R37" s="194"/>
    </row>
    <row r="38" spans="1:18" s="21" customFormat="1" ht="16.8" customHeight="1">
      <c r="A38" s="22">
        <v>111001</v>
      </c>
      <c r="B38" s="57" t="s">
        <v>5766</v>
      </c>
      <c r="C38" s="12" t="s">
        <v>1520</v>
      </c>
      <c r="D38" s="12" t="s">
        <v>5367</v>
      </c>
      <c r="E38" s="12">
        <v>1</v>
      </c>
      <c r="F38" s="12" t="s">
        <v>5503</v>
      </c>
      <c r="G38" s="9" t="s">
        <v>5508</v>
      </c>
      <c r="H38" s="12" t="s">
        <v>5504</v>
      </c>
      <c r="I38" s="12"/>
      <c r="J38" s="12">
        <v>11</v>
      </c>
      <c r="K38" s="59" t="s">
        <v>5767</v>
      </c>
      <c r="L38" s="13" t="s">
        <v>5510</v>
      </c>
      <c r="M38" s="13" t="s">
        <v>5507</v>
      </c>
      <c r="N38" s="13">
        <v>1</v>
      </c>
      <c r="O38" s="22">
        <v>111001</v>
      </c>
      <c r="P38" s="22" t="s">
        <v>1518</v>
      </c>
      <c r="Q38" s="21">
        <v>97</v>
      </c>
      <c r="R38" s="195">
        <v>130</v>
      </c>
    </row>
    <row r="39" spans="1:18" s="21" customFormat="1" ht="16.8" customHeight="1">
      <c r="A39" s="22">
        <v>112000</v>
      </c>
      <c r="B39" s="57" t="s">
        <v>5768</v>
      </c>
      <c r="C39" s="13" t="s">
        <v>1574</v>
      </c>
      <c r="D39" s="13" t="s">
        <v>5367</v>
      </c>
      <c r="E39" s="13">
        <v>1</v>
      </c>
      <c r="F39" s="13" t="s">
        <v>5512</v>
      </c>
      <c r="G39" s="13" t="s">
        <v>5513</v>
      </c>
      <c r="H39" s="13"/>
      <c r="I39" s="13"/>
      <c r="J39" s="13">
        <v>12</v>
      </c>
      <c r="K39" s="59" t="s">
        <v>5769</v>
      </c>
      <c r="L39" s="13" t="s">
        <v>5515</v>
      </c>
      <c r="M39" s="13" t="s">
        <v>5516</v>
      </c>
      <c r="N39" s="13">
        <v>1</v>
      </c>
      <c r="O39" s="22">
        <v>112000</v>
      </c>
      <c r="P39" s="12" t="s">
        <v>5511</v>
      </c>
      <c r="R39" s="195"/>
    </row>
    <row r="40" spans="1:18" s="21" customFormat="1" ht="16.8" customHeight="1">
      <c r="A40" s="22">
        <v>112001</v>
      </c>
      <c r="B40" s="57" t="s">
        <v>5770</v>
      </c>
      <c r="C40" s="13" t="s">
        <v>1574</v>
      </c>
      <c r="D40" s="13" t="s">
        <v>5367</v>
      </c>
      <c r="E40" s="13">
        <v>1</v>
      </c>
      <c r="F40" s="13" t="s">
        <v>5512</v>
      </c>
      <c r="G40" s="9" t="s">
        <v>5517</v>
      </c>
      <c r="H40" s="13" t="s">
        <v>5513</v>
      </c>
      <c r="I40" s="13"/>
      <c r="J40" s="13">
        <v>12</v>
      </c>
      <c r="K40" s="59" t="s">
        <v>5771</v>
      </c>
      <c r="L40" s="13" t="s">
        <v>5519</v>
      </c>
      <c r="M40" s="13" t="s">
        <v>5516</v>
      </c>
      <c r="N40" s="13">
        <v>1</v>
      </c>
      <c r="O40" s="22">
        <v>112001</v>
      </c>
      <c r="P40" s="22" t="s">
        <v>1572</v>
      </c>
      <c r="Q40" s="21">
        <v>99</v>
      </c>
      <c r="R40" s="195">
        <v>128</v>
      </c>
    </row>
    <row r="41" spans="1:18" s="21" customFormat="1" ht="16.8" customHeight="1">
      <c r="A41" s="22">
        <v>113000</v>
      </c>
      <c r="B41" s="57" t="s">
        <v>5772</v>
      </c>
      <c r="C41" s="13" t="s">
        <v>1630</v>
      </c>
      <c r="D41" s="13" t="s">
        <v>5367</v>
      </c>
      <c r="E41" s="13">
        <v>1</v>
      </c>
      <c r="F41" s="13" t="s">
        <v>5521</v>
      </c>
      <c r="G41" s="13" t="s">
        <v>5522</v>
      </c>
      <c r="H41" s="13"/>
      <c r="I41" s="13"/>
      <c r="J41" s="13">
        <v>13</v>
      </c>
      <c r="K41" s="59" t="s">
        <v>5773</v>
      </c>
      <c r="L41" s="13" t="s">
        <v>5524</v>
      </c>
      <c r="M41" s="13" t="s">
        <v>5525</v>
      </c>
      <c r="N41" s="13">
        <v>1</v>
      </c>
      <c r="O41" s="22">
        <v>113000</v>
      </c>
      <c r="P41" s="22" t="s">
        <v>5520</v>
      </c>
      <c r="R41" s="195"/>
    </row>
    <row r="42" spans="1:18" s="21" customFormat="1" ht="16.8" customHeight="1">
      <c r="A42" s="22">
        <v>113001</v>
      </c>
      <c r="B42" s="57" t="s">
        <v>5774</v>
      </c>
      <c r="C42" s="13" t="s">
        <v>1630</v>
      </c>
      <c r="D42" s="13" t="s">
        <v>5526</v>
      </c>
      <c r="E42" s="13">
        <v>1</v>
      </c>
      <c r="F42" s="13" t="s">
        <v>5521</v>
      </c>
      <c r="G42" s="9" t="s">
        <v>5527</v>
      </c>
      <c r="H42" s="13" t="s">
        <v>5522</v>
      </c>
      <c r="I42" s="13"/>
      <c r="J42" s="13">
        <v>13</v>
      </c>
      <c r="K42" s="59" t="s">
        <v>5775</v>
      </c>
      <c r="L42" s="13" t="s">
        <v>5529</v>
      </c>
      <c r="M42" s="13" t="s">
        <v>5525</v>
      </c>
      <c r="N42" s="13">
        <v>0</v>
      </c>
      <c r="O42" s="22">
        <v>113001</v>
      </c>
      <c r="P42" s="22" t="s">
        <v>1628</v>
      </c>
      <c r="Q42" s="21">
        <v>4118</v>
      </c>
      <c r="R42" s="21">
        <v>4118</v>
      </c>
    </row>
    <row r="43" spans="1:18" s="21" customFormat="1" ht="16.8" customHeight="1">
      <c r="A43" s="22">
        <v>113002</v>
      </c>
      <c r="B43" s="57" t="s">
        <v>5776</v>
      </c>
      <c r="C43" s="13" t="s">
        <v>1630</v>
      </c>
      <c r="D43" s="13" t="s">
        <v>5367</v>
      </c>
      <c r="E43" s="13">
        <v>2</v>
      </c>
      <c r="F43" s="13" t="s">
        <v>5521</v>
      </c>
      <c r="G43" s="10" t="s">
        <v>5530</v>
      </c>
      <c r="H43" s="13" t="s">
        <v>5522</v>
      </c>
      <c r="I43" s="13"/>
      <c r="J43" s="13">
        <v>13</v>
      </c>
      <c r="K43" s="59" t="s">
        <v>5777</v>
      </c>
      <c r="L43" s="13" t="s">
        <v>5532</v>
      </c>
      <c r="M43" s="13" t="s">
        <v>5525</v>
      </c>
      <c r="N43" s="13">
        <v>1</v>
      </c>
      <c r="O43" s="22">
        <v>113001</v>
      </c>
      <c r="P43" s="22" t="s">
        <v>1628</v>
      </c>
      <c r="Q43" s="199">
        <v>4120</v>
      </c>
      <c r="R43" s="21">
        <v>4118</v>
      </c>
    </row>
    <row r="44" spans="1:18" s="21" customFormat="1" ht="16.8" customHeight="1">
      <c r="A44" s="22">
        <v>114000</v>
      </c>
      <c r="B44" s="57" t="s">
        <v>5778</v>
      </c>
      <c r="C44" s="13" t="s">
        <v>1715</v>
      </c>
      <c r="D44" s="13" t="s">
        <v>5367</v>
      </c>
      <c r="E44" s="13">
        <v>1</v>
      </c>
      <c r="F44" s="13" t="s">
        <v>5534</v>
      </c>
      <c r="G44" s="13" t="s">
        <v>5535</v>
      </c>
      <c r="H44" s="13"/>
      <c r="I44" s="13"/>
      <c r="J44" s="13">
        <v>14</v>
      </c>
      <c r="K44" s="59" t="s">
        <v>5779</v>
      </c>
      <c r="L44" s="13" t="s">
        <v>5537</v>
      </c>
      <c r="M44" s="13" t="s">
        <v>5525</v>
      </c>
      <c r="N44" s="13">
        <v>1</v>
      </c>
      <c r="O44" s="22">
        <v>114000</v>
      </c>
      <c r="P44" s="12" t="s">
        <v>5533</v>
      </c>
      <c r="R44" s="195"/>
    </row>
    <row r="45" spans="1:18" s="21" customFormat="1" ht="16.8" customHeight="1">
      <c r="A45" s="22">
        <v>114001</v>
      </c>
      <c r="B45" s="57" t="s">
        <v>5780</v>
      </c>
      <c r="C45" s="13" t="s">
        <v>1715</v>
      </c>
      <c r="D45" s="13" t="s">
        <v>5367</v>
      </c>
      <c r="E45" s="13">
        <v>1</v>
      </c>
      <c r="F45" s="13" t="s">
        <v>5534</v>
      </c>
      <c r="G45" s="9" t="s">
        <v>5538</v>
      </c>
      <c r="H45" s="13" t="s">
        <v>5535</v>
      </c>
      <c r="I45" s="13"/>
      <c r="J45" s="13">
        <v>14</v>
      </c>
      <c r="K45" s="59" t="s">
        <v>5781</v>
      </c>
      <c r="L45" s="13" t="s">
        <v>5540</v>
      </c>
      <c r="M45" s="13" t="s">
        <v>5525</v>
      </c>
      <c r="N45" s="13">
        <v>1</v>
      </c>
      <c r="O45" s="22">
        <v>114001</v>
      </c>
      <c r="P45" s="22" t="s">
        <v>1713</v>
      </c>
      <c r="Q45" s="21">
        <v>98</v>
      </c>
      <c r="R45" s="195">
        <v>131</v>
      </c>
    </row>
    <row r="46" spans="1:18" s="21" customFormat="1" ht="16.8" customHeight="1">
      <c r="A46" s="22">
        <v>115000</v>
      </c>
      <c r="B46" s="57" t="s">
        <v>5782</v>
      </c>
      <c r="C46" s="13" t="s">
        <v>1770</v>
      </c>
      <c r="D46" s="13" t="s">
        <v>5367</v>
      </c>
      <c r="E46" s="13">
        <v>2</v>
      </c>
      <c r="F46" s="13" t="s">
        <v>5542</v>
      </c>
      <c r="G46" s="13" t="s">
        <v>5543</v>
      </c>
      <c r="H46" s="13"/>
      <c r="I46" s="13"/>
      <c r="J46" s="13">
        <v>15</v>
      </c>
      <c r="K46" s="59" t="s">
        <v>5783</v>
      </c>
      <c r="L46" s="13" t="s">
        <v>5545</v>
      </c>
      <c r="M46" s="13" t="s">
        <v>5546</v>
      </c>
      <c r="N46" s="13">
        <v>1</v>
      </c>
      <c r="O46" s="22">
        <v>115000</v>
      </c>
      <c r="P46" s="12" t="s">
        <v>5541</v>
      </c>
      <c r="R46" s="195"/>
    </row>
    <row r="47" spans="1:18" s="21" customFormat="1" ht="16.8" customHeight="1">
      <c r="A47" s="22">
        <v>115001</v>
      </c>
      <c r="B47" s="57" t="s">
        <v>5784</v>
      </c>
      <c r="C47" s="13" t="s">
        <v>1770</v>
      </c>
      <c r="D47" s="13" t="s">
        <v>5526</v>
      </c>
      <c r="E47" s="13">
        <v>2</v>
      </c>
      <c r="F47" s="13" t="s">
        <v>5542</v>
      </c>
      <c r="G47" s="9" t="s">
        <v>5547</v>
      </c>
      <c r="H47" s="13" t="s">
        <v>5543</v>
      </c>
      <c r="I47" s="13"/>
      <c r="J47" s="13">
        <v>15</v>
      </c>
      <c r="K47" s="59" t="s">
        <v>5785</v>
      </c>
      <c r="L47" s="13" t="s">
        <v>5549</v>
      </c>
      <c r="M47" s="13" t="s">
        <v>5546</v>
      </c>
      <c r="N47" s="13">
        <v>1</v>
      </c>
      <c r="O47" s="22">
        <v>115001</v>
      </c>
      <c r="P47" s="22" t="s">
        <v>1823</v>
      </c>
      <c r="Q47" s="21">
        <v>100</v>
      </c>
      <c r="R47" s="195">
        <v>129</v>
      </c>
    </row>
    <row r="48" spans="1:18" s="181" customFormat="1" ht="16.8" customHeight="1">
      <c r="A48" s="189">
        <v>115002</v>
      </c>
      <c r="B48" s="57" t="s">
        <v>5786</v>
      </c>
      <c r="C48" s="15" t="s">
        <v>1770</v>
      </c>
      <c r="D48" s="15" t="s">
        <v>5367</v>
      </c>
      <c r="E48" s="15">
        <v>2</v>
      </c>
      <c r="F48" s="15" t="s">
        <v>5542</v>
      </c>
      <c r="G48" s="9" t="s">
        <v>5550</v>
      </c>
      <c r="H48" s="15" t="s">
        <v>5543</v>
      </c>
      <c r="I48" s="15"/>
      <c r="J48" s="15">
        <v>15</v>
      </c>
      <c r="K48" s="59" t="s">
        <v>5787</v>
      </c>
      <c r="L48" s="15" t="s">
        <v>5552</v>
      </c>
      <c r="M48" s="15" t="s">
        <v>5546</v>
      </c>
      <c r="N48" s="15">
        <v>1</v>
      </c>
      <c r="O48" s="189">
        <v>115002</v>
      </c>
      <c r="P48" s="189" t="s">
        <v>1827</v>
      </c>
      <c r="Q48" s="181">
        <v>4114</v>
      </c>
      <c r="R48" s="198">
        <v>129</v>
      </c>
    </row>
    <row r="49" spans="1:18" s="181" customFormat="1" ht="16.8" customHeight="1">
      <c r="A49" s="189">
        <v>199099</v>
      </c>
      <c r="B49" s="57" t="s">
        <v>4518</v>
      </c>
      <c r="C49" s="20" t="s">
        <v>325</v>
      </c>
      <c r="D49" s="20" t="s">
        <v>1872</v>
      </c>
      <c r="E49" s="15">
        <v>2</v>
      </c>
      <c r="F49" s="9" t="s">
        <v>5387</v>
      </c>
      <c r="G49" s="9"/>
      <c r="H49" s="15"/>
      <c r="I49" s="15"/>
      <c r="J49" s="15">
        <v>2</v>
      </c>
      <c r="K49" s="59" t="s">
        <v>5788</v>
      </c>
      <c r="L49" s="15" t="s">
        <v>5554</v>
      </c>
      <c r="M49" s="15"/>
      <c r="N49" s="15">
        <v>0</v>
      </c>
      <c r="O49" s="189">
        <v>199099</v>
      </c>
      <c r="P49" s="189" t="s">
        <v>1872</v>
      </c>
      <c r="Q49" s="181">
        <v>4114</v>
      </c>
      <c r="R49" s="198">
        <v>129</v>
      </c>
    </row>
    <row r="50" spans="1:18" s="21" customFormat="1" ht="16.8" customHeight="1">
      <c r="A50" s="22">
        <v>201001</v>
      </c>
      <c r="B50" s="57" t="s">
        <v>5789</v>
      </c>
      <c r="C50" s="13" t="s">
        <v>1876</v>
      </c>
      <c r="D50" s="13" t="s">
        <v>5401</v>
      </c>
      <c r="E50" s="13"/>
      <c r="F50" s="13"/>
      <c r="G50" s="9" t="s">
        <v>5555</v>
      </c>
      <c r="H50" s="13"/>
      <c r="I50" s="13"/>
      <c r="J50" s="13">
        <v>7</v>
      </c>
      <c r="K50" s="59" t="s">
        <v>5790</v>
      </c>
      <c r="L50" s="13" t="s">
        <v>5557</v>
      </c>
      <c r="M50" s="13"/>
      <c r="N50" s="13">
        <v>0</v>
      </c>
      <c r="O50" s="22">
        <v>201001</v>
      </c>
      <c r="P50" s="22" t="s">
        <v>1874</v>
      </c>
      <c r="R50" s="195"/>
    </row>
    <row r="51" spans="1:18" s="21" customFormat="1" ht="16.8" customHeight="1">
      <c r="A51" s="22">
        <v>201002</v>
      </c>
      <c r="B51" s="57" t="s">
        <v>5791</v>
      </c>
      <c r="C51" s="13" t="s">
        <v>1876</v>
      </c>
      <c r="D51" s="13" t="s">
        <v>5367</v>
      </c>
      <c r="E51" s="13"/>
      <c r="F51" s="13"/>
      <c r="G51" s="9" t="s">
        <v>5558</v>
      </c>
      <c r="H51" s="13"/>
      <c r="I51" s="13"/>
      <c r="J51" s="13">
        <v>7</v>
      </c>
      <c r="K51" s="59" t="s">
        <v>5792</v>
      </c>
      <c r="L51" s="13" t="s">
        <v>5560</v>
      </c>
      <c r="M51" s="13"/>
      <c r="N51" s="13">
        <v>0</v>
      </c>
      <c r="O51" s="22">
        <v>201002</v>
      </c>
      <c r="P51" s="22" t="s">
        <v>1915</v>
      </c>
      <c r="R51" s="195"/>
    </row>
    <row r="52" spans="1:18" s="21" customFormat="1" ht="16.8" customHeight="1">
      <c r="A52" s="22">
        <v>201003</v>
      </c>
      <c r="B52" s="57" t="s">
        <v>5793</v>
      </c>
      <c r="C52" s="13" t="s">
        <v>1876</v>
      </c>
      <c r="D52" s="13" t="s">
        <v>5367</v>
      </c>
      <c r="E52" s="13"/>
      <c r="F52" s="13"/>
      <c r="G52" s="9" t="s">
        <v>5561</v>
      </c>
      <c r="H52" s="13"/>
      <c r="I52" s="13"/>
      <c r="J52" s="13">
        <v>7</v>
      </c>
      <c r="K52" s="192" t="s">
        <v>5794</v>
      </c>
      <c r="L52" s="13" t="s">
        <v>5563</v>
      </c>
      <c r="M52" s="13"/>
      <c r="N52" s="13">
        <v>1</v>
      </c>
      <c r="O52" s="22">
        <v>201003</v>
      </c>
      <c r="P52" s="22" t="s">
        <v>1957</v>
      </c>
      <c r="R52" s="195"/>
    </row>
    <row r="53" spans="1:18" s="21" customFormat="1" ht="16.8" customHeight="1">
      <c r="A53" s="22">
        <v>201004</v>
      </c>
      <c r="B53" s="57" t="s">
        <v>5795</v>
      </c>
      <c r="C53" s="13" t="s">
        <v>1876</v>
      </c>
      <c r="D53" s="13" t="s">
        <v>5526</v>
      </c>
      <c r="E53" s="13"/>
      <c r="F53" s="13"/>
      <c r="G53" s="9" t="s">
        <v>5564</v>
      </c>
      <c r="H53" s="13"/>
      <c r="I53" s="13"/>
      <c r="J53" s="13">
        <v>7</v>
      </c>
      <c r="K53" s="192" t="s">
        <v>5796</v>
      </c>
      <c r="L53" s="13" t="s">
        <v>5566</v>
      </c>
      <c r="M53" s="13"/>
      <c r="N53" s="13">
        <v>0</v>
      </c>
      <c r="O53" s="22">
        <v>201004</v>
      </c>
      <c r="P53" s="22" t="s">
        <v>1994</v>
      </c>
      <c r="R53" s="195"/>
    </row>
    <row r="54" spans="1:18" s="21" customFormat="1" ht="16.8" customHeight="1">
      <c r="A54" s="22">
        <v>201005</v>
      </c>
      <c r="B54" s="57" t="s">
        <v>5797</v>
      </c>
      <c r="C54" s="13" t="s">
        <v>1876</v>
      </c>
      <c r="D54" s="13" t="s">
        <v>5367</v>
      </c>
      <c r="E54" s="13"/>
      <c r="F54" s="13"/>
      <c r="G54" s="9" t="s">
        <v>5567</v>
      </c>
      <c r="H54" s="13"/>
      <c r="I54" s="13"/>
      <c r="J54" s="13">
        <v>7</v>
      </c>
      <c r="K54" s="192" t="s">
        <v>5798</v>
      </c>
      <c r="L54" s="13" t="s">
        <v>5569</v>
      </c>
      <c r="M54" s="13"/>
      <c r="N54" s="13">
        <v>0</v>
      </c>
      <c r="O54" s="22">
        <v>201005</v>
      </c>
      <c r="P54" s="22" t="s">
        <v>2031</v>
      </c>
      <c r="R54" s="195"/>
    </row>
    <row r="55" spans="1:18" s="21" customFormat="1" ht="16.8" customHeight="1">
      <c r="A55" s="22">
        <v>201006</v>
      </c>
      <c r="B55" s="57" t="s">
        <v>5799</v>
      </c>
      <c r="C55" s="13" t="s">
        <v>1876</v>
      </c>
      <c r="D55" s="13" t="s">
        <v>5401</v>
      </c>
      <c r="E55" s="13"/>
      <c r="F55" s="13"/>
      <c r="G55" s="9" t="s">
        <v>5570</v>
      </c>
      <c r="H55" s="13"/>
      <c r="I55" s="13"/>
      <c r="J55" s="13">
        <v>7</v>
      </c>
      <c r="K55" s="192" t="s">
        <v>5800</v>
      </c>
      <c r="L55" s="13" t="s">
        <v>5572</v>
      </c>
      <c r="M55" s="13"/>
      <c r="N55" s="13">
        <v>1</v>
      </c>
      <c r="O55" s="22">
        <v>201006</v>
      </c>
      <c r="P55" s="22" t="s">
        <v>2069</v>
      </c>
      <c r="R55" s="195"/>
    </row>
    <row r="56" spans="1:18" s="21" customFormat="1" ht="16.8" customHeight="1">
      <c r="A56" s="22">
        <v>201007</v>
      </c>
      <c r="B56" s="57" t="s">
        <v>5801</v>
      </c>
      <c r="C56" s="13" t="s">
        <v>1876</v>
      </c>
      <c r="D56" s="13" t="s">
        <v>5379</v>
      </c>
      <c r="E56" s="13"/>
      <c r="F56" s="13"/>
      <c r="G56" s="9" t="s">
        <v>5573</v>
      </c>
      <c r="H56" s="13"/>
      <c r="I56" s="13"/>
      <c r="J56" s="13">
        <v>7</v>
      </c>
      <c r="K56" s="192" t="s">
        <v>5802</v>
      </c>
      <c r="L56" s="13" t="s">
        <v>5575</v>
      </c>
      <c r="M56" s="13"/>
      <c r="N56" s="13">
        <v>0</v>
      </c>
      <c r="O56" s="22">
        <v>201007</v>
      </c>
      <c r="P56" s="22" t="s">
        <v>2107</v>
      </c>
      <c r="R56" s="195"/>
    </row>
    <row r="57" spans="1:18" s="21" customFormat="1" ht="16.8" customHeight="1">
      <c r="A57" s="22">
        <v>201008</v>
      </c>
      <c r="B57" s="57" t="s">
        <v>5803</v>
      </c>
      <c r="C57" s="13" t="s">
        <v>1876</v>
      </c>
      <c r="D57" s="13" t="s">
        <v>5367</v>
      </c>
      <c r="E57" s="13"/>
      <c r="F57" s="13"/>
      <c r="G57" s="9" t="s">
        <v>5576</v>
      </c>
      <c r="H57" s="13"/>
      <c r="I57" s="13"/>
      <c r="J57" s="13">
        <v>7</v>
      </c>
      <c r="K57" s="192" t="s">
        <v>5804</v>
      </c>
      <c r="L57" s="13" t="s">
        <v>5578</v>
      </c>
      <c r="M57" s="13"/>
      <c r="N57" s="13">
        <v>0</v>
      </c>
      <c r="O57" s="22">
        <v>201008</v>
      </c>
      <c r="P57" s="22" t="s">
        <v>2146</v>
      </c>
      <c r="R57" s="195"/>
    </row>
    <row r="58" spans="1:18" s="21" customFormat="1" ht="16.8" customHeight="1">
      <c r="A58" s="22">
        <v>201009</v>
      </c>
      <c r="B58" s="57" t="s">
        <v>5805</v>
      </c>
      <c r="C58" s="13" t="s">
        <v>1876</v>
      </c>
      <c r="D58" s="13" t="s">
        <v>5367</v>
      </c>
      <c r="E58" s="13"/>
      <c r="F58" s="13"/>
      <c r="G58" s="9" t="s">
        <v>5579</v>
      </c>
      <c r="H58" s="13"/>
      <c r="I58" s="13"/>
      <c r="J58" s="13">
        <v>7</v>
      </c>
      <c r="K58" s="192" t="s">
        <v>5806</v>
      </c>
      <c r="L58" s="13" t="s">
        <v>5581</v>
      </c>
      <c r="M58" s="13"/>
      <c r="N58" s="13">
        <v>0</v>
      </c>
      <c r="O58" s="22">
        <v>201009</v>
      </c>
      <c r="P58" s="22" t="s">
        <v>2185</v>
      </c>
      <c r="R58" s="195"/>
    </row>
    <row r="59" spans="1:18" s="21" customFormat="1" ht="16.8" customHeight="1">
      <c r="A59" s="22">
        <v>201010</v>
      </c>
      <c r="B59" s="57" t="s">
        <v>5807</v>
      </c>
      <c r="C59" s="13" t="s">
        <v>1876</v>
      </c>
      <c r="D59" s="13" t="s">
        <v>5367</v>
      </c>
      <c r="E59" s="13"/>
      <c r="F59" s="13"/>
      <c r="G59" s="9" t="s">
        <v>5582</v>
      </c>
      <c r="H59" s="13"/>
      <c r="I59" s="13"/>
      <c r="J59" s="13">
        <v>7</v>
      </c>
      <c r="K59" s="192" t="s">
        <v>5808</v>
      </c>
      <c r="L59" s="13" t="s">
        <v>5584</v>
      </c>
      <c r="M59" s="13"/>
      <c r="N59" s="13">
        <v>0</v>
      </c>
      <c r="O59" s="22">
        <v>201010</v>
      </c>
      <c r="P59" s="22" t="s">
        <v>2224</v>
      </c>
      <c r="R59" s="195"/>
    </row>
    <row r="60" spans="1:18" s="21" customFormat="1" ht="16.8" customHeight="1">
      <c r="A60" s="22">
        <v>201011</v>
      </c>
      <c r="B60" s="57" t="s">
        <v>5809</v>
      </c>
      <c r="C60" s="13" t="s">
        <v>1876</v>
      </c>
      <c r="D60" s="13" t="s">
        <v>5367</v>
      </c>
      <c r="E60" s="13"/>
      <c r="F60" s="13"/>
      <c r="G60" s="9" t="s">
        <v>5585</v>
      </c>
      <c r="H60" s="13"/>
      <c r="I60" s="13"/>
      <c r="J60" s="13">
        <v>7</v>
      </c>
      <c r="K60" s="192" t="s">
        <v>5810</v>
      </c>
      <c r="L60" s="13" t="s">
        <v>5587</v>
      </c>
      <c r="M60" s="13"/>
      <c r="N60" s="13">
        <v>1</v>
      </c>
      <c r="O60" s="22">
        <v>201011</v>
      </c>
      <c r="P60" s="22" t="s">
        <v>2264</v>
      </c>
      <c r="R60" s="195"/>
    </row>
    <row r="61" spans="1:18" s="21" customFormat="1" ht="16.8" customHeight="1">
      <c r="A61" s="22">
        <v>201012</v>
      </c>
      <c r="B61" s="57" t="s">
        <v>5811</v>
      </c>
      <c r="C61" s="13" t="s">
        <v>1876</v>
      </c>
      <c r="D61" s="13" t="s">
        <v>5367</v>
      </c>
      <c r="E61" s="13"/>
      <c r="F61" s="13"/>
      <c r="G61" s="9" t="s">
        <v>5588</v>
      </c>
      <c r="H61" s="13"/>
      <c r="I61" s="13"/>
      <c r="J61" s="13">
        <v>7</v>
      </c>
      <c r="K61" s="192" t="s">
        <v>5812</v>
      </c>
      <c r="L61" s="13" t="s">
        <v>5590</v>
      </c>
      <c r="M61" s="13"/>
      <c r="N61" s="13">
        <v>0</v>
      </c>
      <c r="O61" s="22">
        <v>201012</v>
      </c>
      <c r="P61" s="22" t="s">
        <v>2302</v>
      </c>
      <c r="R61" s="195"/>
    </row>
    <row r="62" spans="1:18" s="21" customFormat="1" ht="16.8" customHeight="1">
      <c r="A62" s="22">
        <v>201013</v>
      </c>
      <c r="B62" s="57" t="s">
        <v>5813</v>
      </c>
      <c r="C62" s="13" t="s">
        <v>1876</v>
      </c>
      <c r="D62" s="13" t="s">
        <v>5367</v>
      </c>
      <c r="E62" s="13"/>
      <c r="F62" s="13"/>
      <c r="G62" s="9" t="s">
        <v>5591</v>
      </c>
      <c r="H62" s="13"/>
      <c r="I62" s="13"/>
      <c r="J62" s="13">
        <v>7</v>
      </c>
      <c r="K62" s="192" t="s">
        <v>5814</v>
      </c>
      <c r="L62" s="13" t="s">
        <v>5593</v>
      </c>
      <c r="M62" s="13"/>
      <c r="N62" s="13">
        <v>0</v>
      </c>
      <c r="O62" s="22">
        <v>201013</v>
      </c>
      <c r="P62" s="22" t="s">
        <v>2340</v>
      </c>
      <c r="R62" s="195"/>
    </row>
    <row r="63" spans="1:18" s="21" customFormat="1" ht="57.6">
      <c r="A63" s="22">
        <v>201014</v>
      </c>
      <c r="B63" s="57" t="s">
        <v>5815</v>
      </c>
      <c r="C63" s="13" t="s">
        <v>1876</v>
      </c>
      <c r="D63" s="13" t="s">
        <v>5379</v>
      </c>
      <c r="E63" s="13"/>
      <c r="F63" s="13"/>
      <c r="G63" s="9" t="s">
        <v>5594</v>
      </c>
      <c r="H63" s="13"/>
      <c r="I63" s="13"/>
      <c r="J63" s="13">
        <v>7</v>
      </c>
      <c r="K63" s="192" t="s">
        <v>5816</v>
      </c>
      <c r="L63" s="13" t="s">
        <v>5596</v>
      </c>
      <c r="M63" s="13"/>
      <c r="N63" s="13">
        <v>0</v>
      </c>
      <c r="O63" s="22">
        <v>201014</v>
      </c>
      <c r="P63" s="22" t="s">
        <v>2379</v>
      </c>
      <c r="R63" s="195"/>
    </row>
    <row r="64" spans="1:18" s="21" customFormat="1" ht="57.6">
      <c r="A64" s="22">
        <v>201015</v>
      </c>
      <c r="B64" s="57" t="s">
        <v>5817</v>
      </c>
      <c r="C64" s="13" t="s">
        <v>1876</v>
      </c>
      <c r="D64" s="13" t="s">
        <v>5367</v>
      </c>
      <c r="E64" s="13"/>
      <c r="F64" s="13"/>
      <c r="G64" s="9" t="s">
        <v>5597</v>
      </c>
      <c r="H64" s="13"/>
      <c r="I64" s="13"/>
      <c r="J64" s="13">
        <v>7</v>
      </c>
      <c r="K64" s="192" t="s">
        <v>5818</v>
      </c>
      <c r="L64" s="13" t="s">
        <v>5599</v>
      </c>
      <c r="M64" s="13"/>
      <c r="N64" s="13">
        <v>1</v>
      </c>
      <c r="O64" s="22">
        <v>201015</v>
      </c>
      <c r="P64" s="22" t="s">
        <v>2418</v>
      </c>
      <c r="R64" s="195"/>
    </row>
    <row r="65" spans="1:18" s="21" customFormat="1" ht="38.4">
      <c r="A65" s="22">
        <v>201016</v>
      </c>
      <c r="B65" s="57" t="s">
        <v>5819</v>
      </c>
      <c r="C65" s="13" t="s">
        <v>1876</v>
      </c>
      <c r="D65" s="13" t="s">
        <v>5367</v>
      </c>
      <c r="E65" s="13"/>
      <c r="F65" s="13"/>
      <c r="G65" s="9" t="s">
        <v>5600</v>
      </c>
      <c r="H65" s="13"/>
      <c r="I65" s="13"/>
      <c r="J65" s="13">
        <v>7</v>
      </c>
      <c r="K65" s="192" t="s">
        <v>5820</v>
      </c>
      <c r="L65" s="13" t="s">
        <v>5602</v>
      </c>
      <c r="M65" s="13"/>
      <c r="N65" s="13">
        <v>1</v>
      </c>
      <c r="O65" s="22">
        <v>201016</v>
      </c>
      <c r="P65" s="22" t="s">
        <v>2454</v>
      </c>
      <c r="R65" s="195"/>
    </row>
    <row r="66" spans="1:18" s="21" customFormat="1" ht="38.4">
      <c r="A66" s="22">
        <v>201017</v>
      </c>
      <c r="B66" s="57" t="s">
        <v>5821</v>
      </c>
      <c r="C66" s="13" t="s">
        <v>1876</v>
      </c>
      <c r="D66" s="13" t="s">
        <v>5526</v>
      </c>
      <c r="E66" s="13"/>
      <c r="F66" s="13"/>
      <c r="G66" s="9" t="s">
        <v>5603</v>
      </c>
      <c r="H66" s="13"/>
      <c r="I66" s="13"/>
      <c r="J66" s="13">
        <v>7</v>
      </c>
      <c r="K66" s="192" t="s">
        <v>5822</v>
      </c>
      <c r="L66" s="13" t="s">
        <v>5605</v>
      </c>
      <c r="M66" s="13"/>
      <c r="N66" s="13">
        <v>0</v>
      </c>
      <c r="O66" s="22">
        <v>201017</v>
      </c>
      <c r="P66" s="22" t="s">
        <v>2494</v>
      </c>
      <c r="R66" s="195"/>
    </row>
    <row r="67" spans="1:18" s="21" customFormat="1" ht="38.4">
      <c r="A67" s="22">
        <v>201018</v>
      </c>
      <c r="B67" s="57" t="s">
        <v>4856</v>
      </c>
      <c r="C67" s="13" t="s">
        <v>1876</v>
      </c>
      <c r="D67" s="13" t="s">
        <v>5367</v>
      </c>
      <c r="E67" s="13"/>
      <c r="F67" s="13"/>
      <c r="G67" s="9" t="s">
        <v>5606</v>
      </c>
      <c r="H67" s="13"/>
      <c r="I67" s="13"/>
      <c r="J67" s="13">
        <v>7</v>
      </c>
      <c r="K67" s="192" t="s">
        <v>5823</v>
      </c>
      <c r="L67" s="13" t="s">
        <v>5608</v>
      </c>
      <c r="M67" s="13"/>
      <c r="N67" s="13">
        <v>1</v>
      </c>
      <c r="O67" s="22">
        <v>201018</v>
      </c>
      <c r="P67" s="22" t="s">
        <v>2524</v>
      </c>
      <c r="R67" s="195"/>
    </row>
    <row r="68" spans="1:18" s="21" customFormat="1" ht="57.6">
      <c r="A68" s="22">
        <v>201019</v>
      </c>
      <c r="B68" s="57" t="s">
        <v>5824</v>
      </c>
      <c r="C68" s="13" t="s">
        <v>1876</v>
      </c>
      <c r="D68" s="13" t="s">
        <v>5425</v>
      </c>
      <c r="E68" s="13"/>
      <c r="F68" s="13"/>
      <c r="G68" s="9" t="s">
        <v>5609</v>
      </c>
      <c r="H68" s="13"/>
      <c r="I68" s="13"/>
      <c r="J68" s="13">
        <v>7</v>
      </c>
      <c r="K68" s="192" t="s">
        <v>5825</v>
      </c>
      <c r="L68" s="13" t="s">
        <v>5611</v>
      </c>
      <c r="M68" s="13"/>
      <c r="N68" s="13">
        <v>0</v>
      </c>
      <c r="O68" s="22">
        <v>201019</v>
      </c>
      <c r="P68" s="22" t="s">
        <v>2554</v>
      </c>
      <c r="R68" s="195"/>
    </row>
    <row r="69" spans="1:18" s="21" customFormat="1" ht="57.6">
      <c r="A69" s="22">
        <v>201020</v>
      </c>
      <c r="B69" s="57" t="s">
        <v>5826</v>
      </c>
      <c r="C69" s="13" t="s">
        <v>1876</v>
      </c>
      <c r="D69" s="204" t="s">
        <v>5413</v>
      </c>
      <c r="E69" s="13"/>
      <c r="F69" s="13"/>
      <c r="G69" s="10" t="s">
        <v>5612</v>
      </c>
      <c r="H69" s="13"/>
      <c r="I69" s="13"/>
      <c r="J69" s="13">
        <v>7</v>
      </c>
      <c r="K69" s="192" t="s">
        <v>5827</v>
      </c>
      <c r="L69" s="13" t="s">
        <v>5614</v>
      </c>
      <c r="M69" s="13"/>
      <c r="N69" s="13">
        <v>0</v>
      </c>
      <c r="O69" s="22">
        <v>201019</v>
      </c>
      <c r="P69" s="22" t="s">
        <v>2554</v>
      </c>
      <c r="R69" s="195"/>
    </row>
    <row r="70" spans="1:18" s="21" customFormat="1" ht="16.8" customHeight="1">
      <c r="A70" s="22">
        <v>301001</v>
      </c>
      <c r="B70" s="57" t="s">
        <v>5828</v>
      </c>
      <c r="C70" s="13" t="s">
        <v>2601</v>
      </c>
      <c r="D70" s="13" t="s">
        <v>5401</v>
      </c>
      <c r="E70" s="13"/>
      <c r="F70" s="13"/>
      <c r="G70" s="9" t="s">
        <v>5615</v>
      </c>
      <c r="H70" s="13"/>
      <c r="I70" s="13"/>
      <c r="J70" s="13">
        <v>8</v>
      </c>
      <c r="K70" s="192" t="s">
        <v>5829</v>
      </c>
      <c r="L70" s="13" t="s">
        <v>5617</v>
      </c>
      <c r="M70" s="13"/>
      <c r="N70" s="13">
        <v>0</v>
      </c>
      <c r="O70" s="22">
        <v>301001</v>
      </c>
      <c r="P70" s="22" t="s">
        <v>2599</v>
      </c>
      <c r="R70" s="195"/>
    </row>
    <row r="71" spans="1:18" s="21" customFormat="1" ht="16.8" customHeight="1">
      <c r="A71" s="22">
        <v>301002</v>
      </c>
      <c r="B71" s="57" t="s">
        <v>5830</v>
      </c>
      <c r="C71" s="13" t="s">
        <v>2601</v>
      </c>
      <c r="D71" s="13" t="s">
        <v>5367</v>
      </c>
      <c r="E71" s="13"/>
      <c r="F71" s="13"/>
      <c r="G71" s="9" t="s">
        <v>5618</v>
      </c>
      <c r="H71" s="13"/>
      <c r="I71" s="13"/>
      <c r="J71" s="13">
        <v>8</v>
      </c>
      <c r="K71" s="192" t="s">
        <v>5831</v>
      </c>
      <c r="L71" s="13" t="s">
        <v>5620</v>
      </c>
      <c r="M71" s="13"/>
      <c r="N71" s="13">
        <v>1</v>
      </c>
      <c r="O71" s="22">
        <v>301002</v>
      </c>
      <c r="P71" s="22" t="s">
        <v>2639</v>
      </c>
      <c r="R71" s="195"/>
    </row>
    <row r="72" spans="1:18" s="21" customFormat="1" ht="16.8" customHeight="1">
      <c r="A72" s="22">
        <v>301003</v>
      </c>
      <c r="B72" s="57" t="s">
        <v>5832</v>
      </c>
      <c r="C72" s="13" t="s">
        <v>2601</v>
      </c>
      <c r="D72" s="13" t="s">
        <v>5367</v>
      </c>
      <c r="E72" s="13"/>
      <c r="F72" s="13"/>
      <c r="G72" s="9" t="s">
        <v>5621</v>
      </c>
      <c r="H72" s="13"/>
      <c r="I72" s="13"/>
      <c r="J72" s="13">
        <v>8</v>
      </c>
      <c r="K72" s="192" t="s">
        <v>5833</v>
      </c>
      <c r="L72" s="13" t="s">
        <v>5623</v>
      </c>
      <c r="M72" s="13"/>
      <c r="N72" s="13">
        <v>0</v>
      </c>
      <c r="O72" s="22">
        <v>301003</v>
      </c>
      <c r="P72" s="22" t="s">
        <v>2676</v>
      </c>
      <c r="R72" s="195"/>
    </row>
    <row r="73" spans="1:18" s="21" customFormat="1" ht="16.8" customHeight="1">
      <c r="A73" s="22">
        <v>301004</v>
      </c>
      <c r="B73" s="57" t="s">
        <v>5834</v>
      </c>
      <c r="C73" s="13" t="s">
        <v>2601</v>
      </c>
      <c r="D73" s="13" t="s">
        <v>5367</v>
      </c>
      <c r="E73" s="13"/>
      <c r="F73" s="13"/>
      <c r="G73" s="9" t="s">
        <v>5624</v>
      </c>
      <c r="H73" s="13"/>
      <c r="I73" s="13"/>
      <c r="J73" s="13">
        <v>8</v>
      </c>
      <c r="K73" s="192" t="s">
        <v>5835</v>
      </c>
      <c r="L73" s="13" t="s">
        <v>5626</v>
      </c>
      <c r="M73" s="13"/>
      <c r="N73" s="13">
        <v>1</v>
      </c>
      <c r="O73" s="22">
        <v>301004</v>
      </c>
      <c r="P73" s="22" t="s">
        <v>2708</v>
      </c>
      <c r="R73" s="195"/>
    </row>
    <row r="74" spans="1:18" s="21" customFormat="1" ht="16.8" customHeight="1">
      <c r="A74" s="22">
        <v>301005</v>
      </c>
      <c r="B74" s="57" t="s">
        <v>5836</v>
      </c>
      <c r="C74" s="13" t="s">
        <v>2601</v>
      </c>
      <c r="D74" s="13" t="s">
        <v>5367</v>
      </c>
      <c r="E74" s="13"/>
      <c r="F74" s="13"/>
      <c r="G74" s="9" t="s">
        <v>5627</v>
      </c>
      <c r="H74" s="13"/>
      <c r="I74" s="13"/>
      <c r="J74" s="13">
        <v>8</v>
      </c>
      <c r="K74" s="192" t="s">
        <v>5837</v>
      </c>
      <c r="L74" s="13" t="s">
        <v>5629</v>
      </c>
      <c r="M74" s="13"/>
      <c r="N74" s="13">
        <v>1</v>
      </c>
      <c r="O74" s="22">
        <v>301005</v>
      </c>
      <c r="P74" s="22" t="s">
        <v>2745</v>
      </c>
      <c r="R74" s="195"/>
    </row>
    <row r="75" spans="1:18" s="21" customFormat="1" ht="16.8" customHeight="1">
      <c r="A75" s="22">
        <v>301006</v>
      </c>
      <c r="B75" s="57" t="s">
        <v>5838</v>
      </c>
      <c r="C75" s="13" t="s">
        <v>2601</v>
      </c>
      <c r="D75" s="13" t="s">
        <v>5367</v>
      </c>
      <c r="E75" s="13"/>
      <c r="F75" s="13"/>
      <c r="G75" s="9" t="s">
        <v>5630</v>
      </c>
      <c r="H75" s="13"/>
      <c r="I75" s="13"/>
      <c r="J75" s="13">
        <v>8</v>
      </c>
      <c r="K75" s="192" t="s">
        <v>5839</v>
      </c>
      <c r="L75" s="13" t="s">
        <v>5632</v>
      </c>
      <c r="M75" s="13"/>
      <c r="N75" s="13">
        <v>0</v>
      </c>
      <c r="O75" s="22">
        <v>301006</v>
      </c>
      <c r="P75" s="22" t="s">
        <v>2782</v>
      </c>
      <c r="R75" s="195"/>
    </row>
    <row r="76" spans="1:18" s="21" customFormat="1" ht="16.8" customHeight="1">
      <c r="A76" s="22">
        <v>301007</v>
      </c>
      <c r="B76" s="57" t="s">
        <v>5840</v>
      </c>
      <c r="C76" s="13" t="s">
        <v>2601</v>
      </c>
      <c r="D76" s="13" t="s">
        <v>5379</v>
      </c>
      <c r="E76" s="13"/>
      <c r="F76" s="13"/>
      <c r="G76" s="9" t="s">
        <v>5633</v>
      </c>
      <c r="H76" s="13"/>
      <c r="I76" s="13"/>
      <c r="J76" s="13">
        <v>8</v>
      </c>
      <c r="K76" s="192" t="s">
        <v>5841</v>
      </c>
      <c r="L76" s="13" t="s">
        <v>5635</v>
      </c>
      <c r="M76" s="13"/>
      <c r="N76" s="13">
        <v>0</v>
      </c>
      <c r="O76" s="22">
        <v>301007</v>
      </c>
      <c r="P76" s="22" t="s">
        <v>2820</v>
      </c>
      <c r="R76" s="195"/>
    </row>
    <row r="77" spans="1:18" s="21" customFormat="1" ht="16.8" customHeight="1">
      <c r="A77" s="22">
        <v>301008</v>
      </c>
      <c r="B77" s="57" t="s">
        <v>5842</v>
      </c>
      <c r="C77" s="13" t="s">
        <v>2601</v>
      </c>
      <c r="D77" s="13" t="s">
        <v>5526</v>
      </c>
      <c r="E77" s="13"/>
      <c r="F77" s="13"/>
      <c r="G77" s="9" t="s">
        <v>5636</v>
      </c>
      <c r="H77" s="13"/>
      <c r="I77" s="13"/>
      <c r="J77" s="13">
        <v>8</v>
      </c>
      <c r="K77" s="200" t="s">
        <v>5843</v>
      </c>
      <c r="L77" s="13" t="s">
        <v>5638</v>
      </c>
      <c r="M77" s="13"/>
      <c r="N77" s="13">
        <v>0</v>
      </c>
      <c r="O77" s="22">
        <v>301008</v>
      </c>
      <c r="P77" s="22" t="s">
        <v>2855</v>
      </c>
      <c r="R77" s="195"/>
    </row>
    <row r="78" spans="1:18" s="21" customFormat="1" ht="16.8" customHeight="1">
      <c r="A78" s="22">
        <v>301009</v>
      </c>
      <c r="B78" s="57" t="s">
        <v>5844</v>
      </c>
      <c r="C78" s="13" t="s">
        <v>2601</v>
      </c>
      <c r="D78" s="13" t="s">
        <v>5367</v>
      </c>
      <c r="E78" s="13"/>
      <c r="F78" s="13"/>
      <c r="G78" s="9" t="s">
        <v>5639</v>
      </c>
      <c r="H78" s="13"/>
      <c r="I78" s="13"/>
      <c r="J78" s="13">
        <v>8</v>
      </c>
      <c r="K78" s="192" t="s">
        <v>5845</v>
      </c>
      <c r="L78" s="13" t="s">
        <v>5641</v>
      </c>
      <c r="M78" s="13"/>
      <c r="N78" s="13">
        <v>1</v>
      </c>
      <c r="O78" s="22">
        <v>301009</v>
      </c>
      <c r="P78" s="22" t="s">
        <v>2891</v>
      </c>
      <c r="R78" s="195"/>
    </row>
    <row r="79" spans="1:18" s="21" customFormat="1" ht="16.8" customHeight="1">
      <c r="A79" s="22">
        <v>301010</v>
      </c>
      <c r="B79" s="57" t="s">
        <v>5846</v>
      </c>
      <c r="C79" s="13" t="s">
        <v>2601</v>
      </c>
      <c r="D79" s="13" t="s">
        <v>5367</v>
      </c>
      <c r="E79" s="13"/>
      <c r="F79" s="13"/>
      <c r="G79" s="9" t="s">
        <v>5642</v>
      </c>
      <c r="H79" s="13"/>
      <c r="I79" s="13"/>
      <c r="J79" s="13">
        <v>8</v>
      </c>
      <c r="K79" s="192" t="s">
        <v>5847</v>
      </c>
      <c r="L79" s="13" t="s">
        <v>5644</v>
      </c>
      <c r="M79" s="13"/>
      <c r="N79" s="13">
        <v>0</v>
      </c>
      <c r="O79" s="22">
        <v>301010</v>
      </c>
      <c r="P79" s="22" t="s">
        <v>2928</v>
      </c>
      <c r="R79" s="195"/>
    </row>
    <row r="80" spans="1:18" s="21" customFormat="1" ht="16.8" customHeight="1">
      <c r="A80" s="22">
        <v>301011</v>
      </c>
      <c r="B80" s="57" t="s">
        <v>5848</v>
      </c>
      <c r="C80" s="13" t="s">
        <v>2601</v>
      </c>
      <c r="D80" s="13" t="s">
        <v>5367</v>
      </c>
      <c r="E80" s="13"/>
      <c r="F80" s="13"/>
      <c r="G80" s="9" t="s">
        <v>5645</v>
      </c>
      <c r="H80" s="13"/>
      <c r="I80" s="13"/>
      <c r="J80" s="13">
        <v>8</v>
      </c>
      <c r="K80" s="192" t="s">
        <v>5849</v>
      </c>
      <c r="L80" s="13" t="s">
        <v>5647</v>
      </c>
      <c r="M80" s="13"/>
      <c r="N80" s="13">
        <v>0</v>
      </c>
      <c r="O80" s="22">
        <v>301011</v>
      </c>
      <c r="P80" s="22" t="s">
        <v>2999</v>
      </c>
      <c r="R80" s="195"/>
    </row>
    <row r="81" spans="1:18" s="21" customFormat="1" ht="16.8" customHeight="1">
      <c r="A81" s="22">
        <v>301012</v>
      </c>
      <c r="B81" s="57" t="s">
        <v>5850</v>
      </c>
      <c r="C81" s="13" t="s">
        <v>2601</v>
      </c>
      <c r="D81" s="13" t="s">
        <v>5367</v>
      </c>
      <c r="E81" s="13"/>
      <c r="F81" s="13"/>
      <c r="G81" s="9" t="s">
        <v>5648</v>
      </c>
      <c r="H81" s="13"/>
      <c r="I81" s="13"/>
      <c r="J81" s="13">
        <v>8</v>
      </c>
      <c r="K81" s="192" t="s">
        <v>5851</v>
      </c>
      <c r="L81" s="13" t="s">
        <v>5650</v>
      </c>
      <c r="M81" s="13"/>
      <c r="N81" s="13">
        <v>0</v>
      </c>
      <c r="O81" s="22">
        <v>301012</v>
      </c>
      <c r="P81" s="22" t="s">
        <v>2965</v>
      </c>
      <c r="R81" s="195"/>
    </row>
    <row r="82" spans="1:18" s="21" customFormat="1" ht="16.8" customHeight="1">
      <c r="A82" s="22">
        <v>301013</v>
      </c>
      <c r="B82" s="57" t="s">
        <v>5852</v>
      </c>
      <c r="C82" s="13" t="s">
        <v>2601</v>
      </c>
      <c r="D82" s="13" t="s">
        <v>5367</v>
      </c>
      <c r="E82" s="13"/>
      <c r="F82" s="13"/>
      <c r="G82" s="9" t="s">
        <v>5651</v>
      </c>
      <c r="H82" s="13"/>
      <c r="I82" s="13"/>
      <c r="J82" s="13">
        <v>8</v>
      </c>
      <c r="K82" s="192" t="s">
        <v>5853</v>
      </c>
      <c r="L82" s="13" t="s">
        <v>5653</v>
      </c>
      <c r="M82" s="13"/>
      <c r="N82" s="13">
        <v>1</v>
      </c>
      <c r="O82" s="22">
        <v>301013</v>
      </c>
      <c r="P82" s="22" t="s">
        <v>3037</v>
      </c>
      <c r="R82" s="195"/>
    </row>
    <row r="83" spans="1:18" s="21" customFormat="1" ht="16.8" customHeight="1">
      <c r="A83" s="22">
        <v>301014</v>
      </c>
      <c r="B83" s="57" t="s">
        <v>5854</v>
      </c>
      <c r="C83" s="13" t="s">
        <v>2601</v>
      </c>
      <c r="D83" s="13" t="s">
        <v>5367</v>
      </c>
      <c r="E83" s="13"/>
      <c r="F83" s="13"/>
      <c r="G83" s="9" t="s">
        <v>5654</v>
      </c>
      <c r="H83" s="13"/>
      <c r="I83" s="13"/>
      <c r="J83" s="13">
        <v>8</v>
      </c>
      <c r="K83" s="192" t="s">
        <v>5855</v>
      </c>
      <c r="L83" s="13" t="s">
        <v>5656</v>
      </c>
      <c r="M83" s="13"/>
      <c r="N83" s="13">
        <v>1</v>
      </c>
      <c r="O83" s="22">
        <v>301014</v>
      </c>
      <c r="P83" s="22" t="s">
        <v>3074</v>
      </c>
      <c r="R83" s="195"/>
    </row>
    <row r="84" spans="1:18" s="21" customFormat="1" ht="16.8" customHeight="1">
      <c r="A84" s="22">
        <v>301015</v>
      </c>
      <c r="B84" s="57" t="s">
        <v>5856</v>
      </c>
      <c r="C84" s="13" t="s">
        <v>2601</v>
      </c>
      <c r="D84" s="13" t="s">
        <v>5367</v>
      </c>
      <c r="E84" s="13"/>
      <c r="F84" s="13"/>
      <c r="G84" s="9" t="s">
        <v>5657</v>
      </c>
      <c r="H84" s="13"/>
      <c r="I84" s="13"/>
      <c r="J84" s="13">
        <v>8</v>
      </c>
      <c r="K84" s="192" t="s">
        <v>5857</v>
      </c>
      <c r="L84" s="13" t="s">
        <v>5659</v>
      </c>
      <c r="M84" s="13"/>
      <c r="N84" s="13">
        <v>1</v>
      </c>
      <c r="O84" s="22">
        <v>301015</v>
      </c>
      <c r="P84" s="22" t="s">
        <v>3111</v>
      </c>
      <c r="R84" s="195"/>
    </row>
    <row r="85" spans="1:18" s="21" customFormat="1" ht="16.8" customHeight="1">
      <c r="A85" s="22">
        <v>301016</v>
      </c>
      <c r="B85" s="57" t="s">
        <v>5858</v>
      </c>
      <c r="C85" s="13" t="s">
        <v>2601</v>
      </c>
      <c r="D85" s="13" t="s">
        <v>5425</v>
      </c>
      <c r="E85" s="13"/>
      <c r="F85" s="13"/>
      <c r="G85" s="9" t="s">
        <v>5660</v>
      </c>
      <c r="H85" s="13"/>
      <c r="I85" s="13"/>
      <c r="J85" s="13">
        <v>8</v>
      </c>
      <c r="K85" s="192" t="s">
        <v>5859</v>
      </c>
      <c r="L85" s="13" t="s">
        <v>5662</v>
      </c>
      <c r="M85" s="13"/>
      <c r="N85" s="13">
        <v>0</v>
      </c>
      <c r="O85" s="22">
        <v>301016</v>
      </c>
      <c r="P85" s="22" t="s">
        <v>3141</v>
      </c>
      <c r="R85" s="195"/>
    </row>
    <row r="86" spans="1:18" s="21" customFormat="1" ht="16.8" customHeight="1">
      <c r="A86" s="22">
        <v>301017</v>
      </c>
      <c r="B86" s="57" t="s">
        <v>5860</v>
      </c>
      <c r="C86" s="13" t="s">
        <v>2601</v>
      </c>
      <c r="D86" s="204" t="s">
        <v>5413</v>
      </c>
      <c r="E86" s="13"/>
      <c r="F86" s="13"/>
      <c r="G86" s="10" t="s">
        <v>5663</v>
      </c>
      <c r="H86" s="13"/>
      <c r="I86" s="13"/>
      <c r="J86" s="13">
        <v>8</v>
      </c>
      <c r="K86" s="192" t="s">
        <v>5861</v>
      </c>
      <c r="L86" s="13" t="s">
        <v>5665</v>
      </c>
      <c r="M86" s="13"/>
      <c r="N86" s="13">
        <v>0</v>
      </c>
      <c r="O86" s="22">
        <v>301016</v>
      </c>
      <c r="P86" s="22" t="s">
        <v>3141</v>
      </c>
      <c r="R86" s="195"/>
    </row>
    <row r="87" spans="1:18" s="21" customFormat="1" ht="16.8" customHeight="1">
      <c r="A87" s="22">
        <v>501001</v>
      </c>
      <c r="B87" s="57" t="s">
        <v>5862</v>
      </c>
      <c r="C87" s="13" t="s">
        <v>79</v>
      </c>
      <c r="D87" s="13" t="s">
        <v>5367</v>
      </c>
      <c r="E87" s="13"/>
      <c r="F87" s="13" t="s">
        <v>5666</v>
      </c>
      <c r="G87" s="13" t="s">
        <v>5667</v>
      </c>
      <c r="H87" s="13"/>
      <c r="I87" s="13"/>
      <c r="J87" s="13">
        <v>1</v>
      </c>
      <c r="K87" s="192" t="s">
        <v>5863</v>
      </c>
      <c r="L87" s="13" t="s">
        <v>5669</v>
      </c>
      <c r="M87" s="13" t="s">
        <v>5670</v>
      </c>
      <c r="N87" s="13">
        <v>0</v>
      </c>
      <c r="O87" s="22">
        <v>501001</v>
      </c>
      <c r="P87" s="22" t="s">
        <v>3528</v>
      </c>
      <c r="R87" s="195"/>
    </row>
    <row r="88" spans="1:18" s="21" customFormat="1" ht="16.8" customHeight="1">
      <c r="A88" s="22">
        <v>501002</v>
      </c>
      <c r="B88" s="57" t="s">
        <v>5864</v>
      </c>
      <c r="C88" s="13" t="s">
        <v>79</v>
      </c>
      <c r="D88" s="13" t="s">
        <v>5367</v>
      </c>
      <c r="E88" s="13"/>
      <c r="F88" s="13" t="s">
        <v>5671</v>
      </c>
      <c r="G88" s="13">
        <v>5310001</v>
      </c>
      <c r="H88" s="13"/>
      <c r="I88" s="13"/>
      <c r="J88" s="13">
        <v>1</v>
      </c>
      <c r="K88" s="192" t="s">
        <v>5865</v>
      </c>
      <c r="L88" s="13" t="s">
        <v>5673</v>
      </c>
      <c r="M88" s="13" t="s">
        <v>5674</v>
      </c>
      <c r="N88" s="13">
        <v>0</v>
      </c>
      <c r="O88" s="22">
        <v>501002</v>
      </c>
      <c r="P88" s="22" t="s">
        <v>3538</v>
      </c>
      <c r="R88" s="195"/>
    </row>
    <row r="89" spans="1:18" s="21" customFormat="1" ht="16.8" customHeight="1">
      <c r="A89" s="22">
        <v>501003</v>
      </c>
      <c r="B89" s="57" t="s">
        <v>5866</v>
      </c>
      <c r="C89" s="13" t="s">
        <v>1876</v>
      </c>
      <c r="D89" s="13" t="s">
        <v>5367</v>
      </c>
      <c r="E89" s="13"/>
      <c r="F89" s="13"/>
      <c r="G89" s="13"/>
      <c r="H89" s="13"/>
      <c r="I89" s="13"/>
      <c r="J89" s="13"/>
      <c r="K89" s="201"/>
      <c r="L89" s="13"/>
      <c r="M89" s="13"/>
      <c r="N89" s="13">
        <v>0</v>
      </c>
      <c r="O89" s="22">
        <v>501003</v>
      </c>
      <c r="P89" s="22" t="s">
        <v>5675</v>
      </c>
      <c r="R89" s="195"/>
    </row>
    <row r="90" spans="1:18" s="21" customFormat="1" ht="16.8" customHeight="1">
      <c r="A90" s="22">
        <v>501004</v>
      </c>
      <c r="B90" s="57" t="s">
        <v>5867</v>
      </c>
      <c r="C90" s="13" t="s">
        <v>2601</v>
      </c>
      <c r="D90" s="13" t="s">
        <v>5367</v>
      </c>
      <c r="E90" s="13"/>
      <c r="F90" s="13"/>
      <c r="G90" s="13"/>
      <c r="H90" s="13"/>
      <c r="I90" s="13"/>
      <c r="J90" s="13"/>
      <c r="K90" s="201"/>
      <c r="L90" s="13"/>
      <c r="M90" s="13"/>
      <c r="N90" s="13">
        <v>0</v>
      </c>
      <c r="O90" s="22">
        <v>501004</v>
      </c>
      <c r="P90" s="22" t="s">
        <v>5676</v>
      </c>
      <c r="R90" s="195"/>
    </row>
    <row r="91" spans="1:18" s="21" customFormat="1" ht="16.8" customHeight="1">
      <c r="A91" s="22">
        <v>501005</v>
      </c>
      <c r="B91" s="57" t="s">
        <v>5868</v>
      </c>
      <c r="C91" s="13" t="s">
        <v>79</v>
      </c>
      <c r="D91" s="13" t="s">
        <v>5367</v>
      </c>
      <c r="E91" s="13"/>
      <c r="F91" s="13" t="s">
        <v>5678</v>
      </c>
      <c r="G91" s="13">
        <v>9610002</v>
      </c>
      <c r="H91" s="13"/>
      <c r="I91" s="13"/>
      <c r="J91" s="13">
        <v>1</v>
      </c>
      <c r="K91" s="201"/>
      <c r="L91" s="13" t="s">
        <v>5679</v>
      </c>
      <c r="M91" s="13" t="s">
        <v>5674</v>
      </c>
      <c r="N91" s="13">
        <v>0</v>
      </c>
      <c r="O91" s="22">
        <v>501005</v>
      </c>
      <c r="P91" s="22" t="s">
        <v>5677</v>
      </c>
      <c r="R91" s="195"/>
    </row>
    <row r="92" spans="1:18" s="21" customFormat="1" ht="16.8" customHeight="1">
      <c r="A92" s="22">
        <v>501006</v>
      </c>
      <c r="B92" s="57" t="s">
        <v>5869</v>
      </c>
      <c r="C92" s="13" t="s">
        <v>79</v>
      </c>
      <c r="D92" s="13" t="s">
        <v>5367</v>
      </c>
      <c r="E92" s="13"/>
      <c r="F92" s="13" t="s">
        <v>5680</v>
      </c>
      <c r="G92" s="13">
        <v>9410002</v>
      </c>
      <c r="H92" s="13"/>
      <c r="I92" s="13"/>
      <c r="J92" s="13">
        <v>999</v>
      </c>
      <c r="K92" s="202"/>
      <c r="L92" s="13" t="s">
        <v>5669</v>
      </c>
      <c r="M92" s="13" t="s">
        <v>5681</v>
      </c>
      <c r="N92" s="13">
        <v>0</v>
      </c>
      <c r="O92" s="22">
        <v>501006</v>
      </c>
      <c r="P92" s="22" t="s">
        <v>3549</v>
      </c>
      <c r="R92" s="195"/>
    </row>
    <row r="93" spans="1:18" s="21" customFormat="1" ht="16.8" customHeight="1">
      <c r="A93" s="22">
        <v>501007</v>
      </c>
      <c r="B93" s="57" t="s">
        <v>5870</v>
      </c>
      <c r="C93" s="13" t="s">
        <v>79</v>
      </c>
      <c r="D93" s="13" t="s">
        <v>5367</v>
      </c>
      <c r="E93" s="13"/>
      <c r="F93" s="13" t="s">
        <v>5682</v>
      </c>
      <c r="G93" s="13">
        <v>9410001</v>
      </c>
      <c r="H93" s="13"/>
      <c r="I93" s="13"/>
      <c r="J93" s="13">
        <v>999</v>
      </c>
      <c r="K93" s="202"/>
      <c r="L93" s="13" t="s">
        <v>5669</v>
      </c>
      <c r="M93" s="13"/>
      <c r="N93" s="13">
        <v>0</v>
      </c>
      <c r="O93" s="22">
        <v>501007</v>
      </c>
      <c r="P93" s="22" t="s">
        <v>3601</v>
      </c>
      <c r="R93" s="195"/>
    </row>
    <row r="94" spans="1:18" s="21" customFormat="1" ht="16.8" customHeight="1">
      <c r="A94" s="22">
        <v>501008</v>
      </c>
      <c r="B94" s="57" t="s">
        <v>5871</v>
      </c>
      <c r="C94" s="13" t="s">
        <v>79</v>
      </c>
      <c r="D94" s="13" t="s">
        <v>5367</v>
      </c>
      <c r="E94" s="13"/>
      <c r="F94" s="13" t="s">
        <v>5683</v>
      </c>
      <c r="G94" s="13">
        <v>10210002</v>
      </c>
      <c r="H94" s="13"/>
      <c r="I94" s="13"/>
      <c r="J94" s="13">
        <v>999</v>
      </c>
      <c r="K94" s="202"/>
      <c r="L94" s="13" t="s">
        <v>5669</v>
      </c>
      <c r="M94" s="13"/>
      <c r="N94" s="13">
        <v>0</v>
      </c>
      <c r="O94" s="22">
        <v>501008</v>
      </c>
      <c r="P94" s="22" t="s">
        <v>3596</v>
      </c>
      <c r="R94" s="195"/>
    </row>
    <row r="95" spans="1:18" s="21" customFormat="1" ht="16.8" customHeight="1">
      <c r="A95" s="22">
        <v>501009</v>
      </c>
      <c r="B95" s="57" t="s">
        <v>5872</v>
      </c>
      <c r="C95" s="13" t="s">
        <v>79</v>
      </c>
      <c r="D95" s="13" t="s">
        <v>5367</v>
      </c>
      <c r="E95" s="13"/>
      <c r="F95" s="13" t="s">
        <v>5685</v>
      </c>
      <c r="G95" s="13">
        <v>9510002</v>
      </c>
      <c r="H95" s="13"/>
      <c r="I95" s="13"/>
      <c r="J95" s="13">
        <v>999</v>
      </c>
      <c r="K95" s="202"/>
      <c r="L95" s="13" t="s">
        <v>5669</v>
      </c>
      <c r="M95" s="13"/>
      <c r="N95" s="13">
        <v>0</v>
      </c>
      <c r="O95" s="22">
        <v>501009</v>
      </c>
      <c r="P95" s="22" t="s">
        <v>5684</v>
      </c>
      <c r="R95" s="195"/>
    </row>
    <row r="96" spans="1:18" s="21" customFormat="1" ht="16.8" customHeight="1">
      <c r="A96" s="22">
        <v>501010</v>
      </c>
      <c r="B96" s="57" t="s">
        <v>5873</v>
      </c>
      <c r="C96" s="13" t="s">
        <v>79</v>
      </c>
      <c r="D96" s="13" t="s">
        <v>5367</v>
      </c>
      <c r="E96" s="13"/>
      <c r="F96" s="13" t="s">
        <v>5687</v>
      </c>
      <c r="G96" s="13">
        <v>10010002</v>
      </c>
      <c r="H96" s="13"/>
      <c r="I96" s="13"/>
      <c r="J96" s="13">
        <v>999</v>
      </c>
      <c r="K96" s="202"/>
      <c r="L96" s="13" t="s">
        <v>5669</v>
      </c>
      <c r="M96" s="13"/>
      <c r="N96" s="13">
        <v>0</v>
      </c>
      <c r="O96" s="22">
        <v>501010</v>
      </c>
      <c r="P96" s="22" t="s">
        <v>5686</v>
      </c>
      <c r="R96" s="195"/>
    </row>
    <row r="97" spans="1:18" s="21" customFormat="1" ht="16.8" customHeight="1">
      <c r="A97" s="22">
        <v>501011</v>
      </c>
      <c r="B97" s="57" t="s">
        <v>5874</v>
      </c>
      <c r="C97" s="13" t="s">
        <v>79</v>
      </c>
      <c r="D97" s="13" t="s">
        <v>5367</v>
      </c>
      <c r="E97" s="13"/>
      <c r="F97" s="13" t="s">
        <v>5688</v>
      </c>
      <c r="G97" s="13">
        <v>9810002</v>
      </c>
      <c r="H97" s="13"/>
      <c r="I97" s="13"/>
      <c r="J97" s="13">
        <v>999</v>
      </c>
      <c r="K97" s="202"/>
      <c r="L97" s="13" t="s">
        <v>5669</v>
      </c>
      <c r="M97" s="13"/>
      <c r="N97" s="13">
        <v>0</v>
      </c>
      <c r="O97" s="22">
        <v>501011</v>
      </c>
      <c r="P97" s="22" t="s">
        <v>3573</v>
      </c>
      <c r="R97" s="195"/>
    </row>
    <row r="98" spans="1:18" s="21" customFormat="1" ht="16.8" customHeight="1">
      <c r="A98" s="22">
        <v>501012</v>
      </c>
      <c r="B98" s="57" t="s">
        <v>5875</v>
      </c>
      <c r="C98" s="13" t="s">
        <v>79</v>
      </c>
      <c r="D98" s="13" t="s">
        <v>5367</v>
      </c>
      <c r="E98" s="13"/>
      <c r="F98" s="13" t="s">
        <v>5690</v>
      </c>
      <c r="G98" s="13">
        <v>9710002</v>
      </c>
      <c r="H98" s="13"/>
      <c r="I98" s="13"/>
      <c r="J98" s="13">
        <v>999</v>
      </c>
      <c r="K98" s="202"/>
      <c r="L98" s="13" t="s">
        <v>5669</v>
      </c>
      <c r="M98" s="13"/>
      <c r="N98" s="13">
        <v>0</v>
      </c>
      <c r="O98" s="22">
        <v>501012</v>
      </c>
      <c r="P98" s="22" t="s">
        <v>5689</v>
      </c>
      <c r="R98" s="195"/>
    </row>
    <row r="99" spans="1:18" s="21" customFormat="1" ht="16.8" customHeight="1">
      <c r="A99" s="22">
        <v>501013</v>
      </c>
      <c r="B99" s="57" t="s">
        <v>5876</v>
      </c>
      <c r="C99" s="13" t="s">
        <v>79</v>
      </c>
      <c r="D99" s="13" t="s">
        <v>5367</v>
      </c>
      <c r="E99" s="13"/>
      <c r="F99" s="13" t="s">
        <v>5691</v>
      </c>
      <c r="G99" s="13">
        <v>9910002</v>
      </c>
      <c r="H99" s="13"/>
      <c r="I99" s="13"/>
      <c r="J99" s="13">
        <v>999</v>
      </c>
      <c r="K99" s="202"/>
      <c r="L99" s="13" t="s">
        <v>5669</v>
      </c>
      <c r="M99" s="13"/>
      <c r="N99" s="13">
        <v>0</v>
      </c>
      <c r="O99" s="22">
        <v>501013</v>
      </c>
      <c r="P99" s="22" t="s">
        <v>3579</v>
      </c>
      <c r="R99" s="195"/>
    </row>
    <row r="100" spans="1:18" ht="16.8" customHeight="1">
      <c r="A100" s="3">
        <v>501014</v>
      </c>
      <c r="B100" s="57" t="s">
        <v>5877</v>
      </c>
      <c r="C100" s="18" t="s">
        <v>79</v>
      </c>
      <c r="D100" s="18" t="s">
        <v>5367</v>
      </c>
      <c r="E100" s="18"/>
      <c r="F100" s="18" t="s">
        <v>5692</v>
      </c>
      <c r="G100" s="18">
        <v>10110002</v>
      </c>
      <c r="H100" s="18"/>
      <c r="I100" s="18"/>
      <c r="J100" s="18">
        <v>999</v>
      </c>
      <c r="K100" s="203"/>
      <c r="L100" s="18" t="s">
        <v>5669</v>
      </c>
      <c r="M100" s="13"/>
      <c r="N100" s="9">
        <v>0</v>
      </c>
      <c r="O100" s="104">
        <v>501014</v>
      </c>
      <c r="P100" s="104" t="s">
        <v>3591</v>
      </c>
      <c r="R100" s="194"/>
    </row>
    <row r="101" spans="1:18" ht="16.8" customHeight="1">
      <c r="A101" s="3">
        <v>501015</v>
      </c>
      <c r="B101" s="57" t="s">
        <v>5878</v>
      </c>
      <c r="C101" s="18" t="s">
        <v>79</v>
      </c>
      <c r="D101" s="18" t="s">
        <v>5367</v>
      </c>
      <c r="E101" s="18"/>
      <c r="F101" s="18" t="s">
        <v>5693</v>
      </c>
      <c r="G101" s="18">
        <v>10310003</v>
      </c>
      <c r="H101" s="18"/>
      <c r="I101" s="18"/>
      <c r="J101" s="18">
        <v>999</v>
      </c>
      <c r="K101" s="203"/>
      <c r="L101" s="18" t="s">
        <v>5669</v>
      </c>
      <c r="M101" s="13"/>
      <c r="N101" s="9">
        <v>0</v>
      </c>
      <c r="O101" s="104">
        <v>501015</v>
      </c>
      <c r="P101" s="104" t="s">
        <v>3635</v>
      </c>
      <c r="R101" s="194"/>
    </row>
    <row r="102" spans="1:18" ht="16.8" customHeight="1">
      <c r="A102" s="3">
        <v>900000</v>
      </c>
      <c r="B102" s="57" t="s">
        <v>5879</v>
      </c>
      <c r="C102" s="18" t="s">
        <v>3228</v>
      </c>
      <c r="D102" s="18" t="s">
        <v>5367</v>
      </c>
      <c r="E102" s="18"/>
      <c r="F102" s="18"/>
      <c r="G102" s="18">
        <v>9000001</v>
      </c>
      <c r="H102" s="18"/>
      <c r="I102" s="18"/>
      <c r="J102" s="18"/>
      <c r="K102" s="57" t="s">
        <v>5880</v>
      </c>
      <c r="L102" s="18" t="s">
        <v>5695</v>
      </c>
      <c r="N102" s="9">
        <v>0</v>
      </c>
      <c r="O102" s="104">
        <v>900000</v>
      </c>
      <c r="P102" s="104" t="s">
        <v>3228</v>
      </c>
      <c r="R102" s="194"/>
    </row>
  </sheetData>
  <phoneticPr fontId="45" type="noConversion"/>
  <conditionalFormatting sqref="A7">
    <cfRule type="duplicateValues" dxfId="75" priority="2"/>
  </conditionalFormatting>
  <conditionalFormatting sqref="A14">
    <cfRule type="duplicateValues" dxfId="74" priority="5"/>
  </conditionalFormatting>
  <conditionalFormatting sqref="A17">
    <cfRule type="duplicateValues" dxfId="73" priority="6"/>
  </conditionalFormatting>
  <conditionalFormatting sqref="A25">
    <cfRule type="duplicateValues" dxfId="72" priority="10"/>
  </conditionalFormatting>
  <conditionalFormatting sqref="A28">
    <cfRule type="duplicateValues" dxfId="71" priority="1"/>
  </conditionalFormatting>
  <conditionalFormatting sqref="A31">
    <cfRule type="duplicateValues" dxfId="70" priority="7"/>
  </conditionalFormatting>
  <conditionalFormatting sqref="A34">
    <cfRule type="duplicateValues" dxfId="69" priority="9"/>
  </conditionalFormatting>
  <conditionalFormatting sqref="A35">
    <cfRule type="duplicateValues" dxfId="68" priority="4"/>
  </conditionalFormatting>
  <conditionalFormatting sqref="A36">
    <cfRule type="duplicateValues" dxfId="67" priority="3"/>
  </conditionalFormatting>
  <conditionalFormatting sqref="A41:A43">
    <cfRule type="duplicateValues" dxfId="66" priority="12"/>
  </conditionalFormatting>
  <conditionalFormatting sqref="A48:A49">
    <cfRule type="duplicateValues" dxfId="65" priority="8"/>
  </conditionalFormatting>
  <conditionalFormatting sqref="A44:A47 A37:A40 A18:A24 A1:A6 A26:A27 A32:A33 A15:A16 A8:A13 A29:A30 A50:A1048576">
    <cfRule type="duplicateValues" dxfId="64" priority="11"/>
  </conditionalFormatting>
  <pageMargins left="0.75" right="0.75" top="1" bottom="1" header="0.5" footer="0.5"/>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2"/>
  <sheetViews>
    <sheetView zoomScale="85" zoomScaleNormal="85" workbookViewId="0">
      <pane xSplit="3" ySplit="2" topLeftCell="H3" activePane="bottomRight" state="frozenSplit"/>
      <selection pane="topRight"/>
      <selection pane="bottomLeft"/>
      <selection pane="bottomRight" activeCell="K1" sqref="K1:K1048576"/>
    </sheetView>
  </sheetViews>
  <sheetFormatPr defaultColWidth="8.88671875" defaultRowHeight="20.399999999999999"/>
  <cols>
    <col min="1" max="1" width="20" customWidth="1"/>
    <col min="2" max="2" width="42.6640625" customWidth="1"/>
    <col min="3" max="3" width="25.33203125" customWidth="1"/>
    <col min="4" max="4" width="9.5546875" style="182" customWidth="1"/>
    <col min="5" max="5" width="13.5546875" style="182" customWidth="1"/>
    <col min="6" max="6" width="25.109375" style="182" customWidth="1"/>
    <col min="7" max="7" width="101.88671875" style="182" customWidth="1"/>
    <col min="8" max="8" width="29.44140625" style="182" customWidth="1"/>
    <col min="9" max="9" width="39.44140625" style="182" customWidth="1"/>
    <col min="10" max="10" width="22.88671875" style="182" customWidth="1"/>
    <col min="11" max="11" width="105.44140625" customWidth="1"/>
    <col min="12" max="12" width="28.5546875" customWidth="1"/>
    <col min="13" max="13" width="40.77734375" customWidth="1"/>
    <col min="14" max="14" width="37.33203125" style="74" customWidth="1"/>
    <col min="15" max="15" width="20" customWidth="1"/>
    <col min="16" max="16" width="18.21875" customWidth="1"/>
    <col min="17" max="18" width="8.88671875" style="74"/>
  </cols>
  <sheetData>
    <row r="1" spans="1:18" ht="40.799999999999997">
      <c r="A1" s="183" t="s">
        <v>5340</v>
      </c>
      <c r="B1" s="183" t="s">
        <v>5341</v>
      </c>
      <c r="C1" s="183" t="s">
        <v>8</v>
      </c>
      <c r="D1" s="184" t="s">
        <v>5342</v>
      </c>
      <c r="E1" s="185" t="s">
        <v>5343</v>
      </c>
      <c r="F1" s="184" t="s">
        <v>5344</v>
      </c>
      <c r="G1" s="186" t="s">
        <v>5345</v>
      </c>
      <c r="H1" s="184" t="s">
        <v>5346</v>
      </c>
      <c r="I1" s="184" t="s">
        <v>5347</v>
      </c>
      <c r="J1" s="184" t="s">
        <v>6</v>
      </c>
      <c r="K1" s="183" t="s">
        <v>5348</v>
      </c>
      <c r="L1" s="183" t="s">
        <v>77</v>
      </c>
      <c r="M1" s="183" t="s">
        <v>5349</v>
      </c>
      <c r="N1" s="9" t="s">
        <v>5350</v>
      </c>
      <c r="O1" s="183"/>
      <c r="P1" s="183"/>
      <c r="Q1" s="2" t="s">
        <v>5351</v>
      </c>
      <c r="R1" s="2" t="s">
        <v>5352</v>
      </c>
    </row>
    <row r="2" spans="1:18">
      <c r="A2" s="54" t="s">
        <v>5353</v>
      </c>
      <c r="B2" s="54" t="s">
        <v>42</v>
      </c>
      <c r="C2" s="54" t="s">
        <v>50</v>
      </c>
      <c r="D2" s="187" t="s">
        <v>5354</v>
      </c>
      <c r="E2" s="187" t="s">
        <v>5355</v>
      </c>
      <c r="F2" s="187" t="s">
        <v>5356</v>
      </c>
      <c r="G2" s="187" t="s">
        <v>5357</v>
      </c>
      <c r="H2" s="188" t="s">
        <v>5358</v>
      </c>
      <c r="I2" s="188" t="s">
        <v>5359</v>
      </c>
      <c r="J2" s="188" t="s">
        <v>48</v>
      </c>
      <c r="K2" s="56" t="s">
        <v>5360</v>
      </c>
      <c r="L2" s="56" t="s">
        <v>5361</v>
      </c>
      <c r="M2" s="56" t="s">
        <v>5362</v>
      </c>
      <c r="N2" s="9" t="s">
        <v>5363</v>
      </c>
      <c r="O2" s="54"/>
      <c r="P2" s="54"/>
      <c r="Q2" s="193" t="s">
        <v>5364</v>
      </c>
      <c r="R2" s="193" t="s">
        <v>5365</v>
      </c>
    </row>
    <row r="3" spans="1:18" ht="16.8" customHeight="1">
      <c r="A3" s="1">
        <v>101000</v>
      </c>
      <c r="B3" s="57" t="s">
        <v>5696</v>
      </c>
      <c r="C3" s="9" t="s">
        <v>5881</v>
      </c>
      <c r="D3" s="9" t="s">
        <v>3640</v>
      </c>
      <c r="E3" s="9">
        <v>1</v>
      </c>
      <c r="F3" s="9" t="s">
        <v>5368</v>
      </c>
      <c r="G3" s="9" t="s">
        <v>5369</v>
      </c>
      <c r="H3" s="9"/>
      <c r="I3" s="9"/>
      <c r="J3" s="9">
        <v>1</v>
      </c>
      <c r="K3" s="69" t="s">
        <v>5697</v>
      </c>
      <c r="L3" s="9" t="s">
        <v>5371</v>
      </c>
      <c r="M3" s="190" t="s">
        <v>5372</v>
      </c>
      <c r="N3" s="9">
        <v>1</v>
      </c>
      <c r="O3" s="1">
        <v>101000</v>
      </c>
      <c r="P3" s="11" t="s">
        <v>5366</v>
      </c>
      <c r="R3" s="194"/>
    </row>
    <row r="4" spans="1:18" ht="16.8" customHeight="1">
      <c r="A4" s="1">
        <v>101001</v>
      </c>
      <c r="B4" s="57" t="s">
        <v>5698</v>
      </c>
      <c r="C4" s="9" t="s">
        <v>5881</v>
      </c>
      <c r="D4" s="9" t="s">
        <v>3640</v>
      </c>
      <c r="E4" s="9">
        <v>1</v>
      </c>
      <c r="F4" s="9" t="s">
        <v>5368</v>
      </c>
      <c r="G4" s="9" t="s">
        <v>5373</v>
      </c>
      <c r="H4" s="9" t="s">
        <v>5369</v>
      </c>
      <c r="I4" s="9"/>
      <c r="J4" s="9">
        <v>1</v>
      </c>
      <c r="K4" s="69" t="s">
        <v>5699</v>
      </c>
      <c r="L4" s="9" t="s">
        <v>5375</v>
      </c>
      <c r="M4" s="190" t="s">
        <v>5372</v>
      </c>
      <c r="N4" s="9">
        <v>1</v>
      </c>
      <c r="O4" s="104">
        <v>101001</v>
      </c>
      <c r="P4" s="104" t="s">
        <v>99</v>
      </c>
      <c r="Q4" s="74">
        <v>87</v>
      </c>
      <c r="R4" s="194">
        <v>121</v>
      </c>
    </row>
    <row r="5" spans="1:18" s="52" customFormat="1" ht="16.8" customHeight="1">
      <c r="A5" s="1">
        <v>101002</v>
      </c>
      <c r="B5" s="57" t="s">
        <v>5700</v>
      </c>
      <c r="C5" s="9" t="s">
        <v>5881</v>
      </c>
      <c r="D5" s="9" t="s">
        <v>3640</v>
      </c>
      <c r="E5" s="9">
        <v>1</v>
      </c>
      <c r="F5" s="9" t="s">
        <v>5368</v>
      </c>
      <c r="G5" s="9" t="s">
        <v>5376</v>
      </c>
      <c r="H5" s="9" t="s">
        <v>5369</v>
      </c>
      <c r="I5" s="9"/>
      <c r="J5" s="9">
        <v>1</v>
      </c>
      <c r="K5" s="69" t="s">
        <v>5701</v>
      </c>
      <c r="L5" s="9" t="s">
        <v>5378</v>
      </c>
      <c r="M5" s="190" t="s">
        <v>5372</v>
      </c>
      <c r="N5" s="9">
        <v>1</v>
      </c>
      <c r="O5" s="104">
        <v>101002</v>
      </c>
      <c r="P5" s="104" t="s">
        <v>176</v>
      </c>
      <c r="Q5" s="74">
        <v>88</v>
      </c>
      <c r="R5" s="194">
        <v>121</v>
      </c>
    </row>
    <row r="6" spans="1:18" s="52" customFormat="1" ht="16.8" customHeight="1">
      <c r="A6" s="1">
        <v>101003</v>
      </c>
      <c r="B6" s="57" t="s">
        <v>5702</v>
      </c>
      <c r="C6" s="9" t="s">
        <v>5881</v>
      </c>
      <c r="D6" s="9" t="s">
        <v>3640</v>
      </c>
      <c r="E6" s="9">
        <v>2</v>
      </c>
      <c r="F6" s="9" t="s">
        <v>5368</v>
      </c>
      <c r="G6" s="9" t="s">
        <v>5380</v>
      </c>
      <c r="H6" s="9" t="s">
        <v>5369</v>
      </c>
      <c r="I6" s="9"/>
      <c r="J6" s="9">
        <v>1</v>
      </c>
      <c r="K6" s="69" t="s">
        <v>5703</v>
      </c>
      <c r="L6" s="9" t="s">
        <v>5382</v>
      </c>
      <c r="M6" s="190" t="s">
        <v>5372</v>
      </c>
      <c r="N6" s="9">
        <v>0</v>
      </c>
      <c r="O6" s="104">
        <v>101003</v>
      </c>
      <c r="P6" s="104" t="s">
        <v>234</v>
      </c>
      <c r="Q6" s="74">
        <v>86</v>
      </c>
      <c r="R6" s="194">
        <v>121</v>
      </c>
    </row>
    <row r="7" spans="1:18" s="52" customFormat="1" ht="16.8" customHeight="1">
      <c r="A7" s="1">
        <v>101004</v>
      </c>
      <c r="B7" s="57" t="s">
        <v>5704</v>
      </c>
      <c r="C7" s="9" t="s">
        <v>5881</v>
      </c>
      <c r="D7" s="9" t="s">
        <v>3640</v>
      </c>
      <c r="E7" s="9">
        <v>2</v>
      </c>
      <c r="F7" s="9" t="s">
        <v>5368</v>
      </c>
      <c r="G7" s="9" t="s">
        <v>5383</v>
      </c>
      <c r="H7" s="9" t="s">
        <v>5369</v>
      </c>
      <c r="I7" s="9"/>
      <c r="J7" s="9">
        <v>1</v>
      </c>
      <c r="K7" s="69" t="s">
        <v>5705</v>
      </c>
      <c r="L7" s="10" t="s">
        <v>5385</v>
      </c>
      <c r="M7" s="190" t="s">
        <v>5372</v>
      </c>
      <c r="N7" s="9">
        <v>0</v>
      </c>
      <c r="O7" s="104">
        <v>101003</v>
      </c>
      <c r="P7" s="104" t="s">
        <v>292</v>
      </c>
      <c r="Q7" s="74">
        <v>538</v>
      </c>
      <c r="R7" s="194">
        <v>121</v>
      </c>
    </row>
    <row r="8" spans="1:18" ht="16.8" customHeight="1">
      <c r="A8" s="1">
        <v>102000</v>
      </c>
      <c r="B8" s="57" t="s">
        <v>5706</v>
      </c>
      <c r="C8" s="9" t="s">
        <v>5882</v>
      </c>
      <c r="D8" s="9" t="s">
        <v>3640</v>
      </c>
      <c r="E8" s="9">
        <v>1</v>
      </c>
      <c r="F8" s="9" t="s">
        <v>5387</v>
      </c>
      <c r="G8" s="9" t="s">
        <v>5388</v>
      </c>
      <c r="H8" s="9"/>
      <c r="I8" s="9"/>
      <c r="J8" s="9">
        <v>2</v>
      </c>
      <c r="K8" s="69" t="s">
        <v>5707</v>
      </c>
      <c r="L8" s="9" t="s">
        <v>5390</v>
      </c>
      <c r="M8" s="190" t="s">
        <v>5391</v>
      </c>
      <c r="N8" s="9">
        <v>1</v>
      </c>
      <c r="O8" s="1">
        <v>102000</v>
      </c>
      <c r="P8" s="11" t="s">
        <v>5386</v>
      </c>
      <c r="R8" s="194"/>
    </row>
    <row r="9" spans="1:18" ht="16.8" customHeight="1">
      <c r="A9" s="1">
        <v>102001</v>
      </c>
      <c r="B9" s="57" t="s">
        <v>5708</v>
      </c>
      <c r="C9" s="9" t="s">
        <v>5882</v>
      </c>
      <c r="D9" s="9" t="s">
        <v>3640</v>
      </c>
      <c r="E9" s="9">
        <v>1</v>
      </c>
      <c r="F9" s="9" t="s">
        <v>5387</v>
      </c>
      <c r="G9" s="9" t="s">
        <v>5392</v>
      </c>
      <c r="H9" s="9" t="s">
        <v>5388</v>
      </c>
      <c r="I9" s="9" t="s">
        <v>5393</v>
      </c>
      <c r="J9" s="9">
        <v>2</v>
      </c>
      <c r="K9" s="69" t="s">
        <v>5709</v>
      </c>
      <c r="L9" s="9" t="s">
        <v>5395</v>
      </c>
      <c r="M9" s="190" t="s">
        <v>5391</v>
      </c>
      <c r="N9" s="9">
        <v>1</v>
      </c>
      <c r="O9" s="104">
        <v>102001</v>
      </c>
      <c r="P9" s="104" t="s">
        <v>338</v>
      </c>
      <c r="Q9" s="74">
        <v>82</v>
      </c>
      <c r="R9" s="194">
        <v>120</v>
      </c>
    </row>
    <row r="10" spans="1:18" ht="16.8" customHeight="1">
      <c r="A10" s="1">
        <v>102002</v>
      </c>
      <c r="B10" s="57" t="s">
        <v>5710</v>
      </c>
      <c r="C10" s="9" t="s">
        <v>5882</v>
      </c>
      <c r="D10" s="9" t="s">
        <v>3640</v>
      </c>
      <c r="E10" s="9">
        <v>1</v>
      </c>
      <c r="F10" s="9" t="s">
        <v>5396</v>
      </c>
      <c r="G10" s="9" t="s">
        <v>5397</v>
      </c>
      <c r="H10" s="9" t="s">
        <v>5388</v>
      </c>
      <c r="I10" s="9"/>
      <c r="J10" s="9">
        <v>2</v>
      </c>
      <c r="K10" s="69" t="s">
        <v>5711</v>
      </c>
      <c r="L10" s="9" t="s">
        <v>5399</v>
      </c>
      <c r="M10" s="190" t="s">
        <v>5400</v>
      </c>
      <c r="N10" s="9">
        <v>1</v>
      </c>
      <c r="O10" s="104">
        <v>102002</v>
      </c>
      <c r="P10" s="104" t="s">
        <v>408</v>
      </c>
      <c r="Q10" s="74">
        <v>81</v>
      </c>
      <c r="R10" s="194">
        <v>120</v>
      </c>
    </row>
    <row r="11" spans="1:18" ht="16.8" customHeight="1">
      <c r="A11" s="1">
        <v>102003</v>
      </c>
      <c r="B11" s="57" t="s">
        <v>5712</v>
      </c>
      <c r="C11" s="9" t="s">
        <v>5882</v>
      </c>
      <c r="D11" s="9" t="s">
        <v>3640</v>
      </c>
      <c r="E11" s="9">
        <v>1</v>
      </c>
      <c r="F11" s="9" t="s">
        <v>5402</v>
      </c>
      <c r="G11" s="9" t="s">
        <v>5403</v>
      </c>
      <c r="H11" s="9" t="s">
        <v>5388</v>
      </c>
      <c r="I11" s="9"/>
      <c r="J11" s="9">
        <v>2</v>
      </c>
      <c r="K11" s="69" t="s">
        <v>5713</v>
      </c>
      <c r="L11" s="9" t="s">
        <v>5405</v>
      </c>
      <c r="M11" s="190" t="s">
        <v>5406</v>
      </c>
      <c r="N11" s="9">
        <v>0</v>
      </c>
      <c r="O11" s="104">
        <v>102003</v>
      </c>
      <c r="P11" s="104" t="s">
        <v>465</v>
      </c>
      <c r="Q11" s="74">
        <v>83</v>
      </c>
      <c r="R11" s="194">
        <v>120</v>
      </c>
    </row>
    <row r="12" spans="1:18" ht="16.8" customHeight="1">
      <c r="A12" s="1">
        <v>102005</v>
      </c>
      <c r="B12" s="57" t="s">
        <v>5714</v>
      </c>
      <c r="C12" s="9" t="s">
        <v>5882</v>
      </c>
      <c r="D12" s="9" t="s">
        <v>3640</v>
      </c>
      <c r="E12" s="9">
        <v>2</v>
      </c>
      <c r="F12" s="9" t="s">
        <v>5387</v>
      </c>
      <c r="G12" s="9" t="s">
        <v>5407</v>
      </c>
      <c r="H12" s="9" t="s">
        <v>5388</v>
      </c>
      <c r="I12" s="9"/>
      <c r="J12" s="9">
        <v>2</v>
      </c>
      <c r="K12" s="69" t="s">
        <v>5715</v>
      </c>
      <c r="L12" s="9" t="s">
        <v>5409</v>
      </c>
      <c r="M12" s="190" t="s">
        <v>5391</v>
      </c>
      <c r="N12" s="9">
        <v>0</v>
      </c>
      <c r="O12" s="104">
        <v>102005</v>
      </c>
      <c r="P12" s="104" t="s">
        <v>525</v>
      </c>
      <c r="Q12" s="74">
        <v>84</v>
      </c>
      <c r="R12" s="194">
        <v>120</v>
      </c>
    </row>
    <row r="13" spans="1:18" s="21" customFormat="1" ht="16.8" customHeight="1">
      <c r="A13" s="22">
        <v>102006</v>
      </c>
      <c r="B13" s="57" t="s">
        <v>5716</v>
      </c>
      <c r="C13" s="13" t="s">
        <v>5882</v>
      </c>
      <c r="D13" s="9" t="s">
        <v>3640</v>
      </c>
      <c r="E13" s="13">
        <v>1</v>
      </c>
      <c r="F13" s="13" t="s">
        <v>5387</v>
      </c>
      <c r="G13" s="9" t="s">
        <v>5410</v>
      </c>
      <c r="H13" s="13" t="s">
        <v>5388</v>
      </c>
      <c r="I13" s="13"/>
      <c r="J13" s="13">
        <v>2</v>
      </c>
      <c r="K13" s="69" t="s">
        <v>5717</v>
      </c>
      <c r="L13" s="13" t="s">
        <v>5412</v>
      </c>
      <c r="M13" s="13" t="s">
        <v>5391</v>
      </c>
      <c r="N13" s="13">
        <v>0</v>
      </c>
      <c r="O13" s="22">
        <v>102006</v>
      </c>
      <c r="P13" s="22" t="s">
        <v>579</v>
      </c>
      <c r="Q13" s="21">
        <v>85</v>
      </c>
      <c r="R13" s="195">
        <v>120</v>
      </c>
    </row>
    <row r="14" spans="1:18" s="21" customFormat="1" ht="16.8" customHeight="1">
      <c r="A14" s="22">
        <v>102007</v>
      </c>
      <c r="B14" s="57" t="s">
        <v>5718</v>
      </c>
      <c r="C14" s="13" t="s">
        <v>5882</v>
      </c>
      <c r="D14" s="9" t="s">
        <v>3640</v>
      </c>
      <c r="E14" s="13">
        <v>1</v>
      </c>
      <c r="F14" s="13" t="s">
        <v>5387</v>
      </c>
      <c r="G14" s="9" t="s">
        <v>5414</v>
      </c>
      <c r="H14" s="13" t="s">
        <v>5388</v>
      </c>
      <c r="I14" s="13"/>
      <c r="J14" s="13">
        <v>2</v>
      </c>
      <c r="K14" s="69" t="s">
        <v>5719</v>
      </c>
      <c r="L14" s="13" t="s">
        <v>5416</v>
      </c>
      <c r="M14" s="13" t="s">
        <v>5391</v>
      </c>
      <c r="N14" s="13">
        <v>0</v>
      </c>
      <c r="O14" s="22">
        <v>102007</v>
      </c>
      <c r="P14" s="12" t="s">
        <v>622</v>
      </c>
      <c r="Q14" s="74">
        <v>550</v>
      </c>
      <c r="R14" s="194">
        <v>120</v>
      </c>
    </row>
    <row r="15" spans="1:18" ht="16.8" customHeight="1">
      <c r="A15" s="1">
        <v>103000</v>
      </c>
      <c r="B15" s="57" t="s">
        <v>5720</v>
      </c>
      <c r="C15" s="9" t="s">
        <v>5883</v>
      </c>
      <c r="D15" s="9" t="s">
        <v>3640</v>
      </c>
      <c r="E15" s="9">
        <v>1</v>
      </c>
      <c r="F15" s="9" t="s">
        <v>5418</v>
      </c>
      <c r="G15" s="9" t="s">
        <v>5419</v>
      </c>
      <c r="H15" s="9"/>
      <c r="I15" s="9"/>
      <c r="J15" s="9">
        <v>3</v>
      </c>
      <c r="K15" s="69" t="s">
        <v>5721</v>
      </c>
      <c r="L15" s="9" t="s">
        <v>5420</v>
      </c>
      <c r="M15" s="190" t="s">
        <v>5421</v>
      </c>
      <c r="N15" s="9">
        <v>1</v>
      </c>
      <c r="O15" s="1">
        <v>103000</v>
      </c>
      <c r="P15" s="11" t="s">
        <v>5417</v>
      </c>
      <c r="R15" s="194"/>
    </row>
    <row r="16" spans="1:18" s="77" customFormat="1" ht="16.8" customHeight="1">
      <c r="A16" s="1">
        <v>103001</v>
      </c>
      <c r="B16" s="57" t="s">
        <v>5722</v>
      </c>
      <c r="C16" s="9" t="s">
        <v>5883</v>
      </c>
      <c r="D16" s="9" t="s">
        <v>3640</v>
      </c>
      <c r="E16" s="9">
        <v>1</v>
      </c>
      <c r="F16" s="9" t="s">
        <v>5418</v>
      </c>
      <c r="G16" s="9" t="s">
        <v>5422</v>
      </c>
      <c r="H16" s="9" t="s">
        <v>5419</v>
      </c>
      <c r="I16" s="9"/>
      <c r="J16" s="9">
        <v>3</v>
      </c>
      <c r="K16" s="69" t="s">
        <v>5723</v>
      </c>
      <c r="L16" s="9" t="s">
        <v>5424</v>
      </c>
      <c r="M16" s="190" t="s">
        <v>5421</v>
      </c>
      <c r="N16" s="9">
        <v>1</v>
      </c>
      <c r="O16" s="104">
        <v>103001</v>
      </c>
      <c r="P16" s="104" t="s">
        <v>668</v>
      </c>
      <c r="Q16" s="74">
        <v>89</v>
      </c>
      <c r="R16" s="194">
        <v>123</v>
      </c>
    </row>
    <row r="17" spans="1:19" s="77" customFormat="1" ht="16.8" customHeight="1">
      <c r="A17" s="1">
        <v>103002</v>
      </c>
      <c r="B17" s="57" t="s">
        <v>5724</v>
      </c>
      <c r="C17" s="9" t="s">
        <v>5883</v>
      </c>
      <c r="D17" s="9" t="s">
        <v>3640</v>
      </c>
      <c r="E17" s="9">
        <v>1</v>
      </c>
      <c r="F17" s="9" t="s">
        <v>5418</v>
      </c>
      <c r="G17" s="9" t="s">
        <v>5426</v>
      </c>
      <c r="H17" s="9" t="s">
        <v>5419</v>
      </c>
      <c r="I17" s="9"/>
      <c r="J17" s="9">
        <v>3</v>
      </c>
      <c r="K17" s="69" t="s">
        <v>5725</v>
      </c>
      <c r="L17" s="9" t="s">
        <v>5428</v>
      </c>
      <c r="M17" s="190" t="s">
        <v>5421</v>
      </c>
      <c r="N17" s="9">
        <v>1</v>
      </c>
      <c r="O17" s="104">
        <v>103002</v>
      </c>
      <c r="P17" s="104" t="s">
        <v>722</v>
      </c>
      <c r="Q17" s="74">
        <v>119</v>
      </c>
      <c r="R17" s="194">
        <v>123</v>
      </c>
    </row>
    <row r="18" spans="1:19" s="18" customFormat="1" ht="16.8" customHeight="1">
      <c r="A18" s="1">
        <v>104000</v>
      </c>
      <c r="B18" s="57" t="s">
        <v>5726</v>
      </c>
      <c r="C18" s="9" t="s">
        <v>5884</v>
      </c>
      <c r="D18" s="9" t="s">
        <v>3640</v>
      </c>
      <c r="E18" s="9">
        <v>1</v>
      </c>
      <c r="F18" s="9" t="s">
        <v>5430</v>
      </c>
      <c r="G18" s="9" t="s">
        <v>5431</v>
      </c>
      <c r="H18" s="9"/>
      <c r="I18" s="9"/>
      <c r="J18" s="9">
        <v>4</v>
      </c>
      <c r="K18" s="69" t="s">
        <v>5727</v>
      </c>
      <c r="L18" s="9" t="s">
        <v>5433</v>
      </c>
      <c r="M18" s="190" t="s">
        <v>5434</v>
      </c>
      <c r="N18" s="9">
        <v>1</v>
      </c>
      <c r="O18" s="1">
        <v>104000</v>
      </c>
      <c r="P18" s="11" t="s">
        <v>5429</v>
      </c>
      <c r="Q18" s="74"/>
      <c r="R18" s="194"/>
      <c r="S18" s="196"/>
    </row>
    <row r="19" spans="1:19" s="18" customFormat="1" ht="16.8" customHeight="1">
      <c r="A19" s="1">
        <v>104001</v>
      </c>
      <c r="B19" s="57" t="s">
        <v>5728</v>
      </c>
      <c r="C19" s="9" t="s">
        <v>5884</v>
      </c>
      <c r="D19" s="9" t="s">
        <v>3640</v>
      </c>
      <c r="E19" s="9">
        <v>1</v>
      </c>
      <c r="F19" s="9" t="s">
        <v>5430</v>
      </c>
      <c r="G19" s="9" t="s">
        <v>5435</v>
      </c>
      <c r="H19" s="9" t="s">
        <v>5436</v>
      </c>
      <c r="I19" s="9"/>
      <c r="J19" s="9">
        <v>4</v>
      </c>
      <c r="K19" s="59" t="s">
        <v>5729</v>
      </c>
      <c r="L19" s="9" t="s">
        <v>5438</v>
      </c>
      <c r="M19" s="190" t="s">
        <v>5434</v>
      </c>
      <c r="N19" s="9">
        <v>1</v>
      </c>
      <c r="O19" s="104">
        <v>104001</v>
      </c>
      <c r="P19" s="104" t="s">
        <v>782</v>
      </c>
      <c r="Q19" s="74">
        <v>90</v>
      </c>
      <c r="R19" s="194">
        <v>122</v>
      </c>
      <c r="S19" s="196"/>
    </row>
    <row r="20" spans="1:19" s="18" customFormat="1" ht="16.8" customHeight="1">
      <c r="A20" s="1">
        <v>104002</v>
      </c>
      <c r="B20" s="57" t="s">
        <v>5730</v>
      </c>
      <c r="C20" s="9" t="s">
        <v>5884</v>
      </c>
      <c r="D20" s="9" t="s">
        <v>3640</v>
      </c>
      <c r="E20" s="9">
        <v>1</v>
      </c>
      <c r="F20" s="9" t="s">
        <v>5430</v>
      </c>
      <c r="G20" s="9" t="s">
        <v>5439</v>
      </c>
      <c r="H20" s="9" t="s">
        <v>5436</v>
      </c>
      <c r="I20" s="9"/>
      <c r="J20" s="9">
        <v>4</v>
      </c>
      <c r="K20" s="59" t="s">
        <v>5731</v>
      </c>
      <c r="L20" s="9" t="s">
        <v>5441</v>
      </c>
      <c r="M20" s="190" t="s">
        <v>5434</v>
      </c>
      <c r="N20" s="9">
        <v>1</v>
      </c>
      <c r="O20" s="104">
        <v>104002</v>
      </c>
      <c r="P20" s="104" t="s">
        <v>836</v>
      </c>
      <c r="Q20" s="74">
        <v>91</v>
      </c>
      <c r="R20" s="194">
        <v>122</v>
      </c>
      <c r="S20" s="196"/>
    </row>
    <row r="21" spans="1:19" ht="16.8" customHeight="1">
      <c r="A21" s="1">
        <v>104003</v>
      </c>
      <c r="B21" s="57" t="s">
        <v>5732</v>
      </c>
      <c r="C21" s="9" t="s">
        <v>5884</v>
      </c>
      <c r="D21" s="9" t="s">
        <v>3640</v>
      </c>
      <c r="E21" s="9">
        <v>1</v>
      </c>
      <c r="F21" s="9" t="s">
        <v>5430</v>
      </c>
      <c r="G21" s="9" t="s">
        <v>5442</v>
      </c>
      <c r="H21" s="9" t="s">
        <v>5436</v>
      </c>
      <c r="I21" s="9"/>
      <c r="J21" s="9">
        <v>4</v>
      </c>
      <c r="K21" s="59" t="s">
        <v>5733</v>
      </c>
      <c r="L21" s="9" t="s">
        <v>5444</v>
      </c>
      <c r="M21" s="190" t="s">
        <v>5434</v>
      </c>
      <c r="N21" s="9">
        <v>1</v>
      </c>
      <c r="O21" s="104">
        <v>104003</v>
      </c>
      <c r="P21" s="104" t="s">
        <v>897</v>
      </c>
      <c r="Q21" s="74">
        <v>92</v>
      </c>
      <c r="R21" s="194">
        <v>122</v>
      </c>
    </row>
    <row r="22" spans="1:19" ht="16.8" customHeight="1">
      <c r="A22" s="1">
        <v>104004</v>
      </c>
      <c r="B22" s="57" t="s">
        <v>5734</v>
      </c>
      <c r="C22" s="9" t="s">
        <v>5884</v>
      </c>
      <c r="D22" s="9" t="s">
        <v>3640</v>
      </c>
      <c r="E22" s="9">
        <v>1</v>
      </c>
      <c r="F22" s="9" t="s">
        <v>5430</v>
      </c>
      <c r="G22" s="9" t="s">
        <v>5445</v>
      </c>
      <c r="H22" s="9" t="s">
        <v>5436</v>
      </c>
      <c r="I22" s="9"/>
      <c r="J22" s="9">
        <v>4</v>
      </c>
      <c r="K22" s="59" t="s">
        <v>5735</v>
      </c>
      <c r="L22" s="9" t="s">
        <v>5447</v>
      </c>
      <c r="M22" s="190" t="s">
        <v>5434</v>
      </c>
      <c r="N22" s="9">
        <v>1</v>
      </c>
      <c r="O22" s="104">
        <v>104004</v>
      </c>
      <c r="P22" s="104" t="s">
        <v>954</v>
      </c>
      <c r="Q22" s="74">
        <v>502</v>
      </c>
      <c r="R22" s="194">
        <v>122</v>
      </c>
    </row>
    <row r="23" spans="1:19" ht="16.8" customHeight="1">
      <c r="A23" s="1">
        <v>105000</v>
      </c>
      <c r="B23" s="57" t="s">
        <v>5736</v>
      </c>
      <c r="C23" s="9" t="s">
        <v>5885</v>
      </c>
      <c r="D23" s="9" t="s">
        <v>3640</v>
      </c>
      <c r="E23" s="9">
        <v>2</v>
      </c>
      <c r="F23" s="9" t="s">
        <v>5449</v>
      </c>
      <c r="G23" s="9" t="s">
        <v>5450</v>
      </c>
      <c r="H23" s="9"/>
      <c r="I23" s="9"/>
      <c r="J23" s="9">
        <v>5</v>
      </c>
      <c r="K23" s="59" t="s">
        <v>5737</v>
      </c>
      <c r="L23" s="9" t="s">
        <v>5452</v>
      </c>
      <c r="M23" s="190" t="s">
        <v>5453</v>
      </c>
      <c r="N23" s="9">
        <v>1</v>
      </c>
      <c r="O23" s="1">
        <v>105000</v>
      </c>
      <c r="P23" s="11" t="s">
        <v>5448</v>
      </c>
      <c r="R23" s="194"/>
    </row>
    <row r="24" spans="1:19" ht="16.8" customHeight="1">
      <c r="A24" s="1">
        <v>105001</v>
      </c>
      <c r="B24" s="57" t="s">
        <v>5738</v>
      </c>
      <c r="C24" s="9" t="s">
        <v>5885</v>
      </c>
      <c r="D24" s="9" t="s">
        <v>3640</v>
      </c>
      <c r="E24" s="9">
        <v>2</v>
      </c>
      <c r="F24" s="9" t="s">
        <v>5449</v>
      </c>
      <c r="G24" s="9" t="s">
        <v>5454</v>
      </c>
      <c r="H24" s="9" t="s">
        <v>5450</v>
      </c>
      <c r="I24" s="9"/>
      <c r="J24" s="9">
        <v>5</v>
      </c>
      <c r="K24" s="59" t="s">
        <v>5739</v>
      </c>
      <c r="L24" s="9" t="s">
        <v>5456</v>
      </c>
      <c r="M24" s="190" t="s">
        <v>5453</v>
      </c>
      <c r="N24" s="9">
        <v>0</v>
      </c>
      <c r="O24" s="104">
        <v>105001</v>
      </c>
      <c r="P24" s="104" t="s">
        <v>1024</v>
      </c>
      <c r="Q24" s="74">
        <v>93</v>
      </c>
      <c r="R24" s="194">
        <v>126</v>
      </c>
    </row>
    <row r="25" spans="1:19" s="181" customFormat="1" ht="16.8" customHeight="1">
      <c r="A25" s="189">
        <v>105002</v>
      </c>
      <c r="B25" s="57" t="s">
        <v>5740</v>
      </c>
      <c r="C25" s="15" t="s">
        <v>5885</v>
      </c>
      <c r="D25" s="9" t="s">
        <v>3640</v>
      </c>
      <c r="E25" s="15">
        <v>2</v>
      </c>
      <c r="F25" s="15" t="s">
        <v>5449</v>
      </c>
      <c r="G25" s="9" t="s">
        <v>5457</v>
      </c>
      <c r="H25" s="15" t="s">
        <v>5450</v>
      </c>
      <c r="I25" s="15"/>
      <c r="J25" s="15">
        <v>5</v>
      </c>
      <c r="K25" s="59" t="s">
        <v>5741</v>
      </c>
      <c r="L25" s="15" t="s">
        <v>5459</v>
      </c>
      <c r="M25" s="191" t="s">
        <v>5453</v>
      </c>
      <c r="N25" s="15">
        <v>1</v>
      </c>
      <c r="O25" s="189">
        <v>105002</v>
      </c>
      <c r="P25" s="189" t="s">
        <v>1081</v>
      </c>
      <c r="Q25" s="181">
        <v>4115</v>
      </c>
      <c r="R25" s="197">
        <v>126</v>
      </c>
    </row>
    <row r="26" spans="1:19" ht="16.8" customHeight="1">
      <c r="A26" s="1">
        <v>106000</v>
      </c>
      <c r="B26" s="57" t="s">
        <v>5742</v>
      </c>
      <c r="C26" s="9" t="s">
        <v>5886</v>
      </c>
      <c r="D26" s="9" t="s">
        <v>3640</v>
      </c>
      <c r="E26" s="9">
        <v>2</v>
      </c>
      <c r="F26" s="9" t="s">
        <v>5461</v>
      </c>
      <c r="G26" s="9" t="s">
        <v>5462</v>
      </c>
      <c r="H26" s="9"/>
      <c r="I26" s="9"/>
      <c r="J26" s="9">
        <v>6</v>
      </c>
      <c r="K26" s="59" t="s">
        <v>5743</v>
      </c>
      <c r="L26" s="9" t="s">
        <v>5464</v>
      </c>
      <c r="M26" s="190" t="s">
        <v>5465</v>
      </c>
      <c r="N26" s="9">
        <v>1</v>
      </c>
      <c r="O26" s="1">
        <v>106000</v>
      </c>
      <c r="P26" s="11" t="s">
        <v>5460</v>
      </c>
      <c r="R26" s="194"/>
    </row>
    <row r="27" spans="1:19" ht="16.8" customHeight="1">
      <c r="A27" s="1">
        <v>106001</v>
      </c>
      <c r="B27" s="57" t="s">
        <v>5744</v>
      </c>
      <c r="C27" s="9" t="s">
        <v>5886</v>
      </c>
      <c r="D27" s="9" t="s">
        <v>3640</v>
      </c>
      <c r="E27" s="9">
        <v>2</v>
      </c>
      <c r="F27" s="9" t="s">
        <v>5461</v>
      </c>
      <c r="G27" s="9" t="s">
        <v>5466</v>
      </c>
      <c r="H27" s="9" t="s">
        <v>5462</v>
      </c>
      <c r="I27" s="9"/>
      <c r="J27" s="9">
        <v>6</v>
      </c>
      <c r="K27" s="59" t="s">
        <v>5745</v>
      </c>
      <c r="L27" s="9" t="s">
        <v>5468</v>
      </c>
      <c r="M27" s="190" t="s">
        <v>5465</v>
      </c>
      <c r="N27" s="9">
        <v>1</v>
      </c>
      <c r="O27" s="104">
        <v>106001</v>
      </c>
      <c r="P27" s="104" t="s">
        <v>1142</v>
      </c>
      <c r="Q27" s="74">
        <v>94</v>
      </c>
      <c r="R27" s="194">
        <v>127</v>
      </c>
    </row>
    <row r="28" spans="1:19" ht="16.8" customHeight="1">
      <c r="A28" s="1">
        <v>106002</v>
      </c>
      <c r="B28" s="57" t="s">
        <v>5746</v>
      </c>
      <c r="C28" s="9" t="s">
        <v>5886</v>
      </c>
      <c r="D28" s="9" t="s">
        <v>3640</v>
      </c>
      <c r="E28" s="9">
        <v>1</v>
      </c>
      <c r="F28" s="9" t="s">
        <v>5461</v>
      </c>
      <c r="G28" s="9" t="s">
        <v>5469</v>
      </c>
      <c r="H28" s="9" t="s">
        <v>5462</v>
      </c>
      <c r="I28" s="9"/>
      <c r="J28" s="9">
        <v>6</v>
      </c>
      <c r="K28" s="59" t="s">
        <v>5747</v>
      </c>
      <c r="L28" s="10" t="s">
        <v>5471</v>
      </c>
      <c r="M28" s="190" t="s">
        <v>5465</v>
      </c>
      <c r="N28" s="9">
        <v>0</v>
      </c>
      <c r="O28" s="104">
        <v>106001</v>
      </c>
      <c r="P28" s="104" t="s">
        <v>1142</v>
      </c>
      <c r="Q28" s="74">
        <v>562</v>
      </c>
      <c r="R28" s="194">
        <v>127</v>
      </c>
    </row>
    <row r="29" spans="1:19" ht="16.8" customHeight="1">
      <c r="A29" s="1">
        <v>109000</v>
      </c>
      <c r="B29" s="57" t="s">
        <v>5748</v>
      </c>
      <c r="C29" s="9" t="s">
        <v>5887</v>
      </c>
      <c r="D29" s="9" t="s">
        <v>3640</v>
      </c>
      <c r="E29" s="9">
        <v>1</v>
      </c>
      <c r="F29" s="9" t="s">
        <v>5473</v>
      </c>
      <c r="G29" s="9" t="s">
        <v>5474</v>
      </c>
      <c r="H29" s="9" t="s">
        <v>5474</v>
      </c>
      <c r="I29" s="9"/>
      <c r="J29" s="9">
        <v>9</v>
      </c>
      <c r="K29" s="59" t="s">
        <v>5749</v>
      </c>
      <c r="L29" s="9" t="s">
        <v>5476</v>
      </c>
      <c r="M29" s="9" t="s">
        <v>5477</v>
      </c>
      <c r="N29" s="9">
        <v>1</v>
      </c>
      <c r="O29" s="1">
        <v>109000</v>
      </c>
      <c r="P29" s="11" t="s">
        <v>5472</v>
      </c>
      <c r="R29" s="194"/>
    </row>
    <row r="30" spans="1:19" ht="16.8" customHeight="1">
      <c r="A30" s="1">
        <v>109001</v>
      </c>
      <c r="B30" s="57" t="s">
        <v>5750</v>
      </c>
      <c r="C30" s="9" t="s">
        <v>5887</v>
      </c>
      <c r="D30" s="9" t="s">
        <v>3640</v>
      </c>
      <c r="E30" s="9">
        <v>1</v>
      </c>
      <c r="F30" s="9" t="s">
        <v>5473</v>
      </c>
      <c r="G30" s="9" t="s">
        <v>5478</v>
      </c>
      <c r="H30" s="9" t="s">
        <v>5474</v>
      </c>
      <c r="I30" s="9"/>
      <c r="J30" s="9">
        <v>9</v>
      </c>
      <c r="K30" s="59" t="s">
        <v>5751</v>
      </c>
      <c r="L30" s="9" t="s">
        <v>5480</v>
      </c>
      <c r="M30" s="9" t="s">
        <v>5477</v>
      </c>
      <c r="N30" s="9">
        <v>1</v>
      </c>
      <c r="O30" s="104">
        <v>109001</v>
      </c>
      <c r="P30" s="104" t="s">
        <v>1240</v>
      </c>
      <c r="Q30" s="74">
        <v>95</v>
      </c>
      <c r="R30" s="194">
        <v>125</v>
      </c>
    </row>
    <row r="31" spans="1:19" s="181" customFormat="1" ht="16.8" customHeight="1">
      <c r="A31" s="189">
        <v>109002</v>
      </c>
      <c r="B31" s="57" t="s">
        <v>5752</v>
      </c>
      <c r="C31" s="15" t="s">
        <v>5887</v>
      </c>
      <c r="D31" s="9" t="s">
        <v>3640</v>
      </c>
      <c r="E31" s="15">
        <v>1</v>
      </c>
      <c r="F31" s="15" t="s">
        <v>5473</v>
      </c>
      <c r="G31" s="9" t="s">
        <v>5481</v>
      </c>
      <c r="H31" s="15" t="s">
        <v>5474</v>
      </c>
      <c r="I31" s="15"/>
      <c r="J31" s="15">
        <v>9</v>
      </c>
      <c r="K31" s="59" t="s">
        <v>5753</v>
      </c>
      <c r="L31" s="15" t="s">
        <v>5483</v>
      </c>
      <c r="M31" s="15" t="s">
        <v>5477</v>
      </c>
      <c r="N31" s="15">
        <v>1</v>
      </c>
      <c r="O31" s="189">
        <v>109002</v>
      </c>
      <c r="P31" s="189" t="s">
        <v>1297</v>
      </c>
      <c r="Q31" s="181">
        <v>4117</v>
      </c>
      <c r="R31" s="198">
        <v>125</v>
      </c>
    </row>
    <row r="32" spans="1:19" ht="16.8" customHeight="1">
      <c r="A32" s="1">
        <v>110000</v>
      </c>
      <c r="B32" s="57" t="s">
        <v>5754</v>
      </c>
      <c r="C32" s="9" t="s">
        <v>5888</v>
      </c>
      <c r="D32" s="9" t="s">
        <v>3640</v>
      </c>
      <c r="E32" s="9">
        <v>1</v>
      </c>
      <c r="F32" s="9" t="s">
        <v>5485</v>
      </c>
      <c r="G32" s="9" t="s">
        <v>5486</v>
      </c>
      <c r="H32" s="9"/>
      <c r="I32" s="9"/>
      <c r="J32" s="9">
        <v>10</v>
      </c>
      <c r="K32" s="59" t="s">
        <v>5755</v>
      </c>
      <c r="L32" s="9" t="s">
        <v>5488</v>
      </c>
      <c r="M32" s="9" t="s">
        <v>5489</v>
      </c>
      <c r="N32" s="9">
        <v>1</v>
      </c>
      <c r="O32" s="1">
        <v>110000</v>
      </c>
      <c r="P32" s="11" t="s">
        <v>5484</v>
      </c>
      <c r="R32" s="194"/>
    </row>
    <row r="33" spans="1:18" ht="16.8" customHeight="1">
      <c r="A33" s="1">
        <v>110001</v>
      </c>
      <c r="B33" s="57" t="s">
        <v>5756</v>
      </c>
      <c r="C33" s="9" t="s">
        <v>5888</v>
      </c>
      <c r="D33" s="9" t="s">
        <v>3640</v>
      </c>
      <c r="E33" s="9">
        <v>1</v>
      </c>
      <c r="F33" s="9" t="s">
        <v>5485</v>
      </c>
      <c r="G33" s="9" t="s">
        <v>5490</v>
      </c>
      <c r="H33" s="9" t="s">
        <v>5486</v>
      </c>
      <c r="I33" s="9"/>
      <c r="J33" s="9">
        <v>10</v>
      </c>
      <c r="K33" s="59" t="s">
        <v>5757</v>
      </c>
      <c r="L33" s="9" t="s">
        <v>5492</v>
      </c>
      <c r="M33" s="9" t="s">
        <v>5489</v>
      </c>
      <c r="N33" s="9">
        <v>1</v>
      </c>
      <c r="O33" s="104">
        <v>110001</v>
      </c>
      <c r="P33" s="104" t="s">
        <v>1354</v>
      </c>
      <c r="Q33" s="74">
        <v>96</v>
      </c>
      <c r="R33" s="194">
        <v>124</v>
      </c>
    </row>
    <row r="34" spans="1:18" s="181" customFormat="1" ht="16.8" customHeight="1">
      <c r="A34" s="189">
        <v>110002</v>
      </c>
      <c r="B34" s="57" t="s">
        <v>5758</v>
      </c>
      <c r="C34" s="15" t="s">
        <v>5888</v>
      </c>
      <c r="D34" s="9" t="s">
        <v>3640</v>
      </c>
      <c r="E34" s="15">
        <v>1</v>
      </c>
      <c r="F34" s="15" t="s">
        <v>5485</v>
      </c>
      <c r="G34" s="9" t="s">
        <v>5493</v>
      </c>
      <c r="H34" s="15" t="s">
        <v>5486</v>
      </c>
      <c r="I34" s="15"/>
      <c r="J34" s="15">
        <v>10</v>
      </c>
      <c r="K34" s="59" t="s">
        <v>5759</v>
      </c>
      <c r="L34" s="15" t="s">
        <v>5495</v>
      </c>
      <c r="M34" s="15" t="s">
        <v>5489</v>
      </c>
      <c r="N34" s="15">
        <v>1</v>
      </c>
      <c r="O34" s="189">
        <v>110002</v>
      </c>
      <c r="P34" s="189" t="s">
        <v>1413</v>
      </c>
      <c r="Q34" s="181">
        <v>4116</v>
      </c>
      <c r="R34" s="198">
        <v>124</v>
      </c>
    </row>
    <row r="35" spans="1:18" ht="16.8" customHeight="1">
      <c r="A35" s="3">
        <v>110003</v>
      </c>
      <c r="B35" s="57" t="s">
        <v>5760</v>
      </c>
      <c r="C35" s="18" t="s">
        <v>5888</v>
      </c>
      <c r="D35" s="9" t="s">
        <v>3640</v>
      </c>
      <c r="E35" s="18">
        <v>1</v>
      </c>
      <c r="F35" s="18" t="s">
        <v>5485</v>
      </c>
      <c r="G35" s="10" t="s">
        <v>5496</v>
      </c>
      <c r="H35" s="18" t="s">
        <v>5486</v>
      </c>
      <c r="I35" s="18"/>
      <c r="J35" s="18">
        <v>10</v>
      </c>
      <c r="K35" s="59" t="s">
        <v>5761</v>
      </c>
      <c r="L35" s="25" t="s">
        <v>5498</v>
      </c>
      <c r="M35" s="18" t="s">
        <v>5489</v>
      </c>
      <c r="N35" s="18">
        <v>1</v>
      </c>
      <c r="O35" s="3">
        <v>110002</v>
      </c>
      <c r="P35" s="3"/>
      <c r="Q35" s="74">
        <v>526</v>
      </c>
      <c r="R35" s="194">
        <v>124</v>
      </c>
    </row>
    <row r="36" spans="1:18" ht="16.8" customHeight="1">
      <c r="A36" s="3">
        <v>110004</v>
      </c>
      <c r="B36" s="57" t="s">
        <v>5762</v>
      </c>
      <c r="C36" s="18" t="s">
        <v>5888</v>
      </c>
      <c r="D36" s="9" t="s">
        <v>3640</v>
      </c>
      <c r="E36" s="18">
        <v>1</v>
      </c>
      <c r="F36" s="18" t="s">
        <v>5485</v>
      </c>
      <c r="G36" s="10" t="s">
        <v>5499</v>
      </c>
      <c r="H36" s="18" t="s">
        <v>5486</v>
      </c>
      <c r="I36" s="18"/>
      <c r="J36" s="18">
        <v>10</v>
      </c>
      <c r="K36" s="59" t="s">
        <v>5763</v>
      </c>
      <c r="L36" s="25" t="s">
        <v>5501</v>
      </c>
      <c r="M36" s="18" t="s">
        <v>5489</v>
      </c>
      <c r="N36" s="18">
        <v>1</v>
      </c>
      <c r="O36" s="3">
        <v>110002</v>
      </c>
      <c r="P36" s="3"/>
      <c r="Q36" s="74">
        <v>514</v>
      </c>
      <c r="R36" s="194">
        <v>124</v>
      </c>
    </row>
    <row r="37" spans="1:18" ht="16.8" customHeight="1">
      <c r="A37" s="1">
        <v>111000</v>
      </c>
      <c r="B37" s="57" t="s">
        <v>5764</v>
      </c>
      <c r="C37" s="11" t="s">
        <v>5889</v>
      </c>
      <c r="D37" s="9" t="s">
        <v>3640</v>
      </c>
      <c r="E37" s="11">
        <v>1</v>
      </c>
      <c r="F37" s="11" t="s">
        <v>5503</v>
      </c>
      <c r="G37" s="11" t="s">
        <v>5504</v>
      </c>
      <c r="H37" s="11"/>
      <c r="I37" s="11"/>
      <c r="J37" s="11">
        <v>11</v>
      </c>
      <c r="K37" s="59" t="s">
        <v>5765</v>
      </c>
      <c r="L37" s="9" t="s">
        <v>5506</v>
      </c>
      <c r="M37" s="9" t="s">
        <v>5507</v>
      </c>
      <c r="N37" s="9">
        <v>1</v>
      </c>
      <c r="O37" s="1">
        <v>111000</v>
      </c>
      <c r="P37" s="11" t="s">
        <v>5502</v>
      </c>
      <c r="R37" s="194"/>
    </row>
    <row r="38" spans="1:18" s="21" customFormat="1" ht="16.8" customHeight="1">
      <c r="A38" s="22">
        <v>111001</v>
      </c>
      <c r="B38" s="57" t="s">
        <v>5766</v>
      </c>
      <c r="C38" s="12" t="s">
        <v>5889</v>
      </c>
      <c r="D38" s="9" t="s">
        <v>3640</v>
      </c>
      <c r="E38" s="12">
        <v>1</v>
      </c>
      <c r="F38" s="12" t="s">
        <v>5503</v>
      </c>
      <c r="G38" s="9" t="s">
        <v>5508</v>
      </c>
      <c r="H38" s="12" t="s">
        <v>5504</v>
      </c>
      <c r="I38" s="12"/>
      <c r="J38" s="12">
        <v>11</v>
      </c>
      <c r="K38" s="59" t="s">
        <v>5767</v>
      </c>
      <c r="L38" s="13" t="s">
        <v>5510</v>
      </c>
      <c r="M38" s="13" t="s">
        <v>5507</v>
      </c>
      <c r="N38" s="13">
        <v>1</v>
      </c>
      <c r="O38" s="22">
        <v>111001</v>
      </c>
      <c r="P38" s="22" t="s">
        <v>1518</v>
      </c>
      <c r="Q38" s="21">
        <v>97</v>
      </c>
      <c r="R38" s="195">
        <v>130</v>
      </c>
    </row>
    <row r="39" spans="1:18" s="21" customFormat="1" ht="16.8" customHeight="1">
      <c r="A39" s="22">
        <v>112000</v>
      </c>
      <c r="B39" s="57" t="s">
        <v>5768</v>
      </c>
      <c r="C39" s="13" t="s">
        <v>5890</v>
      </c>
      <c r="D39" s="9" t="s">
        <v>3640</v>
      </c>
      <c r="E39" s="13">
        <v>1</v>
      </c>
      <c r="F39" s="13" t="s">
        <v>5512</v>
      </c>
      <c r="G39" s="13" t="s">
        <v>5513</v>
      </c>
      <c r="H39" s="13"/>
      <c r="I39" s="13"/>
      <c r="J39" s="13">
        <v>12</v>
      </c>
      <c r="K39" s="59" t="s">
        <v>5769</v>
      </c>
      <c r="L39" s="13" t="s">
        <v>5515</v>
      </c>
      <c r="M39" s="13" t="s">
        <v>5516</v>
      </c>
      <c r="N39" s="13">
        <v>1</v>
      </c>
      <c r="O39" s="22">
        <v>112000</v>
      </c>
      <c r="P39" s="12" t="s">
        <v>5511</v>
      </c>
      <c r="R39" s="195"/>
    </row>
    <row r="40" spans="1:18" s="21" customFormat="1" ht="16.8" customHeight="1">
      <c r="A40" s="22">
        <v>112001</v>
      </c>
      <c r="B40" s="57" t="s">
        <v>5770</v>
      </c>
      <c r="C40" s="13" t="s">
        <v>5890</v>
      </c>
      <c r="D40" s="9" t="s">
        <v>3640</v>
      </c>
      <c r="E40" s="13">
        <v>1</v>
      </c>
      <c r="F40" s="13" t="s">
        <v>5512</v>
      </c>
      <c r="G40" s="9" t="s">
        <v>5517</v>
      </c>
      <c r="H40" s="13" t="s">
        <v>5513</v>
      </c>
      <c r="I40" s="13"/>
      <c r="J40" s="13">
        <v>12</v>
      </c>
      <c r="K40" s="59" t="s">
        <v>5771</v>
      </c>
      <c r="L40" s="13" t="s">
        <v>5519</v>
      </c>
      <c r="M40" s="13" t="s">
        <v>5516</v>
      </c>
      <c r="N40" s="13">
        <v>1</v>
      </c>
      <c r="O40" s="22">
        <v>112001</v>
      </c>
      <c r="P40" s="22" t="s">
        <v>1572</v>
      </c>
      <c r="Q40" s="21">
        <v>99</v>
      </c>
      <c r="R40" s="195">
        <v>128</v>
      </c>
    </row>
    <row r="41" spans="1:18" s="21" customFormat="1" ht="16.8" customHeight="1">
      <c r="A41" s="22">
        <v>113000</v>
      </c>
      <c r="B41" s="57" t="s">
        <v>5772</v>
      </c>
      <c r="C41" s="13" t="s">
        <v>5891</v>
      </c>
      <c r="D41" s="9" t="s">
        <v>3640</v>
      </c>
      <c r="E41" s="13">
        <v>1</v>
      </c>
      <c r="F41" s="13" t="s">
        <v>5521</v>
      </c>
      <c r="G41" s="13" t="s">
        <v>5522</v>
      </c>
      <c r="H41" s="13"/>
      <c r="I41" s="13"/>
      <c r="J41" s="13">
        <v>13</v>
      </c>
      <c r="K41" s="59" t="s">
        <v>5773</v>
      </c>
      <c r="L41" s="13" t="s">
        <v>5524</v>
      </c>
      <c r="M41" s="13" t="s">
        <v>5525</v>
      </c>
      <c r="N41" s="13">
        <v>1</v>
      </c>
      <c r="O41" s="22">
        <v>113000</v>
      </c>
      <c r="P41" s="22" t="s">
        <v>5520</v>
      </c>
      <c r="R41" s="195"/>
    </row>
    <row r="42" spans="1:18" s="21" customFormat="1" ht="16.8" customHeight="1">
      <c r="A42" s="22">
        <v>113001</v>
      </c>
      <c r="B42" s="57" t="s">
        <v>5774</v>
      </c>
      <c r="C42" s="13" t="s">
        <v>5891</v>
      </c>
      <c r="D42" s="9" t="s">
        <v>3640</v>
      </c>
      <c r="E42" s="13">
        <v>1</v>
      </c>
      <c r="F42" s="13" t="s">
        <v>5521</v>
      </c>
      <c r="G42" s="9" t="s">
        <v>5527</v>
      </c>
      <c r="H42" s="13" t="s">
        <v>5522</v>
      </c>
      <c r="I42" s="13"/>
      <c r="J42" s="13">
        <v>13</v>
      </c>
      <c r="K42" s="59" t="s">
        <v>5775</v>
      </c>
      <c r="L42" s="13" t="s">
        <v>5529</v>
      </c>
      <c r="M42" s="13" t="s">
        <v>5525</v>
      </c>
      <c r="N42" s="13">
        <v>0</v>
      </c>
      <c r="O42" s="22">
        <v>113001</v>
      </c>
      <c r="P42" s="22" t="s">
        <v>1628</v>
      </c>
      <c r="Q42" s="21">
        <v>4118</v>
      </c>
      <c r="R42" s="21">
        <v>4118</v>
      </c>
    </row>
    <row r="43" spans="1:18" s="21" customFormat="1" ht="16.8" customHeight="1">
      <c r="A43" s="22">
        <v>113002</v>
      </c>
      <c r="B43" s="57" t="s">
        <v>5776</v>
      </c>
      <c r="C43" s="13" t="s">
        <v>5891</v>
      </c>
      <c r="D43" s="9" t="s">
        <v>3640</v>
      </c>
      <c r="E43" s="13">
        <v>2</v>
      </c>
      <c r="F43" s="13" t="s">
        <v>5521</v>
      </c>
      <c r="G43" s="10" t="s">
        <v>5530</v>
      </c>
      <c r="H43" s="13" t="s">
        <v>5522</v>
      </c>
      <c r="I43" s="13"/>
      <c r="J43" s="13">
        <v>13</v>
      </c>
      <c r="K43" s="59" t="s">
        <v>5777</v>
      </c>
      <c r="L43" s="13" t="s">
        <v>5532</v>
      </c>
      <c r="M43" s="13" t="s">
        <v>5525</v>
      </c>
      <c r="N43" s="13">
        <v>1</v>
      </c>
      <c r="O43" s="22">
        <v>113001</v>
      </c>
      <c r="P43" s="22" t="s">
        <v>1628</v>
      </c>
      <c r="Q43" s="199">
        <v>4120</v>
      </c>
      <c r="R43" s="21">
        <v>4118</v>
      </c>
    </row>
    <row r="44" spans="1:18" s="21" customFormat="1" ht="16.8" customHeight="1">
      <c r="A44" s="22">
        <v>114000</v>
      </c>
      <c r="B44" s="57" t="s">
        <v>5778</v>
      </c>
      <c r="C44" s="13" t="s">
        <v>5892</v>
      </c>
      <c r="D44" s="9" t="s">
        <v>3640</v>
      </c>
      <c r="E44" s="13">
        <v>1</v>
      </c>
      <c r="F44" s="13" t="s">
        <v>5534</v>
      </c>
      <c r="G44" s="13" t="s">
        <v>5535</v>
      </c>
      <c r="H44" s="13"/>
      <c r="I44" s="13"/>
      <c r="J44" s="13">
        <v>14</v>
      </c>
      <c r="K44" s="59" t="s">
        <v>5779</v>
      </c>
      <c r="L44" s="13" t="s">
        <v>5537</v>
      </c>
      <c r="M44" s="13" t="s">
        <v>5525</v>
      </c>
      <c r="N44" s="13">
        <v>1</v>
      </c>
      <c r="O44" s="22">
        <v>114000</v>
      </c>
      <c r="P44" s="12" t="s">
        <v>5533</v>
      </c>
      <c r="R44" s="195"/>
    </row>
    <row r="45" spans="1:18" s="21" customFormat="1" ht="16.8" customHeight="1">
      <c r="A45" s="22">
        <v>114001</v>
      </c>
      <c r="B45" s="57" t="s">
        <v>5780</v>
      </c>
      <c r="C45" s="13" t="s">
        <v>5892</v>
      </c>
      <c r="D45" s="9" t="s">
        <v>3640</v>
      </c>
      <c r="E45" s="13">
        <v>1</v>
      </c>
      <c r="F45" s="13" t="s">
        <v>5534</v>
      </c>
      <c r="G45" s="9" t="s">
        <v>5538</v>
      </c>
      <c r="H45" s="13" t="s">
        <v>5535</v>
      </c>
      <c r="I45" s="13"/>
      <c r="J45" s="13">
        <v>14</v>
      </c>
      <c r="K45" s="59" t="s">
        <v>5781</v>
      </c>
      <c r="L45" s="13" t="s">
        <v>5540</v>
      </c>
      <c r="M45" s="13" t="s">
        <v>5525</v>
      </c>
      <c r="N45" s="13">
        <v>1</v>
      </c>
      <c r="O45" s="22">
        <v>114001</v>
      </c>
      <c r="P45" s="22" t="s">
        <v>1713</v>
      </c>
      <c r="Q45" s="21">
        <v>98</v>
      </c>
      <c r="R45" s="195">
        <v>131</v>
      </c>
    </row>
    <row r="46" spans="1:18" s="21" customFormat="1" ht="16.8" customHeight="1">
      <c r="A46" s="22">
        <v>115000</v>
      </c>
      <c r="B46" s="57" t="s">
        <v>5782</v>
      </c>
      <c r="C46" s="13" t="s">
        <v>5893</v>
      </c>
      <c r="D46" s="9" t="s">
        <v>3640</v>
      </c>
      <c r="E46" s="13">
        <v>2</v>
      </c>
      <c r="F46" s="13" t="s">
        <v>5542</v>
      </c>
      <c r="G46" s="13" t="s">
        <v>5543</v>
      </c>
      <c r="H46" s="13"/>
      <c r="I46" s="13"/>
      <c r="J46" s="13">
        <v>15</v>
      </c>
      <c r="K46" s="59" t="s">
        <v>5783</v>
      </c>
      <c r="L46" s="13" t="s">
        <v>5545</v>
      </c>
      <c r="M46" s="13" t="s">
        <v>5546</v>
      </c>
      <c r="N46" s="13">
        <v>1</v>
      </c>
      <c r="O46" s="22">
        <v>115000</v>
      </c>
      <c r="P46" s="12" t="s">
        <v>5541</v>
      </c>
      <c r="R46" s="195"/>
    </row>
    <row r="47" spans="1:18" s="21" customFormat="1" ht="16.8" customHeight="1">
      <c r="A47" s="22">
        <v>115001</v>
      </c>
      <c r="B47" s="57" t="s">
        <v>5784</v>
      </c>
      <c r="C47" s="13" t="s">
        <v>5893</v>
      </c>
      <c r="D47" s="9" t="s">
        <v>3640</v>
      </c>
      <c r="E47" s="13">
        <v>2</v>
      </c>
      <c r="F47" s="13" t="s">
        <v>5542</v>
      </c>
      <c r="G47" s="9" t="s">
        <v>5547</v>
      </c>
      <c r="H47" s="13" t="s">
        <v>5543</v>
      </c>
      <c r="I47" s="13"/>
      <c r="J47" s="13">
        <v>15</v>
      </c>
      <c r="K47" s="59" t="s">
        <v>5785</v>
      </c>
      <c r="L47" s="13" t="s">
        <v>5549</v>
      </c>
      <c r="M47" s="13" t="s">
        <v>5546</v>
      </c>
      <c r="N47" s="13">
        <v>1</v>
      </c>
      <c r="O47" s="22">
        <v>115001</v>
      </c>
      <c r="P47" s="22" t="s">
        <v>1823</v>
      </c>
      <c r="Q47" s="21">
        <v>100</v>
      </c>
      <c r="R47" s="195">
        <v>129</v>
      </c>
    </row>
    <row r="48" spans="1:18" s="181" customFormat="1" ht="16.8" customHeight="1">
      <c r="A48" s="189">
        <v>115002</v>
      </c>
      <c r="B48" s="57" t="s">
        <v>5786</v>
      </c>
      <c r="C48" s="15" t="s">
        <v>5893</v>
      </c>
      <c r="D48" s="9" t="s">
        <v>3640</v>
      </c>
      <c r="E48" s="15">
        <v>2</v>
      </c>
      <c r="F48" s="15" t="s">
        <v>5542</v>
      </c>
      <c r="G48" s="9" t="s">
        <v>5550</v>
      </c>
      <c r="H48" s="15" t="s">
        <v>5543</v>
      </c>
      <c r="I48" s="15"/>
      <c r="J48" s="15">
        <v>15</v>
      </c>
      <c r="K48" s="59" t="s">
        <v>5787</v>
      </c>
      <c r="L48" s="15" t="s">
        <v>5552</v>
      </c>
      <c r="M48" s="15" t="s">
        <v>5546</v>
      </c>
      <c r="N48" s="15">
        <v>1</v>
      </c>
      <c r="O48" s="189">
        <v>115002</v>
      </c>
      <c r="P48" s="189" t="s">
        <v>1827</v>
      </c>
      <c r="Q48" s="181">
        <v>4114</v>
      </c>
      <c r="R48" s="198">
        <v>129</v>
      </c>
    </row>
    <row r="49" spans="1:18" s="181" customFormat="1" ht="16.8" customHeight="1">
      <c r="A49" s="189">
        <v>199099</v>
      </c>
      <c r="B49" s="57" t="s">
        <v>4518</v>
      </c>
      <c r="C49" s="20" t="s">
        <v>5882</v>
      </c>
      <c r="D49" s="9" t="s">
        <v>3640</v>
      </c>
      <c r="E49" s="15">
        <v>2</v>
      </c>
      <c r="F49" s="9" t="s">
        <v>5387</v>
      </c>
      <c r="G49" s="9"/>
      <c r="H49" s="15"/>
      <c r="I49" s="15"/>
      <c r="J49" s="15">
        <v>2</v>
      </c>
      <c r="K49" s="59" t="s">
        <v>5788</v>
      </c>
      <c r="L49" s="15" t="s">
        <v>5554</v>
      </c>
      <c r="M49" s="15"/>
      <c r="N49" s="15">
        <v>0</v>
      </c>
      <c r="O49" s="189">
        <v>199099</v>
      </c>
      <c r="P49" s="189" t="s">
        <v>1872</v>
      </c>
      <c r="Q49" s="181">
        <v>4114</v>
      </c>
      <c r="R49" s="198">
        <v>129</v>
      </c>
    </row>
    <row r="50" spans="1:18" s="21" customFormat="1" ht="16.8" customHeight="1">
      <c r="A50" s="22">
        <v>201001</v>
      </c>
      <c r="B50" s="57" t="s">
        <v>5789</v>
      </c>
      <c r="C50" s="13" t="s">
        <v>5894</v>
      </c>
      <c r="D50" s="9" t="s">
        <v>3640</v>
      </c>
      <c r="E50" s="13"/>
      <c r="F50" s="13"/>
      <c r="G50" s="9" t="s">
        <v>5555</v>
      </c>
      <c r="H50" s="13"/>
      <c r="I50" s="13"/>
      <c r="J50" s="13">
        <v>7</v>
      </c>
      <c r="K50" s="59" t="s">
        <v>5790</v>
      </c>
      <c r="L50" s="13" t="s">
        <v>5557</v>
      </c>
      <c r="M50" s="13"/>
      <c r="N50" s="13">
        <v>0</v>
      </c>
      <c r="O50" s="22">
        <v>201001</v>
      </c>
      <c r="P50" s="22" t="s">
        <v>1874</v>
      </c>
      <c r="R50" s="195"/>
    </row>
    <row r="51" spans="1:18" s="21" customFormat="1" ht="16.8" customHeight="1">
      <c r="A51" s="22">
        <v>201002</v>
      </c>
      <c r="B51" s="57" t="s">
        <v>5791</v>
      </c>
      <c r="C51" s="13" t="s">
        <v>5894</v>
      </c>
      <c r="D51" s="9" t="s">
        <v>3640</v>
      </c>
      <c r="E51" s="13"/>
      <c r="F51" s="13"/>
      <c r="G51" s="9" t="s">
        <v>5558</v>
      </c>
      <c r="H51" s="13"/>
      <c r="I51" s="13"/>
      <c r="J51" s="13">
        <v>7</v>
      </c>
      <c r="K51" s="59" t="s">
        <v>5792</v>
      </c>
      <c r="L51" s="13" t="s">
        <v>5560</v>
      </c>
      <c r="M51" s="13"/>
      <c r="N51" s="13">
        <v>0</v>
      </c>
      <c r="O51" s="22">
        <v>201002</v>
      </c>
      <c r="P51" s="22" t="s">
        <v>1915</v>
      </c>
      <c r="R51" s="195"/>
    </row>
    <row r="52" spans="1:18" s="21" customFormat="1" ht="16.8" customHeight="1">
      <c r="A52" s="22">
        <v>201003</v>
      </c>
      <c r="B52" s="57" t="s">
        <v>5793</v>
      </c>
      <c r="C52" s="13" t="s">
        <v>5894</v>
      </c>
      <c r="D52" s="9" t="s">
        <v>3640</v>
      </c>
      <c r="E52" s="13"/>
      <c r="F52" s="13"/>
      <c r="G52" s="9" t="s">
        <v>5561</v>
      </c>
      <c r="H52" s="13"/>
      <c r="I52" s="13"/>
      <c r="J52" s="13">
        <v>7</v>
      </c>
      <c r="K52" s="192" t="s">
        <v>5794</v>
      </c>
      <c r="L52" s="13" t="s">
        <v>5563</v>
      </c>
      <c r="M52" s="13"/>
      <c r="N52" s="13">
        <v>1</v>
      </c>
      <c r="O52" s="22">
        <v>201003</v>
      </c>
      <c r="P52" s="22" t="s">
        <v>1957</v>
      </c>
      <c r="R52" s="195"/>
    </row>
    <row r="53" spans="1:18" s="21" customFormat="1" ht="16.8" customHeight="1">
      <c r="A53" s="22">
        <v>201004</v>
      </c>
      <c r="B53" s="57" t="s">
        <v>5795</v>
      </c>
      <c r="C53" s="13" t="s">
        <v>5894</v>
      </c>
      <c r="D53" s="9" t="s">
        <v>3640</v>
      </c>
      <c r="E53" s="13"/>
      <c r="F53" s="13"/>
      <c r="G53" s="9" t="s">
        <v>5564</v>
      </c>
      <c r="H53" s="13"/>
      <c r="I53" s="13"/>
      <c r="J53" s="13">
        <v>7</v>
      </c>
      <c r="K53" s="192" t="s">
        <v>5796</v>
      </c>
      <c r="L53" s="13" t="s">
        <v>5566</v>
      </c>
      <c r="M53" s="13"/>
      <c r="N53" s="13">
        <v>0</v>
      </c>
      <c r="O53" s="22">
        <v>201004</v>
      </c>
      <c r="P53" s="22" t="s">
        <v>1994</v>
      </c>
      <c r="R53" s="195"/>
    </row>
    <row r="54" spans="1:18" s="21" customFormat="1" ht="16.8" customHeight="1">
      <c r="A54" s="22">
        <v>201005</v>
      </c>
      <c r="B54" s="57" t="s">
        <v>5797</v>
      </c>
      <c r="C54" s="13" t="s">
        <v>5894</v>
      </c>
      <c r="D54" s="9" t="s">
        <v>3640</v>
      </c>
      <c r="E54" s="13"/>
      <c r="F54" s="13"/>
      <c r="G54" s="9" t="s">
        <v>5567</v>
      </c>
      <c r="H54" s="13"/>
      <c r="I54" s="13"/>
      <c r="J54" s="13">
        <v>7</v>
      </c>
      <c r="K54" s="192" t="s">
        <v>5798</v>
      </c>
      <c r="L54" s="13" t="s">
        <v>5569</v>
      </c>
      <c r="M54" s="13"/>
      <c r="N54" s="13">
        <v>0</v>
      </c>
      <c r="O54" s="22">
        <v>201005</v>
      </c>
      <c r="P54" s="22" t="s">
        <v>2031</v>
      </c>
      <c r="R54" s="195"/>
    </row>
    <row r="55" spans="1:18" s="21" customFormat="1" ht="16.8" customHeight="1">
      <c r="A55" s="22">
        <v>201006</v>
      </c>
      <c r="B55" s="57" t="s">
        <v>5799</v>
      </c>
      <c r="C55" s="13" t="s">
        <v>5894</v>
      </c>
      <c r="D55" s="9" t="s">
        <v>3640</v>
      </c>
      <c r="E55" s="13"/>
      <c r="F55" s="13"/>
      <c r="G55" s="9" t="s">
        <v>5570</v>
      </c>
      <c r="H55" s="13"/>
      <c r="I55" s="13"/>
      <c r="J55" s="13">
        <v>7</v>
      </c>
      <c r="K55" s="192" t="s">
        <v>5800</v>
      </c>
      <c r="L55" s="13" t="s">
        <v>5572</v>
      </c>
      <c r="M55" s="13"/>
      <c r="N55" s="13">
        <v>1</v>
      </c>
      <c r="O55" s="22">
        <v>201006</v>
      </c>
      <c r="P55" s="22" t="s">
        <v>2069</v>
      </c>
      <c r="R55" s="195"/>
    </row>
    <row r="56" spans="1:18" s="21" customFormat="1" ht="16.8" customHeight="1">
      <c r="A56" s="22">
        <v>201007</v>
      </c>
      <c r="B56" s="57" t="s">
        <v>5801</v>
      </c>
      <c r="C56" s="13" t="s">
        <v>5894</v>
      </c>
      <c r="D56" s="9" t="s">
        <v>3640</v>
      </c>
      <c r="E56" s="13"/>
      <c r="F56" s="13"/>
      <c r="G56" s="9" t="s">
        <v>5573</v>
      </c>
      <c r="H56" s="13"/>
      <c r="I56" s="13"/>
      <c r="J56" s="13">
        <v>7</v>
      </c>
      <c r="K56" s="192" t="s">
        <v>5802</v>
      </c>
      <c r="L56" s="13" t="s">
        <v>5575</v>
      </c>
      <c r="M56" s="13"/>
      <c r="N56" s="13">
        <v>0</v>
      </c>
      <c r="O56" s="22">
        <v>201007</v>
      </c>
      <c r="P56" s="22" t="s">
        <v>2107</v>
      </c>
      <c r="R56" s="195"/>
    </row>
    <row r="57" spans="1:18" s="21" customFormat="1" ht="16.8" customHeight="1">
      <c r="A57" s="22">
        <v>201008</v>
      </c>
      <c r="B57" s="57" t="s">
        <v>5803</v>
      </c>
      <c r="C57" s="13" t="s">
        <v>5894</v>
      </c>
      <c r="D57" s="9" t="s">
        <v>3640</v>
      </c>
      <c r="E57" s="13"/>
      <c r="F57" s="13"/>
      <c r="G57" s="9" t="s">
        <v>5576</v>
      </c>
      <c r="H57" s="13"/>
      <c r="I57" s="13"/>
      <c r="J57" s="13">
        <v>7</v>
      </c>
      <c r="K57" s="192" t="s">
        <v>5804</v>
      </c>
      <c r="L57" s="13" t="s">
        <v>5578</v>
      </c>
      <c r="M57" s="13"/>
      <c r="N57" s="13">
        <v>0</v>
      </c>
      <c r="O57" s="22">
        <v>201008</v>
      </c>
      <c r="P57" s="22" t="s">
        <v>2146</v>
      </c>
      <c r="R57" s="195"/>
    </row>
    <row r="58" spans="1:18" s="21" customFormat="1" ht="16.8" customHeight="1">
      <c r="A58" s="22">
        <v>201009</v>
      </c>
      <c r="B58" s="57" t="s">
        <v>5805</v>
      </c>
      <c r="C58" s="13" t="s">
        <v>5894</v>
      </c>
      <c r="D58" s="9" t="s">
        <v>3640</v>
      </c>
      <c r="E58" s="13"/>
      <c r="F58" s="13"/>
      <c r="G58" s="9" t="s">
        <v>5579</v>
      </c>
      <c r="H58" s="13"/>
      <c r="I58" s="13"/>
      <c r="J58" s="13">
        <v>7</v>
      </c>
      <c r="K58" s="192" t="s">
        <v>5806</v>
      </c>
      <c r="L58" s="13" t="s">
        <v>5581</v>
      </c>
      <c r="M58" s="13"/>
      <c r="N58" s="13">
        <v>0</v>
      </c>
      <c r="O58" s="22">
        <v>201009</v>
      </c>
      <c r="P58" s="22" t="s">
        <v>2185</v>
      </c>
      <c r="R58" s="195"/>
    </row>
    <row r="59" spans="1:18" s="21" customFormat="1" ht="16.8" customHeight="1">
      <c r="A59" s="22">
        <v>201010</v>
      </c>
      <c r="B59" s="57" t="s">
        <v>5807</v>
      </c>
      <c r="C59" s="13" t="s">
        <v>5894</v>
      </c>
      <c r="D59" s="9" t="s">
        <v>3640</v>
      </c>
      <c r="E59" s="13"/>
      <c r="F59" s="13"/>
      <c r="G59" s="9" t="s">
        <v>5582</v>
      </c>
      <c r="H59" s="13"/>
      <c r="I59" s="13"/>
      <c r="J59" s="13">
        <v>7</v>
      </c>
      <c r="K59" s="192" t="s">
        <v>5808</v>
      </c>
      <c r="L59" s="13" t="s">
        <v>5584</v>
      </c>
      <c r="M59" s="13"/>
      <c r="N59" s="13">
        <v>0</v>
      </c>
      <c r="O59" s="22">
        <v>201010</v>
      </c>
      <c r="P59" s="22" t="s">
        <v>2224</v>
      </c>
      <c r="R59" s="195"/>
    </row>
    <row r="60" spans="1:18" s="21" customFormat="1" ht="16.8" customHeight="1">
      <c r="A60" s="22">
        <v>201011</v>
      </c>
      <c r="B60" s="57" t="s">
        <v>5809</v>
      </c>
      <c r="C60" s="13" t="s">
        <v>5894</v>
      </c>
      <c r="D60" s="9" t="s">
        <v>3640</v>
      </c>
      <c r="E60" s="13"/>
      <c r="F60" s="13"/>
      <c r="G60" s="9" t="s">
        <v>5585</v>
      </c>
      <c r="H60" s="13"/>
      <c r="I60" s="13"/>
      <c r="J60" s="13">
        <v>7</v>
      </c>
      <c r="K60" s="192" t="s">
        <v>5810</v>
      </c>
      <c r="L60" s="13" t="s">
        <v>5587</v>
      </c>
      <c r="M60" s="13"/>
      <c r="N60" s="13">
        <v>1</v>
      </c>
      <c r="O60" s="22">
        <v>201011</v>
      </c>
      <c r="P60" s="22" t="s">
        <v>2264</v>
      </c>
      <c r="R60" s="195"/>
    </row>
    <row r="61" spans="1:18" s="21" customFormat="1" ht="16.8" customHeight="1">
      <c r="A61" s="22">
        <v>201012</v>
      </c>
      <c r="B61" s="57" t="s">
        <v>5811</v>
      </c>
      <c r="C61" s="13" t="s">
        <v>5894</v>
      </c>
      <c r="D61" s="9" t="s">
        <v>3640</v>
      </c>
      <c r="E61" s="13"/>
      <c r="F61" s="13"/>
      <c r="G61" s="9" t="s">
        <v>5588</v>
      </c>
      <c r="H61" s="13"/>
      <c r="I61" s="13"/>
      <c r="J61" s="13">
        <v>7</v>
      </c>
      <c r="K61" s="192" t="s">
        <v>5812</v>
      </c>
      <c r="L61" s="13" t="s">
        <v>5590</v>
      </c>
      <c r="M61" s="13"/>
      <c r="N61" s="13">
        <v>0</v>
      </c>
      <c r="O61" s="22">
        <v>201012</v>
      </c>
      <c r="P61" s="22" t="s">
        <v>2302</v>
      </c>
      <c r="R61" s="195"/>
    </row>
    <row r="62" spans="1:18" s="21" customFormat="1" ht="16.8" customHeight="1">
      <c r="A62" s="22">
        <v>201013</v>
      </c>
      <c r="B62" s="57" t="s">
        <v>5813</v>
      </c>
      <c r="C62" s="13" t="s">
        <v>5894</v>
      </c>
      <c r="D62" s="9" t="s">
        <v>3640</v>
      </c>
      <c r="E62" s="13"/>
      <c r="F62" s="13"/>
      <c r="G62" s="9" t="s">
        <v>5591</v>
      </c>
      <c r="H62" s="13"/>
      <c r="I62" s="13"/>
      <c r="J62" s="13">
        <v>7</v>
      </c>
      <c r="K62" s="192" t="s">
        <v>5814</v>
      </c>
      <c r="L62" s="13" t="s">
        <v>5593</v>
      </c>
      <c r="M62" s="13"/>
      <c r="N62" s="13">
        <v>0</v>
      </c>
      <c r="O62" s="22">
        <v>201013</v>
      </c>
      <c r="P62" s="22" t="s">
        <v>2340</v>
      </c>
      <c r="R62" s="195"/>
    </row>
    <row r="63" spans="1:18" s="21" customFormat="1" ht="57.6">
      <c r="A63" s="22">
        <v>201014</v>
      </c>
      <c r="B63" s="57" t="s">
        <v>5815</v>
      </c>
      <c r="C63" s="13" t="s">
        <v>5894</v>
      </c>
      <c r="D63" s="9" t="s">
        <v>3640</v>
      </c>
      <c r="E63" s="13"/>
      <c r="F63" s="13"/>
      <c r="G63" s="9" t="s">
        <v>5594</v>
      </c>
      <c r="H63" s="13"/>
      <c r="I63" s="13"/>
      <c r="J63" s="13">
        <v>7</v>
      </c>
      <c r="K63" s="192" t="s">
        <v>5816</v>
      </c>
      <c r="L63" s="13" t="s">
        <v>5596</v>
      </c>
      <c r="M63" s="13"/>
      <c r="N63" s="13">
        <v>0</v>
      </c>
      <c r="O63" s="22">
        <v>201014</v>
      </c>
      <c r="P63" s="22" t="s">
        <v>2379</v>
      </c>
      <c r="R63" s="195"/>
    </row>
    <row r="64" spans="1:18" s="21" customFormat="1" ht="57.6">
      <c r="A64" s="22">
        <v>201015</v>
      </c>
      <c r="B64" s="57" t="s">
        <v>5817</v>
      </c>
      <c r="C64" s="13" t="s">
        <v>5894</v>
      </c>
      <c r="D64" s="9" t="s">
        <v>3640</v>
      </c>
      <c r="E64" s="13"/>
      <c r="F64" s="13"/>
      <c r="G64" s="9" t="s">
        <v>5597</v>
      </c>
      <c r="H64" s="13"/>
      <c r="I64" s="13"/>
      <c r="J64" s="13">
        <v>7</v>
      </c>
      <c r="K64" s="192" t="s">
        <v>5818</v>
      </c>
      <c r="L64" s="13" t="s">
        <v>5599</v>
      </c>
      <c r="M64" s="13"/>
      <c r="N64" s="13">
        <v>1</v>
      </c>
      <c r="O64" s="22">
        <v>201015</v>
      </c>
      <c r="P64" s="22" t="s">
        <v>2418</v>
      </c>
      <c r="R64" s="195"/>
    </row>
    <row r="65" spans="1:18" s="21" customFormat="1" ht="38.4">
      <c r="A65" s="22">
        <v>201016</v>
      </c>
      <c r="B65" s="57" t="s">
        <v>5819</v>
      </c>
      <c r="C65" s="13" t="s">
        <v>5894</v>
      </c>
      <c r="D65" s="9" t="s">
        <v>3640</v>
      </c>
      <c r="E65" s="13"/>
      <c r="F65" s="13"/>
      <c r="G65" s="9" t="s">
        <v>5600</v>
      </c>
      <c r="H65" s="13"/>
      <c r="I65" s="13"/>
      <c r="J65" s="13">
        <v>7</v>
      </c>
      <c r="K65" s="192" t="s">
        <v>5820</v>
      </c>
      <c r="L65" s="13" t="s">
        <v>5602</v>
      </c>
      <c r="M65" s="13"/>
      <c r="N65" s="13">
        <v>1</v>
      </c>
      <c r="O65" s="22">
        <v>201016</v>
      </c>
      <c r="P65" s="22" t="s">
        <v>2454</v>
      </c>
      <c r="R65" s="195"/>
    </row>
    <row r="66" spans="1:18" s="21" customFormat="1" ht="38.4">
      <c r="A66" s="22">
        <v>201017</v>
      </c>
      <c r="B66" s="57" t="s">
        <v>5821</v>
      </c>
      <c r="C66" s="13" t="s">
        <v>5894</v>
      </c>
      <c r="D66" s="9" t="s">
        <v>3640</v>
      </c>
      <c r="E66" s="13"/>
      <c r="F66" s="13"/>
      <c r="G66" s="9" t="s">
        <v>5603</v>
      </c>
      <c r="H66" s="13"/>
      <c r="I66" s="13"/>
      <c r="J66" s="13">
        <v>7</v>
      </c>
      <c r="K66" s="192" t="s">
        <v>5822</v>
      </c>
      <c r="L66" s="13" t="s">
        <v>5605</v>
      </c>
      <c r="M66" s="13"/>
      <c r="N66" s="13">
        <v>0</v>
      </c>
      <c r="O66" s="22">
        <v>201017</v>
      </c>
      <c r="P66" s="22" t="s">
        <v>2494</v>
      </c>
      <c r="R66" s="195"/>
    </row>
    <row r="67" spans="1:18" s="21" customFormat="1" ht="38.4">
      <c r="A67" s="22">
        <v>201018</v>
      </c>
      <c r="B67" s="57" t="s">
        <v>4856</v>
      </c>
      <c r="C67" s="13" t="s">
        <v>5894</v>
      </c>
      <c r="D67" s="9" t="s">
        <v>3640</v>
      </c>
      <c r="E67" s="13"/>
      <c r="F67" s="13"/>
      <c r="G67" s="9" t="s">
        <v>5606</v>
      </c>
      <c r="H67" s="13"/>
      <c r="I67" s="13"/>
      <c r="J67" s="13">
        <v>7</v>
      </c>
      <c r="K67" s="192" t="s">
        <v>5823</v>
      </c>
      <c r="L67" s="13" t="s">
        <v>5608</v>
      </c>
      <c r="M67" s="13"/>
      <c r="N67" s="13">
        <v>1</v>
      </c>
      <c r="O67" s="22">
        <v>201018</v>
      </c>
      <c r="P67" s="22" t="s">
        <v>2524</v>
      </c>
      <c r="R67" s="195"/>
    </row>
    <row r="68" spans="1:18" s="21" customFormat="1" ht="57.6">
      <c r="A68" s="22">
        <v>201019</v>
      </c>
      <c r="B68" s="57" t="s">
        <v>5824</v>
      </c>
      <c r="C68" s="13" t="s">
        <v>5894</v>
      </c>
      <c r="D68" s="9" t="s">
        <v>3640</v>
      </c>
      <c r="E68" s="13"/>
      <c r="F68" s="13"/>
      <c r="G68" s="9" t="s">
        <v>5609</v>
      </c>
      <c r="H68" s="13"/>
      <c r="I68" s="13"/>
      <c r="J68" s="13">
        <v>7</v>
      </c>
      <c r="K68" s="192" t="s">
        <v>5825</v>
      </c>
      <c r="L68" s="13" t="s">
        <v>5611</v>
      </c>
      <c r="M68" s="13"/>
      <c r="N68" s="13">
        <v>0</v>
      </c>
      <c r="O68" s="22">
        <v>201019</v>
      </c>
      <c r="P68" s="22" t="s">
        <v>2554</v>
      </c>
      <c r="R68" s="195"/>
    </row>
    <row r="69" spans="1:18" s="21" customFormat="1" ht="57.6">
      <c r="A69" s="22">
        <v>201020</v>
      </c>
      <c r="B69" s="57" t="s">
        <v>5826</v>
      </c>
      <c r="C69" s="13" t="s">
        <v>5894</v>
      </c>
      <c r="D69" s="9" t="s">
        <v>3640</v>
      </c>
      <c r="E69" s="13"/>
      <c r="F69" s="13"/>
      <c r="G69" s="10" t="s">
        <v>5612</v>
      </c>
      <c r="H69" s="13"/>
      <c r="I69" s="13"/>
      <c r="J69" s="13">
        <v>7</v>
      </c>
      <c r="K69" s="192" t="s">
        <v>5827</v>
      </c>
      <c r="L69" s="13" t="s">
        <v>5614</v>
      </c>
      <c r="M69" s="13"/>
      <c r="N69" s="13">
        <v>0</v>
      </c>
      <c r="O69" s="22">
        <v>201019</v>
      </c>
      <c r="P69" s="22" t="s">
        <v>2554</v>
      </c>
      <c r="R69" s="195"/>
    </row>
    <row r="70" spans="1:18" s="21" customFormat="1" ht="16.8" customHeight="1">
      <c r="A70" s="22">
        <v>301001</v>
      </c>
      <c r="B70" s="57" t="s">
        <v>5828</v>
      </c>
      <c r="C70" s="13" t="s">
        <v>5895</v>
      </c>
      <c r="D70" s="9" t="s">
        <v>3640</v>
      </c>
      <c r="E70" s="13"/>
      <c r="F70" s="13"/>
      <c r="G70" s="9" t="s">
        <v>5615</v>
      </c>
      <c r="H70" s="13"/>
      <c r="I70" s="13"/>
      <c r="J70" s="13">
        <v>8</v>
      </c>
      <c r="K70" s="192" t="s">
        <v>5829</v>
      </c>
      <c r="L70" s="13" t="s">
        <v>5617</v>
      </c>
      <c r="M70" s="13"/>
      <c r="N70" s="13">
        <v>0</v>
      </c>
      <c r="O70" s="22">
        <v>301001</v>
      </c>
      <c r="P70" s="22" t="s">
        <v>2599</v>
      </c>
      <c r="R70" s="195"/>
    </row>
    <row r="71" spans="1:18" s="21" customFormat="1" ht="16.8" customHeight="1">
      <c r="A71" s="22">
        <v>301002</v>
      </c>
      <c r="B71" s="57" t="s">
        <v>5830</v>
      </c>
      <c r="C71" s="13" t="s">
        <v>5895</v>
      </c>
      <c r="D71" s="9" t="s">
        <v>3640</v>
      </c>
      <c r="E71" s="13"/>
      <c r="F71" s="13"/>
      <c r="G71" s="9" t="s">
        <v>5618</v>
      </c>
      <c r="H71" s="13"/>
      <c r="I71" s="13"/>
      <c r="J71" s="13">
        <v>8</v>
      </c>
      <c r="K71" s="192" t="s">
        <v>5831</v>
      </c>
      <c r="L71" s="13" t="s">
        <v>5620</v>
      </c>
      <c r="M71" s="13"/>
      <c r="N71" s="13">
        <v>1</v>
      </c>
      <c r="O71" s="22">
        <v>301002</v>
      </c>
      <c r="P71" s="22" t="s">
        <v>2639</v>
      </c>
      <c r="R71" s="195"/>
    </row>
    <row r="72" spans="1:18" s="21" customFormat="1" ht="16.8" customHeight="1">
      <c r="A72" s="22">
        <v>301003</v>
      </c>
      <c r="B72" s="57" t="s">
        <v>5832</v>
      </c>
      <c r="C72" s="13" t="s">
        <v>5895</v>
      </c>
      <c r="D72" s="9" t="s">
        <v>3640</v>
      </c>
      <c r="E72" s="13"/>
      <c r="F72" s="13"/>
      <c r="G72" s="9" t="s">
        <v>5621</v>
      </c>
      <c r="H72" s="13"/>
      <c r="I72" s="13"/>
      <c r="J72" s="13">
        <v>8</v>
      </c>
      <c r="K72" s="192" t="s">
        <v>5833</v>
      </c>
      <c r="L72" s="13" t="s">
        <v>5623</v>
      </c>
      <c r="M72" s="13"/>
      <c r="N72" s="13">
        <v>0</v>
      </c>
      <c r="O72" s="22">
        <v>301003</v>
      </c>
      <c r="P72" s="22" t="s">
        <v>2676</v>
      </c>
      <c r="R72" s="195"/>
    </row>
    <row r="73" spans="1:18" s="21" customFormat="1" ht="16.8" customHeight="1">
      <c r="A73" s="22">
        <v>301004</v>
      </c>
      <c r="B73" s="57" t="s">
        <v>5834</v>
      </c>
      <c r="C73" s="13" t="s">
        <v>5895</v>
      </c>
      <c r="D73" s="9" t="s">
        <v>3640</v>
      </c>
      <c r="E73" s="13"/>
      <c r="F73" s="13"/>
      <c r="G73" s="9" t="s">
        <v>5624</v>
      </c>
      <c r="H73" s="13"/>
      <c r="I73" s="13"/>
      <c r="J73" s="13">
        <v>8</v>
      </c>
      <c r="K73" s="192" t="s">
        <v>5835</v>
      </c>
      <c r="L73" s="13" t="s">
        <v>5626</v>
      </c>
      <c r="M73" s="13"/>
      <c r="N73" s="13">
        <v>1</v>
      </c>
      <c r="O73" s="22">
        <v>301004</v>
      </c>
      <c r="P73" s="22" t="s">
        <v>2708</v>
      </c>
      <c r="R73" s="195"/>
    </row>
    <row r="74" spans="1:18" s="21" customFormat="1" ht="16.8" customHeight="1">
      <c r="A74" s="22">
        <v>301005</v>
      </c>
      <c r="B74" s="57" t="s">
        <v>5836</v>
      </c>
      <c r="C74" s="13" t="s">
        <v>5895</v>
      </c>
      <c r="D74" s="9" t="s">
        <v>3640</v>
      </c>
      <c r="E74" s="13"/>
      <c r="F74" s="13"/>
      <c r="G74" s="9" t="s">
        <v>5627</v>
      </c>
      <c r="H74" s="13"/>
      <c r="I74" s="13"/>
      <c r="J74" s="13">
        <v>8</v>
      </c>
      <c r="K74" s="192" t="s">
        <v>5837</v>
      </c>
      <c r="L74" s="13" t="s">
        <v>5629</v>
      </c>
      <c r="M74" s="13"/>
      <c r="N74" s="13">
        <v>1</v>
      </c>
      <c r="O74" s="22">
        <v>301005</v>
      </c>
      <c r="P74" s="22" t="s">
        <v>2745</v>
      </c>
      <c r="R74" s="195"/>
    </row>
    <row r="75" spans="1:18" s="21" customFormat="1" ht="16.8" customHeight="1">
      <c r="A75" s="22">
        <v>301006</v>
      </c>
      <c r="B75" s="57" t="s">
        <v>5838</v>
      </c>
      <c r="C75" s="13" t="s">
        <v>5895</v>
      </c>
      <c r="D75" s="9" t="s">
        <v>3640</v>
      </c>
      <c r="E75" s="13"/>
      <c r="F75" s="13"/>
      <c r="G75" s="9" t="s">
        <v>5630</v>
      </c>
      <c r="H75" s="13"/>
      <c r="I75" s="13"/>
      <c r="J75" s="13">
        <v>8</v>
      </c>
      <c r="K75" s="192" t="s">
        <v>5839</v>
      </c>
      <c r="L75" s="13" t="s">
        <v>5632</v>
      </c>
      <c r="M75" s="13"/>
      <c r="N75" s="13">
        <v>0</v>
      </c>
      <c r="O75" s="22">
        <v>301006</v>
      </c>
      <c r="P75" s="22" t="s">
        <v>2782</v>
      </c>
      <c r="R75" s="195"/>
    </row>
    <row r="76" spans="1:18" s="21" customFormat="1" ht="16.8" customHeight="1">
      <c r="A76" s="22">
        <v>301007</v>
      </c>
      <c r="B76" s="57" t="s">
        <v>5840</v>
      </c>
      <c r="C76" s="13" t="s">
        <v>5895</v>
      </c>
      <c r="D76" s="9" t="s">
        <v>3640</v>
      </c>
      <c r="E76" s="13"/>
      <c r="F76" s="13"/>
      <c r="G76" s="9" t="s">
        <v>5633</v>
      </c>
      <c r="H76" s="13"/>
      <c r="I76" s="13"/>
      <c r="J76" s="13">
        <v>8</v>
      </c>
      <c r="K76" s="192" t="s">
        <v>5841</v>
      </c>
      <c r="L76" s="13" t="s">
        <v>5635</v>
      </c>
      <c r="M76" s="13"/>
      <c r="N76" s="13">
        <v>0</v>
      </c>
      <c r="O76" s="22">
        <v>301007</v>
      </c>
      <c r="P76" s="22" t="s">
        <v>2820</v>
      </c>
      <c r="R76" s="195"/>
    </row>
    <row r="77" spans="1:18" s="21" customFormat="1" ht="16.8" customHeight="1">
      <c r="A77" s="22">
        <v>301008</v>
      </c>
      <c r="B77" s="57" t="s">
        <v>5842</v>
      </c>
      <c r="C77" s="13" t="s">
        <v>5895</v>
      </c>
      <c r="D77" s="9" t="s">
        <v>3640</v>
      </c>
      <c r="E77" s="13"/>
      <c r="F77" s="13"/>
      <c r="G77" s="9" t="s">
        <v>5636</v>
      </c>
      <c r="H77" s="13"/>
      <c r="I77" s="13"/>
      <c r="J77" s="13">
        <v>8</v>
      </c>
      <c r="K77" s="200" t="s">
        <v>5843</v>
      </c>
      <c r="L77" s="13" t="s">
        <v>5638</v>
      </c>
      <c r="M77" s="13"/>
      <c r="N77" s="13">
        <v>0</v>
      </c>
      <c r="O77" s="22">
        <v>301008</v>
      </c>
      <c r="P77" s="22" t="s">
        <v>2855</v>
      </c>
      <c r="R77" s="195"/>
    </row>
    <row r="78" spans="1:18" s="21" customFormat="1" ht="16.8" customHeight="1">
      <c r="A78" s="22">
        <v>301009</v>
      </c>
      <c r="B78" s="57" t="s">
        <v>5844</v>
      </c>
      <c r="C78" s="13" t="s">
        <v>5895</v>
      </c>
      <c r="D78" s="9" t="s">
        <v>3640</v>
      </c>
      <c r="E78" s="13"/>
      <c r="F78" s="13"/>
      <c r="G78" s="9" t="s">
        <v>5639</v>
      </c>
      <c r="H78" s="13"/>
      <c r="I78" s="13"/>
      <c r="J78" s="13">
        <v>8</v>
      </c>
      <c r="K78" s="192" t="s">
        <v>5845</v>
      </c>
      <c r="L78" s="13" t="s">
        <v>5641</v>
      </c>
      <c r="M78" s="13"/>
      <c r="N78" s="13">
        <v>1</v>
      </c>
      <c r="O78" s="22">
        <v>301009</v>
      </c>
      <c r="P78" s="22" t="s">
        <v>2891</v>
      </c>
      <c r="R78" s="195"/>
    </row>
    <row r="79" spans="1:18" s="21" customFormat="1" ht="16.8" customHeight="1">
      <c r="A79" s="22">
        <v>301010</v>
      </c>
      <c r="B79" s="57" t="s">
        <v>5846</v>
      </c>
      <c r="C79" s="13" t="s">
        <v>5895</v>
      </c>
      <c r="D79" s="9" t="s">
        <v>3640</v>
      </c>
      <c r="E79" s="13"/>
      <c r="F79" s="13"/>
      <c r="G79" s="9" t="s">
        <v>5642</v>
      </c>
      <c r="H79" s="13"/>
      <c r="I79" s="13"/>
      <c r="J79" s="13">
        <v>8</v>
      </c>
      <c r="K79" s="192" t="s">
        <v>5847</v>
      </c>
      <c r="L79" s="13" t="s">
        <v>5644</v>
      </c>
      <c r="M79" s="13"/>
      <c r="N79" s="13">
        <v>0</v>
      </c>
      <c r="O79" s="22">
        <v>301010</v>
      </c>
      <c r="P79" s="22" t="s">
        <v>2928</v>
      </c>
      <c r="R79" s="195"/>
    </row>
    <row r="80" spans="1:18" s="21" customFormat="1" ht="16.8" customHeight="1">
      <c r="A80" s="22">
        <v>301011</v>
      </c>
      <c r="B80" s="57" t="s">
        <v>5848</v>
      </c>
      <c r="C80" s="13" t="s">
        <v>5895</v>
      </c>
      <c r="D80" s="9" t="s">
        <v>3640</v>
      </c>
      <c r="E80" s="13"/>
      <c r="F80" s="13"/>
      <c r="G80" s="9" t="s">
        <v>5645</v>
      </c>
      <c r="H80" s="13"/>
      <c r="I80" s="13"/>
      <c r="J80" s="13">
        <v>8</v>
      </c>
      <c r="K80" s="192" t="s">
        <v>5849</v>
      </c>
      <c r="L80" s="13" t="s">
        <v>5647</v>
      </c>
      <c r="M80" s="13"/>
      <c r="N80" s="13">
        <v>0</v>
      </c>
      <c r="O80" s="22">
        <v>301011</v>
      </c>
      <c r="P80" s="22" t="s">
        <v>2999</v>
      </c>
      <c r="R80" s="195"/>
    </row>
    <row r="81" spans="1:18" s="21" customFormat="1" ht="16.8" customHeight="1">
      <c r="A81" s="22">
        <v>301012</v>
      </c>
      <c r="B81" s="57" t="s">
        <v>5850</v>
      </c>
      <c r="C81" s="13" t="s">
        <v>5895</v>
      </c>
      <c r="D81" s="9" t="s">
        <v>3640</v>
      </c>
      <c r="E81" s="13"/>
      <c r="F81" s="13"/>
      <c r="G81" s="9" t="s">
        <v>5648</v>
      </c>
      <c r="H81" s="13"/>
      <c r="I81" s="13"/>
      <c r="J81" s="13">
        <v>8</v>
      </c>
      <c r="K81" s="192" t="s">
        <v>5851</v>
      </c>
      <c r="L81" s="13" t="s">
        <v>5650</v>
      </c>
      <c r="M81" s="13"/>
      <c r="N81" s="13">
        <v>0</v>
      </c>
      <c r="O81" s="22">
        <v>301012</v>
      </c>
      <c r="P81" s="22" t="s">
        <v>2965</v>
      </c>
      <c r="R81" s="195"/>
    </row>
    <row r="82" spans="1:18" s="21" customFormat="1" ht="16.8" customHeight="1">
      <c r="A82" s="22">
        <v>301013</v>
      </c>
      <c r="B82" s="57" t="s">
        <v>5852</v>
      </c>
      <c r="C82" s="13" t="s">
        <v>5895</v>
      </c>
      <c r="D82" s="9" t="s">
        <v>3640</v>
      </c>
      <c r="E82" s="13"/>
      <c r="F82" s="13"/>
      <c r="G82" s="9" t="s">
        <v>5651</v>
      </c>
      <c r="H82" s="13"/>
      <c r="I82" s="13"/>
      <c r="J82" s="13">
        <v>8</v>
      </c>
      <c r="K82" s="192" t="s">
        <v>5853</v>
      </c>
      <c r="L82" s="13" t="s">
        <v>5653</v>
      </c>
      <c r="M82" s="13"/>
      <c r="N82" s="13">
        <v>1</v>
      </c>
      <c r="O82" s="22">
        <v>301013</v>
      </c>
      <c r="P82" s="22" t="s">
        <v>3037</v>
      </c>
      <c r="R82" s="195"/>
    </row>
    <row r="83" spans="1:18" s="21" customFormat="1" ht="16.8" customHeight="1">
      <c r="A83" s="22">
        <v>301014</v>
      </c>
      <c r="B83" s="57" t="s">
        <v>5854</v>
      </c>
      <c r="C83" s="13" t="s">
        <v>5895</v>
      </c>
      <c r="D83" s="9" t="s">
        <v>3640</v>
      </c>
      <c r="E83" s="13"/>
      <c r="F83" s="13"/>
      <c r="G83" s="9" t="s">
        <v>5654</v>
      </c>
      <c r="H83" s="13"/>
      <c r="I83" s="13"/>
      <c r="J83" s="13">
        <v>8</v>
      </c>
      <c r="K83" s="192" t="s">
        <v>5855</v>
      </c>
      <c r="L83" s="13" t="s">
        <v>5656</v>
      </c>
      <c r="M83" s="13"/>
      <c r="N83" s="13">
        <v>1</v>
      </c>
      <c r="O83" s="22">
        <v>301014</v>
      </c>
      <c r="P83" s="22" t="s">
        <v>3074</v>
      </c>
      <c r="R83" s="195"/>
    </row>
    <row r="84" spans="1:18" s="21" customFormat="1" ht="16.8" customHeight="1">
      <c r="A84" s="22">
        <v>301015</v>
      </c>
      <c r="B84" s="57" t="s">
        <v>5856</v>
      </c>
      <c r="C84" s="13" t="s">
        <v>5895</v>
      </c>
      <c r="D84" s="9" t="s">
        <v>3640</v>
      </c>
      <c r="E84" s="13"/>
      <c r="F84" s="13"/>
      <c r="G84" s="9" t="s">
        <v>5657</v>
      </c>
      <c r="H84" s="13"/>
      <c r="I84" s="13"/>
      <c r="J84" s="13">
        <v>8</v>
      </c>
      <c r="K84" s="192" t="s">
        <v>5857</v>
      </c>
      <c r="L84" s="13" t="s">
        <v>5659</v>
      </c>
      <c r="M84" s="13"/>
      <c r="N84" s="13">
        <v>1</v>
      </c>
      <c r="O84" s="22">
        <v>301015</v>
      </c>
      <c r="P84" s="22" t="s">
        <v>3111</v>
      </c>
      <c r="R84" s="195"/>
    </row>
    <row r="85" spans="1:18" s="21" customFormat="1" ht="16.8" customHeight="1">
      <c r="A85" s="22">
        <v>301016</v>
      </c>
      <c r="B85" s="57" t="s">
        <v>5858</v>
      </c>
      <c r="C85" s="13" t="s">
        <v>5895</v>
      </c>
      <c r="D85" s="9" t="s">
        <v>3640</v>
      </c>
      <c r="E85" s="13"/>
      <c r="F85" s="13"/>
      <c r="G85" s="9" t="s">
        <v>5660</v>
      </c>
      <c r="H85" s="13"/>
      <c r="I85" s="13"/>
      <c r="J85" s="13">
        <v>8</v>
      </c>
      <c r="K85" s="192" t="s">
        <v>5859</v>
      </c>
      <c r="L85" s="13" t="s">
        <v>5662</v>
      </c>
      <c r="M85" s="13"/>
      <c r="N85" s="13">
        <v>0</v>
      </c>
      <c r="O85" s="22">
        <v>301016</v>
      </c>
      <c r="P85" s="22" t="s">
        <v>3141</v>
      </c>
      <c r="R85" s="195"/>
    </row>
    <row r="86" spans="1:18" s="21" customFormat="1" ht="16.8" customHeight="1">
      <c r="A86" s="22">
        <v>301017</v>
      </c>
      <c r="B86" s="57" t="s">
        <v>5860</v>
      </c>
      <c r="C86" s="13" t="s">
        <v>5895</v>
      </c>
      <c r="D86" s="9" t="s">
        <v>3640</v>
      </c>
      <c r="E86" s="13"/>
      <c r="F86" s="13"/>
      <c r="G86" s="10" t="s">
        <v>5663</v>
      </c>
      <c r="H86" s="13"/>
      <c r="I86" s="13"/>
      <c r="J86" s="13">
        <v>8</v>
      </c>
      <c r="K86" s="192" t="s">
        <v>5861</v>
      </c>
      <c r="L86" s="13" t="s">
        <v>5665</v>
      </c>
      <c r="M86" s="13"/>
      <c r="N86" s="13">
        <v>0</v>
      </c>
      <c r="O86" s="22">
        <v>301016</v>
      </c>
      <c r="P86" s="22" t="s">
        <v>3141</v>
      </c>
      <c r="R86" s="195"/>
    </row>
    <row r="87" spans="1:18" s="21" customFormat="1" ht="16.8" customHeight="1">
      <c r="A87" s="22">
        <v>501001</v>
      </c>
      <c r="B87" s="57" t="s">
        <v>5862</v>
      </c>
      <c r="C87" s="13" t="s">
        <v>5881</v>
      </c>
      <c r="D87" s="9" t="s">
        <v>3640</v>
      </c>
      <c r="E87" s="13"/>
      <c r="F87" s="13" t="s">
        <v>5666</v>
      </c>
      <c r="G87" s="13" t="s">
        <v>5667</v>
      </c>
      <c r="H87" s="13"/>
      <c r="I87" s="13"/>
      <c r="J87" s="13">
        <v>1</v>
      </c>
      <c r="K87" s="192" t="s">
        <v>5863</v>
      </c>
      <c r="L87" s="13" t="s">
        <v>5669</v>
      </c>
      <c r="M87" s="13" t="s">
        <v>5670</v>
      </c>
      <c r="N87" s="13">
        <v>0</v>
      </c>
      <c r="O87" s="22">
        <v>501001</v>
      </c>
      <c r="P87" s="22" t="s">
        <v>3528</v>
      </c>
      <c r="R87" s="195"/>
    </row>
    <row r="88" spans="1:18" s="21" customFormat="1" ht="16.8" customHeight="1">
      <c r="A88" s="22">
        <v>501002</v>
      </c>
      <c r="B88" s="57" t="s">
        <v>5864</v>
      </c>
      <c r="C88" s="13" t="s">
        <v>5881</v>
      </c>
      <c r="D88" s="9" t="s">
        <v>3640</v>
      </c>
      <c r="E88" s="13"/>
      <c r="F88" s="13" t="s">
        <v>5671</v>
      </c>
      <c r="G88" s="13">
        <v>5310001</v>
      </c>
      <c r="H88" s="13"/>
      <c r="I88" s="13"/>
      <c r="J88" s="13">
        <v>1</v>
      </c>
      <c r="K88" s="192" t="s">
        <v>5865</v>
      </c>
      <c r="L88" s="13" t="s">
        <v>5673</v>
      </c>
      <c r="M88" s="13" t="s">
        <v>5674</v>
      </c>
      <c r="N88" s="13">
        <v>0</v>
      </c>
      <c r="O88" s="22">
        <v>501002</v>
      </c>
      <c r="P88" s="22" t="s">
        <v>3538</v>
      </c>
      <c r="R88" s="195"/>
    </row>
    <row r="89" spans="1:18" s="21" customFormat="1" ht="16.8" customHeight="1">
      <c r="A89" s="22">
        <v>501003</v>
      </c>
      <c r="B89" s="57" t="s">
        <v>5866</v>
      </c>
      <c r="C89" s="13" t="s">
        <v>5894</v>
      </c>
      <c r="D89" s="9" t="s">
        <v>3640</v>
      </c>
      <c r="E89" s="13"/>
      <c r="F89" s="13"/>
      <c r="G89" s="13"/>
      <c r="H89" s="13"/>
      <c r="I89" s="13"/>
      <c r="J89" s="13"/>
      <c r="K89" s="201"/>
      <c r="L89" s="13"/>
      <c r="M89" s="13"/>
      <c r="N89" s="13">
        <v>0</v>
      </c>
      <c r="O89" s="22">
        <v>501003</v>
      </c>
      <c r="P89" s="22" t="s">
        <v>5675</v>
      </c>
      <c r="R89" s="195"/>
    </row>
    <row r="90" spans="1:18" s="21" customFormat="1" ht="16.8" customHeight="1">
      <c r="A90" s="22">
        <v>501004</v>
      </c>
      <c r="B90" s="57" t="s">
        <v>5867</v>
      </c>
      <c r="C90" s="13" t="s">
        <v>5895</v>
      </c>
      <c r="D90" s="9" t="s">
        <v>3640</v>
      </c>
      <c r="E90" s="13"/>
      <c r="F90" s="13"/>
      <c r="G90" s="13"/>
      <c r="H90" s="13"/>
      <c r="I90" s="13"/>
      <c r="J90" s="13"/>
      <c r="K90" s="201"/>
      <c r="L90" s="13"/>
      <c r="M90" s="13"/>
      <c r="N90" s="13">
        <v>0</v>
      </c>
      <c r="O90" s="22">
        <v>501004</v>
      </c>
      <c r="P90" s="22" t="s">
        <v>5676</v>
      </c>
      <c r="R90" s="195"/>
    </row>
    <row r="91" spans="1:18" s="21" customFormat="1" ht="16.8" customHeight="1">
      <c r="A91" s="22">
        <v>501005</v>
      </c>
      <c r="B91" s="57" t="s">
        <v>5868</v>
      </c>
      <c r="C91" s="13" t="s">
        <v>5881</v>
      </c>
      <c r="D91" s="9" t="s">
        <v>3640</v>
      </c>
      <c r="E91" s="13"/>
      <c r="F91" s="13" t="s">
        <v>5678</v>
      </c>
      <c r="G91" s="13">
        <v>9610002</v>
      </c>
      <c r="H91" s="13"/>
      <c r="I91" s="13"/>
      <c r="J91" s="13">
        <v>1</v>
      </c>
      <c r="K91" s="201"/>
      <c r="L91" s="13" t="s">
        <v>5679</v>
      </c>
      <c r="M91" s="13" t="s">
        <v>5674</v>
      </c>
      <c r="N91" s="13">
        <v>0</v>
      </c>
      <c r="O91" s="22">
        <v>501005</v>
      </c>
      <c r="P91" s="22" t="s">
        <v>5677</v>
      </c>
      <c r="R91" s="195"/>
    </row>
    <row r="92" spans="1:18" s="21" customFormat="1" ht="16.8" customHeight="1">
      <c r="A92" s="22">
        <v>501006</v>
      </c>
      <c r="B92" s="57" t="s">
        <v>5869</v>
      </c>
      <c r="C92" s="13" t="s">
        <v>5881</v>
      </c>
      <c r="D92" s="9" t="s">
        <v>3640</v>
      </c>
      <c r="E92" s="13"/>
      <c r="F92" s="13" t="s">
        <v>5680</v>
      </c>
      <c r="G92" s="13">
        <v>9410002</v>
      </c>
      <c r="H92" s="13"/>
      <c r="I92" s="13"/>
      <c r="J92" s="13">
        <v>999</v>
      </c>
      <c r="K92" s="202"/>
      <c r="L92" s="13" t="s">
        <v>5669</v>
      </c>
      <c r="M92" s="13" t="s">
        <v>5681</v>
      </c>
      <c r="N92" s="13">
        <v>0</v>
      </c>
      <c r="O92" s="22">
        <v>501006</v>
      </c>
      <c r="P92" s="22" t="s">
        <v>3549</v>
      </c>
      <c r="R92" s="195"/>
    </row>
    <row r="93" spans="1:18" s="21" customFormat="1" ht="16.8" customHeight="1">
      <c r="A93" s="22">
        <v>501007</v>
      </c>
      <c r="B93" s="57" t="s">
        <v>5870</v>
      </c>
      <c r="C93" s="13" t="s">
        <v>5881</v>
      </c>
      <c r="D93" s="9" t="s">
        <v>3640</v>
      </c>
      <c r="E93" s="13"/>
      <c r="F93" s="13" t="s">
        <v>5682</v>
      </c>
      <c r="G93" s="13">
        <v>9410001</v>
      </c>
      <c r="H93" s="13"/>
      <c r="I93" s="13"/>
      <c r="J93" s="13">
        <v>999</v>
      </c>
      <c r="K93" s="202"/>
      <c r="L93" s="13" t="s">
        <v>5669</v>
      </c>
      <c r="M93" s="13"/>
      <c r="N93" s="13">
        <v>0</v>
      </c>
      <c r="O93" s="22">
        <v>501007</v>
      </c>
      <c r="P93" s="22" t="s">
        <v>3601</v>
      </c>
      <c r="R93" s="195"/>
    </row>
    <row r="94" spans="1:18" s="21" customFormat="1" ht="16.8" customHeight="1">
      <c r="A94" s="22">
        <v>501008</v>
      </c>
      <c r="B94" s="57" t="s">
        <v>5871</v>
      </c>
      <c r="C94" s="13" t="s">
        <v>5881</v>
      </c>
      <c r="D94" s="9" t="s">
        <v>3640</v>
      </c>
      <c r="E94" s="13"/>
      <c r="F94" s="13" t="s">
        <v>5683</v>
      </c>
      <c r="G94" s="13">
        <v>10210002</v>
      </c>
      <c r="H94" s="13"/>
      <c r="I94" s="13"/>
      <c r="J94" s="13">
        <v>999</v>
      </c>
      <c r="K94" s="202"/>
      <c r="L94" s="13" t="s">
        <v>5669</v>
      </c>
      <c r="M94" s="13"/>
      <c r="N94" s="13">
        <v>0</v>
      </c>
      <c r="O94" s="22">
        <v>501008</v>
      </c>
      <c r="P94" s="22" t="s">
        <v>3596</v>
      </c>
      <c r="R94" s="195"/>
    </row>
    <row r="95" spans="1:18" s="21" customFormat="1" ht="16.8" customHeight="1">
      <c r="A95" s="22">
        <v>501009</v>
      </c>
      <c r="B95" s="57" t="s">
        <v>5872</v>
      </c>
      <c r="C95" s="13" t="s">
        <v>5881</v>
      </c>
      <c r="D95" s="9" t="s">
        <v>3640</v>
      </c>
      <c r="E95" s="13"/>
      <c r="F95" s="13" t="s">
        <v>5685</v>
      </c>
      <c r="G95" s="13">
        <v>9510002</v>
      </c>
      <c r="H95" s="13"/>
      <c r="I95" s="13"/>
      <c r="J95" s="13">
        <v>999</v>
      </c>
      <c r="K95" s="202"/>
      <c r="L95" s="13" t="s">
        <v>5669</v>
      </c>
      <c r="M95" s="13"/>
      <c r="N95" s="13">
        <v>0</v>
      </c>
      <c r="O95" s="22">
        <v>501009</v>
      </c>
      <c r="P95" s="22" t="s">
        <v>5684</v>
      </c>
      <c r="R95" s="195"/>
    </row>
    <row r="96" spans="1:18" s="21" customFormat="1" ht="16.8" customHeight="1">
      <c r="A96" s="22">
        <v>501010</v>
      </c>
      <c r="B96" s="57" t="s">
        <v>5873</v>
      </c>
      <c r="C96" s="13" t="s">
        <v>5881</v>
      </c>
      <c r="D96" s="9" t="s">
        <v>3640</v>
      </c>
      <c r="E96" s="13"/>
      <c r="F96" s="13" t="s">
        <v>5687</v>
      </c>
      <c r="G96" s="13">
        <v>10010002</v>
      </c>
      <c r="H96" s="13"/>
      <c r="I96" s="13"/>
      <c r="J96" s="13">
        <v>999</v>
      </c>
      <c r="K96" s="202"/>
      <c r="L96" s="13" t="s">
        <v>5669</v>
      </c>
      <c r="M96" s="13"/>
      <c r="N96" s="13">
        <v>0</v>
      </c>
      <c r="O96" s="22">
        <v>501010</v>
      </c>
      <c r="P96" s="22" t="s">
        <v>5686</v>
      </c>
      <c r="R96" s="195"/>
    </row>
    <row r="97" spans="1:18" s="21" customFormat="1" ht="16.8" customHeight="1">
      <c r="A97" s="22">
        <v>501011</v>
      </c>
      <c r="B97" s="57" t="s">
        <v>5874</v>
      </c>
      <c r="C97" s="13" t="s">
        <v>5881</v>
      </c>
      <c r="D97" s="9" t="s">
        <v>3640</v>
      </c>
      <c r="E97" s="13"/>
      <c r="F97" s="13" t="s">
        <v>5688</v>
      </c>
      <c r="G97" s="13">
        <v>9810002</v>
      </c>
      <c r="H97" s="13"/>
      <c r="I97" s="13"/>
      <c r="J97" s="13">
        <v>999</v>
      </c>
      <c r="K97" s="202"/>
      <c r="L97" s="13" t="s">
        <v>5669</v>
      </c>
      <c r="M97" s="13"/>
      <c r="N97" s="13">
        <v>0</v>
      </c>
      <c r="O97" s="22">
        <v>501011</v>
      </c>
      <c r="P97" s="22" t="s">
        <v>3573</v>
      </c>
      <c r="R97" s="195"/>
    </row>
    <row r="98" spans="1:18" s="21" customFormat="1" ht="16.8" customHeight="1">
      <c r="A98" s="22">
        <v>501012</v>
      </c>
      <c r="B98" s="57" t="s">
        <v>5875</v>
      </c>
      <c r="C98" s="13" t="s">
        <v>5881</v>
      </c>
      <c r="D98" s="9" t="s">
        <v>3640</v>
      </c>
      <c r="E98" s="13"/>
      <c r="F98" s="13" t="s">
        <v>5690</v>
      </c>
      <c r="G98" s="13">
        <v>9710002</v>
      </c>
      <c r="H98" s="13"/>
      <c r="I98" s="13"/>
      <c r="J98" s="13">
        <v>999</v>
      </c>
      <c r="K98" s="202"/>
      <c r="L98" s="13" t="s">
        <v>5669</v>
      </c>
      <c r="M98" s="13"/>
      <c r="N98" s="13">
        <v>0</v>
      </c>
      <c r="O98" s="22">
        <v>501012</v>
      </c>
      <c r="P98" s="22" t="s">
        <v>5689</v>
      </c>
      <c r="R98" s="195"/>
    </row>
    <row r="99" spans="1:18" s="21" customFormat="1" ht="16.8" customHeight="1">
      <c r="A99" s="22">
        <v>501013</v>
      </c>
      <c r="B99" s="57" t="s">
        <v>5876</v>
      </c>
      <c r="C99" s="13" t="s">
        <v>5881</v>
      </c>
      <c r="D99" s="9" t="s">
        <v>3640</v>
      </c>
      <c r="E99" s="13"/>
      <c r="F99" s="13" t="s">
        <v>5691</v>
      </c>
      <c r="G99" s="13">
        <v>9910002</v>
      </c>
      <c r="H99" s="13"/>
      <c r="I99" s="13"/>
      <c r="J99" s="13">
        <v>999</v>
      </c>
      <c r="K99" s="202"/>
      <c r="L99" s="13" t="s">
        <v>5669</v>
      </c>
      <c r="M99" s="13"/>
      <c r="N99" s="13">
        <v>0</v>
      </c>
      <c r="O99" s="22">
        <v>501013</v>
      </c>
      <c r="P99" s="22" t="s">
        <v>3579</v>
      </c>
      <c r="R99" s="195"/>
    </row>
    <row r="100" spans="1:18" ht="16.8" customHeight="1">
      <c r="A100" s="3">
        <v>501014</v>
      </c>
      <c r="B100" s="57" t="s">
        <v>5877</v>
      </c>
      <c r="C100" s="18" t="s">
        <v>5881</v>
      </c>
      <c r="D100" s="9" t="s">
        <v>3640</v>
      </c>
      <c r="E100" s="18"/>
      <c r="F100" s="18" t="s">
        <v>5692</v>
      </c>
      <c r="G100" s="18">
        <v>10110002</v>
      </c>
      <c r="H100" s="18"/>
      <c r="I100" s="18"/>
      <c r="J100" s="18">
        <v>999</v>
      </c>
      <c r="K100" s="203"/>
      <c r="L100" s="18" t="s">
        <v>5669</v>
      </c>
      <c r="M100" s="13"/>
      <c r="N100" s="9">
        <v>0</v>
      </c>
      <c r="O100" s="104">
        <v>501014</v>
      </c>
      <c r="P100" s="104" t="s">
        <v>3591</v>
      </c>
      <c r="R100" s="194"/>
    </row>
    <row r="101" spans="1:18" ht="16.8" customHeight="1">
      <c r="A101" s="3">
        <v>501015</v>
      </c>
      <c r="B101" s="57" t="s">
        <v>5878</v>
      </c>
      <c r="C101" s="18" t="s">
        <v>5881</v>
      </c>
      <c r="D101" s="9" t="s">
        <v>3640</v>
      </c>
      <c r="E101" s="18"/>
      <c r="F101" s="18" t="s">
        <v>5693</v>
      </c>
      <c r="G101" s="18">
        <v>10310003</v>
      </c>
      <c r="H101" s="18"/>
      <c r="I101" s="18"/>
      <c r="J101" s="18">
        <v>999</v>
      </c>
      <c r="K101" s="203"/>
      <c r="L101" s="18" t="s">
        <v>5669</v>
      </c>
      <c r="M101" s="13"/>
      <c r="N101" s="9">
        <v>0</v>
      </c>
      <c r="O101" s="104">
        <v>501015</v>
      </c>
      <c r="P101" s="104" t="s">
        <v>3635</v>
      </c>
      <c r="R101" s="194"/>
    </row>
    <row r="102" spans="1:18" ht="16.8" customHeight="1">
      <c r="A102" s="3">
        <v>900000</v>
      </c>
      <c r="B102" s="57" t="s">
        <v>5879</v>
      </c>
      <c r="C102" s="18" t="s">
        <v>5879</v>
      </c>
      <c r="D102" s="9" t="s">
        <v>3640</v>
      </c>
      <c r="E102" s="18"/>
      <c r="F102" s="18"/>
      <c r="G102" s="18">
        <v>9000001</v>
      </c>
      <c r="H102" s="18"/>
      <c r="I102" s="18"/>
      <c r="J102" s="18"/>
      <c r="K102" s="57" t="s">
        <v>5880</v>
      </c>
      <c r="L102" s="18" t="s">
        <v>5695</v>
      </c>
      <c r="N102" s="9">
        <v>0</v>
      </c>
      <c r="O102" s="104">
        <v>900000</v>
      </c>
      <c r="P102" s="104" t="s">
        <v>3228</v>
      </c>
      <c r="R102" s="194"/>
    </row>
  </sheetData>
  <phoneticPr fontId="45" type="noConversion"/>
  <conditionalFormatting sqref="A7">
    <cfRule type="duplicateValues" dxfId="63" priority="2"/>
  </conditionalFormatting>
  <conditionalFormatting sqref="A14">
    <cfRule type="duplicateValues" dxfId="62" priority="5"/>
  </conditionalFormatting>
  <conditionalFormatting sqref="A17">
    <cfRule type="duplicateValues" dxfId="61" priority="6"/>
  </conditionalFormatting>
  <conditionalFormatting sqref="A25">
    <cfRule type="duplicateValues" dxfId="60" priority="10"/>
  </conditionalFormatting>
  <conditionalFormatting sqref="A28">
    <cfRule type="duplicateValues" dxfId="59" priority="1"/>
  </conditionalFormatting>
  <conditionalFormatting sqref="A31">
    <cfRule type="duplicateValues" dxfId="58" priority="7"/>
  </conditionalFormatting>
  <conditionalFormatting sqref="A34">
    <cfRule type="duplicateValues" dxfId="57" priority="9"/>
  </conditionalFormatting>
  <conditionalFormatting sqref="A35">
    <cfRule type="duplicateValues" dxfId="56" priority="4"/>
  </conditionalFormatting>
  <conditionalFormatting sqref="A36">
    <cfRule type="duplicateValues" dxfId="55" priority="3"/>
  </conditionalFormatting>
  <conditionalFormatting sqref="A41:A43">
    <cfRule type="duplicateValues" dxfId="54" priority="12"/>
  </conditionalFormatting>
  <conditionalFormatting sqref="A48:A49">
    <cfRule type="duplicateValues" dxfId="53" priority="8"/>
  </conditionalFormatting>
  <conditionalFormatting sqref="A44:A47 A37:A40 A18:A24 A1:A6 A26:A27 A32:A33 A15:A16 A8:A13 A29:A30 A50:A1048576">
    <cfRule type="duplicateValues" dxfId="52" priority="11"/>
  </conditionalFormatting>
  <pageMargins left="0.75" right="0.75" top="1" bottom="1" header="0.5" footer="0.5"/>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6"/>
  <sheetViews>
    <sheetView topLeftCell="A11" workbookViewId="0">
      <selection activeCell="A107" sqref="A107:XFD108"/>
    </sheetView>
  </sheetViews>
  <sheetFormatPr defaultColWidth="9" defaultRowHeight="14.4"/>
  <cols>
    <col min="1" max="1" width="9.44140625" customWidth="1"/>
    <col min="2" max="3" width="8.5546875" customWidth="1"/>
    <col min="4" max="4" width="17.21875" style="83" customWidth="1"/>
    <col min="5" max="5" width="17.77734375" customWidth="1"/>
    <col min="6" max="6" width="8.21875" style="83" customWidth="1"/>
    <col min="7" max="7" width="8.109375" customWidth="1"/>
    <col min="8" max="8" width="99.44140625" customWidth="1"/>
    <col min="9" max="9" width="15.33203125" customWidth="1"/>
  </cols>
  <sheetData>
    <row r="1" spans="1:10" s="73" customFormat="1" ht="51.6" customHeight="1">
      <c r="A1" s="84" t="s">
        <v>5896</v>
      </c>
      <c r="B1" s="84" t="s">
        <v>5897</v>
      </c>
      <c r="C1" s="84" t="s">
        <v>1</v>
      </c>
      <c r="D1" s="84" t="s">
        <v>5898</v>
      </c>
      <c r="E1" s="84" t="s">
        <v>5899</v>
      </c>
      <c r="F1" s="84" t="s">
        <v>5900</v>
      </c>
      <c r="G1" s="84" t="s">
        <v>5901</v>
      </c>
      <c r="H1" s="84" t="s">
        <v>5902</v>
      </c>
      <c r="I1" s="114" t="s">
        <v>40</v>
      </c>
    </row>
    <row r="2" spans="1:10" s="73" customFormat="1" ht="39" customHeight="1">
      <c r="A2" s="85" t="s">
        <v>5903</v>
      </c>
      <c r="B2" s="85" t="s">
        <v>42</v>
      </c>
      <c r="C2" s="85" t="s">
        <v>5904</v>
      </c>
      <c r="D2" s="86" t="s">
        <v>5905</v>
      </c>
      <c r="E2" s="85" t="s">
        <v>5906</v>
      </c>
      <c r="F2" s="86" t="s">
        <v>5907</v>
      </c>
      <c r="G2" s="85"/>
      <c r="H2" s="85" t="s">
        <v>5360</v>
      </c>
      <c r="I2" s="73" t="s">
        <v>77</v>
      </c>
    </row>
    <row r="3" spans="1:10" s="74" customFormat="1" ht="30" customHeight="1">
      <c r="A3" s="87">
        <v>8020201</v>
      </c>
      <c r="B3" s="88" t="s">
        <v>5908</v>
      </c>
      <c r="C3" s="88">
        <v>102001</v>
      </c>
      <c r="D3" s="89" t="s">
        <v>5909</v>
      </c>
      <c r="E3" s="3" t="s">
        <v>5898</v>
      </c>
      <c r="F3" s="90" t="s">
        <v>5910</v>
      </c>
      <c r="G3" s="3"/>
      <c r="H3" s="3" t="s">
        <v>5911</v>
      </c>
      <c r="I3" s="74" t="s">
        <v>5912</v>
      </c>
      <c r="J3" s="74" t="s">
        <v>338</v>
      </c>
    </row>
    <row r="4" spans="1:10" s="74" customFormat="1">
      <c r="A4" s="87">
        <v>8020202</v>
      </c>
      <c r="B4" s="3" t="s">
        <v>5913</v>
      </c>
      <c r="C4" s="88">
        <v>102001</v>
      </c>
      <c r="D4" s="89">
        <v>1020203</v>
      </c>
      <c r="E4" s="3" t="s">
        <v>5898</v>
      </c>
      <c r="F4" s="90" t="s">
        <v>5914</v>
      </c>
      <c r="G4" s="3">
        <v>8020203</v>
      </c>
      <c r="H4" s="3" t="s">
        <v>5915</v>
      </c>
      <c r="I4" s="74" t="s">
        <v>5916</v>
      </c>
      <c r="J4" s="74" t="s">
        <v>338</v>
      </c>
    </row>
    <row r="5" spans="1:10" s="74" customFormat="1">
      <c r="A5" s="87">
        <v>8020203</v>
      </c>
      <c r="B5" s="3" t="s">
        <v>5917</v>
      </c>
      <c r="C5" s="88">
        <v>102001</v>
      </c>
      <c r="D5" s="89">
        <v>1020203</v>
      </c>
      <c r="E5" s="3" t="s">
        <v>5898</v>
      </c>
      <c r="F5" s="90" t="s">
        <v>5918</v>
      </c>
      <c r="G5" s="3">
        <v>8020202</v>
      </c>
      <c r="H5" s="3" t="s">
        <v>5919</v>
      </c>
      <c r="I5" s="74" t="s">
        <v>5920</v>
      </c>
      <c r="J5" s="74" t="s">
        <v>338</v>
      </c>
    </row>
    <row r="6" spans="1:10" s="74" customFormat="1" ht="28.8" customHeight="1">
      <c r="A6" s="87">
        <v>8020204</v>
      </c>
      <c r="B6" s="3" t="s">
        <v>5921</v>
      </c>
      <c r="C6" s="88">
        <v>102001</v>
      </c>
      <c r="D6" s="89" t="s">
        <v>337</v>
      </c>
      <c r="E6" s="3" t="s">
        <v>5898</v>
      </c>
      <c r="F6" s="90" t="s">
        <v>5922</v>
      </c>
      <c r="G6" s="3"/>
      <c r="H6" s="3" t="s">
        <v>5923</v>
      </c>
      <c r="I6" s="74" t="s">
        <v>5924</v>
      </c>
      <c r="J6" s="74" t="s">
        <v>338</v>
      </c>
    </row>
    <row r="7" spans="1:10" s="74" customFormat="1" ht="30" customHeight="1">
      <c r="A7" s="1">
        <v>8020301</v>
      </c>
      <c r="B7" s="88" t="s">
        <v>5925</v>
      </c>
      <c r="C7" s="88">
        <v>102002</v>
      </c>
      <c r="D7" s="89">
        <v>1020301</v>
      </c>
      <c r="E7" s="3" t="s">
        <v>5898</v>
      </c>
      <c r="F7" s="90" t="s">
        <v>5926</v>
      </c>
      <c r="G7" s="3"/>
      <c r="H7" s="3" t="s">
        <v>5927</v>
      </c>
      <c r="I7" s="74" t="s">
        <v>5928</v>
      </c>
      <c r="J7" s="74" t="s">
        <v>408</v>
      </c>
    </row>
    <row r="8" spans="1:10" s="74" customFormat="1">
      <c r="A8" s="1">
        <v>8020302</v>
      </c>
      <c r="B8" s="91" t="s">
        <v>5929</v>
      </c>
      <c r="C8" s="91">
        <v>102002</v>
      </c>
      <c r="D8" s="92">
        <v>1020303</v>
      </c>
      <c r="E8" s="1" t="s">
        <v>5898</v>
      </c>
      <c r="F8" s="93" t="s">
        <v>5926</v>
      </c>
      <c r="G8" s="1"/>
      <c r="H8" s="1" t="s">
        <v>5930</v>
      </c>
      <c r="I8" s="74" t="s">
        <v>5931</v>
      </c>
      <c r="J8" s="74" t="s">
        <v>408</v>
      </c>
    </row>
    <row r="9" spans="1:10" s="74" customFormat="1">
      <c r="A9" s="1">
        <v>8020303</v>
      </c>
      <c r="B9" s="91" t="s">
        <v>5932</v>
      </c>
      <c r="C9" s="91">
        <v>102002</v>
      </c>
      <c r="D9" s="92">
        <v>1020303</v>
      </c>
      <c r="E9" s="1" t="s">
        <v>5898</v>
      </c>
      <c r="F9" s="93" t="s">
        <v>5933</v>
      </c>
      <c r="G9" s="1"/>
      <c r="H9" s="1" t="s">
        <v>5934</v>
      </c>
      <c r="I9" s="74" t="s">
        <v>5935</v>
      </c>
      <c r="J9" s="74" t="s">
        <v>408</v>
      </c>
    </row>
    <row r="10" spans="1:10" s="74" customFormat="1">
      <c r="A10" s="1">
        <v>8020304</v>
      </c>
      <c r="B10" s="91" t="s">
        <v>5936</v>
      </c>
      <c r="C10" s="91">
        <v>102002</v>
      </c>
      <c r="D10" s="92" t="s">
        <v>5937</v>
      </c>
      <c r="E10" s="1" t="s">
        <v>5898</v>
      </c>
      <c r="F10" s="93" t="s">
        <v>5918</v>
      </c>
      <c r="G10" s="1"/>
      <c r="H10" s="1" t="s">
        <v>5938</v>
      </c>
      <c r="I10" s="74" t="s">
        <v>5939</v>
      </c>
      <c r="J10" s="74" t="s">
        <v>408</v>
      </c>
    </row>
    <row r="11" spans="1:10" s="74" customFormat="1" ht="30" customHeight="1">
      <c r="A11" s="1">
        <v>8020401</v>
      </c>
      <c r="B11" s="91" t="s">
        <v>5940</v>
      </c>
      <c r="C11" s="91">
        <v>102003</v>
      </c>
      <c r="D11" s="92">
        <v>1020401</v>
      </c>
      <c r="E11" s="1" t="s">
        <v>5898</v>
      </c>
      <c r="F11" s="93" t="s">
        <v>5926</v>
      </c>
      <c r="G11" s="1"/>
      <c r="H11" s="1" t="s">
        <v>5941</v>
      </c>
      <c r="I11" s="74" t="s">
        <v>5942</v>
      </c>
      <c r="J11" s="74" t="s">
        <v>465</v>
      </c>
    </row>
    <row r="12" spans="1:10" s="74" customFormat="1">
      <c r="A12" s="1">
        <v>8020402</v>
      </c>
      <c r="B12" s="91" t="s">
        <v>5943</v>
      </c>
      <c r="C12" s="91">
        <v>102003</v>
      </c>
      <c r="D12" s="92">
        <v>1020403</v>
      </c>
      <c r="E12" s="1" t="s">
        <v>5898</v>
      </c>
      <c r="F12" s="93" t="s">
        <v>5926</v>
      </c>
      <c r="G12" s="1"/>
      <c r="H12" s="1" t="s">
        <v>5944</v>
      </c>
      <c r="I12" s="74" t="s">
        <v>5945</v>
      </c>
      <c r="J12" s="74" t="s">
        <v>465</v>
      </c>
    </row>
    <row r="13" spans="1:10" s="74" customFormat="1">
      <c r="A13" s="1">
        <v>8020403</v>
      </c>
      <c r="B13" s="91" t="s">
        <v>5946</v>
      </c>
      <c r="C13" s="91">
        <v>102003</v>
      </c>
      <c r="D13" s="92">
        <v>1020403</v>
      </c>
      <c r="E13" s="1" t="s">
        <v>5898</v>
      </c>
      <c r="F13" s="93" t="s">
        <v>5947</v>
      </c>
      <c r="G13" s="1"/>
      <c r="H13" s="1" t="s">
        <v>5948</v>
      </c>
      <c r="I13" s="74" t="s">
        <v>5949</v>
      </c>
      <c r="J13" s="74" t="s">
        <v>465</v>
      </c>
    </row>
    <row r="14" spans="1:10" s="74" customFormat="1">
      <c r="A14" s="1">
        <v>8020404</v>
      </c>
      <c r="B14" s="91" t="s">
        <v>5950</v>
      </c>
      <c r="C14" s="91">
        <v>102003</v>
      </c>
      <c r="D14" s="92">
        <v>1020405</v>
      </c>
      <c r="E14" s="1" t="s">
        <v>5898</v>
      </c>
      <c r="F14" s="93" t="s">
        <v>5947</v>
      </c>
      <c r="G14" s="1"/>
      <c r="H14" s="1" t="s">
        <v>5951</v>
      </c>
      <c r="I14" s="74" t="s">
        <v>5952</v>
      </c>
      <c r="J14" s="74" t="s">
        <v>465</v>
      </c>
    </row>
    <row r="15" spans="1:10" s="74" customFormat="1">
      <c r="A15" s="1">
        <v>8020503</v>
      </c>
      <c r="B15" s="94" t="s">
        <v>5953</v>
      </c>
      <c r="C15" s="94">
        <v>102005</v>
      </c>
      <c r="D15" s="92">
        <v>1020501</v>
      </c>
      <c r="E15" s="1" t="s">
        <v>5898</v>
      </c>
      <c r="F15" s="92"/>
      <c r="G15" s="1"/>
      <c r="H15" s="123" t="s">
        <v>5954</v>
      </c>
      <c r="I15" s="74" t="s">
        <v>5955</v>
      </c>
      <c r="J15" s="74" t="s">
        <v>525</v>
      </c>
    </row>
    <row r="16" spans="1:10" s="74" customFormat="1">
      <c r="A16" s="1">
        <v>8020504</v>
      </c>
      <c r="B16" s="94" t="s">
        <v>5956</v>
      </c>
      <c r="C16" s="94">
        <v>102005</v>
      </c>
      <c r="D16" s="92">
        <v>1020503</v>
      </c>
      <c r="E16" s="1" t="s">
        <v>5898</v>
      </c>
      <c r="F16" s="92"/>
      <c r="G16" s="1"/>
      <c r="H16" s="123" t="s">
        <v>5957</v>
      </c>
      <c r="I16" s="74" t="s">
        <v>5958</v>
      </c>
      <c r="J16" s="74" t="s">
        <v>525</v>
      </c>
    </row>
    <row r="17" spans="1:10" s="74" customFormat="1">
      <c r="A17" s="1">
        <v>8020505</v>
      </c>
      <c r="B17" s="94" t="s">
        <v>5959</v>
      </c>
      <c r="C17" s="94">
        <v>102005</v>
      </c>
      <c r="D17" s="92">
        <v>1020505</v>
      </c>
      <c r="E17" s="1" t="s">
        <v>5898</v>
      </c>
      <c r="F17" s="92"/>
      <c r="G17" s="1"/>
      <c r="H17" s="123" t="s">
        <v>5960</v>
      </c>
      <c r="I17" s="74" t="s">
        <v>5961</v>
      </c>
      <c r="J17" s="74" t="s">
        <v>525</v>
      </c>
    </row>
    <row r="18" spans="1:10" s="75" customFormat="1">
      <c r="A18" s="95">
        <v>8020506</v>
      </c>
      <c r="B18" s="155" t="s">
        <v>5962</v>
      </c>
      <c r="C18" s="96">
        <v>102006</v>
      </c>
      <c r="D18" s="97" t="s">
        <v>5963</v>
      </c>
      <c r="E18" s="95" t="s">
        <v>5898</v>
      </c>
      <c r="F18" s="97"/>
      <c r="G18" s="95"/>
      <c r="H18" s="126" t="s">
        <v>5964</v>
      </c>
      <c r="I18" s="75" t="s">
        <v>5965</v>
      </c>
      <c r="J18" s="74" t="s">
        <v>579</v>
      </c>
    </row>
    <row r="19" spans="1:10" s="76" customFormat="1">
      <c r="A19" s="98">
        <v>8020701</v>
      </c>
      <c r="B19" s="156" t="s">
        <v>5966</v>
      </c>
      <c r="C19" s="99">
        <v>102007</v>
      </c>
      <c r="D19" s="100" t="s">
        <v>5967</v>
      </c>
      <c r="E19" s="98" t="s">
        <v>5968</v>
      </c>
      <c r="F19" s="101"/>
      <c r="G19" s="98"/>
      <c r="H19" s="154" t="s">
        <v>5969</v>
      </c>
      <c r="I19" s="81" t="str">
        <f>"tricks/"&amp;A19</f>
        <v>tricks/8020701</v>
      </c>
      <c r="J19" s="115" t="s">
        <v>622</v>
      </c>
    </row>
    <row r="20" spans="1:10" s="76" customFormat="1">
      <c r="A20" s="98">
        <v>8020702</v>
      </c>
      <c r="B20" s="156" t="s">
        <v>5970</v>
      </c>
      <c r="C20" s="99">
        <v>102007</v>
      </c>
      <c r="D20" s="100" t="s">
        <v>5971</v>
      </c>
      <c r="E20" s="98" t="s">
        <v>5968</v>
      </c>
      <c r="F20" s="101"/>
      <c r="G20" s="98"/>
      <c r="H20" s="154" t="s">
        <v>5972</v>
      </c>
      <c r="I20" s="81" t="str">
        <f>"tricks/"&amp;A20</f>
        <v>tricks/8020702</v>
      </c>
      <c r="J20" s="115" t="s">
        <v>622</v>
      </c>
    </row>
    <row r="21" spans="1:10" s="74" customFormat="1">
      <c r="A21" s="1">
        <v>8050101</v>
      </c>
      <c r="B21" s="1" t="s">
        <v>5973</v>
      </c>
      <c r="C21" s="1">
        <v>105001</v>
      </c>
      <c r="D21" s="92">
        <v>1050103</v>
      </c>
      <c r="E21" s="1" t="s">
        <v>5898</v>
      </c>
      <c r="F21" s="93" t="s">
        <v>5974</v>
      </c>
      <c r="G21" s="1"/>
      <c r="H21" s="108" t="s">
        <v>5975</v>
      </c>
      <c r="I21" s="74" t="s">
        <v>5976</v>
      </c>
      <c r="J21" s="74" t="s">
        <v>1024</v>
      </c>
    </row>
    <row r="22" spans="1:10" s="74" customFormat="1">
      <c r="A22" s="1">
        <v>8050102</v>
      </c>
      <c r="B22" s="1" t="s">
        <v>5977</v>
      </c>
      <c r="C22" s="1">
        <v>105001</v>
      </c>
      <c r="D22" s="92" t="s">
        <v>5978</v>
      </c>
      <c r="E22" s="1" t="s">
        <v>5898</v>
      </c>
      <c r="F22" s="93" t="s">
        <v>5979</v>
      </c>
      <c r="G22" s="1"/>
      <c r="H22" s="91" t="s">
        <v>5980</v>
      </c>
      <c r="I22" s="74" t="s">
        <v>5981</v>
      </c>
      <c r="J22" s="74" t="s">
        <v>1024</v>
      </c>
    </row>
    <row r="23" spans="1:10" s="74" customFormat="1">
      <c r="A23" s="1">
        <v>8050103</v>
      </c>
      <c r="B23" s="1" t="s">
        <v>5982</v>
      </c>
      <c r="C23" s="1">
        <v>105001</v>
      </c>
      <c r="D23" s="92">
        <v>1050106</v>
      </c>
      <c r="E23" s="1" t="s">
        <v>5898</v>
      </c>
      <c r="F23" s="93" t="s">
        <v>5983</v>
      </c>
      <c r="G23" s="1"/>
      <c r="H23" s="91" t="s">
        <v>5984</v>
      </c>
      <c r="I23" s="74" t="s">
        <v>5985</v>
      </c>
      <c r="J23" s="74" t="s">
        <v>1024</v>
      </c>
    </row>
    <row r="24" spans="1:10" s="74" customFormat="1">
      <c r="A24" s="1">
        <v>8050104</v>
      </c>
      <c r="B24" s="1" t="s">
        <v>5986</v>
      </c>
      <c r="C24" s="1">
        <v>105001</v>
      </c>
      <c r="D24" s="92">
        <v>1050102</v>
      </c>
      <c r="E24" s="1" t="s">
        <v>5898</v>
      </c>
      <c r="F24" s="93" t="s">
        <v>5987</v>
      </c>
      <c r="G24" s="1"/>
      <c r="H24" s="91" t="s">
        <v>5988</v>
      </c>
      <c r="I24" s="74" t="s">
        <v>5989</v>
      </c>
      <c r="J24" s="74" t="s">
        <v>1024</v>
      </c>
    </row>
    <row r="25" spans="1:10" s="74" customFormat="1">
      <c r="A25" s="1">
        <v>8050105</v>
      </c>
      <c r="B25" s="1" t="s">
        <v>5990</v>
      </c>
      <c r="C25" s="1">
        <v>105001</v>
      </c>
      <c r="D25" s="92">
        <v>1050104</v>
      </c>
      <c r="E25" s="1" t="s">
        <v>5898</v>
      </c>
      <c r="F25" s="93" t="s">
        <v>5991</v>
      </c>
      <c r="G25" s="1"/>
      <c r="H25" s="91" t="s">
        <v>5992</v>
      </c>
      <c r="I25" s="74" t="s">
        <v>5993</v>
      </c>
      <c r="J25" s="74" t="s">
        <v>1024</v>
      </c>
    </row>
    <row r="26" spans="1:10" s="74" customFormat="1">
      <c r="A26" s="95">
        <v>8050106</v>
      </c>
      <c r="B26" s="95" t="s">
        <v>5994</v>
      </c>
      <c r="C26" s="95">
        <v>105002</v>
      </c>
      <c r="D26" s="97" t="s">
        <v>5995</v>
      </c>
      <c r="E26" s="102" t="s">
        <v>5968</v>
      </c>
      <c r="F26" s="103"/>
      <c r="G26" s="95"/>
      <c r="H26" s="157" t="s">
        <v>5996</v>
      </c>
      <c r="I26" s="74" t="s">
        <v>5997</v>
      </c>
      <c r="J26" s="74" t="s">
        <v>1081</v>
      </c>
    </row>
    <row r="27" spans="1:10" s="77" customFormat="1">
      <c r="A27" s="104">
        <v>8050201</v>
      </c>
      <c r="B27" s="104" t="s">
        <v>5998</v>
      </c>
      <c r="C27" s="104">
        <v>105002</v>
      </c>
      <c r="D27" s="105" t="s">
        <v>5995</v>
      </c>
      <c r="E27" s="104" t="s">
        <v>5898</v>
      </c>
      <c r="F27" s="106"/>
      <c r="G27" s="104"/>
      <c r="H27" s="158" t="s">
        <v>5999</v>
      </c>
      <c r="I27" s="77" t="s">
        <v>6000</v>
      </c>
      <c r="J27" s="77" t="s">
        <v>1081</v>
      </c>
    </row>
    <row r="28" spans="1:10" s="77" customFormat="1">
      <c r="A28" s="104">
        <v>8050202</v>
      </c>
      <c r="B28" s="104" t="s">
        <v>6001</v>
      </c>
      <c r="C28" s="104">
        <v>105002</v>
      </c>
      <c r="D28" s="105" t="s">
        <v>5995</v>
      </c>
      <c r="E28" s="104" t="s">
        <v>5898</v>
      </c>
      <c r="F28" s="106"/>
      <c r="G28" s="104"/>
      <c r="H28" s="158" t="s">
        <v>6002</v>
      </c>
      <c r="I28" s="77" t="s">
        <v>6003</v>
      </c>
      <c r="J28" s="77" t="s">
        <v>1081</v>
      </c>
    </row>
    <row r="29" spans="1:10" s="75" customFormat="1">
      <c r="A29" s="95">
        <v>8050107</v>
      </c>
      <c r="B29" s="95" t="s">
        <v>6004</v>
      </c>
      <c r="C29" s="95">
        <v>109002</v>
      </c>
      <c r="D29" s="97" t="s">
        <v>6005</v>
      </c>
      <c r="E29" s="95" t="s">
        <v>5898</v>
      </c>
      <c r="F29" s="103"/>
      <c r="G29" s="95"/>
      <c r="H29" s="159" t="s">
        <v>6006</v>
      </c>
      <c r="I29" s="75" t="s">
        <v>6007</v>
      </c>
      <c r="J29" s="74" t="s">
        <v>1297</v>
      </c>
    </row>
    <row r="30" spans="1:10" s="74" customFormat="1">
      <c r="A30" s="1">
        <v>8040101</v>
      </c>
      <c r="B30" s="107" t="s">
        <v>6008</v>
      </c>
      <c r="C30" s="107">
        <v>104001</v>
      </c>
      <c r="D30" s="92">
        <v>1040105</v>
      </c>
      <c r="E30" s="1" t="s">
        <v>5898</v>
      </c>
      <c r="F30" s="92"/>
      <c r="G30" s="1"/>
      <c r="H30" s="94" t="s">
        <v>6009</v>
      </c>
      <c r="I30" s="74" t="s">
        <v>6010</v>
      </c>
      <c r="J30" s="74" t="s">
        <v>782</v>
      </c>
    </row>
    <row r="31" spans="1:10" s="74" customFormat="1">
      <c r="A31" s="1">
        <v>8040102</v>
      </c>
      <c r="B31" s="1" t="s">
        <v>6011</v>
      </c>
      <c r="C31" s="107">
        <v>104001</v>
      </c>
      <c r="D31" s="92" t="s">
        <v>6012</v>
      </c>
      <c r="E31" s="1" t="s">
        <v>5968</v>
      </c>
      <c r="F31" s="92"/>
      <c r="G31" s="1"/>
      <c r="H31" s="109" t="s">
        <v>5915</v>
      </c>
      <c r="I31" s="74" t="s">
        <v>6013</v>
      </c>
      <c r="J31" s="74" t="s">
        <v>782</v>
      </c>
    </row>
    <row r="32" spans="1:10" s="74" customFormat="1">
      <c r="A32" s="1">
        <v>8040103</v>
      </c>
      <c r="B32" s="1" t="s">
        <v>6014</v>
      </c>
      <c r="C32" s="107">
        <v>104001</v>
      </c>
      <c r="D32" s="92">
        <v>1040105</v>
      </c>
      <c r="E32" s="1" t="s">
        <v>5898</v>
      </c>
      <c r="F32" s="92"/>
      <c r="G32" s="1"/>
      <c r="H32" s="107" t="s">
        <v>6015</v>
      </c>
      <c r="I32" s="74" t="s">
        <v>6016</v>
      </c>
      <c r="J32" s="74" t="s">
        <v>782</v>
      </c>
    </row>
    <row r="33" spans="1:10" s="74" customFormat="1">
      <c r="A33" s="1">
        <v>8040104</v>
      </c>
      <c r="B33" s="1" t="s">
        <v>6017</v>
      </c>
      <c r="C33" s="107">
        <v>104001</v>
      </c>
      <c r="D33" s="92">
        <v>1040108</v>
      </c>
      <c r="E33" s="1" t="s">
        <v>5898</v>
      </c>
      <c r="F33" s="92"/>
      <c r="G33" s="1"/>
      <c r="H33" s="94" t="s">
        <v>6018</v>
      </c>
      <c r="I33" s="74" t="s">
        <v>6019</v>
      </c>
      <c r="J33" s="74" t="s">
        <v>782</v>
      </c>
    </row>
    <row r="34" spans="1:10" s="74" customFormat="1">
      <c r="A34" s="1">
        <v>8060101</v>
      </c>
      <c r="B34" s="1" t="s">
        <v>6020</v>
      </c>
      <c r="C34" s="1">
        <v>106001</v>
      </c>
      <c r="D34" s="92" t="s">
        <v>6021</v>
      </c>
      <c r="E34" s="1" t="s">
        <v>5968</v>
      </c>
      <c r="F34" s="92"/>
      <c r="G34" s="1"/>
      <c r="H34" s="108" t="s">
        <v>6022</v>
      </c>
      <c r="I34" s="74" t="s">
        <v>6023</v>
      </c>
      <c r="J34" s="74" t="s">
        <v>1142</v>
      </c>
    </row>
    <row r="35" spans="1:10" s="74" customFormat="1">
      <c r="A35" s="1">
        <v>8060102</v>
      </c>
      <c r="B35" s="1" t="s">
        <v>6024</v>
      </c>
      <c r="C35" s="1">
        <v>106001</v>
      </c>
      <c r="D35" s="92" t="s">
        <v>6021</v>
      </c>
      <c r="E35" s="108" t="s">
        <v>5968</v>
      </c>
      <c r="F35" s="92"/>
      <c r="G35" s="1"/>
      <c r="H35" s="108" t="s">
        <v>6025</v>
      </c>
      <c r="I35" s="74" t="s">
        <v>6026</v>
      </c>
      <c r="J35" s="74" t="s">
        <v>1142</v>
      </c>
    </row>
    <row r="36" spans="1:10" s="74" customFormat="1">
      <c r="A36" s="1">
        <v>8060103</v>
      </c>
      <c r="B36" s="1" t="s">
        <v>6027</v>
      </c>
      <c r="C36" s="1">
        <v>106001</v>
      </c>
      <c r="D36" s="92" t="s">
        <v>6021</v>
      </c>
      <c r="E36" s="1" t="s">
        <v>5968</v>
      </c>
      <c r="F36" s="92"/>
      <c r="G36" s="1"/>
      <c r="H36" s="108" t="s">
        <v>6028</v>
      </c>
      <c r="I36" s="74" t="s">
        <v>6029</v>
      </c>
      <c r="J36" s="74" t="s">
        <v>1142</v>
      </c>
    </row>
    <row r="37" spans="1:10" s="74" customFormat="1">
      <c r="A37" s="1">
        <v>8060104</v>
      </c>
      <c r="B37" s="1" t="s">
        <v>6030</v>
      </c>
      <c r="C37" s="1">
        <v>106001</v>
      </c>
      <c r="D37" s="92" t="s">
        <v>6031</v>
      </c>
      <c r="E37" s="1" t="s">
        <v>5968</v>
      </c>
      <c r="F37" s="92"/>
      <c r="G37" s="1"/>
      <c r="H37" s="1" t="s">
        <v>6032</v>
      </c>
      <c r="I37" s="74" t="s">
        <v>6033</v>
      </c>
      <c r="J37" s="74" t="s">
        <v>1142</v>
      </c>
    </row>
    <row r="38" spans="1:10" s="74" customFormat="1">
      <c r="A38" s="1">
        <v>8060105</v>
      </c>
      <c r="B38" s="1" t="s">
        <v>6034</v>
      </c>
      <c r="C38" s="1">
        <v>106001</v>
      </c>
      <c r="D38" s="92" t="s">
        <v>6031</v>
      </c>
      <c r="E38" s="1" t="s">
        <v>5968</v>
      </c>
      <c r="F38" s="92"/>
      <c r="G38" s="1"/>
      <c r="H38" s="1" t="s">
        <v>6035</v>
      </c>
      <c r="I38" s="74" t="s">
        <v>6036</v>
      </c>
      <c r="J38" s="74" t="s">
        <v>1142</v>
      </c>
    </row>
    <row r="39" spans="1:10" s="76" customFormat="1">
      <c r="A39" s="98">
        <v>8060201</v>
      </c>
      <c r="B39" s="98" t="s">
        <v>6037</v>
      </c>
      <c r="C39" s="98">
        <v>106002</v>
      </c>
      <c r="D39" s="100" t="s">
        <v>6038</v>
      </c>
      <c r="E39" s="98" t="s">
        <v>5968</v>
      </c>
      <c r="F39" s="100"/>
      <c r="G39" s="98"/>
      <c r="H39" s="98" t="s">
        <v>6039</v>
      </c>
      <c r="I39" s="81" t="str">
        <f>"tricks/"&amp;A39</f>
        <v>tricks/8060201</v>
      </c>
      <c r="J39" s="76" t="s">
        <v>1192</v>
      </c>
    </row>
    <row r="40" spans="1:10" s="76" customFormat="1">
      <c r="A40" s="98">
        <v>8060202</v>
      </c>
      <c r="B40" s="98" t="s">
        <v>6040</v>
      </c>
      <c r="C40" s="98">
        <v>106002</v>
      </c>
      <c r="D40" s="100" t="s">
        <v>6038</v>
      </c>
      <c r="E40" s="98" t="s">
        <v>5898</v>
      </c>
      <c r="F40" s="100"/>
      <c r="G40" s="98"/>
      <c r="H40" s="98" t="s">
        <v>6041</v>
      </c>
      <c r="I40" s="81" t="str">
        <f>"tricks/"&amp;A40</f>
        <v>tricks/8060202</v>
      </c>
      <c r="J40" s="76" t="s">
        <v>1192</v>
      </c>
    </row>
    <row r="41" spans="1:10" s="74" customFormat="1">
      <c r="A41" s="1">
        <v>8010201</v>
      </c>
      <c r="B41" s="94" t="s">
        <v>6042</v>
      </c>
      <c r="C41" s="94">
        <v>101002</v>
      </c>
      <c r="D41" s="92">
        <v>1010205</v>
      </c>
      <c r="E41" s="1" t="s">
        <v>5898</v>
      </c>
      <c r="F41" s="92"/>
      <c r="G41" s="1"/>
      <c r="H41" s="1" t="s">
        <v>6043</v>
      </c>
      <c r="I41" s="74" t="s">
        <v>6044</v>
      </c>
      <c r="J41" s="74" t="s">
        <v>176</v>
      </c>
    </row>
    <row r="42" spans="1:10" s="74" customFormat="1">
      <c r="A42" s="1">
        <v>8010202</v>
      </c>
      <c r="B42" s="94" t="s">
        <v>6045</v>
      </c>
      <c r="C42" s="94">
        <v>101002</v>
      </c>
      <c r="D42" s="92">
        <v>1010203</v>
      </c>
      <c r="E42" s="1" t="s">
        <v>5898</v>
      </c>
      <c r="F42" s="92"/>
      <c r="G42" s="1"/>
      <c r="H42" s="1" t="s">
        <v>6046</v>
      </c>
      <c r="I42" s="74" t="s">
        <v>6047</v>
      </c>
      <c r="J42" s="74" t="s">
        <v>176</v>
      </c>
    </row>
    <row r="43" spans="1:10" s="74" customFormat="1">
      <c r="A43" s="1">
        <v>8010203</v>
      </c>
      <c r="B43" s="94" t="s">
        <v>6048</v>
      </c>
      <c r="C43" s="94">
        <v>101002</v>
      </c>
      <c r="D43" s="92">
        <v>1010205</v>
      </c>
      <c r="E43" s="1" t="s">
        <v>5898</v>
      </c>
      <c r="F43" s="92"/>
      <c r="G43" s="1"/>
      <c r="H43" s="1" t="s">
        <v>6049</v>
      </c>
      <c r="I43" s="74" t="s">
        <v>6050</v>
      </c>
      <c r="J43" s="74" t="s">
        <v>176</v>
      </c>
    </row>
    <row r="44" spans="1:10" s="74" customFormat="1">
      <c r="A44" s="1">
        <v>8010204</v>
      </c>
      <c r="B44" s="94" t="s">
        <v>6051</v>
      </c>
      <c r="C44" s="94">
        <v>101002</v>
      </c>
      <c r="D44" s="92">
        <v>1010205</v>
      </c>
      <c r="E44" s="1" t="s">
        <v>5898</v>
      </c>
      <c r="F44" s="92"/>
      <c r="G44" s="1"/>
      <c r="H44" s="1" t="s">
        <v>6052</v>
      </c>
      <c r="I44" s="74" t="s">
        <v>6053</v>
      </c>
      <c r="J44" s="74" t="s">
        <v>176</v>
      </c>
    </row>
    <row r="45" spans="1:10" s="74" customFormat="1">
      <c r="A45" s="1">
        <v>8010205</v>
      </c>
      <c r="B45" s="94" t="s">
        <v>6054</v>
      </c>
      <c r="C45" s="94">
        <v>101002</v>
      </c>
      <c r="D45" s="92">
        <v>1010205</v>
      </c>
      <c r="E45" s="1" t="s">
        <v>5898</v>
      </c>
      <c r="F45" s="92"/>
      <c r="G45" s="1"/>
      <c r="H45" s="111" t="s">
        <v>6055</v>
      </c>
      <c r="I45" s="74" t="s">
        <v>6056</v>
      </c>
      <c r="J45" s="74" t="s">
        <v>176</v>
      </c>
    </row>
    <row r="46" spans="1:10" s="74" customFormat="1">
      <c r="A46" s="1">
        <v>8010101</v>
      </c>
      <c r="B46" s="94" t="s">
        <v>6057</v>
      </c>
      <c r="C46" s="94">
        <v>101001</v>
      </c>
      <c r="D46" s="92" t="s">
        <v>6058</v>
      </c>
      <c r="E46" s="1" t="s">
        <v>5898</v>
      </c>
      <c r="F46" s="92"/>
      <c r="G46" s="1"/>
      <c r="H46" s="94" t="s">
        <v>6059</v>
      </c>
      <c r="I46" s="74" t="s">
        <v>6060</v>
      </c>
      <c r="J46" s="74" t="s">
        <v>99</v>
      </c>
    </row>
    <row r="47" spans="1:10" s="74" customFormat="1">
      <c r="A47" s="1">
        <v>8010102</v>
      </c>
      <c r="B47" s="94" t="s">
        <v>6061</v>
      </c>
      <c r="C47" s="94">
        <v>101001</v>
      </c>
      <c r="D47" s="109" t="s">
        <v>6062</v>
      </c>
      <c r="E47" s="1" t="s">
        <v>5898</v>
      </c>
      <c r="F47" s="92"/>
      <c r="G47" s="1"/>
      <c r="H47" s="94" t="s">
        <v>6063</v>
      </c>
      <c r="I47" s="74" t="s">
        <v>6064</v>
      </c>
      <c r="J47" s="74" t="s">
        <v>99</v>
      </c>
    </row>
    <row r="48" spans="1:10" s="74" customFormat="1">
      <c r="A48" s="1">
        <v>8010103</v>
      </c>
      <c r="B48" s="94" t="s">
        <v>6065</v>
      </c>
      <c r="C48" s="94">
        <v>101001</v>
      </c>
      <c r="D48" s="92" t="s">
        <v>98</v>
      </c>
      <c r="E48" s="1" t="s">
        <v>5898</v>
      </c>
      <c r="F48" s="92"/>
      <c r="G48" s="1"/>
      <c r="H48" s="94" t="s">
        <v>6066</v>
      </c>
      <c r="I48" s="74" t="s">
        <v>6067</v>
      </c>
      <c r="J48" s="74" t="s">
        <v>99</v>
      </c>
    </row>
    <row r="49" spans="1:10" s="74" customFormat="1">
      <c r="A49" s="1">
        <v>8010301</v>
      </c>
      <c r="B49" s="94" t="s">
        <v>6068</v>
      </c>
      <c r="C49" s="94">
        <v>101003</v>
      </c>
      <c r="D49" s="92">
        <v>1010301</v>
      </c>
      <c r="E49" s="1" t="s">
        <v>5898</v>
      </c>
      <c r="F49" s="92"/>
      <c r="G49" s="1"/>
      <c r="H49" s="108" t="s">
        <v>6069</v>
      </c>
      <c r="I49" s="74" t="s">
        <v>6070</v>
      </c>
      <c r="J49" s="74" t="s">
        <v>234</v>
      </c>
    </row>
    <row r="50" spans="1:10" s="74" customFormat="1">
      <c r="A50" s="1">
        <v>8010302</v>
      </c>
      <c r="B50" s="94" t="s">
        <v>6071</v>
      </c>
      <c r="C50" s="94">
        <v>101003</v>
      </c>
      <c r="D50" s="92">
        <v>1010305</v>
      </c>
      <c r="E50" s="1" t="s">
        <v>5898</v>
      </c>
      <c r="F50" s="92"/>
      <c r="G50" s="1"/>
      <c r="H50" s="1" t="s">
        <v>6072</v>
      </c>
      <c r="I50" s="74" t="s">
        <v>6073</v>
      </c>
      <c r="J50" s="74" t="s">
        <v>234</v>
      </c>
    </row>
    <row r="51" spans="1:10" s="74" customFormat="1">
      <c r="A51" s="1">
        <v>8010303</v>
      </c>
      <c r="B51" s="94" t="s">
        <v>6074</v>
      </c>
      <c r="C51" s="94">
        <v>101003</v>
      </c>
      <c r="D51" s="92">
        <v>1010301</v>
      </c>
      <c r="E51" s="1" t="s">
        <v>5898</v>
      </c>
      <c r="F51" s="92"/>
      <c r="G51" s="1"/>
      <c r="H51" s="1" t="s">
        <v>6075</v>
      </c>
      <c r="I51" s="74" t="s">
        <v>6076</v>
      </c>
      <c r="J51" s="74" t="s">
        <v>234</v>
      </c>
    </row>
    <row r="52" spans="1:10" s="74" customFormat="1">
      <c r="A52" s="1">
        <v>8010304</v>
      </c>
      <c r="B52" s="94" t="s">
        <v>6077</v>
      </c>
      <c r="C52" s="94">
        <v>101003</v>
      </c>
      <c r="D52" s="92">
        <v>1010303</v>
      </c>
      <c r="E52" s="1" t="s">
        <v>5898</v>
      </c>
      <c r="F52" s="92"/>
      <c r="G52" s="1"/>
      <c r="H52" s="1" t="s">
        <v>6078</v>
      </c>
      <c r="I52" s="74" t="s">
        <v>6079</v>
      </c>
      <c r="J52" s="74" t="s">
        <v>234</v>
      </c>
    </row>
    <row r="53" spans="1:10" s="75" customFormat="1">
      <c r="A53" s="95">
        <v>8010305</v>
      </c>
      <c r="B53" s="96" t="s">
        <v>6080</v>
      </c>
      <c r="C53" s="96">
        <v>110002</v>
      </c>
      <c r="D53" s="97" t="s">
        <v>6081</v>
      </c>
      <c r="E53" s="95" t="s">
        <v>5898</v>
      </c>
      <c r="F53" s="97"/>
      <c r="G53" s="95"/>
      <c r="H53" s="95" t="s">
        <v>6082</v>
      </c>
      <c r="I53" s="75" t="s">
        <v>6083</v>
      </c>
      <c r="J53" s="74" t="s">
        <v>1413</v>
      </c>
    </row>
    <row r="54" spans="1:10" s="74" customFormat="1">
      <c r="A54" s="1">
        <v>8010306</v>
      </c>
      <c r="B54" s="94" t="s">
        <v>6084</v>
      </c>
      <c r="C54" s="94">
        <v>101003</v>
      </c>
      <c r="D54" s="92">
        <v>1010303</v>
      </c>
      <c r="E54" s="1" t="s">
        <v>5898</v>
      </c>
      <c r="F54" s="92"/>
      <c r="G54" s="1"/>
      <c r="H54" s="1" t="s">
        <v>6085</v>
      </c>
      <c r="I54" s="74" t="s">
        <v>6086</v>
      </c>
      <c r="J54" s="74" t="s">
        <v>234</v>
      </c>
    </row>
    <row r="55" spans="1:10" s="75" customFormat="1">
      <c r="A55" s="95">
        <v>8010307</v>
      </c>
      <c r="B55" s="96" t="s">
        <v>6087</v>
      </c>
      <c r="C55" s="96">
        <v>115002</v>
      </c>
      <c r="D55" s="97" t="s">
        <v>6088</v>
      </c>
      <c r="E55" s="95" t="s">
        <v>5968</v>
      </c>
      <c r="F55" s="97"/>
      <c r="G55" s="95"/>
      <c r="H55" s="95" t="s">
        <v>6089</v>
      </c>
      <c r="I55" s="75" t="s">
        <v>6090</v>
      </c>
      <c r="J55" s="74" t="s">
        <v>1827</v>
      </c>
    </row>
    <row r="56" spans="1:10" s="76" customFormat="1">
      <c r="A56" s="98">
        <v>8010401</v>
      </c>
      <c r="B56" s="110" t="s">
        <v>6091</v>
      </c>
      <c r="C56" s="110">
        <v>101004</v>
      </c>
      <c r="D56" s="100" t="s">
        <v>6092</v>
      </c>
      <c r="E56" s="98" t="s">
        <v>5898</v>
      </c>
      <c r="F56" s="100"/>
      <c r="G56" s="98"/>
      <c r="H56" s="154" t="s">
        <v>6093</v>
      </c>
      <c r="I56" s="81" t="str">
        <f>"tricks/"&amp;A56</f>
        <v>tricks/8010401</v>
      </c>
      <c r="J56" s="76" t="s">
        <v>292</v>
      </c>
    </row>
    <row r="57" spans="1:10" s="76" customFormat="1">
      <c r="A57" s="98">
        <v>8010402</v>
      </c>
      <c r="B57" s="110" t="s">
        <v>6094</v>
      </c>
      <c r="C57" s="110">
        <v>101004</v>
      </c>
      <c r="D57" s="100" t="s">
        <v>6095</v>
      </c>
      <c r="E57" s="98" t="s">
        <v>5898</v>
      </c>
      <c r="F57" s="100"/>
      <c r="G57" s="98"/>
      <c r="H57" s="154" t="s">
        <v>6096</v>
      </c>
      <c r="I57" s="81" t="str">
        <f>"tricks/"&amp;A57</f>
        <v>tricks/8010402</v>
      </c>
      <c r="J57" s="76" t="s">
        <v>292</v>
      </c>
    </row>
    <row r="58" spans="1:10" s="74" customFormat="1">
      <c r="A58" s="1">
        <v>8020501</v>
      </c>
      <c r="B58" s="94" t="s">
        <v>6097</v>
      </c>
      <c r="C58" s="94">
        <v>102005</v>
      </c>
      <c r="D58" s="92">
        <v>1020501</v>
      </c>
      <c r="E58" s="1" t="s">
        <v>5898</v>
      </c>
      <c r="F58" s="92"/>
      <c r="G58" s="1"/>
      <c r="H58" s="123" t="s">
        <v>6098</v>
      </c>
      <c r="I58" s="74" t="s">
        <v>6099</v>
      </c>
      <c r="J58" s="74" t="s">
        <v>525</v>
      </c>
    </row>
    <row r="59" spans="1:10" s="74" customFormat="1">
      <c r="A59" s="1">
        <v>8020502</v>
      </c>
      <c r="B59" s="94" t="s">
        <v>6100</v>
      </c>
      <c r="C59" s="94">
        <v>102005</v>
      </c>
      <c r="D59" s="92">
        <v>1020503</v>
      </c>
      <c r="E59" s="1" t="s">
        <v>5898</v>
      </c>
      <c r="F59" s="92"/>
      <c r="G59" s="1"/>
      <c r="H59" s="123" t="s">
        <v>6101</v>
      </c>
      <c r="I59" s="74" t="s">
        <v>6102</v>
      </c>
      <c r="J59" s="74" t="s">
        <v>525</v>
      </c>
    </row>
    <row r="60" spans="1:10" s="78" customFormat="1">
      <c r="A60" s="111">
        <v>8100101</v>
      </c>
      <c r="B60" s="112" t="s">
        <v>6103</v>
      </c>
      <c r="C60" s="112">
        <v>110001</v>
      </c>
      <c r="D60" s="111">
        <v>1100103</v>
      </c>
      <c r="E60" s="111" t="s">
        <v>5898</v>
      </c>
      <c r="F60" s="113"/>
      <c r="G60" s="111"/>
      <c r="H60" s="112" t="s">
        <v>6104</v>
      </c>
      <c r="I60" s="74" t="s">
        <v>6105</v>
      </c>
      <c r="J60" s="74" t="s">
        <v>1354</v>
      </c>
    </row>
    <row r="61" spans="1:10" s="78" customFormat="1">
      <c r="A61" s="111">
        <v>8100102</v>
      </c>
      <c r="B61" s="112" t="s">
        <v>6106</v>
      </c>
      <c r="C61" s="112">
        <v>110001</v>
      </c>
      <c r="D61" s="111">
        <v>1100103</v>
      </c>
      <c r="E61" s="111" t="s">
        <v>5898</v>
      </c>
      <c r="F61" s="113"/>
      <c r="G61" s="111"/>
      <c r="H61" s="112" t="s">
        <v>6107</v>
      </c>
      <c r="I61" s="74" t="s">
        <v>6108</v>
      </c>
      <c r="J61" s="74" t="s">
        <v>1354</v>
      </c>
    </row>
    <row r="62" spans="1:10" s="78" customFormat="1">
      <c r="A62" s="111">
        <v>8100103</v>
      </c>
      <c r="B62" s="112" t="s">
        <v>6109</v>
      </c>
      <c r="C62" s="112">
        <v>110001</v>
      </c>
      <c r="D62" s="111">
        <v>1100101</v>
      </c>
      <c r="E62" s="111" t="s">
        <v>5898</v>
      </c>
      <c r="F62" s="113"/>
      <c r="G62" s="111"/>
      <c r="H62" s="112" t="s">
        <v>6110</v>
      </c>
      <c r="I62" s="74" t="s">
        <v>6111</v>
      </c>
      <c r="J62" s="74" t="s">
        <v>1354</v>
      </c>
    </row>
    <row r="63" spans="1:10" s="78" customFormat="1">
      <c r="A63" s="111">
        <v>8100104</v>
      </c>
      <c r="B63" s="112" t="s">
        <v>6112</v>
      </c>
      <c r="C63" s="112">
        <v>110001</v>
      </c>
      <c r="D63" s="111">
        <v>1100101</v>
      </c>
      <c r="E63" s="111" t="s">
        <v>5898</v>
      </c>
      <c r="F63" s="113"/>
      <c r="G63" s="111"/>
      <c r="H63" s="112" t="s">
        <v>6113</v>
      </c>
      <c r="I63" s="74" t="s">
        <v>6114</v>
      </c>
      <c r="J63" s="74" t="s">
        <v>1354</v>
      </c>
    </row>
    <row r="64" spans="1:10" s="74" customFormat="1">
      <c r="A64" s="1">
        <v>8040201</v>
      </c>
      <c r="B64" s="94" t="s">
        <v>6115</v>
      </c>
      <c r="C64" s="94">
        <v>104002</v>
      </c>
      <c r="D64" s="1">
        <v>1040210</v>
      </c>
      <c r="E64" s="111" t="s">
        <v>5898</v>
      </c>
      <c r="F64" s="92"/>
      <c r="G64" s="1"/>
      <c r="H64" s="123" t="s">
        <v>6116</v>
      </c>
      <c r="I64" s="74" t="s">
        <v>6117</v>
      </c>
      <c r="J64" s="74" t="s">
        <v>836</v>
      </c>
    </row>
    <row r="65" spans="1:10" s="74" customFormat="1">
      <c r="A65" s="1">
        <v>8040202</v>
      </c>
      <c r="B65" s="94" t="s">
        <v>6118</v>
      </c>
      <c r="C65" s="94">
        <v>104002</v>
      </c>
      <c r="D65" s="1">
        <v>1040203</v>
      </c>
      <c r="E65" s="111" t="s">
        <v>5898</v>
      </c>
      <c r="F65" s="92"/>
      <c r="G65" s="1"/>
      <c r="H65" s="160" t="s">
        <v>6119</v>
      </c>
      <c r="I65" s="74" t="s">
        <v>6120</v>
      </c>
      <c r="J65" s="74" t="s">
        <v>836</v>
      </c>
    </row>
    <row r="66" spans="1:10">
      <c r="A66" s="1">
        <v>8040203</v>
      </c>
      <c r="B66" s="94" t="s">
        <v>6121</v>
      </c>
      <c r="C66" s="94">
        <v>104002</v>
      </c>
      <c r="D66" s="1">
        <v>1040205</v>
      </c>
      <c r="E66" s="111" t="s">
        <v>5898</v>
      </c>
      <c r="F66" s="92"/>
      <c r="G66" s="1"/>
      <c r="H66" s="160" t="s">
        <v>6122</v>
      </c>
      <c r="I66" s="74" t="s">
        <v>6123</v>
      </c>
      <c r="J66" s="74" t="s">
        <v>836</v>
      </c>
    </row>
    <row r="67" spans="1:10">
      <c r="A67" s="1">
        <v>8040204</v>
      </c>
      <c r="B67" s="94" t="s">
        <v>6124</v>
      </c>
      <c r="C67" s="94">
        <v>104002</v>
      </c>
      <c r="D67" s="1">
        <v>1040210</v>
      </c>
      <c r="E67" s="111" t="s">
        <v>5898</v>
      </c>
      <c r="F67" s="92"/>
      <c r="G67" s="1"/>
      <c r="H67" s="160" t="s">
        <v>6125</v>
      </c>
      <c r="I67" s="74" t="s">
        <v>6126</v>
      </c>
      <c r="J67" s="74" t="s">
        <v>836</v>
      </c>
    </row>
    <row r="68" spans="1:10">
      <c r="A68" s="1">
        <v>8030101</v>
      </c>
      <c r="B68" s="116" t="s">
        <v>6127</v>
      </c>
      <c r="C68" s="116">
        <v>103001</v>
      </c>
      <c r="D68" s="89" t="s">
        <v>6128</v>
      </c>
      <c r="E68" s="111" t="s">
        <v>5898</v>
      </c>
      <c r="F68" s="89"/>
      <c r="G68" s="3"/>
      <c r="H68" s="161" t="s">
        <v>6129</v>
      </c>
      <c r="I68" s="74" t="s">
        <v>6130</v>
      </c>
      <c r="J68" s="74" t="s">
        <v>668</v>
      </c>
    </row>
    <row r="69" spans="1:10">
      <c r="A69" s="3">
        <v>8030102</v>
      </c>
      <c r="B69" s="117" t="s">
        <v>6131</v>
      </c>
      <c r="C69" s="117">
        <v>103001</v>
      </c>
      <c r="D69" s="89" t="s">
        <v>6128</v>
      </c>
      <c r="E69" s="22" t="s">
        <v>5898</v>
      </c>
      <c r="F69" s="89" t="s">
        <v>5933</v>
      </c>
      <c r="G69" s="3"/>
      <c r="H69" s="162" t="s">
        <v>6132</v>
      </c>
      <c r="I69" t="s">
        <v>6133</v>
      </c>
      <c r="J69" s="74" t="s">
        <v>668</v>
      </c>
    </row>
    <row r="70" spans="1:10">
      <c r="A70" s="3">
        <v>8030103</v>
      </c>
      <c r="B70" s="117" t="s">
        <v>6134</v>
      </c>
      <c r="C70" s="117">
        <v>103001</v>
      </c>
      <c r="D70" s="89" t="s">
        <v>6128</v>
      </c>
      <c r="E70" s="22" t="s">
        <v>5898</v>
      </c>
      <c r="F70" s="89" t="s">
        <v>6135</v>
      </c>
      <c r="G70" s="3"/>
      <c r="H70" s="163" t="s">
        <v>6136</v>
      </c>
      <c r="I70" t="s">
        <v>6137</v>
      </c>
      <c r="J70" s="74" t="s">
        <v>668</v>
      </c>
    </row>
    <row r="71" spans="1:10">
      <c r="A71" s="1">
        <v>8030104</v>
      </c>
      <c r="B71" s="116" t="s">
        <v>6138</v>
      </c>
      <c r="C71" s="116">
        <v>103001</v>
      </c>
      <c r="D71" s="89" t="s">
        <v>6139</v>
      </c>
      <c r="E71" s="111" t="s">
        <v>5898</v>
      </c>
      <c r="F71" s="89"/>
      <c r="G71" s="3"/>
      <c r="H71" s="164" t="s">
        <v>6140</v>
      </c>
      <c r="I71" s="74" t="s">
        <v>6141</v>
      </c>
      <c r="J71" s="74" t="s">
        <v>668</v>
      </c>
    </row>
    <row r="72" spans="1:10">
      <c r="A72" s="1">
        <v>8030105</v>
      </c>
      <c r="B72" s="116" t="s">
        <v>6142</v>
      </c>
      <c r="C72" s="116">
        <v>103001</v>
      </c>
      <c r="D72" s="89" t="s">
        <v>6143</v>
      </c>
      <c r="E72" s="111" t="s">
        <v>5898</v>
      </c>
      <c r="F72" s="89"/>
      <c r="G72" s="3"/>
      <c r="H72" s="164" t="s">
        <v>6144</v>
      </c>
      <c r="I72" s="74" t="s">
        <v>6145</v>
      </c>
      <c r="J72" s="74" t="s">
        <v>668</v>
      </c>
    </row>
    <row r="73" spans="1:10" s="79" customFormat="1">
      <c r="A73" s="118">
        <v>8030201</v>
      </c>
      <c r="B73" s="119" t="s">
        <v>6146</v>
      </c>
      <c r="C73" s="119">
        <v>103002</v>
      </c>
      <c r="D73" s="120">
        <v>1030201</v>
      </c>
      <c r="E73" s="121" t="s">
        <v>5898</v>
      </c>
      <c r="F73" s="120"/>
      <c r="G73" s="118"/>
      <c r="H73" s="165" t="s">
        <v>6147</v>
      </c>
      <c r="I73" s="79" t="s">
        <v>6148</v>
      </c>
      <c r="J73" s="79" t="s">
        <v>722</v>
      </c>
    </row>
    <row r="74" spans="1:10" s="79" customFormat="1">
      <c r="A74" s="118">
        <v>8030202</v>
      </c>
      <c r="B74" s="119" t="s">
        <v>6149</v>
      </c>
      <c r="C74" s="119">
        <v>103002</v>
      </c>
      <c r="D74" s="122" t="s">
        <v>6150</v>
      </c>
      <c r="E74" s="121" t="s">
        <v>5968</v>
      </c>
      <c r="F74" s="120"/>
      <c r="G74" s="118"/>
      <c r="H74" s="166" t="s">
        <v>6151</v>
      </c>
      <c r="I74" s="79" t="s">
        <v>6152</v>
      </c>
      <c r="J74" s="79" t="s">
        <v>722</v>
      </c>
    </row>
    <row r="75" spans="1:10" s="79" customFormat="1">
      <c r="A75" s="118">
        <v>8030203</v>
      </c>
      <c r="B75" s="119" t="s">
        <v>6153</v>
      </c>
      <c r="C75" s="119">
        <v>103002</v>
      </c>
      <c r="D75" s="122" t="s">
        <v>6154</v>
      </c>
      <c r="E75" s="121" t="s">
        <v>5968</v>
      </c>
      <c r="F75" s="120"/>
      <c r="G75" s="118"/>
      <c r="H75" s="166" t="s">
        <v>6155</v>
      </c>
      <c r="I75" s="79" t="s">
        <v>6156</v>
      </c>
      <c r="J75" s="79" t="s">
        <v>722</v>
      </c>
    </row>
    <row r="76" spans="1:10">
      <c r="A76" s="1">
        <v>8040301</v>
      </c>
      <c r="B76" s="123" t="s">
        <v>6157</v>
      </c>
      <c r="C76" s="123">
        <v>104003</v>
      </c>
      <c r="D76" s="1">
        <v>1040303</v>
      </c>
      <c r="E76" s="111" t="s">
        <v>5898</v>
      </c>
      <c r="F76" s="92"/>
      <c r="G76" s="1"/>
      <c r="H76" s="123" t="s">
        <v>6158</v>
      </c>
      <c r="I76" s="74" t="s">
        <v>6159</v>
      </c>
      <c r="J76" s="74" t="s">
        <v>897</v>
      </c>
    </row>
    <row r="77" spans="1:10">
      <c r="A77" s="1">
        <v>8040302</v>
      </c>
      <c r="B77" s="123" t="s">
        <v>6160</v>
      </c>
      <c r="C77" s="123">
        <v>104003</v>
      </c>
      <c r="D77" s="1">
        <v>1040303</v>
      </c>
      <c r="E77" s="111" t="s">
        <v>5898</v>
      </c>
      <c r="F77" s="92"/>
      <c r="G77" s="1"/>
      <c r="H77" s="123" t="s">
        <v>6161</v>
      </c>
      <c r="I77" s="74" t="s">
        <v>6162</v>
      </c>
      <c r="J77" s="74" t="s">
        <v>897</v>
      </c>
    </row>
    <row r="78" spans="1:10">
      <c r="A78" s="1">
        <v>8040303</v>
      </c>
      <c r="B78" s="123" t="s">
        <v>6163</v>
      </c>
      <c r="C78" s="123">
        <v>104003</v>
      </c>
      <c r="D78" s="1">
        <v>1040305</v>
      </c>
      <c r="E78" s="111" t="s">
        <v>5898</v>
      </c>
      <c r="F78" s="92"/>
      <c r="G78" s="1"/>
      <c r="H78" s="123" t="s">
        <v>6164</v>
      </c>
      <c r="I78" s="74" t="s">
        <v>6165</v>
      </c>
      <c r="J78" s="74" t="s">
        <v>897</v>
      </c>
    </row>
    <row r="79" spans="1:10">
      <c r="A79" s="1">
        <v>8040304</v>
      </c>
      <c r="B79" s="123" t="s">
        <v>6166</v>
      </c>
      <c r="C79" s="123">
        <v>104003</v>
      </c>
      <c r="D79" s="92" t="s">
        <v>6167</v>
      </c>
      <c r="E79" s="111" t="s">
        <v>5898</v>
      </c>
      <c r="F79" s="92"/>
      <c r="G79" s="1"/>
      <c r="H79" s="123" t="s">
        <v>6168</v>
      </c>
      <c r="I79" s="74" t="s">
        <v>6169</v>
      </c>
      <c r="J79" s="74" t="s">
        <v>897</v>
      </c>
    </row>
    <row r="80" spans="1:10">
      <c r="A80" s="1">
        <v>8040305</v>
      </c>
      <c r="B80" s="123" t="s">
        <v>6170</v>
      </c>
      <c r="C80" s="123">
        <v>104003</v>
      </c>
      <c r="D80" s="1">
        <v>1040302</v>
      </c>
      <c r="E80" s="111" t="s">
        <v>5898</v>
      </c>
      <c r="F80" s="92"/>
      <c r="G80" s="1"/>
      <c r="H80" s="123" t="s">
        <v>6171</v>
      </c>
      <c r="I80" s="74" t="s">
        <v>6172</v>
      </c>
      <c r="J80" s="74" t="s">
        <v>897</v>
      </c>
    </row>
    <row r="81" spans="1:10" s="79" customFormat="1" ht="27.6">
      <c r="A81" s="118">
        <v>8040401</v>
      </c>
      <c r="B81" s="124" t="s">
        <v>6173</v>
      </c>
      <c r="C81" s="124">
        <v>104004</v>
      </c>
      <c r="D81" s="118">
        <v>1040401</v>
      </c>
      <c r="E81" s="121" t="s">
        <v>5898</v>
      </c>
      <c r="F81" s="120"/>
      <c r="G81" s="118"/>
      <c r="H81" s="124" t="s">
        <v>6174</v>
      </c>
      <c r="I81" s="79" t="s">
        <v>6175</v>
      </c>
      <c r="J81" s="79" t="s">
        <v>954</v>
      </c>
    </row>
    <row r="82" spans="1:10" s="79" customFormat="1">
      <c r="A82" s="125">
        <v>8040402</v>
      </c>
      <c r="B82" s="124" t="s">
        <v>6176</v>
      </c>
      <c r="C82" s="124">
        <v>104004</v>
      </c>
      <c r="D82" s="118">
        <v>1040403</v>
      </c>
      <c r="E82" s="121" t="s">
        <v>5968</v>
      </c>
      <c r="F82" s="120"/>
      <c r="G82" s="118"/>
      <c r="H82" s="124" t="s">
        <v>6177</v>
      </c>
      <c r="I82" s="79" t="s">
        <v>6178</v>
      </c>
      <c r="J82" s="79" t="s">
        <v>954</v>
      </c>
    </row>
    <row r="83" spans="1:10" s="79" customFormat="1">
      <c r="A83" s="125">
        <v>8040403</v>
      </c>
      <c r="B83" s="124" t="s">
        <v>6179</v>
      </c>
      <c r="C83" s="124">
        <v>104004</v>
      </c>
      <c r="D83" s="118">
        <v>1040405</v>
      </c>
      <c r="E83" s="121" t="s">
        <v>5968</v>
      </c>
      <c r="F83" s="120"/>
      <c r="G83" s="118"/>
      <c r="H83" s="124" t="s">
        <v>6180</v>
      </c>
      <c r="I83" s="79" t="s">
        <v>6181</v>
      </c>
      <c r="J83" s="79" t="s">
        <v>954</v>
      </c>
    </row>
    <row r="84" spans="1:10" s="75" customFormat="1">
      <c r="A84" s="95">
        <v>8040306</v>
      </c>
      <c r="B84" s="167" t="s">
        <v>6182</v>
      </c>
      <c r="C84" s="126">
        <v>110001</v>
      </c>
      <c r="D84" s="97" t="s">
        <v>6183</v>
      </c>
      <c r="E84" s="127" t="s">
        <v>5898</v>
      </c>
      <c r="F84" s="97"/>
      <c r="G84" s="95"/>
      <c r="H84" s="126" t="s">
        <v>6184</v>
      </c>
      <c r="I84" s="75" t="s">
        <v>6185</v>
      </c>
      <c r="J84" s="74" t="s">
        <v>1354</v>
      </c>
    </row>
    <row r="85" spans="1:10">
      <c r="A85" s="1">
        <v>8090101</v>
      </c>
      <c r="B85" s="94" t="s">
        <v>6186</v>
      </c>
      <c r="C85" s="94">
        <v>109001</v>
      </c>
      <c r="D85" s="92" t="s">
        <v>6187</v>
      </c>
      <c r="E85" s="111" t="s">
        <v>5898</v>
      </c>
      <c r="F85" s="92"/>
      <c r="G85" s="1"/>
      <c r="H85" s="112" t="s">
        <v>6188</v>
      </c>
      <c r="I85" s="74" t="s">
        <v>6189</v>
      </c>
      <c r="J85" s="74" t="s">
        <v>1240</v>
      </c>
    </row>
    <row r="86" spans="1:10">
      <c r="A86" s="1">
        <v>8090102</v>
      </c>
      <c r="B86" s="94" t="s">
        <v>6190</v>
      </c>
      <c r="C86" s="94">
        <v>109001</v>
      </c>
      <c r="D86" s="92" t="s">
        <v>6191</v>
      </c>
      <c r="E86" s="111" t="s">
        <v>5898</v>
      </c>
      <c r="F86" s="92"/>
      <c r="G86" s="1"/>
      <c r="H86" s="94" t="s">
        <v>6192</v>
      </c>
      <c r="I86" s="74" t="s">
        <v>6193</v>
      </c>
      <c r="J86" s="74" t="s">
        <v>1240</v>
      </c>
    </row>
    <row r="87" spans="1:10">
      <c r="A87" s="1">
        <v>8090103</v>
      </c>
      <c r="B87" s="94" t="s">
        <v>6194</v>
      </c>
      <c r="C87" s="94">
        <v>109001</v>
      </c>
      <c r="D87" s="92" t="s">
        <v>6187</v>
      </c>
      <c r="E87" s="111" t="s">
        <v>5898</v>
      </c>
      <c r="F87" s="92"/>
      <c r="G87" s="1"/>
      <c r="H87" s="112" t="s">
        <v>6195</v>
      </c>
      <c r="I87" s="74" t="s">
        <v>6196</v>
      </c>
      <c r="J87" s="74" t="s">
        <v>1240</v>
      </c>
    </row>
    <row r="88" spans="1:10">
      <c r="A88" s="1">
        <v>8090104</v>
      </c>
      <c r="B88" s="94" t="s">
        <v>6197</v>
      </c>
      <c r="C88" s="94">
        <v>109001</v>
      </c>
      <c r="D88" s="92" t="s">
        <v>6191</v>
      </c>
      <c r="E88" s="111" t="s">
        <v>5898</v>
      </c>
      <c r="F88" s="92"/>
      <c r="G88" s="1"/>
      <c r="H88" s="94" t="s">
        <v>6198</v>
      </c>
      <c r="I88" s="74" t="s">
        <v>6199</v>
      </c>
      <c r="J88" s="74" t="s">
        <v>1240</v>
      </c>
    </row>
    <row r="89" spans="1:10">
      <c r="A89" s="1">
        <v>8090105</v>
      </c>
      <c r="B89" s="94" t="s">
        <v>6200</v>
      </c>
      <c r="C89" s="94">
        <v>109001</v>
      </c>
      <c r="D89" s="92" t="s">
        <v>6201</v>
      </c>
      <c r="E89" s="111" t="s">
        <v>5898</v>
      </c>
      <c r="F89" s="92"/>
      <c r="G89" s="1"/>
      <c r="H89" s="94" t="s">
        <v>6202</v>
      </c>
      <c r="I89" t="s">
        <v>6203</v>
      </c>
      <c r="J89" s="74" t="s">
        <v>1240</v>
      </c>
    </row>
    <row r="90" spans="1:10" s="79" customFormat="1">
      <c r="A90" s="118">
        <v>8090201</v>
      </c>
      <c r="B90" s="128" t="s">
        <v>6204</v>
      </c>
      <c r="C90" s="128">
        <v>109002</v>
      </c>
      <c r="D90" s="120">
        <v>1090201</v>
      </c>
      <c r="E90" s="121" t="s">
        <v>5898</v>
      </c>
      <c r="F90" s="120"/>
      <c r="G90" s="118"/>
      <c r="H90" s="168" t="s">
        <v>6205</v>
      </c>
      <c r="I90" s="79" t="s">
        <v>6206</v>
      </c>
      <c r="J90" s="79" t="s">
        <v>1297</v>
      </c>
    </row>
    <row r="91" spans="1:10" s="79" customFormat="1">
      <c r="A91" s="118">
        <v>8090202</v>
      </c>
      <c r="B91" s="128" t="s">
        <v>6207</v>
      </c>
      <c r="C91" s="128">
        <v>109002</v>
      </c>
      <c r="D91" s="120">
        <v>1090203</v>
      </c>
      <c r="E91" s="121" t="s">
        <v>5898</v>
      </c>
      <c r="F91" s="120"/>
      <c r="G91" s="118"/>
      <c r="H91" s="128" t="s">
        <v>6208</v>
      </c>
      <c r="I91" s="79" t="s">
        <v>6209</v>
      </c>
      <c r="J91" s="79" t="s">
        <v>1297</v>
      </c>
    </row>
    <row r="92" spans="1:10" s="80" customFormat="1">
      <c r="A92" s="129">
        <v>8100201</v>
      </c>
      <c r="B92" s="130" t="s">
        <v>6210</v>
      </c>
      <c r="C92" s="130">
        <v>110002</v>
      </c>
      <c r="D92" s="34">
        <v>1100201</v>
      </c>
      <c r="E92" s="130" t="s">
        <v>5898</v>
      </c>
      <c r="F92" s="131"/>
      <c r="G92" s="34"/>
      <c r="H92" s="169" t="s">
        <v>6211</v>
      </c>
      <c r="I92" s="80" t="s">
        <v>6212</v>
      </c>
      <c r="J92" s="80" t="s">
        <v>1413</v>
      </c>
    </row>
    <row r="93" spans="1:10" s="80" customFormat="1">
      <c r="A93" s="132">
        <v>8100202</v>
      </c>
      <c r="B93" s="170" t="s">
        <v>6213</v>
      </c>
      <c r="C93" s="130">
        <v>110002</v>
      </c>
      <c r="D93" s="34">
        <v>1100203</v>
      </c>
      <c r="E93" s="130" t="s">
        <v>5898</v>
      </c>
      <c r="F93" s="131"/>
      <c r="G93" s="34"/>
      <c r="H93" s="169" t="s">
        <v>6214</v>
      </c>
      <c r="I93" s="80" t="s">
        <v>6215</v>
      </c>
      <c r="J93" s="80" t="s">
        <v>1413</v>
      </c>
    </row>
    <row r="94" spans="1:10" s="81" customFormat="1">
      <c r="A94" s="133">
        <v>8100301</v>
      </c>
      <c r="B94" s="99" t="s">
        <v>6216</v>
      </c>
      <c r="C94" s="99">
        <v>110003</v>
      </c>
      <c r="D94" s="99">
        <v>1100301</v>
      </c>
      <c r="E94" s="99" t="s">
        <v>5898</v>
      </c>
      <c r="F94" s="134"/>
      <c r="G94" s="99"/>
      <c r="H94" s="154" t="s">
        <v>6217</v>
      </c>
      <c r="I94" s="81" t="str">
        <f>"tricks/"&amp;A94</f>
        <v>tricks/8100301</v>
      </c>
      <c r="J94" s="154" t="s">
        <v>6218</v>
      </c>
    </row>
    <row r="95" spans="1:10" s="81" customFormat="1">
      <c r="A95" s="135" t="s">
        <v>6219</v>
      </c>
      <c r="B95" s="171" t="s">
        <v>6220</v>
      </c>
      <c r="C95" s="99">
        <v>110003</v>
      </c>
      <c r="D95" s="99">
        <v>1100303</v>
      </c>
      <c r="E95" s="99" t="s">
        <v>5968</v>
      </c>
      <c r="F95" s="134"/>
      <c r="G95" s="99"/>
      <c r="H95" s="154" t="s">
        <v>6221</v>
      </c>
      <c r="I95" s="81" t="str">
        <f>"tricks/"&amp;A95</f>
        <v>tricks/8100302</v>
      </c>
      <c r="J95" s="81" t="s">
        <v>6218</v>
      </c>
    </row>
    <row r="96" spans="1:10" s="81" customFormat="1">
      <c r="A96" s="133">
        <v>8100401</v>
      </c>
      <c r="B96" s="99" t="s">
        <v>6222</v>
      </c>
      <c r="C96" s="99">
        <v>110004</v>
      </c>
      <c r="D96" s="99">
        <v>1100401</v>
      </c>
      <c r="E96" s="99" t="s">
        <v>5968</v>
      </c>
      <c r="F96" s="134"/>
      <c r="G96" s="99"/>
      <c r="H96" s="154" t="s">
        <v>6223</v>
      </c>
      <c r="I96" s="81" t="str">
        <f>"tricks/"&amp;A96</f>
        <v>tricks/8100401</v>
      </c>
      <c r="J96" s="154" t="s">
        <v>1487</v>
      </c>
    </row>
    <row r="97" spans="1:12" s="81" customFormat="1">
      <c r="A97" s="135" t="s">
        <v>6224</v>
      </c>
      <c r="B97" s="171" t="s">
        <v>6225</v>
      </c>
      <c r="C97" s="99">
        <v>110004</v>
      </c>
      <c r="D97" s="99">
        <v>1100403</v>
      </c>
      <c r="E97" s="99" t="s">
        <v>5968</v>
      </c>
      <c r="F97" s="134"/>
      <c r="G97" s="99"/>
      <c r="H97" s="154" t="s">
        <v>6226</v>
      </c>
      <c r="I97" s="81" t="str">
        <f>"tricks/"&amp;A97</f>
        <v>tricks/8100402</v>
      </c>
      <c r="J97" s="154" t="s">
        <v>1487</v>
      </c>
    </row>
    <row r="98" spans="1:12" s="52" customFormat="1">
      <c r="A98" s="136">
        <v>8110101</v>
      </c>
      <c r="B98" s="137" t="s">
        <v>6227</v>
      </c>
      <c r="C98" s="137">
        <v>111001</v>
      </c>
      <c r="D98" s="138">
        <v>1110101</v>
      </c>
      <c r="E98" s="137" t="s">
        <v>5898</v>
      </c>
      <c r="F98" s="139"/>
      <c r="G98" s="41"/>
      <c r="H98" s="172" t="s">
        <v>6228</v>
      </c>
      <c r="I98" s="52" t="s">
        <v>6229</v>
      </c>
      <c r="J98" s="52" t="s">
        <v>1518</v>
      </c>
    </row>
    <row r="99" spans="1:12" s="52" customFormat="1">
      <c r="A99" s="140">
        <v>8110102</v>
      </c>
      <c r="B99" s="173" t="s">
        <v>6230</v>
      </c>
      <c r="C99" s="137">
        <v>111001</v>
      </c>
      <c r="D99" s="141">
        <v>1110103</v>
      </c>
      <c r="E99" s="137" t="s">
        <v>5898</v>
      </c>
      <c r="F99" s="139"/>
      <c r="G99" s="41"/>
      <c r="H99" s="172" t="s">
        <v>6231</v>
      </c>
      <c r="I99" s="52" t="s">
        <v>6232</v>
      </c>
      <c r="J99" s="52" t="s">
        <v>1518</v>
      </c>
    </row>
    <row r="100" spans="1:12" s="52" customFormat="1">
      <c r="A100" s="140">
        <v>8110103</v>
      </c>
      <c r="B100" s="173" t="s">
        <v>6233</v>
      </c>
      <c r="C100" s="137">
        <v>111001</v>
      </c>
      <c r="D100" s="141" t="s">
        <v>6234</v>
      </c>
      <c r="E100" s="137" t="s">
        <v>5898</v>
      </c>
      <c r="F100" s="139"/>
      <c r="G100" s="41"/>
      <c r="H100" s="174" t="s">
        <v>6235</v>
      </c>
      <c r="I100" s="52" t="s">
        <v>6236</v>
      </c>
      <c r="J100" s="52" t="s">
        <v>1518</v>
      </c>
    </row>
    <row r="101" spans="1:12" s="82" customFormat="1">
      <c r="A101" s="142" t="s">
        <v>6237</v>
      </c>
      <c r="B101" s="143" t="s">
        <v>6238</v>
      </c>
      <c r="C101" s="143">
        <v>112001</v>
      </c>
      <c r="D101" s="144">
        <v>1120101</v>
      </c>
      <c r="E101" s="143" t="s">
        <v>5898</v>
      </c>
      <c r="F101" s="145"/>
      <c r="G101" s="146"/>
      <c r="H101" s="175" t="s">
        <v>6239</v>
      </c>
      <c r="I101" s="82" t="s">
        <v>6240</v>
      </c>
      <c r="J101" s="82" t="s">
        <v>1572</v>
      </c>
      <c r="L101">
        <v>7008100</v>
      </c>
    </row>
    <row r="102" spans="1:12" s="82" customFormat="1">
      <c r="A102" s="147">
        <v>8120102</v>
      </c>
      <c r="B102" s="176" t="s">
        <v>6241</v>
      </c>
      <c r="C102" s="143">
        <v>112001</v>
      </c>
      <c r="D102" s="148" t="s">
        <v>6242</v>
      </c>
      <c r="E102" s="143" t="s">
        <v>5898</v>
      </c>
      <c r="F102" s="145"/>
      <c r="G102" s="146"/>
      <c r="H102" s="175" t="s">
        <v>6243</v>
      </c>
      <c r="I102" s="82" t="s">
        <v>6244</v>
      </c>
      <c r="J102" s="82" t="s">
        <v>1572</v>
      </c>
    </row>
    <row r="103" spans="1:12" s="82" customFormat="1">
      <c r="A103" s="147">
        <v>8120103</v>
      </c>
      <c r="B103" s="176" t="s">
        <v>6245</v>
      </c>
      <c r="C103" s="143">
        <v>112001</v>
      </c>
      <c r="D103" s="148" t="s">
        <v>6246</v>
      </c>
      <c r="E103" s="149" t="s">
        <v>5968</v>
      </c>
      <c r="F103" s="145"/>
      <c r="G103" s="146"/>
      <c r="H103" s="177" t="s">
        <v>6247</v>
      </c>
      <c r="I103" s="82" t="s">
        <v>6248</v>
      </c>
      <c r="J103" s="82" t="s">
        <v>1572</v>
      </c>
    </row>
    <row r="104" spans="1:12">
      <c r="A104" s="150">
        <v>8130101</v>
      </c>
      <c r="B104" s="22" t="s">
        <v>6249</v>
      </c>
      <c r="C104" s="22">
        <v>113001</v>
      </c>
      <c r="D104" s="83" t="s">
        <v>6250</v>
      </c>
      <c r="E104" s="111" t="s">
        <v>5898</v>
      </c>
      <c r="F104" s="92"/>
      <c r="G104" s="1"/>
      <c r="H104" s="112" t="s">
        <v>6251</v>
      </c>
      <c r="I104" s="74" t="s">
        <v>6252</v>
      </c>
      <c r="J104" s="12" t="s">
        <v>1628</v>
      </c>
    </row>
    <row r="105" spans="1:12">
      <c r="A105" s="150">
        <v>8130102</v>
      </c>
      <c r="B105" s="178" t="s">
        <v>6253</v>
      </c>
      <c r="C105" s="22">
        <v>113001</v>
      </c>
      <c r="D105" s="83" t="s">
        <v>6254</v>
      </c>
      <c r="E105" s="111" t="s">
        <v>5898</v>
      </c>
      <c r="F105" s="92"/>
      <c r="G105" s="1"/>
      <c r="H105" s="112" t="s">
        <v>6255</v>
      </c>
      <c r="I105" s="74" t="s">
        <v>6256</v>
      </c>
      <c r="J105" s="12" t="s">
        <v>1628</v>
      </c>
    </row>
    <row r="106" spans="1:12">
      <c r="A106" s="150">
        <v>8130103</v>
      </c>
      <c r="B106" s="178" t="s">
        <v>6257</v>
      </c>
      <c r="C106" s="22">
        <v>113001</v>
      </c>
      <c r="D106" s="83" t="s">
        <v>6258</v>
      </c>
      <c r="E106" s="111" t="s">
        <v>5898</v>
      </c>
      <c r="F106" s="92"/>
      <c r="G106" s="1"/>
      <c r="H106" s="94" t="s">
        <v>6259</v>
      </c>
      <c r="I106" s="74" t="s">
        <v>6260</v>
      </c>
      <c r="J106" s="12" t="s">
        <v>1628</v>
      </c>
    </row>
    <row r="107" spans="1:12">
      <c r="A107" s="150">
        <v>8130201</v>
      </c>
      <c r="B107" s="178" t="s">
        <v>6261</v>
      </c>
      <c r="C107" s="22">
        <v>113002</v>
      </c>
      <c r="D107" s="151" t="s">
        <v>6262</v>
      </c>
      <c r="E107" s="111" t="s">
        <v>5968</v>
      </c>
      <c r="F107" s="92"/>
      <c r="G107" s="1"/>
      <c r="H107" s="112" t="s">
        <v>6263</v>
      </c>
      <c r="I107" s="81" t="str">
        <f>"tricks/"&amp;A107</f>
        <v>tricks/8130201</v>
      </c>
      <c r="J107" s="12" t="s">
        <v>1681</v>
      </c>
    </row>
    <row r="108" spans="1:12">
      <c r="A108" s="150">
        <v>8130202</v>
      </c>
      <c r="B108" s="178" t="s">
        <v>6264</v>
      </c>
      <c r="C108" s="22">
        <v>113002</v>
      </c>
      <c r="D108" s="83" t="s">
        <v>6265</v>
      </c>
      <c r="E108" s="111" t="s">
        <v>5968</v>
      </c>
      <c r="F108" s="92"/>
      <c r="G108" s="1"/>
      <c r="H108" s="94" t="s">
        <v>6266</v>
      </c>
      <c r="I108" s="81" t="str">
        <f>"tricks/"&amp;A108</f>
        <v>tricks/8130202</v>
      </c>
      <c r="J108" s="12" t="s">
        <v>1681</v>
      </c>
    </row>
    <row r="109" spans="1:12" s="82" customFormat="1">
      <c r="A109" s="142" t="s">
        <v>6267</v>
      </c>
      <c r="B109" s="143" t="s">
        <v>6268</v>
      </c>
      <c r="C109" s="143">
        <v>114001</v>
      </c>
      <c r="D109" s="144">
        <v>1140101</v>
      </c>
      <c r="E109" s="146" t="s">
        <v>5968</v>
      </c>
      <c r="F109" s="145"/>
      <c r="G109" s="146"/>
      <c r="H109" s="175" t="s">
        <v>6269</v>
      </c>
      <c r="I109" s="82" t="s">
        <v>6270</v>
      </c>
      <c r="J109" s="82" t="s">
        <v>1713</v>
      </c>
      <c r="L109">
        <v>7008100</v>
      </c>
    </row>
    <row r="110" spans="1:12" s="82" customFormat="1">
      <c r="A110" s="147">
        <v>8140102</v>
      </c>
      <c r="B110" s="176" t="s">
        <v>6271</v>
      </c>
      <c r="C110" s="143">
        <v>114001</v>
      </c>
      <c r="D110" s="148" t="s">
        <v>6272</v>
      </c>
      <c r="E110" s="143" t="s">
        <v>5898</v>
      </c>
      <c r="F110" s="145"/>
      <c r="G110" s="146"/>
      <c r="H110" s="175" t="s">
        <v>6273</v>
      </c>
      <c r="I110" s="82" t="s">
        <v>6274</v>
      </c>
      <c r="J110" s="82" t="s">
        <v>1713</v>
      </c>
    </row>
    <row r="111" spans="1:12" s="82" customFormat="1">
      <c r="A111" s="147">
        <v>8140103</v>
      </c>
      <c r="B111" s="176" t="s">
        <v>6275</v>
      </c>
      <c r="C111" s="143">
        <v>114001</v>
      </c>
      <c r="D111" s="148" t="s">
        <v>6276</v>
      </c>
      <c r="E111" s="146" t="s">
        <v>5968</v>
      </c>
      <c r="F111" s="145"/>
      <c r="G111" s="146"/>
      <c r="H111" s="177" t="s">
        <v>6277</v>
      </c>
      <c r="I111" s="82" t="s">
        <v>6278</v>
      </c>
      <c r="J111" s="82" t="s">
        <v>1713</v>
      </c>
    </row>
    <row r="112" spans="1:12">
      <c r="A112" s="150">
        <v>8150101</v>
      </c>
      <c r="B112" s="178" t="s">
        <v>6279</v>
      </c>
      <c r="C112" s="22">
        <v>115001</v>
      </c>
      <c r="D112" s="83">
        <v>1150101</v>
      </c>
      <c r="E112" s="111" t="s">
        <v>5898</v>
      </c>
      <c r="F112" s="92"/>
      <c r="G112" s="1"/>
      <c r="H112" t="s">
        <v>6280</v>
      </c>
      <c r="I112" s="74" t="s">
        <v>6281</v>
      </c>
      <c r="J112" s="12" t="s">
        <v>1823</v>
      </c>
    </row>
    <row r="113" spans="1:10">
      <c r="A113" s="150">
        <v>8150102</v>
      </c>
      <c r="B113" s="178" t="s">
        <v>6282</v>
      </c>
      <c r="C113" s="22">
        <v>115001</v>
      </c>
      <c r="D113" s="83" t="s">
        <v>6283</v>
      </c>
      <c r="E113" s="111" t="s">
        <v>5898</v>
      </c>
      <c r="F113" s="92"/>
      <c r="G113" s="1"/>
      <c r="H113" t="s">
        <v>6284</v>
      </c>
      <c r="I113" s="74" t="s">
        <v>6285</v>
      </c>
      <c r="J113" s="12" t="s">
        <v>1823</v>
      </c>
    </row>
    <row r="114" spans="1:10">
      <c r="A114" s="150">
        <v>8150103</v>
      </c>
      <c r="B114" s="178" t="s">
        <v>6286</v>
      </c>
      <c r="C114" s="22">
        <v>115001</v>
      </c>
      <c r="D114" s="83" t="s">
        <v>6287</v>
      </c>
      <c r="E114" s="111" t="s">
        <v>5898</v>
      </c>
      <c r="F114" s="92"/>
      <c r="G114" s="1"/>
      <c r="H114" t="s">
        <v>6288</v>
      </c>
      <c r="I114" s="74" t="s">
        <v>6289</v>
      </c>
      <c r="J114" s="12" t="s">
        <v>1823</v>
      </c>
    </row>
    <row r="115" spans="1:10" s="77" customFormat="1">
      <c r="A115" s="104">
        <v>8150201</v>
      </c>
      <c r="B115" s="179" t="s">
        <v>6290</v>
      </c>
      <c r="C115" s="152">
        <v>115002</v>
      </c>
      <c r="D115" s="153" t="s">
        <v>6291</v>
      </c>
      <c r="E115" s="104" t="s">
        <v>5898</v>
      </c>
      <c r="F115" s="105"/>
      <c r="G115" s="104"/>
      <c r="H115" s="180" t="s">
        <v>6292</v>
      </c>
      <c r="I115" s="77" t="s">
        <v>6293</v>
      </c>
      <c r="J115" s="77" t="s">
        <v>1827</v>
      </c>
    </row>
    <row r="116" spans="1:10" s="77" customFormat="1">
      <c r="A116" s="104">
        <v>8150202</v>
      </c>
      <c r="B116" s="179" t="s">
        <v>6294</v>
      </c>
      <c r="C116" s="152">
        <v>115002</v>
      </c>
      <c r="D116" s="105">
        <v>1150205</v>
      </c>
      <c r="E116" s="104" t="s">
        <v>5898</v>
      </c>
      <c r="F116" s="105"/>
      <c r="G116" s="104"/>
      <c r="H116" s="180" t="s">
        <v>6295</v>
      </c>
      <c r="I116" s="77" t="s">
        <v>6296</v>
      </c>
      <c r="J116" s="77" t="s">
        <v>1827</v>
      </c>
    </row>
  </sheetData>
  <phoneticPr fontId="45" type="noConversion"/>
  <conditionalFormatting sqref="C19">
    <cfRule type="duplicateValues" dxfId="51" priority="12"/>
  </conditionalFormatting>
  <conditionalFormatting sqref="C20">
    <cfRule type="duplicateValues" dxfId="50" priority="11"/>
  </conditionalFormatting>
  <conditionalFormatting sqref="B92">
    <cfRule type="duplicateValues" dxfId="49" priority="24"/>
  </conditionalFormatting>
  <conditionalFormatting sqref="D92">
    <cfRule type="duplicateValues" dxfId="48" priority="20"/>
    <cfRule type="duplicateValues" dxfId="47" priority="21"/>
    <cfRule type="duplicateValues" dxfId="46" priority="22"/>
    <cfRule type="duplicateValues" dxfId="45" priority="23"/>
  </conditionalFormatting>
  <conditionalFormatting sqref="B94">
    <cfRule type="duplicateValues" dxfId="44" priority="10"/>
  </conditionalFormatting>
  <conditionalFormatting sqref="D94">
    <cfRule type="duplicateValues" dxfId="43" priority="6"/>
    <cfRule type="duplicateValues" dxfId="42" priority="7"/>
    <cfRule type="duplicateValues" dxfId="41" priority="8"/>
    <cfRule type="duplicateValues" dxfId="40" priority="9"/>
  </conditionalFormatting>
  <conditionalFormatting sqref="B96">
    <cfRule type="duplicateValues" dxfId="39" priority="5"/>
  </conditionalFormatting>
  <conditionalFormatting sqref="D96">
    <cfRule type="duplicateValues" dxfId="38" priority="1"/>
    <cfRule type="duplicateValues" dxfId="37" priority="2"/>
    <cfRule type="duplicateValues" dxfId="36" priority="3"/>
    <cfRule type="duplicateValues" dxfId="35" priority="4"/>
  </conditionalFormatting>
  <conditionalFormatting sqref="B98">
    <cfRule type="duplicateValues" dxfId="34" priority="25"/>
  </conditionalFormatting>
  <conditionalFormatting sqref="B101">
    <cfRule type="duplicateValues" dxfId="33" priority="28"/>
  </conditionalFormatting>
  <conditionalFormatting sqref="B104">
    <cfRule type="duplicateValues" dxfId="32" priority="29"/>
  </conditionalFormatting>
  <conditionalFormatting sqref="B109">
    <cfRule type="duplicateValues" dxfId="31" priority="15"/>
  </conditionalFormatting>
  <conditionalFormatting sqref="A1:A1048576">
    <cfRule type="duplicateValues" dxfId="30" priority="468"/>
  </conditionalFormatting>
  <conditionalFormatting sqref="D93 D95 D97">
    <cfRule type="duplicateValues" dxfId="29" priority="16"/>
    <cfRule type="duplicateValues" dxfId="28" priority="17"/>
    <cfRule type="duplicateValues" dxfId="27" priority="18"/>
    <cfRule type="duplicateValues" dxfId="26" priority="19"/>
  </conditionalFormatting>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6"/>
  <sheetViews>
    <sheetView topLeftCell="C1" workbookViewId="0">
      <selection activeCell="K14" sqref="K14"/>
    </sheetView>
  </sheetViews>
  <sheetFormatPr defaultColWidth="9" defaultRowHeight="14.4"/>
  <cols>
    <col min="1" max="1" width="9.44140625" customWidth="1"/>
    <col min="2" max="2" width="66.5546875" customWidth="1"/>
    <col min="3" max="3" width="8.5546875" customWidth="1"/>
    <col min="4" max="4" width="17.21875" style="83" customWidth="1"/>
    <col min="5" max="5" width="17.77734375" customWidth="1"/>
    <col min="6" max="6" width="8.21875" style="83" customWidth="1"/>
    <col min="7" max="7" width="8.109375" customWidth="1"/>
    <col min="8" max="8" width="99.44140625" customWidth="1"/>
    <col min="9" max="9" width="15.33203125" customWidth="1"/>
  </cols>
  <sheetData>
    <row r="1" spans="1:10" s="73" customFormat="1" ht="51.6" customHeight="1">
      <c r="A1" s="84" t="s">
        <v>5896</v>
      </c>
      <c r="B1" s="84" t="s">
        <v>5897</v>
      </c>
      <c r="C1" s="84" t="s">
        <v>1</v>
      </c>
      <c r="D1" s="84" t="s">
        <v>5898</v>
      </c>
      <c r="E1" s="84" t="s">
        <v>5899</v>
      </c>
      <c r="F1" s="84" t="s">
        <v>5900</v>
      </c>
      <c r="G1" s="84" t="s">
        <v>5901</v>
      </c>
      <c r="H1" s="84" t="s">
        <v>5902</v>
      </c>
      <c r="I1" s="114" t="s">
        <v>40</v>
      </c>
    </row>
    <row r="2" spans="1:10" s="73" customFormat="1" ht="39" customHeight="1">
      <c r="A2" s="85" t="s">
        <v>5903</v>
      </c>
      <c r="B2" s="85" t="s">
        <v>42</v>
      </c>
      <c r="C2" s="85" t="s">
        <v>5904</v>
      </c>
      <c r="D2" s="86" t="s">
        <v>5905</v>
      </c>
      <c r="E2" s="85" t="s">
        <v>5906</v>
      </c>
      <c r="F2" s="86" t="s">
        <v>5907</v>
      </c>
      <c r="G2" s="85"/>
      <c r="H2" s="85" t="s">
        <v>5360</v>
      </c>
      <c r="I2" s="73" t="s">
        <v>77</v>
      </c>
    </row>
    <row r="3" spans="1:10" s="74" customFormat="1" ht="30" customHeight="1">
      <c r="A3" s="87">
        <v>8020201</v>
      </c>
      <c r="B3" s="57" t="s">
        <v>6297</v>
      </c>
      <c r="C3" s="88">
        <v>102001</v>
      </c>
      <c r="D3" s="89" t="s">
        <v>5909</v>
      </c>
      <c r="E3" s="3" t="s">
        <v>5898</v>
      </c>
      <c r="F3" s="90" t="s">
        <v>5910</v>
      </c>
      <c r="G3" s="3"/>
      <c r="H3" s="57" t="s">
        <v>6298</v>
      </c>
      <c r="I3" s="74" t="s">
        <v>5912</v>
      </c>
      <c r="J3" s="74" t="s">
        <v>338</v>
      </c>
    </row>
    <row r="4" spans="1:10" s="74" customFormat="1" ht="19.2">
      <c r="A4" s="87">
        <v>8020202</v>
      </c>
      <c r="B4" s="57" t="s">
        <v>6299</v>
      </c>
      <c r="C4" s="88">
        <v>102001</v>
      </c>
      <c r="D4" s="89">
        <v>1020203</v>
      </c>
      <c r="E4" s="3" t="s">
        <v>5898</v>
      </c>
      <c r="F4" s="90" t="s">
        <v>5914</v>
      </c>
      <c r="G4" s="3">
        <v>8020203</v>
      </c>
      <c r="H4" s="57" t="s">
        <v>6300</v>
      </c>
      <c r="I4" s="74" t="s">
        <v>5916</v>
      </c>
      <c r="J4" s="74" t="s">
        <v>338</v>
      </c>
    </row>
    <row r="5" spans="1:10" s="74" customFormat="1" ht="19.2">
      <c r="A5" s="87">
        <v>8020203</v>
      </c>
      <c r="B5" s="57" t="s">
        <v>6301</v>
      </c>
      <c r="C5" s="88">
        <v>102001</v>
      </c>
      <c r="D5" s="89">
        <v>1020203</v>
      </c>
      <c r="E5" s="3" t="s">
        <v>5898</v>
      </c>
      <c r="F5" s="90" t="s">
        <v>5918</v>
      </c>
      <c r="G5" s="3">
        <v>8020202</v>
      </c>
      <c r="H5" s="57" t="s">
        <v>6302</v>
      </c>
      <c r="I5" s="74" t="s">
        <v>5920</v>
      </c>
      <c r="J5" s="74" t="s">
        <v>338</v>
      </c>
    </row>
    <row r="6" spans="1:10" s="74" customFormat="1" ht="28.8" customHeight="1">
      <c r="A6" s="87">
        <v>8020204</v>
      </c>
      <c r="B6" s="57" t="s">
        <v>6303</v>
      </c>
      <c r="C6" s="88">
        <v>102001</v>
      </c>
      <c r="D6" s="89" t="s">
        <v>337</v>
      </c>
      <c r="E6" s="3" t="s">
        <v>5898</v>
      </c>
      <c r="F6" s="90" t="s">
        <v>5922</v>
      </c>
      <c r="G6" s="3"/>
      <c r="H6" s="57" t="s">
        <v>6304</v>
      </c>
      <c r="I6" s="74" t="s">
        <v>5924</v>
      </c>
      <c r="J6" s="74" t="s">
        <v>338</v>
      </c>
    </row>
    <row r="7" spans="1:10" s="74" customFormat="1" ht="30" customHeight="1">
      <c r="A7" s="1">
        <v>8020301</v>
      </c>
      <c r="B7" s="57" t="s">
        <v>6305</v>
      </c>
      <c r="C7" s="88">
        <v>102002</v>
      </c>
      <c r="D7" s="89">
        <v>1020301</v>
      </c>
      <c r="E7" s="3" t="s">
        <v>5898</v>
      </c>
      <c r="F7" s="90" t="s">
        <v>5926</v>
      </c>
      <c r="G7" s="3"/>
      <c r="H7" s="57" t="s">
        <v>6306</v>
      </c>
      <c r="I7" s="74" t="s">
        <v>5928</v>
      </c>
      <c r="J7" s="74" t="s">
        <v>408</v>
      </c>
    </row>
    <row r="8" spans="1:10" s="74" customFormat="1" ht="19.2">
      <c r="A8" s="1">
        <v>8020302</v>
      </c>
      <c r="B8" s="57" t="s">
        <v>6307</v>
      </c>
      <c r="C8" s="91">
        <v>102002</v>
      </c>
      <c r="D8" s="92">
        <v>1020303</v>
      </c>
      <c r="E8" s="1" t="s">
        <v>5898</v>
      </c>
      <c r="F8" s="93" t="s">
        <v>5926</v>
      </c>
      <c r="G8" s="1"/>
      <c r="H8" s="57" t="s">
        <v>6308</v>
      </c>
      <c r="I8" s="74" t="s">
        <v>5931</v>
      </c>
      <c r="J8" s="74" t="s">
        <v>408</v>
      </c>
    </row>
    <row r="9" spans="1:10" s="74" customFormat="1" ht="19.2">
      <c r="A9" s="1">
        <v>8020303</v>
      </c>
      <c r="B9" s="57" t="s">
        <v>6309</v>
      </c>
      <c r="C9" s="91">
        <v>102002</v>
      </c>
      <c r="D9" s="92">
        <v>1020303</v>
      </c>
      <c r="E9" s="1" t="s">
        <v>5898</v>
      </c>
      <c r="F9" s="93" t="s">
        <v>5933</v>
      </c>
      <c r="G9" s="1"/>
      <c r="H9" s="57" t="s">
        <v>6310</v>
      </c>
      <c r="I9" s="74" t="s">
        <v>5935</v>
      </c>
      <c r="J9" s="74" t="s">
        <v>408</v>
      </c>
    </row>
    <row r="10" spans="1:10" s="74" customFormat="1" ht="19.2">
      <c r="A10" s="1">
        <v>8020304</v>
      </c>
      <c r="B10" s="57" t="s">
        <v>6311</v>
      </c>
      <c r="C10" s="91">
        <v>102002</v>
      </c>
      <c r="D10" s="92" t="s">
        <v>5937</v>
      </c>
      <c r="E10" s="1" t="s">
        <v>5898</v>
      </c>
      <c r="F10" s="93" t="s">
        <v>5918</v>
      </c>
      <c r="G10" s="1"/>
      <c r="H10" s="57" t="s">
        <v>6312</v>
      </c>
      <c r="I10" s="74" t="s">
        <v>5939</v>
      </c>
      <c r="J10" s="74" t="s">
        <v>408</v>
      </c>
    </row>
    <row r="11" spans="1:10" s="74" customFormat="1" ht="30" customHeight="1">
      <c r="A11" s="1">
        <v>8020401</v>
      </c>
      <c r="B11" s="57" t="s">
        <v>6313</v>
      </c>
      <c r="C11" s="91">
        <v>102003</v>
      </c>
      <c r="D11" s="92">
        <v>1020401</v>
      </c>
      <c r="E11" s="1" t="s">
        <v>5898</v>
      </c>
      <c r="F11" s="93" t="s">
        <v>5926</v>
      </c>
      <c r="G11" s="1"/>
      <c r="H11" s="57" t="s">
        <v>6314</v>
      </c>
      <c r="I11" s="74" t="s">
        <v>5942</v>
      </c>
      <c r="J11" s="74" t="s">
        <v>465</v>
      </c>
    </row>
    <row r="12" spans="1:10" s="74" customFormat="1" ht="19.2">
      <c r="A12" s="1">
        <v>8020402</v>
      </c>
      <c r="B12" s="57" t="s">
        <v>6315</v>
      </c>
      <c r="C12" s="91">
        <v>102003</v>
      </c>
      <c r="D12" s="92">
        <v>1020403</v>
      </c>
      <c r="E12" s="1" t="s">
        <v>5898</v>
      </c>
      <c r="F12" s="93" t="s">
        <v>5926</v>
      </c>
      <c r="G12" s="1"/>
      <c r="H12" s="57" t="s">
        <v>6316</v>
      </c>
      <c r="I12" s="74" t="s">
        <v>5945</v>
      </c>
      <c r="J12" s="74" t="s">
        <v>465</v>
      </c>
    </row>
    <row r="13" spans="1:10" s="74" customFormat="1" ht="19.2">
      <c r="A13" s="1">
        <v>8020403</v>
      </c>
      <c r="B13" s="57" t="s">
        <v>6317</v>
      </c>
      <c r="C13" s="91">
        <v>102003</v>
      </c>
      <c r="D13" s="92">
        <v>1020403</v>
      </c>
      <c r="E13" s="1" t="s">
        <v>5898</v>
      </c>
      <c r="F13" s="93" t="s">
        <v>5947</v>
      </c>
      <c r="G13" s="1"/>
      <c r="H13" s="57" t="s">
        <v>6318</v>
      </c>
      <c r="I13" s="74" t="s">
        <v>5949</v>
      </c>
      <c r="J13" s="74" t="s">
        <v>465</v>
      </c>
    </row>
    <row r="14" spans="1:10" s="74" customFormat="1" ht="19.2">
      <c r="A14" s="1">
        <v>8020404</v>
      </c>
      <c r="B14" s="57" t="s">
        <v>6319</v>
      </c>
      <c r="C14" s="91">
        <v>102003</v>
      </c>
      <c r="D14" s="92">
        <v>1020405</v>
      </c>
      <c r="E14" s="1" t="s">
        <v>5898</v>
      </c>
      <c r="F14" s="93" t="s">
        <v>5947</v>
      </c>
      <c r="G14" s="1"/>
      <c r="H14" s="57" t="s">
        <v>6320</v>
      </c>
      <c r="I14" s="74" t="s">
        <v>5952</v>
      </c>
      <c r="J14" s="74" t="s">
        <v>465</v>
      </c>
    </row>
    <row r="15" spans="1:10" s="74" customFormat="1" ht="19.2">
      <c r="A15" s="1">
        <v>8020503</v>
      </c>
      <c r="B15" s="57" t="s">
        <v>6321</v>
      </c>
      <c r="C15" s="94">
        <v>102005</v>
      </c>
      <c r="D15" s="92">
        <v>1020501</v>
      </c>
      <c r="E15" s="1" t="s">
        <v>5898</v>
      </c>
      <c r="F15" s="92"/>
      <c r="G15" s="1"/>
      <c r="H15" s="57" t="s">
        <v>6322</v>
      </c>
      <c r="I15" s="74" t="s">
        <v>5955</v>
      </c>
      <c r="J15" s="74" t="s">
        <v>525</v>
      </c>
    </row>
    <row r="16" spans="1:10" s="74" customFormat="1" ht="19.2">
      <c r="A16" s="1">
        <v>8020504</v>
      </c>
      <c r="B16" s="57" t="s">
        <v>6323</v>
      </c>
      <c r="C16" s="94">
        <v>102005</v>
      </c>
      <c r="D16" s="92">
        <v>1020503</v>
      </c>
      <c r="E16" s="1" t="s">
        <v>5898</v>
      </c>
      <c r="F16" s="92"/>
      <c r="G16" s="1"/>
      <c r="H16" s="57" t="s">
        <v>6324</v>
      </c>
      <c r="I16" s="74" t="s">
        <v>5958</v>
      </c>
      <c r="J16" s="74" t="s">
        <v>525</v>
      </c>
    </row>
    <row r="17" spans="1:10" s="74" customFormat="1" ht="19.2">
      <c r="A17" s="1">
        <v>8020505</v>
      </c>
      <c r="B17" s="57" t="s">
        <v>6325</v>
      </c>
      <c r="C17" s="94">
        <v>102005</v>
      </c>
      <c r="D17" s="92">
        <v>1020505</v>
      </c>
      <c r="E17" s="1" t="s">
        <v>5898</v>
      </c>
      <c r="F17" s="92"/>
      <c r="G17" s="1"/>
      <c r="H17" s="57" t="s">
        <v>6326</v>
      </c>
      <c r="I17" s="74" t="s">
        <v>5961</v>
      </c>
      <c r="J17" s="74" t="s">
        <v>525</v>
      </c>
    </row>
    <row r="18" spans="1:10" s="75" customFormat="1" ht="19.2">
      <c r="A18" s="95">
        <v>8020506</v>
      </c>
      <c r="B18" s="57" t="s">
        <v>6327</v>
      </c>
      <c r="C18" s="96">
        <v>102006</v>
      </c>
      <c r="D18" s="97" t="s">
        <v>5963</v>
      </c>
      <c r="E18" s="95" t="s">
        <v>5898</v>
      </c>
      <c r="F18" s="97"/>
      <c r="G18" s="95"/>
      <c r="H18" s="57" t="s">
        <v>6328</v>
      </c>
      <c r="I18" s="75" t="s">
        <v>5965</v>
      </c>
      <c r="J18" s="74" t="s">
        <v>579</v>
      </c>
    </row>
    <row r="19" spans="1:10" s="76" customFormat="1" ht="19.2">
      <c r="A19" s="98">
        <v>8020701</v>
      </c>
      <c r="B19" s="57" t="s">
        <v>6329</v>
      </c>
      <c r="C19" s="99">
        <v>102007</v>
      </c>
      <c r="D19" s="100" t="s">
        <v>5967</v>
      </c>
      <c r="E19" s="98" t="s">
        <v>5968</v>
      </c>
      <c r="F19" s="101"/>
      <c r="G19" s="98"/>
      <c r="H19" s="57" t="s">
        <v>6330</v>
      </c>
      <c r="I19" s="81" t="str">
        <f>"tricks/"&amp;A19</f>
        <v>tricks/8020701</v>
      </c>
      <c r="J19" s="115" t="s">
        <v>622</v>
      </c>
    </row>
    <row r="20" spans="1:10" s="76" customFormat="1" ht="19.2">
      <c r="A20" s="98">
        <v>8020702</v>
      </c>
      <c r="B20" s="57" t="s">
        <v>6331</v>
      </c>
      <c r="C20" s="99">
        <v>102007</v>
      </c>
      <c r="D20" s="100" t="s">
        <v>5971</v>
      </c>
      <c r="E20" s="98" t="s">
        <v>5968</v>
      </c>
      <c r="F20" s="101"/>
      <c r="G20" s="98"/>
      <c r="H20" s="57" t="s">
        <v>6332</v>
      </c>
      <c r="I20" s="81" t="str">
        <f>"tricks/"&amp;A20</f>
        <v>tricks/8020702</v>
      </c>
      <c r="J20" s="115" t="s">
        <v>622</v>
      </c>
    </row>
    <row r="21" spans="1:10" s="74" customFormat="1" ht="19.2">
      <c r="A21" s="1">
        <v>8050101</v>
      </c>
      <c r="B21" s="57" t="s">
        <v>6333</v>
      </c>
      <c r="C21" s="1">
        <v>105001</v>
      </c>
      <c r="D21" s="92">
        <v>1050103</v>
      </c>
      <c r="E21" s="1" t="s">
        <v>5898</v>
      </c>
      <c r="F21" s="93" t="s">
        <v>5974</v>
      </c>
      <c r="G21" s="1"/>
      <c r="H21" s="57" t="s">
        <v>6334</v>
      </c>
      <c r="I21" s="74" t="s">
        <v>5976</v>
      </c>
      <c r="J21" s="74" t="s">
        <v>1024</v>
      </c>
    </row>
    <row r="22" spans="1:10" s="74" customFormat="1" ht="19.2">
      <c r="A22" s="1">
        <v>8050102</v>
      </c>
      <c r="B22" s="57" t="s">
        <v>6335</v>
      </c>
      <c r="C22" s="1">
        <v>105001</v>
      </c>
      <c r="D22" s="92" t="s">
        <v>5978</v>
      </c>
      <c r="E22" s="1" t="s">
        <v>5898</v>
      </c>
      <c r="F22" s="93" t="s">
        <v>5979</v>
      </c>
      <c r="G22" s="1"/>
      <c r="H22" s="57" t="s">
        <v>6336</v>
      </c>
      <c r="I22" s="74" t="s">
        <v>5981</v>
      </c>
      <c r="J22" s="74" t="s">
        <v>1024</v>
      </c>
    </row>
    <row r="23" spans="1:10" s="74" customFormat="1" ht="19.2">
      <c r="A23" s="1">
        <v>8050103</v>
      </c>
      <c r="B23" s="57" t="s">
        <v>6337</v>
      </c>
      <c r="C23" s="1">
        <v>105001</v>
      </c>
      <c r="D23" s="92">
        <v>1050106</v>
      </c>
      <c r="E23" s="1" t="s">
        <v>5898</v>
      </c>
      <c r="F23" s="93" t="s">
        <v>5983</v>
      </c>
      <c r="G23" s="1"/>
      <c r="H23" s="57" t="s">
        <v>6338</v>
      </c>
      <c r="I23" s="74" t="s">
        <v>5985</v>
      </c>
      <c r="J23" s="74" t="s">
        <v>1024</v>
      </c>
    </row>
    <row r="24" spans="1:10" s="74" customFormat="1" ht="19.2">
      <c r="A24" s="1">
        <v>8050104</v>
      </c>
      <c r="B24" s="57" t="s">
        <v>6339</v>
      </c>
      <c r="C24" s="1">
        <v>105001</v>
      </c>
      <c r="D24" s="92">
        <v>1050102</v>
      </c>
      <c r="E24" s="1" t="s">
        <v>5898</v>
      </c>
      <c r="F24" s="93" t="s">
        <v>5987</v>
      </c>
      <c r="G24" s="1"/>
      <c r="H24" s="57" t="s">
        <v>6340</v>
      </c>
      <c r="I24" s="74" t="s">
        <v>5989</v>
      </c>
      <c r="J24" s="74" t="s">
        <v>1024</v>
      </c>
    </row>
    <row r="25" spans="1:10" s="74" customFormat="1" ht="19.2">
      <c r="A25" s="1">
        <v>8050105</v>
      </c>
      <c r="B25" s="57" t="s">
        <v>6341</v>
      </c>
      <c r="C25" s="1">
        <v>105001</v>
      </c>
      <c r="D25" s="92">
        <v>1050104</v>
      </c>
      <c r="E25" s="1" t="s">
        <v>5898</v>
      </c>
      <c r="F25" s="93" t="s">
        <v>5991</v>
      </c>
      <c r="G25" s="1"/>
      <c r="H25" s="57" t="s">
        <v>6342</v>
      </c>
      <c r="I25" s="74" t="s">
        <v>5993</v>
      </c>
      <c r="J25" s="74" t="s">
        <v>1024</v>
      </c>
    </row>
    <row r="26" spans="1:10" s="74" customFormat="1" ht="19.2">
      <c r="A26" s="95">
        <v>8050106</v>
      </c>
      <c r="B26" s="57" t="s">
        <v>6343</v>
      </c>
      <c r="C26" s="95">
        <v>105002</v>
      </c>
      <c r="D26" s="97" t="s">
        <v>5995</v>
      </c>
      <c r="E26" s="102" t="s">
        <v>5968</v>
      </c>
      <c r="F26" s="103"/>
      <c r="G26" s="95"/>
      <c r="H26" s="57" t="s">
        <v>6344</v>
      </c>
      <c r="I26" s="74" t="s">
        <v>5997</v>
      </c>
      <c r="J26" s="74" t="s">
        <v>1081</v>
      </c>
    </row>
    <row r="27" spans="1:10" s="77" customFormat="1" ht="19.2">
      <c r="A27" s="104">
        <v>8050201</v>
      </c>
      <c r="B27" s="57" t="s">
        <v>6345</v>
      </c>
      <c r="C27" s="104">
        <v>105002</v>
      </c>
      <c r="D27" s="105" t="s">
        <v>5995</v>
      </c>
      <c r="E27" s="104" t="s">
        <v>5898</v>
      </c>
      <c r="F27" s="106"/>
      <c r="G27" s="104"/>
      <c r="H27" s="57" t="s">
        <v>6346</v>
      </c>
      <c r="I27" s="77" t="s">
        <v>6000</v>
      </c>
      <c r="J27" s="77" t="s">
        <v>1081</v>
      </c>
    </row>
    <row r="28" spans="1:10" s="77" customFormat="1" ht="19.2">
      <c r="A28" s="104">
        <v>8050202</v>
      </c>
      <c r="B28" s="57" t="s">
        <v>6347</v>
      </c>
      <c r="C28" s="104">
        <v>105002</v>
      </c>
      <c r="D28" s="105" t="s">
        <v>5995</v>
      </c>
      <c r="E28" s="104" t="s">
        <v>5898</v>
      </c>
      <c r="F28" s="106"/>
      <c r="G28" s="104"/>
      <c r="H28" s="57" t="s">
        <v>6348</v>
      </c>
      <c r="I28" s="77" t="s">
        <v>6003</v>
      </c>
      <c r="J28" s="77" t="s">
        <v>1081</v>
      </c>
    </row>
    <row r="29" spans="1:10" s="75" customFormat="1" ht="19.2">
      <c r="A29" s="95">
        <v>8050107</v>
      </c>
      <c r="B29" s="57" t="s">
        <v>6349</v>
      </c>
      <c r="C29" s="95">
        <v>109002</v>
      </c>
      <c r="D29" s="97" t="s">
        <v>6005</v>
      </c>
      <c r="E29" s="95" t="s">
        <v>5898</v>
      </c>
      <c r="F29" s="103"/>
      <c r="G29" s="95"/>
      <c r="H29" s="57" t="s">
        <v>6350</v>
      </c>
      <c r="I29" s="75" t="s">
        <v>6007</v>
      </c>
      <c r="J29" s="74" t="s">
        <v>1297</v>
      </c>
    </row>
    <row r="30" spans="1:10" s="74" customFormat="1" ht="19.2">
      <c r="A30" s="1">
        <v>8040101</v>
      </c>
      <c r="B30" s="57" t="s">
        <v>6351</v>
      </c>
      <c r="C30" s="107">
        <v>104001</v>
      </c>
      <c r="D30" s="92">
        <v>1040105</v>
      </c>
      <c r="E30" s="1" t="s">
        <v>5898</v>
      </c>
      <c r="F30" s="92"/>
      <c r="G30" s="1"/>
      <c r="H30" s="57" t="s">
        <v>6352</v>
      </c>
      <c r="I30" s="74" t="s">
        <v>6010</v>
      </c>
      <c r="J30" s="74" t="s">
        <v>782</v>
      </c>
    </row>
    <row r="31" spans="1:10" s="74" customFormat="1" ht="19.2">
      <c r="A31" s="1">
        <v>8040102</v>
      </c>
      <c r="B31" s="57" t="s">
        <v>6353</v>
      </c>
      <c r="C31" s="107">
        <v>104001</v>
      </c>
      <c r="D31" s="92" t="s">
        <v>6012</v>
      </c>
      <c r="E31" s="1" t="s">
        <v>5968</v>
      </c>
      <c r="F31" s="92"/>
      <c r="G31" s="1"/>
      <c r="H31" s="57" t="s">
        <v>6300</v>
      </c>
      <c r="I31" s="74" t="s">
        <v>6013</v>
      </c>
      <c r="J31" s="74" t="s">
        <v>782</v>
      </c>
    </row>
    <row r="32" spans="1:10" s="74" customFormat="1" ht="19.2">
      <c r="A32" s="1">
        <v>8040103</v>
      </c>
      <c r="B32" s="57" t="s">
        <v>6354</v>
      </c>
      <c r="C32" s="107">
        <v>104001</v>
      </c>
      <c r="D32" s="92">
        <v>1040105</v>
      </c>
      <c r="E32" s="1" t="s">
        <v>5898</v>
      </c>
      <c r="F32" s="92"/>
      <c r="G32" s="1"/>
      <c r="H32" s="57" t="s">
        <v>6355</v>
      </c>
      <c r="I32" s="74" t="s">
        <v>6016</v>
      </c>
      <c r="J32" s="74" t="s">
        <v>782</v>
      </c>
    </row>
    <row r="33" spans="1:10" s="74" customFormat="1" ht="19.2">
      <c r="A33" s="1">
        <v>8040104</v>
      </c>
      <c r="B33" s="57" t="s">
        <v>6356</v>
      </c>
      <c r="C33" s="107">
        <v>104001</v>
      </c>
      <c r="D33" s="92">
        <v>1040108</v>
      </c>
      <c r="E33" s="1" t="s">
        <v>5898</v>
      </c>
      <c r="F33" s="92"/>
      <c r="G33" s="1"/>
      <c r="H33" s="57" t="s">
        <v>6357</v>
      </c>
      <c r="I33" s="74" t="s">
        <v>6019</v>
      </c>
      <c r="J33" s="74" t="s">
        <v>782</v>
      </c>
    </row>
    <row r="34" spans="1:10" s="74" customFormat="1" ht="19.2">
      <c r="A34" s="1">
        <v>8060101</v>
      </c>
      <c r="B34" s="57" t="s">
        <v>6358</v>
      </c>
      <c r="C34" s="1">
        <v>106001</v>
      </c>
      <c r="D34" s="92" t="s">
        <v>6021</v>
      </c>
      <c r="E34" s="1" t="s">
        <v>5968</v>
      </c>
      <c r="F34" s="92"/>
      <c r="G34" s="1"/>
      <c r="H34" s="57" t="s">
        <v>6359</v>
      </c>
      <c r="I34" s="74" t="s">
        <v>6023</v>
      </c>
      <c r="J34" s="74" t="s">
        <v>1142</v>
      </c>
    </row>
    <row r="35" spans="1:10" s="74" customFormat="1" ht="19.2">
      <c r="A35" s="1">
        <v>8060102</v>
      </c>
      <c r="B35" s="57" t="s">
        <v>6360</v>
      </c>
      <c r="C35" s="1">
        <v>106001</v>
      </c>
      <c r="D35" s="92" t="s">
        <v>6021</v>
      </c>
      <c r="E35" s="108" t="s">
        <v>5968</v>
      </c>
      <c r="F35" s="92"/>
      <c r="G35" s="1"/>
      <c r="H35" s="57" t="s">
        <v>6361</v>
      </c>
      <c r="I35" s="74" t="s">
        <v>6026</v>
      </c>
      <c r="J35" s="74" t="s">
        <v>1142</v>
      </c>
    </row>
    <row r="36" spans="1:10" s="74" customFormat="1" ht="19.2">
      <c r="A36" s="1">
        <v>8060103</v>
      </c>
      <c r="B36" s="57" t="s">
        <v>6362</v>
      </c>
      <c r="C36" s="1">
        <v>106001</v>
      </c>
      <c r="D36" s="92" t="s">
        <v>6021</v>
      </c>
      <c r="E36" s="1" t="s">
        <v>5968</v>
      </c>
      <c r="F36" s="92"/>
      <c r="G36" s="1"/>
      <c r="H36" s="57" t="s">
        <v>6363</v>
      </c>
      <c r="I36" s="74" t="s">
        <v>6029</v>
      </c>
      <c r="J36" s="74" t="s">
        <v>1142</v>
      </c>
    </row>
    <row r="37" spans="1:10" s="74" customFormat="1" ht="19.2">
      <c r="A37" s="1">
        <v>8060104</v>
      </c>
      <c r="B37" s="57" t="s">
        <v>6364</v>
      </c>
      <c r="C37" s="1">
        <v>106001</v>
      </c>
      <c r="D37" s="92" t="s">
        <v>6031</v>
      </c>
      <c r="E37" s="1" t="s">
        <v>5968</v>
      </c>
      <c r="F37" s="92"/>
      <c r="G37" s="1"/>
      <c r="H37" s="57" t="s">
        <v>6365</v>
      </c>
      <c r="I37" s="74" t="s">
        <v>6033</v>
      </c>
      <c r="J37" s="74" t="s">
        <v>1142</v>
      </c>
    </row>
    <row r="38" spans="1:10" s="74" customFormat="1" ht="19.2">
      <c r="A38" s="1">
        <v>8060105</v>
      </c>
      <c r="B38" s="57" t="s">
        <v>6366</v>
      </c>
      <c r="C38" s="1">
        <v>106001</v>
      </c>
      <c r="D38" s="92" t="s">
        <v>6031</v>
      </c>
      <c r="E38" s="1" t="s">
        <v>5968</v>
      </c>
      <c r="F38" s="92"/>
      <c r="G38" s="1"/>
      <c r="H38" s="57" t="s">
        <v>6367</v>
      </c>
      <c r="I38" s="74" t="s">
        <v>6036</v>
      </c>
      <c r="J38" s="74" t="s">
        <v>1142</v>
      </c>
    </row>
    <row r="39" spans="1:10" s="76" customFormat="1" ht="19.2">
      <c r="A39" s="98">
        <v>8060201</v>
      </c>
      <c r="B39" s="57" t="s">
        <v>6368</v>
      </c>
      <c r="C39" s="98">
        <v>106002</v>
      </c>
      <c r="D39" s="100" t="s">
        <v>6038</v>
      </c>
      <c r="E39" s="98" t="s">
        <v>5968</v>
      </c>
      <c r="F39" s="100"/>
      <c r="G39" s="98"/>
      <c r="H39" s="57" t="s">
        <v>6369</v>
      </c>
      <c r="I39" s="81" t="str">
        <f>"tricks/"&amp;A39</f>
        <v>tricks/8060201</v>
      </c>
      <c r="J39" s="76" t="s">
        <v>1192</v>
      </c>
    </row>
    <row r="40" spans="1:10" s="76" customFormat="1" ht="19.2">
      <c r="A40" s="98">
        <v>8060202</v>
      </c>
      <c r="B40" s="57" t="s">
        <v>6370</v>
      </c>
      <c r="C40" s="98">
        <v>106002</v>
      </c>
      <c r="D40" s="100" t="s">
        <v>6038</v>
      </c>
      <c r="E40" s="98" t="s">
        <v>5898</v>
      </c>
      <c r="F40" s="100"/>
      <c r="G40" s="98"/>
      <c r="H40" s="57" t="s">
        <v>6371</v>
      </c>
      <c r="I40" s="81" t="str">
        <f>"tricks/"&amp;A40</f>
        <v>tricks/8060202</v>
      </c>
      <c r="J40" s="76" t="s">
        <v>1192</v>
      </c>
    </row>
    <row r="41" spans="1:10" s="74" customFormat="1" ht="19.2">
      <c r="A41" s="1">
        <v>8010201</v>
      </c>
      <c r="B41" s="57" t="s">
        <v>6372</v>
      </c>
      <c r="C41" s="94">
        <v>101002</v>
      </c>
      <c r="D41" s="92">
        <v>1010205</v>
      </c>
      <c r="E41" s="1" t="s">
        <v>5898</v>
      </c>
      <c r="F41" s="92"/>
      <c r="G41" s="1"/>
      <c r="H41" s="57" t="s">
        <v>6373</v>
      </c>
      <c r="I41" s="74" t="s">
        <v>6044</v>
      </c>
      <c r="J41" s="74" t="s">
        <v>176</v>
      </c>
    </row>
    <row r="42" spans="1:10" s="74" customFormat="1" ht="19.2">
      <c r="A42" s="1">
        <v>8010202</v>
      </c>
      <c r="B42" s="57" t="s">
        <v>6374</v>
      </c>
      <c r="C42" s="94">
        <v>101002</v>
      </c>
      <c r="D42" s="92">
        <v>1010203</v>
      </c>
      <c r="E42" s="1" t="s">
        <v>5898</v>
      </c>
      <c r="F42" s="92"/>
      <c r="G42" s="1"/>
      <c r="H42" s="57" t="s">
        <v>6375</v>
      </c>
      <c r="I42" s="74" t="s">
        <v>6047</v>
      </c>
      <c r="J42" s="74" t="s">
        <v>176</v>
      </c>
    </row>
    <row r="43" spans="1:10" s="74" customFormat="1" ht="19.2">
      <c r="A43" s="1">
        <v>8010203</v>
      </c>
      <c r="B43" s="57" t="s">
        <v>6376</v>
      </c>
      <c r="C43" s="94">
        <v>101002</v>
      </c>
      <c r="D43" s="92">
        <v>1010205</v>
      </c>
      <c r="E43" s="1" t="s">
        <v>5898</v>
      </c>
      <c r="F43" s="92"/>
      <c r="G43" s="1"/>
      <c r="H43" s="57" t="s">
        <v>6377</v>
      </c>
      <c r="I43" s="74" t="s">
        <v>6050</v>
      </c>
      <c r="J43" s="74" t="s">
        <v>176</v>
      </c>
    </row>
    <row r="44" spans="1:10" s="74" customFormat="1" ht="19.2">
      <c r="A44" s="1">
        <v>8010204</v>
      </c>
      <c r="B44" s="57" t="s">
        <v>6378</v>
      </c>
      <c r="C44" s="94">
        <v>101002</v>
      </c>
      <c r="D44" s="92">
        <v>1010205</v>
      </c>
      <c r="E44" s="1" t="s">
        <v>5898</v>
      </c>
      <c r="F44" s="92"/>
      <c r="G44" s="1"/>
      <c r="H44" s="57" t="s">
        <v>6379</v>
      </c>
      <c r="I44" s="74" t="s">
        <v>6053</v>
      </c>
      <c r="J44" s="74" t="s">
        <v>176</v>
      </c>
    </row>
    <row r="45" spans="1:10" s="74" customFormat="1" ht="19.2">
      <c r="A45" s="1">
        <v>8010205</v>
      </c>
      <c r="B45" s="57" t="s">
        <v>6380</v>
      </c>
      <c r="C45" s="94">
        <v>101002</v>
      </c>
      <c r="D45" s="92">
        <v>1010205</v>
      </c>
      <c r="E45" s="1" t="s">
        <v>5898</v>
      </c>
      <c r="F45" s="92"/>
      <c r="G45" s="1"/>
      <c r="H45" s="57" t="s">
        <v>6381</v>
      </c>
      <c r="I45" s="74" t="s">
        <v>6056</v>
      </c>
      <c r="J45" s="74" t="s">
        <v>176</v>
      </c>
    </row>
    <row r="46" spans="1:10" s="74" customFormat="1" ht="19.2">
      <c r="A46" s="1">
        <v>8010101</v>
      </c>
      <c r="B46" s="57" t="s">
        <v>6382</v>
      </c>
      <c r="C46" s="94">
        <v>101001</v>
      </c>
      <c r="D46" s="92" t="s">
        <v>6058</v>
      </c>
      <c r="E46" s="1" t="s">
        <v>5898</v>
      </c>
      <c r="F46" s="92"/>
      <c r="G46" s="1"/>
      <c r="H46" s="57" t="s">
        <v>6383</v>
      </c>
      <c r="I46" s="74" t="s">
        <v>6060</v>
      </c>
      <c r="J46" s="74" t="s">
        <v>99</v>
      </c>
    </row>
    <row r="47" spans="1:10" s="74" customFormat="1" ht="19.2">
      <c r="A47" s="1">
        <v>8010102</v>
      </c>
      <c r="B47" s="57" t="s">
        <v>6384</v>
      </c>
      <c r="C47" s="94">
        <v>101001</v>
      </c>
      <c r="D47" s="109" t="s">
        <v>6062</v>
      </c>
      <c r="E47" s="1" t="s">
        <v>5898</v>
      </c>
      <c r="F47" s="92"/>
      <c r="G47" s="1"/>
      <c r="H47" s="57" t="s">
        <v>6385</v>
      </c>
      <c r="I47" s="74" t="s">
        <v>6064</v>
      </c>
      <c r="J47" s="74" t="s">
        <v>99</v>
      </c>
    </row>
    <row r="48" spans="1:10" s="74" customFormat="1" ht="19.2">
      <c r="A48" s="1">
        <v>8010103</v>
      </c>
      <c r="B48" s="57" t="s">
        <v>6386</v>
      </c>
      <c r="C48" s="94">
        <v>101001</v>
      </c>
      <c r="D48" s="92" t="s">
        <v>98</v>
      </c>
      <c r="E48" s="1" t="s">
        <v>5898</v>
      </c>
      <c r="F48" s="92"/>
      <c r="G48" s="1"/>
      <c r="H48" s="57" t="s">
        <v>6387</v>
      </c>
      <c r="I48" s="74" t="s">
        <v>6067</v>
      </c>
      <c r="J48" s="74" t="s">
        <v>99</v>
      </c>
    </row>
    <row r="49" spans="1:10" s="74" customFormat="1" ht="19.2">
      <c r="A49" s="1">
        <v>8010301</v>
      </c>
      <c r="B49" s="57" t="s">
        <v>6388</v>
      </c>
      <c r="C49" s="94">
        <v>101003</v>
      </c>
      <c r="D49" s="92">
        <v>1010301</v>
      </c>
      <c r="E49" s="1" t="s">
        <v>5898</v>
      </c>
      <c r="F49" s="92"/>
      <c r="G49" s="1"/>
      <c r="H49" s="57" t="s">
        <v>6389</v>
      </c>
      <c r="I49" s="74" t="s">
        <v>6070</v>
      </c>
      <c r="J49" s="74" t="s">
        <v>234</v>
      </c>
    </row>
    <row r="50" spans="1:10" s="74" customFormat="1" ht="19.2">
      <c r="A50" s="1">
        <v>8010302</v>
      </c>
      <c r="B50" s="57" t="s">
        <v>6390</v>
      </c>
      <c r="C50" s="94">
        <v>101003</v>
      </c>
      <c r="D50" s="92">
        <v>1010305</v>
      </c>
      <c r="E50" s="1" t="s">
        <v>5898</v>
      </c>
      <c r="F50" s="92"/>
      <c r="G50" s="1"/>
      <c r="H50" s="57" t="s">
        <v>6391</v>
      </c>
      <c r="I50" s="74" t="s">
        <v>6073</v>
      </c>
      <c r="J50" s="74" t="s">
        <v>234</v>
      </c>
    </row>
    <row r="51" spans="1:10" s="74" customFormat="1" ht="19.2">
      <c r="A51" s="1">
        <v>8010303</v>
      </c>
      <c r="B51" s="57" t="s">
        <v>6392</v>
      </c>
      <c r="C51" s="94">
        <v>101003</v>
      </c>
      <c r="D51" s="92">
        <v>1010301</v>
      </c>
      <c r="E51" s="1" t="s">
        <v>5898</v>
      </c>
      <c r="F51" s="92"/>
      <c r="G51" s="1"/>
      <c r="H51" s="57" t="s">
        <v>6393</v>
      </c>
      <c r="I51" s="74" t="s">
        <v>6076</v>
      </c>
      <c r="J51" s="74" t="s">
        <v>234</v>
      </c>
    </row>
    <row r="52" spans="1:10" s="74" customFormat="1" ht="19.2">
      <c r="A52" s="1">
        <v>8010304</v>
      </c>
      <c r="B52" s="57" t="s">
        <v>6394</v>
      </c>
      <c r="C52" s="94">
        <v>101003</v>
      </c>
      <c r="D52" s="92">
        <v>1010303</v>
      </c>
      <c r="E52" s="1" t="s">
        <v>5898</v>
      </c>
      <c r="F52" s="92"/>
      <c r="G52" s="1"/>
      <c r="H52" s="57" t="s">
        <v>6395</v>
      </c>
      <c r="I52" s="74" t="s">
        <v>6079</v>
      </c>
      <c r="J52" s="74" t="s">
        <v>234</v>
      </c>
    </row>
    <row r="53" spans="1:10" s="75" customFormat="1" ht="19.2">
      <c r="A53" s="95">
        <v>8010305</v>
      </c>
      <c r="B53" s="57" t="s">
        <v>6396</v>
      </c>
      <c r="C53" s="96">
        <v>110002</v>
      </c>
      <c r="D53" s="97" t="s">
        <v>6081</v>
      </c>
      <c r="E53" s="95" t="s">
        <v>5898</v>
      </c>
      <c r="F53" s="97"/>
      <c r="G53" s="95"/>
      <c r="H53" s="57" t="s">
        <v>6397</v>
      </c>
      <c r="I53" s="75" t="s">
        <v>6083</v>
      </c>
      <c r="J53" s="74" t="s">
        <v>1413</v>
      </c>
    </row>
    <row r="54" spans="1:10" s="74" customFormat="1" ht="19.2">
      <c r="A54" s="1">
        <v>8010306</v>
      </c>
      <c r="B54" s="57" t="s">
        <v>6398</v>
      </c>
      <c r="C54" s="94">
        <v>101003</v>
      </c>
      <c r="D54" s="92">
        <v>1010303</v>
      </c>
      <c r="E54" s="1" t="s">
        <v>5898</v>
      </c>
      <c r="F54" s="92"/>
      <c r="G54" s="1"/>
      <c r="H54" s="57" t="s">
        <v>6399</v>
      </c>
      <c r="I54" s="74" t="s">
        <v>6086</v>
      </c>
      <c r="J54" s="74" t="s">
        <v>234</v>
      </c>
    </row>
    <row r="55" spans="1:10" s="75" customFormat="1" ht="19.2">
      <c r="A55" s="95">
        <v>8010307</v>
      </c>
      <c r="B55" s="57" t="s">
        <v>6400</v>
      </c>
      <c r="C55" s="96">
        <v>115002</v>
      </c>
      <c r="D55" s="97" t="s">
        <v>6088</v>
      </c>
      <c r="E55" s="95" t="s">
        <v>5968</v>
      </c>
      <c r="F55" s="97"/>
      <c r="G55" s="95"/>
      <c r="H55" s="57" t="s">
        <v>6401</v>
      </c>
      <c r="I55" s="75" t="s">
        <v>6090</v>
      </c>
      <c r="J55" s="74" t="s">
        <v>1827</v>
      </c>
    </row>
    <row r="56" spans="1:10" s="76" customFormat="1" ht="19.2">
      <c r="A56" s="98">
        <v>8010401</v>
      </c>
      <c r="B56" s="57" t="s">
        <v>6402</v>
      </c>
      <c r="C56" s="110">
        <v>101004</v>
      </c>
      <c r="D56" s="100" t="s">
        <v>6092</v>
      </c>
      <c r="E56" s="98" t="s">
        <v>5898</v>
      </c>
      <c r="F56" s="100"/>
      <c r="G56" s="98"/>
      <c r="H56" s="57" t="s">
        <v>6403</v>
      </c>
      <c r="I56" s="81" t="str">
        <f>"tricks/"&amp;A56</f>
        <v>tricks/8010401</v>
      </c>
      <c r="J56" s="76" t="s">
        <v>292</v>
      </c>
    </row>
    <row r="57" spans="1:10" s="76" customFormat="1" ht="19.2">
      <c r="A57" s="98">
        <v>8010402</v>
      </c>
      <c r="B57" s="57" t="s">
        <v>6404</v>
      </c>
      <c r="C57" s="110">
        <v>101004</v>
      </c>
      <c r="D57" s="100" t="s">
        <v>6095</v>
      </c>
      <c r="E57" s="98" t="s">
        <v>5898</v>
      </c>
      <c r="F57" s="100"/>
      <c r="G57" s="98"/>
      <c r="H57" s="57" t="s">
        <v>6405</v>
      </c>
      <c r="I57" s="81" t="str">
        <f>"tricks/"&amp;A57</f>
        <v>tricks/8010402</v>
      </c>
      <c r="J57" s="76" t="s">
        <v>292</v>
      </c>
    </row>
    <row r="58" spans="1:10" s="74" customFormat="1" ht="19.2">
      <c r="A58" s="1">
        <v>8020501</v>
      </c>
      <c r="B58" s="57" t="s">
        <v>6406</v>
      </c>
      <c r="C58" s="94">
        <v>102005</v>
      </c>
      <c r="D58" s="92">
        <v>1020501</v>
      </c>
      <c r="E58" s="1" t="s">
        <v>5898</v>
      </c>
      <c r="F58" s="92"/>
      <c r="G58" s="1"/>
      <c r="H58" s="57" t="s">
        <v>6407</v>
      </c>
      <c r="I58" s="74" t="s">
        <v>6099</v>
      </c>
      <c r="J58" s="74" t="s">
        <v>525</v>
      </c>
    </row>
    <row r="59" spans="1:10" s="74" customFormat="1" ht="19.2">
      <c r="A59" s="1">
        <v>8020502</v>
      </c>
      <c r="B59" s="57" t="s">
        <v>6408</v>
      </c>
      <c r="C59" s="94">
        <v>102005</v>
      </c>
      <c r="D59" s="92">
        <v>1020503</v>
      </c>
      <c r="E59" s="1" t="s">
        <v>5898</v>
      </c>
      <c r="F59" s="92"/>
      <c r="G59" s="1"/>
      <c r="H59" s="57" t="s">
        <v>6409</v>
      </c>
      <c r="I59" s="74" t="s">
        <v>6102</v>
      </c>
      <c r="J59" s="74" t="s">
        <v>525</v>
      </c>
    </row>
    <row r="60" spans="1:10" s="78" customFormat="1" ht="19.2">
      <c r="A60" s="111">
        <v>8100101</v>
      </c>
      <c r="B60" s="57" t="s">
        <v>6410</v>
      </c>
      <c r="C60" s="112">
        <v>110001</v>
      </c>
      <c r="D60" s="111">
        <v>1100103</v>
      </c>
      <c r="E60" s="111" t="s">
        <v>5898</v>
      </c>
      <c r="F60" s="113"/>
      <c r="G60" s="111"/>
      <c r="H60" s="57" t="s">
        <v>6411</v>
      </c>
      <c r="I60" s="74" t="s">
        <v>6105</v>
      </c>
      <c r="J60" s="74" t="s">
        <v>1354</v>
      </c>
    </row>
    <row r="61" spans="1:10" s="78" customFormat="1" ht="19.2">
      <c r="A61" s="111">
        <v>8100102</v>
      </c>
      <c r="B61" s="57" t="s">
        <v>6412</v>
      </c>
      <c r="C61" s="112">
        <v>110001</v>
      </c>
      <c r="D61" s="111">
        <v>1100103</v>
      </c>
      <c r="E61" s="111" t="s">
        <v>5898</v>
      </c>
      <c r="F61" s="113"/>
      <c r="G61" s="111"/>
      <c r="H61" s="57" t="s">
        <v>6413</v>
      </c>
      <c r="I61" s="74" t="s">
        <v>6108</v>
      </c>
      <c r="J61" s="74" t="s">
        <v>1354</v>
      </c>
    </row>
    <row r="62" spans="1:10" s="78" customFormat="1" ht="19.2">
      <c r="A62" s="111">
        <v>8100103</v>
      </c>
      <c r="B62" s="57" t="s">
        <v>6414</v>
      </c>
      <c r="C62" s="112">
        <v>110001</v>
      </c>
      <c r="D62" s="111">
        <v>1100101</v>
      </c>
      <c r="E62" s="111" t="s">
        <v>5898</v>
      </c>
      <c r="F62" s="113"/>
      <c r="G62" s="111"/>
      <c r="H62" s="57" t="s">
        <v>6415</v>
      </c>
      <c r="I62" s="74" t="s">
        <v>6111</v>
      </c>
      <c r="J62" s="74" t="s">
        <v>1354</v>
      </c>
    </row>
    <row r="63" spans="1:10" s="78" customFormat="1" ht="19.2">
      <c r="A63" s="111">
        <v>8100104</v>
      </c>
      <c r="B63" s="57" t="s">
        <v>6416</v>
      </c>
      <c r="C63" s="112">
        <v>110001</v>
      </c>
      <c r="D63" s="111">
        <v>1100101</v>
      </c>
      <c r="E63" s="111" t="s">
        <v>5898</v>
      </c>
      <c r="F63" s="113"/>
      <c r="G63" s="111"/>
      <c r="H63" s="57" t="s">
        <v>6417</v>
      </c>
      <c r="I63" s="74" t="s">
        <v>6114</v>
      </c>
      <c r="J63" s="74" t="s">
        <v>1354</v>
      </c>
    </row>
    <row r="64" spans="1:10" s="74" customFormat="1" ht="19.2">
      <c r="A64" s="1">
        <v>8040201</v>
      </c>
      <c r="B64" s="57" t="s">
        <v>6418</v>
      </c>
      <c r="C64" s="94">
        <v>104002</v>
      </c>
      <c r="D64" s="1">
        <v>1040210</v>
      </c>
      <c r="E64" s="111" t="s">
        <v>5898</v>
      </c>
      <c r="F64" s="92"/>
      <c r="G64" s="1"/>
      <c r="H64" s="57" t="s">
        <v>6419</v>
      </c>
      <c r="I64" s="74" t="s">
        <v>6117</v>
      </c>
      <c r="J64" s="74" t="s">
        <v>836</v>
      </c>
    </row>
    <row r="65" spans="1:10" s="74" customFormat="1" ht="19.2">
      <c r="A65" s="1">
        <v>8040202</v>
      </c>
      <c r="B65" s="57" t="s">
        <v>6420</v>
      </c>
      <c r="C65" s="94">
        <v>104002</v>
      </c>
      <c r="D65" s="1">
        <v>1040203</v>
      </c>
      <c r="E65" s="111" t="s">
        <v>5898</v>
      </c>
      <c r="F65" s="92"/>
      <c r="G65" s="1"/>
      <c r="H65" s="57" t="s">
        <v>6421</v>
      </c>
      <c r="I65" s="74" t="s">
        <v>6120</v>
      </c>
      <c r="J65" s="74" t="s">
        <v>836</v>
      </c>
    </row>
    <row r="66" spans="1:10" ht="19.2">
      <c r="A66" s="1">
        <v>8040203</v>
      </c>
      <c r="B66" s="57" t="s">
        <v>6422</v>
      </c>
      <c r="C66" s="94">
        <v>104002</v>
      </c>
      <c r="D66" s="1">
        <v>1040205</v>
      </c>
      <c r="E66" s="111" t="s">
        <v>5898</v>
      </c>
      <c r="F66" s="92"/>
      <c r="G66" s="1"/>
      <c r="H66" s="57" t="s">
        <v>6423</v>
      </c>
      <c r="I66" s="74" t="s">
        <v>6123</v>
      </c>
      <c r="J66" s="74" t="s">
        <v>836</v>
      </c>
    </row>
    <row r="67" spans="1:10" ht="19.2">
      <c r="A67" s="1">
        <v>8040204</v>
      </c>
      <c r="B67" s="57" t="s">
        <v>6424</v>
      </c>
      <c r="C67" s="94">
        <v>104002</v>
      </c>
      <c r="D67" s="1">
        <v>1040210</v>
      </c>
      <c r="E67" s="111" t="s">
        <v>5898</v>
      </c>
      <c r="F67" s="92"/>
      <c r="G67" s="1"/>
      <c r="H67" s="57" t="s">
        <v>6425</v>
      </c>
      <c r="I67" s="74" t="s">
        <v>6126</v>
      </c>
      <c r="J67" s="74" t="s">
        <v>836</v>
      </c>
    </row>
    <row r="68" spans="1:10" ht="19.2">
      <c r="A68" s="1">
        <v>8030101</v>
      </c>
      <c r="B68" s="57" t="s">
        <v>6426</v>
      </c>
      <c r="C68" s="116">
        <v>103001</v>
      </c>
      <c r="D68" s="89" t="s">
        <v>6128</v>
      </c>
      <c r="E68" s="111" t="s">
        <v>5898</v>
      </c>
      <c r="F68" s="89"/>
      <c r="G68" s="3"/>
      <c r="H68" s="57" t="s">
        <v>6427</v>
      </c>
      <c r="I68" s="74" t="s">
        <v>6130</v>
      </c>
      <c r="J68" s="74" t="s">
        <v>668</v>
      </c>
    </row>
    <row r="69" spans="1:10" ht="19.2">
      <c r="A69" s="3">
        <v>8030102</v>
      </c>
      <c r="B69" s="57" t="s">
        <v>6428</v>
      </c>
      <c r="C69" s="117">
        <v>103001</v>
      </c>
      <c r="D69" s="89" t="s">
        <v>6128</v>
      </c>
      <c r="E69" s="22" t="s">
        <v>5898</v>
      </c>
      <c r="F69" s="89" t="s">
        <v>5933</v>
      </c>
      <c r="G69" s="3"/>
      <c r="H69" s="57" t="s">
        <v>6429</v>
      </c>
      <c r="I69" t="s">
        <v>6133</v>
      </c>
      <c r="J69" s="74" t="s">
        <v>668</v>
      </c>
    </row>
    <row r="70" spans="1:10" ht="19.2">
      <c r="A70" s="3">
        <v>8030103</v>
      </c>
      <c r="B70" s="57" t="s">
        <v>6430</v>
      </c>
      <c r="C70" s="117">
        <v>103001</v>
      </c>
      <c r="D70" s="89" t="s">
        <v>6128</v>
      </c>
      <c r="E70" s="22" t="s">
        <v>5898</v>
      </c>
      <c r="F70" s="89" t="s">
        <v>6135</v>
      </c>
      <c r="G70" s="3"/>
      <c r="H70" s="57" t="s">
        <v>6431</v>
      </c>
      <c r="I70" t="s">
        <v>6137</v>
      </c>
      <c r="J70" s="74" t="s">
        <v>668</v>
      </c>
    </row>
    <row r="71" spans="1:10" ht="19.2">
      <c r="A71" s="1">
        <v>8030104</v>
      </c>
      <c r="B71" s="57" t="s">
        <v>6432</v>
      </c>
      <c r="C71" s="116">
        <v>103001</v>
      </c>
      <c r="D71" s="89" t="s">
        <v>6139</v>
      </c>
      <c r="E71" s="111" t="s">
        <v>5898</v>
      </c>
      <c r="F71" s="89"/>
      <c r="G71" s="3"/>
      <c r="H71" s="57" t="s">
        <v>6433</v>
      </c>
      <c r="I71" s="74" t="s">
        <v>6141</v>
      </c>
      <c r="J71" s="74" t="s">
        <v>668</v>
      </c>
    </row>
    <row r="72" spans="1:10" ht="19.2">
      <c r="A72" s="1">
        <v>8030105</v>
      </c>
      <c r="B72" s="57" t="s">
        <v>6434</v>
      </c>
      <c r="C72" s="116">
        <v>103001</v>
      </c>
      <c r="D72" s="89" t="s">
        <v>6143</v>
      </c>
      <c r="E72" s="111" t="s">
        <v>5898</v>
      </c>
      <c r="F72" s="89"/>
      <c r="G72" s="3"/>
      <c r="H72" s="57" t="s">
        <v>6435</v>
      </c>
      <c r="I72" s="74" t="s">
        <v>6145</v>
      </c>
      <c r="J72" s="74" t="s">
        <v>668</v>
      </c>
    </row>
    <row r="73" spans="1:10" s="79" customFormat="1" ht="19.2">
      <c r="A73" s="118">
        <v>8030201</v>
      </c>
      <c r="B73" s="57" t="s">
        <v>6436</v>
      </c>
      <c r="C73" s="119">
        <v>103002</v>
      </c>
      <c r="D73" s="120">
        <v>1030201</v>
      </c>
      <c r="E73" s="121" t="s">
        <v>5898</v>
      </c>
      <c r="F73" s="120"/>
      <c r="G73" s="118"/>
      <c r="H73" s="57" t="s">
        <v>6437</v>
      </c>
      <c r="I73" s="79" t="s">
        <v>6148</v>
      </c>
      <c r="J73" s="79" t="s">
        <v>722</v>
      </c>
    </row>
    <row r="74" spans="1:10" s="79" customFormat="1" ht="19.2">
      <c r="A74" s="118">
        <v>8030202</v>
      </c>
      <c r="B74" s="57" t="s">
        <v>6438</v>
      </c>
      <c r="C74" s="119">
        <v>103002</v>
      </c>
      <c r="D74" s="122" t="s">
        <v>6150</v>
      </c>
      <c r="E74" s="121" t="s">
        <v>5968</v>
      </c>
      <c r="F74" s="120"/>
      <c r="G74" s="118"/>
      <c r="H74" s="57" t="s">
        <v>6439</v>
      </c>
      <c r="I74" s="79" t="s">
        <v>6152</v>
      </c>
      <c r="J74" s="79" t="s">
        <v>722</v>
      </c>
    </row>
    <row r="75" spans="1:10" s="79" customFormat="1" ht="19.2">
      <c r="A75" s="118">
        <v>8030203</v>
      </c>
      <c r="B75" s="57" t="s">
        <v>6440</v>
      </c>
      <c r="C75" s="119">
        <v>103002</v>
      </c>
      <c r="D75" s="122" t="s">
        <v>6154</v>
      </c>
      <c r="E75" s="121" t="s">
        <v>5968</v>
      </c>
      <c r="F75" s="120"/>
      <c r="G75" s="118"/>
      <c r="H75" s="57" t="s">
        <v>6441</v>
      </c>
      <c r="I75" s="79" t="s">
        <v>6156</v>
      </c>
      <c r="J75" s="79" t="s">
        <v>722</v>
      </c>
    </row>
    <row r="76" spans="1:10" ht="19.2">
      <c r="A76" s="1">
        <v>8040301</v>
      </c>
      <c r="B76" s="57" t="s">
        <v>6442</v>
      </c>
      <c r="C76" s="123">
        <v>104003</v>
      </c>
      <c r="D76" s="1">
        <v>1040303</v>
      </c>
      <c r="E76" s="111" t="s">
        <v>5898</v>
      </c>
      <c r="F76" s="92"/>
      <c r="G76" s="1"/>
      <c r="H76" s="57" t="s">
        <v>6443</v>
      </c>
      <c r="I76" s="74" t="s">
        <v>6159</v>
      </c>
      <c r="J76" s="74" t="s">
        <v>897</v>
      </c>
    </row>
    <row r="77" spans="1:10" ht="19.2">
      <c r="A77" s="1">
        <v>8040302</v>
      </c>
      <c r="B77" s="57" t="s">
        <v>6444</v>
      </c>
      <c r="C77" s="123">
        <v>104003</v>
      </c>
      <c r="D77" s="1">
        <v>1040303</v>
      </c>
      <c r="E77" s="111" t="s">
        <v>5898</v>
      </c>
      <c r="F77" s="92"/>
      <c r="G77" s="1"/>
      <c r="H77" s="57" t="s">
        <v>6445</v>
      </c>
      <c r="I77" s="74" t="s">
        <v>6162</v>
      </c>
      <c r="J77" s="74" t="s">
        <v>897</v>
      </c>
    </row>
    <row r="78" spans="1:10" ht="19.2">
      <c r="A78" s="1">
        <v>8040303</v>
      </c>
      <c r="B78" s="57" t="s">
        <v>6446</v>
      </c>
      <c r="C78" s="123">
        <v>104003</v>
      </c>
      <c r="D78" s="1">
        <v>1040305</v>
      </c>
      <c r="E78" s="111" t="s">
        <v>5898</v>
      </c>
      <c r="F78" s="92"/>
      <c r="G78" s="1"/>
      <c r="H78" s="57" t="s">
        <v>6447</v>
      </c>
      <c r="I78" s="74" t="s">
        <v>6165</v>
      </c>
      <c r="J78" s="74" t="s">
        <v>897</v>
      </c>
    </row>
    <row r="79" spans="1:10" ht="19.2">
      <c r="A79" s="1">
        <v>8040304</v>
      </c>
      <c r="B79" s="57" t="s">
        <v>6448</v>
      </c>
      <c r="C79" s="123">
        <v>104003</v>
      </c>
      <c r="D79" s="92" t="s">
        <v>6167</v>
      </c>
      <c r="E79" s="111" t="s">
        <v>5898</v>
      </c>
      <c r="F79" s="92"/>
      <c r="G79" s="1"/>
      <c r="H79" s="57" t="s">
        <v>6449</v>
      </c>
      <c r="I79" s="74" t="s">
        <v>6169</v>
      </c>
      <c r="J79" s="74" t="s">
        <v>897</v>
      </c>
    </row>
    <row r="80" spans="1:10" ht="19.2">
      <c r="A80" s="1">
        <v>8040305</v>
      </c>
      <c r="B80" s="57" t="s">
        <v>6450</v>
      </c>
      <c r="C80" s="123">
        <v>104003</v>
      </c>
      <c r="D80" s="1">
        <v>1040302</v>
      </c>
      <c r="E80" s="111" t="s">
        <v>5898</v>
      </c>
      <c r="F80" s="92"/>
      <c r="G80" s="1"/>
      <c r="H80" s="57" t="s">
        <v>6451</v>
      </c>
      <c r="I80" s="74" t="s">
        <v>6172</v>
      </c>
      <c r="J80" s="74" t="s">
        <v>897</v>
      </c>
    </row>
    <row r="81" spans="1:10" s="79" customFormat="1" ht="19.2">
      <c r="A81" s="118">
        <v>8040401</v>
      </c>
      <c r="B81" s="57" t="s">
        <v>6452</v>
      </c>
      <c r="C81" s="124">
        <v>104004</v>
      </c>
      <c r="D81" s="118">
        <v>1040401</v>
      </c>
      <c r="E81" s="121" t="s">
        <v>5898</v>
      </c>
      <c r="F81" s="120"/>
      <c r="G81" s="118"/>
      <c r="H81" s="57" t="s">
        <v>6453</v>
      </c>
      <c r="I81" s="79" t="s">
        <v>6175</v>
      </c>
      <c r="J81" s="79" t="s">
        <v>954</v>
      </c>
    </row>
    <row r="82" spans="1:10" s="79" customFormat="1" ht="19.2">
      <c r="A82" s="125">
        <v>8040402</v>
      </c>
      <c r="B82" s="57" t="s">
        <v>6454</v>
      </c>
      <c r="C82" s="124">
        <v>104004</v>
      </c>
      <c r="D82" s="118">
        <v>1040403</v>
      </c>
      <c r="E82" s="121" t="s">
        <v>5968</v>
      </c>
      <c r="F82" s="120"/>
      <c r="G82" s="118"/>
      <c r="H82" s="57" t="s">
        <v>6455</v>
      </c>
      <c r="I82" s="79" t="s">
        <v>6178</v>
      </c>
      <c r="J82" s="79" t="s">
        <v>954</v>
      </c>
    </row>
    <row r="83" spans="1:10" s="79" customFormat="1" ht="19.2">
      <c r="A83" s="125">
        <v>8040403</v>
      </c>
      <c r="B83" s="57" t="s">
        <v>6456</v>
      </c>
      <c r="C83" s="124">
        <v>104004</v>
      </c>
      <c r="D83" s="118">
        <v>1040405</v>
      </c>
      <c r="E83" s="121" t="s">
        <v>5968</v>
      </c>
      <c r="F83" s="120"/>
      <c r="G83" s="118"/>
      <c r="H83" s="57" t="s">
        <v>6457</v>
      </c>
      <c r="I83" s="79" t="s">
        <v>6181</v>
      </c>
      <c r="J83" s="79" t="s">
        <v>954</v>
      </c>
    </row>
    <row r="84" spans="1:10" s="75" customFormat="1" ht="19.2">
      <c r="A84" s="95">
        <v>8040306</v>
      </c>
      <c r="B84" s="57" t="s">
        <v>6458</v>
      </c>
      <c r="C84" s="126">
        <v>110001</v>
      </c>
      <c r="D84" s="97" t="s">
        <v>6183</v>
      </c>
      <c r="E84" s="127" t="s">
        <v>5898</v>
      </c>
      <c r="F84" s="97"/>
      <c r="G84" s="95"/>
      <c r="H84" s="57" t="s">
        <v>6459</v>
      </c>
      <c r="I84" s="75" t="s">
        <v>6185</v>
      </c>
      <c r="J84" s="74" t="s">
        <v>1354</v>
      </c>
    </row>
    <row r="85" spans="1:10" ht="19.2">
      <c r="A85" s="1">
        <v>8090101</v>
      </c>
      <c r="B85" s="57" t="s">
        <v>6460</v>
      </c>
      <c r="C85" s="94">
        <v>109001</v>
      </c>
      <c r="D85" s="92" t="s">
        <v>6187</v>
      </c>
      <c r="E85" s="111" t="s">
        <v>5898</v>
      </c>
      <c r="F85" s="92"/>
      <c r="G85" s="1"/>
      <c r="H85" s="57" t="s">
        <v>6461</v>
      </c>
      <c r="I85" s="74" t="s">
        <v>6189</v>
      </c>
      <c r="J85" s="74" t="s">
        <v>1240</v>
      </c>
    </row>
    <row r="86" spans="1:10" ht="19.2">
      <c r="A86" s="1">
        <v>8090102</v>
      </c>
      <c r="B86" s="57" t="s">
        <v>6462</v>
      </c>
      <c r="C86" s="94">
        <v>109001</v>
      </c>
      <c r="D86" s="92" t="s">
        <v>6191</v>
      </c>
      <c r="E86" s="111" t="s">
        <v>5898</v>
      </c>
      <c r="F86" s="92"/>
      <c r="G86" s="1"/>
      <c r="H86" s="57" t="s">
        <v>6463</v>
      </c>
      <c r="I86" s="74" t="s">
        <v>6193</v>
      </c>
      <c r="J86" s="74" t="s">
        <v>1240</v>
      </c>
    </row>
    <row r="87" spans="1:10" ht="19.2">
      <c r="A87" s="1">
        <v>8090103</v>
      </c>
      <c r="B87" s="57" t="s">
        <v>6464</v>
      </c>
      <c r="C87" s="94">
        <v>109001</v>
      </c>
      <c r="D87" s="92" t="s">
        <v>6187</v>
      </c>
      <c r="E87" s="111" t="s">
        <v>5898</v>
      </c>
      <c r="F87" s="92"/>
      <c r="G87" s="1"/>
      <c r="H87" s="57" t="s">
        <v>6465</v>
      </c>
      <c r="I87" s="74" t="s">
        <v>6196</v>
      </c>
      <c r="J87" s="74" t="s">
        <v>1240</v>
      </c>
    </row>
    <row r="88" spans="1:10" ht="19.2">
      <c r="A88" s="1">
        <v>8090104</v>
      </c>
      <c r="B88" s="57" t="s">
        <v>6466</v>
      </c>
      <c r="C88" s="94">
        <v>109001</v>
      </c>
      <c r="D88" s="92" t="s">
        <v>6191</v>
      </c>
      <c r="E88" s="111" t="s">
        <v>5898</v>
      </c>
      <c r="F88" s="92"/>
      <c r="G88" s="1"/>
      <c r="H88" s="57" t="s">
        <v>6467</v>
      </c>
      <c r="I88" s="74" t="s">
        <v>6199</v>
      </c>
      <c r="J88" s="74" t="s">
        <v>1240</v>
      </c>
    </row>
    <row r="89" spans="1:10" ht="19.2">
      <c r="A89" s="1">
        <v>8090105</v>
      </c>
      <c r="B89" s="57" t="s">
        <v>6468</v>
      </c>
      <c r="C89" s="94">
        <v>109001</v>
      </c>
      <c r="D89" s="92" t="s">
        <v>6201</v>
      </c>
      <c r="E89" s="111" t="s">
        <v>5898</v>
      </c>
      <c r="F89" s="92"/>
      <c r="G89" s="1"/>
      <c r="H89" s="57" t="s">
        <v>6469</v>
      </c>
      <c r="I89" t="s">
        <v>6203</v>
      </c>
      <c r="J89" s="74" t="s">
        <v>1240</v>
      </c>
    </row>
    <row r="90" spans="1:10" s="79" customFormat="1" ht="19.2">
      <c r="A90" s="118">
        <v>8090201</v>
      </c>
      <c r="B90" s="57" t="s">
        <v>6470</v>
      </c>
      <c r="C90" s="128">
        <v>109002</v>
      </c>
      <c r="D90" s="120">
        <v>1090201</v>
      </c>
      <c r="E90" s="121" t="s">
        <v>5898</v>
      </c>
      <c r="F90" s="120"/>
      <c r="G90" s="118"/>
      <c r="H90" s="57" t="s">
        <v>6471</v>
      </c>
      <c r="I90" s="79" t="s">
        <v>6206</v>
      </c>
      <c r="J90" s="79" t="s">
        <v>1297</v>
      </c>
    </row>
    <row r="91" spans="1:10" s="79" customFormat="1" ht="19.2">
      <c r="A91" s="118">
        <v>8090202</v>
      </c>
      <c r="B91" s="57" t="s">
        <v>6472</v>
      </c>
      <c r="C91" s="128">
        <v>109002</v>
      </c>
      <c r="D91" s="120">
        <v>1090203</v>
      </c>
      <c r="E91" s="121" t="s">
        <v>5898</v>
      </c>
      <c r="F91" s="120"/>
      <c r="G91" s="118"/>
      <c r="H91" s="57" t="s">
        <v>6473</v>
      </c>
      <c r="I91" s="79" t="s">
        <v>6209</v>
      </c>
      <c r="J91" s="79" t="s">
        <v>1297</v>
      </c>
    </row>
    <row r="92" spans="1:10" s="80" customFormat="1" ht="19.2">
      <c r="A92" s="129">
        <v>8100201</v>
      </c>
      <c r="B92" s="57" t="s">
        <v>6474</v>
      </c>
      <c r="C92" s="130">
        <v>110002</v>
      </c>
      <c r="D92" s="34">
        <v>1100201</v>
      </c>
      <c r="E92" s="130" t="s">
        <v>5898</v>
      </c>
      <c r="F92" s="131"/>
      <c r="G92" s="34"/>
      <c r="H92" s="57" t="s">
        <v>6475</v>
      </c>
      <c r="I92" s="80" t="s">
        <v>6212</v>
      </c>
      <c r="J92" s="80" t="s">
        <v>1413</v>
      </c>
    </row>
    <row r="93" spans="1:10" s="80" customFormat="1" ht="19.2">
      <c r="A93" s="132">
        <v>8100202</v>
      </c>
      <c r="B93" s="57" t="s">
        <v>6476</v>
      </c>
      <c r="C93" s="130">
        <v>110002</v>
      </c>
      <c r="D93" s="34">
        <v>1100203</v>
      </c>
      <c r="E93" s="130" t="s">
        <v>5898</v>
      </c>
      <c r="F93" s="131"/>
      <c r="G93" s="34"/>
      <c r="H93" s="57" t="s">
        <v>6477</v>
      </c>
      <c r="I93" s="80" t="s">
        <v>6215</v>
      </c>
      <c r="J93" s="80" t="s">
        <v>1413</v>
      </c>
    </row>
    <row r="94" spans="1:10" s="81" customFormat="1" ht="19.2">
      <c r="A94" s="133">
        <v>8100301</v>
      </c>
      <c r="B94" s="57" t="s">
        <v>6478</v>
      </c>
      <c r="C94" s="99">
        <v>110003</v>
      </c>
      <c r="D94" s="99">
        <v>1100301</v>
      </c>
      <c r="E94" s="99" t="s">
        <v>5898</v>
      </c>
      <c r="F94" s="134"/>
      <c r="G94" s="99"/>
      <c r="H94" s="57" t="s">
        <v>6479</v>
      </c>
      <c r="I94" s="81" t="str">
        <f t="shared" ref="I94:I97" si="0">"tricks/"&amp;A94</f>
        <v>tricks/8100301</v>
      </c>
      <c r="J94" s="154" t="s">
        <v>6218</v>
      </c>
    </row>
    <row r="95" spans="1:10" s="81" customFormat="1" ht="19.2">
      <c r="A95" s="135" t="s">
        <v>6219</v>
      </c>
      <c r="B95" s="57" t="s">
        <v>6480</v>
      </c>
      <c r="C95" s="99">
        <v>110003</v>
      </c>
      <c r="D95" s="99">
        <v>1100303</v>
      </c>
      <c r="E95" s="99" t="s">
        <v>5968</v>
      </c>
      <c r="F95" s="134"/>
      <c r="G95" s="99"/>
      <c r="H95" s="57" t="s">
        <v>6481</v>
      </c>
      <c r="I95" s="81" t="str">
        <f t="shared" si="0"/>
        <v>tricks/8100302</v>
      </c>
      <c r="J95" s="81" t="s">
        <v>6218</v>
      </c>
    </row>
    <row r="96" spans="1:10" s="81" customFormat="1" ht="19.2">
      <c r="A96" s="133">
        <v>8100401</v>
      </c>
      <c r="B96" s="57" t="s">
        <v>6482</v>
      </c>
      <c r="C96" s="99">
        <v>110004</v>
      </c>
      <c r="D96" s="99">
        <v>1100401</v>
      </c>
      <c r="E96" s="99" t="s">
        <v>5968</v>
      </c>
      <c r="F96" s="134"/>
      <c r="G96" s="99"/>
      <c r="H96" s="57" t="s">
        <v>6483</v>
      </c>
      <c r="I96" s="81" t="str">
        <f t="shared" si="0"/>
        <v>tricks/8100401</v>
      </c>
      <c r="J96" s="154" t="s">
        <v>1487</v>
      </c>
    </row>
    <row r="97" spans="1:12" s="81" customFormat="1" ht="19.2">
      <c r="A97" s="135" t="s">
        <v>6224</v>
      </c>
      <c r="B97" s="57" t="s">
        <v>6484</v>
      </c>
      <c r="C97" s="99">
        <v>110004</v>
      </c>
      <c r="D97" s="99">
        <v>1100403</v>
      </c>
      <c r="E97" s="99" t="s">
        <v>5968</v>
      </c>
      <c r="F97" s="134"/>
      <c r="G97" s="99"/>
      <c r="H97" s="57" t="s">
        <v>6485</v>
      </c>
      <c r="I97" s="81" t="str">
        <f t="shared" si="0"/>
        <v>tricks/8100402</v>
      </c>
      <c r="J97" s="154" t="s">
        <v>1487</v>
      </c>
    </row>
    <row r="98" spans="1:12" s="52" customFormat="1" ht="19.2">
      <c r="A98" s="136">
        <v>8110101</v>
      </c>
      <c r="B98" s="57" t="s">
        <v>6486</v>
      </c>
      <c r="C98" s="137">
        <v>111001</v>
      </c>
      <c r="D98" s="138">
        <v>1110101</v>
      </c>
      <c r="E98" s="137" t="s">
        <v>5898</v>
      </c>
      <c r="F98" s="139"/>
      <c r="G98" s="41"/>
      <c r="H98" s="57" t="s">
        <v>6487</v>
      </c>
      <c r="I98" s="52" t="s">
        <v>6229</v>
      </c>
      <c r="J98" s="52" t="s">
        <v>1518</v>
      </c>
    </row>
    <row r="99" spans="1:12" s="52" customFormat="1" ht="19.2">
      <c r="A99" s="140">
        <v>8110102</v>
      </c>
      <c r="B99" s="57" t="s">
        <v>6488</v>
      </c>
      <c r="C99" s="137">
        <v>111001</v>
      </c>
      <c r="D99" s="141">
        <v>1110103</v>
      </c>
      <c r="E99" s="137" t="s">
        <v>5898</v>
      </c>
      <c r="F99" s="139"/>
      <c r="G99" s="41"/>
      <c r="H99" s="57" t="s">
        <v>6489</v>
      </c>
      <c r="I99" s="52" t="s">
        <v>6232</v>
      </c>
      <c r="J99" s="52" t="s">
        <v>1518</v>
      </c>
    </row>
    <row r="100" spans="1:12" s="52" customFormat="1" ht="19.2">
      <c r="A100" s="140">
        <v>8110103</v>
      </c>
      <c r="B100" s="57" t="s">
        <v>6490</v>
      </c>
      <c r="C100" s="137">
        <v>111001</v>
      </c>
      <c r="D100" s="141" t="s">
        <v>6234</v>
      </c>
      <c r="E100" s="137" t="s">
        <v>5898</v>
      </c>
      <c r="F100" s="139"/>
      <c r="G100" s="41"/>
      <c r="H100" s="57" t="s">
        <v>6491</v>
      </c>
      <c r="I100" s="52" t="s">
        <v>6236</v>
      </c>
      <c r="J100" s="52" t="s">
        <v>1518</v>
      </c>
    </row>
    <row r="101" spans="1:12" s="82" customFormat="1" ht="19.2">
      <c r="A101" s="142" t="s">
        <v>6237</v>
      </c>
      <c r="B101" s="57" t="s">
        <v>6492</v>
      </c>
      <c r="C101" s="143">
        <v>112001</v>
      </c>
      <c r="D101" s="144">
        <v>1120101</v>
      </c>
      <c r="E101" s="143" t="s">
        <v>5898</v>
      </c>
      <c r="F101" s="145"/>
      <c r="G101" s="146"/>
      <c r="H101" s="57" t="s">
        <v>6493</v>
      </c>
      <c r="I101" s="82" t="s">
        <v>6240</v>
      </c>
      <c r="J101" s="82" t="s">
        <v>1572</v>
      </c>
      <c r="L101">
        <v>7008100</v>
      </c>
    </row>
    <row r="102" spans="1:12" s="82" customFormat="1" ht="19.2">
      <c r="A102" s="147">
        <v>8120102</v>
      </c>
      <c r="B102" s="57" t="s">
        <v>6494</v>
      </c>
      <c r="C102" s="143">
        <v>112001</v>
      </c>
      <c r="D102" s="148" t="s">
        <v>6242</v>
      </c>
      <c r="E102" s="143" t="s">
        <v>5898</v>
      </c>
      <c r="F102" s="145"/>
      <c r="G102" s="146"/>
      <c r="H102" s="57" t="s">
        <v>6495</v>
      </c>
      <c r="I102" s="82" t="s">
        <v>6244</v>
      </c>
      <c r="J102" s="82" t="s">
        <v>1572</v>
      </c>
    </row>
    <row r="103" spans="1:12" s="82" customFormat="1" ht="19.2">
      <c r="A103" s="147">
        <v>8120103</v>
      </c>
      <c r="B103" s="57" t="s">
        <v>6496</v>
      </c>
      <c r="C103" s="143">
        <v>112001</v>
      </c>
      <c r="D103" s="148" t="s">
        <v>6246</v>
      </c>
      <c r="E103" s="149" t="s">
        <v>5968</v>
      </c>
      <c r="F103" s="145"/>
      <c r="G103" s="146"/>
      <c r="H103" s="57" t="s">
        <v>6497</v>
      </c>
      <c r="I103" s="82" t="s">
        <v>6248</v>
      </c>
      <c r="J103" s="82" t="s">
        <v>1572</v>
      </c>
    </row>
    <row r="104" spans="1:12" ht="19.2">
      <c r="A104" s="150">
        <v>8130101</v>
      </c>
      <c r="B104" s="57" t="s">
        <v>6498</v>
      </c>
      <c r="C104" s="22">
        <v>113001</v>
      </c>
      <c r="D104" s="83" t="s">
        <v>6250</v>
      </c>
      <c r="E104" s="111" t="s">
        <v>5898</v>
      </c>
      <c r="F104" s="92"/>
      <c r="G104" s="1"/>
      <c r="H104" s="57" t="s">
        <v>6499</v>
      </c>
      <c r="I104" s="74" t="s">
        <v>6252</v>
      </c>
      <c r="J104" s="12" t="s">
        <v>1628</v>
      </c>
    </row>
    <row r="105" spans="1:12" ht="19.2">
      <c r="A105" s="150">
        <v>8130102</v>
      </c>
      <c r="B105" s="57" t="s">
        <v>6500</v>
      </c>
      <c r="C105" s="22">
        <v>113001</v>
      </c>
      <c r="D105" s="83" t="s">
        <v>6254</v>
      </c>
      <c r="E105" s="111" t="s">
        <v>5898</v>
      </c>
      <c r="F105" s="92"/>
      <c r="G105" s="1"/>
      <c r="H105" s="57" t="s">
        <v>6501</v>
      </c>
      <c r="I105" s="74" t="s">
        <v>6256</v>
      </c>
      <c r="J105" s="12" t="s">
        <v>1628</v>
      </c>
    </row>
    <row r="106" spans="1:12" ht="19.2">
      <c r="A106" s="150">
        <v>8130103</v>
      </c>
      <c r="B106" s="57" t="s">
        <v>6502</v>
      </c>
      <c r="C106" s="22">
        <v>113001</v>
      </c>
      <c r="D106" s="83" t="s">
        <v>6258</v>
      </c>
      <c r="E106" s="111" t="s">
        <v>5898</v>
      </c>
      <c r="F106" s="92"/>
      <c r="G106" s="1"/>
      <c r="H106" s="57" t="s">
        <v>6503</v>
      </c>
      <c r="I106" s="74" t="s">
        <v>6260</v>
      </c>
      <c r="J106" s="12" t="s">
        <v>1628</v>
      </c>
    </row>
    <row r="107" spans="1:12" ht="19.2">
      <c r="A107" s="150">
        <v>8130201</v>
      </c>
      <c r="B107" s="57" t="s">
        <v>6504</v>
      </c>
      <c r="C107" s="22">
        <v>113002</v>
      </c>
      <c r="D107" s="151" t="s">
        <v>6262</v>
      </c>
      <c r="E107" s="111" t="s">
        <v>5968</v>
      </c>
      <c r="F107" s="92"/>
      <c r="G107" s="1"/>
      <c r="H107" s="57" t="s">
        <v>6505</v>
      </c>
      <c r="I107" s="81" t="str">
        <f>"tricks/"&amp;A107</f>
        <v>tricks/8130201</v>
      </c>
      <c r="J107" s="12" t="s">
        <v>1681</v>
      </c>
    </row>
    <row r="108" spans="1:12" ht="19.2">
      <c r="A108" s="150">
        <v>8130202</v>
      </c>
      <c r="B108" s="57" t="s">
        <v>6506</v>
      </c>
      <c r="C108" s="22">
        <v>113002</v>
      </c>
      <c r="D108" s="83" t="s">
        <v>6265</v>
      </c>
      <c r="E108" s="111" t="s">
        <v>5968</v>
      </c>
      <c r="F108" s="92"/>
      <c r="G108" s="1"/>
      <c r="H108" s="57" t="s">
        <v>6507</v>
      </c>
      <c r="I108" s="81" t="str">
        <f>"tricks/"&amp;A108</f>
        <v>tricks/8130202</v>
      </c>
      <c r="J108" s="12" t="s">
        <v>1681</v>
      </c>
    </row>
    <row r="109" spans="1:12" s="82" customFormat="1" ht="19.2">
      <c r="A109" s="142" t="s">
        <v>6267</v>
      </c>
      <c r="B109" s="57" t="s">
        <v>6508</v>
      </c>
      <c r="C109" s="143">
        <v>114001</v>
      </c>
      <c r="D109" s="144">
        <v>1140101</v>
      </c>
      <c r="E109" s="146" t="s">
        <v>5968</v>
      </c>
      <c r="F109" s="145"/>
      <c r="G109" s="146"/>
      <c r="H109" s="57" t="s">
        <v>6509</v>
      </c>
      <c r="I109" s="82" t="s">
        <v>6270</v>
      </c>
      <c r="J109" s="82" t="s">
        <v>1713</v>
      </c>
      <c r="L109">
        <v>7008100</v>
      </c>
    </row>
    <row r="110" spans="1:12" s="82" customFormat="1" ht="19.2">
      <c r="A110" s="147">
        <v>8140102</v>
      </c>
      <c r="B110" s="57" t="s">
        <v>6510</v>
      </c>
      <c r="C110" s="143">
        <v>114001</v>
      </c>
      <c r="D110" s="148" t="s">
        <v>6272</v>
      </c>
      <c r="E110" s="143" t="s">
        <v>5898</v>
      </c>
      <c r="F110" s="145"/>
      <c r="G110" s="146"/>
      <c r="H110" s="57" t="s">
        <v>6511</v>
      </c>
      <c r="I110" s="82" t="s">
        <v>6274</v>
      </c>
      <c r="J110" s="82" t="s">
        <v>1713</v>
      </c>
    </row>
    <row r="111" spans="1:12" s="82" customFormat="1" ht="19.2">
      <c r="A111" s="147">
        <v>8140103</v>
      </c>
      <c r="B111" s="57" t="s">
        <v>6512</v>
      </c>
      <c r="C111" s="143">
        <v>114001</v>
      </c>
      <c r="D111" s="148" t="s">
        <v>6276</v>
      </c>
      <c r="E111" s="146" t="s">
        <v>5968</v>
      </c>
      <c r="F111" s="145"/>
      <c r="G111" s="146"/>
      <c r="H111" s="57" t="s">
        <v>6513</v>
      </c>
      <c r="I111" s="82" t="s">
        <v>6278</v>
      </c>
      <c r="J111" s="82" t="s">
        <v>1713</v>
      </c>
    </row>
    <row r="112" spans="1:12" ht="19.2">
      <c r="A112" s="150">
        <v>8150101</v>
      </c>
      <c r="B112" s="57" t="s">
        <v>6514</v>
      </c>
      <c r="C112" s="22">
        <v>115001</v>
      </c>
      <c r="D112" s="83">
        <v>1150101</v>
      </c>
      <c r="E112" s="111" t="s">
        <v>5898</v>
      </c>
      <c r="F112" s="92"/>
      <c r="G112" s="1"/>
      <c r="H112" s="57" t="s">
        <v>6515</v>
      </c>
      <c r="I112" s="74" t="s">
        <v>6281</v>
      </c>
      <c r="J112" s="12" t="s">
        <v>1823</v>
      </c>
    </row>
    <row r="113" spans="1:10" ht="19.2">
      <c r="A113" s="150">
        <v>8150102</v>
      </c>
      <c r="B113" s="57" t="s">
        <v>6516</v>
      </c>
      <c r="C113" s="22">
        <v>115001</v>
      </c>
      <c r="D113" s="83" t="s">
        <v>6283</v>
      </c>
      <c r="E113" s="111" t="s">
        <v>5898</v>
      </c>
      <c r="F113" s="92"/>
      <c r="G113" s="1"/>
      <c r="H113" s="57" t="s">
        <v>6517</v>
      </c>
      <c r="I113" s="74" t="s">
        <v>6285</v>
      </c>
      <c r="J113" s="12" t="s">
        <v>1823</v>
      </c>
    </row>
    <row r="114" spans="1:10" ht="19.2">
      <c r="A114" s="150">
        <v>8150103</v>
      </c>
      <c r="B114" s="57" t="s">
        <v>6518</v>
      </c>
      <c r="C114" s="22">
        <v>115001</v>
      </c>
      <c r="D114" s="83" t="s">
        <v>6287</v>
      </c>
      <c r="E114" s="111" t="s">
        <v>5898</v>
      </c>
      <c r="F114" s="92"/>
      <c r="G114" s="1"/>
      <c r="H114" s="57" t="s">
        <v>6519</v>
      </c>
      <c r="I114" s="74" t="s">
        <v>6289</v>
      </c>
      <c r="J114" s="12" t="s">
        <v>1823</v>
      </c>
    </row>
    <row r="115" spans="1:10" s="77" customFormat="1" ht="19.2">
      <c r="A115" s="104">
        <v>8150201</v>
      </c>
      <c r="B115" s="57" t="s">
        <v>6520</v>
      </c>
      <c r="C115" s="152">
        <v>115002</v>
      </c>
      <c r="D115" s="153" t="s">
        <v>6291</v>
      </c>
      <c r="E115" s="104" t="s">
        <v>5898</v>
      </c>
      <c r="F115" s="105"/>
      <c r="G115" s="104"/>
      <c r="H115" s="57" t="s">
        <v>6521</v>
      </c>
      <c r="I115" s="77" t="s">
        <v>6293</v>
      </c>
      <c r="J115" s="77" t="s">
        <v>1827</v>
      </c>
    </row>
    <row r="116" spans="1:10" s="77" customFormat="1" ht="19.2">
      <c r="A116" s="104">
        <v>8150202</v>
      </c>
      <c r="B116" s="57" t="s">
        <v>6522</v>
      </c>
      <c r="C116" s="152">
        <v>115002</v>
      </c>
      <c r="D116" s="105">
        <v>1150205</v>
      </c>
      <c r="E116" s="104" t="s">
        <v>5898</v>
      </c>
      <c r="F116" s="105"/>
      <c r="G116" s="104"/>
      <c r="H116" s="57" t="s">
        <v>6523</v>
      </c>
      <c r="I116" s="77" t="s">
        <v>6296</v>
      </c>
      <c r="J116" s="77" t="s">
        <v>1827</v>
      </c>
    </row>
  </sheetData>
  <phoneticPr fontId="45" type="noConversion"/>
  <conditionalFormatting sqref="C19">
    <cfRule type="duplicateValues" dxfId="25" priority="12"/>
  </conditionalFormatting>
  <conditionalFormatting sqref="C20">
    <cfRule type="duplicateValues" dxfId="24" priority="11"/>
  </conditionalFormatting>
  <conditionalFormatting sqref="B92">
    <cfRule type="duplicateValues" dxfId="23" priority="22"/>
  </conditionalFormatting>
  <conditionalFormatting sqref="D92">
    <cfRule type="duplicateValues" dxfId="22" priority="21"/>
    <cfRule type="duplicateValues" dxfId="21" priority="20"/>
    <cfRule type="duplicateValues" dxfId="20" priority="19"/>
    <cfRule type="duplicateValues" dxfId="19" priority="18"/>
  </conditionalFormatting>
  <conditionalFormatting sqref="B94">
    <cfRule type="duplicateValues" dxfId="18" priority="10"/>
  </conditionalFormatting>
  <conditionalFormatting sqref="D94">
    <cfRule type="duplicateValues" dxfId="17" priority="9"/>
    <cfRule type="duplicateValues" dxfId="16" priority="8"/>
    <cfRule type="duplicateValues" dxfId="15" priority="7"/>
    <cfRule type="duplicateValues" dxfId="14" priority="6"/>
  </conditionalFormatting>
  <conditionalFormatting sqref="B96">
    <cfRule type="duplicateValues" dxfId="13" priority="5"/>
  </conditionalFormatting>
  <conditionalFormatting sqref="D96">
    <cfRule type="duplicateValues" dxfId="12" priority="4"/>
    <cfRule type="duplicateValues" dxfId="11" priority="3"/>
    <cfRule type="duplicateValues" dxfId="10" priority="2"/>
    <cfRule type="duplicateValues" dxfId="9" priority="1"/>
  </conditionalFormatting>
  <conditionalFormatting sqref="B98">
    <cfRule type="duplicateValues" dxfId="8" priority="23"/>
  </conditionalFormatting>
  <conditionalFormatting sqref="B101">
    <cfRule type="duplicateValues" dxfId="7" priority="24"/>
  </conditionalFormatting>
  <conditionalFormatting sqref="B104">
    <cfRule type="duplicateValues" dxfId="6" priority="25"/>
  </conditionalFormatting>
  <conditionalFormatting sqref="B109">
    <cfRule type="duplicateValues" dxfId="5" priority="13"/>
  </conditionalFormatting>
  <conditionalFormatting sqref="A1:A1048576">
    <cfRule type="duplicateValues" dxfId="4" priority="26"/>
  </conditionalFormatting>
  <conditionalFormatting sqref="D93 D95 D97">
    <cfRule type="duplicateValues" dxfId="3" priority="17"/>
    <cfRule type="duplicateValues" dxfId="2" priority="16"/>
    <cfRule type="duplicateValues" dxfId="1" priority="15"/>
    <cfRule type="duplicateValues" dxfId="0" priority="14"/>
  </conditionalFormatting>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selection activeCell="E28" sqref="E28"/>
    </sheetView>
  </sheetViews>
  <sheetFormatPr defaultColWidth="9" defaultRowHeight="14.4"/>
  <cols>
    <col min="1" max="1" width="7.5546875" customWidth="1"/>
    <col min="2" max="2" width="16.109375" customWidth="1"/>
    <col min="3" max="3" width="27.109375" customWidth="1"/>
    <col min="4" max="4" width="50.109375" customWidth="1"/>
    <col min="5" max="5" width="39.77734375" customWidth="1"/>
    <col min="6" max="6" width="40.77734375" customWidth="1"/>
  </cols>
  <sheetData>
    <row r="1" spans="1:6">
      <c r="A1" s="53" t="s">
        <v>6524</v>
      </c>
      <c r="B1" s="53" t="s">
        <v>5341</v>
      </c>
      <c r="C1" s="53" t="s">
        <v>6525</v>
      </c>
      <c r="D1" s="53" t="s">
        <v>6526</v>
      </c>
      <c r="E1" s="53" t="s">
        <v>5348</v>
      </c>
      <c r="F1" s="53" t="s">
        <v>5361</v>
      </c>
    </row>
    <row r="2" spans="1:6">
      <c r="A2" s="54" t="s">
        <v>5353</v>
      </c>
      <c r="B2" s="54" t="s">
        <v>42</v>
      </c>
      <c r="C2" s="54" t="s">
        <v>6527</v>
      </c>
      <c r="D2" s="55" t="s">
        <v>5357</v>
      </c>
      <c r="E2" s="56" t="s">
        <v>5360</v>
      </c>
      <c r="F2" s="56" t="s">
        <v>5361</v>
      </c>
    </row>
    <row r="3" spans="1:6">
      <c r="A3" s="3">
        <v>502000</v>
      </c>
      <c r="B3" s="18" t="s">
        <v>6528</v>
      </c>
      <c r="C3" s="18">
        <v>2</v>
      </c>
      <c r="D3" s="68" t="s">
        <v>6529</v>
      </c>
      <c r="E3" s="9" t="s">
        <v>3283</v>
      </c>
      <c r="F3" s="13" t="s">
        <v>6530</v>
      </c>
    </row>
    <row r="4" spans="1:6" s="52" customFormat="1">
      <c r="A4" s="3">
        <v>503000</v>
      </c>
      <c r="B4" s="60" t="s">
        <v>6531</v>
      </c>
      <c r="C4" s="60">
        <v>3</v>
      </c>
      <c r="D4" s="70" t="s">
        <v>6532</v>
      </c>
      <c r="E4" s="60" t="s">
        <v>6533</v>
      </c>
      <c r="F4" s="13" t="s">
        <v>6534</v>
      </c>
    </row>
    <row r="5" spans="1:6" s="52" customFormat="1" ht="43.2">
      <c r="A5" s="3">
        <v>504000</v>
      </c>
      <c r="B5" s="60" t="s">
        <v>6535</v>
      </c>
      <c r="C5" s="60">
        <v>4</v>
      </c>
      <c r="D5" s="70" t="s">
        <v>6536</v>
      </c>
      <c r="E5" s="72" t="s">
        <v>3322</v>
      </c>
      <c r="F5" s="13" t="s">
        <v>6537</v>
      </c>
    </row>
    <row r="6" spans="1:6">
      <c r="A6" s="3">
        <v>505000</v>
      </c>
      <c r="B6" s="18" t="s">
        <v>6538</v>
      </c>
      <c r="C6" s="18">
        <v>5</v>
      </c>
      <c r="D6" s="68" t="s">
        <v>6539</v>
      </c>
      <c r="E6" s="9" t="s">
        <v>3351</v>
      </c>
      <c r="F6" s="13" t="s">
        <v>6540</v>
      </c>
    </row>
    <row r="7" spans="1:6">
      <c r="A7" s="3">
        <v>501000</v>
      </c>
      <c r="B7" s="18" t="s">
        <v>6541</v>
      </c>
      <c r="C7" s="18">
        <v>1</v>
      </c>
      <c r="D7" s="68" t="s">
        <v>6542</v>
      </c>
      <c r="E7" s="9" t="s">
        <v>3248</v>
      </c>
      <c r="F7" s="13" t="s">
        <v>6543</v>
      </c>
    </row>
    <row r="8" spans="1:6">
      <c r="A8" s="3">
        <v>506000</v>
      </c>
      <c r="B8" s="18" t="s">
        <v>6544</v>
      </c>
      <c r="C8" s="18">
        <v>6</v>
      </c>
      <c r="D8" s="68" t="s">
        <v>6545</v>
      </c>
      <c r="E8" s="9" t="s">
        <v>3376</v>
      </c>
      <c r="F8" s="13" t="s">
        <v>6546</v>
      </c>
    </row>
    <row r="9" spans="1:6">
      <c r="A9" s="3">
        <v>509000</v>
      </c>
      <c r="B9" s="18" t="s">
        <v>6547</v>
      </c>
      <c r="C9" s="18">
        <v>9</v>
      </c>
      <c r="D9" s="68" t="s">
        <v>6548</v>
      </c>
      <c r="E9" s="9" t="s">
        <v>3396</v>
      </c>
      <c r="F9" s="13" t="s">
        <v>6549</v>
      </c>
    </row>
    <row r="10" spans="1:6">
      <c r="A10" s="3">
        <v>510000</v>
      </c>
      <c r="B10" s="18" t="s">
        <v>6550</v>
      </c>
      <c r="C10" s="18">
        <v>10</v>
      </c>
      <c r="D10" s="68" t="s">
        <v>6551</v>
      </c>
      <c r="E10" s="9" t="s">
        <v>3420</v>
      </c>
      <c r="F10" s="13" t="s">
        <v>6552</v>
      </c>
    </row>
    <row r="11" spans="1:6">
      <c r="A11" s="3">
        <v>511000</v>
      </c>
      <c r="B11" s="18" t="s">
        <v>6553</v>
      </c>
      <c r="C11" s="18">
        <v>11</v>
      </c>
      <c r="D11" s="68" t="s">
        <v>6554</v>
      </c>
      <c r="E11" s="9" t="s">
        <v>3442</v>
      </c>
      <c r="F11" s="13" t="s">
        <v>3444</v>
      </c>
    </row>
    <row r="12" spans="1:6">
      <c r="A12" s="3">
        <v>512000</v>
      </c>
      <c r="B12" s="18" t="s">
        <v>6555</v>
      </c>
      <c r="C12" s="18">
        <v>12</v>
      </c>
      <c r="D12" s="68" t="s">
        <v>6556</v>
      </c>
      <c r="E12" s="9" t="s">
        <v>3466</v>
      </c>
      <c r="F12" s="13" t="s">
        <v>3468</v>
      </c>
    </row>
    <row r="13" spans="1:6">
      <c r="A13" s="3">
        <v>513000</v>
      </c>
      <c r="B13" s="18" t="s">
        <v>6557</v>
      </c>
      <c r="C13" s="18">
        <v>13</v>
      </c>
      <c r="D13" s="68" t="s">
        <v>6558</v>
      </c>
      <c r="E13" s="9" t="s">
        <v>3478</v>
      </c>
      <c r="F13" s="13" t="s">
        <v>3480</v>
      </c>
    </row>
    <row r="14" spans="1:6">
      <c r="A14" s="3">
        <v>514000</v>
      </c>
      <c r="B14" s="18" t="s">
        <v>6559</v>
      </c>
      <c r="C14" s="18">
        <v>14</v>
      </c>
      <c r="D14" s="68" t="s">
        <v>6560</v>
      </c>
      <c r="E14" s="9" t="s">
        <v>6561</v>
      </c>
      <c r="F14" s="13" t="s">
        <v>6562</v>
      </c>
    </row>
    <row r="15" spans="1:6">
      <c r="A15" s="3">
        <v>515000</v>
      </c>
      <c r="B15" s="18" t="s">
        <v>6563</v>
      </c>
      <c r="C15" s="18">
        <v>15</v>
      </c>
      <c r="D15" s="68" t="s">
        <v>6564</v>
      </c>
      <c r="E15" s="9" t="s">
        <v>3506</v>
      </c>
      <c r="F15" s="13" t="s">
        <v>3508</v>
      </c>
    </row>
  </sheetData>
  <phoneticPr fontId="45"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topLeftCell="C1" workbookViewId="0">
      <selection activeCell="E20" sqref="E20"/>
    </sheetView>
  </sheetViews>
  <sheetFormatPr defaultColWidth="9" defaultRowHeight="14.4"/>
  <cols>
    <col min="1" max="1" width="7.5546875" customWidth="1"/>
    <col min="2" max="2" width="36.44140625" customWidth="1"/>
    <col min="3" max="3" width="27.109375" customWidth="1"/>
    <col min="4" max="4" width="50.109375" customWidth="1"/>
    <col min="5" max="5" width="78.109375" customWidth="1"/>
    <col min="6" max="6" width="40.77734375" customWidth="1"/>
  </cols>
  <sheetData>
    <row r="1" spans="1:6">
      <c r="A1" s="53" t="s">
        <v>6524</v>
      </c>
      <c r="B1" s="53" t="s">
        <v>5341</v>
      </c>
      <c r="C1" s="53" t="s">
        <v>6525</v>
      </c>
      <c r="D1" s="53" t="s">
        <v>6526</v>
      </c>
      <c r="E1" s="53" t="s">
        <v>5348</v>
      </c>
      <c r="F1" s="53" t="s">
        <v>5361</v>
      </c>
    </row>
    <row r="2" spans="1:6">
      <c r="A2" s="54" t="s">
        <v>5353</v>
      </c>
      <c r="B2" s="54" t="s">
        <v>42</v>
      </c>
      <c r="C2" s="54" t="s">
        <v>6527</v>
      </c>
      <c r="D2" s="55" t="s">
        <v>5357</v>
      </c>
      <c r="E2" s="56" t="s">
        <v>5360</v>
      </c>
      <c r="F2" s="56" t="s">
        <v>5361</v>
      </c>
    </row>
    <row r="3" spans="1:6" ht="57.6">
      <c r="A3" s="3">
        <v>502000</v>
      </c>
      <c r="B3" s="57" t="s">
        <v>6565</v>
      </c>
      <c r="C3" s="18">
        <v>2</v>
      </c>
      <c r="D3" s="68" t="s">
        <v>6529</v>
      </c>
      <c r="E3" s="69" t="s">
        <v>6566</v>
      </c>
      <c r="F3" s="13" t="s">
        <v>6530</v>
      </c>
    </row>
    <row r="4" spans="1:6" s="52" customFormat="1" ht="57.6">
      <c r="A4" s="3">
        <v>503000</v>
      </c>
      <c r="B4" s="57" t="s">
        <v>6567</v>
      </c>
      <c r="C4" s="60">
        <v>3</v>
      </c>
      <c r="D4" s="70" t="s">
        <v>6532</v>
      </c>
      <c r="E4" s="69" t="s">
        <v>6568</v>
      </c>
      <c r="F4" s="13" t="s">
        <v>6534</v>
      </c>
    </row>
    <row r="5" spans="1:6" s="52" customFormat="1" ht="57.6">
      <c r="A5" s="3">
        <v>504000</v>
      </c>
      <c r="B5" s="57" t="s">
        <v>6569</v>
      </c>
      <c r="C5" s="60">
        <v>4</v>
      </c>
      <c r="D5" s="70" t="s">
        <v>6536</v>
      </c>
      <c r="E5" s="69" t="s">
        <v>6570</v>
      </c>
      <c r="F5" s="13" t="s">
        <v>6537</v>
      </c>
    </row>
    <row r="6" spans="1:6" ht="57.6">
      <c r="A6" s="3">
        <v>505000</v>
      </c>
      <c r="B6" s="57" t="s">
        <v>6571</v>
      </c>
      <c r="C6" s="18">
        <v>5</v>
      </c>
      <c r="D6" s="68" t="s">
        <v>6539</v>
      </c>
      <c r="E6" s="69" t="s">
        <v>6572</v>
      </c>
      <c r="F6" s="13" t="s">
        <v>6540</v>
      </c>
    </row>
    <row r="7" spans="1:6" ht="57.6">
      <c r="A7" s="3">
        <v>501000</v>
      </c>
      <c r="B7" s="57" t="s">
        <v>6573</v>
      </c>
      <c r="C7" s="18">
        <v>1</v>
      </c>
      <c r="D7" s="68" t="s">
        <v>6542</v>
      </c>
      <c r="E7" s="69" t="s">
        <v>6574</v>
      </c>
      <c r="F7" s="13" t="s">
        <v>6543</v>
      </c>
    </row>
    <row r="8" spans="1:6" ht="57.6">
      <c r="A8" s="3">
        <v>506000</v>
      </c>
      <c r="B8" s="57" t="s">
        <v>6575</v>
      </c>
      <c r="C8" s="18">
        <v>6</v>
      </c>
      <c r="D8" s="68" t="s">
        <v>6545</v>
      </c>
      <c r="E8" s="69" t="s">
        <v>6576</v>
      </c>
      <c r="F8" s="13" t="s">
        <v>6546</v>
      </c>
    </row>
    <row r="9" spans="1:6" ht="38.4">
      <c r="A9" s="3">
        <v>509000</v>
      </c>
      <c r="B9" s="57" t="s">
        <v>6577</v>
      </c>
      <c r="C9" s="18">
        <v>9</v>
      </c>
      <c r="D9" s="68" t="s">
        <v>6548</v>
      </c>
      <c r="E9" s="69" t="s">
        <v>6578</v>
      </c>
      <c r="F9" s="13" t="s">
        <v>6549</v>
      </c>
    </row>
    <row r="10" spans="1:6" ht="57.6">
      <c r="A10" s="3">
        <v>510000</v>
      </c>
      <c r="B10" s="57" t="s">
        <v>6579</v>
      </c>
      <c r="C10" s="18">
        <v>10</v>
      </c>
      <c r="D10" s="68" t="s">
        <v>6551</v>
      </c>
      <c r="E10" s="69" t="s">
        <v>6580</v>
      </c>
      <c r="F10" s="13" t="s">
        <v>6552</v>
      </c>
    </row>
    <row r="11" spans="1:6" ht="57.6">
      <c r="A11" s="3">
        <v>511000</v>
      </c>
      <c r="B11" s="57" t="s">
        <v>6581</v>
      </c>
      <c r="C11" s="18">
        <v>11</v>
      </c>
      <c r="D11" s="68" t="s">
        <v>6554</v>
      </c>
      <c r="E11" s="69" t="s">
        <v>6582</v>
      </c>
      <c r="F11" s="13" t="s">
        <v>3444</v>
      </c>
    </row>
    <row r="12" spans="1:6" ht="57.6">
      <c r="A12" s="3">
        <v>512000</v>
      </c>
      <c r="B12" s="57" t="s">
        <v>6583</v>
      </c>
      <c r="C12" s="18">
        <v>12</v>
      </c>
      <c r="D12" s="68" t="s">
        <v>6556</v>
      </c>
      <c r="E12" s="69" t="s">
        <v>6584</v>
      </c>
      <c r="F12" s="13" t="s">
        <v>3468</v>
      </c>
    </row>
    <row r="13" spans="1:6" ht="57.6">
      <c r="A13" s="3">
        <v>513000</v>
      </c>
      <c r="B13" s="57" t="s">
        <v>6585</v>
      </c>
      <c r="C13" s="18">
        <v>13</v>
      </c>
      <c r="D13" s="68" t="s">
        <v>6558</v>
      </c>
      <c r="E13" s="69" t="s">
        <v>6586</v>
      </c>
      <c r="F13" s="13" t="s">
        <v>3480</v>
      </c>
    </row>
    <row r="14" spans="1:6" ht="57.6">
      <c r="A14" s="3">
        <v>514000</v>
      </c>
      <c r="B14" s="57" t="s">
        <v>6587</v>
      </c>
      <c r="C14" s="18">
        <v>14</v>
      </c>
      <c r="D14" s="68" t="s">
        <v>6560</v>
      </c>
      <c r="E14" s="69" t="s">
        <v>6588</v>
      </c>
      <c r="F14" s="13" t="s">
        <v>6562</v>
      </c>
    </row>
    <row r="15" spans="1:6" ht="38.4">
      <c r="A15" s="3">
        <v>515000</v>
      </c>
      <c r="B15" s="57" t="s">
        <v>6589</v>
      </c>
      <c r="C15" s="18">
        <v>15</v>
      </c>
      <c r="D15" s="68" t="s">
        <v>6564</v>
      </c>
      <c r="E15" s="69" t="s">
        <v>6590</v>
      </c>
      <c r="F15" s="13" t="s">
        <v>3508</v>
      </c>
    </row>
  </sheetData>
  <phoneticPr fontId="45"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5"/>
  <sheetViews>
    <sheetView workbookViewId="0">
      <selection activeCell="E32" sqref="E32"/>
    </sheetView>
  </sheetViews>
  <sheetFormatPr defaultColWidth="8.88671875" defaultRowHeight="14.4"/>
  <cols>
    <col min="1" max="1" width="7.5546875" customWidth="1"/>
    <col min="2" max="2" width="16.109375" customWidth="1"/>
    <col min="3" max="3" width="27.109375" customWidth="1"/>
    <col min="4" max="4" width="33.6640625" customWidth="1"/>
    <col min="5" max="5" width="51.5546875" style="65" customWidth="1"/>
    <col min="6" max="6" width="40.77734375" customWidth="1"/>
  </cols>
  <sheetData>
    <row r="1" spans="1:6">
      <c r="A1" s="53" t="s">
        <v>6591</v>
      </c>
      <c r="B1" s="53" t="s">
        <v>5341</v>
      </c>
      <c r="C1" s="53" t="s">
        <v>6592</v>
      </c>
      <c r="D1" s="53" t="s">
        <v>6593</v>
      </c>
      <c r="E1" s="66" t="s">
        <v>5348</v>
      </c>
      <c r="F1" s="53" t="s">
        <v>5361</v>
      </c>
    </row>
    <row r="2" spans="1:6">
      <c r="A2" s="54" t="s">
        <v>5353</v>
      </c>
      <c r="B2" s="54" t="s">
        <v>42</v>
      </c>
      <c r="C2" s="54" t="s">
        <v>6527</v>
      </c>
      <c r="D2" s="55" t="s">
        <v>5357</v>
      </c>
      <c r="E2" s="67" t="s">
        <v>5360</v>
      </c>
      <c r="F2" s="56" t="s">
        <v>5361</v>
      </c>
    </row>
    <row r="3" spans="1:6">
      <c r="A3" s="3">
        <v>502010</v>
      </c>
      <c r="B3" s="18" t="s">
        <v>6594</v>
      </c>
      <c r="C3" s="18">
        <v>1</v>
      </c>
      <c r="D3" s="68" t="s">
        <v>6595</v>
      </c>
      <c r="E3" s="1" t="s">
        <v>3273</v>
      </c>
      <c r="F3" t="s">
        <v>3276</v>
      </c>
    </row>
    <row r="4" spans="1:6">
      <c r="A4" s="3">
        <v>503010</v>
      </c>
      <c r="B4" s="18" t="s">
        <v>6596</v>
      </c>
      <c r="C4" s="18">
        <v>2</v>
      </c>
      <c r="D4" s="68" t="s">
        <v>6597</v>
      </c>
      <c r="E4" s="1" t="s">
        <v>3293</v>
      </c>
      <c r="F4" t="s">
        <v>3295</v>
      </c>
    </row>
    <row r="5" spans="1:6" s="52" customFormat="1">
      <c r="A5" s="3">
        <v>504010</v>
      </c>
      <c r="B5" s="60" t="s">
        <v>6598</v>
      </c>
      <c r="C5" s="60">
        <v>3</v>
      </c>
      <c r="D5" s="70" t="s">
        <v>6599</v>
      </c>
      <c r="E5" s="41" t="s">
        <v>3313</v>
      </c>
      <c r="F5" t="s">
        <v>3316</v>
      </c>
    </row>
    <row r="6" spans="1:6" s="52" customFormat="1">
      <c r="A6" s="3">
        <v>505010</v>
      </c>
      <c r="B6" s="60" t="s">
        <v>6600</v>
      </c>
      <c r="C6" s="60">
        <v>4</v>
      </c>
      <c r="D6" s="70" t="s">
        <v>6601</v>
      </c>
      <c r="E6" s="71" t="s">
        <v>3337</v>
      </c>
      <c r="F6" t="s">
        <v>6602</v>
      </c>
    </row>
    <row r="7" spans="1:6">
      <c r="A7" s="3">
        <v>501010</v>
      </c>
      <c r="B7" s="18" t="s">
        <v>6603</v>
      </c>
      <c r="C7" s="18">
        <v>5</v>
      </c>
      <c r="D7" s="68" t="s">
        <v>6604</v>
      </c>
      <c r="E7" s="1" t="s">
        <v>3368</v>
      </c>
      <c r="F7" t="s">
        <v>3370</v>
      </c>
    </row>
    <row r="8" spans="1:6">
      <c r="A8" s="3">
        <v>506010</v>
      </c>
      <c r="B8" s="18" t="s">
        <v>6605</v>
      </c>
      <c r="C8" s="18">
        <v>6</v>
      </c>
      <c r="D8" s="68" t="s">
        <v>6606</v>
      </c>
      <c r="E8" s="1" t="s">
        <v>3388</v>
      </c>
      <c r="F8" t="s">
        <v>3390</v>
      </c>
    </row>
    <row r="9" spans="1:6">
      <c r="A9" s="3">
        <v>509010</v>
      </c>
      <c r="B9" s="18" t="s">
        <v>6607</v>
      </c>
      <c r="C9" s="18">
        <v>9</v>
      </c>
      <c r="D9" s="68" t="s">
        <v>6608</v>
      </c>
      <c r="E9" s="1" t="s">
        <v>3412</v>
      </c>
      <c r="F9" t="s">
        <v>3414</v>
      </c>
    </row>
    <row r="10" spans="1:6">
      <c r="A10" s="3">
        <v>510010</v>
      </c>
      <c r="B10" s="18" t="s">
        <v>6609</v>
      </c>
      <c r="C10" s="18">
        <v>10</v>
      </c>
      <c r="D10" s="68" t="s">
        <v>6610</v>
      </c>
      <c r="E10" s="1" t="s">
        <v>3432</v>
      </c>
      <c r="F10" t="s">
        <v>3434</v>
      </c>
    </row>
    <row r="11" spans="1:6">
      <c r="A11" s="3">
        <v>511010</v>
      </c>
      <c r="B11" s="18" t="s">
        <v>6611</v>
      </c>
      <c r="C11" s="18">
        <v>11</v>
      </c>
      <c r="D11" s="68" t="s">
        <v>6612</v>
      </c>
      <c r="E11" s="1" t="s">
        <v>3457</v>
      </c>
      <c r="F11" t="s">
        <v>3459</v>
      </c>
    </row>
    <row r="12" spans="1:6">
      <c r="A12" s="3">
        <v>512010</v>
      </c>
      <c r="B12" s="18" t="s">
        <v>6613</v>
      </c>
      <c r="C12" s="18">
        <v>12</v>
      </c>
      <c r="D12" s="68" t="s">
        <v>6614</v>
      </c>
      <c r="E12" s="1" t="s">
        <v>6615</v>
      </c>
      <c r="F12" t="s">
        <v>3472</v>
      </c>
    </row>
    <row r="13" spans="1:6">
      <c r="A13" s="3">
        <v>513010</v>
      </c>
      <c r="B13" s="18" t="s">
        <v>6616</v>
      </c>
      <c r="C13" s="18">
        <v>13</v>
      </c>
      <c r="D13" s="68" t="s">
        <v>6617</v>
      </c>
      <c r="E13" s="1" t="s">
        <v>3478</v>
      </c>
      <c r="F13" t="s">
        <v>3489</v>
      </c>
    </row>
    <row r="14" spans="1:6">
      <c r="A14" s="3">
        <v>514010</v>
      </c>
      <c r="B14" s="18" t="s">
        <v>6618</v>
      </c>
      <c r="C14" s="18">
        <v>14</v>
      </c>
      <c r="D14" s="68" t="s">
        <v>6619</v>
      </c>
      <c r="E14" s="1" t="s">
        <v>3499</v>
      </c>
      <c r="F14" t="s">
        <v>3501</v>
      </c>
    </row>
    <row r="15" spans="1:6">
      <c r="A15" s="3">
        <v>515010</v>
      </c>
      <c r="B15" s="18" t="s">
        <v>6620</v>
      </c>
      <c r="C15" s="18">
        <v>15</v>
      </c>
      <c r="D15" s="68" t="s">
        <v>6621</v>
      </c>
      <c r="E15" s="1" t="s">
        <v>3522</v>
      </c>
      <c r="F15" t="s">
        <v>3524</v>
      </c>
    </row>
  </sheetData>
  <phoneticPr fontId="4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5"/>
  <sheetViews>
    <sheetView topLeftCell="A6" workbookViewId="0">
      <selection activeCell="E7" sqref="E7"/>
    </sheetView>
  </sheetViews>
  <sheetFormatPr defaultColWidth="8.88671875" defaultRowHeight="14.4"/>
  <cols>
    <col min="1" max="1" width="7.5546875" customWidth="1"/>
    <col min="2" max="2" width="36.77734375" customWidth="1"/>
    <col min="3" max="3" width="27.109375" customWidth="1"/>
    <col min="4" max="4" width="33.6640625" customWidth="1"/>
    <col min="5" max="5" width="51.5546875" style="65" customWidth="1"/>
    <col min="6" max="6" width="40.77734375" customWidth="1"/>
  </cols>
  <sheetData>
    <row r="1" spans="1:6">
      <c r="A1" s="53" t="s">
        <v>6591</v>
      </c>
      <c r="B1" s="53" t="s">
        <v>5341</v>
      </c>
      <c r="C1" s="53" t="s">
        <v>6592</v>
      </c>
      <c r="D1" s="53" t="s">
        <v>6593</v>
      </c>
      <c r="E1" s="66" t="s">
        <v>5348</v>
      </c>
      <c r="F1" s="53" t="s">
        <v>5361</v>
      </c>
    </row>
    <row r="2" spans="1:6">
      <c r="A2" s="54" t="s">
        <v>5353</v>
      </c>
      <c r="B2" s="54" t="s">
        <v>42</v>
      </c>
      <c r="C2" s="54" t="s">
        <v>6527</v>
      </c>
      <c r="D2" s="55" t="s">
        <v>5357</v>
      </c>
      <c r="E2" s="67" t="s">
        <v>5360</v>
      </c>
      <c r="F2" s="56" t="s">
        <v>5361</v>
      </c>
    </row>
    <row r="3" spans="1:6" ht="57.6">
      <c r="A3" s="3">
        <v>502010</v>
      </c>
      <c r="B3" s="57" t="s">
        <v>6622</v>
      </c>
      <c r="C3" s="18">
        <v>1</v>
      </c>
      <c r="D3" s="68" t="s">
        <v>6595</v>
      </c>
      <c r="E3" s="69" t="s">
        <v>6623</v>
      </c>
      <c r="F3" t="s">
        <v>3276</v>
      </c>
    </row>
    <row r="4" spans="1:6" ht="57.6">
      <c r="A4" s="3">
        <v>503010</v>
      </c>
      <c r="B4" s="57" t="s">
        <v>6624</v>
      </c>
      <c r="C4" s="18">
        <v>2</v>
      </c>
      <c r="D4" s="68" t="s">
        <v>6597</v>
      </c>
      <c r="E4" s="69" t="s">
        <v>6625</v>
      </c>
      <c r="F4" t="s">
        <v>3295</v>
      </c>
    </row>
    <row r="5" spans="1:6" s="52" customFormat="1" ht="57.6">
      <c r="A5" s="3">
        <v>504010</v>
      </c>
      <c r="B5" s="57" t="s">
        <v>6626</v>
      </c>
      <c r="C5" s="60">
        <v>3</v>
      </c>
      <c r="D5" s="70" t="s">
        <v>6599</v>
      </c>
      <c r="E5" s="69" t="s">
        <v>6627</v>
      </c>
      <c r="F5" t="s">
        <v>3316</v>
      </c>
    </row>
    <row r="6" spans="1:6" s="52" customFormat="1" ht="76.8">
      <c r="A6" s="3">
        <v>505010</v>
      </c>
      <c r="B6" s="57" t="s">
        <v>6628</v>
      </c>
      <c r="C6" s="60">
        <v>4</v>
      </c>
      <c r="D6" s="70" t="s">
        <v>6601</v>
      </c>
      <c r="E6" s="69" t="s">
        <v>6629</v>
      </c>
      <c r="F6" t="s">
        <v>6602</v>
      </c>
    </row>
    <row r="7" spans="1:6" ht="57.6">
      <c r="A7" s="3">
        <v>501010</v>
      </c>
      <c r="B7" s="57" t="s">
        <v>6630</v>
      </c>
      <c r="C7" s="18">
        <v>5</v>
      </c>
      <c r="D7" s="68" t="s">
        <v>6604</v>
      </c>
      <c r="E7" s="69" t="s">
        <v>6631</v>
      </c>
      <c r="F7" t="s">
        <v>3370</v>
      </c>
    </row>
    <row r="8" spans="1:6" ht="57.6">
      <c r="A8" s="3">
        <v>506010</v>
      </c>
      <c r="B8" s="57" t="s">
        <v>6632</v>
      </c>
      <c r="C8" s="18">
        <v>6</v>
      </c>
      <c r="D8" s="68" t="s">
        <v>6606</v>
      </c>
      <c r="E8" s="69" t="s">
        <v>6633</v>
      </c>
      <c r="F8" t="s">
        <v>3390</v>
      </c>
    </row>
    <row r="9" spans="1:6" ht="38.4">
      <c r="A9" s="3">
        <v>509010</v>
      </c>
      <c r="B9" s="57" t="s">
        <v>6634</v>
      </c>
      <c r="C9" s="18">
        <v>9</v>
      </c>
      <c r="D9" s="68" t="s">
        <v>6608</v>
      </c>
      <c r="E9" s="69" t="s">
        <v>6635</v>
      </c>
      <c r="F9" t="s">
        <v>3414</v>
      </c>
    </row>
    <row r="10" spans="1:6" ht="57.6">
      <c r="A10" s="3">
        <v>510010</v>
      </c>
      <c r="B10" s="57" t="s">
        <v>6636</v>
      </c>
      <c r="C10" s="18">
        <v>10</v>
      </c>
      <c r="D10" s="68" t="s">
        <v>6610</v>
      </c>
      <c r="E10" s="69" t="s">
        <v>6637</v>
      </c>
      <c r="F10" t="s">
        <v>3434</v>
      </c>
    </row>
    <row r="11" spans="1:6" ht="76.8">
      <c r="A11" s="3">
        <v>511010</v>
      </c>
      <c r="B11" s="57" t="s">
        <v>6638</v>
      </c>
      <c r="C11" s="18">
        <v>11</v>
      </c>
      <c r="D11" s="68" t="s">
        <v>6612</v>
      </c>
      <c r="E11" s="69" t="s">
        <v>6639</v>
      </c>
      <c r="F11" t="s">
        <v>3459</v>
      </c>
    </row>
    <row r="12" spans="1:6" ht="57.6">
      <c r="A12" s="3">
        <v>512010</v>
      </c>
      <c r="B12" s="57" t="s">
        <v>6640</v>
      </c>
      <c r="C12" s="18">
        <v>12</v>
      </c>
      <c r="D12" s="68" t="s">
        <v>6614</v>
      </c>
      <c r="E12" s="69" t="s">
        <v>6641</v>
      </c>
      <c r="F12" t="s">
        <v>3472</v>
      </c>
    </row>
    <row r="13" spans="1:6" ht="76.8">
      <c r="A13" s="3">
        <v>513010</v>
      </c>
      <c r="B13" s="57" t="s">
        <v>6642</v>
      </c>
      <c r="C13" s="18">
        <v>13</v>
      </c>
      <c r="D13" s="68" t="s">
        <v>6617</v>
      </c>
      <c r="E13" s="69" t="s">
        <v>6586</v>
      </c>
      <c r="F13" t="s">
        <v>3489</v>
      </c>
    </row>
    <row r="14" spans="1:6" ht="38.4">
      <c r="A14" s="3">
        <v>514010</v>
      </c>
      <c r="B14" s="57" t="s">
        <v>6643</v>
      </c>
      <c r="C14" s="18">
        <v>14</v>
      </c>
      <c r="D14" s="68" t="s">
        <v>6619</v>
      </c>
      <c r="E14" s="69" t="s">
        <v>6644</v>
      </c>
      <c r="F14" t="s">
        <v>3501</v>
      </c>
    </row>
    <row r="15" spans="1:6" ht="57.6">
      <c r="A15" s="3">
        <v>515010</v>
      </c>
      <c r="B15" s="57" t="s">
        <v>6645</v>
      </c>
      <c r="C15" s="18">
        <v>15</v>
      </c>
      <c r="D15" s="68" t="s">
        <v>6621</v>
      </c>
      <c r="E15" s="69" t="s">
        <v>6646</v>
      </c>
      <c r="F15" t="s">
        <v>3524</v>
      </c>
    </row>
  </sheetData>
  <phoneticPr fontId="4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1"/>
  <sheetViews>
    <sheetView workbookViewId="0">
      <selection activeCell="E24" sqref="A1:XFD1048576"/>
    </sheetView>
  </sheetViews>
  <sheetFormatPr defaultColWidth="9" defaultRowHeight="14.4"/>
  <cols>
    <col min="1" max="2" width="13.6640625" style="18" customWidth="1"/>
    <col min="3" max="3" width="15.21875" style="18" customWidth="1"/>
    <col min="4" max="4" width="37.77734375" style="18" customWidth="1"/>
    <col min="5" max="5" width="21.6640625" style="18" customWidth="1"/>
    <col min="6" max="6" width="16.21875" style="18" customWidth="1"/>
    <col min="7" max="7" width="9" style="18"/>
    <col min="8" max="8" width="22.44140625" style="18" customWidth="1"/>
    <col min="9" max="9" width="15" style="18" customWidth="1"/>
    <col min="10" max="10" width="18.44140625" style="18" customWidth="1"/>
    <col min="11" max="11" width="13" style="18" customWidth="1"/>
    <col min="12" max="16384" width="9" style="18"/>
  </cols>
  <sheetData>
    <row r="1" spans="1:11" s="61" customFormat="1">
      <c r="A1" s="62" t="s">
        <v>6647</v>
      </c>
      <c r="B1" s="62" t="s">
        <v>6648</v>
      </c>
      <c r="C1" s="62" t="s">
        <v>6649</v>
      </c>
      <c r="D1" s="62" t="s">
        <v>6650</v>
      </c>
      <c r="E1" s="62" t="s">
        <v>6651</v>
      </c>
      <c r="F1" s="62" t="s">
        <v>6652</v>
      </c>
      <c r="G1" s="62" t="s">
        <v>6653</v>
      </c>
      <c r="H1" s="62" t="s">
        <v>6654</v>
      </c>
      <c r="I1" s="62" t="s">
        <v>6655</v>
      </c>
      <c r="J1" s="62" t="s">
        <v>6656</v>
      </c>
      <c r="K1" s="62" t="s">
        <v>6657</v>
      </c>
    </row>
    <row r="2" spans="1:11" s="61" customFormat="1">
      <c r="A2" s="61" t="s">
        <v>5903</v>
      </c>
      <c r="B2" s="61" t="s">
        <v>6658</v>
      </c>
      <c r="C2" s="61" t="s">
        <v>6659</v>
      </c>
      <c r="D2" s="54" t="s">
        <v>6660</v>
      </c>
      <c r="E2" s="54"/>
      <c r="F2" s="54"/>
      <c r="G2" s="54"/>
      <c r="K2" s="61" t="s">
        <v>6661</v>
      </c>
    </row>
    <row r="3" spans="1:11">
      <c r="A3" s="18">
        <v>7050101</v>
      </c>
      <c r="B3" s="18" t="s">
        <v>1037</v>
      </c>
      <c r="C3" s="18">
        <v>1050103</v>
      </c>
      <c r="D3" s="18" t="s">
        <v>6662</v>
      </c>
      <c r="E3" s="18" t="s">
        <v>6663</v>
      </c>
      <c r="F3" s="18">
        <v>10</v>
      </c>
      <c r="G3" s="18">
        <v>1</v>
      </c>
      <c r="H3" s="18" t="s">
        <v>6664</v>
      </c>
      <c r="I3" s="18">
        <v>0</v>
      </c>
      <c r="J3" s="18">
        <v>0</v>
      </c>
      <c r="K3" s="18" t="s">
        <v>6665</v>
      </c>
    </row>
    <row r="4" spans="1:11">
      <c r="A4" s="18">
        <v>7050102</v>
      </c>
      <c r="B4" s="18" t="s">
        <v>6666</v>
      </c>
      <c r="C4" s="18">
        <v>1050103</v>
      </c>
      <c r="D4" s="18" t="s">
        <v>6667</v>
      </c>
      <c r="E4" s="18" t="s">
        <v>6663</v>
      </c>
      <c r="F4" s="18">
        <v>10</v>
      </c>
      <c r="G4" s="18">
        <v>1</v>
      </c>
      <c r="H4" s="18" t="s">
        <v>6664</v>
      </c>
      <c r="I4" s="18">
        <v>0</v>
      </c>
      <c r="J4" s="18">
        <v>0</v>
      </c>
      <c r="K4" s="18" t="s">
        <v>6668</v>
      </c>
    </row>
    <row r="6" spans="1:11">
      <c r="D6" s="63"/>
      <c r="E6" s="63"/>
      <c r="F6" s="64"/>
    </row>
    <row r="7" spans="1:11">
      <c r="D7" s="63"/>
      <c r="E7" s="63"/>
      <c r="F7" s="64"/>
    </row>
    <row r="8" spans="1:11">
      <c r="D8" s="64"/>
      <c r="E8" s="64"/>
    </row>
    <row r="9" spans="1:11">
      <c r="D9" s="63"/>
      <c r="E9" s="63"/>
      <c r="F9" s="64"/>
    </row>
    <row r="10" spans="1:11">
      <c r="D10" s="63"/>
      <c r="E10" s="63"/>
      <c r="F10" s="64"/>
    </row>
    <row r="11" spans="1:11">
      <c r="D11" s="63"/>
      <c r="E11" s="63"/>
      <c r="F11" s="64"/>
    </row>
  </sheetData>
  <phoneticPr fontId="45" type="noConversion"/>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6"/>
  <sheetViews>
    <sheetView workbookViewId="0">
      <selection activeCell="C26" sqref="C26"/>
    </sheetView>
  </sheetViews>
  <sheetFormatPr defaultColWidth="8.88671875" defaultRowHeight="14.4"/>
  <cols>
    <col min="1" max="1" width="15.6640625" customWidth="1"/>
    <col min="2" max="2" width="7.5546875" customWidth="1"/>
    <col min="3" max="3" width="78.6640625" customWidth="1"/>
    <col min="4" max="4" width="49.109375" customWidth="1"/>
    <col min="5" max="5" width="40.77734375" customWidth="1"/>
  </cols>
  <sheetData>
    <row r="1" spans="1:5">
      <c r="A1" s="53" t="s">
        <v>6669</v>
      </c>
      <c r="B1" s="53" t="s">
        <v>5341</v>
      </c>
      <c r="C1" s="53" t="s">
        <v>6670</v>
      </c>
      <c r="D1" s="53" t="s">
        <v>5348</v>
      </c>
      <c r="E1" s="53"/>
    </row>
    <row r="2" spans="1:5">
      <c r="A2" s="54" t="s">
        <v>5353</v>
      </c>
      <c r="B2" s="54" t="s">
        <v>42</v>
      </c>
      <c r="C2" s="55" t="s">
        <v>6671</v>
      </c>
      <c r="D2" s="56" t="s">
        <v>5360</v>
      </c>
      <c r="E2" s="56"/>
    </row>
    <row r="3" spans="1:5">
      <c r="A3" s="3">
        <v>900001</v>
      </c>
      <c r="B3" s="18" t="s">
        <v>3221</v>
      </c>
      <c r="C3" s="3">
        <v>9000001</v>
      </c>
      <c r="D3" s="13" t="s">
        <v>3222</v>
      </c>
      <c r="E3" s="13"/>
    </row>
    <row r="4" spans="1:5" s="52" customFormat="1">
      <c r="A4" s="3">
        <v>900002</v>
      </c>
      <c r="B4" s="60" t="s">
        <v>2785</v>
      </c>
      <c r="C4" s="3" t="s">
        <v>6672</v>
      </c>
      <c r="D4" s="58" t="s">
        <v>6673</v>
      </c>
      <c r="E4" s="58"/>
    </row>
    <row r="5" spans="1:5" s="52" customFormat="1">
      <c r="A5" s="3">
        <v>900003</v>
      </c>
      <c r="B5" s="60" t="s">
        <v>3228</v>
      </c>
      <c r="C5" s="3">
        <v>9000003</v>
      </c>
      <c r="D5" s="58" t="s">
        <v>6674</v>
      </c>
      <c r="E5" s="58"/>
    </row>
    <row r="6" spans="1:5">
      <c r="A6" s="3">
        <v>900004</v>
      </c>
      <c r="B6" s="60" t="s">
        <v>3232</v>
      </c>
      <c r="C6" s="3">
        <v>9000004</v>
      </c>
      <c r="D6" s="58" t="s">
        <v>6675</v>
      </c>
    </row>
  </sheetData>
  <phoneticPr fontId="4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6"/>
  <sheetViews>
    <sheetView workbookViewId="0">
      <selection activeCell="D30" sqref="D30"/>
    </sheetView>
  </sheetViews>
  <sheetFormatPr defaultColWidth="8.88671875" defaultRowHeight="14.4"/>
  <cols>
    <col min="1" max="1" width="15.6640625" customWidth="1"/>
    <col min="2" max="2" width="7.5546875" customWidth="1"/>
    <col min="3" max="3" width="78.6640625" customWidth="1"/>
    <col min="4" max="4" width="49.109375" customWidth="1"/>
    <col min="5" max="5" width="40.77734375" customWidth="1"/>
  </cols>
  <sheetData>
    <row r="1" spans="1:5">
      <c r="A1" s="53" t="s">
        <v>6669</v>
      </c>
      <c r="B1" s="53" t="s">
        <v>5341</v>
      </c>
      <c r="C1" s="53" t="s">
        <v>6670</v>
      </c>
      <c r="D1" s="53" t="s">
        <v>5348</v>
      </c>
      <c r="E1" s="53"/>
    </row>
    <row r="2" spans="1:5">
      <c r="A2" s="54" t="s">
        <v>5353</v>
      </c>
      <c r="B2" s="54" t="s">
        <v>42</v>
      </c>
      <c r="C2" s="55" t="s">
        <v>6671</v>
      </c>
      <c r="D2" s="56" t="s">
        <v>5360</v>
      </c>
      <c r="E2" s="56"/>
    </row>
    <row r="3" spans="1:5" ht="19.2">
      <c r="A3" s="3">
        <v>900001</v>
      </c>
      <c r="B3" s="57" t="s">
        <v>5225</v>
      </c>
      <c r="C3" s="3">
        <v>9000001</v>
      </c>
      <c r="D3" s="57" t="s">
        <v>6676</v>
      </c>
      <c r="E3" s="13"/>
    </row>
    <row r="4" spans="1:5" s="52" customFormat="1" ht="19.2">
      <c r="A4" s="3">
        <v>900002</v>
      </c>
      <c r="B4" s="57" t="s">
        <v>5227</v>
      </c>
      <c r="C4" s="3" t="s">
        <v>6672</v>
      </c>
      <c r="D4" s="57" t="s">
        <v>6677</v>
      </c>
      <c r="E4" s="58"/>
    </row>
    <row r="5" spans="1:5" s="52" customFormat="1" ht="19.2">
      <c r="A5" s="3">
        <v>900003</v>
      </c>
      <c r="B5" s="57" t="s">
        <v>5879</v>
      </c>
      <c r="C5" s="3">
        <v>9000003</v>
      </c>
      <c r="D5" s="57" t="s">
        <v>6678</v>
      </c>
      <c r="E5" s="58"/>
    </row>
    <row r="6" spans="1:5" ht="19.2">
      <c r="A6" s="3">
        <v>900004</v>
      </c>
      <c r="B6" s="57" t="s">
        <v>6679</v>
      </c>
      <c r="C6" s="3">
        <v>9000004</v>
      </c>
      <c r="D6" s="59" t="s">
        <v>6680</v>
      </c>
    </row>
  </sheetData>
  <phoneticPr fontId="4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968"/>
  <sheetViews>
    <sheetView topLeftCell="L1" workbookViewId="0">
      <selection activeCell="S2" sqref="S2"/>
    </sheetView>
  </sheetViews>
  <sheetFormatPr defaultColWidth="9" defaultRowHeight="14.4"/>
  <cols>
    <col min="1" max="1" width="17.88671875" style="1" customWidth="1"/>
    <col min="2" max="2" width="15.44140625" style="1" customWidth="1"/>
  </cols>
  <sheetData>
    <row r="1" spans="1:43" ht="28.8">
      <c r="A1" s="2" t="s">
        <v>4</v>
      </c>
      <c r="B1" s="2" t="s">
        <v>6</v>
      </c>
      <c r="G1" s="3" t="s">
        <v>325</v>
      </c>
      <c r="H1" s="3">
        <v>9</v>
      </c>
      <c r="I1" s="3">
        <f>VLOOKUP(G1,$A:$B,2,0)</f>
        <v>2</v>
      </c>
    </row>
    <row r="2" spans="1:43">
      <c r="A2" s="4" t="s">
        <v>46</v>
      </c>
      <c r="B2" s="4" t="s">
        <v>48</v>
      </c>
      <c r="G2" s="3" t="s">
        <v>325</v>
      </c>
      <c r="H2" s="3">
        <v>10</v>
      </c>
      <c r="I2" s="3">
        <f t="shared" ref="I2:I65" si="0">VLOOKUP(G2,$A:$B,2,0)</f>
        <v>2</v>
      </c>
      <c r="N2" s="9" t="s">
        <v>99</v>
      </c>
      <c r="O2" s="9" t="s">
        <v>79</v>
      </c>
      <c r="P2" s="9" t="s">
        <v>5367</v>
      </c>
      <c r="Q2" s="9">
        <v>1</v>
      </c>
      <c r="R2" s="9" t="s">
        <v>5368</v>
      </c>
      <c r="S2" s="9" t="str">
        <f>AE2&amp;";"&amp;AF2&amp;";"&amp;AG2&amp;";"&amp;AH2&amp;";"&amp;AI2&amp;";"&amp;AJ2&amp;";"&amp;AK2&amp;";"&amp;AL2&amp;";"&amp;AM2&amp;";"&amp;AN2&amp;";"&amp;AO2&amp;";"&amp;AP2&amp;";"&amp;AQ2</f>
        <v>1010101_1;1010102;1010103_1;1010104;1010105;1010106;1010107;1010108;1010109;1010110;1010111;1010112;1010113</v>
      </c>
      <c r="AE2" s="9" t="s">
        <v>98</v>
      </c>
      <c r="AF2">
        <v>1010102</v>
      </c>
      <c r="AG2" t="s">
        <v>122</v>
      </c>
      <c r="AH2">
        <v>1010104</v>
      </c>
      <c r="AI2">
        <v>1010105</v>
      </c>
      <c r="AJ2">
        <v>1010106</v>
      </c>
      <c r="AK2">
        <v>1010107</v>
      </c>
      <c r="AL2">
        <v>1010108</v>
      </c>
      <c r="AM2">
        <v>1010109</v>
      </c>
      <c r="AN2">
        <v>1010110</v>
      </c>
      <c r="AO2">
        <v>1010111</v>
      </c>
      <c r="AP2">
        <v>1010112</v>
      </c>
      <c r="AQ2">
        <v>1010113</v>
      </c>
    </row>
    <row r="3" spans="1:43">
      <c r="A3" s="5" t="s">
        <v>79</v>
      </c>
      <c r="B3" s="5">
        <v>1</v>
      </c>
      <c r="G3" s="3" t="s">
        <v>325</v>
      </c>
      <c r="H3" s="3">
        <v>9</v>
      </c>
      <c r="I3" s="3">
        <f t="shared" si="0"/>
        <v>2</v>
      </c>
      <c r="N3" s="9" t="s">
        <v>176</v>
      </c>
      <c r="O3" s="9" t="s">
        <v>79</v>
      </c>
      <c r="P3" s="9" t="s">
        <v>5367</v>
      </c>
      <c r="Q3" s="9">
        <v>1</v>
      </c>
      <c r="R3" s="9" t="s">
        <v>5368</v>
      </c>
      <c r="S3" s="9" t="str">
        <f t="shared" ref="S3:S33" si="1">AE3&amp;";"&amp;AF3&amp;";"&amp;AG3&amp;";"&amp;AH3&amp;";"&amp;AI3&amp;";"&amp;AJ3&amp;";"&amp;AK3&amp;";"&amp;AL3&amp;";"&amp;AM3&amp;";"&amp;AN3&amp;";"&amp;AO3&amp;";"&amp;AP3&amp;";"&amp;AQ3</f>
        <v>1010201;1010202;1010203;1010204;1010205;1010206;1010207;1010208;1010209;1010210;1010211;1010212;1010213</v>
      </c>
      <c r="AE3" s="9">
        <v>1010201</v>
      </c>
      <c r="AF3">
        <v>1010202</v>
      </c>
      <c r="AG3">
        <v>1010203</v>
      </c>
      <c r="AH3">
        <v>1010204</v>
      </c>
      <c r="AI3">
        <v>1010205</v>
      </c>
      <c r="AJ3">
        <v>1010206</v>
      </c>
      <c r="AK3">
        <v>1010207</v>
      </c>
      <c r="AL3">
        <v>1010208</v>
      </c>
      <c r="AM3">
        <v>1010209</v>
      </c>
      <c r="AN3">
        <v>1010210</v>
      </c>
      <c r="AO3">
        <v>1010211</v>
      </c>
      <c r="AP3">
        <v>1010212</v>
      </c>
      <c r="AQ3">
        <v>1010213</v>
      </c>
    </row>
    <row r="4" spans="1:43">
      <c r="A4" s="5" t="s">
        <v>79</v>
      </c>
      <c r="B4" s="5">
        <v>1</v>
      </c>
      <c r="G4" s="3" t="s">
        <v>325</v>
      </c>
      <c r="H4" s="3">
        <v>10</v>
      </c>
      <c r="I4" s="3">
        <f t="shared" si="0"/>
        <v>2</v>
      </c>
      <c r="N4" s="9" t="s">
        <v>234</v>
      </c>
      <c r="O4" s="9" t="s">
        <v>79</v>
      </c>
      <c r="P4" s="9" t="s">
        <v>5379</v>
      </c>
      <c r="Q4" s="9">
        <v>2</v>
      </c>
      <c r="R4" s="9" t="s">
        <v>5368</v>
      </c>
      <c r="S4" s="9" t="str">
        <f t="shared" si="1"/>
        <v>1010301;1010302;1010303;1010304;1010305;1010306;1010307;1010308;1010309;1010310;1010311;1010312;1010313</v>
      </c>
      <c r="AE4" s="9">
        <v>1010301</v>
      </c>
      <c r="AF4">
        <v>1010302</v>
      </c>
      <c r="AG4">
        <v>1010303</v>
      </c>
      <c r="AH4">
        <v>1010304</v>
      </c>
      <c r="AI4">
        <v>1010305</v>
      </c>
      <c r="AJ4">
        <v>1010306</v>
      </c>
      <c r="AK4">
        <v>1010307</v>
      </c>
      <c r="AL4">
        <v>1010308</v>
      </c>
      <c r="AM4">
        <v>1010309</v>
      </c>
      <c r="AN4">
        <v>1010310</v>
      </c>
      <c r="AO4">
        <v>1010311</v>
      </c>
      <c r="AP4">
        <v>1010312</v>
      </c>
      <c r="AQ4">
        <v>1010313</v>
      </c>
    </row>
    <row r="5" spans="1:43">
      <c r="A5" s="6" t="s">
        <v>79</v>
      </c>
      <c r="B5" s="6">
        <v>1</v>
      </c>
      <c r="G5" s="3" t="s">
        <v>325</v>
      </c>
      <c r="H5" s="3">
        <v>9</v>
      </c>
      <c r="I5" s="3">
        <f t="shared" si="0"/>
        <v>2</v>
      </c>
      <c r="N5" s="10" t="s">
        <v>6681</v>
      </c>
      <c r="O5" s="9" t="s">
        <v>79</v>
      </c>
      <c r="P5" s="9" t="s">
        <v>5367</v>
      </c>
      <c r="Q5" s="9">
        <v>2</v>
      </c>
      <c r="R5" s="9" t="s">
        <v>5368</v>
      </c>
      <c r="S5" s="9" t="str">
        <f t="shared" si="1"/>
        <v>1010401;1010402;1010403;1010404;1010405;1010406;1010407;1010408;1010409;1010410;1010411;1010412;1010413</v>
      </c>
      <c r="AE5" s="10">
        <v>1010401</v>
      </c>
      <c r="AF5">
        <v>1010402</v>
      </c>
      <c r="AG5">
        <v>1010403</v>
      </c>
      <c r="AH5">
        <v>1010404</v>
      </c>
      <c r="AI5">
        <v>1010405</v>
      </c>
      <c r="AJ5">
        <v>1010406</v>
      </c>
      <c r="AK5">
        <v>1010407</v>
      </c>
      <c r="AL5">
        <v>1010408</v>
      </c>
      <c r="AM5">
        <v>1010409</v>
      </c>
      <c r="AN5">
        <v>1010410</v>
      </c>
      <c r="AO5">
        <v>1010411</v>
      </c>
      <c r="AP5">
        <v>1010412</v>
      </c>
      <c r="AQ5">
        <v>1010413</v>
      </c>
    </row>
    <row r="6" spans="1:43">
      <c r="A6" s="6" t="s">
        <v>79</v>
      </c>
      <c r="B6" s="6">
        <v>1</v>
      </c>
      <c r="G6" s="3" t="s">
        <v>325</v>
      </c>
      <c r="H6" s="3">
        <v>10</v>
      </c>
      <c r="I6" s="3">
        <f t="shared" si="0"/>
        <v>2</v>
      </c>
      <c r="N6" s="9" t="s">
        <v>338</v>
      </c>
      <c r="O6" s="9" t="s">
        <v>325</v>
      </c>
      <c r="P6" s="9" t="s">
        <v>5367</v>
      </c>
      <c r="Q6" s="9">
        <v>1</v>
      </c>
      <c r="R6" s="9" t="s">
        <v>5387</v>
      </c>
      <c r="S6" s="9" t="str">
        <f t="shared" si="1"/>
        <v>1020201_1;1020202;1020203;1020204;1020205;1020206;1020207;1020208;1020209;1020210;1020211;1020212;1020213</v>
      </c>
      <c r="AE6" s="9" t="s">
        <v>337</v>
      </c>
      <c r="AF6">
        <v>1020202</v>
      </c>
      <c r="AG6">
        <v>1020203</v>
      </c>
      <c r="AH6">
        <v>1020204</v>
      </c>
      <c r="AI6">
        <v>1020205</v>
      </c>
      <c r="AJ6">
        <v>1020206</v>
      </c>
      <c r="AK6">
        <v>1020207</v>
      </c>
      <c r="AL6">
        <v>1020208</v>
      </c>
      <c r="AM6">
        <v>1020209</v>
      </c>
      <c r="AN6">
        <v>1020210</v>
      </c>
      <c r="AO6">
        <v>1020211</v>
      </c>
      <c r="AP6">
        <v>1020212</v>
      </c>
      <c r="AQ6">
        <v>1020213</v>
      </c>
    </row>
    <row r="7" spans="1:43">
      <c r="A7" s="6" t="s">
        <v>79</v>
      </c>
      <c r="B7" s="6">
        <v>1</v>
      </c>
      <c r="G7" s="3" t="s">
        <v>325</v>
      </c>
      <c r="H7" s="3">
        <v>9</v>
      </c>
      <c r="I7" s="3">
        <f t="shared" si="0"/>
        <v>2</v>
      </c>
      <c r="N7" s="9" t="s">
        <v>408</v>
      </c>
      <c r="O7" s="9" t="s">
        <v>325</v>
      </c>
      <c r="P7" s="9" t="s">
        <v>5367</v>
      </c>
      <c r="Q7" s="9">
        <v>1</v>
      </c>
      <c r="R7" s="9" t="s">
        <v>5396</v>
      </c>
      <c r="S7" s="9" t="str">
        <f t="shared" si="1"/>
        <v>1020301;1020302;1020303;1020304;1020305;1020306;1020307;1020308;1020309;1020310;1020311;1020312;1020313</v>
      </c>
      <c r="AE7" s="9">
        <v>1020301</v>
      </c>
      <c r="AF7">
        <v>1020302</v>
      </c>
      <c r="AG7">
        <v>1020303</v>
      </c>
      <c r="AH7">
        <v>1020304</v>
      </c>
      <c r="AI7">
        <v>1020305</v>
      </c>
      <c r="AJ7">
        <v>1020306</v>
      </c>
      <c r="AK7">
        <v>1020307</v>
      </c>
      <c r="AL7">
        <v>1020308</v>
      </c>
      <c r="AM7">
        <v>1020309</v>
      </c>
      <c r="AN7">
        <v>1020310</v>
      </c>
      <c r="AO7">
        <v>1020311</v>
      </c>
      <c r="AP7">
        <v>1020312</v>
      </c>
      <c r="AQ7">
        <v>1020313</v>
      </c>
    </row>
    <row r="8" spans="1:43">
      <c r="A8" s="6" t="s">
        <v>79</v>
      </c>
      <c r="B8" s="6">
        <v>1</v>
      </c>
      <c r="G8" s="3" t="s">
        <v>325</v>
      </c>
      <c r="H8" s="3">
        <v>10</v>
      </c>
      <c r="I8" s="3">
        <f t="shared" si="0"/>
        <v>2</v>
      </c>
      <c r="N8" s="9" t="s">
        <v>465</v>
      </c>
      <c r="O8" s="9" t="s">
        <v>325</v>
      </c>
      <c r="P8" s="9" t="s">
        <v>5401</v>
      </c>
      <c r="Q8" s="9">
        <v>1</v>
      </c>
      <c r="R8" s="9" t="s">
        <v>5402</v>
      </c>
      <c r="S8" s="9" t="str">
        <f t="shared" si="1"/>
        <v>1020401;1020402;1020403;1020404;1020405;1020406;1020407;1020408;1020409;1020410;1020411;1020412;1020413</v>
      </c>
      <c r="AE8" s="9">
        <v>1020401</v>
      </c>
      <c r="AF8">
        <v>1020402</v>
      </c>
      <c r="AG8">
        <v>1020403</v>
      </c>
      <c r="AH8">
        <v>1020404</v>
      </c>
      <c r="AI8">
        <v>1020405</v>
      </c>
      <c r="AJ8">
        <v>1020406</v>
      </c>
      <c r="AK8">
        <v>1020407</v>
      </c>
      <c r="AL8">
        <v>1020408</v>
      </c>
      <c r="AM8">
        <v>1020409</v>
      </c>
      <c r="AN8">
        <v>1020410</v>
      </c>
      <c r="AO8">
        <v>1020411</v>
      </c>
      <c r="AP8">
        <v>1020412</v>
      </c>
      <c r="AQ8">
        <v>1020413</v>
      </c>
    </row>
    <row r="9" spans="1:43">
      <c r="A9" s="6" t="s">
        <v>79</v>
      </c>
      <c r="B9" s="6">
        <v>1</v>
      </c>
      <c r="G9" s="3" t="s">
        <v>325</v>
      </c>
      <c r="H9" s="3">
        <v>9</v>
      </c>
      <c r="I9" s="3">
        <f t="shared" si="0"/>
        <v>2</v>
      </c>
      <c r="N9" s="11" t="s">
        <v>525</v>
      </c>
      <c r="O9" s="9" t="s">
        <v>325</v>
      </c>
      <c r="P9" s="9" t="s">
        <v>5379</v>
      </c>
      <c r="Q9" s="9">
        <v>2</v>
      </c>
      <c r="R9" s="9" t="s">
        <v>5387</v>
      </c>
      <c r="S9" s="9" t="str">
        <f t="shared" si="1"/>
        <v>1020501;1020502;1020503;1020504;1020505;1020506;1020507;1020508;1020509;1020510;1020511;1020512;1020513</v>
      </c>
      <c r="AE9" s="9">
        <v>1020501</v>
      </c>
      <c r="AF9">
        <v>1020502</v>
      </c>
      <c r="AG9">
        <v>1020503</v>
      </c>
      <c r="AH9">
        <v>1020504</v>
      </c>
      <c r="AI9">
        <v>1020505</v>
      </c>
      <c r="AJ9">
        <v>1020506</v>
      </c>
      <c r="AK9">
        <v>1020507</v>
      </c>
      <c r="AL9">
        <v>1020508</v>
      </c>
      <c r="AM9">
        <v>1020509</v>
      </c>
      <c r="AN9">
        <v>1020510</v>
      </c>
      <c r="AO9">
        <v>1020511</v>
      </c>
      <c r="AP9">
        <v>1020512</v>
      </c>
      <c r="AQ9">
        <v>1020513</v>
      </c>
    </row>
    <row r="10" spans="1:43">
      <c r="A10" s="6" t="s">
        <v>79</v>
      </c>
      <c r="B10" s="6">
        <v>1</v>
      </c>
      <c r="G10" s="3" t="s">
        <v>325</v>
      </c>
      <c r="H10" s="3">
        <v>10</v>
      </c>
      <c r="I10" s="3">
        <f t="shared" si="0"/>
        <v>2</v>
      </c>
      <c r="N10" s="12" t="s">
        <v>579</v>
      </c>
      <c r="O10" s="13" t="s">
        <v>325</v>
      </c>
      <c r="P10" s="13" t="s">
        <v>5367</v>
      </c>
      <c r="Q10" s="13">
        <v>1</v>
      </c>
      <c r="R10" s="13" t="s">
        <v>5387</v>
      </c>
      <c r="S10" s="9" t="str">
        <f t="shared" si="1"/>
        <v>1020601;1020602;1020603;1020604;1020605;1020606;1020607;1020608;1020609;1020610;1020611;1020612;1020613</v>
      </c>
      <c r="AE10" s="9">
        <v>1020601</v>
      </c>
      <c r="AF10">
        <v>1020602</v>
      </c>
      <c r="AG10">
        <v>1020603</v>
      </c>
      <c r="AH10">
        <v>1020604</v>
      </c>
      <c r="AI10">
        <v>1020605</v>
      </c>
      <c r="AJ10">
        <v>1020606</v>
      </c>
      <c r="AK10">
        <v>1020607</v>
      </c>
      <c r="AL10">
        <v>1020608</v>
      </c>
      <c r="AM10">
        <v>1020609</v>
      </c>
      <c r="AN10">
        <v>1020610</v>
      </c>
      <c r="AO10">
        <v>1020611</v>
      </c>
      <c r="AP10">
        <v>1020612</v>
      </c>
      <c r="AQ10">
        <v>1020613</v>
      </c>
    </row>
    <row r="11" spans="1:43">
      <c r="A11" s="6" t="s">
        <v>79</v>
      </c>
      <c r="B11" s="6">
        <v>1</v>
      </c>
      <c r="G11" s="3" t="s">
        <v>655</v>
      </c>
      <c r="H11" s="3">
        <v>9</v>
      </c>
      <c r="I11" s="3">
        <f t="shared" si="0"/>
        <v>3</v>
      </c>
      <c r="N11" s="12" t="s">
        <v>6682</v>
      </c>
      <c r="O11" s="13" t="s">
        <v>325</v>
      </c>
      <c r="P11" s="13" t="s">
        <v>5367</v>
      </c>
      <c r="Q11" s="13">
        <v>1</v>
      </c>
      <c r="R11" s="13" t="s">
        <v>5387</v>
      </c>
      <c r="S11" s="9" t="str">
        <f t="shared" si="1"/>
        <v>1020701;1020702;1020703;1020704;1020705;1020706;1020707;1020708;1020709;1020710;1020711;1020712;1020713</v>
      </c>
      <c r="AE11" s="10">
        <v>1020701</v>
      </c>
      <c r="AF11">
        <v>1020702</v>
      </c>
      <c r="AG11">
        <v>1020703</v>
      </c>
      <c r="AH11">
        <v>1020704</v>
      </c>
      <c r="AI11">
        <v>1020705</v>
      </c>
      <c r="AJ11">
        <v>1020706</v>
      </c>
      <c r="AK11">
        <v>1020707</v>
      </c>
      <c r="AL11">
        <v>1020708</v>
      </c>
      <c r="AM11">
        <v>1020709</v>
      </c>
      <c r="AN11">
        <v>1020710</v>
      </c>
      <c r="AO11">
        <v>1020711</v>
      </c>
      <c r="AP11">
        <v>1020712</v>
      </c>
      <c r="AQ11">
        <v>1020713</v>
      </c>
    </row>
    <row r="12" spans="1:43">
      <c r="A12" s="6" t="s">
        <v>79</v>
      </c>
      <c r="B12" s="6">
        <v>1</v>
      </c>
      <c r="G12" s="3" t="s">
        <v>655</v>
      </c>
      <c r="H12" s="3">
        <v>10</v>
      </c>
      <c r="I12" s="3">
        <f t="shared" si="0"/>
        <v>3</v>
      </c>
      <c r="N12" s="11" t="s">
        <v>668</v>
      </c>
      <c r="O12" s="9" t="s">
        <v>655</v>
      </c>
      <c r="P12" s="9" t="s">
        <v>5367</v>
      </c>
      <c r="Q12" s="9">
        <v>1</v>
      </c>
      <c r="R12" s="9" t="s">
        <v>5418</v>
      </c>
      <c r="S12" s="9" t="str">
        <f t="shared" si="1"/>
        <v>1030101;1030102;1030103;1030104;1030105;1030106;1030107;1030108;1030109;1030110;1030111;1030112;1030113</v>
      </c>
      <c r="AE12" s="9">
        <v>1030101</v>
      </c>
      <c r="AF12">
        <v>1030102</v>
      </c>
      <c r="AG12">
        <v>1030103</v>
      </c>
      <c r="AH12">
        <v>1030104</v>
      </c>
      <c r="AI12">
        <v>1030105</v>
      </c>
      <c r="AJ12">
        <v>1030106</v>
      </c>
      <c r="AK12">
        <v>1030107</v>
      </c>
      <c r="AL12">
        <v>1030108</v>
      </c>
      <c r="AM12">
        <v>1030109</v>
      </c>
      <c r="AN12">
        <v>1030110</v>
      </c>
      <c r="AO12">
        <v>1030111</v>
      </c>
      <c r="AP12">
        <v>1030112</v>
      </c>
      <c r="AQ12">
        <v>1030113</v>
      </c>
    </row>
    <row r="13" spans="1:43">
      <c r="A13" s="6" t="s">
        <v>79</v>
      </c>
      <c r="B13" s="6">
        <v>1</v>
      </c>
      <c r="G13" s="3" t="s">
        <v>655</v>
      </c>
      <c r="H13" s="3">
        <v>9</v>
      </c>
      <c r="I13" s="3">
        <f t="shared" si="0"/>
        <v>3</v>
      </c>
      <c r="N13" s="11" t="s">
        <v>722</v>
      </c>
      <c r="O13" s="9" t="s">
        <v>655</v>
      </c>
      <c r="P13" s="9" t="s">
        <v>5425</v>
      </c>
      <c r="Q13" s="9">
        <v>1</v>
      </c>
      <c r="R13" s="9" t="s">
        <v>5418</v>
      </c>
      <c r="S13" s="9" t="str">
        <f t="shared" si="1"/>
        <v>1030201;1030202;1030203;1030204;1030205;1030206;1030207;1030208;1030209;1030210;1030211;1030212;1030213</v>
      </c>
      <c r="AE13" s="9">
        <v>1030201</v>
      </c>
      <c r="AF13">
        <v>1030202</v>
      </c>
      <c r="AG13">
        <v>1030203</v>
      </c>
      <c r="AH13">
        <v>1030204</v>
      </c>
      <c r="AI13">
        <v>1030205</v>
      </c>
      <c r="AJ13">
        <v>1030206</v>
      </c>
      <c r="AK13">
        <v>1030207</v>
      </c>
      <c r="AL13">
        <v>1030208</v>
      </c>
      <c r="AM13">
        <v>1030209</v>
      </c>
      <c r="AN13">
        <v>1030210</v>
      </c>
      <c r="AO13">
        <v>1030211</v>
      </c>
      <c r="AP13">
        <v>1030212</v>
      </c>
      <c r="AQ13">
        <v>1030213</v>
      </c>
    </row>
    <row r="14" spans="1:43">
      <c r="A14" s="6" t="s">
        <v>79</v>
      </c>
      <c r="B14" s="6">
        <v>1</v>
      </c>
      <c r="G14" s="3" t="s">
        <v>655</v>
      </c>
      <c r="H14" s="3">
        <v>10</v>
      </c>
      <c r="I14" s="3">
        <f t="shared" si="0"/>
        <v>3</v>
      </c>
      <c r="N14" s="9" t="s">
        <v>782</v>
      </c>
      <c r="O14" s="9" t="s">
        <v>765</v>
      </c>
      <c r="P14" s="9" t="s">
        <v>5367</v>
      </c>
      <c r="Q14" s="9">
        <v>1</v>
      </c>
      <c r="R14" s="9" t="s">
        <v>5430</v>
      </c>
      <c r="S14" s="9" t="str">
        <f t="shared" si="1"/>
        <v>1040101;1040102;1040103;1040104;1040105;1040106;1040107;1040108;1040109;1040110;1040111;1040112;1040113</v>
      </c>
      <c r="AE14" s="9">
        <v>1040101</v>
      </c>
      <c r="AF14">
        <v>1040102</v>
      </c>
      <c r="AG14">
        <v>1040103</v>
      </c>
      <c r="AH14">
        <v>1040104</v>
      </c>
      <c r="AI14">
        <v>1040105</v>
      </c>
      <c r="AJ14">
        <v>1040106</v>
      </c>
      <c r="AK14">
        <v>1040107</v>
      </c>
      <c r="AL14">
        <v>1040108</v>
      </c>
      <c r="AM14">
        <v>1040109</v>
      </c>
      <c r="AN14">
        <v>1040110</v>
      </c>
      <c r="AO14">
        <v>1040111</v>
      </c>
      <c r="AP14">
        <v>1040112</v>
      </c>
      <c r="AQ14">
        <v>1040113</v>
      </c>
    </row>
    <row r="15" spans="1:43">
      <c r="A15" s="6" t="s">
        <v>79</v>
      </c>
      <c r="B15" s="6">
        <v>1</v>
      </c>
      <c r="G15" s="3" t="s">
        <v>765</v>
      </c>
      <c r="H15" s="3">
        <v>9</v>
      </c>
      <c r="I15" s="3">
        <f t="shared" si="0"/>
        <v>4</v>
      </c>
      <c r="N15" s="11" t="s">
        <v>836</v>
      </c>
      <c r="O15" s="9" t="s">
        <v>765</v>
      </c>
      <c r="P15" s="9" t="s">
        <v>5367</v>
      </c>
      <c r="Q15" s="9">
        <v>1</v>
      </c>
      <c r="R15" s="9" t="s">
        <v>5430</v>
      </c>
      <c r="S15" s="9" t="str">
        <f t="shared" si="1"/>
        <v>1040201;1040202;1040203;1040204;1040205;1040206;1040207;1040208;1040209;1040210;1040211;1040212;1040213</v>
      </c>
      <c r="AE15" s="9">
        <v>1040201</v>
      </c>
      <c r="AF15">
        <v>1040202</v>
      </c>
      <c r="AG15">
        <v>1040203</v>
      </c>
      <c r="AH15">
        <v>1040204</v>
      </c>
      <c r="AI15">
        <v>1040205</v>
      </c>
      <c r="AJ15">
        <v>1040206</v>
      </c>
      <c r="AK15">
        <v>1040207</v>
      </c>
      <c r="AL15">
        <v>1040208</v>
      </c>
      <c r="AM15">
        <v>1040209</v>
      </c>
      <c r="AN15">
        <v>1040210</v>
      </c>
      <c r="AO15">
        <v>1040211</v>
      </c>
      <c r="AP15">
        <v>1040212</v>
      </c>
      <c r="AQ15">
        <v>1040213</v>
      </c>
    </row>
    <row r="16" spans="1:43">
      <c r="A16" s="6" t="s">
        <v>79</v>
      </c>
      <c r="B16" s="6">
        <v>1</v>
      </c>
      <c r="G16" s="3" t="s">
        <v>765</v>
      </c>
      <c r="H16" s="3">
        <v>10</v>
      </c>
      <c r="I16" s="3">
        <f t="shared" si="0"/>
        <v>4</v>
      </c>
      <c r="N16" s="11" t="s">
        <v>897</v>
      </c>
      <c r="O16" s="9" t="s">
        <v>765</v>
      </c>
      <c r="P16" s="9" t="s">
        <v>5367</v>
      </c>
      <c r="Q16" s="9">
        <v>1</v>
      </c>
      <c r="R16" s="9" t="s">
        <v>5430</v>
      </c>
      <c r="S16" s="9" t="str">
        <f t="shared" si="1"/>
        <v>1040301;1040302;1040303;1040304;1040305;1040306;1040307;1040308;1040309;1040310;1040311;1040312;1040313</v>
      </c>
      <c r="AE16" s="9">
        <v>1040301</v>
      </c>
      <c r="AF16">
        <v>1040302</v>
      </c>
      <c r="AG16">
        <v>1040303</v>
      </c>
      <c r="AH16">
        <v>1040304</v>
      </c>
      <c r="AI16">
        <v>1040305</v>
      </c>
      <c r="AJ16">
        <v>1040306</v>
      </c>
      <c r="AK16">
        <v>1040307</v>
      </c>
      <c r="AL16">
        <v>1040308</v>
      </c>
      <c r="AM16">
        <v>1040309</v>
      </c>
      <c r="AN16">
        <v>1040310</v>
      </c>
      <c r="AO16">
        <v>1040311</v>
      </c>
      <c r="AP16">
        <v>1040312</v>
      </c>
      <c r="AQ16">
        <v>1040313</v>
      </c>
    </row>
    <row r="17" spans="1:43">
      <c r="A17" s="6" t="s">
        <v>79</v>
      </c>
      <c r="B17" s="6">
        <v>1</v>
      </c>
      <c r="G17" s="3" t="s">
        <v>765</v>
      </c>
      <c r="H17" s="3">
        <v>9</v>
      </c>
      <c r="I17" s="3">
        <f t="shared" si="0"/>
        <v>4</v>
      </c>
      <c r="N17" s="14" t="s">
        <v>954</v>
      </c>
      <c r="O17" s="9" t="s">
        <v>765</v>
      </c>
      <c r="P17" s="9" t="s">
        <v>5425</v>
      </c>
      <c r="Q17" s="9">
        <v>1</v>
      </c>
      <c r="R17" s="9" t="s">
        <v>5430</v>
      </c>
      <c r="S17" s="9" t="str">
        <f t="shared" si="1"/>
        <v>1040401;1040402;1040403;1040404;1040405;1040406;1040407;1040408;1040409;1040410;1040411;1040412;1040413</v>
      </c>
      <c r="AE17" s="9">
        <v>1040401</v>
      </c>
      <c r="AF17">
        <v>1040402</v>
      </c>
      <c r="AG17">
        <v>1040403</v>
      </c>
      <c r="AH17">
        <v>1040404</v>
      </c>
      <c r="AI17">
        <v>1040405</v>
      </c>
      <c r="AJ17">
        <v>1040406</v>
      </c>
      <c r="AK17">
        <v>1040407</v>
      </c>
      <c r="AL17">
        <v>1040408</v>
      </c>
      <c r="AM17">
        <v>1040409</v>
      </c>
      <c r="AN17">
        <v>1040410</v>
      </c>
      <c r="AO17">
        <v>1040411</v>
      </c>
      <c r="AP17">
        <v>1040412</v>
      </c>
      <c r="AQ17">
        <v>1040413</v>
      </c>
    </row>
    <row r="18" spans="1:43">
      <c r="A18" s="3" t="s">
        <v>79</v>
      </c>
      <c r="B18" s="3">
        <v>1</v>
      </c>
      <c r="G18" s="3" t="s">
        <v>765</v>
      </c>
      <c r="H18" s="3">
        <v>10</v>
      </c>
      <c r="I18" s="3">
        <f t="shared" si="0"/>
        <v>4</v>
      </c>
      <c r="N18" s="9" t="s">
        <v>1024</v>
      </c>
      <c r="O18" s="9" t="s">
        <v>1077</v>
      </c>
      <c r="P18" s="9" t="s">
        <v>5401</v>
      </c>
      <c r="Q18" s="9">
        <v>2</v>
      </c>
      <c r="R18" s="9" t="s">
        <v>5449</v>
      </c>
      <c r="S18" s="9" t="str">
        <f t="shared" si="1"/>
        <v>1050101;1050102;1050103;1050104;1050105;1050106;1050107;1050108;1050109;1050110;1050111;1050112;1050113</v>
      </c>
      <c r="AE18" s="9">
        <v>1050101</v>
      </c>
      <c r="AF18">
        <v>1050102</v>
      </c>
      <c r="AG18">
        <v>1050103</v>
      </c>
      <c r="AH18">
        <v>1050104</v>
      </c>
      <c r="AI18">
        <v>1050105</v>
      </c>
      <c r="AJ18">
        <v>1050106</v>
      </c>
      <c r="AK18">
        <v>1050107</v>
      </c>
      <c r="AL18">
        <v>1050108</v>
      </c>
      <c r="AM18">
        <v>1050109</v>
      </c>
      <c r="AN18">
        <v>1050110</v>
      </c>
      <c r="AO18">
        <v>1050111</v>
      </c>
      <c r="AP18">
        <v>1050112</v>
      </c>
      <c r="AQ18">
        <v>1050113</v>
      </c>
    </row>
    <row r="19" spans="1:43">
      <c r="A19" s="3" t="s">
        <v>79</v>
      </c>
      <c r="B19" s="3">
        <v>1</v>
      </c>
      <c r="G19" s="3" t="s">
        <v>765</v>
      </c>
      <c r="H19" s="3">
        <v>9</v>
      </c>
      <c r="I19" s="3">
        <f t="shared" si="0"/>
        <v>4</v>
      </c>
      <c r="N19" s="15" t="s">
        <v>1081</v>
      </c>
      <c r="O19" s="15" t="s">
        <v>1077</v>
      </c>
      <c r="P19" s="15" t="s">
        <v>5367</v>
      </c>
      <c r="Q19" s="15">
        <v>2</v>
      </c>
      <c r="R19" s="15" t="s">
        <v>5449</v>
      </c>
      <c r="S19" s="9" t="str">
        <f t="shared" si="1"/>
        <v>1050201;1050202;1050203;1050204;1050205;1050206;1050207;1050208;1050209;1050210;1050211;1050212;1050213</v>
      </c>
      <c r="AE19" s="9">
        <v>1050201</v>
      </c>
      <c r="AF19">
        <v>1050202</v>
      </c>
      <c r="AG19">
        <v>1050203</v>
      </c>
      <c r="AH19">
        <v>1050204</v>
      </c>
      <c r="AI19">
        <v>1050205</v>
      </c>
      <c r="AJ19">
        <v>1050206</v>
      </c>
      <c r="AK19">
        <v>1050207</v>
      </c>
      <c r="AL19">
        <v>1050208</v>
      </c>
      <c r="AM19">
        <v>1050209</v>
      </c>
      <c r="AN19">
        <v>1050210</v>
      </c>
      <c r="AO19">
        <v>1050211</v>
      </c>
      <c r="AP19">
        <v>1050212</v>
      </c>
      <c r="AQ19">
        <v>1050213</v>
      </c>
    </row>
    <row r="20" spans="1:43">
      <c r="A20" s="3" t="s">
        <v>79</v>
      </c>
      <c r="B20" s="3">
        <v>1</v>
      </c>
      <c r="G20" s="3" t="s">
        <v>765</v>
      </c>
      <c r="H20" s="3">
        <v>10</v>
      </c>
      <c r="I20" s="3">
        <f t="shared" si="0"/>
        <v>4</v>
      </c>
      <c r="N20" s="9" t="s">
        <v>1142</v>
      </c>
      <c r="O20" s="9" t="s">
        <v>1129</v>
      </c>
      <c r="P20" s="9" t="s">
        <v>5367</v>
      </c>
      <c r="Q20" s="9">
        <v>2</v>
      </c>
      <c r="R20" s="9" t="s">
        <v>5461</v>
      </c>
      <c r="S20" s="9" t="str">
        <f t="shared" si="1"/>
        <v>1060101;1060102;1060103;1060104;1060105;1060106;1060107;1060108;1060109;1060110;1060111;1060112;1060113</v>
      </c>
      <c r="AE20" s="9">
        <v>1060101</v>
      </c>
      <c r="AF20">
        <v>1060102</v>
      </c>
      <c r="AG20">
        <v>1060103</v>
      </c>
      <c r="AH20">
        <v>1060104</v>
      </c>
      <c r="AI20">
        <v>1060105</v>
      </c>
      <c r="AJ20">
        <v>1060106</v>
      </c>
      <c r="AK20">
        <v>1060107</v>
      </c>
      <c r="AL20">
        <v>1060108</v>
      </c>
      <c r="AM20">
        <v>1060109</v>
      </c>
      <c r="AN20">
        <v>1060110</v>
      </c>
      <c r="AO20">
        <v>1060111</v>
      </c>
      <c r="AP20">
        <v>1060112</v>
      </c>
      <c r="AQ20">
        <v>1060113</v>
      </c>
    </row>
    <row r="21" spans="1:43">
      <c r="A21" s="7" t="s">
        <v>79</v>
      </c>
      <c r="B21" s="7">
        <v>1</v>
      </c>
      <c r="G21" s="3" t="s">
        <v>765</v>
      </c>
      <c r="H21" s="3">
        <v>9</v>
      </c>
      <c r="I21" s="3">
        <f t="shared" si="0"/>
        <v>4</v>
      </c>
      <c r="N21" s="10" t="s">
        <v>6683</v>
      </c>
      <c r="O21" s="9" t="s">
        <v>1129</v>
      </c>
      <c r="P21" s="9" t="s">
        <v>5367</v>
      </c>
      <c r="Q21" s="9">
        <v>2</v>
      </c>
      <c r="R21" s="9" t="s">
        <v>5461</v>
      </c>
      <c r="S21" s="9" t="str">
        <f t="shared" si="1"/>
        <v>1060201;1060202;1060203;1060204;1060205;1060206;1060207;1060208;1060209;1060210;1060211;1060212;1060213</v>
      </c>
      <c r="AE21" s="10">
        <v>1060201</v>
      </c>
      <c r="AF21">
        <v>1060202</v>
      </c>
      <c r="AG21">
        <v>1060203</v>
      </c>
      <c r="AH21">
        <v>1060204</v>
      </c>
      <c r="AI21">
        <v>1060205</v>
      </c>
      <c r="AJ21">
        <v>1060206</v>
      </c>
      <c r="AK21">
        <v>1060207</v>
      </c>
      <c r="AL21">
        <v>1060208</v>
      </c>
      <c r="AM21">
        <v>1060209</v>
      </c>
      <c r="AN21">
        <v>1060210</v>
      </c>
      <c r="AO21">
        <v>1060211</v>
      </c>
      <c r="AP21">
        <v>1060212</v>
      </c>
      <c r="AQ21">
        <v>1060213</v>
      </c>
    </row>
    <row r="22" spans="1:43">
      <c r="A22" s="7" t="s">
        <v>79</v>
      </c>
      <c r="B22" s="7">
        <v>1</v>
      </c>
      <c r="G22" s="3" t="s">
        <v>765</v>
      </c>
      <c r="H22" s="3">
        <v>10</v>
      </c>
      <c r="I22" s="3">
        <f t="shared" si="0"/>
        <v>4</v>
      </c>
      <c r="N22" s="11" t="s">
        <v>1240</v>
      </c>
      <c r="O22" s="9" t="s">
        <v>1227</v>
      </c>
      <c r="P22" s="9" t="s">
        <v>5367</v>
      </c>
      <c r="Q22" s="9">
        <v>1</v>
      </c>
      <c r="R22" s="9" t="s">
        <v>5473</v>
      </c>
      <c r="S22" s="9" t="str">
        <f t="shared" si="1"/>
        <v>1090101;1090102;1090103;1090104;1090105;1090106;1090107;1090108;1090109;1090110;1090111;1090112;1090113</v>
      </c>
      <c r="AE22" s="9">
        <v>1090101</v>
      </c>
      <c r="AF22">
        <v>1090102</v>
      </c>
      <c r="AG22">
        <v>1090103</v>
      </c>
      <c r="AH22">
        <v>1090104</v>
      </c>
      <c r="AI22">
        <v>1090105</v>
      </c>
      <c r="AJ22">
        <v>1090106</v>
      </c>
      <c r="AK22">
        <v>1090107</v>
      </c>
      <c r="AL22">
        <v>1090108</v>
      </c>
      <c r="AM22">
        <v>1090109</v>
      </c>
      <c r="AN22">
        <v>1090110</v>
      </c>
      <c r="AO22">
        <v>1090111</v>
      </c>
      <c r="AP22">
        <v>1090112</v>
      </c>
      <c r="AQ22">
        <v>1090113</v>
      </c>
    </row>
    <row r="23" spans="1:43">
      <c r="A23" s="7" t="s">
        <v>79</v>
      </c>
      <c r="B23" s="7">
        <v>1</v>
      </c>
      <c r="G23" s="3" t="s">
        <v>1077</v>
      </c>
      <c r="H23" s="3">
        <v>9</v>
      </c>
      <c r="I23" s="3">
        <f t="shared" si="0"/>
        <v>1</v>
      </c>
      <c r="N23" s="16" t="s">
        <v>1297</v>
      </c>
      <c r="O23" s="15" t="s">
        <v>1227</v>
      </c>
      <c r="P23" s="15" t="s">
        <v>5367</v>
      </c>
      <c r="Q23" s="15">
        <v>1</v>
      </c>
      <c r="R23" s="15" t="s">
        <v>5473</v>
      </c>
      <c r="S23" s="9" t="str">
        <f t="shared" si="1"/>
        <v>1090201;1090202;1090203;1090204;1090205;1090206;1090207;1090208;1090209;1090210;1090211;1090212;1090213</v>
      </c>
      <c r="AE23" s="9">
        <v>1090201</v>
      </c>
      <c r="AF23">
        <v>1090202</v>
      </c>
      <c r="AG23">
        <v>1090203</v>
      </c>
      <c r="AH23">
        <v>1090204</v>
      </c>
      <c r="AI23">
        <v>1090205</v>
      </c>
      <c r="AJ23">
        <v>1090206</v>
      </c>
      <c r="AK23">
        <v>1090207</v>
      </c>
      <c r="AL23">
        <v>1090208</v>
      </c>
      <c r="AM23">
        <v>1090209</v>
      </c>
      <c r="AN23">
        <v>1090210</v>
      </c>
      <c r="AO23">
        <v>1090211</v>
      </c>
      <c r="AP23">
        <v>1090212</v>
      </c>
      <c r="AQ23">
        <v>1090213</v>
      </c>
    </row>
    <row r="24" spans="1:43">
      <c r="A24" s="7" t="s">
        <v>79</v>
      </c>
      <c r="B24" s="7">
        <v>1</v>
      </c>
      <c r="G24" s="3" t="s">
        <v>1077</v>
      </c>
      <c r="H24" s="3">
        <v>10</v>
      </c>
      <c r="I24" s="3">
        <f t="shared" si="0"/>
        <v>1</v>
      </c>
      <c r="N24" s="11" t="s">
        <v>1354</v>
      </c>
      <c r="O24" s="9" t="s">
        <v>1341</v>
      </c>
      <c r="P24" s="9" t="s">
        <v>5367</v>
      </c>
      <c r="Q24" s="9">
        <v>1</v>
      </c>
      <c r="R24" s="9" t="s">
        <v>5485</v>
      </c>
      <c r="S24" s="9" t="str">
        <f t="shared" si="1"/>
        <v>1100101;1100102;1100103;1100104;1100105;1100106;1100107;1100108;1100109;1100110;1100111;1100112;1100113</v>
      </c>
      <c r="AE24" s="9">
        <v>1100101</v>
      </c>
      <c r="AF24">
        <v>1100102</v>
      </c>
      <c r="AG24">
        <v>1100103</v>
      </c>
      <c r="AH24">
        <v>1100104</v>
      </c>
      <c r="AI24">
        <v>1100105</v>
      </c>
      <c r="AJ24">
        <v>1100106</v>
      </c>
      <c r="AK24">
        <v>1100107</v>
      </c>
      <c r="AL24">
        <v>1100108</v>
      </c>
      <c r="AM24">
        <v>1100109</v>
      </c>
      <c r="AN24">
        <v>1100110</v>
      </c>
      <c r="AO24">
        <v>1100111</v>
      </c>
      <c r="AP24">
        <v>1100112</v>
      </c>
      <c r="AQ24">
        <v>1100113</v>
      </c>
    </row>
    <row r="25" spans="1:43">
      <c r="A25" s="7" t="s">
        <v>79</v>
      </c>
      <c r="B25" s="7">
        <v>1</v>
      </c>
      <c r="G25" s="3" t="s">
        <v>1077</v>
      </c>
      <c r="H25" s="3">
        <v>9</v>
      </c>
      <c r="I25" s="3">
        <f t="shared" si="0"/>
        <v>1</v>
      </c>
      <c r="N25" s="16" t="s">
        <v>1413</v>
      </c>
      <c r="O25" s="15" t="s">
        <v>1341</v>
      </c>
      <c r="P25" s="15" t="s">
        <v>5367</v>
      </c>
      <c r="Q25" s="15">
        <v>1</v>
      </c>
      <c r="R25" s="15" t="s">
        <v>5485</v>
      </c>
      <c r="S25" s="9" t="str">
        <f t="shared" si="1"/>
        <v>1100201;1100202;1100203;1100204;1100205;1100206;1100207;1100208;1100209;1100210;1100211;1100212;1100213</v>
      </c>
      <c r="AE25" s="9">
        <v>1100201</v>
      </c>
      <c r="AF25">
        <v>1100202</v>
      </c>
      <c r="AG25">
        <v>1100203</v>
      </c>
      <c r="AH25">
        <v>1100204</v>
      </c>
      <c r="AI25">
        <v>1100205</v>
      </c>
      <c r="AJ25">
        <v>1100206</v>
      </c>
      <c r="AK25">
        <v>1100207</v>
      </c>
      <c r="AL25">
        <v>1100208</v>
      </c>
      <c r="AM25">
        <v>1100209</v>
      </c>
      <c r="AN25">
        <v>1100210</v>
      </c>
      <c r="AO25">
        <v>1100211</v>
      </c>
      <c r="AP25">
        <v>1100212</v>
      </c>
      <c r="AQ25">
        <v>1100213</v>
      </c>
    </row>
    <row r="26" spans="1:43">
      <c r="A26" s="7" t="s">
        <v>79</v>
      </c>
      <c r="B26" s="7">
        <v>1</v>
      </c>
      <c r="G26" s="3" t="s">
        <v>1077</v>
      </c>
      <c r="H26" s="3">
        <v>10</v>
      </c>
      <c r="I26" s="3">
        <f t="shared" si="0"/>
        <v>1</v>
      </c>
      <c r="N26" s="17" t="s">
        <v>6684</v>
      </c>
      <c r="O26" s="18" t="s">
        <v>1341</v>
      </c>
      <c r="P26" s="18" t="s">
        <v>5367</v>
      </c>
      <c r="Q26" s="18">
        <v>1</v>
      </c>
      <c r="R26" s="18" t="s">
        <v>5485</v>
      </c>
      <c r="S26" s="9" t="str">
        <f t="shared" si="1"/>
        <v>1100301;1100302;1100303;1100304;1100305;1100306;1100307;1100308;1100309;1100310;1100311;1100312;1100313</v>
      </c>
      <c r="AE26" s="25">
        <v>1100301</v>
      </c>
      <c r="AF26">
        <v>1100302</v>
      </c>
      <c r="AG26">
        <v>1100303</v>
      </c>
      <c r="AH26">
        <v>1100304</v>
      </c>
      <c r="AI26">
        <v>1100305</v>
      </c>
      <c r="AJ26">
        <v>1100306</v>
      </c>
      <c r="AK26">
        <v>1100307</v>
      </c>
      <c r="AL26">
        <v>1100308</v>
      </c>
      <c r="AM26">
        <v>1100309</v>
      </c>
      <c r="AN26">
        <v>1100310</v>
      </c>
      <c r="AO26">
        <v>1100311</v>
      </c>
      <c r="AP26">
        <v>1100312</v>
      </c>
      <c r="AQ26">
        <v>1100313</v>
      </c>
    </row>
    <row r="27" spans="1:43">
      <c r="A27" s="7" t="s">
        <v>79</v>
      </c>
      <c r="B27" s="7">
        <v>1</v>
      </c>
      <c r="G27" s="3" t="s">
        <v>1129</v>
      </c>
      <c r="H27" s="3">
        <v>9</v>
      </c>
      <c r="I27" s="3">
        <f t="shared" si="0"/>
        <v>6</v>
      </c>
      <c r="N27" s="17" t="s">
        <v>6685</v>
      </c>
      <c r="O27" s="18" t="s">
        <v>1341</v>
      </c>
      <c r="P27" s="18" t="s">
        <v>5367</v>
      </c>
      <c r="Q27" s="18">
        <v>1</v>
      </c>
      <c r="R27" s="18" t="s">
        <v>5485</v>
      </c>
      <c r="S27" s="9" t="str">
        <f t="shared" si="1"/>
        <v>1100401;1100402;1100403;1100404;1100405;1100406;1100407;1100408;1100409;1100410;1100411;1100412;1100413</v>
      </c>
      <c r="AE27" s="25">
        <v>1100401</v>
      </c>
      <c r="AF27">
        <v>1100402</v>
      </c>
      <c r="AG27">
        <v>1100403</v>
      </c>
      <c r="AH27">
        <v>1100404</v>
      </c>
      <c r="AI27">
        <v>1100405</v>
      </c>
      <c r="AJ27">
        <v>1100406</v>
      </c>
      <c r="AK27">
        <v>1100407</v>
      </c>
      <c r="AL27">
        <v>1100408</v>
      </c>
      <c r="AM27">
        <v>1100409</v>
      </c>
      <c r="AN27">
        <v>1100410</v>
      </c>
      <c r="AO27">
        <v>1100411</v>
      </c>
      <c r="AP27">
        <v>1100412</v>
      </c>
      <c r="AQ27">
        <v>1100413</v>
      </c>
    </row>
    <row r="28" spans="1:43">
      <c r="A28" s="7" t="s">
        <v>79</v>
      </c>
      <c r="B28" s="7">
        <v>1</v>
      </c>
      <c r="G28" s="3" t="s">
        <v>1129</v>
      </c>
      <c r="H28" s="3">
        <v>10</v>
      </c>
      <c r="I28" s="3">
        <f t="shared" si="0"/>
        <v>6</v>
      </c>
      <c r="N28" s="12" t="s">
        <v>1518</v>
      </c>
      <c r="O28" s="12" t="s">
        <v>1520</v>
      </c>
      <c r="P28" s="12" t="s">
        <v>5367</v>
      </c>
      <c r="Q28" s="12">
        <v>1</v>
      </c>
      <c r="R28" s="12" t="s">
        <v>5503</v>
      </c>
      <c r="S28" s="9" t="str">
        <f t="shared" si="1"/>
        <v>1110101;1110102;1110103;1110104;1110105;1110106;1110107;1110108;1110109;1110110;1110111;1110112;1110113</v>
      </c>
      <c r="AE28" s="9">
        <v>1110101</v>
      </c>
      <c r="AF28">
        <v>1110102</v>
      </c>
      <c r="AG28">
        <v>1110103</v>
      </c>
      <c r="AH28">
        <v>1110104</v>
      </c>
      <c r="AI28">
        <v>1110105</v>
      </c>
      <c r="AJ28">
        <v>1110106</v>
      </c>
      <c r="AK28">
        <v>1110107</v>
      </c>
      <c r="AL28">
        <v>1110108</v>
      </c>
      <c r="AM28">
        <v>1110109</v>
      </c>
      <c r="AN28">
        <v>1110110</v>
      </c>
      <c r="AO28">
        <v>1110111</v>
      </c>
      <c r="AP28">
        <v>1110112</v>
      </c>
      <c r="AQ28">
        <v>1110113</v>
      </c>
    </row>
    <row r="29" spans="1:43">
      <c r="A29" s="7" t="s">
        <v>79</v>
      </c>
      <c r="B29" s="7">
        <v>1</v>
      </c>
      <c r="G29" s="3" t="s">
        <v>1227</v>
      </c>
      <c r="H29" s="3">
        <v>9</v>
      </c>
      <c r="I29" s="3">
        <f t="shared" si="0"/>
        <v>9</v>
      </c>
      <c r="N29" s="12" t="s">
        <v>1572</v>
      </c>
      <c r="O29" s="13" t="s">
        <v>1574</v>
      </c>
      <c r="P29" s="13" t="s">
        <v>5367</v>
      </c>
      <c r="Q29" s="13">
        <v>1</v>
      </c>
      <c r="R29" s="13" t="s">
        <v>5512</v>
      </c>
      <c r="S29" s="9" t="str">
        <f t="shared" si="1"/>
        <v>1120101;1120102;1120103;1120104;1120105;1120106;1120107;1120108;1120109;1120110;1120111;1120112;1120113</v>
      </c>
      <c r="AE29" s="9">
        <v>1120101</v>
      </c>
      <c r="AF29">
        <v>1120102</v>
      </c>
      <c r="AG29">
        <v>1120103</v>
      </c>
      <c r="AH29">
        <v>1120104</v>
      </c>
      <c r="AI29">
        <v>1120105</v>
      </c>
      <c r="AJ29">
        <v>1120106</v>
      </c>
      <c r="AK29">
        <v>1120107</v>
      </c>
      <c r="AL29">
        <v>1120108</v>
      </c>
      <c r="AM29">
        <v>1120109</v>
      </c>
      <c r="AN29">
        <v>1120110</v>
      </c>
      <c r="AO29">
        <v>1120111</v>
      </c>
      <c r="AP29">
        <v>1120112</v>
      </c>
      <c r="AQ29">
        <v>1120113</v>
      </c>
    </row>
    <row r="30" spans="1:43">
      <c r="A30" s="7" t="s">
        <v>79</v>
      </c>
      <c r="B30" s="7">
        <v>1</v>
      </c>
      <c r="G30" s="3" t="s">
        <v>1227</v>
      </c>
      <c r="H30" s="3">
        <v>10</v>
      </c>
      <c r="I30" s="3">
        <f t="shared" si="0"/>
        <v>9</v>
      </c>
      <c r="N30" s="12" t="s">
        <v>1628</v>
      </c>
      <c r="O30" s="13" t="s">
        <v>1630</v>
      </c>
      <c r="P30" s="13" t="s">
        <v>5526</v>
      </c>
      <c r="Q30" s="13">
        <v>1</v>
      </c>
      <c r="R30" s="13" t="s">
        <v>5521</v>
      </c>
      <c r="S30" s="9" t="str">
        <f t="shared" si="1"/>
        <v>1130101;1130102;1130103;1130104;1130105;1130106;1130107;1130108;1130109;1130110;1130111;1130112;1130113</v>
      </c>
      <c r="AE30" s="9">
        <v>1130101</v>
      </c>
      <c r="AF30">
        <v>1130102</v>
      </c>
      <c r="AG30">
        <v>1130103</v>
      </c>
      <c r="AH30">
        <v>1130104</v>
      </c>
      <c r="AI30">
        <v>1130105</v>
      </c>
      <c r="AJ30">
        <v>1130106</v>
      </c>
      <c r="AK30">
        <v>1130107</v>
      </c>
      <c r="AL30">
        <v>1130108</v>
      </c>
      <c r="AM30">
        <v>1130109</v>
      </c>
      <c r="AN30">
        <v>1130110</v>
      </c>
      <c r="AO30">
        <v>1130111</v>
      </c>
      <c r="AP30">
        <v>1130112</v>
      </c>
      <c r="AQ30">
        <v>1130113</v>
      </c>
    </row>
    <row r="31" spans="1:43">
      <c r="A31" s="3" t="s">
        <v>79</v>
      </c>
      <c r="B31" s="3">
        <v>1</v>
      </c>
      <c r="G31" s="3" t="s">
        <v>1227</v>
      </c>
      <c r="H31" s="3">
        <v>9</v>
      </c>
      <c r="I31" s="3">
        <f t="shared" si="0"/>
        <v>9</v>
      </c>
      <c r="N31" s="12" t="s">
        <v>1713</v>
      </c>
      <c r="O31" s="13" t="s">
        <v>1715</v>
      </c>
      <c r="P31" s="13" t="s">
        <v>5367</v>
      </c>
      <c r="Q31" s="13">
        <v>1</v>
      </c>
      <c r="R31" s="13" t="s">
        <v>5534</v>
      </c>
      <c r="S31" s="9" t="str">
        <f t="shared" si="1"/>
        <v>1140101;1140102;1140103;1140104;1140105;1140106;1140107;1140108;1140109;1140110;1140111;1140112;1140113</v>
      </c>
      <c r="AE31" s="9">
        <v>1140101</v>
      </c>
      <c r="AF31">
        <v>1140102</v>
      </c>
      <c r="AG31">
        <v>1140103</v>
      </c>
      <c r="AH31">
        <v>1140104</v>
      </c>
      <c r="AI31">
        <v>1140105</v>
      </c>
      <c r="AJ31">
        <v>1140106</v>
      </c>
      <c r="AK31">
        <v>1140107</v>
      </c>
      <c r="AL31">
        <v>1140108</v>
      </c>
      <c r="AM31">
        <v>1140109</v>
      </c>
      <c r="AN31">
        <v>1140110</v>
      </c>
      <c r="AO31">
        <v>1140111</v>
      </c>
      <c r="AP31">
        <v>1140112</v>
      </c>
      <c r="AQ31">
        <v>1140113</v>
      </c>
    </row>
    <row r="32" spans="1:43">
      <c r="A32" s="3" t="s">
        <v>79</v>
      </c>
      <c r="B32" s="3">
        <v>1</v>
      </c>
      <c r="G32" s="3" t="s">
        <v>1227</v>
      </c>
      <c r="H32" s="3">
        <v>10</v>
      </c>
      <c r="I32" s="3">
        <f t="shared" si="0"/>
        <v>9</v>
      </c>
      <c r="N32" s="12" t="s">
        <v>1823</v>
      </c>
      <c r="O32" s="13" t="s">
        <v>1770</v>
      </c>
      <c r="P32" s="13" t="s">
        <v>5526</v>
      </c>
      <c r="Q32" s="13">
        <v>2</v>
      </c>
      <c r="R32" s="13" t="s">
        <v>5542</v>
      </c>
      <c r="S32" s="9" t="str">
        <f t="shared" si="1"/>
        <v>1150101;1150102;1150103;1150104;1150105;1150106;1150107;1150108;1150109;1150110;1150111;1150112;1150113</v>
      </c>
      <c r="AE32" s="9">
        <v>1150101</v>
      </c>
      <c r="AF32">
        <v>1150102</v>
      </c>
      <c r="AG32">
        <v>1150103</v>
      </c>
      <c r="AH32">
        <v>1150104</v>
      </c>
      <c r="AI32">
        <v>1150105</v>
      </c>
      <c r="AJ32">
        <v>1150106</v>
      </c>
      <c r="AK32">
        <v>1150107</v>
      </c>
      <c r="AL32">
        <v>1150108</v>
      </c>
      <c r="AM32">
        <v>1150109</v>
      </c>
      <c r="AN32">
        <v>1150110</v>
      </c>
      <c r="AO32">
        <v>1150111</v>
      </c>
      <c r="AP32">
        <v>1150112</v>
      </c>
      <c r="AQ32">
        <v>1150113</v>
      </c>
    </row>
    <row r="33" spans="1:43">
      <c r="A33" s="3" t="s">
        <v>79</v>
      </c>
      <c r="B33" s="3">
        <v>1</v>
      </c>
      <c r="G33" s="3" t="s">
        <v>1341</v>
      </c>
      <c r="H33" s="3">
        <v>9</v>
      </c>
      <c r="I33" s="3">
        <f t="shared" si="0"/>
        <v>10</v>
      </c>
      <c r="N33" s="16" t="s">
        <v>1827</v>
      </c>
      <c r="O33" s="15" t="s">
        <v>1770</v>
      </c>
      <c r="P33" s="15" t="s">
        <v>5367</v>
      </c>
      <c r="Q33" s="15">
        <v>2</v>
      </c>
      <c r="R33" s="15" t="s">
        <v>5542</v>
      </c>
      <c r="S33" s="9" t="str">
        <f t="shared" si="1"/>
        <v>1150201;1150202;1150203;1150204;1150205;1150206;1150207;1150208;1150209;1150210;1150211;1150212;1150213</v>
      </c>
      <c r="AE33" s="9">
        <v>1150201</v>
      </c>
      <c r="AF33">
        <v>1150202</v>
      </c>
      <c r="AG33">
        <v>1150203</v>
      </c>
      <c r="AH33">
        <v>1150204</v>
      </c>
      <c r="AI33">
        <v>1150205</v>
      </c>
      <c r="AJ33">
        <v>1150206</v>
      </c>
      <c r="AK33">
        <v>1150207</v>
      </c>
      <c r="AL33">
        <v>1150208</v>
      </c>
      <c r="AM33">
        <v>1150209</v>
      </c>
      <c r="AN33">
        <v>1150210</v>
      </c>
      <c r="AO33">
        <v>1150211</v>
      </c>
      <c r="AP33">
        <v>1150212</v>
      </c>
      <c r="AQ33">
        <v>1150213</v>
      </c>
    </row>
    <row r="34" spans="1:43">
      <c r="A34" s="8" t="s">
        <v>79</v>
      </c>
      <c r="B34" s="8">
        <v>1</v>
      </c>
      <c r="G34" s="3" t="s">
        <v>1341</v>
      </c>
      <c r="H34" s="3">
        <v>10</v>
      </c>
      <c r="I34" s="3">
        <f t="shared" si="0"/>
        <v>10</v>
      </c>
      <c r="N34" s="19" t="s">
        <v>1872</v>
      </c>
      <c r="O34" s="20" t="s">
        <v>325</v>
      </c>
      <c r="P34" s="20" t="s">
        <v>1872</v>
      </c>
      <c r="Q34" s="15">
        <v>2</v>
      </c>
      <c r="R34" s="9" t="s">
        <v>5387</v>
      </c>
      <c r="S34" s="9"/>
      <c r="AE34" s="9"/>
    </row>
    <row r="35" spans="1:43">
      <c r="A35" s="8" t="s">
        <v>79</v>
      </c>
      <c r="B35" s="8">
        <v>1</v>
      </c>
      <c r="G35" s="3" t="s">
        <v>1341</v>
      </c>
      <c r="H35" s="3">
        <v>9</v>
      </c>
      <c r="I35" s="3">
        <f t="shared" si="0"/>
        <v>10</v>
      </c>
      <c r="N35" s="13" t="s">
        <v>1874</v>
      </c>
      <c r="O35" s="13" t="s">
        <v>1876</v>
      </c>
      <c r="P35" s="13" t="s">
        <v>5401</v>
      </c>
      <c r="Q35" s="13"/>
      <c r="R35" s="13"/>
      <c r="S35" s="9" t="str">
        <f>AE35&amp;";"&amp;AF35&amp;";"&amp;AG35&amp;";"&amp;AH35&amp;";"&amp;AI35&amp;";"&amp;AJ35&amp;";"&amp;AK35&amp;";"&amp;AL35&amp;";"&amp;AM35&amp;";"&amp;AN35&amp;";"&amp;AO35</f>
        <v>2010101;2010102;2010103;2010104;2010105;2010106;2010107;2010108;2010109;2010110;2010111</v>
      </c>
      <c r="AE35" s="9">
        <v>2010101</v>
      </c>
      <c r="AF35">
        <v>2010102</v>
      </c>
      <c r="AG35">
        <v>2010103</v>
      </c>
      <c r="AH35">
        <v>2010104</v>
      </c>
      <c r="AI35">
        <v>2010105</v>
      </c>
      <c r="AJ35">
        <v>2010106</v>
      </c>
      <c r="AK35">
        <v>2010107</v>
      </c>
      <c r="AL35">
        <v>2010108</v>
      </c>
      <c r="AM35">
        <v>2010109</v>
      </c>
      <c r="AN35">
        <v>2010110</v>
      </c>
      <c r="AO35">
        <v>2010111</v>
      </c>
    </row>
    <row r="36" spans="1:43">
      <c r="A36" s="8" t="s">
        <v>79</v>
      </c>
      <c r="B36" s="8">
        <v>1</v>
      </c>
      <c r="G36" s="3" t="s">
        <v>1341</v>
      </c>
      <c r="H36" s="3">
        <v>10</v>
      </c>
      <c r="I36" s="3">
        <f t="shared" si="0"/>
        <v>10</v>
      </c>
      <c r="N36" s="13" t="s">
        <v>1915</v>
      </c>
      <c r="O36" s="13" t="s">
        <v>1876</v>
      </c>
      <c r="P36" s="13" t="s">
        <v>5367</v>
      </c>
      <c r="Q36" s="13"/>
      <c r="R36" s="13"/>
      <c r="S36" s="9" t="str">
        <f t="shared" ref="S36:S69" si="2">AE36&amp;";"&amp;AF36&amp;";"&amp;AG36&amp;";"&amp;AH36&amp;";"&amp;AI36&amp;";"&amp;AJ36&amp;";"&amp;AK36&amp;";"&amp;AL36&amp;";"&amp;AM36&amp;";"&amp;AN36&amp;";"&amp;AO36</f>
        <v>2010201;2010202;2010203;2010204;2010205;2010206;2010207;2010208;2010209;2010210;2010211</v>
      </c>
      <c r="AE36" s="9">
        <v>2010201</v>
      </c>
      <c r="AF36">
        <v>2010202</v>
      </c>
      <c r="AG36">
        <v>2010203</v>
      </c>
      <c r="AH36">
        <v>2010204</v>
      </c>
      <c r="AI36">
        <v>2010205</v>
      </c>
      <c r="AJ36">
        <v>2010206</v>
      </c>
      <c r="AK36">
        <v>2010207</v>
      </c>
      <c r="AL36">
        <v>2010208</v>
      </c>
      <c r="AM36">
        <v>2010209</v>
      </c>
      <c r="AN36">
        <v>2010210</v>
      </c>
      <c r="AO36">
        <v>2010211</v>
      </c>
    </row>
    <row r="37" spans="1:43">
      <c r="A37" s="8" t="s">
        <v>79</v>
      </c>
      <c r="B37" s="8">
        <v>1</v>
      </c>
      <c r="G37" s="3" t="s">
        <v>1520</v>
      </c>
      <c r="H37" s="3">
        <v>9</v>
      </c>
      <c r="I37" s="3">
        <f t="shared" si="0"/>
        <v>11</v>
      </c>
      <c r="N37" s="13" t="s">
        <v>1957</v>
      </c>
      <c r="O37" s="13" t="s">
        <v>1876</v>
      </c>
      <c r="P37" s="13" t="s">
        <v>5367</v>
      </c>
      <c r="Q37" s="13"/>
      <c r="R37" s="13"/>
      <c r="S37" s="9" t="str">
        <f t="shared" si="2"/>
        <v>2010301;2010302;2010303;2010304;2010305;2010306;2010307;2010308;2010309;2010310;2010311</v>
      </c>
      <c r="AE37" s="9">
        <v>2010301</v>
      </c>
      <c r="AF37">
        <v>2010302</v>
      </c>
      <c r="AG37">
        <v>2010303</v>
      </c>
      <c r="AH37">
        <v>2010304</v>
      </c>
      <c r="AI37">
        <v>2010305</v>
      </c>
      <c r="AJ37">
        <v>2010306</v>
      </c>
      <c r="AK37">
        <v>2010307</v>
      </c>
      <c r="AL37">
        <v>2010308</v>
      </c>
      <c r="AM37">
        <v>2010309</v>
      </c>
      <c r="AN37">
        <v>2010310</v>
      </c>
      <c r="AO37">
        <v>2010311</v>
      </c>
    </row>
    <row r="38" spans="1:43">
      <c r="A38" s="8" t="s">
        <v>79</v>
      </c>
      <c r="B38" s="8">
        <v>1</v>
      </c>
      <c r="G38" s="3" t="s">
        <v>1520</v>
      </c>
      <c r="H38" s="3">
        <v>10</v>
      </c>
      <c r="I38" s="3">
        <f t="shared" si="0"/>
        <v>11</v>
      </c>
      <c r="N38" s="21" t="s">
        <v>1994</v>
      </c>
      <c r="O38" s="13" t="s">
        <v>1876</v>
      </c>
      <c r="P38" s="13" t="s">
        <v>5526</v>
      </c>
      <c r="Q38" s="13"/>
      <c r="R38" s="13"/>
      <c r="S38" s="9" t="str">
        <f t="shared" si="2"/>
        <v>2010401;2010402;2010403;2010404;2010405;2010406;2010407;2010408;2010409;2010410;2010411</v>
      </c>
      <c r="AE38" s="9">
        <v>2010401</v>
      </c>
      <c r="AF38">
        <v>2010402</v>
      </c>
      <c r="AG38">
        <v>2010403</v>
      </c>
      <c r="AH38">
        <v>2010404</v>
      </c>
      <c r="AI38">
        <v>2010405</v>
      </c>
      <c r="AJ38">
        <v>2010406</v>
      </c>
      <c r="AK38">
        <v>2010407</v>
      </c>
      <c r="AL38">
        <v>2010408</v>
      </c>
      <c r="AM38">
        <v>2010409</v>
      </c>
      <c r="AN38">
        <v>2010410</v>
      </c>
      <c r="AO38">
        <v>2010411</v>
      </c>
    </row>
    <row r="39" spans="1:43">
      <c r="A39" s="8" t="s">
        <v>79</v>
      </c>
      <c r="B39" s="8">
        <v>1</v>
      </c>
      <c r="G39" s="3" t="s">
        <v>1574</v>
      </c>
      <c r="H39" s="3">
        <v>9</v>
      </c>
      <c r="I39" s="3">
        <f t="shared" si="0"/>
        <v>12</v>
      </c>
      <c r="N39" s="13" t="s">
        <v>2031</v>
      </c>
      <c r="O39" s="13" t="s">
        <v>1876</v>
      </c>
      <c r="P39" s="13" t="s">
        <v>5367</v>
      </c>
      <c r="Q39" s="13"/>
      <c r="R39" s="13"/>
      <c r="S39" s="9" t="str">
        <f t="shared" si="2"/>
        <v>2010501;2010502;2010503;2010504;2010505;2010506;2010507;2010508;2010509;2010510;2010511</v>
      </c>
      <c r="AE39" s="9">
        <v>2010501</v>
      </c>
      <c r="AF39">
        <v>2010502</v>
      </c>
      <c r="AG39">
        <v>2010503</v>
      </c>
      <c r="AH39">
        <v>2010504</v>
      </c>
      <c r="AI39">
        <v>2010505</v>
      </c>
      <c r="AJ39">
        <v>2010506</v>
      </c>
      <c r="AK39">
        <v>2010507</v>
      </c>
      <c r="AL39">
        <v>2010508</v>
      </c>
      <c r="AM39">
        <v>2010509</v>
      </c>
      <c r="AN39">
        <v>2010510</v>
      </c>
      <c r="AO39">
        <v>2010511</v>
      </c>
    </row>
    <row r="40" spans="1:43">
      <c r="A40" s="8" t="s">
        <v>79</v>
      </c>
      <c r="B40" s="8">
        <v>1</v>
      </c>
      <c r="G40" s="3" t="s">
        <v>1574</v>
      </c>
      <c r="H40" s="3">
        <v>10</v>
      </c>
      <c r="I40" s="3">
        <f t="shared" si="0"/>
        <v>12</v>
      </c>
      <c r="N40" s="13" t="s">
        <v>2069</v>
      </c>
      <c r="O40" s="13" t="s">
        <v>1876</v>
      </c>
      <c r="P40" s="13" t="s">
        <v>5401</v>
      </c>
      <c r="Q40" s="13"/>
      <c r="R40" s="13"/>
      <c r="S40" s="9" t="str">
        <f t="shared" si="2"/>
        <v>2010601;2010602;2010603;2010604;2010605;2010606;2010607;2010608;2010609;2010610;2010611</v>
      </c>
      <c r="AE40" s="9">
        <v>2010601</v>
      </c>
      <c r="AF40">
        <v>2010602</v>
      </c>
      <c r="AG40">
        <v>2010603</v>
      </c>
      <c r="AH40">
        <v>2010604</v>
      </c>
      <c r="AI40">
        <v>2010605</v>
      </c>
      <c r="AJ40">
        <v>2010606</v>
      </c>
      <c r="AK40">
        <v>2010607</v>
      </c>
      <c r="AL40">
        <v>2010608</v>
      </c>
      <c r="AM40">
        <v>2010609</v>
      </c>
      <c r="AN40">
        <v>2010610</v>
      </c>
      <c r="AO40">
        <v>2010611</v>
      </c>
    </row>
    <row r="41" spans="1:43">
      <c r="A41" s="8" t="s">
        <v>79</v>
      </c>
      <c r="B41" s="8">
        <v>1</v>
      </c>
      <c r="G41" s="3" t="s">
        <v>1630</v>
      </c>
      <c r="H41" s="3">
        <v>9</v>
      </c>
      <c r="I41" s="3">
        <f t="shared" si="0"/>
        <v>13</v>
      </c>
      <c r="N41" s="12" t="s">
        <v>2107</v>
      </c>
      <c r="O41" s="13" t="s">
        <v>1876</v>
      </c>
      <c r="P41" s="13" t="s">
        <v>5379</v>
      </c>
      <c r="Q41" s="13"/>
      <c r="R41" s="13"/>
      <c r="S41" s="9" t="str">
        <f t="shared" si="2"/>
        <v>2010701;2010702;2010703;2010704;2010705;2010706;2010707;2010708;2010709;2010710;2010711</v>
      </c>
      <c r="AE41" s="9">
        <v>2010701</v>
      </c>
      <c r="AF41">
        <v>2010702</v>
      </c>
      <c r="AG41">
        <v>2010703</v>
      </c>
      <c r="AH41">
        <v>2010704</v>
      </c>
      <c r="AI41">
        <v>2010705</v>
      </c>
      <c r="AJ41">
        <v>2010706</v>
      </c>
      <c r="AK41">
        <v>2010707</v>
      </c>
      <c r="AL41">
        <v>2010708</v>
      </c>
      <c r="AM41">
        <v>2010709</v>
      </c>
      <c r="AN41">
        <v>2010710</v>
      </c>
      <c r="AO41">
        <v>2010711</v>
      </c>
    </row>
    <row r="42" spans="1:43">
      <c r="A42" s="8" t="s">
        <v>79</v>
      </c>
      <c r="B42" s="8">
        <v>1</v>
      </c>
      <c r="G42" s="3" t="s">
        <v>1630</v>
      </c>
      <c r="H42" s="3">
        <v>10</v>
      </c>
      <c r="I42" s="3">
        <f t="shared" si="0"/>
        <v>13</v>
      </c>
      <c r="N42" s="12" t="s">
        <v>2146</v>
      </c>
      <c r="O42" s="13" t="s">
        <v>1876</v>
      </c>
      <c r="P42" s="13" t="s">
        <v>5367</v>
      </c>
      <c r="Q42" s="13"/>
      <c r="R42" s="13"/>
      <c r="S42" s="9" t="str">
        <f t="shared" si="2"/>
        <v>2010801;2010802;2010803;2010804;2010805;2010806;2010807;2010808;2010809;2010810;2010811</v>
      </c>
      <c r="AE42" s="9">
        <v>2010801</v>
      </c>
      <c r="AF42">
        <v>2010802</v>
      </c>
      <c r="AG42">
        <v>2010803</v>
      </c>
      <c r="AH42">
        <v>2010804</v>
      </c>
      <c r="AI42">
        <v>2010805</v>
      </c>
      <c r="AJ42">
        <v>2010806</v>
      </c>
      <c r="AK42">
        <v>2010807</v>
      </c>
      <c r="AL42">
        <v>2010808</v>
      </c>
      <c r="AM42">
        <v>2010809</v>
      </c>
      <c r="AN42">
        <v>2010810</v>
      </c>
      <c r="AO42">
        <v>2010811</v>
      </c>
    </row>
    <row r="43" spans="1:43">
      <c r="A43" s="8" t="s">
        <v>79</v>
      </c>
      <c r="B43" s="8">
        <v>1</v>
      </c>
      <c r="G43" s="3" t="s">
        <v>1715</v>
      </c>
      <c r="H43" s="3">
        <v>9</v>
      </c>
      <c r="I43" s="3">
        <f t="shared" si="0"/>
        <v>14</v>
      </c>
      <c r="N43" s="12" t="s">
        <v>2185</v>
      </c>
      <c r="O43" s="13" t="s">
        <v>1876</v>
      </c>
      <c r="P43" s="13" t="s">
        <v>5367</v>
      </c>
      <c r="Q43" s="13"/>
      <c r="R43" s="13"/>
      <c r="S43" s="9" t="str">
        <f t="shared" si="2"/>
        <v>2010901;2010902;2010903;2010904;2010905;2010906;2010907;2010908;2010909;2010910;2010911</v>
      </c>
      <c r="AE43" s="9">
        <v>2010901</v>
      </c>
      <c r="AF43">
        <v>2010902</v>
      </c>
      <c r="AG43">
        <v>2010903</v>
      </c>
      <c r="AH43">
        <v>2010904</v>
      </c>
      <c r="AI43">
        <v>2010905</v>
      </c>
      <c r="AJ43">
        <v>2010906</v>
      </c>
      <c r="AK43">
        <v>2010907</v>
      </c>
      <c r="AL43">
        <v>2010908</v>
      </c>
      <c r="AM43">
        <v>2010909</v>
      </c>
      <c r="AN43">
        <v>2010910</v>
      </c>
      <c r="AO43">
        <v>2010911</v>
      </c>
    </row>
    <row r="44" spans="1:43">
      <c r="A44" s="3" t="s">
        <v>79</v>
      </c>
      <c r="B44" s="3">
        <v>1</v>
      </c>
      <c r="G44" s="3" t="s">
        <v>1715</v>
      </c>
      <c r="H44" s="3">
        <v>10</v>
      </c>
      <c r="I44" s="3">
        <f t="shared" si="0"/>
        <v>14</v>
      </c>
      <c r="N44" s="12" t="s">
        <v>2224</v>
      </c>
      <c r="O44" s="13" t="s">
        <v>1876</v>
      </c>
      <c r="P44" s="13" t="s">
        <v>5367</v>
      </c>
      <c r="Q44" s="13"/>
      <c r="R44" s="13"/>
      <c r="S44" s="9" t="str">
        <f t="shared" si="2"/>
        <v>2011001;2011002;2011003;2011004;2011005;2011006;2011007;2011008;2011009;2011010;2011011</v>
      </c>
      <c r="AE44" s="9">
        <v>2011001</v>
      </c>
      <c r="AF44">
        <v>2011002</v>
      </c>
      <c r="AG44">
        <v>2011003</v>
      </c>
      <c r="AH44">
        <v>2011004</v>
      </c>
      <c r="AI44">
        <v>2011005</v>
      </c>
      <c r="AJ44">
        <v>2011006</v>
      </c>
      <c r="AK44">
        <v>2011007</v>
      </c>
      <c r="AL44">
        <v>2011008</v>
      </c>
      <c r="AM44">
        <v>2011009</v>
      </c>
      <c r="AN44">
        <v>2011010</v>
      </c>
      <c r="AO44">
        <v>2011011</v>
      </c>
    </row>
    <row r="45" spans="1:43">
      <c r="A45" s="3" t="s">
        <v>79</v>
      </c>
      <c r="B45" s="3">
        <v>1</v>
      </c>
      <c r="G45" s="3" t="s">
        <v>1770</v>
      </c>
      <c r="H45" s="3">
        <v>9</v>
      </c>
      <c r="I45" s="3">
        <f t="shared" si="0"/>
        <v>15</v>
      </c>
      <c r="N45" s="12" t="s">
        <v>2264</v>
      </c>
      <c r="O45" s="13" t="s">
        <v>1876</v>
      </c>
      <c r="P45" s="13" t="s">
        <v>5367</v>
      </c>
      <c r="Q45" s="13"/>
      <c r="R45" s="13"/>
      <c r="S45" s="9" t="str">
        <f t="shared" si="2"/>
        <v>2011101;2011102;2011103;2011104;2011105;2011106;2011107;2011108;2011109;2011110;2011111</v>
      </c>
      <c r="AE45" s="9">
        <v>2011101</v>
      </c>
      <c r="AF45">
        <v>2011102</v>
      </c>
      <c r="AG45">
        <v>2011103</v>
      </c>
      <c r="AH45">
        <v>2011104</v>
      </c>
      <c r="AI45">
        <v>2011105</v>
      </c>
      <c r="AJ45">
        <v>2011106</v>
      </c>
      <c r="AK45">
        <v>2011107</v>
      </c>
      <c r="AL45">
        <v>2011108</v>
      </c>
      <c r="AM45">
        <v>2011109</v>
      </c>
      <c r="AN45">
        <v>2011110</v>
      </c>
      <c r="AO45">
        <v>2011111</v>
      </c>
    </row>
    <row r="46" spans="1:43">
      <c r="A46" s="3" t="s">
        <v>79</v>
      </c>
      <c r="B46" s="3">
        <v>1</v>
      </c>
      <c r="G46" s="3" t="s">
        <v>1770</v>
      </c>
      <c r="H46" s="3">
        <v>10</v>
      </c>
      <c r="I46" s="3">
        <f t="shared" si="0"/>
        <v>15</v>
      </c>
      <c r="N46" s="12" t="s">
        <v>2302</v>
      </c>
      <c r="O46" s="13" t="s">
        <v>1876</v>
      </c>
      <c r="P46" s="13" t="s">
        <v>5367</v>
      </c>
      <c r="Q46" s="13"/>
      <c r="R46" s="13"/>
      <c r="S46" s="9" t="str">
        <f t="shared" si="2"/>
        <v>2011201;2011202;2011203;2011204;2011205;2011206;2011207;2011208;2011209;2011210;2011211</v>
      </c>
      <c r="AE46" s="9">
        <v>2011201</v>
      </c>
      <c r="AF46">
        <v>2011202</v>
      </c>
      <c r="AG46">
        <v>2011203</v>
      </c>
      <c r="AH46">
        <v>2011204</v>
      </c>
      <c r="AI46">
        <v>2011205</v>
      </c>
      <c r="AJ46">
        <v>2011206</v>
      </c>
      <c r="AK46">
        <v>2011207</v>
      </c>
      <c r="AL46">
        <v>2011208</v>
      </c>
      <c r="AM46">
        <v>2011209</v>
      </c>
      <c r="AN46">
        <v>2011210</v>
      </c>
      <c r="AO46">
        <v>2011211</v>
      </c>
    </row>
    <row r="47" spans="1:43">
      <c r="A47" s="8" t="s">
        <v>79</v>
      </c>
      <c r="B47" s="8">
        <v>1</v>
      </c>
      <c r="G47" s="3" t="s">
        <v>1770</v>
      </c>
      <c r="H47" s="3">
        <v>9</v>
      </c>
      <c r="I47" s="3">
        <f t="shared" si="0"/>
        <v>15</v>
      </c>
      <c r="N47" s="13" t="s">
        <v>2340</v>
      </c>
      <c r="O47" s="13" t="s">
        <v>1876</v>
      </c>
      <c r="P47" s="13" t="s">
        <v>5367</v>
      </c>
      <c r="Q47" s="13"/>
      <c r="R47" s="13"/>
      <c r="S47" s="9" t="str">
        <f t="shared" si="2"/>
        <v>2011301;2011302;2011303;2011304;2011305;2011306;2011307;2011308;2011309;2011310;2011311</v>
      </c>
      <c r="AE47" s="9">
        <v>2011301</v>
      </c>
      <c r="AF47">
        <v>2011302</v>
      </c>
      <c r="AG47">
        <v>2011303</v>
      </c>
      <c r="AH47">
        <v>2011304</v>
      </c>
      <c r="AI47">
        <v>2011305</v>
      </c>
      <c r="AJ47">
        <v>2011306</v>
      </c>
      <c r="AK47">
        <v>2011307</v>
      </c>
      <c r="AL47">
        <v>2011308</v>
      </c>
      <c r="AM47">
        <v>2011309</v>
      </c>
      <c r="AN47">
        <v>2011310</v>
      </c>
      <c r="AO47">
        <v>2011311</v>
      </c>
    </row>
    <row r="48" spans="1:43">
      <c r="A48" s="8" t="s">
        <v>79</v>
      </c>
      <c r="B48" s="8">
        <v>1</v>
      </c>
      <c r="G48" s="3" t="s">
        <v>1770</v>
      </c>
      <c r="H48" s="3">
        <v>10</v>
      </c>
      <c r="I48" s="3">
        <f t="shared" si="0"/>
        <v>15</v>
      </c>
      <c r="N48" s="21" t="s">
        <v>2379</v>
      </c>
      <c r="O48" s="13" t="s">
        <v>1876</v>
      </c>
      <c r="P48" s="13" t="s">
        <v>5379</v>
      </c>
      <c r="Q48" s="13"/>
      <c r="R48" s="13"/>
      <c r="S48" s="9" t="str">
        <f t="shared" si="2"/>
        <v>2011401;2011402;2011403;2011404;2011405;2011406;2011407;2011408;2011409;2011410;2011411</v>
      </c>
      <c r="AE48" s="9">
        <v>2011401</v>
      </c>
      <c r="AF48">
        <v>2011402</v>
      </c>
      <c r="AG48">
        <v>2011403</v>
      </c>
      <c r="AH48">
        <v>2011404</v>
      </c>
      <c r="AI48">
        <v>2011405</v>
      </c>
      <c r="AJ48">
        <v>2011406</v>
      </c>
      <c r="AK48">
        <v>2011407</v>
      </c>
      <c r="AL48">
        <v>2011408</v>
      </c>
      <c r="AM48">
        <v>2011409</v>
      </c>
      <c r="AN48">
        <v>2011410</v>
      </c>
      <c r="AO48">
        <v>2011411</v>
      </c>
    </row>
    <row r="49" spans="1:41">
      <c r="A49" s="8" t="s">
        <v>79</v>
      </c>
      <c r="B49" s="8">
        <v>1</v>
      </c>
      <c r="G49" s="3" t="s">
        <v>1876</v>
      </c>
      <c r="H49" s="3">
        <v>9</v>
      </c>
      <c r="I49" s="3">
        <f t="shared" si="0"/>
        <v>1</v>
      </c>
      <c r="N49" s="21" t="s">
        <v>2418</v>
      </c>
      <c r="O49" s="13" t="s">
        <v>1876</v>
      </c>
      <c r="P49" s="13" t="s">
        <v>5367</v>
      </c>
      <c r="Q49" s="13"/>
      <c r="R49" s="13"/>
      <c r="S49" s="9" t="str">
        <f t="shared" si="2"/>
        <v>2011501;2011502;2011503;2011504;2011505;2011506;2011507;2011508;2011509;2011510;2011511</v>
      </c>
      <c r="AE49" s="9">
        <v>2011501</v>
      </c>
      <c r="AF49">
        <v>2011502</v>
      </c>
      <c r="AG49">
        <v>2011503</v>
      </c>
      <c r="AH49">
        <v>2011504</v>
      </c>
      <c r="AI49">
        <v>2011505</v>
      </c>
      <c r="AJ49">
        <v>2011506</v>
      </c>
      <c r="AK49">
        <v>2011507</v>
      </c>
      <c r="AL49">
        <v>2011508</v>
      </c>
      <c r="AM49">
        <v>2011509</v>
      </c>
      <c r="AN49">
        <v>2011510</v>
      </c>
      <c r="AO49">
        <v>2011511</v>
      </c>
    </row>
    <row r="50" spans="1:41">
      <c r="A50" s="8" t="s">
        <v>79</v>
      </c>
      <c r="B50" s="8">
        <v>1</v>
      </c>
      <c r="G50" s="3" t="s">
        <v>1876</v>
      </c>
      <c r="H50" s="3">
        <v>10</v>
      </c>
      <c r="I50" s="3">
        <f t="shared" si="0"/>
        <v>1</v>
      </c>
      <c r="N50" s="22" t="s">
        <v>2454</v>
      </c>
      <c r="O50" s="13" t="s">
        <v>1876</v>
      </c>
      <c r="P50" s="13" t="s">
        <v>5367</v>
      </c>
      <c r="Q50" s="13"/>
      <c r="R50" s="13"/>
      <c r="S50" s="9" t="str">
        <f t="shared" si="2"/>
        <v>2011601;2011602;2011603;2011604;2011605;2011606;2011607;2011608;2011609;2011610;2011611</v>
      </c>
      <c r="AE50" s="9">
        <v>2011601</v>
      </c>
      <c r="AF50">
        <v>2011602</v>
      </c>
      <c r="AG50">
        <v>2011603</v>
      </c>
      <c r="AH50">
        <v>2011604</v>
      </c>
      <c r="AI50">
        <v>2011605</v>
      </c>
      <c r="AJ50">
        <v>2011606</v>
      </c>
      <c r="AK50">
        <v>2011607</v>
      </c>
      <c r="AL50">
        <v>2011608</v>
      </c>
      <c r="AM50">
        <v>2011609</v>
      </c>
      <c r="AN50">
        <v>2011610</v>
      </c>
      <c r="AO50">
        <v>2011611</v>
      </c>
    </row>
    <row r="51" spans="1:41">
      <c r="A51" s="8" t="s">
        <v>79</v>
      </c>
      <c r="B51" s="8">
        <v>1</v>
      </c>
      <c r="G51" s="3" t="s">
        <v>1876</v>
      </c>
      <c r="H51" s="3">
        <v>9</v>
      </c>
      <c r="I51" s="3">
        <f t="shared" si="0"/>
        <v>1</v>
      </c>
      <c r="N51" s="23" t="s">
        <v>2494</v>
      </c>
      <c r="O51" s="13" t="s">
        <v>1876</v>
      </c>
      <c r="P51" s="13" t="s">
        <v>5526</v>
      </c>
      <c r="Q51" s="13"/>
      <c r="R51" s="13"/>
      <c r="S51" s="9" t="str">
        <f t="shared" si="2"/>
        <v>2011701;2011702;2011703;2011704;2011705;2011706;2011707;2011708;2011709;2011710;2011711</v>
      </c>
      <c r="AE51" s="9">
        <v>2011701</v>
      </c>
      <c r="AF51">
        <v>2011702</v>
      </c>
      <c r="AG51">
        <v>2011703</v>
      </c>
      <c r="AH51">
        <v>2011704</v>
      </c>
      <c r="AI51">
        <v>2011705</v>
      </c>
      <c r="AJ51">
        <v>2011706</v>
      </c>
      <c r="AK51">
        <v>2011707</v>
      </c>
      <c r="AL51">
        <v>2011708</v>
      </c>
      <c r="AM51">
        <v>2011709</v>
      </c>
      <c r="AN51">
        <v>2011710</v>
      </c>
      <c r="AO51">
        <v>2011711</v>
      </c>
    </row>
    <row r="52" spans="1:41">
      <c r="A52" s="8" t="s">
        <v>79</v>
      </c>
      <c r="B52" s="8">
        <v>1</v>
      </c>
      <c r="G52" s="3" t="s">
        <v>1876</v>
      </c>
      <c r="H52" s="3">
        <v>10</v>
      </c>
      <c r="I52" s="3">
        <f t="shared" si="0"/>
        <v>1</v>
      </c>
      <c r="N52" s="23" t="s">
        <v>2524</v>
      </c>
      <c r="O52" s="13" t="s">
        <v>1876</v>
      </c>
      <c r="P52" s="13" t="s">
        <v>5367</v>
      </c>
      <c r="Q52" s="13"/>
      <c r="R52" s="13"/>
      <c r="S52" s="9" t="str">
        <f t="shared" si="2"/>
        <v>2011801;2011802;2011803;2011804;2011805;2011806;2011807;2011808;2011809;2011810;2011811</v>
      </c>
      <c r="AE52" s="9">
        <v>2011801</v>
      </c>
      <c r="AF52">
        <v>2011802</v>
      </c>
      <c r="AG52">
        <v>2011803</v>
      </c>
      <c r="AH52">
        <v>2011804</v>
      </c>
      <c r="AI52">
        <v>2011805</v>
      </c>
      <c r="AJ52">
        <v>2011806</v>
      </c>
      <c r="AK52">
        <v>2011807</v>
      </c>
      <c r="AL52">
        <v>2011808</v>
      </c>
      <c r="AM52">
        <v>2011809</v>
      </c>
      <c r="AN52">
        <v>2011810</v>
      </c>
      <c r="AO52">
        <v>2011811</v>
      </c>
    </row>
    <row r="53" spans="1:41">
      <c r="A53" s="8" t="s">
        <v>79</v>
      </c>
      <c r="B53" s="8">
        <v>1</v>
      </c>
      <c r="G53" s="3" t="s">
        <v>1876</v>
      </c>
      <c r="H53" s="3">
        <v>9</v>
      </c>
      <c r="I53" s="3">
        <f t="shared" si="0"/>
        <v>1</v>
      </c>
      <c r="N53" s="24" t="s">
        <v>2554</v>
      </c>
      <c r="O53" s="13" t="s">
        <v>1876</v>
      </c>
      <c r="P53" s="13" t="s">
        <v>5425</v>
      </c>
      <c r="Q53" s="13"/>
      <c r="R53" s="13"/>
      <c r="S53" s="9" t="str">
        <f t="shared" si="2"/>
        <v>2011901;2011902;2011903;2011904;2011905;2011906;2011907;2011908;2011909;2011910;2011911</v>
      </c>
      <c r="AE53" s="9">
        <v>2011901</v>
      </c>
      <c r="AF53">
        <v>2011902</v>
      </c>
      <c r="AG53">
        <v>2011903</v>
      </c>
      <c r="AH53">
        <v>2011904</v>
      </c>
      <c r="AI53">
        <v>2011905</v>
      </c>
      <c r="AJ53">
        <v>2011906</v>
      </c>
      <c r="AK53">
        <v>2011907</v>
      </c>
      <c r="AL53">
        <v>2011908</v>
      </c>
      <c r="AM53">
        <v>2011909</v>
      </c>
      <c r="AN53">
        <v>2011910</v>
      </c>
      <c r="AO53">
        <v>2011911</v>
      </c>
    </row>
    <row r="54" spans="1:41">
      <c r="A54" s="8" t="s">
        <v>79</v>
      </c>
      <c r="B54" s="8">
        <v>1</v>
      </c>
      <c r="G54" s="3" t="s">
        <v>1876</v>
      </c>
      <c r="H54" s="3">
        <v>10</v>
      </c>
      <c r="I54" s="3">
        <f t="shared" si="0"/>
        <v>1</v>
      </c>
      <c r="N54" s="13" t="s">
        <v>2599</v>
      </c>
      <c r="O54" s="13" t="s">
        <v>2601</v>
      </c>
      <c r="P54" s="13" t="s">
        <v>5401</v>
      </c>
      <c r="Q54" s="13"/>
      <c r="R54" s="13"/>
      <c r="S54" s="9" t="str">
        <f t="shared" si="2"/>
        <v>3010101;3010102;3010103;3010104;3010105;3010106;3010107;3010108;3010109;3010110;3010111</v>
      </c>
      <c r="AE54" s="9">
        <v>3010101</v>
      </c>
      <c r="AF54">
        <v>3010102</v>
      </c>
      <c r="AG54">
        <v>3010103</v>
      </c>
      <c r="AH54">
        <v>3010104</v>
      </c>
      <c r="AI54">
        <v>3010105</v>
      </c>
      <c r="AJ54">
        <v>3010106</v>
      </c>
      <c r="AK54">
        <v>3010107</v>
      </c>
      <c r="AL54">
        <v>3010108</v>
      </c>
      <c r="AM54">
        <v>3010109</v>
      </c>
      <c r="AN54">
        <v>3010110</v>
      </c>
      <c r="AO54">
        <v>3010111</v>
      </c>
    </row>
    <row r="55" spans="1:41">
      <c r="A55" s="8" t="s">
        <v>79</v>
      </c>
      <c r="B55" s="8">
        <v>1</v>
      </c>
      <c r="G55" s="3" t="s">
        <v>1876</v>
      </c>
      <c r="H55" s="3">
        <v>9</v>
      </c>
      <c r="I55" s="3">
        <f t="shared" si="0"/>
        <v>1</v>
      </c>
      <c r="N55" s="13" t="s">
        <v>2639</v>
      </c>
      <c r="O55" s="13" t="s">
        <v>2601</v>
      </c>
      <c r="P55" s="13" t="s">
        <v>5367</v>
      </c>
      <c r="Q55" s="13"/>
      <c r="R55" s="13"/>
      <c r="S55" s="9" t="str">
        <f t="shared" si="2"/>
        <v>3010201;3010202;3010203;3010204;3010205;3010206;3010207;3010208;3010209;3010210;3010211</v>
      </c>
      <c r="AE55" s="9">
        <v>3010201</v>
      </c>
      <c r="AF55">
        <v>3010202</v>
      </c>
      <c r="AG55">
        <v>3010203</v>
      </c>
      <c r="AH55">
        <v>3010204</v>
      </c>
      <c r="AI55">
        <v>3010205</v>
      </c>
      <c r="AJ55">
        <v>3010206</v>
      </c>
      <c r="AK55">
        <v>3010207</v>
      </c>
      <c r="AL55">
        <v>3010208</v>
      </c>
      <c r="AM55">
        <v>3010209</v>
      </c>
      <c r="AN55">
        <v>3010210</v>
      </c>
      <c r="AO55">
        <v>3010211</v>
      </c>
    </row>
    <row r="56" spans="1:41">
      <c r="A56" s="8" t="s">
        <v>79</v>
      </c>
      <c r="B56" s="8">
        <v>1</v>
      </c>
      <c r="G56" s="3" t="s">
        <v>1876</v>
      </c>
      <c r="H56" s="3">
        <v>10</v>
      </c>
      <c r="I56" s="3">
        <f t="shared" si="0"/>
        <v>1</v>
      </c>
      <c r="N56" s="13" t="s">
        <v>2676</v>
      </c>
      <c r="O56" s="13" t="s">
        <v>2601</v>
      </c>
      <c r="P56" s="13" t="s">
        <v>5367</v>
      </c>
      <c r="Q56" s="13"/>
      <c r="R56" s="13"/>
      <c r="S56" s="9" t="str">
        <f t="shared" si="2"/>
        <v>3010301;3010302;3010303;3010304;3010305;3010306;3010307;3010308;3010309;3010310;3010311</v>
      </c>
      <c r="AE56" s="9">
        <v>3010301</v>
      </c>
      <c r="AF56">
        <v>3010302</v>
      </c>
      <c r="AG56">
        <v>3010303</v>
      </c>
      <c r="AH56">
        <v>3010304</v>
      </c>
      <c r="AI56">
        <v>3010305</v>
      </c>
      <c r="AJ56">
        <v>3010306</v>
      </c>
      <c r="AK56">
        <v>3010307</v>
      </c>
      <c r="AL56">
        <v>3010308</v>
      </c>
      <c r="AM56">
        <v>3010309</v>
      </c>
      <c r="AN56">
        <v>3010310</v>
      </c>
      <c r="AO56">
        <v>3010311</v>
      </c>
    </row>
    <row r="57" spans="1:41">
      <c r="A57" s="3" t="s">
        <v>79</v>
      </c>
      <c r="B57" s="3">
        <v>1</v>
      </c>
      <c r="G57" s="3" t="s">
        <v>1876</v>
      </c>
      <c r="H57" s="3">
        <v>9</v>
      </c>
      <c r="I57" s="3">
        <f t="shared" si="0"/>
        <v>1</v>
      </c>
      <c r="N57" s="13" t="s">
        <v>2708</v>
      </c>
      <c r="O57" s="13" t="s">
        <v>2601</v>
      </c>
      <c r="P57" s="13" t="s">
        <v>5367</v>
      </c>
      <c r="Q57" s="13"/>
      <c r="R57" s="13"/>
      <c r="S57" s="9" t="str">
        <f t="shared" si="2"/>
        <v>3010401;3010402;3010403;3010404;3010405;3010406;3010407;3010408;3010409;3010410;3010411</v>
      </c>
      <c r="AE57" s="9">
        <v>3010401</v>
      </c>
      <c r="AF57">
        <v>3010402</v>
      </c>
      <c r="AG57">
        <v>3010403</v>
      </c>
      <c r="AH57">
        <v>3010404</v>
      </c>
      <c r="AI57">
        <v>3010405</v>
      </c>
      <c r="AJ57">
        <v>3010406</v>
      </c>
      <c r="AK57">
        <v>3010407</v>
      </c>
      <c r="AL57">
        <v>3010408</v>
      </c>
      <c r="AM57">
        <v>3010409</v>
      </c>
      <c r="AN57">
        <v>3010410</v>
      </c>
      <c r="AO57">
        <v>3010411</v>
      </c>
    </row>
    <row r="58" spans="1:41">
      <c r="A58" s="5" t="s">
        <v>325</v>
      </c>
      <c r="B58" s="5">
        <v>2</v>
      </c>
      <c r="G58" s="3" t="s">
        <v>1876</v>
      </c>
      <c r="H58" s="3">
        <v>10</v>
      </c>
      <c r="I58" s="3">
        <f t="shared" si="0"/>
        <v>1</v>
      </c>
      <c r="N58" s="13" t="s">
        <v>2745</v>
      </c>
      <c r="O58" s="13" t="s">
        <v>2601</v>
      </c>
      <c r="P58" s="13" t="s">
        <v>5367</v>
      </c>
      <c r="Q58" s="13"/>
      <c r="R58" s="13"/>
      <c r="S58" s="9" t="str">
        <f t="shared" si="2"/>
        <v>3010501;3010502;3010503;3010504;3010505;3010506;3010507;3010508;3010509;3010510;3010511</v>
      </c>
      <c r="AE58" s="9">
        <v>3010501</v>
      </c>
      <c r="AF58">
        <v>3010502</v>
      </c>
      <c r="AG58">
        <v>3010503</v>
      </c>
      <c r="AH58">
        <v>3010504</v>
      </c>
      <c r="AI58">
        <v>3010505</v>
      </c>
      <c r="AJ58">
        <v>3010506</v>
      </c>
      <c r="AK58">
        <v>3010507</v>
      </c>
      <c r="AL58">
        <v>3010508</v>
      </c>
      <c r="AM58">
        <v>3010509</v>
      </c>
      <c r="AN58">
        <v>3010510</v>
      </c>
      <c r="AO58">
        <v>3010511</v>
      </c>
    </row>
    <row r="59" spans="1:41">
      <c r="A59" s="5" t="s">
        <v>325</v>
      </c>
      <c r="B59" s="5">
        <v>2</v>
      </c>
      <c r="G59" s="3" t="s">
        <v>1876</v>
      </c>
      <c r="H59" s="3">
        <v>9</v>
      </c>
      <c r="I59" s="3">
        <f t="shared" si="0"/>
        <v>1</v>
      </c>
      <c r="N59" s="13" t="s">
        <v>2782</v>
      </c>
      <c r="O59" s="13" t="s">
        <v>2601</v>
      </c>
      <c r="P59" s="13" t="s">
        <v>5367</v>
      </c>
      <c r="Q59" s="13"/>
      <c r="R59" s="13"/>
      <c r="S59" s="9" t="str">
        <f t="shared" si="2"/>
        <v>3010601;3010602;3010603;3010604;3010605;3010606;3010607;3010608;3010609;3010610;3010611</v>
      </c>
      <c r="AE59" s="9">
        <v>3010601</v>
      </c>
      <c r="AF59">
        <v>3010602</v>
      </c>
      <c r="AG59">
        <v>3010603</v>
      </c>
      <c r="AH59">
        <v>3010604</v>
      </c>
      <c r="AI59">
        <v>3010605</v>
      </c>
      <c r="AJ59">
        <v>3010606</v>
      </c>
      <c r="AK59">
        <v>3010607</v>
      </c>
      <c r="AL59">
        <v>3010608</v>
      </c>
      <c r="AM59">
        <v>3010609</v>
      </c>
      <c r="AN59">
        <v>3010610</v>
      </c>
      <c r="AO59">
        <v>3010611</v>
      </c>
    </row>
    <row r="60" spans="1:41">
      <c r="A60" s="7" t="s">
        <v>325</v>
      </c>
      <c r="B60" s="7">
        <v>2</v>
      </c>
      <c r="G60" s="3" t="s">
        <v>1876</v>
      </c>
      <c r="H60" s="3">
        <v>10</v>
      </c>
      <c r="I60" s="3">
        <f t="shared" si="0"/>
        <v>1</v>
      </c>
      <c r="N60" s="12" t="s">
        <v>2820</v>
      </c>
      <c r="O60" s="13" t="s">
        <v>2601</v>
      </c>
      <c r="P60" s="13" t="s">
        <v>5379</v>
      </c>
      <c r="Q60" s="13"/>
      <c r="R60" s="13"/>
      <c r="S60" s="9" t="str">
        <f t="shared" si="2"/>
        <v>3010701;3010702;3010703;3010704;3010705;3010706;3010707;3010708;3010709;3010710;3010711</v>
      </c>
      <c r="AE60" s="9">
        <v>3010701</v>
      </c>
      <c r="AF60">
        <v>3010702</v>
      </c>
      <c r="AG60">
        <v>3010703</v>
      </c>
      <c r="AH60">
        <v>3010704</v>
      </c>
      <c r="AI60">
        <v>3010705</v>
      </c>
      <c r="AJ60">
        <v>3010706</v>
      </c>
      <c r="AK60">
        <v>3010707</v>
      </c>
      <c r="AL60">
        <v>3010708</v>
      </c>
      <c r="AM60">
        <v>3010709</v>
      </c>
      <c r="AN60">
        <v>3010710</v>
      </c>
      <c r="AO60">
        <v>3010711</v>
      </c>
    </row>
    <row r="61" spans="1:41">
      <c r="A61" s="7" t="s">
        <v>325</v>
      </c>
      <c r="B61" s="7">
        <v>2</v>
      </c>
      <c r="G61" s="3" t="s">
        <v>1876</v>
      </c>
      <c r="H61" s="3">
        <v>9</v>
      </c>
      <c r="I61" s="3">
        <f t="shared" si="0"/>
        <v>1</v>
      </c>
      <c r="N61" s="12" t="s">
        <v>2855</v>
      </c>
      <c r="O61" s="13" t="s">
        <v>2601</v>
      </c>
      <c r="P61" s="13" t="s">
        <v>5526</v>
      </c>
      <c r="Q61" s="13"/>
      <c r="R61" s="13"/>
      <c r="S61" s="9" t="str">
        <f t="shared" si="2"/>
        <v>3010801;3010802;3010803;3010804;3010805;3010806;3010807;3010808;3010809;3010810;3010811</v>
      </c>
      <c r="AE61" s="9">
        <v>3010801</v>
      </c>
      <c r="AF61">
        <v>3010802</v>
      </c>
      <c r="AG61">
        <v>3010803</v>
      </c>
      <c r="AH61">
        <v>3010804</v>
      </c>
      <c r="AI61">
        <v>3010805</v>
      </c>
      <c r="AJ61">
        <v>3010806</v>
      </c>
      <c r="AK61">
        <v>3010807</v>
      </c>
      <c r="AL61">
        <v>3010808</v>
      </c>
      <c r="AM61">
        <v>3010809</v>
      </c>
      <c r="AN61">
        <v>3010810</v>
      </c>
      <c r="AO61">
        <v>3010811</v>
      </c>
    </row>
    <row r="62" spans="1:41">
      <c r="A62" s="7" t="s">
        <v>325</v>
      </c>
      <c r="B62" s="7">
        <v>2</v>
      </c>
      <c r="G62" s="3" t="s">
        <v>1876</v>
      </c>
      <c r="H62" s="3">
        <v>10</v>
      </c>
      <c r="I62" s="3">
        <f t="shared" si="0"/>
        <v>1</v>
      </c>
      <c r="N62" s="12" t="s">
        <v>2891</v>
      </c>
      <c r="O62" s="13" t="s">
        <v>2601</v>
      </c>
      <c r="P62" s="13" t="s">
        <v>5367</v>
      </c>
      <c r="Q62" s="13"/>
      <c r="R62" s="13"/>
      <c r="S62" s="9" t="str">
        <f t="shared" si="2"/>
        <v>3010901;3010902;3010903;3010904;3010905;3010906;3010907;3010908;3010909;3010910;3010911</v>
      </c>
      <c r="AE62" s="9">
        <v>3010901</v>
      </c>
      <c r="AF62">
        <v>3010902</v>
      </c>
      <c r="AG62">
        <v>3010903</v>
      </c>
      <c r="AH62">
        <v>3010904</v>
      </c>
      <c r="AI62">
        <v>3010905</v>
      </c>
      <c r="AJ62">
        <v>3010906</v>
      </c>
      <c r="AK62">
        <v>3010907</v>
      </c>
      <c r="AL62">
        <v>3010908</v>
      </c>
      <c r="AM62">
        <v>3010909</v>
      </c>
      <c r="AN62">
        <v>3010910</v>
      </c>
      <c r="AO62">
        <v>3010911</v>
      </c>
    </row>
    <row r="63" spans="1:41">
      <c r="A63" s="7" t="s">
        <v>325</v>
      </c>
      <c r="B63" s="7">
        <v>2</v>
      </c>
      <c r="G63" s="3" t="s">
        <v>1876</v>
      </c>
      <c r="H63" s="3">
        <v>9</v>
      </c>
      <c r="I63" s="3">
        <f t="shared" si="0"/>
        <v>1</v>
      </c>
      <c r="N63" s="12" t="s">
        <v>2928</v>
      </c>
      <c r="O63" s="13" t="s">
        <v>2601</v>
      </c>
      <c r="P63" s="13" t="s">
        <v>5367</v>
      </c>
      <c r="Q63" s="13"/>
      <c r="R63" s="13"/>
      <c r="S63" s="9" t="str">
        <f t="shared" si="2"/>
        <v>3011001;3011002;3011003;3011004;3011005;3011006;3011007;3011008;3011009;3011010;3011011</v>
      </c>
      <c r="AE63" s="9">
        <v>3011001</v>
      </c>
      <c r="AF63">
        <v>3011002</v>
      </c>
      <c r="AG63">
        <v>3011003</v>
      </c>
      <c r="AH63">
        <v>3011004</v>
      </c>
      <c r="AI63">
        <v>3011005</v>
      </c>
      <c r="AJ63">
        <v>3011006</v>
      </c>
      <c r="AK63">
        <v>3011007</v>
      </c>
      <c r="AL63">
        <v>3011008</v>
      </c>
      <c r="AM63">
        <v>3011009</v>
      </c>
      <c r="AN63">
        <v>3011010</v>
      </c>
      <c r="AO63">
        <v>3011011</v>
      </c>
    </row>
    <row r="64" spans="1:41">
      <c r="A64" s="7" t="s">
        <v>325</v>
      </c>
      <c r="B64" s="7">
        <v>2</v>
      </c>
      <c r="G64" s="3" t="s">
        <v>1876</v>
      </c>
      <c r="H64" s="3">
        <v>10</v>
      </c>
      <c r="I64" s="3">
        <f t="shared" si="0"/>
        <v>1</v>
      </c>
      <c r="N64" s="12" t="s">
        <v>2999</v>
      </c>
      <c r="O64" s="13" t="s">
        <v>2601</v>
      </c>
      <c r="P64" s="13" t="s">
        <v>5367</v>
      </c>
      <c r="Q64" s="13"/>
      <c r="R64" s="13"/>
      <c r="S64" s="9" t="str">
        <f t="shared" si="2"/>
        <v>3011201;3011202;3011203;3011204;3011205;3011206;3011207;3011208;3011209;3011210;3011211</v>
      </c>
      <c r="AE64" s="9">
        <v>3011201</v>
      </c>
      <c r="AF64">
        <v>3011202</v>
      </c>
      <c r="AG64">
        <v>3011203</v>
      </c>
      <c r="AH64">
        <v>3011204</v>
      </c>
      <c r="AI64">
        <v>3011205</v>
      </c>
      <c r="AJ64">
        <v>3011206</v>
      </c>
      <c r="AK64">
        <v>3011207</v>
      </c>
      <c r="AL64">
        <v>3011208</v>
      </c>
      <c r="AM64">
        <v>3011209</v>
      </c>
      <c r="AN64">
        <v>3011210</v>
      </c>
      <c r="AO64">
        <v>3011211</v>
      </c>
    </row>
    <row r="65" spans="1:41">
      <c r="A65" s="7" t="s">
        <v>325</v>
      </c>
      <c r="B65" s="7">
        <v>2</v>
      </c>
      <c r="G65" s="3" t="s">
        <v>1876</v>
      </c>
      <c r="H65" s="3">
        <v>9</v>
      </c>
      <c r="I65" s="3">
        <f t="shared" si="0"/>
        <v>1</v>
      </c>
      <c r="N65" s="13" t="s">
        <v>2965</v>
      </c>
      <c r="O65" s="13" t="s">
        <v>2601</v>
      </c>
      <c r="P65" s="13" t="s">
        <v>5367</v>
      </c>
      <c r="Q65" s="13"/>
      <c r="R65" s="13"/>
      <c r="S65" s="9" t="str">
        <f t="shared" si="2"/>
        <v>3011101;3011102;3011103;3011104;3011105;3011106;3011107;3011108;3011109;3011110;3011111</v>
      </c>
      <c r="AE65" s="9">
        <v>3011101</v>
      </c>
      <c r="AF65">
        <v>3011102</v>
      </c>
      <c r="AG65">
        <v>3011103</v>
      </c>
      <c r="AH65">
        <v>3011104</v>
      </c>
      <c r="AI65">
        <v>3011105</v>
      </c>
      <c r="AJ65">
        <v>3011106</v>
      </c>
      <c r="AK65">
        <v>3011107</v>
      </c>
      <c r="AL65">
        <v>3011108</v>
      </c>
      <c r="AM65">
        <v>3011109</v>
      </c>
      <c r="AN65">
        <v>3011110</v>
      </c>
      <c r="AO65">
        <v>3011111</v>
      </c>
    </row>
    <row r="66" spans="1:41">
      <c r="A66" s="7" t="s">
        <v>325</v>
      </c>
      <c r="B66" s="7">
        <v>2</v>
      </c>
      <c r="G66" s="3" t="s">
        <v>1876</v>
      </c>
      <c r="H66" s="3">
        <v>10</v>
      </c>
      <c r="I66" s="3">
        <f t="shared" ref="I66:I116" si="3">VLOOKUP(G66,$A:$B,2,0)</f>
        <v>1</v>
      </c>
      <c r="N66" s="12" t="s">
        <v>3037</v>
      </c>
      <c r="O66" s="13" t="s">
        <v>2601</v>
      </c>
      <c r="P66" s="13" t="s">
        <v>5367</v>
      </c>
      <c r="Q66" s="13"/>
      <c r="R66" s="13"/>
      <c r="S66" s="9" t="str">
        <f t="shared" si="2"/>
        <v>3011301;3011302;3011303;3011304;3011305;3011306;3011307;3011308;3011309;3011310;3011311</v>
      </c>
      <c r="AE66" s="9">
        <v>3011301</v>
      </c>
      <c r="AF66">
        <v>3011302</v>
      </c>
      <c r="AG66">
        <v>3011303</v>
      </c>
      <c r="AH66">
        <v>3011304</v>
      </c>
      <c r="AI66">
        <v>3011305</v>
      </c>
      <c r="AJ66">
        <v>3011306</v>
      </c>
      <c r="AK66">
        <v>3011307</v>
      </c>
      <c r="AL66">
        <v>3011308</v>
      </c>
      <c r="AM66">
        <v>3011309</v>
      </c>
      <c r="AN66">
        <v>3011310</v>
      </c>
      <c r="AO66">
        <v>3011311</v>
      </c>
    </row>
    <row r="67" spans="1:41">
      <c r="A67" s="7" t="s">
        <v>325</v>
      </c>
      <c r="B67" s="7">
        <v>2</v>
      </c>
      <c r="G67" s="3" t="s">
        <v>1876</v>
      </c>
      <c r="H67" s="3">
        <v>9</v>
      </c>
      <c r="I67" s="3">
        <f t="shared" si="3"/>
        <v>1</v>
      </c>
      <c r="N67" s="12" t="s">
        <v>3074</v>
      </c>
      <c r="O67" s="13" t="s">
        <v>2601</v>
      </c>
      <c r="P67" s="13" t="s">
        <v>5367</v>
      </c>
      <c r="Q67" s="13"/>
      <c r="R67" s="13"/>
      <c r="S67" s="9" t="str">
        <f t="shared" si="2"/>
        <v>3011401;3011402;3011403;3011404;3011405;3011406;3011407;3011408;3011409;3011410;3011411</v>
      </c>
      <c r="AE67" s="9">
        <v>3011401</v>
      </c>
      <c r="AF67">
        <v>3011402</v>
      </c>
      <c r="AG67">
        <v>3011403</v>
      </c>
      <c r="AH67">
        <v>3011404</v>
      </c>
      <c r="AI67">
        <v>3011405</v>
      </c>
      <c r="AJ67">
        <v>3011406</v>
      </c>
      <c r="AK67">
        <v>3011407</v>
      </c>
      <c r="AL67">
        <v>3011408</v>
      </c>
      <c r="AM67">
        <v>3011409</v>
      </c>
      <c r="AN67">
        <v>3011410</v>
      </c>
      <c r="AO67">
        <v>3011411</v>
      </c>
    </row>
    <row r="68" spans="1:41">
      <c r="A68" s="7" t="s">
        <v>325</v>
      </c>
      <c r="B68" s="7">
        <v>2</v>
      </c>
      <c r="G68" s="3" t="s">
        <v>1876</v>
      </c>
      <c r="H68" s="3">
        <v>10</v>
      </c>
      <c r="I68" s="3">
        <f t="shared" si="3"/>
        <v>1</v>
      </c>
      <c r="N68" s="12" t="s">
        <v>3111</v>
      </c>
      <c r="O68" s="13" t="s">
        <v>2601</v>
      </c>
      <c r="P68" s="13" t="s">
        <v>5367</v>
      </c>
      <c r="Q68" s="13"/>
      <c r="R68" s="13"/>
      <c r="S68" s="9" t="str">
        <f t="shared" si="2"/>
        <v>3011501;3011502;3011503;3011504;3011505;3011506;3011507;3011508;3011509;3011510;3011511</v>
      </c>
      <c r="AE68" s="9">
        <v>3011501</v>
      </c>
      <c r="AF68">
        <v>3011502</v>
      </c>
      <c r="AG68">
        <v>3011503</v>
      </c>
      <c r="AH68">
        <v>3011504</v>
      </c>
      <c r="AI68">
        <v>3011505</v>
      </c>
      <c r="AJ68">
        <v>3011506</v>
      </c>
      <c r="AK68">
        <v>3011507</v>
      </c>
      <c r="AL68">
        <v>3011508</v>
      </c>
      <c r="AM68">
        <v>3011509</v>
      </c>
      <c r="AN68">
        <v>3011510</v>
      </c>
      <c r="AO68">
        <v>3011511</v>
      </c>
    </row>
    <row r="69" spans="1:41">
      <c r="A69" s="7" t="s">
        <v>325</v>
      </c>
      <c r="B69" s="7">
        <v>2</v>
      </c>
      <c r="G69" s="3" t="s">
        <v>1876</v>
      </c>
      <c r="H69" s="3">
        <v>9</v>
      </c>
      <c r="I69" s="3">
        <f t="shared" si="3"/>
        <v>1</v>
      </c>
      <c r="N69" s="12" t="s">
        <v>3141</v>
      </c>
      <c r="O69" s="13" t="s">
        <v>2601</v>
      </c>
      <c r="P69" s="13" t="s">
        <v>5425</v>
      </c>
      <c r="Q69" s="13"/>
      <c r="R69" s="13"/>
      <c r="S69" s="9" t="str">
        <f t="shared" si="2"/>
        <v>3011601;3011602;3011603;3011604;3011605;3011606;3011607;3011608;3011609;3011610;3011611</v>
      </c>
      <c r="AE69" s="9">
        <v>3011601</v>
      </c>
      <c r="AF69">
        <v>3011602</v>
      </c>
      <c r="AG69">
        <v>3011603</v>
      </c>
      <c r="AH69">
        <v>3011604</v>
      </c>
      <c r="AI69">
        <v>3011605</v>
      </c>
      <c r="AJ69">
        <v>3011606</v>
      </c>
      <c r="AK69">
        <v>3011607</v>
      </c>
      <c r="AL69">
        <v>3011608</v>
      </c>
      <c r="AM69">
        <v>3011609</v>
      </c>
      <c r="AN69">
        <v>3011610</v>
      </c>
      <c r="AO69">
        <v>3011611</v>
      </c>
    </row>
    <row r="70" spans="1:41">
      <c r="A70" s="7" t="s">
        <v>325</v>
      </c>
      <c r="B70" s="7">
        <v>2</v>
      </c>
      <c r="G70" s="3" t="s">
        <v>1876</v>
      </c>
      <c r="H70" s="3">
        <v>10</v>
      </c>
      <c r="I70" s="3">
        <f t="shared" si="3"/>
        <v>1</v>
      </c>
    </row>
    <row r="71" spans="1:41">
      <c r="A71" s="7" t="s">
        <v>325</v>
      </c>
      <c r="B71" s="7">
        <v>2</v>
      </c>
      <c r="G71" s="3" t="s">
        <v>1876</v>
      </c>
      <c r="H71" s="3">
        <v>9</v>
      </c>
      <c r="I71" s="3">
        <f t="shared" si="3"/>
        <v>1</v>
      </c>
    </row>
    <row r="72" spans="1:41">
      <c r="A72" s="7" t="s">
        <v>325</v>
      </c>
      <c r="B72" s="7">
        <v>2</v>
      </c>
      <c r="G72" s="3" t="s">
        <v>1876</v>
      </c>
      <c r="H72" s="3">
        <v>10</v>
      </c>
      <c r="I72" s="3">
        <f t="shared" si="3"/>
        <v>1</v>
      </c>
    </row>
    <row r="73" spans="1:41">
      <c r="A73" s="3" t="s">
        <v>325</v>
      </c>
      <c r="B73" s="3">
        <v>2</v>
      </c>
      <c r="G73" s="3" t="s">
        <v>1876</v>
      </c>
      <c r="H73" s="3">
        <v>9</v>
      </c>
      <c r="I73" s="3">
        <f t="shared" si="3"/>
        <v>1</v>
      </c>
    </row>
    <row r="74" spans="1:41">
      <c r="A74" s="26" t="s">
        <v>325</v>
      </c>
      <c r="B74" s="26">
        <v>2</v>
      </c>
      <c r="G74" s="3" t="s">
        <v>1876</v>
      </c>
      <c r="H74" s="3">
        <v>10</v>
      </c>
      <c r="I74" s="3">
        <f t="shared" si="3"/>
        <v>1</v>
      </c>
    </row>
    <row r="75" spans="1:41">
      <c r="A75" s="26" t="s">
        <v>325</v>
      </c>
      <c r="B75" s="26">
        <v>2</v>
      </c>
      <c r="G75" s="3" t="s">
        <v>1876</v>
      </c>
      <c r="H75" s="3">
        <v>9</v>
      </c>
      <c r="I75" s="3">
        <f t="shared" si="3"/>
        <v>1</v>
      </c>
    </row>
    <row r="76" spans="1:41">
      <c r="A76" s="26" t="s">
        <v>325</v>
      </c>
      <c r="B76" s="26">
        <v>2</v>
      </c>
      <c r="G76" s="3" t="s">
        <v>1876</v>
      </c>
      <c r="H76" s="3">
        <v>10</v>
      </c>
      <c r="I76" s="3">
        <f t="shared" si="3"/>
        <v>1</v>
      </c>
    </row>
    <row r="77" spans="1:41">
      <c r="A77" s="26" t="s">
        <v>325</v>
      </c>
      <c r="B77" s="26">
        <v>2</v>
      </c>
      <c r="G77" s="3" t="s">
        <v>1876</v>
      </c>
      <c r="H77" s="3">
        <v>9</v>
      </c>
      <c r="I77" s="3">
        <f t="shared" si="3"/>
        <v>1</v>
      </c>
    </row>
    <row r="78" spans="1:41">
      <c r="A78" s="26" t="s">
        <v>325</v>
      </c>
      <c r="B78" s="26">
        <v>2</v>
      </c>
      <c r="G78" s="3" t="s">
        <v>1876</v>
      </c>
      <c r="H78" s="3">
        <v>10</v>
      </c>
      <c r="I78" s="3">
        <f t="shared" si="3"/>
        <v>1</v>
      </c>
    </row>
    <row r="79" spans="1:41">
      <c r="A79" s="26" t="s">
        <v>325</v>
      </c>
      <c r="B79" s="26">
        <v>2</v>
      </c>
      <c r="G79" s="3" t="s">
        <v>1876</v>
      </c>
      <c r="H79" s="3">
        <v>9</v>
      </c>
      <c r="I79" s="3">
        <f t="shared" si="3"/>
        <v>1</v>
      </c>
    </row>
    <row r="80" spans="1:41">
      <c r="A80" s="26" t="s">
        <v>325</v>
      </c>
      <c r="B80" s="26">
        <v>2</v>
      </c>
      <c r="G80" s="3" t="s">
        <v>1876</v>
      </c>
      <c r="H80" s="3">
        <v>10</v>
      </c>
      <c r="I80" s="3">
        <f t="shared" si="3"/>
        <v>1</v>
      </c>
    </row>
    <row r="81" spans="1:9">
      <c r="A81" s="26" t="s">
        <v>325</v>
      </c>
      <c r="B81" s="26">
        <v>2</v>
      </c>
      <c r="G81" s="3" t="s">
        <v>1876</v>
      </c>
      <c r="H81" s="3">
        <v>9</v>
      </c>
      <c r="I81" s="3">
        <f t="shared" si="3"/>
        <v>1</v>
      </c>
    </row>
    <row r="82" spans="1:9">
      <c r="A82" s="26" t="s">
        <v>325</v>
      </c>
      <c r="B82" s="26">
        <v>2</v>
      </c>
      <c r="G82" s="3" t="s">
        <v>1876</v>
      </c>
      <c r="H82" s="3">
        <v>10</v>
      </c>
      <c r="I82" s="3">
        <f t="shared" si="3"/>
        <v>1</v>
      </c>
    </row>
    <row r="83" spans="1:9">
      <c r="A83" s="26" t="s">
        <v>325</v>
      </c>
      <c r="B83" s="26">
        <v>2</v>
      </c>
      <c r="G83" s="3" t="s">
        <v>1876</v>
      </c>
      <c r="H83" s="3">
        <v>9</v>
      </c>
      <c r="I83" s="3">
        <f t="shared" si="3"/>
        <v>1</v>
      </c>
    </row>
    <row r="84" spans="1:9">
      <c r="A84" s="3" t="s">
        <v>325</v>
      </c>
      <c r="B84" s="3">
        <v>2</v>
      </c>
      <c r="G84" s="3" t="s">
        <v>1876</v>
      </c>
      <c r="H84" s="3">
        <v>10</v>
      </c>
      <c r="I84" s="3">
        <f t="shared" si="3"/>
        <v>1</v>
      </c>
    </row>
    <row r="85" spans="1:9">
      <c r="A85" s="7" t="s">
        <v>325</v>
      </c>
      <c r="B85" s="7">
        <v>2</v>
      </c>
      <c r="G85" s="3" t="s">
        <v>1876</v>
      </c>
      <c r="H85" s="3">
        <v>9</v>
      </c>
      <c r="I85" s="3">
        <f t="shared" si="3"/>
        <v>1</v>
      </c>
    </row>
    <row r="86" spans="1:9">
      <c r="A86" s="7" t="s">
        <v>325</v>
      </c>
      <c r="B86" s="7">
        <v>2</v>
      </c>
      <c r="G86" s="3" t="s">
        <v>1876</v>
      </c>
      <c r="H86" s="3">
        <v>10</v>
      </c>
      <c r="I86" s="3">
        <f t="shared" si="3"/>
        <v>1</v>
      </c>
    </row>
    <row r="87" spans="1:9">
      <c r="A87" s="7" t="s">
        <v>325</v>
      </c>
      <c r="B87" s="7">
        <v>2</v>
      </c>
      <c r="G87" s="3" t="s">
        <v>2601</v>
      </c>
      <c r="H87" s="3">
        <v>9</v>
      </c>
      <c r="I87" s="3">
        <f t="shared" si="3"/>
        <v>1</v>
      </c>
    </row>
    <row r="88" spans="1:9">
      <c r="A88" s="7" t="s">
        <v>325</v>
      </c>
      <c r="B88" s="7">
        <v>2</v>
      </c>
      <c r="G88" s="3" t="s">
        <v>2601</v>
      </c>
      <c r="H88" s="3">
        <v>10</v>
      </c>
      <c r="I88" s="3">
        <f t="shared" si="3"/>
        <v>1</v>
      </c>
    </row>
    <row r="89" spans="1:9">
      <c r="A89" s="7" t="s">
        <v>325</v>
      </c>
      <c r="B89" s="7">
        <v>2</v>
      </c>
      <c r="G89" s="3" t="s">
        <v>2601</v>
      </c>
      <c r="H89" s="3">
        <v>9</v>
      </c>
      <c r="I89" s="3">
        <f t="shared" si="3"/>
        <v>1</v>
      </c>
    </row>
    <row r="90" spans="1:9">
      <c r="A90" s="7" t="s">
        <v>325</v>
      </c>
      <c r="B90" s="7">
        <v>2</v>
      </c>
      <c r="G90" s="3" t="s">
        <v>2601</v>
      </c>
      <c r="H90" s="3">
        <v>10</v>
      </c>
      <c r="I90" s="3">
        <f t="shared" si="3"/>
        <v>1</v>
      </c>
    </row>
    <row r="91" spans="1:9">
      <c r="A91" s="7" t="s">
        <v>325</v>
      </c>
      <c r="B91" s="7">
        <v>2</v>
      </c>
      <c r="G91" s="3" t="s">
        <v>2601</v>
      </c>
      <c r="H91" s="3">
        <v>9</v>
      </c>
      <c r="I91" s="3">
        <f t="shared" si="3"/>
        <v>1</v>
      </c>
    </row>
    <row r="92" spans="1:9">
      <c r="A92" s="7" t="s">
        <v>325</v>
      </c>
      <c r="B92" s="7">
        <v>2</v>
      </c>
      <c r="G92" s="3" t="s">
        <v>2601</v>
      </c>
      <c r="H92" s="3">
        <v>10</v>
      </c>
      <c r="I92" s="3">
        <f t="shared" si="3"/>
        <v>1</v>
      </c>
    </row>
    <row r="93" spans="1:9">
      <c r="A93" s="7" t="s">
        <v>325</v>
      </c>
      <c r="B93" s="7">
        <v>2</v>
      </c>
      <c r="G93" s="3" t="s">
        <v>2601</v>
      </c>
      <c r="H93" s="3">
        <v>9</v>
      </c>
      <c r="I93" s="3">
        <f t="shared" si="3"/>
        <v>1</v>
      </c>
    </row>
    <row r="94" spans="1:9">
      <c r="A94" s="7" t="s">
        <v>325</v>
      </c>
      <c r="B94" s="7">
        <v>2</v>
      </c>
      <c r="G94" s="3" t="s">
        <v>2601</v>
      </c>
      <c r="H94" s="3">
        <v>10</v>
      </c>
      <c r="I94" s="3">
        <f t="shared" si="3"/>
        <v>1</v>
      </c>
    </row>
    <row r="95" spans="1:9">
      <c r="A95" s="3" t="s">
        <v>325</v>
      </c>
      <c r="B95" s="3">
        <v>2</v>
      </c>
      <c r="G95" s="3" t="s">
        <v>2601</v>
      </c>
      <c r="H95" s="3">
        <v>9</v>
      </c>
      <c r="I95" s="3">
        <f t="shared" si="3"/>
        <v>1</v>
      </c>
    </row>
    <row r="96" spans="1:9">
      <c r="A96" s="27" t="s">
        <v>325</v>
      </c>
      <c r="B96" s="27">
        <v>2</v>
      </c>
      <c r="G96" s="3" t="s">
        <v>2601</v>
      </c>
      <c r="H96" s="3">
        <v>10</v>
      </c>
      <c r="I96" s="3">
        <f t="shared" si="3"/>
        <v>1</v>
      </c>
    </row>
    <row r="97" spans="1:9">
      <c r="A97" s="27" t="s">
        <v>325</v>
      </c>
      <c r="B97" s="27">
        <v>2</v>
      </c>
      <c r="G97" s="3" t="s">
        <v>2601</v>
      </c>
      <c r="H97" s="3">
        <v>9</v>
      </c>
      <c r="I97" s="3">
        <f t="shared" si="3"/>
        <v>1</v>
      </c>
    </row>
    <row r="98" spans="1:9">
      <c r="A98" s="27" t="s">
        <v>325</v>
      </c>
      <c r="B98" s="27">
        <v>2</v>
      </c>
      <c r="G98" s="3" t="s">
        <v>2601</v>
      </c>
      <c r="H98" s="3">
        <v>10</v>
      </c>
      <c r="I98" s="3">
        <f t="shared" si="3"/>
        <v>1</v>
      </c>
    </row>
    <row r="99" spans="1:9">
      <c r="A99" s="27" t="s">
        <v>325</v>
      </c>
      <c r="B99" s="27">
        <v>2</v>
      </c>
      <c r="G99" s="3" t="s">
        <v>2601</v>
      </c>
      <c r="H99" s="3">
        <v>9</v>
      </c>
      <c r="I99" s="3">
        <f t="shared" si="3"/>
        <v>1</v>
      </c>
    </row>
    <row r="100" spans="1:9">
      <c r="A100" s="27" t="s">
        <v>325</v>
      </c>
      <c r="B100" s="27">
        <v>2</v>
      </c>
      <c r="G100" s="3" t="s">
        <v>2601</v>
      </c>
      <c r="H100" s="3">
        <v>10</v>
      </c>
      <c r="I100" s="3">
        <f t="shared" si="3"/>
        <v>1</v>
      </c>
    </row>
    <row r="101" spans="1:9">
      <c r="A101" s="27" t="s">
        <v>325</v>
      </c>
      <c r="B101" s="27">
        <v>2</v>
      </c>
      <c r="G101" s="3" t="s">
        <v>2601</v>
      </c>
      <c r="H101" s="3">
        <v>9</v>
      </c>
      <c r="I101" s="3">
        <f t="shared" si="3"/>
        <v>1</v>
      </c>
    </row>
    <row r="102" spans="1:9">
      <c r="A102" s="27" t="s">
        <v>325</v>
      </c>
      <c r="B102" s="27">
        <v>2</v>
      </c>
      <c r="G102" s="3" t="s">
        <v>2601</v>
      </c>
      <c r="H102" s="3">
        <v>10</v>
      </c>
      <c r="I102" s="3">
        <f t="shared" si="3"/>
        <v>1</v>
      </c>
    </row>
    <row r="103" spans="1:9">
      <c r="A103" s="27" t="s">
        <v>325</v>
      </c>
      <c r="B103" s="27">
        <v>2</v>
      </c>
      <c r="G103" s="3" t="s">
        <v>2601</v>
      </c>
      <c r="H103" s="3">
        <v>9</v>
      </c>
      <c r="I103" s="3">
        <f t="shared" si="3"/>
        <v>1</v>
      </c>
    </row>
    <row r="104" spans="1:9">
      <c r="A104" s="27" t="s">
        <v>325</v>
      </c>
      <c r="B104" s="27">
        <v>2</v>
      </c>
      <c r="G104" s="3" t="s">
        <v>2601</v>
      </c>
      <c r="H104" s="3">
        <v>10</v>
      </c>
      <c r="I104" s="3">
        <f t="shared" si="3"/>
        <v>1</v>
      </c>
    </row>
    <row r="105" spans="1:9">
      <c r="A105" s="27" t="s">
        <v>325</v>
      </c>
      <c r="B105" s="27">
        <v>2</v>
      </c>
      <c r="G105" s="3" t="s">
        <v>2601</v>
      </c>
      <c r="H105" s="3">
        <v>9</v>
      </c>
      <c r="I105" s="3">
        <f t="shared" si="3"/>
        <v>1</v>
      </c>
    </row>
    <row r="106" spans="1:9">
      <c r="A106" s="3" t="s">
        <v>325</v>
      </c>
      <c r="B106" s="3">
        <v>2</v>
      </c>
      <c r="G106" s="3" t="s">
        <v>2601</v>
      </c>
      <c r="H106" s="3">
        <v>10</v>
      </c>
      <c r="I106" s="3">
        <f t="shared" si="3"/>
        <v>1</v>
      </c>
    </row>
    <row r="107" spans="1:9">
      <c r="A107" s="28" t="s">
        <v>325</v>
      </c>
      <c r="B107" s="28">
        <v>2</v>
      </c>
      <c r="G107" s="3" t="s">
        <v>2601</v>
      </c>
      <c r="H107" s="3">
        <v>9</v>
      </c>
      <c r="I107" s="3">
        <f t="shared" si="3"/>
        <v>1</v>
      </c>
    </row>
    <row r="108" spans="1:9">
      <c r="A108" s="28" t="s">
        <v>325</v>
      </c>
      <c r="B108" s="28">
        <v>2</v>
      </c>
      <c r="G108" s="3" t="s">
        <v>2601</v>
      </c>
      <c r="H108" s="3">
        <v>10</v>
      </c>
      <c r="I108" s="3">
        <f t="shared" si="3"/>
        <v>1</v>
      </c>
    </row>
    <row r="109" spans="1:9">
      <c r="A109" s="28" t="s">
        <v>325</v>
      </c>
      <c r="B109" s="28">
        <v>2</v>
      </c>
      <c r="G109" s="3" t="s">
        <v>2601</v>
      </c>
      <c r="H109" s="3">
        <v>9</v>
      </c>
      <c r="I109" s="3">
        <f t="shared" si="3"/>
        <v>1</v>
      </c>
    </row>
    <row r="110" spans="1:9">
      <c r="A110" s="28" t="s">
        <v>325</v>
      </c>
      <c r="B110" s="28">
        <v>2</v>
      </c>
      <c r="G110" s="3" t="s">
        <v>2601</v>
      </c>
      <c r="H110" s="3">
        <v>10</v>
      </c>
      <c r="I110" s="3">
        <f t="shared" si="3"/>
        <v>1</v>
      </c>
    </row>
    <row r="111" spans="1:9">
      <c r="A111" s="28" t="s">
        <v>325</v>
      </c>
      <c r="B111" s="28">
        <v>2</v>
      </c>
      <c r="G111" s="3" t="s">
        <v>2601</v>
      </c>
      <c r="H111" s="3">
        <v>9</v>
      </c>
      <c r="I111" s="3">
        <f t="shared" si="3"/>
        <v>1</v>
      </c>
    </row>
    <row r="112" spans="1:9">
      <c r="A112" s="28" t="s">
        <v>325</v>
      </c>
      <c r="B112" s="28">
        <v>2</v>
      </c>
      <c r="G112" s="3" t="s">
        <v>2601</v>
      </c>
      <c r="H112" s="3">
        <v>10</v>
      </c>
      <c r="I112" s="3">
        <f t="shared" si="3"/>
        <v>1</v>
      </c>
    </row>
    <row r="113" spans="1:9">
      <c r="A113" s="28" t="s">
        <v>325</v>
      </c>
      <c r="B113" s="28">
        <v>2</v>
      </c>
      <c r="G113" s="3" t="s">
        <v>2601</v>
      </c>
      <c r="H113" s="3">
        <v>9</v>
      </c>
      <c r="I113" s="3">
        <f t="shared" si="3"/>
        <v>1</v>
      </c>
    </row>
    <row r="114" spans="1:9">
      <c r="A114" s="28" t="s">
        <v>325</v>
      </c>
      <c r="B114" s="28">
        <v>2</v>
      </c>
      <c r="G114" s="3" t="s">
        <v>2601</v>
      </c>
      <c r="H114" s="3">
        <v>10</v>
      </c>
      <c r="I114" s="3">
        <f t="shared" si="3"/>
        <v>1</v>
      </c>
    </row>
    <row r="115" spans="1:9">
      <c r="A115" s="28" t="s">
        <v>325</v>
      </c>
      <c r="B115" s="28">
        <v>2</v>
      </c>
      <c r="G115" s="3" t="s">
        <v>2601</v>
      </c>
      <c r="H115" s="3">
        <v>9</v>
      </c>
      <c r="I115" s="3">
        <f t="shared" si="3"/>
        <v>1</v>
      </c>
    </row>
    <row r="116" spans="1:9">
      <c r="A116" s="28" t="s">
        <v>325</v>
      </c>
      <c r="B116" s="28">
        <v>2</v>
      </c>
      <c r="G116" s="3" t="s">
        <v>2601</v>
      </c>
      <c r="H116" s="3">
        <v>10</v>
      </c>
      <c r="I116" s="3">
        <f t="shared" si="3"/>
        <v>1</v>
      </c>
    </row>
    <row r="117" spans="1:9">
      <c r="A117" s="3" t="s">
        <v>325</v>
      </c>
      <c r="B117" s="3">
        <v>2</v>
      </c>
    </row>
    <row r="118" spans="1:9">
      <c r="A118" s="28" t="s">
        <v>325</v>
      </c>
      <c r="B118" s="28">
        <v>2</v>
      </c>
    </row>
    <row r="119" spans="1:9">
      <c r="A119" s="28" t="s">
        <v>325</v>
      </c>
      <c r="B119" s="28">
        <v>2</v>
      </c>
    </row>
    <row r="120" spans="1:9">
      <c r="A120" s="28" t="s">
        <v>325</v>
      </c>
      <c r="B120" s="28">
        <v>2</v>
      </c>
    </row>
    <row r="121" spans="1:9">
      <c r="A121" s="28" t="s">
        <v>325</v>
      </c>
      <c r="B121" s="28">
        <v>2</v>
      </c>
    </row>
    <row r="122" spans="1:9">
      <c r="A122" s="28" t="s">
        <v>325</v>
      </c>
      <c r="B122" s="28">
        <v>2</v>
      </c>
    </row>
    <row r="123" spans="1:9">
      <c r="A123" s="28" t="s">
        <v>325</v>
      </c>
      <c r="B123" s="28">
        <v>2</v>
      </c>
    </row>
    <row r="124" spans="1:9">
      <c r="A124" s="28" t="s">
        <v>325</v>
      </c>
      <c r="B124" s="28">
        <v>2</v>
      </c>
    </row>
    <row r="125" spans="1:9">
      <c r="A125" s="28" t="s">
        <v>325</v>
      </c>
      <c r="B125" s="28">
        <v>2</v>
      </c>
    </row>
    <row r="126" spans="1:9">
      <c r="A126" s="28" t="s">
        <v>325</v>
      </c>
      <c r="B126" s="28">
        <v>2</v>
      </c>
    </row>
    <row r="127" spans="1:9">
      <c r="A127" s="28" t="s">
        <v>325</v>
      </c>
      <c r="B127" s="28">
        <v>2</v>
      </c>
    </row>
    <row r="128" spans="1:9">
      <c r="A128" s="3" t="s">
        <v>325</v>
      </c>
      <c r="B128" s="3">
        <v>2</v>
      </c>
    </row>
    <row r="129" spans="1:2">
      <c r="A129" s="5" t="s">
        <v>655</v>
      </c>
      <c r="B129" s="5">
        <v>3</v>
      </c>
    </row>
    <row r="130" spans="1:2">
      <c r="A130" s="5" t="s">
        <v>655</v>
      </c>
      <c r="B130" s="5">
        <v>3</v>
      </c>
    </row>
    <row r="131" spans="1:2">
      <c r="A131" s="29" t="s">
        <v>655</v>
      </c>
      <c r="B131" s="29">
        <v>3</v>
      </c>
    </row>
    <row r="132" spans="1:2">
      <c r="A132" s="29" t="s">
        <v>655</v>
      </c>
      <c r="B132" s="29">
        <v>3</v>
      </c>
    </row>
    <row r="133" spans="1:2">
      <c r="A133" s="29" t="s">
        <v>655</v>
      </c>
      <c r="B133" s="29">
        <v>3</v>
      </c>
    </row>
    <row r="134" spans="1:2">
      <c r="A134" s="29" t="s">
        <v>655</v>
      </c>
      <c r="B134" s="29">
        <v>3</v>
      </c>
    </row>
    <row r="135" spans="1:2">
      <c r="A135" s="30" t="s">
        <v>655</v>
      </c>
      <c r="B135" s="30">
        <v>3</v>
      </c>
    </row>
    <row r="136" spans="1:2">
      <c r="A136" s="30" t="s">
        <v>655</v>
      </c>
      <c r="B136" s="30">
        <v>3</v>
      </c>
    </row>
    <row r="137" spans="1:2">
      <c r="A137" s="30" t="s">
        <v>655</v>
      </c>
      <c r="B137" s="30">
        <v>3</v>
      </c>
    </row>
    <row r="138" spans="1:2">
      <c r="A138" s="29" t="s">
        <v>655</v>
      </c>
      <c r="B138" s="29">
        <v>3</v>
      </c>
    </row>
    <row r="139" spans="1:2">
      <c r="A139" s="29" t="s">
        <v>655</v>
      </c>
      <c r="B139" s="29">
        <v>3</v>
      </c>
    </row>
    <row r="140" spans="1:2">
      <c r="A140" s="29" t="s">
        <v>655</v>
      </c>
      <c r="B140" s="29">
        <v>3</v>
      </c>
    </row>
    <row r="141" spans="1:2">
      <c r="A141" s="3" t="s">
        <v>655</v>
      </c>
      <c r="B141" s="3">
        <v>3</v>
      </c>
    </row>
    <row r="142" spans="1:2">
      <c r="A142" s="31" t="s">
        <v>655</v>
      </c>
      <c r="B142" s="31">
        <v>3</v>
      </c>
    </row>
    <row r="143" spans="1:2">
      <c r="A143" s="31" t="s">
        <v>655</v>
      </c>
      <c r="B143" s="31">
        <v>3</v>
      </c>
    </row>
    <row r="144" spans="1:2">
      <c r="A144" s="31" t="s">
        <v>655</v>
      </c>
      <c r="B144" s="31">
        <v>3</v>
      </c>
    </row>
    <row r="145" spans="1:2">
      <c r="A145" s="31" t="s">
        <v>655</v>
      </c>
      <c r="B145" s="31">
        <v>3</v>
      </c>
    </row>
    <row r="146" spans="1:2">
      <c r="A146" s="31" t="s">
        <v>655</v>
      </c>
      <c r="B146" s="31">
        <v>3</v>
      </c>
    </row>
    <row r="147" spans="1:2">
      <c r="A147" s="31" t="s">
        <v>655</v>
      </c>
      <c r="B147" s="31">
        <v>3</v>
      </c>
    </row>
    <row r="148" spans="1:2">
      <c r="A148" s="31" t="s">
        <v>655</v>
      </c>
      <c r="B148" s="31">
        <v>3</v>
      </c>
    </row>
    <row r="149" spans="1:2">
      <c r="A149" s="31" t="s">
        <v>655</v>
      </c>
      <c r="B149" s="31">
        <v>3</v>
      </c>
    </row>
    <row r="150" spans="1:2">
      <c r="A150" s="31" t="s">
        <v>655</v>
      </c>
      <c r="B150" s="31">
        <v>3</v>
      </c>
    </row>
    <row r="151" spans="1:2">
      <c r="A151" s="31" t="s">
        <v>655</v>
      </c>
      <c r="B151" s="31">
        <v>3</v>
      </c>
    </row>
    <row r="152" spans="1:2">
      <c r="A152" s="3" t="s">
        <v>655</v>
      </c>
      <c r="B152" s="3">
        <v>3</v>
      </c>
    </row>
    <row r="153" spans="1:2">
      <c r="A153" s="5" t="s">
        <v>765</v>
      </c>
      <c r="B153" s="5">
        <v>4</v>
      </c>
    </row>
    <row r="154" spans="1:2">
      <c r="A154" s="5" t="s">
        <v>765</v>
      </c>
      <c r="B154" s="5">
        <v>4</v>
      </c>
    </row>
    <row r="155" spans="1:2">
      <c r="A155" s="32" t="s">
        <v>765</v>
      </c>
      <c r="B155" s="32">
        <v>4</v>
      </c>
    </row>
    <row r="156" spans="1:2">
      <c r="A156" s="5" t="s">
        <v>765</v>
      </c>
      <c r="B156" s="5">
        <v>4</v>
      </c>
    </row>
    <row r="157" spans="1:2">
      <c r="A157" s="5" t="s">
        <v>765</v>
      </c>
      <c r="B157" s="5">
        <v>4</v>
      </c>
    </row>
    <row r="158" spans="1:2">
      <c r="A158" s="5" t="s">
        <v>765</v>
      </c>
      <c r="B158" s="5">
        <v>4</v>
      </c>
    </row>
    <row r="159" spans="1:2">
      <c r="A159" s="5" t="s">
        <v>765</v>
      </c>
      <c r="B159" s="5">
        <v>4</v>
      </c>
    </row>
    <row r="160" spans="1:2">
      <c r="A160" s="5" t="s">
        <v>765</v>
      </c>
      <c r="B160" s="5">
        <v>4</v>
      </c>
    </row>
    <row r="161" spans="1:2">
      <c r="A161" s="5" t="s">
        <v>765</v>
      </c>
      <c r="B161" s="5">
        <v>4</v>
      </c>
    </row>
    <row r="162" spans="1:2">
      <c r="A162" s="5" t="s">
        <v>765</v>
      </c>
      <c r="B162" s="5">
        <v>4</v>
      </c>
    </row>
    <row r="163" spans="1:2">
      <c r="A163" s="5" t="s">
        <v>765</v>
      </c>
      <c r="B163" s="5">
        <v>4</v>
      </c>
    </row>
    <row r="164" spans="1:2">
      <c r="A164" s="5" t="s">
        <v>765</v>
      </c>
      <c r="B164" s="5">
        <v>4</v>
      </c>
    </row>
    <row r="165" spans="1:2">
      <c r="A165" s="5" t="s">
        <v>765</v>
      </c>
      <c r="B165" s="5">
        <v>4</v>
      </c>
    </row>
    <row r="166" spans="1:2">
      <c r="A166" s="3" t="s">
        <v>765</v>
      </c>
      <c r="B166" s="3">
        <v>4</v>
      </c>
    </row>
    <row r="167" spans="1:2">
      <c r="A167" s="3" t="s">
        <v>765</v>
      </c>
      <c r="B167" s="3">
        <v>4</v>
      </c>
    </row>
    <row r="168" spans="1:2">
      <c r="A168" s="7" t="s">
        <v>765</v>
      </c>
      <c r="B168" s="7">
        <v>4</v>
      </c>
    </row>
    <row r="169" spans="1:2">
      <c r="A169" s="7" t="s">
        <v>765</v>
      </c>
      <c r="B169" s="7">
        <v>4</v>
      </c>
    </row>
    <row r="170" spans="1:2">
      <c r="A170" s="7" t="s">
        <v>765</v>
      </c>
      <c r="B170" s="7">
        <v>4</v>
      </c>
    </row>
    <row r="171" spans="1:2">
      <c r="A171" s="7" t="s">
        <v>765</v>
      </c>
      <c r="B171" s="7">
        <v>4</v>
      </c>
    </row>
    <row r="172" spans="1:2">
      <c r="A172" s="7" t="s">
        <v>765</v>
      </c>
      <c r="B172" s="7">
        <v>4</v>
      </c>
    </row>
    <row r="173" spans="1:2">
      <c r="A173" s="7" t="s">
        <v>765</v>
      </c>
      <c r="B173" s="7">
        <v>4</v>
      </c>
    </row>
    <row r="174" spans="1:2">
      <c r="A174" s="7" t="s">
        <v>765</v>
      </c>
      <c r="B174" s="7">
        <v>4</v>
      </c>
    </row>
    <row r="175" spans="1:2">
      <c r="A175" s="7" t="s">
        <v>765</v>
      </c>
      <c r="B175" s="7">
        <v>4</v>
      </c>
    </row>
    <row r="176" spans="1:2">
      <c r="A176" s="7" t="s">
        <v>765</v>
      </c>
      <c r="B176" s="7">
        <v>4</v>
      </c>
    </row>
    <row r="177" spans="1:2">
      <c r="A177" s="7" t="s">
        <v>765</v>
      </c>
      <c r="B177" s="7">
        <v>4</v>
      </c>
    </row>
    <row r="178" spans="1:2">
      <c r="A178" s="3" t="s">
        <v>765</v>
      </c>
      <c r="B178" s="3">
        <v>4</v>
      </c>
    </row>
    <row r="179" spans="1:2">
      <c r="A179" s="6" t="s">
        <v>765</v>
      </c>
      <c r="B179" s="6">
        <v>4</v>
      </c>
    </row>
    <row r="180" spans="1:2">
      <c r="A180" s="6" t="s">
        <v>765</v>
      </c>
      <c r="B180" s="6">
        <v>4</v>
      </c>
    </row>
    <row r="181" spans="1:2">
      <c r="A181" s="6" t="s">
        <v>765</v>
      </c>
      <c r="B181" s="6">
        <v>4</v>
      </c>
    </row>
    <row r="182" spans="1:2">
      <c r="A182" s="6" t="s">
        <v>765</v>
      </c>
      <c r="B182" s="6">
        <v>4</v>
      </c>
    </row>
    <row r="183" spans="1:2">
      <c r="A183" s="6" t="s">
        <v>765</v>
      </c>
      <c r="B183" s="6">
        <v>4</v>
      </c>
    </row>
    <row r="184" spans="1:2">
      <c r="A184" s="6" t="s">
        <v>765</v>
      </c>
      <c r="B184" s="6">
        <v>4</v>
      </c>
    </row>
    <row r="185" spans="1:2">
      <c r="A185" s="6" t="s">
        <v>765</v>
      </c>
      <c r="B185" s="6">
        <v>4</v>
      </c>
    </row>
    <row r="186" spans="1:2">
      <c r="A186" s="6" t="s">
        <v>765</v>
      </c>
      <c r="B186" s="6">
        <v>4</v>
      </c>
    </row>
    <row r="187" spans="1:2">
      <c r="A187" s="6" t="s">
        <v>765</v>
      </c>
      <c r="B187" s="6">
        <v>4</v>
      </c>
    </row>
    <row r="188" spans="1:2">
      <c r="A188" s="6" t="s">
        <v>765</v>
      </c>
      <c r="B188" s="6">
        <v>4</v>
      </c>
    </row>
    <row r="189" spans="1:2">
      <c r="A189" s="3" t="s">
        <v>765</v>
      </c>
      <c r="B189" s="3">
        <v>4</v>
      </c>
    </row>
    <row r="190" spans="1:2">
      <c r="A190" s="7" t="s">
        <v>765</v>
      </c>
      <c r="B190" s="7">
        <v>4</v>
      </c>
    </row>
    <row r="191" spans="1:2">
      <c r="A191" s="7" t="s">
        <v>765</v>
      </c>
      <c r="B191" s="7">
        <v>4</v>
      </c>
    </row>
    <row r="192" spans="1:2">
      <c r="A192" s="7" t="s">
        <v>765</v>
      </c>
      <c r="B192" s="7">
        <v>4</v>
      </c>
    </row>
    <row r="193" spans="1:2">
      <c r="A193" s="7" t="s">
        <v>765</v>
      </c>
      <c r="B193" s="7">
        <v>4</v>
      </c>
    </row>
    <row r="194" spans="1:2">
      <c r="A194" s="7" t="s">
        <v>765</v>
      </c>
      <c r="B194" s="7">
        <v>4</v>
      </c>
    </row>
    <row r="195" spans="1:2">
      <c r="A195" s="7" t="s">
        <v>765</v>
      </c>
      <c r="B195" s="7">
        <v>4</v>
      </c>
    </row>
    <row r="196" spans="1:2">
      <c r="A196" s="7" t="s">
        <v>765</v>
      </c>
      <c r="B196" s="7">
        <v>4</v>
      </c>
    </row>
    <row r="197" spans="1:2">
      <c r="A197" s="7" t="s">
        <v>765</v>
      </c>
      <c r="B197" s="7">
        <v>4</v>
      </c>
    </row>
    <row r="198" spans="1:2">
      <c r="A198" s="7" t="s">
        <v>765</v>
      </c>
      <c r="B198" s="7">
        <v>4</v>
      </c>
    </row>
    <row r="199" spans="1:2">
      <c r="A199" s="3" t="s">
        <v>765</v>
      </c>
      <c r="B199" s="3">
        <v>4</v>
      </c>
    </row>
    <row r="200" spans="1:2">
      <c r="A200" s="3" t="s">
        <v>765</v>
      </c>
      <c r="B200" s="3">
        <v>4</v>
      </c>
    </row>
    <row r="201" spans="1:2">
      <c r="A201" s="33" t="s">
        <v>1009</v>
      </c>
      <c r="B201" s="33">
        <v>5</v>
      </c>
    </row>
    <row r="202" spans="1:2">
      <c r="A202" s="33" t="s">
        <v>1009</v>
      </c>
      <c r="B202" s="33">
        <v>5</v>
      </c>
    </row>
    <row r="203" spans="1:2">
      <c r="A203" s="34" t="s">
        <v>1009</v>
      </c>
      <c r="B203" s="34">
        <v>5</v>
      </c>
    </row>
    <row r="204" spans="1:2">
      <c r="A204" s="34" t="s">
        <v>1009</v>
      </c>
      <c r="B204" s="34">
        <v>5</v>
      </c>
    </row>
    <row r="205" spans="1:2">
      <c r="A205" s="34" t="s">
        <v>1009</v>
      </c>
      <c r="B205" s="34">
        <v>5</v>
      </c>
    </row>
    <row r="206" spans="1:2">
      <c r="A206" s="34" t="s">
        <v>1009</v>
      </c>
      <c r="B206" s="34">
        <v>5</v>
      </c>
    </row>
    <row r="207" spans="1:2">
      <c r="A207" s="34" t="s">
        <v>1009</v>
      </c>
      <c r="B207" s="34">
        <v>5</v>
      </c>
    </row>
    <row r="208" spans="1:2">
      <c r="A208" s="34" t="s">
        <v>1009</v>
      </c>
      <c r="B208" s="34">
        <v>5</v>
      </c>
    </row>
    <row r="209" spans="1:2">
      <c r="A209" s="34" t="s">
        <v>1009</v>
      </c>
      <c r="B209" s="34">
        <v>5</v>
      </c>
    </row>
    <row r="210" spans="1:2">
      <c r="A210" s="34" t="s">
        <v>1009</v>
      </c>
      <c r="B210" s="34">
        <v>5</v>
      </c>
    </row>
    <row r="211" spans="1:2">
      <c r="A211" s="34" t="s">
        <v>1009</v>
      </c>
      <c r="B211" s="34">
        <v>5</v>
      </c>
    </row>
    <row r="212" spans="1:2">
      <c r="A212" s="34" t="s">
        <v>1009</v>
      </c>
      <c r="B212" s="34">
        <v>5</v>
      </c>
    </row>
    <row r="213" spans="1:2">
      <c r="A213" s="3" t="s">
        <v>1009</v>
      </c>
      <c r="B213" s="3">
        <v>5</v>
      </c>
    </row>
    <row r="214" spans="1:2">
      <c r="A214" s="35" t="s">
        <v>1009</v>
      </c>
      <c r="B214" s="35">
        <v>5</v>
      </c>
    </row>
    <row r="215" spans="1:2">
      <c r="A215" s="35" t="s">
        <v>1009</v>
      </c>
      <c r="B215" s="35">
        <v>5</v>
      </c>
    </row>
    <row r="216" spans="1:2">
      <c r="A216" s="35" t="s">
        <v>1009</v>
      </c>
      <c r="B216" s="35">
        <v>5</v>
      </c>
    </row>
    <row r="217" spans="1:2">
      <c r="A217" s="35" t="s">
        <v>1009</v>
      </c>
      <c r="B217" s="35">
        <v>5</v>
      </c>
    </row>
    <row r="218" spans="1:2">
      <c r="A218" s="35" t="s">
        <v>1009</v>
      </c>
      <c r="B218" s="35">
        <v>5</v>
      </c>
    </row>
    <row r="219" spans="1:2">
      <c r="A219" s="35" t="s">
        <v>1009</v>
      </c>
      <c r="B219" s="35">
        <v>5</v>
      </c>
    </row>
    <row r="220" spans="1:2">
      <c r="A220" s="35" t="s">
        <v>1009</v>
      </c>
      <c r="B220" s="35">
        <v>5</v>
      </c>
    </row>
    <row r="221" spans="1:2">
      <c r="A221" s="35" t="s">
        <v>1009</v>
      </c>
      <c r="B221" s="35">
        <v>5</v>
      </c>
    </row>
    <row r="222" spans="1:2">
      <c r="A222" s="35" t="s">
        <v>1009</v>
      </c>
      <c r="B222" s="35">
        <v>5</v>
      </c>
    </row>
    <row r="223" spans="1:2">
      <c r="A223" s="35" t="s">
        <v>1009</v>
      </c>
      <c r="B223" s="35">
        <v>5</v>
      </c>
    </row>
    <row r="224" spans="1:2">
      <c r="A224" s="3" t="s">
        <v>1009</v>
      </c>
      <c r="B224" s="3">
        <v>5</v>
      </c>
    </row>
    <row r="225" spans="1:2">
      <c r="A225" s="36" t="s">
        <v>1009</v>
      </c>
      <c r="B225" s="36">
        <v>5</v>
      </c>
    </row>
    <row r="226" spans="1:2">
      <c r="A226" s="5" t="s">
        <v>1129</v>
      </c>
      <c r="B226" s="5">
        <v>6</v>
      </c>
    </row>
    <row r="227" spans="1:2">
      <c r="A227" s="5" t="s">
        <v>1129</v>
      </c>
      <c r="B227" s="5">
        <v>6</v>
      </c>
    </row>
    <row r="228" spans="1:2">
      <c r="A228" s="37" t="s">
        <v>1129</v>
      </c>
      <c r="B228" s="37">
        <v>6</v>
      </c>
    </row>
    <row r="229" spans="1:2">
      <c r="A229" s="37" t="s">
        <v>1129</v>
      </c>
      <c r="B229" s="37">
        <v>6</v>
      </c>
    </row>
    <row r="230" spans="1:2">
      <c r="A230" s="37" t="s">
        <v>1129</v>
      </c>
      <c r="B230" s="37">
        <v>6</v>
      </c>
    </row>
    <row r="231" spans="1:2">
      <c r="A231" s="37" t="s">
        <v>1129</v>
      </c>
      <c r="B231" s="37">
        <v>6</v>
      </c>
    </row>
    <row r="232" spans="1:2">
      <c r="A232" s="37" t="s">
        <v>1129</v>
      </c>
      <c r="B232" s="37">
        <v>6</v>
      </c>
    </row>
    <row r="233" spans="1:2">
      <c r="A233" s="37" t="s">
        <v>1129</v>
      </c>
      <c r="B233" s="37">
        <v>6</v>
      </c>
    </row>
    <row r="234" spans="1:2">
      <c r="A234" s="37" t="s">
        <v>1129</v>
      </c>
      <c r="B234" s="37">
        <v>6</v>
      </c>
    </row>
    <row r="235" spans="1:2">
      <c r="A235" s="37" t="s">
        <v>1129</v>
      </c>
      <c r="B235" s="37">
        <v>6</v>
      </c>
    </row>
    <row r="236" spans="1:2">
      <c r="A236" s="37" t="s">
        <v>1129</v>
      </c>
      <c r="B236" s="37">
        <v>6</v>
      </c>
    </row>
    <row r="237" spans="1:2">
      <c r="A237" s="37" t="s">
        <v>1129</v>
      </c>
      <c r="B237" s="37">
        <v>6</v>
      </c>
    </row>
    <row r="238" spans="1:2">
      <c r="A238" s="3" t="s">
        <v>1129</v>
      </c>
      <c r="B238" s="3">
        <v>6</v>
      </c>
    </row>
    <row r="239" spans="1:2">
      <c r="A239" s="37" t="s">
        <v>1129</v>
      </c>
      <c r="B239" s="37">
        <v>6</v>
      </c>
    </row>
    <row r="240" spans="1:2">
      <c r="A240" s="37" t="s">
        <v>1129</v>
      </c>
      <c r="B240" s="37">
        <v>6</v>
      </c>
    </row>
    <row r="241" spans="1:2">
      <c r="A241" s="37" t="s">
        <v>1129</v>
      </c>
      <c r="B241" s="37">
        <v>6</v>
      </c>
    </row>
    <row r="242" spans="1:2">
      <c r="A242" s="37" t="s">
        <v>1129</v>
      </c>
      <c r="B242" s="37">
        <v>6</v>
      </c>
    </row>
    <row r="243" spans="1:2">
      <c r="A243" s="37" t="s">
        <v>1129</v>
      </c>
      <c r="B243" s="37">
        <v>6</v>
      </c>
    </row>
    <row r="244" spans="1:2">
      <c r="A244" s="37" t="s">
        <v>1129</v>
      </c>
      <c r="B244" s="37">
        <v>6</v>
      </c>
    </row>
    <row r="245" spans="1:2">
      <c r="A245" s="37" t="s">
        <v>1129</v>
      </c>
      <c r="B245" s="37">
        <v>6</v>
      </c>
    </row>
    <row r="246" spans="1:2">
      <c r="A246" s="37" t="s">
        <v>1129</v>
      </c>
      <c r="B246" s="37">
        <v>6</v>
      </c>
    </row>
    <row r="247" spans="1:2">
      <c r="A247" s="37" t="s">
        <v>1129</v>
      </c>
      <c r="B247" s="37">
        <v>6</v>
      </c>
    </row>
    <row r="248" spans="1:2">
      <c r="A248" s="37" t="s">
        <v>1129</v>
      </c>
      <c r="B248" s="37">
        <v>6</v>
      </c>
    </row>
    <row r="249" spans="1:2">
      <c r="A249" s="3" t="s">
        <v>1129</v>
      </c>
      <c r="B249" s="3">
        <v>6</v>
      </c>
    </row>
    <row r="250" spans="1:2">
      <c r="A250" s="5" t="s">
        <v>1227</v>
      </c>
      <c r="B250" s="5">
        <v>9</v>
      </c>
    </row>
    <row r="251" spans="1:2">
      <c r="A251" s="5" t="s">
        <v>1227</v>
      </c>
      <c r="B251" s="5">
        <v>9</v>
      </c>
    </row>
    <row r="252" spans="1:2">
      <c r="A252" s="7" t="s">
        <v>1227</v>
      </c>
      <c r="B252" s="7">
        <v>9</v>
      </c>
    </row>
    <row r="253" spans="1:2">
      <c r="A253" s="7" t="s">
        <v>1227</v>
      </c>
      <c r="B253" s="7">
        <v>9</v>
      </c>
    </row>
    <row r="254" spans="1:2">
      <c r="A254" s="7" t="s">
        <v>1227</v>
      </c>
      <c r="B254" s="7">
        <v>9</v>
      </c>
    </row>
    <row r="255" spans="1:2">
      <c r="A255" s="7" t="s">
        <v>1227</v>
      </c>
      <c r="B255" s="7">
        <v>9</v>
      </c>
    </row>
    <row r="256" spans="1:2">
      <c r="A256" s="7" t="s">
        <v>1227</v>
      </c>
      <c r="B256" s="7">
        <v>9</v>
      </c>
    </row>
    <row r="257" spans="1:2">
      <c r="A257" s="7" t="s">
        <v>1227</v>
      </c>
      <c r="B257" s="7">
        <v>9</v>
      </c>
    </row>
    <row r="258" spans="1:2">
      <c r="A258" s="7" t="s">
        <v>1227</v>
      </c>
      <c r="B258" s="7">
        <v>9</v>
      </c>
    </row>
    <row r="259" spans="1:2">
      <c r="A259" s="7" t="s">
        <v>1227</v>
      </c>
      <c r="B259" s="7">
        <v>9</v>
      </c>
    </row>
    <row r="260" spans="1:2">
      <c r="A260" s="7" t="s">
        <v>1227</v>
      </c>
      <c r="B260" s="7">
        <v>9</v>
      </c>
    </row>
    <row r="261" spans="1:2">
      <c r="A261" s="7" t="s">
        <v>1227</v>
      </c>
      <c r="B261" s="7">
        <v>9</v>
      </c>
    </row>
    <row r="262" spans="1:2">
      <c r="A262" s="3" t="s">
        <v>1227</v>
      </c>
      <c r="B262" s="3">
        <v>9</v>
      </c>
    </row>
    <row r="263" spans="1:2">
      <c r="A263" s="34" t="s">
        <v>1227</v>
      </c>
      <c r="B263" s="34">
        <v>9</v>
      </c>
    </row>
    <row r="264" spans="1:2">
      <c r="A264" s="34" t="s">
        <v>1227</v>
      </c>
      <c r="B264" s="34">
        <v>9</v>
      </c>
    </row>
    <row r="265" spans="1:2">
      <c r="A265" s="34" t="s">
        <v>1227</v>
      </c>
      <c r="B265" s="34">
        <v>9</v>
      </c>
    </row>
    <row r="266" spans="1:2">
      <c r="A266" s="34" t="s">
        <v>1227</v>
      </c>
      <c r="B266" s="34">
        <v>9</v>
      </c>
    </row>
    <row r="267" spans="1:2">
      <c r="A267" s="34" t="s">
        <v>1227</v>
      </c>
      <c r="B267" s="34">
        <v>9</v>
      </c>
    </row>
    <row r="268" spans="1:2">
      <c r="A268" s="34" t="s">
        <v>1227</v>
      </c>
      <c r="B268" s="34">
        <v>9</v>
      </c>
    </row>
    <row r="269" spans="1:2">
      <c r="A269" s="34" t="s">
        <v>1227</v>
      </c>
      <c r="B269" s="34">
        <v>9</v>
      </c>
    </row>
    <row r="270" spans="1:2">
      <c r="A270" s="34" t="s">
        <v>1227</v>
      </c>
      <c r="B270" s="34">
        <v>9</v>
      </c>
    </row>
    <row r="271" spans="1:2">
      <c r="A271" s="34" t="s">
        <v>1227</v>
      </c>
      <c r="B271" s="34">
        <v>9</v>
      </c>
    </row>
    <row r="272" spans="1:2">
      <c r="A272" s="34" t="s">
        <v>1227</v>
      </c>
      <c r="B272" s="34">
        <v>9</v>
      </c>
    </row>
    <row r="273" spans="1:2">
      <c r="A273" s="3" t="s">
        <v>1227</v>
      </c>
      <c r="B273" s="3">
        <v>9</v>
      </c>
    </row>
    <row r="274" spans="1:2">
      <c r="A274" s="5" t="s">
        <v>1341</v>
      </c>
      <c r="B274" s="5">
        <v>10</v>
      </c>
    </row>
    <row r="275" spans="1:2">
      <c r="A275" s="5" t="s">
        <v>1341</v>
      </c>
      <c r="B275" s="5">
        <v>10</v>
      </c>
    </row>
    <row r="276" spans="1:2">
      <c r="A276" s="31" t="s">
        <v>1341</v>
      </c>
      <c r="B276" s="31">
        <v>10</v>
      </c>
    </row>
    <row r="277" spans="1:2">
      <c r="A277" s="31" t="s">
        <v>1341</v>
      </c>
      <c r="B277" s="31">
        <v>10</v>
      </c>
    </row>
    <row r="278" spans="1:2">
      <c r="A278" s="31" t="s">
        <v>1341</v>
      </c>
      <c r="B278" s="31">
        <v>10</v>
      </c>
    </row>
    <row r="279" spans="1:2">
      <c r="A279" s="31" t="s">
        <v>1341</v>
      </c>
      <c r="B279" s="31">
        <v>10</v>
      </c>
    </row>
    <row r="280" spans="1:2">
      <c r="A280" s="31" t="s">
        <v>1341</v>
      </c>
      <c r="B280" s="31">
        <v>10</v>
      </c>
    </row>
    <row r="281" spans="1:2">
      <c r="A281" s="31" t="s">
        <v>1341</v>
      </c>
      <c r="B281" s="31">
        <v>10</v>
      </c>
    </row>
    <row r="282" spans="1:2">
      <c r="A282" s="31" t="s">
        <v>1341</v>
      </c>
      <c r="B282" s="31">
        <v>10</v>
      </c>
    </row>
    <row r="283" spans="1:2">
      <c r="A283" s="31" t="s">
        <v>1341</v>
      </c>
      <c r="B283" s="31">
        <v>10</v>
      </c>
    </row>
    <row r="284" spans="1:2">
      <c r="A284" s="31" t="s">
        <v>1341</v>
      </c>
      <c r="B284" s="31">
        <v>10</v>
      </c>
    </row>
    <row r="285" spans="1:2">
      <c r="A285" s="31" t="s">
        <v>1341</v>
      </c>
      <c r="B285" s="31">
        <v>10</v>
      </c>
    </row>
    <row r="286" spans="1:2">
      <c r="A286" s="31" t="s">
        <v>1341</v>
      </c>
      <c r="B286" s="31">
        <v>10</v>
      </c>
    </row>
    <row r="287" spans="1:2">
      <c r="A287" s="3" t="s">
        <v>1341</v>
      </c>
      <c r="B287" s="3">
        <v>10</v>
      </c>
    </row>
    <row r="288" spans="1:2">
      <c r="A288" s="34" t="s">
        <v>1341</v>
      </c>
      <c r="B288" s="34">
        <v>10</v>
      </c>
    </row>
    <row r="289" spans="1:2">
      <c r="A289" s="34" t="s">
        <v>1341</v>
      </c>
      <c r="B289" s="34">
        <v>10</v>
      </c>
    </row>
    <row r="290" spans="1:2">
      <c r="A290" s="34" t="s">
        <v>1341</v>
      </c>
      <c r="B290" s="34">
        <v>10</v>
      </c>
    </row>
    <row r="291" spans="1:2">
      <c r="A291" s="34" t="s">
        <v>1341</v>
      </c>
      <c r="B291" s="34">
        <v>10</v>
      </c>
    </row>
    <row r="292" spans="1:2">
      <c r="A292" s="34" t="s">
        <v>1341</v>
      </c>
      <c r="B292" s="34">
        <v>10</v>
      </c>
    </row>
    <row r="293" spans="1:2">
      <c r="A293" s="34" t="s">
        <v>1341</v>
      </c>
      <c r="B293" s="34">
        <v>10</v>
      </c>
    </row>
    <row r="294" spans="1:2">
      <c r="A294" s="34" t="s">
        <v>1341</v>
      </c>
      <c r="B294" s="34">
        <v>10</v>
      </c>
    </row>
    <row r="295" spans="1:2">
      <c r="A295" s="34" t="s">
        <v>1341</v>
      </c>
      <c r="B295" s="34">
        <v>10</v>
      </c>
    </row>
    <row r="296" spans="1:2">
      <c r="A296" s="34" t="s">
        <v>1341</v>
      </c>
      <c r="B296" s="34">
        <v>10</v>
      </c>
    </row>
    <row r="297" spans="1:2">
      <c r="A297" s="34" t="s">
        <v>1341</v>
      </c>
      <c r="B297" s="34">
        <v>10</v>
      </c>
    </row>
    <row r="298" spans="1:2">
      <c r="A298" s="3" t="s">
        <v>1341</v>
      </c>
      <c r="B298" s="3">
        <v>10</v>
      </c>
    </row>
    <row r="299" spans="1:2">
      <c r="A299" s="34" t="s">
        <v>1341</v>
      </c>
      <c r="B299" s="34">
        <v>10</v>
      </c>
    </row>
    <row r="300" spans="1:2">
      <c r="A300" s="34" t="s">
        <v>1341</v>
      </c>
      <c r="B300" s="34">
        <v>10</v>
      </c>
    </row>
    <row r="301" spans="1:2">
      <c r="A301" s="34" t="s">
        <v>1341</v>
      </c>
      <c r="B301" s="34">
        <v>10</v>
      </c>
    </row>
    <row r="302" spans="1:2">
      <c r="A302" s="34" t="s">
        <v>1341</v>
      </c>
      <c r="B302" s="34">
        <v>10</v>
      </c>
    </row>
    <row r="303" spans="1:2">
      <c r="A303" s="34" t="s">
        <v>1341</v>
      </c>
      <c r="B303" s="34">
        <v>10</v>
      </c>
    </row>
    <row r="304" spans="1:2">
      <c r="A304" s="34" t="s">
        <v>1341</v>
      </c>
      <c r="B304" s="34">
        <v>10</v>
      </c>
    </row>
    <row r="305" spans="1:2">
      <c r="A305" s="34" t="s">
        <v>1341</v>
      </c>
      <c r="B305" s="34">
        <v>10</v>
      </c>
    </row>
    <row r="306" spans="1:2">
      <c r="A306" s="34" t="s">
        <v>1341</v>
      </c>
      <c r="B306" s="34">
        <v>10</v>
      </c>
    </row>
    <row r="307" spans="1:2">
      <c r="A307" s="34" t="s">
        <v>1341</v>
      </c>
      <c r="B307" s="34">
        <v>10</v>
      </c>
    </row>
    <row r="308" spans="1:2">
      <c r="A308" s="34" t="s">
        <v>1341</v>
      </c>
      <c r="B308" s="34">
        <v>10</v>
      </c>
    </row>
    <row r="309" spans="1:2">
      <c r="A309" s="3" t="s">
        <v>1341</v>
      </c>
      <c r="B309" s="3">
        <v>10</v>
      </c>
    </row>
    <row r="310" spans="1:2">
      <c r="A310" s="34" t="s">
        <v>1341</v>
      </c>
      <c r="B310" s="34">
        <v>10</v>
      </c>
    </row>
    <row r="311" spans="1:2">
      <c r="A311" s="34" t="s">
        <v>1341</v>
      </c>
      <c r="B311" s="34">
        <v>10</v>
      </c>
    </row>
    <row r="312" spans="1:2">
      <c r="A312" s="34" t="s">
        <v>1341</v>
      </c>
      <c r="B312" s="34">
        <v>10</v>
      </c>
    </row>
    <row r="313" spans="1:2">
      <c r="A313" s="34" t="s">
        <v>1341</v>
      </c>
      <c r="B313" s="34">
        <v>10</v>
      </c>
    </row>
    <row r="314" spans="1:2">
      <c r="A314" s="34" t="s">
        <v>1341</v>
      </c>
      <c r="B314" s="34">
        <v>10</v>
      </c>
    </row>
    <row r="315" spans="1:2">
      <c r="A315" s="34" t="s">
        <v>1341</v>
      </c>
      <c r="B315" s="34">
        <v>10</v>
      </c>
    </row>
    <row r="316" spans="1:2">
      <c r="A316" s="34" t="s">
        <v>1341</v>
      </c>
      <c r="B316" s="34">
        <v>10</v>
      </c>
    </row>
    <row r="317" spans="1:2">
      <c r="A317" s="34" t="s">
        <v>1341</v>
      </c>
      <c r="B317" s="34">
        <v>10</v>
      </c>
    </row>
    <row r="318" spans="1:2">
      <c r="A318" s="34" t="s">
        <v>1341</v>
      </c>
      <c r="B318" s="34">
        <v>10</v>
      </c>
    </row>
    <row r="319" spans="1:2">
      <c r="A319" s="34" t="s">
        <v>1341</v>
      </c>
      <c r="B319" s="34">
        <v>10</v>
      </c>
    </row>
    <row r="320" spans="1:2">
      <c r="A320" s="3" t="s">
        <v>1341</v>
      </c>
      <c r="B320" s="3">
        <v>10</v>
      </c>
    </row>
    <row r="321" spans="1:2">
      <c r="A321" s="38" t="s">
        <v>1520</v>
      </c>
      <c r="B321" s="38">
        <v>11</v>
      </c>
    </row>
    <row r="322" spans="1:2">
      <c r="A322" s="38" t="s">
        <v>1520</v>
      </c>
      <c r="B322" s="38">
        <v>11</v>
      </c>
    </row>
    <row r="323" spans="1:2">
      <c r="A323" s="33" t="s">
        <v>1520</v>
      </c>
      <c r="B323" s="33">
        <v>11</v>
      </c>
    </row>
    <row r="324" spans="1:2">
      <c r="A324" s="33" t="s">
        <v>1520</v>
      </c>
      <c r="B324" s="33">
        <v>11</v>
      </c>
    </row>
    <row r="325" spans="1:2">
      <c r="A325" s="33" t="s">
        <v>1520</v>
      </c>
      <c r="B325" s="33">
        <v>11</v>
      </c>
    </row>
    <row r="326" spans="1:2">
      <c r="A326" s="33" t="s">
        <v>1520</v>
      </c>
      <c r="B326" s="33">
        <v>11</v>
      </c>
    </row>
    <row r="327" spans="1:2">
      <c r="A327" s="33" t="s">
        <v>1520</v>
      </c>
      <c r="B327" s="33">
        <v>11</v>
      </c>
    </row>
    <row r="328" spans="1:2">
      <c r="A328" s="33" t="s">
        <v>1520</v>
      </c>
      <c r="B328" s="33">
        <v>11</v>
      </c>
    </row>
    <row r="329" spans="1:2">
      <c r="A329" s="33" t="s">
        <v>1520</v>
      </c>
      <c r="B329" s="33">
        <v>11</v>
      </c>
    </row>
    <row r="330" spans="1:2">
      <c r="A330" s="33" t="s">
        <v>1520</v>
      </c>
      <c r="B330" s="33">
        <v>11</v>
      </c>
    </row>
    <row r="331" spans="1:2">
      <c r="A331" s="33" t="s">
        <v>1520</v>
      </c>
      <c r="B331" s="33">
        <v>11</v>
      </c>
    </row>
    <row r="332" spans="1:2">
      <c r="A332" s="33" t="s">
        <v>1520</v>
      </c>
      <c r="B332" s="33">
        <v>11</v>
      </c>
    </row>
    <row r="333" spans="1:2">
      <c r="A333" s="3" t="s">
        <v>1520</v>
      </c>
      <c r="B333" s="3">
        <v>11</v>
      </c>
    </row>
    <row r="334" spans="1:2">
      <c r="A334" s="37" t="s">
        <v>1630</v>
      </c>
      <c r="B334" s="37">
        <v>13</v>
      </c>
    </row>
    <row r="335" spans="1:2">
      <c r="A335" s="37" t="s">
        <v>1630</v>
      </c>
      <c r="B335" s="37">
        <v>13</v>
      </c>
    </row>
    <row r="336" spans="1:2">
      <c r="A336" s="37" t="s">
        <v>1630</v>
      </c>
      <c r="B336" s="37">
        <v>13</v>
      </c>
    </row>
    <row r="337" spans="1:2">
      <c r="A337" s="37" t="s">
        <v>1630</v>
      </c>
      <c r="B337" s="37">
        <v>13</v>
      </c>
    </row>
    <row r="338" spans="1:2">
      <c r="A338" s="37" t="s">
        <v>1630</v>
      </c>
      <c r="B338" s="37">
        <v>13</v>
      </c>
    </row>
    <row r="339" spans="1:2">
      <c r="A339" s="37" t="s">
        <v>1630</v>
      </c>
      <c r="B339" s="37">
        <v>13</v>
      </c>
    </row>
    <row r="340" spans="1:2">
      <c r="A340" s="37" t="s">
        <v>1630</v>
      </c>
      <c r="B340" s="37">
        <v>13</v>
      </c>
    </row>
    <row r="341" spans="1:2">
      <c r="A341" s="37" t="s">
        <v>1630</v>
      </c>
      <c r="B341" s="37">
        <v>13</v>
      </c>
    </row>
    <row r="342" spans="1:2">
      <c r="A342" s="37" t="s">
        <v>1630</v>
      </c>
      <c r="B342" s="37">
        <v>13</v>
      </c>
    </row>
    <row r="343" spans="1:2">
      <c r="A343" s="37" t="s">
        <v>1630</v>
      </c>
      <c r="B343" s="37">
        <v>13</v>
      </c>
    </row>
    <row r="344" spans="1:2">
      <c r="A344" s="37" t="s">
        <v>1630</v>
      </c>
      <c r="B344" s="37">
        <v>13</v>
      </c>
    </row>
    <row r="345" spans="1:2">
      <c r="A345" s="37" t="s">
        <v>1630</v>
      </c>
      <c r="B345" s="37">
        <v>13</v>
      </c>
    </row>
    <row r="346" spans="1:2">
      <c r="A346" s="3" t="s">
        <v>1630</v>
      </c>
      <c r="B346" s="3">
        <v>13</v>
      </c>
    </row>
    <row r="347" spans="1:2">
      <c r="A347" s="5" t="s">
        <v>1715</v>
      </c>
      <c r="B347" s="5">
        <v>14</v>
      </c>
    </row>
    <row r="348" spans="1:2">
      <c r="A348" s="5" t="s">
        <v>1715</v>
      </c>
      <c r="B348" s="5">
        <v>14</v>
      </c>
    </row>
    <row r="349" spans="1:2">
      <c r="A349" s="6" t="s">
        <v>1715</v>
      </c>
      <c r="B349" s="6">
        <v>14</v>
      </c>
    </row>
    <row r="350" spans="1:2">
      <c r="A350" s="6" t="s">
        <v>1715</v>
      </c>
      <c r="B350" s="6">
        <v>14</v>
      </c>
    </row>
    <row r="351" spans="1:2">
      <c r="A351" s="6" t="s">
        <v>1715</v>
      </c>
      <c r="B351" s="6">
        <v>14</v>
      </c>
    </row>
    <row r="352" spans="1:2">
      <c r="A352" s="6" t="s">
        <v>1715</v>
      </c>
      <c r="B352" s="6">
        <v>14</v>
      </c>
    </row>
    <row r="353" spans="1:2">
      <c r="A353" s="6" t="s">
        <v>1715</v>
      </c>
      <c r="B353" s="6">
        <v>14</v>
      </c>
    </row>
    <row r="354" spans="1:2">
      <c r="A354" s="6" t="s">
        <v>1715</v>
      </c>
      <c r="B354" s="6">
        <v>14</v>
      </c>
    </row>
    <row r="355" spans="1:2">
      <c r="A355" s="6" t="s">
        <v>1715</v>
      </c>
      <c r="B355" s="6">
        <v>14</v>
      </c>
    </row>
    <row r="356" spans="1:2">
      <c r="A356" s="6" t="s">
        <v>1715</v>
      </c>
      <c r="B356" s="6">
        <v>14</v>
      </c>
    </row>
    <row r="357" spans="1:2">
      <c r="A357" s="6" t="s">
        <v>1715</v>
      </c>
      <c r="B357" s="6">
        <v>14</v>
      </c>
    </row>
    <row r="358" spans="1:2">
      <c r="A358" s="6" t="s">
        <v>1715</v>
      </c>
      <c r="B358" s="6">
        <v>14</v>
      </c>
    </row>
    <row r="359" spans="1:2">
      <c r="A359" s="3" t="s">
        <v>1715</v>
      </c>
      <c r="B359" s="3">
        <v>14</v>
      </c>
    </row>
    <row r="360" spans="1:2">
      <c r="A360" s="37" t="s">
        <v>1574</v>
      </c>
      <c r="B360" s="37">
        <v>12</v>
      </c>
    </row>
    <row r="361" spans="1:2">
      <c r="A361" s="37" t="s">
        <v>1574</v>
      </c>
      <c r="B361" s="37">
        <v>12</v>
      </c>
    </row>
    <row r="362" spans="1:2">
      <c r="A362" s="37" t="s">
        <v>1574</v>
      </c>
      <c r="B362" s="37">
        <v>12</v>
      </c>
    </row>
    <row r="363" spans="1:2">
      <c r="A363" s="37" t="s">
        <v>1574</v>
      </c>
      <c r="B363" s="37">
        <v>12</v>
      </c>
    </row>
    <row r="364" spans="1:2">
      <c r="A364" s="37" t="s">
        <v>1574</v>
      </c>
      <c r="B364" s="37">
        <v>12</v>
      </c>
    </row>
    <row r="365" spans="1:2">
      <c r="A365" s="37" t="s">
        <v>1574</v>
      </c>
      <c r="B365" s="37">
        <v>12</v>
      </c>
    </row>
    <row r="366" spans="1:2">
      <c r="A366" s="37" t="s">
        <v>1574</v>
      </c>
      <c r="B366" s="37">
        <v>12</v>
      </c>
    </row>
    <row r="367" spans="1:2">
      <c r="A367" s="37" t="s">
        <v>1574</v>
      </c>
      <c r="B367" s="37">
        <v>12</v>
      </c>
    </row>
    <row r="368" spans="1:2">
      <c r="A368" s="37" t="s">
        <v>1574</v>
      </c>
      <c r="B368" s="37">
        <v>12</v>
      </c>
    </row>
    <row r="369" spans="1:2">
      <c r="A369" s="37" t="s">
        <v>1574</v>
      </c>
      <c r="B369" s="37">
        <v>12</v>
      </c>
    </row>
    <row r="370" spans="1:2">
      <c r="A370" s="37" t="s">
        <v>1574</v>
      </c>
      <c r="B370" s="37">
        <v>12</v>
      </c>
    </row>
    <row r="371" spans="1:2">
      <c r="A371" s="37" t="s">
        <v>1574</v>
      </c>
      <c r="B371" s="37">
        <v>12</v>
      </c>
    </row>
    <row r="372" spans="1:2">
      <c r="A372" s="3" t="s">
        <v>1574</v>
      </c>
      <c r="B372" s="3">
        <v>12</v>
      </c>
    </row>
    <row r="373" spans="1:2">
      <c r="A373" s="5" t="s">
        <v>1770</v>
      </c>
      <c r="B373" s="5">
        <v>15</v>
      </c>
    </row>
    <row r="374" spans="1:2">
      <c r="A374" s="5" t="s">
        <v>1770</v>
      </c>
      <c r="B374" s="5">
        <v>15</v>
      </c>
    </row>
    <row r="375" spans="1:2">
      <c r="A375" s="5" t="s">
        <v>1770</v>
      </c>
      <c r="B375" s="5">
        <v>15</v>
      </c>
    </row>
    <row r="376" spans="1:2">
      <c r="A376" s="5" t="s">
        <v>1770</v>
      </c>
      <c r="B376" s="5">
        <v>15</v>
      </c>
    </row>
    <row r="377" spans="1:2">
      <c r="A377" s="5" t="s">
        <v>1770</v>
      </c>
      <c r="B377" s="5">
        <v>15</v>
      </c>
    </row>
    <row r="378" spans="1:2">
      <c r="A378" s="5" t="s">
        <v>1770</v>
      </c>
      <c r="B378" s="5">
        <v>15</v>
      </c>
    </row>
    <row r="379" spans="1:2">
      <c r="A379" s="5" t="s">
        <v>1770</v>
      </c>
      <c r="B379" s="5">
        <v>15</v>
      </c>
    </row>
    <row r="380" spans="1:2">
      <c r="A380" s="5" t="s">
        <v>1770</v>
      </c>
      <c r="B380" s="5">
        <v>15</v>
      </c>
    </row>
    <row r="381" spans="1:2">
      <c r="A381" s="5" t="s">
        <v>1770</v>
      </c>
      <c r="B381" s="5">
        <v>15</v>
      </c>
    </row>
    <row r="382" spans="1:2">
      <c r="A382" s="5" t="s">
        <v>1770</v>
      </c>
      <c r="B382" s="5">
        <v>15</v>
      </c>
    </row>
    <row r="383" spans="1:2">
      <c r="A383" s="5" t="s">
        <v>1770</v>
      </c>
      <c r="B383" s="5">
        <v>15</v>
      </c>
    </row>
    <row r="384" spans="1:2">
      <c r="A384" s="5" t="s">
        <v>1770</v>
      </c>
      <c r="B384" s="5">
        <v>15</v>
      </c>
    </row>
    <row r="385" spans="1:2">
      <c r="A385" s="3" t="s">
        <v>1770</v>
      </c>
      <c r="B385" s="3">
        <v>15</v>
      </c>
    </row>
    <row r="386" spans="1:2">
      <c r="A386" s="33" t="s">
        <v>1770</v>
      </c>
      <c r="B386" s="33">
        <v>15</v>
      </c>
    </row>
    <row r="387" spans="1:2">
      <c r="A387" s="33" t="s">
        <v>1770</v>
      </c>
      <c r="B387" s="33">
        <v>15</v>
      </c>
    </row>
    <row r="388" spans="1:2">
      <c r="A388" s="33" t="s">
        <v>1770</v>
      </c>
      <c r="B388" s="33">
        <v>15</v>
      </c>
    </row>
    <row r="389" spans="1:2">
      <c r="A389" s="33" t="s">
        <v>1770</v>
      </c>
      <c r="B389" s="33">
        <v>15</v>
      </c>
    </row>
    <row r="390" spans="1:2">
      <c r="A390" s="33" t="s">
        <v>1770</v>
      </c>
      <c r="B390" s="33">
        <v>15</v>
      </c>
    </row>
    <row r="391" spans="1:2">
      <c r="A391" s="33" t="s">
        <v>1770</v>
      </c>
      <c r="B391" s="33">
        <v>15</v>
      </c>
    </row>
    <row r="392" spans="1:2">
      <c r="A392" s="33" t="s">
        <v>1770</v>
      </c>
      <c r="B392" s="33">
        <v>15</v>
      </c>
    </row>
    <row r="393" spans="1:2">
      <c r="A393" s="33" t="s">
        <v>1770</v>
      </c>
      <c r="B393" s="33">
        <v>15</v>
      </c>
    </row>
    <row r="394" spans="1:2">
      <c r="A394" s="33" t="s">
        <v>1770</v>
      </c>
      <c r="B394" s="33">
        <v>15</v>
      </c>
    </row>
    <row r="395" spans="1:2">
      <c r="A395" s="33" t="s">
        <v>1770</v>
      </c>
      <c r="B395" s="33">
        <v>15</v>
      </c>
    </row>
    <row r="396" spans="1:2">
      <c r="A396" s="3" t="s">
        <v>1770</v>
      </c>
      <c r="B396" s="3">
        <v>15</v>
      </c>
    </row>
    <row r="397" spans="1:2">
      <c r="A397" s="39" t="s">
        <v>325</v>
      </c>
      <c r="B397" s="39">
        <v>2</v>
      </c>
    </row>
    <row r="398" spans="1:2">
      <c r="A398" s="36"/>
      <c r="B398" s="36">
        <v>7</v>
      </c>
    </row>
    <row r="399" spans="1:2">
      <c r="A399" s="36"/>
      <c r="B399" s="36">
        <v>7</v>
      </c>
    </row>
    <row r="400" spans="1:2">
      <c r="A400" s="36"/>
      <c r="B400" s="36">
        <v>7</v>
      </c>
    </row>
    <row r="401" spans="1:2">
      <c r="A401" s="36"/>
      <c r="B401" s="36">
        <v>7</v>
      </c>
    </row>
    <row r="402" spans="1:2">
      <c r="A402" s="36"/>
      <c r="B402" s="36">
        <v>7</v>
      </c>
    </row>
    <row r="403" spans="1:2">
      <c r="A403" s="36"/>
      <c r="B403" s="36">
        <v>7</v>
      </c>
    </row>
    <row r="404" spans="1:2">
      <c r="A404" s="36"/>
      <c r="B404" s="36">
        <v>7</v>
      </c>
    </row>
    <row r="405" spans="1:2">
      <c r="A405" s="36"/>
      <c r="B405" s="36">
        <v>7</v>
      </c>
    </row>
    <row r="406" spans="1:2">
      <c r="A406" s="3">
        <v>0</v>
      </c>
      <c r="B406" s="3">
        <v>7</v>
      </c>
    </row>
    <row r="407" spans="1:2">
      <c r="A407" s="37"/>
      <c r="B407" s="37">
        <v>7</v>
      </c>
    </row>
    <row r="408" spans="1:2">
      <c r="A408" s="37"/>
      <c r="B408" s="37">
        <v>7</v>
      </c>
    </row>
    <row r="409" spans="1:2">
      <c r="A409" s="37"/>
      <c r="B409" s="37">
        <v>7</v>
      </c>
    </row>
    <row r="410" spans="1:2">
      <c r="A410" s="37"/>
      <c r="B410" s="37">
        <v>7</v>
      </c>
    </row>
    <row r="411" spans="1:2">
      <c r="A411" s="37"/>
      <c r="B411" s="37">
        <v>7</v>
      </c>
    </row>
    <row r="412" spans="1:2">
      <c r="A412" s="37"/>
      <c r="B412" s="37">
        <v>7</v>
      </c>
    </row>
    <row r="413" spans="1:2">
      <c r="A413" s="37"/>
      <c r="B413" s="37">
        <v>7</v>
      </c>
    </row>
    <row r="414" spans="1:2">
      <c r="A414" s="37"/>
      <c r="B414" s="37">
        <v>7</v>
      </c>
    </row>
    <row r="415" spans="1:2">
      <c r="A415" s="3">
        <v>0</v>
      </c>
      <c r="B415" s="3">
        <v>7</v>
      </c>
    </row>
    <row r="416" spans="1:2">
      <c r="A416" s="6"/>
      <c r="B416" s="6">
        <v>7</v>
      </c>
    </row>
    <row r="417" spans="1:2">
      <c r="A417" s="6"/>
      <c r="B417" s="6">
        <v>7</v>
      </c>
    </row>
    <row r="418" spans="1:2">
      <c r="A418" s="6"/>
      <c r="B418" s="6">
        <v>7</v>
      </c>
    </row>
    <row r="419" spans="1:2">
      <c r="A419" s="6"/>
      <c r="B419" s="6">
        <v>7</v>
      </c>
    </row>
    <row r="420" spans="1:2">
      <c r="A420" s="6"/>
      <c r="B420" s="6">
        <v>7</v>
      </c>
    </row>
    <row r="421" spans="1:2">
      <c r="A421" s="6"/>
      <c r="B421" s="6">
        <v>7</v>
      </c>
    </row>
    <row r="422" spans="1:2">
      <c r="A422" s="6"/>
      <c r="B422" s="6">
        <v>7</v>
      </c>
    </row>
    <row r="423" spans="1:2">
      <c r="A423" s="40"/>
      <c r="B423" s="40">
        <v>7</v>
      </c>
    </row>
    <row r="424" spans="1:2">
      <c r="A424" s="3">
        <v>0</v>
      </c>
      <c r="B424" s="3">
        <v>7</v>
      </c>
    </row>
    <row r="425" spans="1:2">
      <c r="A425" s="41"/>
      <c r="B425" s="41">
        <v>7</v>
      </c>
    </row>
    <row r="426" spans="1:2">
      <c r="A426" s="41"/>
      <c r="B426" s="41">
        <v>7</v>
      </c>
    </row>
    <row r="427" spans="1:2">
      <c r="A427" s="41"/>
      <c r="B427" s="41">
        <v>7</v>
      </c>
    </row>
    <row r="428" spans="1:2">
      <c r="A428" s="41"/>
      <c r="B428" s="41">
        <v>7</v>
      </c>
    </row>
    <row r="429" spans="1:2">
      <c r="A429" s="41"/>
      <c r="B429" s="41">
        <v>7</v>
      </c>
    </row>
    <row r="430" spans="1:2">
      <c r="A430" s="41"/>
      <c r="B430" s="41">
        <v>7</v>
      </c>
    </row>
    <row r="431" spans="1:2">
      <c r="A431" s="41"/>
      <c r="B431" s="41">
        <v>7</v>
      </c>
    </row>
    <row r="432" spans="1:2">
      <c r="A432" s="41"/>
      <c r="B432" s="41">
        <v>7</v>
      </c>
    </row>
    <row r="433" spans="1:2">
      <c r="A433" s="3">
        <v>0</v>
      </c>
      <c r="B433" s="3">
        <v>7</v>
      </c>
    </row>
    <row r="434" spans="1:2">
      <c r="A434" s="6"/>
      <c r="B434" s="6">
        <v>7</v>
      </c>
    </row>
    <row r="435" spans="1:2">
      <c r="A435" s="6"/>
      <c r="B435" s="6">
        <v>7</v>
      </c>
    </row>
    <row r="436" spans="1:2">
      <c r="A436" s="6"/>
      <c r="B436" s="6">
        <v>7</v>
      </c>
    </row>
    <row r="437" spans="1:2">
      <c r="A437" s="6"/>
      <c r="B437" s="6">
        <v>7</v>
      </c>
    </row>
    <row r="438" spans="1:2">
      <c r="A438" s="6"/>
      <c r="B438" s="6">
        <v>7</v>
      </c>
    </row>
    <row r="439" spans="1:2">
      <c r="A439" s="6"/>
      <c r="B439" s="6">
        <v>7</v>
      </c>
    </row>
    <row r="440" spans="1:2">
      <c r="A440" s="6"/>
      <c r="B440" s="6">
        <v>7</v>
      </c>
    </row>
    <row r="441" spans="1:2">
      <c r="A441" s="6"/>
      <c r="B441" s="6">
        <v>7</v>
      </c>
    </row>
    <row r="442" spans="1:2">
      <c r="A442" s="3">
        <v>0</v>
      </c>
      <c r="B442" s="3">
        <v>7</v>
      </c>
    </row>
    <row r="443" spans="1:2">
      <c r="A443" s="28"/>
      <c r="B443" s="28">
        <v>7</v>
      </c>
    </row>
    <row r="444" spans="1:2">
      <c r="A444" s="28"/>
      <c r="B444" s="28">
        <v>7</v>
      </c>
    </row>
    <row r="445" spans="1:2">
      <c r="A445" s="28"/>
      <c r="B445" s="28">
        <v>7</v>
      </c>
    </row>
    <row r="446" spans="1:2">
      <c r="A446" s="28"/>
      <c r="B446" s="28">
        <v>7</v>
      </c>
    </row>
    <row r="447" spans="1:2">
      <c r="A447" s="28"/>
      <c r="B447" s="28">
        <v>7</v>
      </c>
    </row>
    <row r="448" spans="1:2">
      <c r="A448" s="28"/>
      <c r="B448" s="28">
        <v>7</v>
      </c>
    </row>
    <row r="449" spans="1:2">
      <c r="A449" s="28"/>
      <c r="B449" s="28">
        <v>7</v>
      </c>
    </row>
    <row r="450" spans="1:2">
      <c r="A450" s="28"/>
      <c r="B450" s="28">
        <v>7</v>
      </c>
    </row>
    <row r="451" spans="1:2">
      <c r="A451" s="3">
        <v>0</v>
      </c>
      <c r="B451" s="3">
        <v>7</v>
      </c>
    </row>
    <row r="452" spans="1:2">
      <c r="A452" s="34"/>
      <c r="B452" s="34">
        <v>7</v>
      </c>
    </row>
    <row r="453" spans="1:2">
      <c r="A453" s="34"/>
      <c r="B453" s="34">
        <v>7</v>
      </c>
    </row>
    <row r="454" spans="1:2">
      <c r="A454" s="34"/>
      <c r="B454" s="34">
        <v>7</v>
      </c>
    </row>
    <row r="455" spans="1:2">
      <c r="A455" s="34"/>
      <c r="B455" s="34">
        <v>7</v>
      </c>
    </row>
    <row r="456" spans="1:2">
      <c r="A456" s="34"/>
      <c r="B456" s="34">
        <v>7</v>
      </c>
    </row>
    <row r="457" spans="1:2">
      <c r="A457" s="34"/>
      <c r="B457" s="34">
        <v>7</v>
      </c>
    </row>
    <row r="458" spans="1:2">
      <c r="A458" s="34"/>
      <c r="B458" s="34">
        <v>7</v>
      </c>
    </row>
    <row r="459" spans="1:2">
      <c r="A459" s="34"/>
      <c r="B459" s="34">
        <v>7</v>
      </c>
    </row>
    <row r="460" spans="1:2">
      <c r="A460" s="3">
        <v>0</v>
      </c>
      <c r="B460" s="3">
        <v>7</v>
      </c>
    </row>
    <row r="461" spans="1:2">
      <c r="A461" s="36"/>
      <c r="B461" s="36">
        <v>7</v>
      </c>
    </row>
    <row r="462" spans="1:2">
      <c r="A462" s="36"/>
      <c r="B462" s="36">
        <v>7</v>
      </c>
    </row>
    <row r="463" spans="1:2">
      <c r="A463" s="36"/>
      <c r="B463" s="36">
        <v>7</v>
      </c>
    </row>
    <row r="464" spans="1:2">
      <c r="A464" s="36"/>
      <c r="B464" s="36">
        <v>7</v>
      </c>
    </row>
    <row r="465" spans="1:2">
      <c r="A465" s="36"/>
      <c r="B465" s="36">
        <v>7</v>
      </c>
    </row>
    <row r="466" spans="1:2">
      <c r="A466" s="36"/>
      <c r="B466" s="36">
        <v>7</v>
      </c>
    </row>
    <row r="467" spans="1:2">
      <c r="A467" s="36"/>
      <c r="B467" s="36">
        <v>7</v>
      </c>
    </row>
    <row r="468" spans="1:2">
      <c r="A468" s="36"/>
      <c r="B468" s="36">
        <v>7</v>
      </c>
    </row>
    <row r="469" spans="1:2">
      <c r="A469" s="3">
        <v>0</v>
      </c>
      <c r="B469" s="3">
        <v>7</v>
      </c>
    </row>
    <row r="470" spans="1:2">
      <c r="A470" s="7"/>
      <c r="B470" s="7">
        <v>7</v>
      </c>
    </row>
    <row r="471" spans="1:2">
      <c r="A471" s="7"/>
      <c r="B471" s="7">
        <v>7</v>
      </c>
    </row>
    <row r="472" spans="1:2">
      <c r="A472" s="7"/>
      <c r="B472" s="7">
        <v>7</v>
      </c>
    </row>
    <row r="473" spans="1:2">
      <c r="A473" s="7"/>
      <c r="B473" s="7">
        <v>7</v>
      </c>
    </row>
    <row r="474" spans="1:2">
      <c r="A474" s="7"/>
      <c r="B474" s="7">
        <v>7</v>
      </c>
    </row>
    <row r="475" spans="1:2">
      <c r="A475" s="7"/>
      <c r="B475" s="7">
        <v>7</v>
      </c>
    </row>
    <row r="476" spans="1:2">
      <c r="A476" s="7"/>
      <c r="B476" s="7">
        <v>7</v>
      </c>
    </row>
    <row r="477" spans="1:2">
      <c r="A477" s="7"/>
      <c r="B477" s="7">
        <v>7</v>
      </c>
    </row>
    <row r="478" spans="1:2">
      <c r="A478" s="3">
        <v>0</v>
      </c>
      <c r="B478" s="3">
        <v>7</v>
      </c>
    </row>
    <row r="479" spans="1:2">
      <c r="A479" s="41"/>
      <c r="B479" s="41">
        <v>7</v>
      </c>
    </row>
    <row r="480" spans="1:2">
      <c r="A480" s="41"/>
      <c r="B480" s="41">
        <v>7</v>
      </c>
    </row>
    <row r="481" spans="1:2">
      <c r="A481" s="41"/>
      <c r="B481" s="41">
        <v>7</v>
      </c>
    </row>
    <row r="482" spans="1:2">
      <c r="A482" s="41"/>
      <c r="B482" s="41">
        <v>7</v>
      </c>
    </row>
    <row r="483" spans="1:2">
      <c r="A483" s="41"/>
      <c r="B483" s="41">
        <v>7</v>
      </c>
    </row>
    <row r="484" spans="1:2">
      <c r="A484" s="41"/>
      <c r="B484" s="41">
        <v>7</v>
      </c>
    </row>
    <row r="485" spans="1:2">
      <c r="A485" s="41"/>
      <c r="B485" s="41">
        <v>7</v>
      </c>
    </row>
    <row r="486" spans="1:2">
      <c r="A486" s="41"/>
      <c r="B486" s="41">
        <v>7</v>
      </c>
    </row>
    <row r="487" spans="1:2">
      <c r="A487" s="3">
        <v>0</v>
      </c>
      <c r="B487" s="3">
        <v>7</v>
      </c>
    </row>
    <row r="488" spans="1:2">
      <c r="A488" s="31"/>
      <c r="B488" s="31">
        <v>7</v>
      </c>
    </row>
    <row r="489" spans="1:2">
      <c r="A489" s="31"/>
      <c r="B489" s="31">
        <v>7</v>
      </c>
    </row>
    <row r="490" spans="1:2">
      <c r="A490" s="31"/>
      <c r="B490" s="31">
        <v>7</v>
      </c>
    </row>
    <row r="491" spans="1:2">
      <c r="A491" s="31"/>
      <c r="B491" s="31">
        <v>7</v>
      </c>
    </row>
    <row r="492" spans="1:2">
      <c r="A492" s="31"/>
      <c r="B492" s="31">
        <v>7</v>
      </c>
    </row>
    <row r="493" spans="1:2">
      <c r="A493" s="31"/>
      <c r="B493" s="31">
        <v>7</v>
      </c>
    </row>
    <row r="494" spans="1:2">
      <c r="A494" s="31"/>
      <c r="B494" s="31">
        <v>7</v>
      </c>
    </row>
    <row r="495" spans="1:2">
      <c r="A495" s="31"/>
      <c r="B495" s="31">
        <v>7</v>
      </c>
    </row>
    <row r="496" spans="1:2">
      <c r="A496" s="3">
        <v>0</v>
      </c>
      <c r="B496" s="3">
        <v>7</v>
      </c>
    </row>
    <row r="497" spans="1:2">
      <c r="A497" s="6"/>
      <c r="B497" s="6">
        <v>7</v>
      </c>
    </row>
    <row r="498" spans="1:2">
      <c r="A498" s="6"/>
      <c r="B498" s="6">
        <v>7</v>
      </c>
    </row>
    <row r="499" spans="1:2">
      <c r="A499" s="6"/>
      <c r="B499" s="6">
        <v>7</v>
      </c>
    </row>
    <row r="500" spans="1:2">
      <c r="A500" s="42"/>
      <c r="B500" s="42">
        <v>7</v>
      </c>
    </row>
    <row r="501" spans="1:2">
      <c r="A501" s="42"/>
      <c r="B501" s="42">
        <v>7</v>
      </c>
    </row>
    <row r="502" spans="1:2">
      <c r="A502" s="42"/>
      <c r="B502" s="42">
        <v>7</v>
      </c>
    </row>
    <row r="503" spans="1:2">
      <c r="A503" s="42"/>
      <c r="B503" s="42">
        <v>7</v>
      </c>
    </row>
    <row r="504" spans="1:2">
      <c r="A504" s="42"/>
      <c r="B504" s="42">
        <v>7</v>
      </c>
    </row>
    <row r="505" spans="1:2">
      <c r="A505" s="3">
        <v>0</v>
      </c>
      <c r="B505" s="3">
        <v>7</v>
      </c>
    </row>
    <row r="506" spans="1:2">
      <c r="A506" s="43"/>
      <c r="B506" s="43">
        <v>7</v>
      </c>
    </row>
    <row r="507" spans="1:2">
      <c r="A507" s="43"/>
      <c r="B507" s="43">
        <v>7</v>
      </c>
    </row>
    <row r="508" spans="1:2">
      <c r="A508" s="43"/>
      <c r="B508" s="43">
        <v>7</v>
      </c>
    </row>
    <row r="509" spans="1:2">
      <c r="A509" s="43"/>
      <c r="B509" s="43">
        <v>7</v>
      </c>
    </row>
    <row r="510" spans="1:2">
      <c r="A510" s="43"/>
      <c r="B510" s="43">
        <v>7</v>
      </c>
    </row>
    <row r="511" spans="1:2">
      <c r="A511" s="43"/>
      <c r="B511" s="43">
        <v>7</v>
      </c>
    </row>
    <row r="512" spans="1:2">
      <c r="A512" s="43"/>
      <c r="B512" s="43">
        <v>7</v>
      </c>
    </row>
    <row r="513" spans="1:2">
      <c r="A513" s="43"/>
      <c r="B513" s="43">
        <v>7</v>
      </c>
    </row>
    <row r="514" spans="1:2">
      <c r="A514" s="3">
        <v>0</v>
      </c>
      <c r="B514" s="3">
        <v>7</v>
      </c>
    </row>
    <row r="515" spans="1:2">
      <c r="A515" s="44"/>
      <c r="B515" s="44">
        <v>7</v>
      </c>
    </row>
    <row r="516" spans="1:2">
      <c r="A516" s="44"/>
      <c r="B516" s="44">
        <v>7</v>
      </c>
    </row>
    <row r="517" spans="1:2">
      <c r="A517" s="44"/>
      <c r="B517" s="44">
        <v>7</v>
      </c>
    </row>
    <row r="518" spans="1:2">
      <c r="A518" s="44"/>
      <c r="B518" s="44">
        <v>7</v>
      </c>
    </row>
    <row r="519" spans="1:2">
      <c r="A519" s="44"/>
      <c r="B519" s="44">
        <v>7</v>
      </c>
    </row>
    <row r="520" spans="1:2">
      <c r="A520" s="44"/>
      <c r="B520" s="44">
        <v>7</v>
      </c>
    </row>
    <row r="521" spans="1:2">
      <c r="A521" s="44"/>
      <c r="B521" s="44">
        <v>7</v>
      </c>
    </row>
    <row r="522" spans="1:2">
      <c r="A522" s="44"/>
      <c r="B522" s="44">
        <v>7</v>
      </c>
    </row>
    <row r="523" spans="1:2">
      <c r="A523" s="3">
        <v>0</v>
      </c>
      <c r="B523" s="3">
        <v>7</v>
      </c>
    </row>
    <row r="524" spans="1:2">
      <c r="A524" s="45"/>
      <c r="B524" s="45">
        <v>7</v>
      </c>
    </row>
    <row r="525" spans="1:2">
      <c r="A525" s="45"/>
      <c r="B525" s="45">
        <v>7</v>
      </c>
    </row>
    <row r="526" spans="1:2">
      <c r="A526" s="45"/>
      <c r="B526" s="45">
        <v>7</v>
      </c>
    </row>
    <row r="527" spans="1:2">
      <c r="A527" s="45"/>
      <c r="B527" s="45">
        <v>7</v>
      </c>
    </row>
    <row r="528" spans="1:2">
      <c r="A528" s="45"/>
      <c r="B528" s="45">
        <v>7</v>
      </c>
    </row>
    <row r="529" spans="1:2">
      <c r="A529" s="45"/>
      <c r="B529" s="45">
        <v>7</v>
      </c>
    </row>
    <row r="530" spans="1:2">
      <c r="A530" s="45"/>
      <c r="B530" s="45">
        <v>7</v>
      </c>
    </row>
    <row r="531" spans="1:2">
      <c r="A531" s="45"/>
      <c r="B531" s="45">
        <v>7</v>
      </c>
    </row>
    <row r="532" spans="1:2">
      <c r="A532" s="3">
        <v>0</v>
      </c>
      <c r="B532" s="3">
        <v>7</v>
      </c>
    </row>
    <row r="533" spans="1:2">
      <c r="A533" s="42"/>
      <c r="B533" s="42">
        <v>7</v>
      </c>
    </row>
    <row r="534" spans="1:2">
      <c r="A534" s="42"/>
      <c r="B534" s="42">
        <v>7</v>
      </c>
    </row>
    <row r="535" spans="1:2">
      <c r="A535" s="42"/>
      <c r="B535" s="42">
        <v>7</v>
      </c>
    </row>
    <row r="536" spans="1:2">
      <c r="A536" s="42"/>
      <c r="B536" s="42">
        <v>7</v>
      </c>
    </row>
    <row r="537" spans="1:2">
      <c r="A537" s="42"/>
      <c r="B537" s="42">
        <v>7</v>
      </c>
    </row>
    <row r="538" spans="1:2">
      <c r="A538" s="42"/>
      <c r="B538" s="42">
        <v>7</v>
      </c>
    </row>
    <row r="539" spans="1:2">
      <c r="A539" s="42"/>
      <c r="B539" s="42">
        <v>7</v>
      </c>
    </row>
    <row r="540" spans="1:2">
      <c r="A540" s="42"/>
      <c r="B540" s="42">
        <v>7</v>
      </c>
    </row>
    <row r="541" spans="1:2">
      <c r="A541" s="3">
        <v>0</v>
      </c>
      <c r="B541" s="3">
        <v>7</v>
      </c>
    </row>
    <row r="542" spans="1:2">
      <c r="A542" s="46"/>
      <c r="B542" s="46">
        <v>7</v>
      </c>
    </row>
    <row r="543" spans="1:2">
      <c r="A543" s="46"/>
      <c r="B543" s="46">
        <v>7</v>
      </c>
    </row>
    <row r="544" spans="1:2">
      <c r="A544" s="46"/>
      <c r="B544" s="46">
        <v>7</v>
      </c>
    </row>
    <row r="545" spans="1:2">
      <c r="A545" s="46"/>
      <c r="B545" s="46">
        <v>7</v>
      </c>
    </row>
    <row r="546" spans="1:2">
      <c r="A546" s="46"/>
      <c r="B546" s="46">
        <v>7</v>
      </c>
    </row>
    <row r="547" spans="1:2">
      <c r="A547" s="46"/>
      <c r="B547" s="46">
        <v>7</v>
      </c>
    </row>
    <row r="548" spans="1:2">
      <c r="A548" s="46"/>
      <c r="B548" s="46">
        <v>7</v>
      </c>
    </row>
    <row r="549" spans="1:2">
      <c r="A549" s="46"/>
      <c r="B549" s="46">
        <v>7</v>
      </c>
    </row>
    <row r="550" spans="1:2">
      <c r="A550" s="3">
        <v>0</v>
      </c>
      <c r="B550" s="3">
        <v>7</v>
      </c>
    </row>
    <row r="551" spans="1:2">
      <c r="A551" s="42"/>
      <c r="B551" s="42">
        <v>7</v>
      </c>
    </row>
    <row r="552" spans="1:2">
      <c r="A552" s="42"/>
      <c r="B552" s="42">
        <v>7</v>
      </c>
    </row>
    <row r="553" spans="1:2">
      <c r="A553" s="42"/>
      <c r="B553" s="42">
        <v>7</v>
      </c>
    </row>
    <row r="554" spans="1:2">
      <c r="A554" s="42"/>
      <c r="B554" s="42">
        <v>7</v>
      </c>
    </row>
    <row r="555" spans="1:2">
      <c r="A555" s="42"/>
      <c r="B555" s="42">
        <v>7</v>
      </c>
    </row>
    <row r="556" spans="1:2">
      <c r="A556" s="42"/>
      <c r="B556" s="42">
        <v>7</v>
      </c>
    </row>
    <row r="557" spans="1:2">
      <c r="A557" s="42"/>
      <c r="B557" s="42">
        <v>7</v>
      </c>
    </row>
    <row r="558" spans="1:2">
      <c r="A558" s="42"/>
      <c r="B558" s="42">
        <v>7</v>
      </c>
    </row>
    <row r="559" spans="1:2">
      <c r="A559" s="3">
        <v>0</v>
      </c>
      <c r="B559" s="3">
        <v>7</v>
      </c>
    </row>
    <row r="560" spans="1:2">
      <c r="A560" s="44"/>
      <c r="B560" s="44">
        <v>7</v>
      </c>
    </row>
    <row r="561" spans="1:2">
      <c r="A561" s="44"/>
      <c r="B561" s="44">
        <v>7</v>
      </c>
    </row>
    <row r="562" spans="1:2">
      <c r="A562" s="44"/>
      <c r="B562" s="44">
        <v>7</v>
      </c>
    </row>
    <row r="563" spans="1:2">
      <c r="A563" s="44"/>
      <c r="B563" s="44">
        <v>7</v>
      </c>
    </row>
    <row r="564" spans="1:2">
      <c r="A564" s="44"/>
      <c r="B564" s="44">
        <v>7</v>
      </c>
    </row>
    <row r="565" spans="1:2">
      <c r="A565" s="44"/>
      <c r="B565" s="44">
        <v>7</v>
      </c>
    </row>
    <row r="566" spans="1:2">
      <c r="A566" s="44"/>
      <c r="B566" s="44">
        <v>7</v>
      </c>
    </row>
    <row r="567" spans="1:2">
      <c r="A567" s="44"/>
      <c r="B567" s="44">
        <v>7</v>
      </c>
    </row>
    <row r="568" spans="1:2">
      <c r="A568" s="41">
        <v>0</v>
      </c>
      <c r="B568" s="41">
        <v>7</v>
      </c>
    </row>
    <row r="569" spans="1:2">
      <c r="A569" s="47"/>
      <c r="B569" s="47">
        <v>8</v>
      </c>
    </row>
    <row r="570" spans="1:2">
      <c r="A570" s="48"/>
      <c r="B570" s="48">
        <v>8</v>
      </c>
    </row>
    <row r="571" spans="1:2">
      <c r="A571" s="47"/>
      <c r="B571" s="47">
        <v>8</v>
      </c>
    </row>
    <row r="572" spans="1:2">
      <c r="A572" s="47"/>
      <c r="B572" s="47">
        <v>8</v>
      </c>
    </row>
    <row r="573" spans="1:2">
      <c r="A573" s="48"/>
      <c r="B573" s="48">
        <v>8</v>
      </c>
    </row>
    <row r="574" spans="1:2">
      <c r="A574" s="47"/>
      <c r="B574" s="47">
        <v>8</v>
      </c>
    </row>
    <row r="575" spans="1:2">
      <c r="A575" s="47"/>
      <c r="B575" s="47">
        <v>8</v>
      </c>
    </row>
    <row r="576" spans="1:2">
      <c r="A576" s="47"/>
      <c r="B576" s="47">
        <v>8</v>
      </c>
    </row>
    <row r="577" spans="1:2">
      <c r="A577" s="3">
        <v>0</v>
      </c>
      <c r="B577" s="3">
        <v>8</v>
      </c>
    </row>
    <row r="578" spans="1:2">
      <c r="A578" s="49"/>
      <c r="B578" s="49">
        <v>8</v>
      </c>
    </row>
    <row r="579" spans="1:2">
      <c r="A579" s="49"/>
      <c r="B579" s="49">
        <v>8</v>
      </c>
    </row>
    <row r="580" spans="1:2">
      <c r="A580" s="49"/>
      <c r="B580" s="49">
        <v>8</v>
      </c>
    </row>
    <row r="581" spans="1:2">
      <c r="A581" s="37"/>
      <c r="B581" s="37">
        <v>8</v>
      </c>
    </row>
    <row r="582" spans="1:2">
      <c r="A582" s="37"/>
      <c r="B582" s="37">
        <v>8</v>
      </c>
    </row>
    <row r="583" spans="1:2">
      <c r="A583" s="37"/>
      <c r="B583" s="37">
        <v>8</v>
      </c>
    </row>
    <row r="584" spans="1:2">
      <c r="A584" s="37"/>
      <c r="B584" s="37">
        <v>8</v>
      </c>
    </row>
    <row r="585" spans="1:2">
      <c r="A585" s="37"/>
      <c r="B585" s="37">
        <v>8</v>
      </c>
    </row>
    <row r="586" spans="1:2">
      <c r="A586" s="3">
        <v>0</v>
      </c>
      <c r="B586" s="3">
        <v>8</v>
      </c>
    </row>
    <row r="587" spans="1:2">
      <c r="A587" s="28"/>
      <c r="B587" s="28">
        <v>8</v>
      </c>
    </row>
    <row r="588" spans="1:2">
      <c r="A588" s="28"/>
      <c r="B588" s="28">
        <v>8</v>
      </c>
    </row>
    <row r="589" spans="1:2">
      <c r="A589" s="28"/>
      <c r="B589" s="28">
        <v>8</v>
      </c>
    </row>
    <row r="590" spans="1:2">
      <c r="A590" s="28"/>
      <c r="B590" s="28">
        <v>8</v>
      </c>
    </row>
    <row r="591" spans="1:2">
      <c r="A591" s="28"/>
      <c r="B591" s="28">
        <v>8</v>
      </c>
    </row>
    <row r="592" spans="1:2">
      <c r="A592" s="28"/>
      <c r="B592" s="28">
        <v>8</v>
      </c>
    </row>
    <row r="593" spans="1:2">
      <c r="A593" s="28"/>
      <c r="B593" s="28">
        <v>8</v>
      </c>
    </row>
    <row r="594" spans="1:2">
      <c r="A594" s="28"/>
      <c r="B594" s="28">
        <v>8</v>
      </c>
    </row>
    <row r="595" spans="1:2">
      <c r="A595" s="3">
        <v>0</v>
      </c>
      <c r="B595" s="3">
        <v>8</v>
      </c>
    </row>
    <row r="596" spans="1:2">
      <c r="A596" s="7"/>
      <c r="B596" s="7">
        <v>8</v>
      </c>
    </row>
    <row r="597" spans="1:2">
      <c r="A597" s="7"/>
      <c r="B597" s="7">
        <v>8</v>
      </c>
    </row>
    <row r="598" spans="1:2">
      <c r="A598" s="7"/>
      <c r="B598" s="7">
        <v>8</v>
      </c>
    </row>
    <row r="599" spans="1:2">
      <c r="A599" s="7"/>
      <c r="B599" s="7">
        <v>8</v>
      </c>
    </row>
    <row r="600" spans="1:2">
      <c r="A600" s="7"/>
      <c r="B600" s="7">
        <v>8</v>
      </c>
    </row>
    <row r="601" spans="1:2">
      <c r="A601" s="7"/>
      <c r="B601" s="7">
        <v>8</v>
      </c>
    </row>
    <row r="602" spans="1:2">
      <c r="A602" s="7"/>
      <c r="B602" s="7">
        <v>8</v>
      </c>
    </row>
    <row r="603" spans="1:2">
      <c r="A603" s="7"/>
      <c r="B603" s="7">
        <v>8</v>
      </c>
    </row>
    <row r="604" spans="1:2">
      <c r="A604" s="3">
        <v>0</v>
      </c>
      <c r="B604" s="3">
        <v>8</v>
      </c>
    </row>
    <row r="605" spans="1:2">
      <c r="A605" s="38"/>
      <c r="B605" s="38">
        <v>8</v>
      </c>
    </row>
    <row r="606" spans="1:2">
      <c r="A606" s="38"/>
      <c r="B606" s="38">
        <v>8</v>
      </c>
    </row>
    <row r="607" spans="1:2">
      <c r="A607" s="38"/>
      <c r="B607" s="38">
        <v>8</v>
      </c>
    </row>
    <row r="608" spans="1:2">
      <c r="A608" s="38"/>
      <c r="B608" s="38">
        <v>8</v>
      </c>
    </row>
    <row r="609" spans="1:2">
      <c r="A609" s="38"/>
      <c r="B609" s="38">
        <v>8</v>
      </c>
    </row>
    <row r="610" spans="1:2">
      <c r="A610" s="38"/>
      <c r="B610" s="38">
        <v>8</v>
      </c>
    </row>
    <row r="611" spans="1:2">
      <c r="A611" s="38"/>
      <c r="B611" s="38">
        <v>8</v>
      </c>
    </row>
    <row r="612" spans="1:2">
      <c r="A612" s="38"/>
      <c r="B612" s="38">
        <v>8</v>
      </c>
    </row>
    <row r="613" spans="1:2">
      <c r="A613" s="3">
        <v>0</v>
      </c>
      <c r="B613" s="3">
        <v>8</v>
      </c>
    </row>
    <row r="614" spans="1:2">
      <c r="A614" s="36"/>
      <c r="B614" s="36">
        <v>8</v>
      </c>
    </row>
    <row r="615" spans="1:2">
      <c r="A615" s="36"/>
      <c r="B615" s="36">
        <v>8</v>
      </c>
    </row>
    <row r="616" spans="1:2">
      <c r="A616" s="36"/>
      <c r="B616" s="36">
        <v>8</v>
      </c>
    </row>
    <row r="617" spans="1:2">
      <c r="A617" s="36"/>
      <c r="B617" s="36">
        <v>8</v>
      </c>
    </row>
    <row r="618" spans="1:2">
      <c r="A618" s="36"/>
      <c r="B618" s="36">
        <v>8</v>
      </c>
    </row>
    <row r="619" spans="1:2">
      <c r="A619" s="36"/>
      <c r="B619" s="36">
        <v>8</v>
      </c>
    </row>
    <row r="620" spans="1:2">
      <c r="A620" s="36"/>
      <c r="B620" s="36">
        <v>8</v>
      </c>
    </row>
    <row r="621" spans="1:2">
      <c r="A621" s="36"/>
      <c r="B621" s="36">
        <v>8</v>
      </c>
    </row>
    <row r="622" spans="1:2">
      <c r="A622" s="3">
        <v>0</v>
      </c>
      <c r="B622" s="3">
        <v>8</v>
      </c>
    </row>
    <row r="623" spans="1:2">
      <c r="A623" s="6"/>
      <c r="B623" s="6">
        <v>8</v>
      </c>
    </row>
    <row r="624" spans="1:2">
      <c r="A624" s="6"/>
      <c r="B624" s="6">
        <v>8</v>
      </c>
    </row>
    <row r="625" spans="1:2">
      <c r="A625" s="6"/>
      <c r="B625" s="6">
        <v>8</v>
      </c>
    </row>
    <row r="626" spans="1:2">
      <c r="A626" s="6"/>
      <c r="B626" s="6">
        <v>8</v>
      </c>
    </row>
    <row r="627" spans="1:2">
      <c r="A627" s="6"/>
      <c r="B627" s="6">
        <v>8</v>
      </c>
    </row>
    <row r="628" spans="1:2">
      <c r="A628" s="6"/>
      <c r="B628" s="6">
        <v>8</v>
      </c>
    </row>
    <row r="629" spans="1:2">
      <c r="A629" s="6"/>
      <c r="B629" s="6">
        <v>8</v>
      </c>
    </row>
    <row r="630" spans="1:2">
      <c r="A630" s="6"/>
      <c r="B630" s="6">
        <v>8</v>
      </c>
    </row>
    <row r="631" spans="1:2">
      <c r="A631" s="3">
        <v>0</v>
      </c>
      <c r="B631" s="3">
        <v>8</v>
      </c>
    </row>
    <row r="632" spans="1:2">
      <c r="A632" s="37"/>
      <c r="B632" s="37">
        <v>8</v>
      </c>
    </row>
    <row r="633" spans="1:2">
      <c r="A633" s="37"/>
      <c r="B633" s="37">
        <v>8</v>
      </c>
    </row>
    <row r="634" spans="1:2">
      <c r="A634" s="37"/>
      <c r="B634" s="37">
        <v>8</v>
      </c>
    </row>
    <row r="635" spans="1:2">
      <c r="A635" s="37"/>
      <c r="B635" s="37">
        <v>8</v>
      </c>
    </row>
    <row r="636" spans="1:2">
      <c r="A636" s="37"/>
      <c r="B636" s="37">
        <v>8</v>
      </c>
    </row>
    <row r="637" spans="1:2">
      <c r="A637" s="37"/>
      <c r="B637" s="37">
        <v>8</v>
      </c>
    </row>
    <row r="638" spans="1:2">
      <c r="A638" s="37"/>
      <c r="B638" s="37">
        <v>8</v>
      </c>
    </row>
    <row r="639" spans="1:2">
      <c r="A639" s="37"/>
      <c r="B639" s="37">
        <v>8</v>
      </c>
    </row>
    <row r="640" spans="1:2">
      <c r="A640" s="3">
        <v>0</v>
      </c>
      <c r="B640" s="3">
        <v>8</v>
      </c>
    </row>
    <row r="641" spans="1:2">
      <c r="A641" s="6"/>
      <c r="B641" s="6">
        <v>8</v>
      </c>
    </row>
    <row r="642" spans="1:2">
      <c r="A642" s="6"/>
      <c r="B642" s="6">
        <v>8</v>
      </c>
    </row>
    <row r="643" spans="1:2">
      <c r="A643" s="6"/>
      <c r="B643" s="6">
        <v>8</v>
      </c>
    </row>
    <row r="644" spans="1:2">
      <c r="A644" s="6"/>
      <c r="B644" s="6">
        <v>8</v>
      </c>
    </row>
    <row r="645" spans="1:2">
      <c r="A645" s="6"/>
      <c r="B645" s="6">
        <v>8</v>
      </c>
    </row>
    <row r="646" spans="1:2">
      <c r="A646" s="6"/>
      <c r="B646" s="6">
        <v>8</v>
      </c>
    </row>
    <row r="647" spans="1:2">
      <c r="A647" s="6"/>
      <c r="B647" s="6">
        <v>8</v>
      </c>
    </row>
    <row r="648" spans="1:2">
      <c r="A648" s="6"/>
      <c r="B648" s="6">
        <v>8</v>
      </c>
    </row>
    <row r="649" spans="1:2">
      <c r="A649" s="3">
        <v>0</v>
      </c>
      <c r="B649" s="3">
        <v>8</v>
      </c>
    </row>
    <row r="650" spans="1:2">
      <c r="A650" s="36"/>
      <c r="B650" s="36">
        <v>8</v>
      </c>
    </row>
    <row r="651" spans="1:2">
      <c r="A651" s="36"/>
      <c r="B651" s="36">
        <v>8</v>
      </c>
    </row>
    <row r="652" spans="1:2">
      <c r="A652" s="36"/>
      <c r="B652" s="36">
        <v>8</v>
      </c>
    </row>
    <row r="653" spans="1:2">
      <c r="A653" s="36"/>
      <c r="B653" s="36">
        <v>8</v>
      </c>
    </row>
    <row r="654" spans="1:2">
      <c r="A654" s="36"/>
      <c r="B654" s="36">
        <v>8</v>
      </c>
    </row>
    <row r="655" spans="1:2">
      <c r="A655" s="36"/>
      <c r="B655" s="36">
        <v>8</v>
      </c>
    </row>
    <row r="656" spans="1:2">
      <c r="A656" s="36"/>
      <c r="B656" s="36">
        <v>8</v>
      </c>
    </row>
    <row r="657" spans="1:2">
      <c r="A657" s="36"/>
      <c r="B657" s="36">
        <v>8</v>
      </c>
    </row>
    <row r="658" spans="1:2">
      <c r="A658" s="3">
        <v>0</v>
      </c>
      <c r="B658" s="3">
        <v>8</v>
      </c>
    </row>
    <row r="659" spans="1:2">
      <c r="A659" s="6"/>
      <c r="B659" s="6">
        <v>8</v>
      </c>
    </row>
    <row r="660" spans="1:2">
      <c r="A660" s="6"/>
      <c r="B660" s="6">
        <v>8</v>
      </c>
    </row>
    <row r="661" spans="1:2">
      <c r="A661" s="6"/>
      <c r="B661" s="6">
        <v>8</v>
      </c>
    </row>
    <row r="662" spans="1:2">
      <c r="A662" s="6"/>
      <c r="B662" s="6">
        <v>8</v>
      </c>
    </row>
    <row r="663" spans="1:2">
      <c r="A663" s="6"/>
      <c r="B663" s="6">
        <v>8</v>
      </c>
    </row>
    <row r="664" spans="1:2">
      <c r="A664" s="6"/>
      <c r="B664" s="6">
        <v>8</v>
      </c>
    </row>
    <row r="665" spans="1:2">
      <c r="A665" s="6"/>
      <c r="B665" s="6">
        <v>8</v>
      </c>
    </row>
    <row r="666" spans="1:2">
      <c r="A666" s="6"/>
      <c r="B666" s="6">
        <v>8</v>
      </c>
    </row>
    <row r="667" spans="1:2">
      <c r="A667" s="3">
        <v>0</v>
      </c>
      <c r="B667" s="3">
        <v>8</v>
      </c>
    </row>
    <row r="668" spans="1:2">
      <c r="A668" s="33"/>
      <c r="B668" s="33">
        <v>8</v>
      </c>
    </row>
    <row r="669" spans="1:2">
      <c r="A669" s="33"/>
      <c r="B669" s="33">
        <v>8</v>
      </c>
    </row>
    <row r="670" spans="1:2">
      <c r="A670" s="33"/>
      <c r="B670" s="33">
        <v>8</v>
      </c>
    </row>
    <row r="671" spans="1:2">
      <c r="A671" s="33"/>
      <c r="B671" s="33">
        <v>8</v>
      </c>
    </row>
    <row r="672" spans="1:2">
      <c r="A672" s="33"/>
      <c r="B672" s="33">
        <v>8</v>
      </c>
    </row>
    <row r="673" spans="1:2">
      <c r="A673" s="33"/>
      <c r="B673" s="33">
        <v>8</v>
      </c>
    </row>
    <row r="674" spans="1:2">
      <c r="A674" s="33"/>
      <c r="B674" s="33">
        <v>8</v>
      </c>
    </row>
    <row r="675" spans="1:2">
      <c r="A675" s="33"/>
      <c r="B675" s="33">
        <v>8</v>
      </c>
    </row>
    <row r="676" spans="1:2">
      <c r="A676" s="3">
        <v>0</v>
      </c>
      <c r="B676" s="3">
        <v>8</v>
      </c>
    </row>
    <row r="677" spans="1:2">
      <c r="A677" s="34"/>
      <c r="B677" s="34">
        <v>8</v>
      </c>
    </row>
    <row r="678" spans="1:2">
      <c r="A678" s="34"/>
      <c r="B678" s="34">
        <v>8</v>
      </c>
    </row>
    <row r="679" spans="1:2">
      <c r="A679" s="34"/>
      <c r="B679" s="34">
        <v>8</v>
      </c>
    </row>
    <row r="680" spans="1:2">
      <c r="A680" s="34"/>
      <c r="B680" s="34">
        <v>8</v>
      </c>
    </row>
    <row r="681" spans="1:2">
      <c r="A681" s="34"/>
      <c r="B681" s="34">
        <v>8</v>
      </c>
    </row>
    <row r="682" spans="1:2">
      <c r="A682" s="34"/>
      <c r="B682" s="34">
        <v>8</v>
      </c>
    </row>
    <row r="683" spans="1:2">
      <c r="A683" s="34"/>
      <c r="B683" s="34">
        <v>8</v>
      </c>
    </row>
    <row r="684" spans="1:2">
      <c r="A684" s="34"/>
      <c r="B684" s="34">
        <v>8</v>
      </c>
    </row>
    <row r="685" spans="1:2">
      <c r="A685" s="3">
        <v>0</v>
      </c>
      <c r="B685" s="3">
        <v>8</v>
      </c>
    </row>
    <row r="686" spans="1:2">
      <c r="A686" s="5"/>
      <c r="B686" s="5">
        <v>8</v>
      </c>
    </row>
    <row r="687" spans="1:2">
      <c r="A687" s="5"/>
      <c r="B687" s="5">
        <v>8</v>
      </c>
    </row>
    <row r="688" spans="1:2">
      <c r="A688" s="5"/>
      <c r="B688" s="5">
        <v>8</v>
      </c>
    </row>
    <row r="689" spans="1:2">
      <c r="A689" s="5"/>
      <c r="B689" s="5">
        <v>8</v>
      </c>
    </row>
    <row r="690" spans="1:2">
      <c r="A690" s="5"/>
      <c r="B690" s="5">
        <v>8</v>
      </c>
    </row>
    <row r="691" spans="1:2">
      <c r="A691" s="5"/>
      <c r="B691" s="5">
        <v>8</v>
      </c>
    </row>
    <row r="692" spans="1:2">
      <c r="A692" s="5"/>
      <c r="B692" s="5">
        <v>8</v>
      </c>
    </row>
    <row r="693" spans="1:2">
      <c r="A693" s="5"/>
      <c r="B693" s="5">
        <v>8</v>
      </c>
    </row>
    <row r="694" spans="1:2">
      <c r="A694" s="3">
        <v>0</v>
      </c>
      <c r="B694" s="3">
        <v>8</v>
      </c>
    </row>
    <row r="695" spans="1:2">
      <c r="A695" s="34"/>
      <c r="B695" s="34">
        <v>8</v>
      </c>
    </row>
    <row r="696" spans="1:2">
      <c r="A696" s="34"/>
      <c r="B696" s="34">
        <v>8</v>
      </c>
    </row>
    <row r="697" spans="1:2">
      <c r="A697" s="34"/>
      <c r="B697" s="34">
        <v>8</v>
      </c>
    </row>
    <row r="698" spans="1:2">
      <c r="A698" s="34"/>
      <c r="B698" s="34">
        <v>8</v>
      </c>
    </row>
    <row r="699" spans="1:2">
      <c r="A699" s="34"/>
      <c r="B699" s="34">
        <v>8</v>
      </c>
    </row>
    <row r="700" spans="1:2">
      <c r="A700" s="34"/>
      <c r="B700" s="34">
        <v>8</v>
      </c>
    </row>
    <row r="701" spans="1:2">
      <c r="A701" s="34"/>
      <c r="B701" s="34">
        <v>8</v>
      </c>
    </row>
    <row r="702" spans="1:2">
      <c r="A702" s="34"/>
      <c r="B702" s="34">
        <v>8</v>
      </c>
    </row>
    <row r="703" spans="1:2">
      <c r="A703" s="3">
        <v>0</v>
      </c>
      <c r="B703" s="3">
        <v>8</v>
      </c>
    </row>
    <row r="704" spans="1:2">
      <c r="A704" s="41"/>
      <c r="B704" s="41">
        <v>8</v>
      </c>
    </row>
    <row r="705" spans="1:2">
      <c r="A705" s="41"/>
      <c r="B705" s="41">
        <v>8</v>
      </c>
    </row>
    <row r="706" spans="1:2">
      <c r="A706" s="41"/>
      <c r="B706" s="41">
        <v>8</v>
      </c>
    </row>
    <row r="707" spans="1:2">
      <c r="A707" s="41"/>
      <c r="B707" s="41">
        <v>8</v>
      </c>
    </row>
    <row r="708" spans="1:2">
      <c r="A708" s="41"/>
      <c r="B708" s="41">
        <v>8</v>
      </c>
    </row>
    <row r="709" spans="1:2">
      <c r="A709" s="41"/>
      <c r="B709" s="41">
        <v>8</v>
      </c>
    </row>
    <row r="710" spans="1:2">
      <c r="A710" s="41"/>
      <c r="B710" s="41">
        <v>8</v>
      </c>
    </row>
    <row r="711" spans="1:2">
      <c r="A711" s="41"/>
      <c r="B711" s="41">
        <v>8</v>
      </c>
    </row>
    <row r="712" spans="1:2">
      <c r="A712" s="41">
        <v>0</v>
      </c>
      <c r="B712" s="41">
        <v>8</v>
      </c>
    </row>
    <row r="713" spans="1:2">
      <c r="A713" s="3" t="s">
        <v>79</v>
      </c>
      <c r="B713" s="3">
        <v>1</v>
      </c>
    </row>
    <row r="714" spans="1:2">
      <c r="A714" s="3" t="s">
        <v>79</v>
      </c>
      <c r="B714" s="3">
        <v>1</v>
      </c>
    </row>
    <row r="715" spans="1:2">
      <c r="A715" s="3" t="s">
        <v>79</v>
      </c>
      <c r="B715" s="3">
        <v>1</v>
      </c>
    </row>
    <row r="716" spans="1:2">
      <c r="A716" s="3" t="s">
        <v>79</v>
      </c>
      <c r="B716" s="3">
        <v>999</v>
      </c>
    </row>
    <row r="717" spans="1:2">
      <c r="A717" s="3" t="s">
        <v>3228</v>
      </c>
      <c r="B717" s="3">
        <v>0</v>
      </c>
    </row>
    <row r="718" spans="1:2">
      <c r="A718" s="3" t="s">
        <v>3228</v>
      </c>
      <c r="B718" s="3">
        <v>0</v>
      </c>
    </row>
    <row r="719" spans="1:2">
      <c r="A719" s="3" t="s">
        <v>82</v>
      </c>
      <c r="B719" s="3">
        <v>0</v>
      </c>
    </row>
    <row r="720" spans="1:2">
      <c r="A720" s="3" t="s">
        <v>2785</v>
      </c>
      <c r="B720" s="3">
        <v>0</v>
      </c>
    </row>
    <row r="721" spans="1:2">
      <c r="A721" s="3" t="s">
        <v>2785</v>
      </c>
      <c r="B721" s="3">
        <v>0</v>
      </c>
    </row>
    <row r="722" spans="1:2">
      <c r="A722" s="3" t="s">
        <v>3221</v>
      </c>
      <c r="B722" s="3">
        <v>0</v>
      </c>
    </row>
    <row r="723" spans="1:2">
      <c r="A723" s="3" t="s">
        <v>82</v>
      </c>
      <c r="B723" s="3">
        <v>0</v>
      </c>
    </row>
    <row r="724" spans="1:2">
      <c r="A724" s="3" t="s">
        <v>82</v>
      </c>
      <c r="B724" s="3">
        <v>0</v>
      </c>
    </row>
    <row r="725" spans="1:2">
      <c r="A725" s="3" t="s">
        <v>79</v>
      </c>
      <c r="B725" s="3">
        <v>1</v>
      </c>
    </row>
    <row r="726" spans="1:2">
      <c r="A726" s="3" t="s">
        <v>79</v>
      </c>
      <c r="B726" s="3">
        <v>1</v>
      </c>
    </row>
    <row r="727" spans="1:2">
      <c r="A727" s="3" t="s">
        <v>79</v>
      </c>
      <c r="B727" s="3">
        <v>1</v>
      </c>
    </row>
    <row r="728" spans="1:2">
      <c r="A728" s="3" t="s">
        <v>79</v>
      </c>
      <c r="B728" s="3">
        <v>1</v>
      </c>
    </row>
    <row r="729" spans="1:2">
      <c r="A729" s="3" t="s">
        <v>79</v>
      </c>
      <c r="B729" s="3">
        <v>1</v>
      </c>
    </row>
    <row r="730" spans="1:2">
      <c r="A730" s="3" t="s">
        <v>79</v>
      </c>
      <c r="B730" s="3">
        <v>1</v>
      </c>
    </row>
    <row r="731" spans="1:2">
      <c r="A731" s="3" t="s">
        <v>2785</v>
      </c>
      <c r="B731" s="3">
        <v>1</v>
      </c>
    </row>
    <row r="732" spans="1:2">
      <c r="A732" s="3" t="s">
        <v>2785</v>
      </c>
      <c r="B732" s="3">
        <v>0</v>
      </c>
    </row>
    <row r="733" spans="1:2">
      <c r="A733" s="3" t="s">
        <v>325</v>
      </c>
      <c r="B733" s="3">
        <v>2</v>
      </c>
    </row>
    <row r="734" spans="1:2">
      <c r="A734" s="3" t="s">
        <v>325</v>
      </c>
      <c r="B734" s="3">
        <v>2</v>
      </c>
    </row>
    <row r="735" spans="1:2">
      <c r="A735" s="3" t="s">
        <v>325</v>
      </c>
      <c r="B735" s="3">
        <v>2</v>
      </c>
    </row>
    <row r="736" spans="1:2">
      <c r="A736" s="3" t="s">
        <v>325</v>
      </c>
      <c r="B736" s="3">
        <v>2</v>
      </c>
    </row>
    <row r="737" spans="1:2">
      <c r="A737" s="3" t="s">
        <v>325</v>
      </c>
      <c r="B737" s="3">
        <v>2</v>
      </c>
    </row>
    <row r="738" spans="1:2">
      <c r="A738" s="3" t="s">
        <v>2785</v>
      </c>
      <c r="B738" s="3">
        <v>2</v>
      </c>
    </row>
    <row r="739" spans="1:2">
      <c r="A739" s="3" t="s">
        <v>2785</v>
      </c>
      <c r="B739" s="3">
        <v>0</v>
      </c>
    </row>
    <row r="740" spans="1:2">
      <c r="A740" s="3" t="s">
        <v>655</v>
      </c>
      <c r="B740" s="3">
        <v>3</v>
      </c>
    </row>
    <row r="741" spans="1:2">
      <c r="A741" s="3" t="s">
        <v>655</v>
      </c>
      <c r="B741" s="3">
        <v>3</v>
      </c>
    </row>
    <row r="742" spans="1:2">
      <c r="A742" s="3" t="s">
        <v>655</v>
      </c>
      <c r="B742" s="3">
        <v>3</v>
      </c>
    </row>
    <row r="743" spans="1:2">
      <c r="A743" s="3" t="s">
        <v>655</v>
      </c>
      <c r="B743" s="3">
        <v>3</v>
      </c>
    </row>
    <row r="744" spans="1:2">
      <c r="A744" s="3" t="s">
        <v>2785</v>
      </c>
      <c r="B744" s="3">
        <v>3</v>
      </c>
    </row>
    <row r="745" spans="1:2">
      <c r="A745" s="3" t="s">
        <v>2785</v>
      </c>
      <c r="B745" s="3">
        <v>0</v>
      </c>
    </row>
    <row r="746" spans="1:2">
      <c r="A746" s="3" t="s">
        <v>765</v>
      </c>
      <c r="B746" s="3">
        <v>4</v>
      </c>
    </row>
    <row r="747" spans="1:2">
      <c r="A747" s="3" t="s">
        <v>765</v>
      </c>
      <c r="B747" s="3">
        <v>4</v>
      </c>
    </row>
    <row r="748" spans="1:2">
      <c r="A748" s="3" t="s">
        <v>765</v>
      </c>
      <c r="B748" s="3">
        <v>4</v>
      </c>
    </row>
    <row r="749" spans="1:2">
      <c r="A749" s="3" t="s">
        <v>765</v>
      </c>
      <c r="B749" s="3">
        <v>4</v>
      </c>
    </row>
    <row r="750" spans="1:2">
      <c r="A750" s="3" t="s">
        <v>765</v>
      </c>
      <c r="B750" s="3">
        <v>4</v>
      </c>
    </row>
    <row r="751" spans="1:2">
      <c r="A751" s="3" t="s">
        <v>765</v>
      </c>
      <c r="B751" s="3">
        <v>4</v>
      </c>
    </row>
    <row r="752" spans="1:2">
      <c r="A752" s="3" t="s">
        <v>2785</v>
      </c>
      <c r="B752" s="50">
        <v>4</v>
      </c>
    </row>
    <row r="753" spans="1:2">
      <c r="A753" s="3" t="s">
        <v>2785</v>
      </c>
      <c r="B753" s="3">
        <v>0</v>
      </c>
    </row>
    <row r="754" spans="1:2">
      <c r="A754" s="50" t="s">
        <v>765</v>
      </c>
      <c r="B754" s="50">
        <v>4</v>
      </c>
    </row>
    <row r="755" spans="1:2">
      <c r="A755" s="50" t="s">
        <v>1009</v>
      </c>
      <c r="B755" s="50">
        <v>5</v>
      </c>
    </row>
    <row r="756" spans="1:2">
      <c r="A756" s="50" t="s">
        <v>1009</v>
      </c>
      <c r="B756" s="50">
        <v>5</v>
      </c>
    </row>
    <row r="757" spans="1:2">
      <c r="A757" s="51" t="s">
        <v>1009</v>
      </c>
      <c r="B757" s="51">
        <v>5</v>
      </c>
    </row>
    <row r="758" spans="1:2">
      <c r="A758" s="51" t="s">
        <v>1009</v>
      </c>
      <c r="B758" s="51">
        <v>5</v>
      </c>
    </row>
    <row r="759" spans="1:2">
      <c r="A759" s="51" t="s">
        <v>1009</v>
      </c>
      <c r="B759" s="51">
        <v>5</v>
      </c>
    </row>
    <row r="760" spans="1:2">
      <c r="A760" s="51" t="s">
        <v>1009</v>
      </c>
      <c r="B760" s="51">
        <v>5</v>
      </c>
    </row>
    <row r="761" spans="1:2">
      <c r="A761" s="3" t="s">
        <v>2785</v>
      </c>
      <c r="B761" s="3">
        <v>5</v>
      </c>
    </row>
    <row r="762" spans="1:2">
      <c r="A762" s="3" t="s">
        <v>2785</v>
      </c>
      <c r="B762" s="3">
        <v>0</v>
      </c>
    </row>
    <row r="763" spans="1:2">
      <c r="A763" s="1" t="s">
        <v>1770</v>
      </c>
      <c r="B763" s="1">
        <v>15</v>
      </c>
    </row>
    <row r="764" spans="1:2">
      <c r="A764" s="1" t="s">
        <v>1770</v>
      </c>
      <c r="B764" s="1">
        <v>15</v>
      </c>
    </row>
    <row r="765" spans="1:2">
      <c r="A765" s="1" t="s">
        <v>1770</v>
      </c>
      <c r="B765" s="1">
        <v>15</v>
      </c>
    </row>
    <row r="766" spans="1:2">
      <c r="A766" s="1" t="s">
        <v>1770</v>
      </c>
      <c r="B766" s="1">
        <v>15</v>
      </c>
    </row>
    <row r="767" spans="1:2">
      <c r="A767" s="1" t="s">
        <v>1770</v>
      </c>
      <c r="B767" s="1">
        <v>15</v>
      </c>
    </row>
    <row r="768" spans="1:2">
      <c r="A768" s="1" t="s">
        <v>1770</v>
      </c>
      <c r="B768" s="1">
        <v>15</v>
      </c>
    </row>
    <row r="769" spans="1:2">
      <c r="A769" s="3" t="s">
        <v>2785</v>
      </c>
      <c r="B769" s="1">
        <v>15</v>
      </c>
    </row>
    <row r="770" spans="1:2">
      <c r="A770" s="3" t="s">
        <v>2785</v>
      </c>
      <c r="B770" s="3">
        <v>0</v>
      </c>
    </row>
    <row r="771" spans="1:2">
      <c r="A771" s="3" t="s">
        <v>1129</v>
      </c>
      <c r="B771" s="3">
        <v>6</v>
      </c>
    </row>
    <row r="772" spans="1:2">
      <c r="A772" s="3" t="s">
        <v>1129</v>
      </c>
      <c r="B772" s="3">
        <v>6</v>
      </c>
    </row>
    <row r="773" spans="1:2">
      <c r="A773" s="3" t="s">
        <v>1129</v>
      </c>
      <c r="B773" s="3">
        <v>6</v>
      </c>
    </row>
    <row r="774" spans="1:2">
      <c r="A774" s="3" t="s">
        <v>1129</v>
      </c>
      <c r="B774" s="3">
        <v>6</v>
      </c>
    </row>
    <row r="775" spans="1:2">
      <c r="A775" s="3" t="s">
        <v>1129</v>
      </c>
      <c r="B775" s="3">
        <v>6</v>
      </c>
    </row>
    <row r="776" spans="1:2">
      <c r="A776" s="3" t="s">
        <v>2785</v>
      </c>
      <c r="B776" s="1">
        <v>6</v>
      </c>
    </row>
    <row r="777" spans="1:2">
      <c r="A777" s="3" t="s">
        <v>2785</v>
      </c>
      <c r="B777" s="3">
        <v>0</v>
      </c>
    </row>
    <row r="778" spans="1:2">
      <c r="A778" s="1" t="s">
        <v>1227</v>
      </c>
      <c r="B778" s="1">
        <v>9</v>
      </c>
    </row>
    <row r="779" spans="1:2">
      <c r="A779" s="1" t="s">
        <v>1227</v>
      </c>
      <c r="B779" s="1">
        <v>9</v>
      </c>
    </row>
    <row r="780" spans="1:2">
      <c r="A780" s="1" t="s">
        <v>1227</v>
      </c>
      <c r="B780" s="1">
        <v>9</v>
      </c>
    </row>
    <row r="781" spans="1:2">
      <c r="A781" s="1" t="s">
        <v>1227</v>
      </c>
      <c r="B781" s="1">
        <v>9</v>
      </c>
    </row>
    <row r="782" spans="1:2">
      <c r="A782" s="1" t="s">
        <v>1227</v>
      </c>
      <c r="B782" s="1">
        <v>9</v>
      </c>
    </row>
    <row r="783" spans="1:2">
      <c r="A783" s="1" t="s">
        <v>1227</v>
      </c>
      <c r="B783" s="1">
        <v>9</v>
      </c>
    </row>
    <row r="784" spans="1:2">
      <c r="A784" s="3" t="s">
        <v>2785</v>
      </c>
      <c r="B784" s="1">
        <v>9</v>
      </c>
    </row>
    <row r="785" spans="1:2">
      <c r="A785" s="3" t="s">
        <v>2785</v>
      </c>
      <c r="B785" s="3">
        <v>0</v>
      </c>
    </row>
    <row r="786" spans="1:2">
      <c r="A786" s="1" t="s">
        <v>1341</v>
      </c>
      <c r="B786" s="1">
        <v>10</v>
      </c>
    </row>
    <row r="787" spans="1:2">
      <c r="A787" s="1" t="s">
        <v>1341</v>
      </c>
      <c r="B787" s="1">
        <v>10</v>
      </c>
    </row>
    <row r="788" spans="1:2">
      <c r="A788" s="1" t="s">
        <v>1341</v>
      </c>
      <c r="B788" s="1">
        <v>10</v>
      </c>
    </row>
    <row r="789" spans="1:2">
      <c r="A789" s="1" t="s">
        <v>1341</v>
      </c>
      <c r="B789" s="1">
        <v>10</v>
      </c>
    </row>
    <row r="790" spans="1:2">
      <c r="A790" s="1" t="s">
        <v>1341</v>
      </c>
      <c r="B790" s="1">
        <v>10</v>
      </c>
    </row>
    <row r="791" spans="1:2">
      <c r="A791" s="3" t="s">
        <v>2785</v>
      </c>
      <c r="B791" s="1">
        <v>10</v>
      </c>
    </row>
    <row r="792" spans="1:2">
      <c r="A792" s="3" t="s">
        <v>2785</v>
      </c>
      <c r="B792" s="3">
        <v>0</v>
      </c>
    </row>
    <row r="793" spans="1:2">
      <c r="A793" s="1" t="s">
        <v>1520</v>
      </c>
      <c r="B793" s="1">
        <v>11</v>
      </c>
    </row>
    <row r="794" spans="1:2">
      <c r="A794" s="1" t="s">
        <v>1520</v>
      </c>
      <c r="B794" s="1">
        <v>11</v>
      </c>
    </row>
    <row r="795" spans="1:2">
      <c r="A795" s="1" t="s">
        <v>1520</v>
      </c>
      <c r="B795" s="1">
        <v>11</v>
      </c>
    </row>
    <row r="796" spans="1:2">
      <c r="A796" s="1" t="s">
        <v>1520</v>
      </c>
      <c r="B796" s="1">
        <v>11</v>
      </c>
    </row>
    <row r="797" spans="1:2">
      <c r="A797" s="1" t="s">
        <v>1520</v>
      </c>
      <c r="B797" s="1">
        <v>11</v>
      </c>
    </row>
    <row r="798" spans="1:2">
      <c r="A798" s="3" t="s">
        <v>2785</v>
      </c>
      <c r="B798" s="1">
        <v>11</v>
      </c>
    </row>
    <row r="799" spans="1:2">
      <c r="A799" s="3" t="s">
        <v>2785</v>
      </c>
      <c r="B799" s="3">
        <v>0</v>
      </c>
    </row>
    <row r="800" spans="1:2">
      <c r="A800" s="1" t="s">
        <v>1574</v>
      </c>
      <c r="B800" s="1">
        <v>12</v>
      </c>
    </row>
    <row r="801" spans="1:2">
      <c r="A801" s="1" t="s">
        <v>1574</v>
      </c>
      <c r="B801" s="1">
        <v>12</v>
      </c>
    </row>
    <row r="802" spans="1:2">
      <c r="A802" s="1" t="s">
        <v>1574</v>
      </c>
      <c r="B802" s="1">
        <v>12</v>
      </c>
    </row>
    <row r="803" spans="1:2">
      <c r="A803" s="3" t="s">
        <v>2785</v>
      </c>
      <c r="B803" s="1">
        <v>12</v>
      </c>
    </row>
    <row r="804" spans="1:2">
      <c r="A804" s="3" t="s">
        <v>2785</v>
      </c>
      <c r="B804" s="3">
        <v>0</v>
      </c>
    </row>
    <row r="805" spans="1:2">
      <c r="A805" s="3" t="s">
        <v>1630</v>
      </c>
      <c r="B805" s="3">
        <v>13</v>
      </c>
    </row>
    <row r="806" spans="1:2">
      <c r="A806" s="3" t="s">
        <v>1630</v>
      </c>
      <c r="B806" s="3">
        <v>13</v>
      </c>
    </row>
    <row r="807" spans="1:2">
      <c r="A807" s="3" t="s">
        <v>1630</v>
      </c>
      <c r="B807" s="3">
        <v>13</v>
      </c>
    </row>
    <row r="808" spans="1:2">
      <c r="A808" s="3" t="s">
        <v>1630</v>
      </c>
      <c r="B808" s="3">
        <v>13</v>
      </c>
    </row>
    <row r="809" spans="1:2">
      <c r="A809" s="3" t="s">
        <v>1630</v>
      </c>
      <c r="B809" s="3">
        <v>13</v>
      </c>
    </row>
    <row r="810" spans="1:2">
      <c r="A810" s="3" t="s">
        <v>2785</v>
      </c>
      <c r="B810" s="1">
        <v>13</v>
      </c>
    </row>
    <row r="811" spans="1:2">
      <c r="A811" s="3" t="s">
        <v>2785</v>
      </c>
      <c r="B811" s="3">
        <v>0</v>
      </c>
    </row>
    <row r="812" spans="1:2">
      <c r="A812" s="1" t="s">
        <v>1715</v>
      </c>
      <c r="B812" s="1">
        <v>14</v>
      </c>
    </row>
    <row r="813" spans="1:2">
      <c r="A813" s="1" t="s">
        <v>1715</v>
      </c>
      <c r="B813" s="1">
        <v>14</v>
      </c>
    </row>
    <row r="814" spans="1:2">
      <c r="A814" s="1" t="s">
        <v>1715</v>
      </c>
      <c r="B814" s="1">
        <v>14</v>
      </c>
    </row>
    <row r="815" spans="1:2">
      <c r="A815" s="3" t="s">
        <v>2785</v>
      </c>
      <c r="B815" s="1">
        <v>14</v>
      </c>
    </row>
    <row r="816" spans="1:2">
      <c r="A816" s="3" t="s">
        <v>2785</v>
      </c>
      <c r="B816" s="3">
        <v>0</v>
      </c>
    </row>
    <row r="817" spans="1:2">
      <c r="A817" s="1" t="s">
        <v>79</v>
      </c>
      <c r="B817" s="1">
        <v>1</v>
      </c>
    </row>
    <row r="818" spans="1:2">
      <c r="A818" s="1" t="s">
        <v>79</v>
      </c>
      <c r="B818" s="1">
        <v>101</v>
      </c>
    </row>
    <row r="819" spans="1:2">
      <c r="A819" s="1" t="s">
        <v>79</v>
      </c>
      <c r="B819" s="1">
        <v>110</v>
      </c>
    </row>
    <row r="820" spans="1:2">
      <c r="A820" s="1" t="s">
        <v>79</v>
      </c>
      <c r="B820" s="1">
        <v>111</v>
      </c>
    </row>
    <row r="821" spans="1:2">
      <c r="A821" s="3" t="s">
        <v>79</v>
      </c>
      <c r="B821" s="3">
        <v>112</v>
      </c>
    </row>
    <row r="822" spans="1:2">
      <c r="A822" s="1" t="s">
        <v>79</v>
      </c>
      <c r="B822" s="1">
        <v>106</v>
      </c>
    </row>
    <row r="823" spans="1:2">
      <c r="A823" s="1" t="s">
        <v>79</v>
      </c>
      <c r="B823" s="1">
        <v>105</v>
      </c>
    </row>
    <row r="824" spans="1:2">
      <c r="A824" s="1" t="s">
        <v>79</v>
      </c>
      <c r="B824" s="1">
        <v>103</v>
      </c>
    </row>
    <row r="825" spans="1:2">
      <c r="A825" s="1" t="s">
        <v>79</v>
      </c>
      <c r="B825" s="1">
        <v>107</v>
      </c>
    </row>
    <row r="826" spans="1:2">
      <c r="A826" s="1" t="s">
        <v>79</v>
      </c>
      <c r="B826" s="1">
        <v>104</v>
      </c>
    </row>
    <row r="827" spans="1:2">
      <c r="A827" s="1" t="s">
        <v>79</v>
      </c>
      <c r="B827" s="1">
        <v>108</v>
      </c>
    </row>
    <row r="828" spans="1:2">
      <c r="A828" s="1" t="s">
        <v>79</v>
      </c>
      <c r="B828" s="1">
        <v>109</v>
      </c>
    </row>
    <row r="829" spans="1:2">
      <c r="A829" s="1" t="s">
        <v>79</v>
      </c>
      <c r="B829" s="1">
        <v>109</v>
      </c>
    </row>
    <row r="830" spans="1:2">
      <c r="A830" s="1" t="s">
        <v>79</v>
      </c>
      <c r="B830" s="1">
        <v>1</v>
      </c>
    </row>
    <row r="831" spans="1:2">
      <c r="A831" s="1" t="s">
        <v>79</v>
      </c>
      <c r="B831" s="1">
        <v>101</v>
      </c>
    </row>
    <row r="832" spans="1:2">
      <c r="A832" s="1" t="s">
        <v>79</v>
      </c>
      <c r="B832" s="1">
        <v>110</v>
      </c>
    </row>
    <row r="833" spans="1:2">
      <c r="A833" s="1" t="s">
        <v>79</v>
      </c>
      <c r="B833" s="1">
        <v>111</v>
      </c>
    </row>
    <row r="834" spans="1:2">
      <c r="A834" s="3" t="s">
        <v>79</v>
      </c>
      <c r="B834" s="3">
        <v>112</v>
      </c>
    </row>
    <row r="835" spans="1:2">
      <c r="A835" s="1" t="s">
        <v>79</v>
      </c>
      <c r="B835" s="1">
        <v>106</v>
      </c>
    </row>
    <row r="836" spans="1:2">
      <c r="A836" s="1" t="s">
        <v>79</v>
      </c>
      <c r="B836" s="1">
        <v>105</v>
      </c>
    </row>
    <row r="837" spans="1:2">
      <c r="A837" s="1" t="s">
        <v>79</v>
      </c>
      <c r="B837" s="1">
        <v>103</v>
      </c>
    </row>
    <row r="838" spans="1:2">
      <c r="A838" s="1" t="s">
        <v>79</v>
      </c>
      <c r="B838" s="1">
        <v>107</v>
      </c>
    </row>
    <row r="839" spans="1:2">
      <c r="A839" s="1" t="s">
        <v>79</v>
      </c>
      <c r="B839" s="1">
        <v>104</v>
      </c>
    </row>
    <row r="840" spans="1:2">
      <c r="A840" s="1" t="s">
        <v>79</v>
      </c>
      <c r="B840" s="1">
        <v>108</v>
      </c>
    </row>
    <row r="841" spans="1:2">
      <c r="A841" s="1" t="s">
        <v>79</v>
      </c>
      <c r="B841" s="1">
        <v>109</v>
      </c>
    </row>
    <row r="842" spans="1:2">
      <c r="A842" s="3" t="s">
        <v>2785</v>
      </c>
      <c r="B842" s="1">
        <v>110</v>
      </c>
    </row>
    <row r="843" spans="1:2">
      <c r="A843" s="3" t="s">
        <v>2785</v>
      </c>
      <c r="B843" s="1">
        <v>111</v>
      </c>
    </row>
    <row r="844" spans="1:2">
      <c r="A844" s="3" t="s">
        <v>2785</v>
      </c>
      <c r="B844" s="3">
        <v>112</v>
      </c>
    </row>
    <row r="845" spans="1:2">
      <c r="A845" s="3" t="s">
        <v>2785</v>
      </c>
      <c r="B845" s="1">
        <v>106</v>
      </c>
    </row>
    <row r="846" spans="1:2">
      <c r="A846" s="3" t="s">
        <v>2785</v>
      </c>
      <c r="B846" s="1">
        <v>105</v>
      </c>
    </row>
    <row r="847" spans="1:2">
      <c r="A847" s="3" t="s">
        <v>2785</v>
      </c>
      <c r="B847" s="1">
        <v>103</v>
      </c>
    </row>
    <row r="848" spans="1:2">
      <c r="A848" s="3" t="s">
        <v>2785</v>
      </c>
      <c r="B848" s="1">
        <v>107</v>
      </c>
    </row>
    <row r="849" spans="1:2">
      <c r="A849" s="3" t="s">
        <v>2785</v>
      </c>
      <c r="B849" s="1">
        <v>104</v>
      </c>
    </row>
    <row r="850" spans="1:2">
      <c r="A850" s="3" t="s">
        <v>2785</v>
      </c>
      <c r="B850" s="1">
        <v>108</v>
      </c>
    </row>
    <row r="851" spans="1:2">
      <c r="A851" s="3" t="s">
        <v>2785</v>
      </c>
      <c r="B851" s="1">
        <v>109</v>
      </c>
    </row>
    <row r="852" spans="1:2">
      <c r="A852" s="3" t="s">
        <v>2785</v>
      </c>
      <c r="B852" s="1">
        <v>109</v>
      </c>
    </row>
    <row r="853" spans="1:2">
      <c r="A853" s="3" t="s">
        <v>325</v>
      </c>
      <c r="B853" s="3">
        <v>1</v>
      </c>
    </row>
    <row r="854" spans="1:2">
      <c r="A854" s="3" t="s">
        <v>325</v>
      </c>
      <c r="B854" s="3">
        <v>1</v>
      </c>
    </row>
    <row r="855" spans="1:2">
      <c r="A855" s="3" t="s">
        <v>325</v>
      </c>
      <c r="B855" s="3">
        <v>1</v>
      </c>
    </row>
    <row r="856" spans="1:2">
      <c r="A856" s="3" t="s">
        <v>325</v>
      </c>
      <c r="B856" s="3">
        <v>1</v>
      </c>
    </row>
    <row r="857" spans="1:2">
      <c r="A857" s="3" t="s">
        <v>325</v>
      </c>
      <c r="B857" s="3">
        <v>1</v>
      </c>
    </row>
    <row r="858" spans="1:2">
      <c r="A858" s="3" t="s">
        <v>325</v>
      </c>
      <c r="B858" s="3">
        <v>1</v>
      </c>
    </row>
    <row r="859" spans="1:2">
      <c r="A859" s="3" t="s">
        <v>325</v>
      </c>
      <c r="B859" s="3">
        <v>1</v>
      </c>
    </row>
    <row r="860" spans="1:2">
      <c r="A860" s="3" t="s">
        <v>325</v>
      </c>
      <c r="B860" s="3">
        <v>1</v>
      </c>
    </row>
    <row r="861" spans="1:2">
      <c r="A861" s="3" t="s">
        <v>325</v>
      </c>
      <c r="B861" s="3">
        <v>1</v>
      </c>
    </row>
    <row r="862" spans="1:2">
      <c r="A862" s="3" t="s">
        <v>325</v>
      </c>
      <c r="B862" s="3">
        <v>1</v>
      </c>
    </row>
    <row r="863" spans="1:2">
      <c r="A863" s="3" t="s">
        <v>655</v>
      </c>
      <c r="B863" s="3">
        <v>1</v>
      </c>
    </row>
    <row r="864" spans="1:2">
      <c r="A864" s="3" t="s">
        <v>655</v>
      </c>
      <c r="B864" s="3">
        <v>1</v>
      </c>
    </row>
    <row r="865" spans="1:2">
      <c r="A865" s="3" t="s">
        <v>655</v>
      </c>
      <c r="B865" s="3">
        <v>1</v>
      </c>
    </row>
    <row r="866" spans="1:2">
      <c r="A866" s="3" t="s">
        <v>655</v>
      </c>
      <c r="B866" s="3">
        <v>1</v>
      </c>
    </row>
    <row r="867" spans="1:2">
      <c r="A867" s="3" t="s">
        <v>765</v>
      </c>
      <c r="B867" s="3">
        <v>1</v>
      </c>
    </row>
    <row r="868" spans="1:2">
      <c r="A868" s="3" t="s">
        <v>765</v>
      </c>
      <c r="B868" s="3">
        <v>1</v>
      </c>
    </row>
    <row r="869" spans="1:2">
      <c r="A869" s="3" t="s">
        <v>765</v>
      </c>
      <c r="B869" s="3">
        <v>1</v>
      </c>
    </row>
    <row r="870" spans="1:2">
      <c r="A870" s="3" t="s">
        <v>765</v>
      </c>
      <c r="B870" s="3">
        <v>1</v>
      </c>
    </row>
    <row r="871" spans="1:2">
      <c r="A871" s="3" t="s">
        <v>765</v>
      </c>
      <c r="B871" s="3">
        <v>1</v>
      </c>
    </row>
    <row r="872" spans="1:2">
      <c r="A872" s="3" t="s">
        <v>765</v>
      </c>
      <c r="B872" s="3">
        <v>1</v>
      </c>
    </row>
    <row r="873" spans="1:2">
      <c r="A873" s="3" t="s">
        <v>765</v>
      </c>
      <c r="B873" s="3">
        <v>1</v>
      </c>
    </row>
    <row r="874" spans="1:2">
      <c r="A874" s="3" t="s">
        <v>765</v>
      </c>
      <c r="B874" s="3">
        <v>1</v>
      </c>
    </row>
    <row r="875" spans="1:2">
      <c r="A875" s="3" t="s">
        <v>1077</v>
      </c>
      <c r="B875" s="3">
        <v>1</v>
      </c>
    </row>
    <row r="876" spans="1:2">
      <c r="A876" s="3" t="s">
        <v>1077</v>
      </c>
      <c r="B876" s="3">
        <v>1</v>
      </c>
    </row>
    <row r="877" spans="1:2">
      <c r="A877" s="3" t="s">
        <v>1077</v>
      </c>
      <c r="B877" s="3">
        <v>1</v>
      </c>
    </row>
    <row r="878" spans="1:2">
      <c r="A878" s="3" t="s">
        <v>1077</v>
      </c>
      <c r="B878" s="3">
        <v>1</v>
      </c>
    </row>
    <row r="879" spans="1:2">
      <c r="A879" s="3" t="s">
        <v>1129</v>
      </c>
      <c r="B879" s="3">
        <v>1</v>
      </c>
    </row>
    <row r="880" spans="1:2">
      <c r="A880" s="3" t="s">
        <v>1129</v>
      </c>
      <c r="B880" s="3">
        <v>1</v>
      </c>
    </row>
    <row r="881" spans="1:2">
      <c r="A881" s="3" t="s">
        <v>1227</v>
      </c>
      <c r="B881" s="3">
        <v>1</v>
      </c>
    </row>
    <row r="882" spans="1:2">
      <c r="A882" s="3" t="s">
        <v>1227</v>
      </c>
      <c r="B882" s="3">
        <v>1</v>
      </c>
    </row>
    <row r="883" spans="1:2">
      <c r="A883" s="3" t="s">
        <v>1227</v>
      </c>
      <c r="B883" s="3">
        <v>1</v>
      </c>
    </row>
    <row r="884" spans="1:2">
      <c r="A884" s="3" t="s">
        <v>1227</v>
      </c>
      <c r="B884" s="3">
        <v>1</v>
      </c>
    </row>
    <row r="885" spans="1:2">
      <c r="A885" s="3" t="s">
        <v>1341</v>
      </c>
      <c r="B885" s="3">
        <v>1</v>
      </c>
    </row>
    <row r="886" spans="1:2">
      <c r="A886" s="3" t="s">
        <v>1341</v>
      </c>
      <c r="B886" s="3">
        <v>1</v>
      </c>
    </row>
    <row r="887" spans="1:2">
      <c r="A887" s="3" t="s">
        <v>1341</v>
      </c>
      <c r="B887" s="3">
        <v>1</v>
      </c>
    </row>
    <row r="888" spans="1:2">
      <c r="A888" s="3" t="s">
        <v>1341</v>
      </c>
      <c r="B888" s="3">
        <v>1</v>
      </c>
    </row>
    <row r="889" spans="1:2">
      <c r="A889" s="3" t="s">
        <v>1520</v>
      </c>
      <c r="B889" s="3">
        <v>1</v>
      </c>
    </row>
    <row r="890" spans="1:2">
      <c r="A890" s="3" t="s">
        <v>1520</v>
      </c>
      <c r="B890" s="3">
        <v>1</v>
      </c>
    </row>
    <row r="891" spans="1:2">
      <c r="A891" s="3" t="s">
        <v>1574</v>
      </c>
      <c r="B891" s="3">
        <v>1</v>
      </c>
    </row>
    <row r="892" spans="1:2">
      <c r="A892" s="3" t="s">
        <v>1574</v>
      </c>
      <c r="B892" s="3">
        <v>1</v>
      </c>
    </row>
    <row r="893" spans="1:2">
      <c r="A893" s="3" t="s">
        <v>1630</v>
      </c>
      <c r="B893" s="3">
        <v>1</v>
      </c>
    </row>
    <row r="894" spans="1:2">
      <c r="A894" s="3" t="s">
        <v>1630</v>
      </c>
      <c r="B894" s="3">
        <v>1</v>
      </c>
    </row>
    <row r="895" spans="1:2">
      <c r="A895" s="3" t="s">
        <v>1715</v>
      </c>
      <c r="B895" s="3">
        <v>1</v>
      </c>
    </row>
    <row r="896" spans="1:2">
      <c r="A896" s="3" t="s">
        <v>1715</v>
      </c>
      <c r="B896" s="3">
        <v>1</v>
      </c>
    </row>
    <row r="897" spans="1:2">
      <c r="A897" s="3" t="s">
        <v>1770</v>
      </c>
      <c r="B897" s="3">
        <v>1</v>
      </c>
    </row>
    <row r="898" spans="1:2">
      <c r="A898" s="3" t="s">
        <v>1770</v>
      </c>
      <c r="B898" s="3">
        <v>1</v>
      </c>
    </row>
    <row r="899" spans="1:2">
      <c r="A899" s="3" t="s">
        <v>1770</v>
      </c>
      <c r="B899" s="3">
        <v>1</v>
      </c>
    </row>
    <row r="900" spans="1:2">
      <c r="A900" s="3" t="s">
        <v>1770</v>
      </c>
      <c r="B900" s="3">
        <v>1</v>
      </c>
    </row>
    <row r="901" spans="1:2">
      <c r="A901" s="3" t="s">
        <v>1876</v>
      </c>
      <c r="B901" s="3">
        <v>1</v>
      </c>
    </row>
    <row r="902" spans="1:2">
      <c r="A902" s="3" t="s">
        <v>1876</v>
      </c>
      <c r="B902" s="3">
        <v>1</v>
      </c>
    </row>
    <row r="903" spans="1:2">
      <c r="A903" s="3" t="s">
        <v>1876</v>
      </c>
      <c r="B903" s="3">
        <v>1</v>
      </c>
    </row>
    <row r="904" spans="1:2">
      <c r="A904" s="3" t="s">
        <v>1876</v>
      </c>
      <c r="B904" s="3">
        <v>1</v>
      </c>
    </row>
    <row r="905" spans="1:2">
      <c r="A905" s="3" t="s">
        <v>1876</v>
      </c>
      <c r="B905" s="3">
        <v>1</v>
      </c>
    </row>
    <row r="906" spans="1:2">
      <c r="A906" s="3" t="s">
        <v>1876</v>
      </c>
      <c r="B906" s="3">
        <v>1</v>
      </c>
    </row>
    <row r="907" spans="1:2">
      <c r="A907" s="3" t="s">
        <v>1876</v>
      </c>
      <c r="B907" s="3">
        <v>1</v>
      </c>
    </row>
    <row r="908" spans="1:2">
      <c r="A908" s="3" t="s">
        <v>1876</v>
      </c>
      <c r="B908" s="3">
        <v>1</v>
      </c>
    </row>
    <row r="909" spans="1:2">
      <c r="A909" s="3" t="s">
        <v>1876</v>
      </c>
      <c r="B909" s="3">
        <v>1</v>
      </c>
    </row>
    <row r="910" spans="1:2">
      <c r="A910" s="3" t="s">
        <v>1876</v>
      </c>
      <c r="B910" s="3">
        <v>1</v>
      </c>
    </row>
    <row r="911" spans="1:2">
      <c r="A911" s="3" t="s">
        <v>1876</v>
      </c>
      <c r="B911" s="3">
        <v>1</v>
      </c>
    </row>
    <row r="912" spans="1:2">
      <c r="A912" s="3" t="s">
        <v>1876</v>
      </c>
      <c r="B912" s="3">
        <v>1</v>
      </c>
    </row>
    <row r="913" spans="1:2">
      <c r="A913" s="3" t="s">
        <v>1876</v>
      </c>
      <c r="B913" s="3">
        <v>1</v>
      </c>
    </row>
    <row r="914" spans="1:2">
      <c r="A914" s="3" t="s">
        <v>1876</v>
      </c>
      <c r="B914" s="3">
        <v>1</v>
      </c>
    </row>
    <row r="915" spans="1:2">
      <c r="A915" s="3" t="s">
        <v>1876</v>
      </c>
      <c r="B915" s="3">
        <v>1</v>
      </c>
    </row>
    <row r="916" spans="1:2">
      <c r="A916" s="3" t="s">
        <v>1876</v>
      </c>
      <c r="B916" s="3">
        <v>1</v>
      </c>
    </row>
    <row r="917" spans="1:2">
      <c r="A917" s="3" t="s">
        <v>1876</v>
      </c>
      <c r="B917" s="3">
        <v>1</v>
      </c>
    </row>
    <row r="918" spans="1:2">
      <c r="A918" s="3" t="s">
        <v>1876</v>
      </c>
      <c r="B918" s="3">
        <v>1</v>
      </c>
    </row>
    <row r="919" spans="1:2">
      <c r="A919" s="3" t="s">
        <v>1876</v>
      </c>
      <c r="B919" s="3">
        <v>1</v>
      </c>
    </row>
    <row r="920" spans="1:2">
      <c r="A920" s="3" t="s">
        <v>1876</v>
      </c>
      <c r="B920" s="3">
        <v>1</v>
      </c>
    </row>
    <row r="921" spans="1:2">
      <c r="A921" s="3" t="s">
        <v>1876</v>
      </c>
      <c r="B921" s="3">
        <v>1</v>
      </c>
    </row>
    <row r="922" spans="1:2">
      <c r="A922" s="3" t="s">
        <v>1876</v>
      </c>
      <c r="B922" s="3">
        <v>1</v>
      </c>
    </row>
    <row r="923" spans="1:2">
      <c r="A923" s="3" t="s">
        <v>1876</v>
      </c>
      <c r="B923" s="3">
        <v>1</v>
      </c>
    </row>
    <row r="924" spans="1:2">
      <c r="A924" s="3" t="s">
        <v>1876</v>
      </c>
      <c r="B924" s="3">
        <v>1</v>
      </c>
    </row>
    <row r="925" spans="1:2">
      <c r="A925" s="3" t="s">
        <v>1876</v>
      </c>
      <c r="B925" s="3">
        <v>1</v>
      </c>
    </row>
    <row r="926" spans="1:2">
      <c r="A926" s="3" t="s">
        <v>1876</v>
      </c>
      <c r="B926" s="3">
        <v>1</v>
      </c>
    </row>
    <row r="927" spans="1:2">
      <c r="A927" s="3" t="s">
        <v>1876</v>
      </c>
      <c r="B927" s="3">
        <v>1</v>
      </c>
    </row>
    <row r="928" spans="1:2">
      <c r="A928" s="3" t="s">
        <v>1876</v>
      </c>
      <c r="B928" s="3">
        <v>1</v>
      </c>
    </row>
    <row r="929" spans="1:2">
      <c r="A929" s="3" t="s">
        <v>1876</v>
      </c>
      <c r="B929" s="3">
        <v>1</v>
      </c>
    </row>
    <row r="930" spans="1:2">
      <c r="A930" s="3" t="s">
        <v>1876</v>
      </c>
      <c r="B930" s="3">
        <v>1</v>
      </c>
    </row>
    <row r="931" spans="1:2">
      <c r="A931" s="3" t="s">
        <v>1876</v>
      </c>
      <c r="B931" s="3">
        <v>1</v>
      </c>
    </row>
    <row r="932" spans="1:2">
      <c r="A932" s="3" t="s">
        <v>1876</v>
      </c>
      <c r="B932" s="3">
        <v>1</v>
      </c>
    </row>
    <row r="933" spans="1:2">
      <c r="A933" s="3" t="s">
        <v>1876</v>
      </c>
      <c r="B933" s="3">
        <v>1</v>
      </c>
    </row>
    <row r="934" spans="1:2">
      <c r="A934" s="3" t="s">
        <v>1876</v>
      </c>
      <c r="B934" s="3">
        <v>1</v>
      </c>
    </row>
    <row r="935" spans="1:2">
      <c r="A935" s="3" t="s">
        <v>1876</v>
      </c>
      <c r="B935" s="3">
        <v>1</v>
      </c>
    </row>
    <row r="936" spans="1:2">
      <c r="A936" s="3" t="s">
        <v>1876</v>
      </c>
      <c r="B936" s="3">
        <v>1</v>
      </c>
    </row>
    <row r="937" spans="1:2">
      <c r="A937" s="3" t="s">
        <v>1876</v>
      </c>
      <c r="B937" s="3">
        <v>1</v>
      </c>
    </row>
    <row r="938" spans="1:2">
      <c r="A938" s="3" t="s">
        <v>1876</v>
      </c>
      <c r="B938" s="3">
        <v>1</v>
      </c>
    </row>
    <row r="939" spans="1:2">
      <c r="A939" s="3" t="s">
        <v>2601</v>
      </c>
      <c r="B939" s="3">
        <v>1</v>
      </c>
    </row>
    <row r="940" spans="1:2">
      <c r="A940" s="3" t="s">
        <v>2601</v>
      </c>
      <c r="B940" s="3">
        <v>1</v>
      </c>
    </row>
    <row r="941" spans="1:2">
      <c r="A941" s="3" t="s">
        <v>2601</v>
      </c>
      <c r="B941" s="3">
        <v>1</v>
      </c>
    </row>
    <row r="942" spans="1:2">
      <c r="A942" s="3" t="s">
        <v>2601</v>
      </c>
      <c r="B942" s="3">
        <v>1</v>
      </c>
    </row>
    <row r="943" spans="1:2">
      <c r="A943" s="3" t="s">
        <v>2601</v>
      </c>
      <c r="B943" s="3">
        <v>1</v>
      </c>
    </row>
    <row r="944" spans="1:2">
      <c r="A944" s="3" t="s">
        <v>2601</v>
      </c>
      <c r="B944" s="3">
        <v>1</v>
      </c>
    </row>
    <row r="945" spans="1:2">
      <c r="A945" s="3" t="s">
        <v>2601</v>
      </c>
      <c r="B945" s="3">
        <v>1</v>
      </c>
    </row>
    <row r="946" spans="1:2">
      <c r="A946" s="3" t="s">
        <v>2601</v>
      </c>
      <c r="B946" s="3">
        <v>1</v>
      </c>
    </row>
    <row r="947" spans="1:2">
      <c r="A947" s="3" t="s">
        <v>2601</v>
      </c>
      <c r="B947" s="3">
        <v>1</v>
      </c>
    </row>
    <row r="948" spans="1:2">
      <c r="A948" s="3" t="s">
        <v>2601</v>
      </c>
      <c r="B948" s="3">
        <v>1</v>
      </c>
    </row>
    <row r="949" spans="1:2">
      <c r="A949" s="3" t="s">
        <v>2601</v>
      </c>
      <c r="B949" s="3">
        <v>1</v>
      </c>
    </row>
    <row r="950" spans="1:2">
      <c r="A950" s="3" t="s">
        <v>2601</v>
      </c>
      <c r="B950" s="3">
        <v>1</v>
      </c>
    </row>
    <row r="951" spans="1:2">
      <c r="A951" s="3" t="s">
        <v>2601</v>
      </c>
      <c r="B951" s="3">
        <v>1</v>
      </c>
    </row>
    <row r="952" spans="1:2">
      <c r="A952" s="3" t="s">
        <v>2601</v>
      </c>
      <c r="B952" s="3">
        <v>1</v>
      </c>
    </row>
    <row r="953" spans="1:2">
      <c r="A953" s="3" t="s">
        <v>2601</v>
      </c>
      <c r="B953" s="3">
        <v>1</v>
      </c>
    </row>
    <row r="954" spans="1:2">
      <c r="A954" s="3" t="s">
        <v>2601</v>
      </c>
      <c r="B954" s="3">
        <v>1</v>
      </c>
    </row>
    <row r="955" spans="1:2">
      <c r="A955" s="3" t="s">
        <v>2601</v>
      </c>
      <c r="B955" s="3">
        <v>1</v>
      </c>
    </row>
    <row r="956" spans="1:2">
      <c r="A956" s="3" t="s">
        <v>2601</v>
      </c>
      <c r="B956" s="3">
        <v>1</v>
      </c>
    </row>
    <row r="957" spans="1:2">
      <c r="A957" s="3" t="s">
        <v>2601</v>
      </c>
      <c r="B957" s="3">
        <v>1</v>
      </c>
    </row>
    <row r="958" spans="1:2">
      <c r="A958" s="3" t="s">
        <v>2601</v>
      </c>
      <c r="B958" s="3">
        <v>1</v>
      </c>
    </row>
    <row r="959" spans="1:2">
      <c r="A959" s="3" t="s">
        <v>2601</v>
      </c>
      <c r="B959" s="3">
        <v>1</v>
      </c>
    </row>
    <row r="960" spans="1:2">
      <c r="A960" s="3" t="s">
        <v>2601</v>
      </c>
      <c r="B960" s="3">
        <v>1</v>
      </c>
    </row>
    <row r="961" spans="1:2">
      <c r="A961" s="3" t="s">
        <v>2601</v>
      </c>
      <c r="B961" s="3">
        <v>1</v>
      </c>
    </row>
    <row r="962" spans="1:2">
      <c r="A962" s="3" t="s">
        <v>2601</v>
      </c>
      <c r="B962" s="3">
        <v>1</v>
      </c>
    </row>
    <row r="963" spans="1:2">
      <c r="A963" s="3" t="s">
        <v>2601</v>
      </c>
      <c r="B963" s="3">
        <v>1</v>
      </c>
    </row>
    <row r="964" spans="1:2">
      <c r="A964" s="3" t="s">
        <v>2601</v>
      </c>
      <c r="B964" s="3">
        <v>1</v>
      </c>
    </row>
    <row r="965" spans="1:2">
      <c r="A965" s="3" t="s">
        <v>2601</v>
      </c>
      <c r="B965" s="3">
        <v>1</v>
      </c>
    </row>
    <row r="966" spans="1:2">
      <c r="A966" s="3" t="s">
        <v>2601</v>
      </c>
      <c r="B966" s="3">
        <v>1</v>
      </c>
    </row>
    <row r="967" spans="1:2">
      <c r="A967" s="3" t="s">
        <v>2601</v>
      </c>
      <c r="B967" s="3">
        <v>1</v>
      </c>
    </row>
    <row r="968" spans="1:2">
      <c r="A968" s="3" t="s">
        <v>2601</v>
      </c>
      <c r="B968" s="3">
        <v>1</v>
      </c>
    </row>
  </sheetData>
  <phoneticPr fontId="4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5</vt:i4>
      </vt:variant>
    </vt:vector>
  </HeadingPairs>
  <TitlesOfParts>
    <vt:vector size="20" baseType="lpstr">
      <vt:lpstr>招式配置</vt:lpstr>
      <vt:lpstr>招式配置英文</vt:lpstr>
      <vt:lpstr>武学境界对应招式表</vt:lpstr>
      <vt:lpstr>武学境界对应招式表英文</vt:lpstr>
      <vt:lpstr>武学境界对应招式表英文1</vt:lpstr>
      <vt:lpstr>心诀配置</vt:lpstr>
      <vt:lpstr>心诀配置英文</vt:lpstr>
      <vt:lpstr>轻击对应招式表</vt:lpstr>
      <vt:lpstr>轻击对应招式表英文</vt:lpstr>
      <vt:lpstr>重击对应招式表</vt:lpstr>
      <vt:lpstr>重击对应招式表英文</vt:lpstr>
      <vt:lpstr>飞行道具配置</vt:lpstr>
      <vt:lpstr>散学对应招式表</vt:lpstr>
      <vt:lpstr>散学对应招式表英文</vt:lpstr>
      <vt:lpstr>Sheet1</vt:lpstr>
      <vt:lpstr>武学境界对应招式表!OLE_LINK27</vt:lpstr>
      <vt:lpstr>武学境界对应招式表英文!OLE_LINK27</vt:lpstr>
      <vt:lpstr>武学境界对应招式表英文1!OLE_LINK27</vt:lpstr>
      <vt:lpstr>心诀配置!OLE_LINK38</vt:lpstr>
      <vt:lpstr>心诀配置英文!OLE_LINK38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奕轩 张</cp:lastModifiedBy>
  <dcterms:created xsi:type="dcterms:W3CDTF">2006-09-16T00:00:00Z</dcterms:created>
  <dcterms:modified xsi:type="dcterms:W3CDTF">2026-01-29T09:06:42Z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A5F70CB8E36D4943AB4B6AFFF6C418EA_12</vt:lpwstr>
  </property>
  <property fmtid="{D5CDD505-2E9C-101B-9397-08002B2CF9AE}" pid="3" name="KSOProductBuildVer">
    <vt:lpwstr>2052-12.1.0.21541</vt:lpwstr>
  </property>
</Properties>
</file>