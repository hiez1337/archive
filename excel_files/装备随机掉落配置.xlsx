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80"/>
  </bookViews>
  <sheets>
    <sheet name="掉落基础配置" sheetId="1" r:id="rId1"/>
    <sheet name="Sheet1" sheetId="2" r:id="rId2"/>
    <sheet name="Sheet2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掉落基础配置!$A$1:$P$2789</definedName>
    <definedName name="_xlnm._FilterDatabase" localSheetId="2" hidden="1">Sheet2!$Q$1:$R$757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<sst xmlns="http://schemas.openxmlformats.org/spreadsheetml/2006/main" count="10294" uniqueCount="753">
  <si>
    <t>ID</t>
  </si>
  <si>
    <t>掉落ID</t>
  </si>
  <si>
    <t>品质</t>
  </si>
  <si>
    <t>概率下限</t>
  </si>
  <si>
    <t>概率上限</t>
  </si>
  <si>
    <t>概率最大上限</t>
  </si>
  <si>
    <t>道具ID</t>
  </si>
  <si>
    <t>道具名称</t>
  </si>
  <si>
    <t>类别</t>
  </si>
  <si>
    <t>掉落数量</t>
  </si>
  <si>
    <t>id</t>
  </si>
  <si>
    <t>dropid</t>
  </si>
  <si>
    <t>level</t>
  </si>
  <si>
    <t>probabilitymin</t>
  </si>
  <si>
    <t>probabilitymax</t>
  </si>
  <si>
    <t>upperlimitmax</t>
  </si>
  <si>
    <t>itemid</t>
  </si>
  <si>
    <t>name</t>
  </si>
  <si>
    <t>type</t>
  </si>
  <si>
    <t>num</t>
  </si>
  <si>
    <t>枯木枝</t>
  </si>
  <si>
    <t>武器</t>
  </si>
  <si>
    <t>粗布缠手</t>
  </si>
  <si>
    <t>硬木剑</t>
  </si>
  <si>
    <t>粗钢刀</t>
  </si>
  <si>
    <t>白蜡杆</t>
  </si>
  <si>
    <t>红缨铁枪</t>
  </si>
  <si>
    <t>钿铁扇</t>
  </si>
  <si>
    <t>斩马刀</t>
  </si>
  <si>
    <t>薄柳袖刀</t>
  </si>
  <si>
    <t>千层底</t>
  </si>
  <si>
    <t>竹木切</t>
  </si>
  <si>
    <t>流星坠</t>
  </si>
  <si>
    <t>粗布衣</t>
  </si>
  <si>
    <t>护甲</t>
  </si>
  <si>
    <t>棉布护腕</t>
  </si>
  <si>
    <t>护臂</t>
  </si>
  <si>
    <t>蒲草护腿</t>
  </si>
  <si>
    <t>护腿</t>
  </si>
  <si>
    <t>粗麻腰带</t>
  </si>
  <si>
    <t>护腰</t>
  </si>
  <si>
    <t>环铁扳指</t>
  </si>
  <si>
    <t>戒指</t>
  </si>
  <si>
    <t>细缠链</t>
  </si>
  <si>
    <t>项链</t>
  </si>
  <si>
    <t>流苏小坠</t>
  </si>
  <si>
    <t>坠饰</t>
  </si>
  <si>
    <t>空麻袋</t>
  </si>
  <si>
    <t>杂物</t>
  </si>
  <si>
    <t>仪戟</t>
  </si>
  <si>
    <t>稀有武器</t>
  </si>
  <si>
    <t>醉摇仙</t>
  </si>
  <si>
    <t>太平令</t>
  </si>
  <si>
    <t>逍遥游</t>
  </si>
  <si>
    <t>乌蛇蜕</t>
  </si>
  <si>
    <t>拢掌拳套</t>
  </si>
  <si>
    <t>碧鞘长剑</t>
  </si>
  <si>
    <t>鬼型吞刀</t>
  </si>
  <si>
    <t>磐龙棍</t>
  </si>
  <si>
    <t>钿银长枪</t>
  </si>
  <si>
    <t>桃花绘扇</t>
  </si>
  <si>
    <t>擎斩重刃</t>
  </si>
  <si>
    <t>精铁蒺藜</t>
  </si>
  <si>
    <t>林南硬靴</t>
  </si>
  <si>
    <t>制式和刀</t>
  </si>
  <si>
    <t>无间分铜</t>
  </si>
  <si>
    <t>挽镜胄</t>
  </si>
  <si>
    <t>蜀锦腕</t>
  </si>
  <si>
    <t>铁线甲马</t>
  </si>
  <si>
    <t>锦澜腰缠</t>
  </si>
  <si>
    <t>乌木戒</t>
  </si>
  <si>
    <t>琳琅绣锁</t>
  </si>
  <si>
    <t>青庐环佩</t>
  </si>
  <si>
    <t>锈铁缠手</t>
  </si>
  <si>
    <r>
      <rPr>
        <sz val="11"/>
        <rFont val="等线"/>
        <charset val="134"/>
        <scheme val="minor"/>
      </rPr>
      <t>连环寨</t>
    </r>
    <r>
      <rPr>
        <sz val="10"/>
        <rFont val="等线"/>
        <charset val="134"/>
        <scheme val="minor"/>
      </rPr>
      <t>简单</t>
    </r>
  </si>
  <si>
    <t>素剑</t>
  </si>
  <si>
    <t>连环寨简单</t>
  </si>
  <si>
    <t>粗铁刀</t>
  </si>
  <si>
    <t>大刀</t>
  </si>
  <si>
    <t>焰头枪</t>
  </si>
  <si>
    <t>山水画扇</t>
  </si>
  <si>
    <t>薄柳镖</t>
  </si>
  <si>
    <t>铁丸</t>
  </si>
  <si>
    <t>乱狼牙</t>
  </si>
  <si>
    <t>竹木弓</t>
  </si>
  <si>
    <t>铁炎</t>
  </si>
  <si>
    <t>割肉短匕</t>
  </si>
  <si>
    <t>麻布短褐</t>
  </si>
  <si>
    <t>棉布绑腿</t>
  </si>
  <si>
    <t>麻布缠腰</t>
  </si>
  <si>
    <t>乌麻缠指</t>
  </si>
  <si>
    <t>蒲草链</t>
  </si>
  <si>
    <t>青石佩</t>
  </si>
  <si>
    <t>黑革掌束</t>
  </si>
  <si>
    <t>连环寨普通</t>
  </si>
  <si>
    <t>青锋剑</t>
  </si>
  <si>
    <t>环手刀</t>
  </si>
  <si>
    <t>磐龙杖</t>
  </si>
  <si>
    <t>绣红缨</t>
  </si>
  <si>
    <t>呦呦鹿鸣</t>
  </si>
  <si>
    <t>寒星</t>
  </si>
  <si>
    <t>一字蹬</t>
  </si>
  <si>
    <t>坚臂弓</t>
  </si>
  <si>
    <t>雷鸟铳</t>
  </si>
  <si>
    <t>双鱼短匕</t>
  </si>
  <si>
    <t>棉布长衫</t>
  </si>
  <si>
    <t>竹片护腕</t>
  </si>
  <si>
    <t>粗铁护胫</t>
  </si>
  <si>
    <t>粗铁腰带</t>
  </si>
  <si>
    <t>碎铜坠</t>
  </si>
  <si>
    <t>白铁掌套</t>
  </si>
  <si>
    <t>连环寨困难</t>
  </si>
  <si>
    <t>鬼面刀</t>
  </si>
  <si>
    <t>人屠</t>
  </si>
  <si>
    <t>勿伽罗</t>
  </si>
  <si>
    <t>点钢枪</t>
  </si>
  <si>
    <t>江南行尽</t>
  </si>
  <si>
    <t>梦佳期</t>
  </si>
  <si>
    <t>望山难</t>
  </si>
  <si>
    <t>赤鸾</t>
  </si>
  <si>
    <t>追魂锁</t>
  </si>
  <si>
    <t>犀角弓</t>
  </si>
  <si>
    <t>青焰</t>
  </si>
  <si>
    <t>锻铁双匕</t>
  </si>
  <si>
    <t>绫罗直裰</t>
  </si>
  <si>
    <t>鬼面护胫</t>
  </si>
  <si>
    <t>丝绦缠腰</t>
  </si>
  <si>
    <t>环铁戒</t>
  </si>
  <si>
    <t>碧水坠</t>
  </si>
  <si>
    <t>五圣教简单</t>
  </si>
  <si>
    <t>破碑</t>
  </si>
  <si>
    <t>五圣教普通</t>
  </si>
  <si>
    <t>含虹</t>
  </si>
  <si>
    <t>壁鳞</t>
  </si>
  <si>
    <t>拙机</t>
  </si>
  <si>
    <t>纵横</t>
  </si>
  <si>
    <t>鎏影</t>
  </si>
  <si>
    <t>游方知北</t>
  </si>
  <si>
    <t>断梅</t>
  </si>
  <si>
    <t>绵里藏针</t>
  </si>
  <si>
    <t>隼前</t>
  </si>
  <si>
    <t>穿云锥</t>
  </si>
  <si>
    <t>凤阙弓</t>
  </si>
  <si>
    <t>燧焰</t>
  </si>
  <si>
    <t>血濡衣</t>
  </si>
  <si>
    <t>凌云意</t>
  </si>
  <si>
    <t>青玉缠手</t>
  </si>
  <si>
    <t>乌金缠</t>
  </si>
  <si>
    <t>锦澜</t>
  </si>
  <si>
    <t>精铁扳指</t>
  </si>
  <si>
    <t>味愚</t>
  </si>
  <si>
    <t>锦绣香囊</t>
  </si>
  <si>
    <t>白臂猿公手</t>
  </si>
  <si>
    <t>五圣教困难</t>
  </si>
  <si>
    <t>三尺鸦</t>
  </si>
  <si>
    <t>红莲</t>
  </si>
  <si>
    <t>蝶</t>
  </si>
  <si>
    <t>罗刹</t>
  </si>
  <si>
    <t>公侯王鼎</t>
  </si>
  <si>
    <t>雅素</t>
  </si>
  <si>
    <t>兰庭芳草</t>
  </si>
  <si>
    <t>焚琴折竹</t>
  </si>
  <si>
    <t>远海惊涛</t>
  </si>
  <si>
    <t>阎罗夺</t>
  </si>
  <si>
    <t>靺鞨弓</t>
  </si>
  <si>
    <t>电光铳</t>
  </si>
  <si>
    <t>荆门候</t>
  </si>
  <si>
    <t>闻鹤</t>
  </si>
  <si>
    <t>虞美人</t>
  </si>
  <si>
    <t>踏逐腿</t>
  </si>
  <si>
    <t>雪满长安</t>
  </si>
  <si>
    <t>青玉戒</t>
  </si>
  <si>
    <t>青田月</t>
  </si>
  <si>
    <t>朝天蛤蟆口</t>
  </si>
  <si>
    <t>桃花坞简单</t>
  </si>
  <si>
    <t>桃花坞普通</t>
  </si>
  <si>
    <t>九州无量</t>
  </si>
  <si>
    <t>桃花坞困难</t>
  </si>
  <si>
    <t>却邪</t>
  </si>
  <si>
    <t>小切玉</t>
  </si>
  <si>
    <t>古锭</t>
  </si>
  <si>
    <t>红笺无色</t>
  </si>
  <si>
    <t>修罗</t>
  </si>
  <si>
    <t>秋风悲画</t>
  </si>
  <si>
    <t>霜月</t>
  </si>
  <si>
    <t>五岳三山</t>
  </si>
  <si>
    <t>丸锻隼前龙光</t>
  </si>
  <si>
    <t>玉露</t>
  </si>
  <si>
    <t>北逐天狼</t>
  </si>
  <si>
    <t>佛朗机</t>
  </si>
  <si>
    <t>清刚</t>
  </si>
  <si>
    <t>烟罗云锦</t>
  </si>
  <si>
    <t>镇西关</t>
  </si>
  <si>
    <t>千里烟波</t>
  </si>
  <si>
    <t>八方人间</t>
  </si>
  <si>
    <t>琉璃错丝结</t>
  </si>
  <si>
    <t>落雨烟翠</t>
  </si>
  <si>
    <t>棠梨</t>
  </si>
  <si>
    <t>千锻拳势</t>
  </si>
  <si>
    <t>（上册）</t>
  </si>
  <si>
    <t>秘籍</t>
  </si>
  <si>
    <t>伏阳开碑拳</t>
  </si>
  <si>
    <t>凌鸿剑势</t>
  </si>
  <si>
    <t>清风剑法</t>
  </si>
  <si>
    <t>斩铁无锋卷</t>
  </si>
  <si>
    <t>北顾枪法</t>
  </si>
  <si>
    <t>玄黄入阵旌</t>
  </si>
  <si>
    <t>众相菩提杖</t>
  </si>
  <si>
    <t>暴雨梨花刀</t>
  </si>
  <si>
    <t>醉饮降龙无双式</t>
  </si>
  <si>
    <t>无心流·拔刀术</t>
  </si>
  <si>
    <t>流缶金绳镖</t>
  </si>
  <si>
    <t>锋狩控弦决</t>
  </si>
  <si>
    <t>西域火器·珠</t>
  </si>
  <si>
    <t>小周天扇法</t>
  </si>
  <si>
    <t>踪影孤鸿</t>
  </si>
  <si>
    <t>密剑·山中石响</t>
  </si>
  <si>
    <t>月残经</t>
  </si>
  <si>
    <t>连珏天璧法</t>
  </si>
  <si>
    <t>昭霞别册</t>
  </si>
  <si>
    <t>霸王卸甲</t>
  </si>
  <si>
    <t>青囊宝钞</t>
  </si>
  <si>
    <t>赶蝉游身环</t>
  </si>
  <si>
    <t>洛神踏雪步</t>
  </si>
  <si>
    <t>晴梅花步</t>
  </si>
  <si>
    <t>紫乌啸凤图</t>
  </si>
  <si>
    <t>燕纵步</t>
  </si>
  <si>
    <t>支山祁</t>
  </si>
  <si>
    <t>撼山步</t>
  </si>
  <si>
    <t>逆流十二身</t>
  </si>
  <si>
    <t>弑流·伐剑取</t>
  </si>
  <si>
    <t>天威军阵刀术</t>
  </si>
  <si>
    <t>掣骨金虹决</t>
  </si>
  <si>
    <t>（下册）</t>
  </si>
  <si>
    <t>还复膏</t>
  </si>
  <si>
    <t>药品</t>
  </si>
  <si>
    <t>理气丸</t>
  </si>
  <si>
    <t>八宝花丸</t>
  </si>
  <si>
    <t>白霞散</t>
  </si>
  <si>
    <t>止血草</t>
  </si>
  <si>
    <t>金创散</t>
  </si>
  <si>
    <t>续命散</t>
  </si>
  <si>
    <t>净血丸</t>
  </si>
  <si>
    <t>天衍·夕落卷</t>
  </si>
  <si>
    <t>三才书</t>
  </si>
  <si>
    <t>天衍·破军卷</t>
  </si>
  <si>
    <t>天衍·望山卷</t>
  </si>
  <si>
    <t>天衍·凌云卷</t>
  </si>
  <si>
    <t>天衍·狮搏卷</t>
  </si>
  <si>
    <t>天衍·敛瀑卷</t>
  </si>
  <si>
    <t>天衍·震乾卷</t>
  </si>
  <si>
    <t>天衍·喋喰卷</t>
  </si>
  <si>
    <t>地覆·诸御卷</t>
  </si>
  <si>
    <t>地覆·万钟卷</t>
  </si>
  <si>
    <t>地覆·固源卷</t>
  </si>
  <si>
    <t>地覆·睚眦卷</t>
  </si>
  <si>
    <t>地覆·坤玖卷</t>
  </si>
  <si>
    <t>人世·诛邪卷</t>
  </si>
  <si>
    <t>人世·撼岳卷</t>
  </si>
  <si>
    <t>人世·孤鸾卷</t>
  </si>
  <si>
    <t>人世·天照卷</t>
  </si>
  <si>
    <t>人世·寒鹊卷</t>
  </si>
  <si>
    <t>人世·药蛊卷</t>
  </si>
  <si>
    <t>人世·丹霞卷</t>
  </si>
  <si>
    <t>人世·断肠卷</t>
  </si>
  <si>
    <t>陶罐</t>
  </si>
  <si>
    <t>杂项</t>
  </si>
  <si>
    <t>空酒坛</t>
  </si>
  <si>
    <t>碎木</t>
  </si>
  <si>
    <t>野花</t>
  </si>
  <si>
    <t>野蘑菇</t>
  </si>
  <si>
    <t>碎石</t>
  </si>
  <si>
    <t>骨粉</t>
  </si>
  <si>
    <t>兽骨</t>
  </si>
  <si>
    <t>丝线</t>
  </si>
  <si>
    <t>桃花</t>
  </si>
  <si>
    <t>盐巴</t>
  </si>
  <si>
    <t>98020204</t>
  </si>
  <si>
    <t>悲鸣</t>
  </si>
  <si>
    <t>心决</t>
  </si>
  <si>
    <t>98020301</t>
  </si>
  <si>
    <t>随风</t>
  </si>
  <si>
    <t>98020302</t>
  </si>
  <si>
    <t>飘零</t>
  </si>
  <si>
    <t>98020303</t>
  </si>
  <si>
    <t>罡破</t>
  </si>
  <si>
    <t>98020304</t>
  </si>
  <si>
    <t>栖隙</t>
  </si>
  <si>
    <t>98020401</t>
  </si>
  <si>
    <t>无涯</t>
  </si>
  <si>
    <t>98020402</t>
  </si>
  <si>
    <t>壁岩</t>
  </si>
  <si>
    <t>98020403</t>
  </si>
  <si>
    <t>赤心</t>
  </si>
  <si>
    <t>98020404</t>
  </si>
  <si>
    <t>万凿</t>
  </si>
  <si>
    <t>98010302</t>
  </si>
  <si>
    <t>转寰</t>
  </si>
  <si>
    <t>98010303</t>
  </si>
  <si>
    <t>朝闻</t>
  </si>
  <si>
    <t>98010304</t>
  </si>
  <si>
    <t>无我</t>
  </si>
  <si>
    <t>98010201</t>
  </si>
  <si>
    <t>昭赤</t>
  </si>
  <si>
    <t>98010202</t>
  </si>
  <si>
    <t>镇晷</t>
  </si>
  <si>
    <t>98010203</t>
  </si>
  <si>
    <t>旱临</t>
  </si>
  <si>
    <t>98010204</t>
  </si>
  <si>
    <t>烈轮</t>
  </si>
  <si>
    <t>98020501</t>
  </si>
  <si>
    <t>长虹</t>
  </si>
  <si>
    <t>98020502</t>
  </si>
  <si>
    <t>盈亏</t>
  </si>
  <si>
    <t>98020503</t>
  </si>
  <si>
    <t>气清</t>
  </si>
  <si>
    <t>98020504</t>
  </si>
  <si>
    <t>万化</t>
  </si>
  <si>
    <t>98020505</t>
  </si>
  <si>
    <t>凌虚</t>
  </si>
  <si>
    <t>98020506</t>
  </si>
  <si>
    <t>太玄</t>
  </si>
  <si>
    <t>98010101</t>
  </si>
  <si>
    <t>矢志</t>
  </si>
  <si>
    <t>98010102</t>
  </si>
  <si>
    <t>复烬</t>
  </si>
  <si>
    <t>98010103</t>
  </si>
  <si>
    <t>浑旋</t>
  </si>
  <si>
    <t>98100101</t>
  </si>
  <si>
    <t>里剑术</t>
  </si>
  <si>
    <t>98100102</t>
  </si>
  <si>
    <t>断空流</t>
  </si>
  <si>
    <t>98100103</t>
  </si>
  <si>
    <t>逆袈裟</t>
  </si>
  <si>
    <t>98100104</t>
  </si>
  <si>
    <t>落樱花</t>
  </si>
  <si>
    <t>98040202</t>
  </si>
  <si>
    <t>风后</t>
  </si>
  <si>
    <t>98040203</t>
  </si>
  <si>
    <t>分野</t>
  </si>
  <si>
    <t>98040301</t>
  </si>
  <si>
    <t>独觉</t>
  </si>
  <si>
    <t>98040303</t>
  </si>
  <si>
    <t>三生</t>
  </si>
  <si>
    <t>98040304</t>
  </si>
  <si>
    <t>破障</t>
  </si>
  <si>
    <t>98090101</t>
  </si>
  <si>
    <t>腾龙</t>
  </si>
  <si>
    <t>98090102</t>
  </si>
  <si>
    <t>降世</t>
  </si>
  <si>
    <t>98090103</t>
  </si>
  <si>
    <t>鸿渐</t>
  </si>
  <si>
    <t>98090104</t>
  </si>
  <si>
    <t>时乘</t>
  </si>
  <si>
    <t>98090105</t>
  </si>
  <si>
    <t>不息</t>
  </si>
  <si>
    <t>长雁</t>
  </si>
  <si>
    <t>返鸾</t>
  </si>
  <si>
    <t>鸳折</t>
  </si>
  <si>
    <t>摧岳</t>
  </si>
  <si>
    <t>百炼</t>
  </si>
  <si>
    <t>昭烈</t>
  </si>
  <si>
    <t>飞将</t>
  </si>
  <si>
    <t>痴缠</t>
  </si>
  <si>
    <t>雨绻</t>
  </si>
  <si>
    <t>绸缪</t>
  </si>
  <si>
    <t>梅雨</t>
  </si>
  <si>
    <t>漫堤</t>
  </si>
  <si>
    <t>至旭</t>
  </si>
  <si>
    <t>魅身</t>
  </si>
  <si>
    <t>刑天</t>
  </si>
  <si>
    <t>鼎湖</t>
  </si>
  <si>
    <t>搦战</t>
  </si>
  <si>
    <t>孤胆</t>
  </si>
  <si>
    <t>不破</t>
  </si>
  <si>
    <t>众覆</t>
  </si>
  <si>
    <t>杀势</t>
  </si>
  <si>
    <t>尘劫</t>
  </si>
  <si>
    <t>不垢</t>
  </si>
  <si>
    <t>御</t>
  </si>
  <si>
    <t>转瞬</t>
  </si>
  <si>
    <t>须臾</t>
  </si>
  <si>
    <t>游散</t>
  </si>
  <si>
    <t>激灼</t>
  </si>
  <si>
    <t>扬尘</t>
  </si>
  <si>
    <t>散星</t>
  </si>
  <si>
    <t>势</t>
  </si>
  <si>
    <t>返</t>
  </si>
  <si>
    <t>苍</t>
  </si>
  <si>
    <t>蓄机</t>
  </si>
  <si>
    <t>流构</t>
  </si>
  <si>
    <t>扩匣</t>
  </si>
  <si>
    <t>复始</t>
  </si>
  <si>
    <t>注化</t>
  </si>
  <si>
    <t>红月</t>
  </si>
  <si>
    <t>清辉</t>
  </si>
  <si>
    <t>寒玉</t>
  </si>
  <si>
    <t>破云</t>
  </si>
  <si>
    <t>返日</t>
  </si>
  <si>
    <t>掠风</t>
  </si>
  <si>
    <t>敛英</t>
  </si>
  <si>
    <t>銮客</t>
  </si>
  <si>
    <t>放词</t>
  </si>
  <si>
    <t>凌散</t>
  </si>
  <si>
    <t>风骨</t>
  </si>
  <si>
    <t>肆宴</t>
  </si>
  <si>
    <t>知秋</t>
  </si>
  <si>
    <t>炼血</t>
  </si>
  <si>
    <t>残筋</t>
  </si>
  <si>
    <t>化始</t>
  </si>
  <si>
    <t>斗转</t>
  </si>
  <si>
    <t>束发</t>
  </si>
  <si>
    <t>寥落</t>
  </si>
  <si>
    <t>晦朔</t>
  </si>
  <si>
    <t>蛇影</t>
  </si>
  <si>
    <t>星居</t>
  </si>
  <si>
    <t>渺渺然</t>
  </si>
  <si>
    <t>归骨地</t>
  </si>
  <si>
    <t>灵犀</t>
  </si>
  <si>
    <t>祭礼</t>
  </si>
  <si>
    <t>百足</t>
  </si>
  <si>
    <t>断绳</t>
  </si>
  <si>
    <t>刀取</t>
  </si>
  <si>
    <t>守土</t>
  </si>
  <si>
    <t>开疆</t>
  </si>
  <si>
    <t>将谪</t>
  </si>
  <si>
    <t>陷曲</t>
  </si>
  <si>
    <t>独横</t>
  </si>
  <si>
    <t>沙横</t>
  </si>
  <si>
    <t>陷阵</t>
  </si>
  <si>
    <t>冲阵</t>
  </si>
  <si>
    <t>夜明珠</t>
  </si>
  <si>
    <t>拳掌轻击</t>
  </si>
  <si>
    <t>散学＋通式</t>
  </si>
  <si>
    <t>剧情</t>
  </si>
  <si>
    <t>武学</t>
  </si>
  <si>
    <t>配方</t>
  </si>
  <si>
    <t>拳掌重击</t>
  </si>
  <si>
    <t>单手轻刃轻击</t>
  </si>
  <si>
    <t>单手轻刃重击</t>
  </si>
  <si>
    <t>占比</t>
  </si>
  <si>
    <t>数量</t>
  </si>
  <si>
    <t>占比/数量</t>
  </si>
  <si>
    <t>区间值</t>
  </si>
  <si>
    <t>系数</t>
  </si>
  <si>
    <t>重刃轻击</t>
  </si>
  <si>
    <t>重刃重击</t>
  </si>
  <si>
    <t>长兵轻击</t>
  </si>
  <si>
    <t>长兵重击</t>
  </si>
  <si>
    <t>扇法轻击</t>
  </si>
  <si>
    <t>扇法重击</t>
  </si>
  <si>
    <t>暗器轻击</t>
  </si>
  <si>
    <t>暗器重击</t>
  </si>
  <si>
    <t>腿脚轻击</t>
  </si>
  <si>
    <t>腿脚重击</t>
  </si>
  <si>
    <t>双手轻刃轻击</t>
  </si>
  <si>
    <t>双手轻刃重击</t>
  </si>
  <si>
    <t>绳镖轻击</t>
  </si>
  <si>
    <t>绳镖重击</t>
  </si>
  <si>
    <t>弓箭轻击</t>
  </si>
  <si>
    <t>弓箭重击</t>
  </si>
  <si>
    <t>火器轻击</t>
  </si>
  <si>
    <t>火器重击</t>
  </si>
  <si>
    <t>短兵轻击</t>
  </si>
  <si>
    <t>短兵重击</t>
  </si>
  <si>
    <t>白猿托印</t>
  </si>
  <si>
    <t>如雷贯耳</t>
  </si>
  <si>
    <t>提撩式</t>
  </si>
  <si>
    <t>贯日斩</t>
  </si>
  <si>
    <t>断西关</t>
  </si>
  <si>
    <t>撼地摧城</t>
  </si>
  <si>
    <t>敌万军</t>
  </si>
  <si>
    <t>肃勇志</t>
  </si>
  <si>
    <t>转千阙</t>
  </si>
  <si>
    <t>复重楼</t>
  </si>
  <si>
    <t>广寒挂星</t>
  </si>
  <si>
    <t>鹞哨</t>
  </si>
  <si>
    <t>云龙九现</t>
  </si>
  <si>
    <t>山川无极</t>
  </si>
  <si>
    <t>鬼十斩</t>
  </si>
  <si>
    <t>一闪</t>
  </si>
  <si>
    <t>镖影诡式</t>
  </si>
  <si>
    <t>隐火匿尘</t>
  </si>
  <si>
    <t>纵弓离弦</t>
  </si>
  <si>
    <t>捕兽陷阱</t>
  </si>
  <si>
    <t>遗珠·雷</t>
  </si>
  <si>
    <t>炸珠·破</t>
  </si>
  <si>
    <t>肋斜剜骨</t>
  </si>
  <si>
    <t>魅魈美人刺</t>
  </si>
  <si>
    <t>千锻拳势（上册）</t>
  </si>
  <si>
    <t>伏阳开碑拳（上册）</t>
  </si>
  <si>
    <t>凌鸿剑势（上册）</t>
  </si>
  <si>
    <t>清风剑法（上册）</t>
  </si>
  <si>
    <t>斩铁无锋卷（上册）</t>
  </si>
  <si>
    <t>北顾枪法（上册）</t>
  </si>
  <si>
    <t>玄黄入阵旌（上册）</t>
  </si>
  <si>
    <t>众相菩提杖（上册）</t>
  </si>
  <si>
    <t>暴雨梨花刀（上册）</t>
  </si>
  <si>
    <t>醉饮降龙无双式（上册）</t>
  </si>
  <si>
    <t>无心流·拔刀术（上册）</t>
  </si>
  <si>
    <t>流缶金绳镖（上册）</t>
  </si>
  <si>
    <t>锋狩控弦决（上册）</t>
  </si>
  <si>
    <t>西域火器·珠（上册）</t>
  </si>
  <si>
    <t>小周天扇法（上册）</t>
  </si>
  <si>
    <t>踪影孤鸿（上册）</t>
  </si>
  <si>
    <t>密剑·山中石响（上册）</t>
  </si>
  <si>
    <t>月残经（上册）</t>
  </si>
  <si>
    <t>连珏天璧法（上册）</t>
  </si>
  <si>
    <t>昭霞别册（上册）</t>
  </si>
  <si>
    <t>霸王卸甲（上册）</t>
  </si>
  <si>
    <t>青囊宝钞（上册）</t>
  </si>
  <si>
    <t>支山祁（上册）</t>
  </si>
  <si>
    <t>赶蝉游身环（上册）</t>
  </si>
  <si>
    <t>洛神踏雪步（上册）</t>
  </si>
  <si>
    <t>晴梅花步（上册）</t>
  </si>
  <si>
    <t>紫乌啸凤图（上册）</t>
  </si>
  <si>
    <t>燕纵步（上册）</t>
  </si>
  <si>
    <t>逆流十二身（上册）</t>
  </si>
  <si>
    <t>撼山步（上册）</t>
  </si>
  <si>
    <t>千锻拳势（下册）</t>
  </si>
  <si>
    <t>伏阳开碑拳（下册）</t>
  </si>
  <si>
    <t>凌鸿剑势（下册）</t>
  </si>
  <si>
    <t>清风剑法（下册）</t>
  </si>
  <si>
    <t>斩铁无锋卷（下册）</t>
  </si>
  <si>
    <t>北顾枪法（下册）</t>
  </si>
  <si>
    <t>玄黄入阵旌（下册）</t>
  </si>
  <si>
    <t>众相菩提杖（下册）</t>
  </si>
  <si>
    <t>暴雨梨花刀（下册）</t>
  </si>
  <si>
    <t>醉饮降龙无双式（下册）</t>
  </si>
  <si>
    <t>无心流·拔刀术（下册）</t>
  </si>
  <si>
    <t>流缶金绳镖（下册）</t>
  </si>
  <si>
    <t>锋狩控弦决（下册）</t>
  </si>
  <si>
    <t>西域火器·珠（下册）</t>
  </si>
  <si>
    <t>小周天扇法（下册）</t>
  </si>
  <si>
    <t>踪影孤鸿（下册）</t>
  </si>
  <si>
    <t>密剑·山中石响（下册）</t>
  </si>
  <si>
    <t>月残经（下册）</t>
  </si>
  <si>
    <t>连珏天璧法（下册）</t>
  </si>
  <si>
    <t>昭霞别册（下册）</t>
  </si>
  <si>
    <t>霸王卸甲（下册）</t>
  </si>
  <si>
    <t>青囊宝钞（下册）</t>
  </si>
  <si>
    <t>支山祁（下册）</t>
  </si>
  <si>
    <t>赶蝉游身环（下册）</t>
  </si>
  <si>
    <t>洛神踏雪步（下册）</t>
  </si>
  <si>
    <t>晴梅花步（下册）</t>
  </si>
  <si>
    <t>紫乌啸凤图（下册）</t>
  </si>
  <si>
    <t>燕纵步（下册）</t>
  </si>
  <si>
    <t>逆流十二身（下册）</t>
  </si>
  <si>
    <t>撼山步（下册）</t>
  </si>
  <si>
    <t>西湖醋鱼烹饪配方</t>
  </si>
  <si>
    <t>清汤面烹饪配方</t>
  </si>
  <si>
    <t>馒头烹饪配方</t>
  </si>
  <si>
    <t>咸蛋烹饪配方</t>
  </si>
  <si>
    <t>高粱红烹饪配方</t>
  </si>
  <si>
    <t>硬木刀锻造配方</t>
  </si>
  <si>
    <t>旧纸扇锻造配方</t>
  </si>
  <si>
    <t>蒲草链锻造配方</t>
  </si>
  <si>
    <t>山水画扇锻造配方</t>
  </si>
  <si>
    <t>素剑锻造配方</t>
  </si>
  <si>
    <t>锈铁缠手锻造配方</t>
  </si>
  <si>
    <t>锈红缨锻造配方</t>
  </si>
  <si>
    <t>哨棒锻造配方</t>
  </si>
  <si>
    <t>棉布长衫锻造配方</t>
  </si>
  <si>
    <t>粗铁护胫锻造配方</t>
  </si>
  <si>
    <t>叫花鸡烹饪配方</t>
  </si>
  <si>
    <t>东坡肉烹饪配方</t>
  </si>
  <si>
    <t>桃花酿烹饪配方</t>
  </si>
  <si>
    <t>蜂蜜麻鸭烹饪配方</t>
  </si>
  <si>
    <t>蛋炒饭烹饪配方</t>
  </si>
  <si>
    <t>九州无量·精锻造配方</t>
  </si>
  <si>
    <t>小切玉·精锻造配方</t>
  </si>
  <si>
    <t>红笺无色·精锻造配方</t>
  </si>
  <si>
    <t>修罗·精锻造配方</t>
  </si>
  <si>
    <t>北逐天狼·精锻造配方</t>
  </si>
  <si>
    <t>清刚·精锻造配方</t>
  </si>
  <si>
    <t>却邪·精锻造配方</t>
  </si>
  <si>
    <t>古锭·精锻造配方</t>
  </si>
  <si>
    <t>秋风悲画·精锻造配方</t>
  </si>
  <si>
    <t>五岳三山·精锻造配方</t>
  </si>
  <si>
    <t>丸锻隼前龙光·精锻造配方</t>
  </si>
  <si>
    <t>玉露·精锻造配方</t>
  </si>
  <si>
    <t>铸铁铳·精锻造配方</t>
  </si>
  <si>
    <t>铁炎·精锻造配方</t>
  </si>
  <si>
    <t>雷鸟铳·精锻造配方</t>
  </si>
  <si>
    <t>青焰·精锻造配方</t>
  </si>
  <si>
    <t>燧焰·精锻造配方</t>
  </si>
  <si>
    <t>电光铳·精锻造配方</t>
  </si>
  <si>
    <t>佛朗机·精锻造配方</t>
  </si>
  <si>
    <r>
      <rPr>
        <sz val="10.5"/>
        <color theme="1"/>
        <rFont val="等线"/>
        <charset val="134"/>
      </rPr>
      <t>长虹</t>
    </r>
  </si>
  <si>
    <r>
      <rPr>
        <sz val="10.5"/>
        <color theme="1"/>
        <rFont val="等线"/>
        <charset val="134"/>
      </rPr>
      <t>盈亏</t>
    </r>
  </si>
  <si>
    <r>
      <rPr>
        <sz val="10.5"/>
        <color theme="1"/>
        <rFont val="等线"/>
        <charset val="134"/>
      </rPr>
      <t>气清</t>
    </r>
  </si>
  <si>
    <r>
      <rPr>
        <sz val="10.5"/>
        <color theme="1"/>
        <rFont val="等线"/>
        <charset val="134"/>
      </rPr>
      <t>万化</t>
    </r>
  </si>
  <si>
    <r>
      <rPr>
        <sz val="10.5"/>
        <color theme="1"/>
        <rFont val="等线"/>
        <charset val="134"/>
      </rPr>
      <t>凌虚</t>
    </r>
  </si>
  <si>
    <r>
      <rPr>
        <sz val="10.5"/>
        <color theme="1"/>
        <rFont val="等线"/>
        <charset val="134"/>
      </rPr>
      <t>太玄</t>
    </r>
  </si>
  <si>
    <r>
      <rPr>
        <sz val="10.5"/>
        <color theme="1"/>
        <rFont val="等线"/>
        <charset val="134"/>
      </rPr>
      <t>复烬</t>
    </r>
  </si>
  <si>
    <r>
      <rPr>
        <sz val="10.5"/>
        <color theme="1"/>
        <rFont val="等线"/>
        <charset val="134"/>
      </rPr>
      <t>浑旋</t>
    </r>
  </si>
  <si>
    <r>
      <rPr>
        <sz val="10.5"/>
        <color theme="1"/>
        <rFont val="等线"/>
        <charset val="134"/>
      </rPr>
      <t>风后</t>
    </r>
  </si>
  <si>
    <r>
      <rPr>
        <sz val="10.5"/>
        <color theme="1"/>
        <rFont val="等线"/>
        <charset val="134"/>
      </rPr>
      <t>分野</t>
    </r>
  </si>
  <si>
    <r>
      <rPr>
        <sz val="10.5"/>
        <color theme="1"/>
        <rFont val="等线"/>
        <charset val="134"/>
      </rPr>
      <t>独觉</t>
    </r>
  </si>
  <si>
    <r>
      <rPr>
        <sz val="10.5"/>
        <color theme="1"/>
        <rFont val="等线"/>
        <charset val="134"/>
      </rPr>
      <t>三生</t>
    </r>
  </si>
  <si>
    <r>
      <rPr>
        <sz val="10.5"/>
        <color theme="1"/>
        <rFont val="等线"/>
        <charset val="134"/>
      </rPr>
      <t>破障</t>
    </r>
  </si>
  <si>
    <r>
      <rPr>
        <sz val="10.5"/>
        <color theme="1"/>
        <rFont val="等线"/>
        <charset val="134"/>
      </rPr>
      <t>腾龙</t>
    </r>
  </si>
  <si>
    <r>
      <rPr>
        <sz val="10.5"/>
        <color theme="1"/>
        <rFont val="等线"/>
        <charset val="134"/>
      </rPr>
      <t>降世</t>
    </r>
  </si>
  <si>
    <r>
      <rPr>
        <sz val="10.5"/>
        <color theme="1"/>
        <rFont val="等线"/>
        <charset val="134"/>
      </rPr>
      <t>鸿渐</t>
    </r>
  </si>
  <si>
    <r>
      <rPr>
        <sz val="10.5"/>
        <color theme="1"/>
        <rFont val="等线"/>
        <charset val="134"/>
      </rPr>
      <t>时乘</t>
    </r>
  </si>
  <si>
    <r>
      <rPr>
        <sz val="10.5"/>
        <color theme="1"/>
        <rFont val="等线"/>
        <charset val="134"/>
      </rPr>
      <t>不息</t>
    </r>
  </si>
  <si>
    <t>野外BOSS</t>
  </si>
  <si>
    <t>野外boss概率</t>
  </si>
  <si>
    <t>药品杂项</t>
  </si>
  <si>
    <t>心诀</t>
  </si>
  <si>
    <t>药品+杂项</t>
  </si>
  <si>
    <t>猪肉</t>
  </si>
  <si>
    <t>虚玄</t>
  </si>
  <si>
    <t>尘光</t>
  </si>
  <si>
    <t>不惧</t>
  </si>
  <si>
    <t>圣人无名</t>
  </si>
  <si>
    <t>迷悟</t>
  </si>
  <si>
    <t>镇</t>
  </si>
  <si>
    <t>展颜</t>
  </si>
  <si>
    <t>楚人赋</t>
  </si>
  <si>
    <t>捭阖</t>
  </si>
  <si>
    <t>至心</t>
  </si>
  <si>
    <t>碎幻</t>
  </si>
  <si>
    <t>青冥羽</t>
  </si>
  <si>
    <t>龙蛇</t>
  </si>
  <si>
    <t>墨家原型</t>
  </si>
  <si>
    <t>双影依身</t>
  </si>
  <si>
    <t>天衢</t>
  </si>
  <si>
    <t>归一</t>
  </si>
  <si>
    <t>孤鹜</t>
  </si>
  <si>
    <t>缚海</t>
  </si>
  <si>
    <t>星髓</t>
  </si>
  <si>
    <t>昆吾玉册</t>
  </si>
  <si>
    <t>方天水镜</t>
  </si>
  <si>
    <t>副本 连环寨</t>
  </si>
  <si>
    <t>;10100,1</t>
  </si>
  <si>
    <t>10100,1;10110,1;10100,1</t>
  </si>
  <si>
    <t>连环寨难度2</t>
  </si>
  <si>
    <t>;10200,1</t>
  </si>
  <si>
    <t>10200,1;10210,1;10200,1</t>
  </si>
  <si>
    <t>连环寨难度3</t>
  </si>
  <si>
    <t>;10300,1</t>
  </si>
  <si>
    <t>10300,1;10310,1;10300,1</t>
  </si>
  <si>
    <t>副本 净蛊天池</t>
  </si>
  <si>
    <t>;10400,1</t>
  </si>
  <si>
    <t>10400,1;10410,1;10400,1</t>
  </si>
  <si>
    <t>净蛊天池难度2</t>
  </si>
  <si>
    <t>;10500,1</t>
  </si>
  <si>
    <t>10500,1;10510,1;10500,1</t>
  </si>
  <si>
    <t>净蛊天池难度3</t>
  </si>
  <si>
    <t>;10600,1</t>
  </si>
  <si>
    <t>10600,1;10610,1;10600,1</t>
  </si>
  <si>
    <t>副本 桃花坞</t>
  </si>
  <si>
    <t>;10700,1</t>
  </si>
  <si>
    <t>10700,1;10710,1;10700,1</t>
  </si>
  <si>
    <t>桃花坞难度2</t>
  </si>
  <si>
    <t>;10800,1</t>
  </si>
  <si>
    <t>10800,1;10810,1;10800,1</t>
  </si>
  <si>
    <t>桃花坞难度3</t>
  </si>
  <si>
    <t>;10900,1</t>
  </si>
  <si>
    <t>10900,1;10910,1;10900,1</t>
  </si>
  <si>
    <t>野外BOSS填充</t>
  </si>
  <si>
    <t>秘籍上下册</t>
  </si>
  <si>
    <t>通式、轻重击</t>
  </si>
  <si>
    <t>药品，杂项</t>
  </si>
  <si>
    <t>制造配方</t>
  </si>
  <si>
    <t>太和</t>
  </si>
  <si>
    <t>天衍·裂石卷</t>
  </si>
  <si>
    <t>副本</t>
  </si>
  <si>
    <t>天衍·桃花卷</t>
  </si>
  <si>
    <t>地覆·开疆卷</t>
  </si>
  <si>
    <t>天衍·摘星卷</t>
  </si>
  <si>
    <t>天衍·须佐卷</t>
  </si>
  <si>
    <t>副本装备掉落</t>
  </si>
  <si>
    <t>10把类型的武器</t>
  </si>
  <si>
    <t>天衍·西风卷</t>
  </si>
  <si>
    <t>装备</t>
  </si>
  <si>
    <t>天衍·相思卷</t>
  </si>
  <si>
    <t>海阁</t>
  </si>
  <si>
    <t>天衍·建御卷</t>
  </si>
  <si>
    <t>剧情战斗填充</t>
  </si>
  <si>
    <t>天衍·泄玉卷</t>
  </si>
  <si>
    <t>天衍·镇厌卷</t>
  </si>
  <si>
    <t>地覆·混元卷</t>
  </si>
  <si>
    <t>非门派三才书</t>
  </si>
  <si>
    <t>五圣</t>
  </si>
  <si>
    <t>地覆·架擎卷</t>
  </si>
  <si>
    <t>地覆·骄子卷</t>
  </si>
  <si>
    <t>地覆·触石卷</t>
  </si>
  <si>
    <t>人世·致学卷</t>
  </si>
  <si>
    <t>人世·无迹卷</t>
  </si>
  <si>
    <t>人世·百草卷</t>
  </si>
  <si>
    <t>道具名</t>
  </si>
  <si>
    <t>太极拳</t>
  </si>
  <si>
    <t>沧海观澜刀法</t>
  </si>
  <si>
    <t>两仪剑法</t>
  </si>
  <si>
    <t>浮萍剑诀</t>
  </si>
  <si>
    <t>悲遮扇法</t>
  </si>
  <si>
    <t>鳞五净蛊鞭</t>
  </si>
  <si>
    <t>鳞五净蛊鞭（上册）</t>
  </si>
  <si>
    <t>鳞五净蛊鞭（下册）</t>
  </si>
  <si>
    <t>鳞五净蛊鞭（全本）</t>
  </si>
  <si>
    <t>七情缠蛊匕</t>
  </si>
  <si>
    <t>天涯月明章</t>
  </si>
  <si>
    <t>嗤魔祭血真经</t>
  </si>
  <si>
    <t>玄黎蛊瘴</t>
  </si>
  <si>
    <t>三昧阿修罗道</t>
  </si>
  <si>
    <t>太素灵枢篇</t>
  </si>
  <si>
    <t>太玄混元经</t>
  </si>
  <si>
    <t>悟玄参契</t>
  </si>
  <si>
    <t>吸星噬寰图</t>
  </si>
  <si>
    <t>湘竹葬兰书</t>
  </si>
  <si>
    <t>禅音狮子吼</t>
  </si>
  <si>
    <t>金钟护体罩</t>
  </si>
  <si>
    <t>太虚无极劲</t>
  </si>
  <si>
    <t>饮情蛊</t>
  </si>
  <si>
    <t>支山祁（全本）</t>
  </si>
  <si>
    <t>步海阁</t>
  </si>
  <si>
    <t>犰狳穿滚术</t>
  </si>
  <si>
    <t>梯云纵</t>
  </si>
  <si>
    <t>魍魉诡步</t>
  </si>
  <si>
    <t>长亭远寄</t>
  </si>
  <si>
    <t>凌波微步</t>
  </si>
  <si>
    <t>巫蟒堕月</t>
  </si>
  <si>
    <t>逆流十二身（全本）</t>
  </si>
  <si>
    <t>软鞭轻击</t>
  </si>
  <si>
    <t>软鞭重击</t>
  </si>
  <si>
    <t>涤山荡野</t>
  </si>
  <si>
    <t>破踪却敌</t>
  </si>
  <si>
    <t>机巧·蓄</t>
  </si>
  <si>
    <t>天衍·长生卷</t>
  </si>
  <si>
    <t>天衍·弃世卷</t>
  </si>
  <si>
    <t>天衍·晦朔卷</t>
  </si>
  <si>
    <t>地覆·万生卷</t>
  </si>
  <si>
    <t>地覆·垒峦卷</t>
  </si>
  <si>
    <t>地覆·无垢卷</t>
  </si>
  <si>
    <t>人世·不工卷</t>
  </si>
  <si>
    <t>人世·悬壶卷</t>
  </si>
  <si>
    <t>人世·匠造卷</t>
  </si>
  <si>
    <t>人世·妙手卷</t>
  </si>
  <si>
    <t>人世·达摩卷</t>
  </si>
  <si>
    <t>人世·情蛊卷</t>
  </si>
  <si>
    <t>掣骨金虹决（上册）</t>
  </si>
  <si>
    <t>掣骨金虹决（下册）</t>
  </si>
  <si>
    <t>掣骨金虹决（全本）</t>
  </si>
  <si>
    <t>天威军阵刀术（上册）</t>
  </si>
  <si>
    <t>天威军阵刀术（下册）</t>
  </si>
  <si>
    <t>天威军阵刀术（全本）</t>
  </si>
  <si>
    <t>弑流·伐剑取（上册）</t>
  </si>
  <si>
    <t>弑流·伐剑取（下册）</t>
  </si>
  <si>
    <t>弑流·伐剑取（全本）</t>
  </si>
  <si>
    <t>98100302</t>
  </si>
  <si>
    <t>98100402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</si>
</sst>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2"/>
      <color indexed="8"/>
      <name val="宋体"/>
      <charset val="134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0.5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rgb="FFFF0000"/>
      <name val="等线"/>
      <charset val="134"/>
    </font>
    <font>
      <sz val="10.5"/>
      <color indexed="8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5" tint="-0.249977111117893"/>
      <name val="等线"/>
      <charset val="134"/>
      <scheme val="minor"/>
    </font>
    <font>
      <sz val="10.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等线"/>
      <charset val="134"/>
    </font>
    <font>
      <sz val="10"/>
      <name val="等线"/>
      <charset val="134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6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23" fillId="28" borderId="6" applyNumberFormat="0" applyAlignment="0" applyProtection="0">
      <alignment vertical="center"/>
    </xf>
    <xf numFmtId="0" fontId="24" fillId="29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/>
    </xf>
    <xf numFmtId="0" fontId="2" fillId="4" borderId="0" xfId="0" applyFont="1" applyFill="1">
      <alignment vertical="center"/>
    </xf>
    <xf numFmtId="0" fontId="3" fillId="5" borderId="1" xfId="0" applyFont="1" applyFill="1" applyBorder="1" applyAlignment="1"/>
    <xf numFmtId="0" fontId="1" fillId="5" borderId="1" xfId="0" applyFont="1" applyFill="1" applyBorder="1">
      <alignment vertical="center"/>
    </xf>
    <xf numFmtId="0" fontId="4" fillId="3" borderId="1" xfId="0" applyFont="1" applyFill="1" applyBorder="1" applyAlignment="1">
      <alignment horizontal="left"/>
    </xf>
    <xf numFmtId="0" fontId="1" fillId="6" borderId="1" xfId="0" applyFont="1" applyFill="1" applyBorder="1">
      <alignment vertical="center"/>
    </xf>
    <xf numFmtId="0" fontId="1" fillId="7" borderId="1" xfId="0" applyFont="1" applyFill="1" applyBorder="1" applyAlignment="1"/>
    <xf numFmtId="0" fontId="4" fillId="7" borderId="1" xfId="0" applyFont="1" applyFill="1" applyBorder="1" applyAlignment="1">
      <alignment horizontal="left"/>
    </xf>
    <xf numFmtId="0" fontId="1" fillId="5" borderId="1" xfId="0" applyFont="1" applyFill="1" applyBorder="1" applyAlignment="1"/>
    <xf numFmtId="0" fontId="5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8" fillId="9" borderId="1" xfId="0" applyFont="1" applyFill="1" applyBorder="1">
      <alignment vertical="center"/>
    </xf>
    <xf numFmtId="0" fontId="1" fillId="7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9" fillId="0" borderId="0" xfId="0" applyFont="1" applyAlignment="1"/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/>
    <xf numFmtId="0" fontId="8" fillId="3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10" borderId="0" xfId="0" applyFill="1">
      <alignment vertical="center"/>
    </xf>
    <xf numFmtId="0" fontId="10" fillId="11" borderId="0" xfId="0" applyFont="1" applyFill="1">
      <alignment vertical="center"/>
    </xf>
    <xf numFmtId="0" fontId="10" fillId="12" borderId="0" xfId="0" applyFont="1" applyFill="1">
      <alignment vertical="center"/>
    </xf>
    <xf numFmtId="0" fontId="10" fillId="13" borderId="0" xfId="0" applyFont="1" applyFill="1">
      <alignment vertical="center"/>
    </xf>
    <xf numFmtId="0" fontId="10" fillId="14" borderId="0" xfId="0" applyFont="1" applyFill="1">
      <alignment vertical="center"/>
    </xf>
    <xf numFmtId="0" fontId="10" fillId="6" borderId="0" xfId="0" applyFont="1" applyFill="1">
      <alignment vertical="center"/>
    </xf>
    <xf numFmtId="0" fontId="10" fillId="15" borderId="0" xfId="0" applyFont="1" applyFill="1">
      <alignment vertical="center"/>
    </xf>
    <xf numFmtId="0" fontId="10" fillId="16" borderId="0" xfId="0" applyFont="1" applyFill="1">
      <alignment vertical="center"/>
    </xf>
    <xf numFmtId="0" fontId="0" fillId="0" borderId="1" xfId="0" applyBorder="1">
      <alignment vertical="center"/>
    </xf>
    <xf numFmtId="0" fontId="0" fillId="8" borderId="1" xfId="0" applyFill="1" applyBorder="1" applyAlignment="1"/>
    <xf numFmtId="0" fontId="11" fillId="16" borderId="1" xfId="0" applyFont="1" applyFill="1" applyBorder="1" applyAlignment="1"/>
    <xf numFmtId="0" fontId="0" fillId="16" borderId="1" xfId="0" applyFill="1" applyBorder="1">
      <alignment vertical="center"/>
    </xf>
    <xf numFmtId="0" fontId="0" fillId="10" borderId="1" xfId="0" applyFill="1" applyBorder="1" applyAlignment="1"/>
    <xf numFmtId="0" fontId="0" fillId="10" borderId="1" xfId="0" applyFill="1" applyBorder="1">
      <alignment vertical="center"/>
    </xf>
    <xf numFmtId="0" fontId="0" fillId="11" borderId="1" xfId="0" applyFill="1" applyBorder="1" applyAlignment="1"/>
    <xf numFmtId="0" fontId="0" fillId="11" borderId="1" xfId="0" applyFill="1" applyBorder="1">
      <alignment vertical="center"/>
    </xf>
    <xf numFmtId="0" fontId="0" fillId="17" borderId="0" xfId="0" applyFill="1">
      <alignment vertical="center"/>
    </xf>
    <xf numFmtId="0" fontId="0" fillId="15" borderId="0" xfId="0" applyFill="1">
      <alignment vertical="center"/>
    </xf>
    <xf numFmtId="0" fontId="9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>
      <alignment vertical="center"/>
    </xf>
    <xf numFmtId="0" fontId="10" fillId="0" borderId="0" xfId="0" applyFont="1" applyAlignment="1"/>
    <xf numFmtId="0" fontId="0" fillId="15" borderId="0" xfId="0" applyFont="1" applyFill="1">
      <alignment vertical="center"/>
    </xf>
    <xf numFmtId="0" fontId="0" fillId="8" borderId="1" xfId="0" applyFill="1" applyBorder="1">
      <alignment vertical="center"/>
    </xf>
    <xf numFmtId="0" fontId="12" fillId="0" borderId="1" xfId="0" applyFont="1" applyBorder="1">
      <alignment vertical="center"/>
    </xf>
    <xf numFmtId="0" fontId="9" fillId="13" borderId="1" xfId="0" applyFont="1" applyFill="1" applyBorder="1" applyAlignment="1">
      <alignment horizontal="left"/>
    </xf>
    <xf numFmtId="0" fontId="10" fillId="17" borderId="0" xfId="0" applyFont="1" applyFill="1">
      <alignment vertical="center"/>
    </xf>
    <xf numFmtId="0" fontId="12" fillId="18" borderId="1" xfId="0" applyFont="1" applyFill="1" applyBorder="1">
      <alignment vertical="center"/>
    </xf>
    <xf numFmtId="0" fontId="12" fillId="19" borderId="1" xfId="0" applyFont="1" applyFill="1" applyBorder="1">
      <alignment vertical="center"/>
    </xf>
    <xf numFmtId="0" fontId="0" fillId="17" borderId="0" xfId="0" applyFont="1" applyFill="1">
      <alignment vertical="center"/>
    </xf>
    <xf numFmtId="0" fontId="0" fillId="14" borderId="0" xfId="0" applyFill="1">
      <alignment vertical="center"/>
    </xf>
    <xf numFmtId="0" fontId="0" fillId="0" borderId="0" xfId="0" applyFont="1" applyAlignment="1"/>
    <xf numFmtId="0" fontId="12" fillId="7" borderId="1" xfId="0" applyFont="1" applyFill="1" applyBorder="1">
      <alignment vertical="center"/>
    </xf>
    <xf numFmtId="0" fontId="6" fillId="15" borderId="0" xfId="0" applyFont="1" applyFill="1">
      <alignment vertical="center"/>
    </xf>
    <xf numFmtId="0" fontId="0" fillId="20" borderId="1" xfId="0" applyFill="1" applyBorder="1">
      <alignment vertical="center"/>
    </xf>
    <xf numFmtId="0" fontId="12" fillId="20" borderId="1" xfId="0" applyFont="1" applyFill="1" applyBorder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21" borderId="0" xfId="0" applyFont="1" applyFill="1">
      <alignment vertical="center"/>
    </xf>
    <xf numFmtId="0" fontId="2" fillId="13" borderId="0" xfId="0" applyFont="1" applyFill="1">
      <alignment vertical="center"/>
    </xf>
    <xf numFmtId="0" fontId="2" fillId="14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15" borderId="0" xfId="0" applyFont="1" applyFill="1">
      <alignment vertical="center"/>
    </xf>
    <xf numFmtId="0" fontId="2" fillId="16" borderId="0" xfId="0" applyFont="1" applyFill="1">
      <alignment vertical="center"/>
    </xf>
    <xf numFmtId="0" fontId="2" fillId="22" borderId="0" xfId="0" applyFont="1" applyFill="1">
      <alignment vertical="center"/>
    </xf>
    <xf numFmtId="0" fontId="2" fillId="23" borderId="0" xfId="0" applyFont="1" applyFill="1">
      <alignment vertical="center"/>
    </xf>
    <xf numFmtId="0" fontId="2" fillId="24" borderId="0" xfId="0" applyFont="1" applyFill="1">
      <alignment vertical="center"/>
    </xf>
    <xf numFmtId="0" fontId="2" fillId="25" borderId="0" xfId="0" applyFont="1" applyFill="1">
      <alignment vertical="center"/>
    </xf>
    <xf numFmtId="0" fontId="11" fillId="1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403411</xdr:colOff>
      <xdr:row>2155</xdr:row>
      <xdr:rowOff>17931</xdr:rowOff>
    </xdr:from>
    <xdr:ext cx="5375108" cy="2452138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93520" y="383166620"/>
          <a:ext cx="5375275" cy="2451735"/>
        </a:xfrm>
        <a:prstGeom prst="rect">
          <a:avLst/>
        </a:prstGeom>
      </xdr:spPr>
    </xdr:pic>
    <xdr:clientData/>
  </xdr:oneCellAnchor>
  <xdr:oneCellAnchor>
    <xdr:from>
      <xdr:col>15</xdr:col>
      <xdr:colOff>403411</xdr:colOff>
      <xdr:row>2186</xdr:row>
      <xdr:rowOff>17931</xdr:rowOff>
    </xdr:from>
    <xdr:ext cx="5390476" cy="2521274"/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93520" y="388678420"/>
          <a:ext cx="5390515" cy="2520950"/>
        </a:xfrm>
        <a:prstGeom prst="rect">
          <a:avLst/>
        </a:prstGeom>
      </xdr:spPr>
    </xdr:pic>
    <xdr:clientData/>
  </xdr:oneCellAnchor>
  <xdr:oneCellAnchor>
    <xdr:from>
      <xdr:col>15</xdr:col>
      <xdr:colOff>304798</xdr:colOff>
      <xdr:row>2256</xdr:row>
      <xdr:rowOff>143437</xdr:rowOff>
    </xdr:from>
    <xdr:ext cx="5390476" cy="2521023"/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94460" y="401249515"/>
          <a:ext cx="5390515" cy="252158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3150;&#35759;&#23384;&#25918;&#36335;&#24452;\&#24494;&#20449;\WXWork\1688858184578654\Cache\File\2024-11\ite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装备"/>
      <sheetName val="装备英文"/>
      <sheetName val="药品"/>
      <sheetName val="药品英文"/>
      <sheetName val="食物"/>
      <sheetName val="食物英文"/>
      <sheetName val="艺能"/>
      <sheetName val="艺能英文"/>
      <sheetName val="秘籍"/>
      <sheetName val="秘籍英文"/>
      <sheetName val="礼物"/>
      <sheetName val="材料"/>
      <sheetName val="材料英文"/>
      <sheetName val="任务"/>
      <sheetName val="任务英文"/>
      <sheetName val="其他"/>
      <sheetName val="其他英文"/>
      <sheetName val="Sheet2"/>
      <sheetName val="Sheet3"/>
      <sheetName val="Sheet4"/>
    </sheetNames>
    <sheetDataSet>
      <sheetData sheetId="0"/>
      <sheetData sheetId="1"/>
      <sheetData sheetId="2">
        <row r="1">
          <cell r="B1" t="str">
            <v>道具名</v>
          </cell>
          <cell r="C1" t="str">
            <v>类别</v>
          </cell>
          <cell r="D1" t="str">
            <v>sortId</v>
          </cell>
          <cell r="E1" t="str">
            <v>品质</v>
          </cell>
        </row>
        <row r="2">
          <cell r="B2" t="str">
            <v>还复膏</v>
          </cell>
          <cell r="C2" t="str">
            <v>药品</v>
          </cell>
          <cell r="D2">
            <v>9001</v>
          </cell>
          <cell r="E2">
            <v>1</v>
          </cell>
        </row>
        <row r="3">
          <cell r="B3" t="str">
            <v>理气丸</v>
          </cell>
          <cell r="C3" t="str">
            <v>药品</v>
          </cell>
          <cell r="D3">
            <v>9002</v>
          </cell>
          <cell r="E3">
            <v>2</v>
          </cell>
        </row>
        <row r="4">
          <cell r="B4" t="str">
            <v>八宝花丸</v>
          </cell>
          <cell r="C4" t="str">
            <v>药品</v>
          </cell>
          <cell r="D4">
            <v>9003</v>
          </cell>
          <cell r="E4">
            <v>3</v>
          </cell>
        </row>
        <row r="5">
          <cell r="B5" t="str">
            <v>白霞散</v>
          </cell>
          <cell r="C5" t="str">
            <v>药品</v>
          </cell>
          <cell r="D5">
            <v>9004</v>
          </cell>
          <cell r="E5">
            <v>4</v>
          </cell>
        </row>
        <row r="6">
          <cell r="B6" t="str">
            <v>生脉丹</v>
          </cell>
          <cell r="C6" t="str">
            <v>药品</v>
          </cell>
          <cell r="D6">
            <v>9005</v>
          </cell>
          <cell r="E6">
            <v>5</v>
          </cell>
        </row>
        <row r="7">
          <cell r="B7" t="str">
            <v>玉髓膏</v>
          </cell>
          <cell r="C7" t="str">
            <v>药品</v>
          </cell>
          <cell r="D7">
            <v>9006</v>
          </cell>
          <cell r="E7">
            <v>6</v>
          </cell>
        </row>
        <row r="8">
          <cell r="B8" t="str">
            <v>回天露</v>
          </cell>
          <cell r="C8" t="str">
            <v>药品</v>
          </cell>
          <cell r="D8">
            <v>9007</v>
          </cell>
          <cell r="E8">
            <v>7</v>
          </cell>
        </row>
        <row r="9">
          <cell r="B9" t="str">
            <v>还神丹</v>
          </cell>
          <cell r="C9" t="str">
            <v>药品</v>
          </cell>
          <cell r="D9">
            <v>9008</v>
          </cell>
          <cell r="E9">
            <v>7</v>
          </cell>
        </row>
        <row r="10">
          <cell r="B10" t="str">
            <v>止血草</v>
          </cell>
          <cell r="C10" t="str">
            <v>药品</v>
          </cell>
          <cell r="D10">
            <v>8001</v>
          </cell>
          <cell r="E10">
            <v>1</v>
          </cell>
        </row>
        <row r="11">
          <cell r="B11" t="str">
            <v>金创散</v>
          </cell>
          <cell r="C11" t="str">
            <v>药品</v>
          </cell>
          <cell r="D11">
            <v>8002</v>
          </cell>
          <cell r="E11">
            <v>2</v>
          </cell>
        </row>
        <row r="12">
          <cell r="B12" t="str">
            <v>续命散</v>
          </cell>
          <cell r="C12" t="str">
            <v>药品</v>
          </cell>
          <cell r="D12">
            <v>8003</v>
          </cell>
          <cell r="E12">
            <v>3</v>
          </cell>
        </row>
        <row r="13">
          <cell r="B13" t="str">
            <v>净血丸</v>
          </cell>
          <cell r="C13" t="str">
            <v>药品</v>
          </cell>
          <cell r="D13">
            <v>8004</v>
          </cell>
          <cell r="E13">
            <v>4</v>
          </cell>
        </row>
        <row r="14">
          <cell r="B14" t="str">
            <v>灵露丸</v>
          </cell>
          <cell r="C14" t="str">
            <v>药品</v>
          </cell>
          <cell r="D14">
            <v>8005</v>
          </cell>
          <cell r="E14">
            <v>5</v>
          </cell>
        </row>
        <row r="15">
          <cell r="B15" t="str">
            <v>雪蟾膏</v>
          </cell>
          <cell r="C15" t="str">
            <v>药品</v>
          </cell>
          <cell r="D15">
            <v>8006</v>
          </cell>
          <cell r="E15">
            <v>6</v>
          </cell>
        </row>
        <row r="16">
          <cell r="B16" t="str">
            <v>凝华丹</v>
          </cell>
          <cell r="C16" t="str">
            <v>药品</v>
          </cell>
          <cell r="D16">
            <v>8007</v>
          </cell>
          <cell r="E16">
            <v>7</v>
          </cell>
        </row>
        <row r="17">
          <cell r="B17" t="str">
            <v>冰魄膏</v>
          </cell>
          <cell r="C17" t="str">
            <v>药品</v>
          </cell>
          <cell r="D17">
            <v>8008</v>
          </cell>
          <cell r="E17">
            <v>7</v>
          </cell>
        </row>
        <row r="18">
          <cell r="B18" t="str">
            <v>蕴灵散</v>
          </cell>
          <cell r="C18" t="str">
            <v>药品</v>
          </cell>
          <cell r="D18">
            <v>5001</v>
          </cell>
          <cell r="E18">
            <v>3</v>
          </cell>
        </row>
        <row r="19">
          <cell r="B19" t="str">
            <v>固本丸</v>
          </cell>
          <cell r="C19" t="str">
            <v>药品</v>
          </cell>
          <cell r="D19">
            <v>6001</v>
          </cell>
          <cell r="E19">
            <v>2</v>
          </cell>
        </row>
        <row r="20">
          <cell r="B20" t="str">
            <v>归元散</v>
          </cell>
          <cell r="C20" t="str">
            <v>药品</v>
          </cell>
          <cell r="D20">
            <v>7001</v>
          </cell>
          <cell r="E20">
            <v>2</v>
          </cell>
        </row>
        <row r="21">
          <cell r="B21" t="str">
            <v>凝神露</v>
          </cell>
          <cell r="C21" t="str">
            <v>药品</v>
          </cell>
          <cell r="D21">
            <v>7002</v>
          </cell>
          <cell r="E21">
            <v>3</v>
          </cell>
        </row>
        <row r="22">
          <cell r="B22" t="str">
            <v>乾坤一锅</v>
          </cell>
          <cell r="C22" t="str">
            <v>药品</v>
          </cell>
          <cell r="D22">
            <v>7002</v>
          </cell>
          <cell r="E22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装备"/>
      <sheetName val="药品"/>
      <sheetName val="食物"/>
      <sheetName val="艺能"/>
      <sheetName val="秘籍"/>
      <sheetName val="礼物"/>
      <sheetName val="材料"/>
      <sheetName val="任务"/>
      <sheetName val="其他"/>
      <sheetName val="Sheet2"/>
      <sheetName val="Sheet3"/>
      <sheetName val="Sheet4"/>
    </sheetNames>
    <sheetDataSet>
      <sheetData sheetId="0"/>
      <sheetData sheetId="1">
        <row r="1">
          <cell r="B1" t="str">
            <v>道具名</v>
          </cell>
          <cell r="C1" t="str">
            <v>类别</v>
          </cell>
          <cell r="D1" t="str">
            <v>sortId</v>
          </cell>
          <cell r="E1" t="str">
            <v>品质</v>
          </cell>
        </row>
        <row r="2">
          <cell r="B2" t="str">
            <v>还复膏</v>
          </cell>
          <cell r="C2" t="str">
            <v>药品</v>
          </cell>
          <cell r="D2">
            <v>9001</v>
          </cell>
          <cell r="E2">
            <v>1</v>
          </cell>
        </row>
        <row r="3">
          <cell r="B3" t="str">
            <v>理气丸</v>
          </cell>
          <cell r="C3" t="str">
            <v>药品</v>
          </cell>
          <cell r="D3">
            <v>9002</v>
          </cell>
          <cell r="E3">
            <v>2</v>
          </cell>
        </row>
        <row r="4">
          <cell r="B4" t="str">
            <v>八宝花丸</v>
          </cell>
          <cell r="C4" t="str">
            <v>药品</v>
          </cell>
          <cell r="D4">
            <v>9003</v>
          </cell>
          <cell r="E4">
            <v>3</v>
          </cell>
        </row>
        <row r="5">
          <cell r="B5" t="str">
            <v>白霞散</v>
          </cell>
          <cell r="C5" t="str">
            <v>药品</v>
          </cell>
          <cell r="D5">
            <v>9004</v>
          </cell>
          <cell r="E5">
            <v>4</v>
          </cell>
        </row>
        <row r="6">
          <cell r="B6" t="str">
            <v>生脉丹</v>
          </cell>
          <cell r="C6" t="str">
            <v>药品</v>
          </cell>
          <cell r="D6">
            <v>9005</v>
          </cell>
          <cell r="E6">
            <v>5</v>
          </cell>
        </row>
        <row r="7">
          <cell r="B7" t="str">
            <v>玉髓膏</v>
          </cell>
          <cell r="C7" t="str">
            <v>药品</v>
          </cell>
          <cell r="D7">
            <v>9006</v>
          </cell>
          <cell r="E7">
            <v>6</v>
          </cell>
        </row>
        <row r="8">
          <cell r="B8" t="str">
            <v>回天露</v>
          </cell>
          <cell r="C8" t="str">
            <v>药品</v>
          </cell>
          <cell r="D8">
            <v>9007</v>
          </cell>
          <cell r="E8">
            <v>7</v>
          </cell>
        </row>
        <row r="9">
          <cell r="B9" t="str">
            <v>还神丹</v>
          </cell>
          <cell r="C9" t="str">
            <v>药品</v>
          </cell>
          <cell r="D9">
            <v>9008</v>
          </cell>
          <cell r="E9">
            <v>7</v>
          </cell>
        </row>
        <row r="10">
          <cell r="B10" t="str">
            <v>止血草</v>
          </cell>
          <cell r="C10" t="str">
            <v>药品</v>
          </cell>
          <cell r="D10">
            <v>8001</v>
          </cell>
          <cell r="E10">
            <v>1</v>
          </cell>
        </row>
        <row r="11">
          <cell r="B11" t="str">
            <v>金创散</v>
          </cell>
          <cell r="C11" t="str">
            <v>药品</v>
          </cell>
          <cell r="D11">
            <v>8002</v>
          </cell>
          <cell r="E11">
            <v>2</v>
          </cell>
        </row>
        <row r="12">
          <cell r="B12" t="str">
            <v>续命散</v>
          </cell>
          <cell r="C12" t="str">
            <v>药品</v>
          </cell>
          <cell r="D12">
            <v>8003</v>
          </cell>
          <cell r="E12">
            <v>3</v>
          </cell>
        </row>
        <row r="13">
          <cell r="B13" t="str">
            <v>净血丸</v>
          </cell>
          <cell r="C13" t="str">
            <v>药品</v>
          </cell>
          <cell r="D13">
            <v>8004</v>
          </cell>
          <cell r="E13">
            <v>4</v>
          </cell>
        </row>
        <row r="14">
          <cell r="B14" t="str">
            <v>灵露丸</v>
          </cell>
          <cell r="C14" t="str">
            <v>药品</v>
          </cell>
          <cell r="D14">
            <v>8005</v>
          </cell>
          <cell r="E14">
            <v>5</v>
          </cell>
        </row>
        <row r="15">
          <cell r="B15" t="str">
            <v>雪蟾膏</v>
          </cell>
          <cell r="C15" t="str">
            <v>药品</v>
          </cell>
          <cell r="D15">
            <v>8006</v>
          </cell>
          <cell r="E15">
            <v>6</v>
          </cell>
        </row>
        <row r="16">
          <cell r="B16" t="str">
            <v>凝华丹</v>
          </cell>
          <cell r="C16" t="str">
            <v>药品</v>
          </cell>
          <cell r="D16">
            <v>8007</v>
          </cell>
          <cell r="E16">
            <v>7</v>
          </cell>
        </row>
        <row r="17">
          <cell r="B17" t="str">
            <v>冰魄膏</v>
          </cell>
          <cell r="C17" t="str">
            <v>药品</v>
          </cell>
          <cell r="D17">
            <v>8008</v>
          </cell>
          <cell r="E17">
            <v>7</v>
          </cell>
        </row>
        <row r="18">
          <cell r="B18" t="str">
            <v>蕴灵散</v>
          </cell>
          <cell r="C18" t="str">
            <v>药品</v>
          </cell>
          <cell r="D18">
            <v>5001</v>
          </cell>
          <cell r="E18">
            <v>3</v>
          </cell>
        </row>
        <row r="19">
          <cell r="B19" t="str">
            <v>固本丸</v>
          </cell>
          <cell r="C19" t="str">
            <v>药品</v>
          </cell>
          <cell r="D19">
            <v>6001</v>
          </cell>
          <cell r="E19">
            <v>2</v>
          </cell>
        </row>
        <row r="20">
          <cell r="B20" t="str">
            <v>归元散</v>
          </cell>
          <cell r="C20" t="str">
            <v>药品</v>
          </cell>
          <cell r="D20">
            <v>7001</v>
          </cell>
          <cell r="E20">
            <v>2</v>
          </cell>
        </row>
        <row r="21">
          <cell r="B21" t="str">
            <v>凝神露</v>
          </cell>
          <cell r="C21" t="str">
            <v>药品</v>
          </cell>
          <cell r="D21">
            <v>7002</v>
          </cell>
          <cell r="E21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角色模组"/>
      <sheetName val="monster_easy"/>
      <sheetName val="Sheet3"/>
      <sheetName val="Sheet7"/>
      <sheetName val="Sheet4"/>
      <sheetName val="monster_normal"/>
      <sheetName val="monster_hard"/>
      <sheetName val="monster_hardEX"/>
      <sheetName val="monster_team"/>
      <sheetName val="额外修为奖励"/>
      <sheetName val="最大等级限制"/>
      <sheetName val="加点方向"/>
      <sheetName val="buff组"/>
      <sheetName val="buff类型"/>
      <sheetName val="buff条件"/>
      <sheetName val="Sheet2"/>
      <sheetName val="Sheet5"/>
      <sheetName val="Sheet6"/>
      <sheetName val="RNPC"/>
      <sheetName val="Sheet1"/>
      <sheetName val="原始team数据已作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id</v>
          </cell>
          <cell r="B1" t="str">
            <v>name</v>
          </cell>
          <cell r="C1" t="str">
            <v>monster</v>
          </cell>
          <cell r="D1" t="str">
            <v>monster1</v>
          </cell>
          <cell r="E1" t="str">
            <v>monster2</v>
          </cell>
          <cell r="F1" t="str">
            <v>所属类型</v>
          </cell>
          <cell r="G1" t="str">
            <v>助战</v>
          </cell>
          <cell r="H1" t="str">
            <v>胜利条件</v>
          </cell>
          <cell r="I1" t="str">
            <v>失败条件</v>
          </cell>
          <cell r="J1" t="str">
            <v>剧情杀</v>
          </cell>
          <cell r="K1" t="str">
            <v>battleMap</v>
          </cell>
          <cell r="L1" t="str">
            <v>角色初始位置X</v>
          </cell>
          <cell r="M1" t="str">
            <v>角色初始位置Y</v>
          </cell>
          <cell r="N1" t="str">
            <v>怪物出现条件</v>
          </cell>
          <cell r="O1" t="str">
            <v>助战出现位置</v>
          </cell>
          <cell r="P1" t="str">
            <v>怪物出现位置</v>
          </cell>
          <cell r="Q1" t="str">
            <v>所在地图</v>
          </cell>
          <cell r="R1" t="str">
            <v>updateTime</v>
          </cell>
          <cell r="S1" t="str">
            <v>award</v>
          </cell>
          <cell r="T1" t="str">
            <v>随机掉落</v>
          </cell>
        </row>
        <row r="2">
          <cell r="A2">
            <v>1</v>
          </cell>
          <cell r="B2" t="str">
            <v>人贩匪徒</v>
          </cell>
          <cell r="C2" t="str">
            <v>1100001;1100010;1100012;</v>
          </cell>
        </row>
        <row r="2">
          <cell r="F2">
            <v>1</v>
          </cell>
          <cell r="G2">
            <v>0</v>
          </cell>
          <cell r="H2">
            <v>1</v>
          </cell>
          <cell r="I2">
            <v>1</v>
          </cell>
          <cell r="J2" t="b">
            <v>0</v>
          </cell>
          <cell r="K2">
            <v>1013</v>
          </cell>
          <cell r="L2">
            <v>-6.34</v>
          </cell>
          <cell r="M2">
            <v>-7.69</v>
          </cell>
          <cell r="N2">
            <v>0</v>
          </cell>
          <cell r="O2" t="str">
            <v>0</v>
          </cell>
          <cell r="P2" t="str">
            <v>0.34,-7.68;</v>
          </cell>
          <cell r="Q2">
            <v>11000</v>
          </cell>
          <cell r="R2">
            <v>0</v>
          </cell>
          <cell r="S2" t="str">
            <v>1001+0;1002+5;901001+1;908092+1;</v>
          </cell>
          <cell r="T2" t="str">
            <v>11900,1</v>
          </cell>
        </row>
        <row r="3">
          <cell r="A3">
            <v>2</v>
          </cell>
          <cell r="B3" t="str">
            <v>人贩匪徒</v>
          </cell>
          <cell r="C3" t="str">
            <v>1100007;1100011;1100006;</v>
          </cell>
        </row>
        <row r="3">
          <cell r="F3">
            <v>1</v>
          </cell>
          <cell r="G3">
            <v>0</v>
          </cell>
          <cell r="H3">
            <v>1</v>
          </cell>
          <cell r="I3">
            <v>1</v>
          </cell>
          <cell r="J3" t="b">
            <v>0</v>
          </cell>
          <cell r="K3">
            <v>1013</v>
          </cell>
          <cell r="L3">
            <v>-6.34</v>
          </cell>
          <cell r="M3">
            <v>-7.69</v>
          </cell>
          <cell r="N3">
            <v>0</v>
          </cell>
          <cell r="O3" t="str">
            <v>0</v>
          </cell>
          <cell r="P3" t="str">
            <v>0.34,-7.68;</v>
          </cell>
          <cell r="Q3">
            <v>11000</v>
          </cell>
          <cell r="R3">
            <v>0</v>
          </cell>
          <cell r="S3" t="str">
            <v>1001+0;1002+5;901001+1;908093+1;</v>
          </cell>
          <cell r="T3" t="str">
            <v>11900,1</v>
          </cell>
        </row>
        <row r="4">
          <cell r="A4">
            <v>3</v>
          </cell>
          <cell r="B4" t="str">
            <v>人贩匪徒</v>
          </cell>
          <cell r="C4" t="str">
            <v>1100012;1100010;1100009</v>
          </cell>
        </row>
        <row r="4">
          <cell r="F4">
            <v>1</v>
          </cell>
          <cell r="G4">
            <v>0</v>
          </cell>
          <cell r="H4">
            <v>1</v>
          </cell>
          <cell r="I4">
            <v>1</v>
          </cell>
          <cell r="J4" t="b">
            <v>0</v>
          </cell>
          <cell r="K4">
            <v>10132</v>
          </cell>
          <cell r="L4">
            <v>-6.34</v>
          </cell>
          <cell r="M4">
            <v>-7.69</v>
          </cell>
          <cell r="N4">
            <v>0</v>
          </cell>
          <cell r="O4" t="str">
            <v>0</v>
          </cell>
          <cell r="P4" t="str">
            <v>0.34,-7.68;
0.362,-5.65;</v>
          </cell>
          <cell r="Q4">
            <v>11000</v>
          </cell>
          <cell r="R4">
            <v>0</v>
          </cell>
          <cell r="S4" t="str">
            <v>1001+0;1002+5;901001+1;908094+1;</v>
          </cell>
          <cell r="T4" t="str">
            <v>11900,1</v>
          </cell>
        </row>
        <row r="5">
          <cell r="A5">
            <v>4</v>
          </cell>
          <cell r="B5" t="str">
            <v>大当家西虎</v>
          </cell>
          <cell r="C5" t="str">
            <v>1100003;1100002;1100010;1100011;1100012;</v>
          </cell>
        </row>
        <row r="5">
          <cell r="F5">
            <v>1</v>
          </cell>
          <cell r="G5">
            <v>1100008</v>
          </cell>
          <cell r="H5">
            <v>1</v>
          </cell>
          <cell r="I5">
            <v>1</v>
          </cell>
          <cell r="J5" t="b">
            <v>1</v>
          </cell>
          <cell r="K5">
            <v>10132</v>
          </cell>
          <cell r="L5">
            <v>-4.38</v>
          </cell>
          <cell r="M5">
            <v>-7.01</v>
          </cell>
          <cell r="N5">
            <v>0</v>
          </cell>
          <cell r="O5" t="str">
            <v>-10.31,-5.31</v>
          </cell>
          <cell r="P5" t="str">
            <v>7.44,-6.96;
3.45,-5.74;
3.45,-7.95;</v>
          </cell>
          <cell r="Q5">
            <v>11000</v>
          </cell>
          <cell r="R5">
            <v>0</v>
          </cell>
          <cell r="S5" t="str">
            <v>1001+0;1002+5;901001+1;908092+1;</v>
          </cell>
          <cell r="T5" t="str">
            <v>11900,1</v>
          </cell>
        </row>
        <row r="6">
          <cell r="A6">
            <v>5</v>
          </cell>
          <cell r="B6" t="str">
            <v>瘦弱匪徒</v>
          </cell>
          <cell r="C6" t="str">
            <v>1100005;1100010;</v>
          </cell>
        </row>
        <row r="6">
          <cell r="F6">
            <v>2</v>
          </cell>
          <cell r="G6">
            <v>0</v>
          </cell>
          <cell r="H6">
            <v>1</v>
          </cell>
          <cell r="I6">
            <v>1</v>
          </cell>
          <cell r="J6" t="b">
            <v>0</v>
          </cell>
          <cell r="K6">
            <v>10132</v>
          </cell>
          <cell r="L6">
            <v>-6.34</v>
          </cell>
          <cell r="M6">
            <v>-7.69</v>
          </cell>
          <cell r="N6">
            <v>0</v>
          </cell>
          <cell r="O6" t="str">
            <v>0</v>
          </cell>
          <cell r="P6" t="str">
            <v>0.34,-7.68;
0.362,-5.65;</v>
          </cell>
          <cell r="Q6">
            <v>11000</v>
          </cell>
          <cell r="R6">
            <v>0</v>
          </cell>
          <cell r="S6" t="str">
            <v>1001+0;1002+5;901003+1;908095+1;</v>
          </cell>
          <cell r="T6" t="str">
            <v>11900,1</v>
          </cell>
        </row>
        <row r="7">
          <cell r="A7">
            <v>6</v>
          </cell>
          <cell r="B7" t="str">
            <v>醉酒匪徒</v>
          </cell>
          <cell r="C7" t="str">
            <v>1100002;1100011;1100006;</v>
          </cell>
        </row>
        <row r="7">
          <cell r="F7">
            <v>2</v>
          </cell>
          <cell r="G7">
            <v>0</v>
          </cell>
          <cell r="H7">
            <v>1</v>
          </cell>
          <cell r="I7">
            <v>1</v>
          </cell>
          <cell r="J7" t="b">
            <v>0</v>
          </cell>
          <cell r="K7">
            <v>10132</v>
          </cell>
          <cell r="L7">
            <v>-6.34</v>
          </cell>
          <cell r="M7">
            <v>-7.69</v>
          </cell>
          <cell r="N7">
            <v>0</v>
          </cell>
          <cell r="O7" t="str">
            <v>0</v>
          </cell>
          <cell r="P7" t="str">
            <v>0.34,-7.68;</v>
          </cell>
          <cell r="Q7">
            <v>11000</v>
          </cell>
          <cell r="R7">
            <v>0</v>
          </cell>
          <cell r="S7" t="str">
            <v>1001+0;1002+5;901001+1;908096+1;</v>
          </cell>
          <cell r="T7" t="str">
            <v>11900,1</v>
          </cell>
        </row>
        <row r="8">
          <cell r="A8">
            <v>7</v>
          </cell>
          <cell r="B8" t="str">
            <v>青萍少年</v>
          </cell>
          <cell r="C8" t="str">
            <v>1200001;</v>
          </cell>
        </row>
        <row r="8">
          <cell r="F8">
            <v>2</v>
          </cell>
          <cell r="G8">
            <v>0</v>
          </cell>
          <cell r="H8">
            <v>1</v>
          </cell>
          <cell r="I8">
            <v>1</v>
          </cell>
          <cell r="J8" t="b">
            <v>0</v>
          </cell>
          <cell r="K8">
            <v>1001</v>
          </cell>
          <cell r="L8">
            <v>-6.34</v>
          </cell>
          <cell r="M8">
            <v>-7.69</v>
          </cell>
          <cell r="N8">
            <v>0</v>
          </cell>
          <cell r="O8" t="str">
            <v>0</v>
          </cell>
          <cell r="P8" t="str">
            <v>0.34,-7.68;</v>
          </cell>
          <cell r="Q8">
            <v>12000</v>
          </cell>
          <cell r="R8">
            <v>0</v>
          </cell>
          <cell r="S8" t="str">
            <v>1001+0;1002+5;</v>
          </cell>
          <cell r="T8" t="str">
            <v>11900,1</v>
          </cell>
        </row>
        <row r="9">
          <cell r="A9">
            <v>8</v>
          </cell>
          <cell r="B9" t="str">
            <v>王村长</v>
          </cell>
          <cell r="C9" t="str">
            <v>1200002;</v>
          </cell>
        </row>
        <row r="9">
          <cell r="F9">
            <v>2</v>
          </cell>
          <cell r="G9">
            <v>0</v>
          </cell>
          <cell r="H9">
            <v>1</v>
          </cell>
          <cell r="I9">
            <v>1</v>
          </cell>
          <cell r="J9" t="b">
            <v>0</v>
          </cell>
          <cell r="K9">
            <v>1010</v>
          </cell>
          <cell r="L9">
            <v>-6.34</v>
          </cell>
          <cell r="M9">
            <v>-7.69</v>
          </cell>
          <cell r="N9">
            <v>0</v>
          </cell>
          <cell r="O9" t="str">
            <v>0</v>
          </cell>
          <cell r="P9" t="str">
            <v>0.34,-7.68;</v>
          </cell>
          <cell r="Q9">
            <v>12000</v>
          </cell>
          <cell r="R9">
            <v>0</v>
          </cell>
          <cell r="S9" t="str">
            <v>1001+0;1002+5;901100+1;</v>
          </cell>
          <cell r="T9" t="str">
            <v>11900,1</v>
          </cell>
        </row>
        <row r="10">
          <cell r="A10">
            <v>9</v>
          </cell>
          <cell r="B10" t="str">
            <v>胎记男</v>
          </cell>
          <cell r="C10" t="str">
            <v>1200008;</v>
          </cell>
        </row>
        <row r="10">
          <cell r="F10">
            <v>2</v>
          </cell>
          <cell r="G10">
            <v>0</v>
          </cell>
          <cell r="H10">
            <v>1</v>
          </cell>
          <cell r="I10">
            <v>1</v>
          </cell>
          <cell r="J10" t="b">
            <v>0</v>
          </cell>
          <cell r="K10">
            <v>1001</v>
          </cell>
          <cell r="L10">
            <v>-6.34</v>
          </cell>
          <cell r="M10">
            <v>-7.69</v>
          </cell>
          <cell r="N10">
            <v>0</v>
          </cell>
          <cell r="O10" t="str">
            <v>0</v>
          </cell>
          <cell r="P10" t="str">
            <v>0.34,-7.68;</v>
          </cell>
          <cell r="Q10">
            <v>12000</v>
          </cell>
          <cell r="R10">
            <v>0</v>
          </cell>
          <cell r="S10" t="str">
            <v>1001+0;1002+5;901100+1;908094+1;</v>
          </cell>
          <cell r="T10" t="str">
            <v>11900,1</v>
          </cell>
        </row>
        <row r="11">
          <cell r="A11">
            <v>10</v>
          </cell>
          <cell r="B11" t="str">
            <v>山贼匪徒</v>
          </cell>
          <cell r="C11" t="str">
            <v>1200018;1200011;1200014;</v>
          </cell>
        </row>
        <row r="11">
          <cell r="F11">
            <v>2</v>
          </cell>
          <cell r="G11">
            <v>0</v>
          </cell>
          <cell r="H11">
            <v>1</v>
          </cell>
          <cell r="I11">
            <v>1</v>
          </cell>
          <cell r="J11" t="b">
            <v>0</v>
          </cell>
          <cell r="K11">
            <v>1001</v>
          </cell>
          <cell r="L11">
            <v>-6.34</v>
          </cell>
          <cell r="M11">
            <v>-7.69</v>
          </cell>
          <cell r="N11">
            <v>0</v>
          </cell>
          <cell r="O11" t="str">
            <v>0</v>
          </cell>
          <cell r="P11" t="str">
            <v>0.362,-5.65;
1.743,-5.48;
0.34,-7.68;</v>
          </cell>
          <cell r="Q11">
            <v>12000</v>
          </cell>
          <cell r="R11">
            <v>0</v>
          </cell>
          <cell r="S11" t="str">
            <v>1001+0;1002+5;901000+1;908096+1;</v>
          </cell>
          <cell r="T11" t="str">
            <v>11900,1</v>
          </cell>
        </row>
        <row r="12">
          <cell r="A12">
            <v>11</v>
          </cell>
          <cell r="B12" t="str">
            <v>山贼首领</v>
          </cell>
          <cell r="C12" t="str">
            <v>1200005;1200012;1200011;1200018;1200016;</v>
          </cell>
        </row>
        <row r="12">
          <cell r="F12">
            <v>2</v>
          </cell>
          <cell r="G12">
            <v>0</v>
          </cell>
          <cell r="H12">
            <v>1</v>
          </cell>
          <cell r="I12">
            <v>1</v>
          </cell>
          <cell r="J12" t="b">
            <v>0</v>
          </cell>
          <cell r="K12">
            <v>1002</v>
          </cell>
          <cell r="L12">
            <v>-6.34</v>
          </cell>
          <cell r="M12">
            <v>-7.69</v>
          </cell>
          <cell r="N12">
            <v>0</v>
          </cell>
          <cell r="O12" t="str">
            <v>0</v>
          </cell>
          <cell r="P12" t="str">
            <v>0.362,-5.65;
1.743,-5.48;
0.34,-7.68;
0.4,-6.25
2.2,-6.44</v>
          </cell>
          <cell r="Q12">
            <v>12010</v>
          </cell>
          <cell r="R12">
            <v>0</v>
          </cell>
          <cell r="S12" t="str">
            <v>1001+0;1002+5;901100+1;908095+1;</v>
          </cell>
          <cell r="T12" t="str">
            <v>11900,1</v>
          </cell>
        </row>
        <row r="13">
          <cell r="A13">
            <v>12</v>
          </cell>
          <cell r="B13" t="str">
            <v>酒铺小贩</v>
          </cell>
          <cell r="C13" t="str">
            <v>1200006;1200007;1200018;1200015;</v>
          </cell>
        </row>
        <row r="13">
          <cell r="F13">
            <v>2</v>
          </cell>
          <cell r="G13">
            <v>0</v>
          </cell>
          <cell r="H13">
            <v>1</v>
          </cell>
          <cell r="I13">
            <v>1</v>
          </cell>
          <cell r="J13" t="b">
            <v>0</v>
          </cell>
          <cell r="K13">
            <v>1004</v>
          </cell>
          <cell r="L13">
            <v>-6.34</v>
          </cell>
          <cell r="M13">
            <v>-7.69</v>
          </cell>
          <cell r="N13">
            <v>0</v>
          </cell>
          <cell r="O13" t="str">
            <v>0</v>
          </cell>
          <cell r="P13" t="str">
            <v>0.4,-6.25
2.2,-6.44
1.122,-7.2
0.362,-5.65;</v>
          </cell>
          <cell r="Q13">
            <v>12000</v>
          </cell>
          <cell r="R13">
            <v>0</v>
          </cell>
          <cell r="S13" t="str">
            <v>1001+0;1002+5;901000+1;908097+1;</v>
          </cell>
          <cell r="T13" t="str">
            <v>11900,1</v>
          </cell>
        </row>
        <row r="14">
          <cell r="A14">
            <v>13</v>
          </cell>
          <cell r="B14" t="str">
            <v>白狼王</v>
          </cell>
          <cell r="C14" t="str">
            <v>1200010;1200009;1200009;1200009;1200009;</v>
          </cell>
        </row>
        <row r="14"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 t="b">
            <v>0</v>
          </cell>
          <cell r="K14">
            <v>1003</v>
          </cell>
          <cell r="L14">
            <v>-6.34</v>
          </cell>
          <cell r="M14">
            <v>-7.69</v>
          </cell>
          <cell r="N14">
            <v>0</v>
          </cell>
          <cell r="O14" t="str">
            <v>0</v>
          </cell>
          <cell r="P14" t="str">
            <v>0.4,-6.25
2.2,-6.44
1.122,-7.2
0.362,-5.65;
0.34,-7.68;</v>
          </cell>
          <cell r="Q14">
            <v>12000</v>
          </cell>
          <cell r="R14">
            <v>30</v>
          </cell>
          <cell r="S14" t="str">
            <v>1001+0;1002+5;908041+1</v>
          </cell>
          <cell r="T14" t="str">
            <v>11900,1</v>
          </cell>
        </row>
        <row r="15">
          <cell r="A15">
            <v>14</v>
          </cell>
          <cell r="B15" t="str">
            <v>山贼匪探</v>
          </cell>
          <cell r="C15" t="str">
            <v>1200011;1200015;1200018;</v>
          </cell>
        </row>
        <row r="15">
          <cell r="F15">
            <v>2</v>
          </cell>
          <cell r="G15">
            <v>0</v>
          </cell>
          <cell r="H15">
            <v>1</v>
          </cell>
          <cell r="I15">
            <v>1</v>
          </cell>
          <cell r="J15" t="b">
            <v>0</v>
          </cell>
          <cell r="K15">
            <v>1001</v>
          </cell>
          <cell r="L15">
            <v>-6.34</v>
          </cell>
          <cell r="M15">
            <v>-7.69</v>
          </cell>
          <cell r="N15">
            <v>0</v>
          </cell>
          <cell r="O15" t="str">
            <v>0</v>
          </cell>
          <cell r="P15" t="str">
            <v>0.4,-6.25
2.2,-6.44
1.122,-7.2
0.362,-5.65;
0.34,-7.68;</v>
          </cell>
          <cell r="Q15">
            <v>12000</v>
          </cell>
          <cell r="R15">
            <v>0</v>
          </cell>
          <cell r="S15" t="str">
            <v>1001+0;1002+5;901000+1;908092+1;</v>
          </cell>
          <cell r="T15" t="str">
            <v>11900,1</v>
          </cell>
        </row>
        <row r="16">
          <cell r="A16">
            <v>15</v>
          </cell>
          <cell r="B16" t="str">
            <v>山贼匪探</v>
          </cell>
          <cell r="C16" t="str">
            <v>1200011;1200012;1200007;1200135;</v>
          </cell>
        </row>
        <row r="16">
          <cell r="F16">
            <v>2</v>
          </cell>
          <cell r="G16">
            <v>0</v>
          </cell>
          <cell r="H16">
            <v>1</v>
          </cell>
          <cell r="I16">
            <v>1</v>
          </cell>
          <cell r="J16" t="b">
            <v>0</v>
          </cell>
          <cell r="K16">
            <v>1003</v>
          </cell>
          <cell r="L16">
            <v>-6.34</v>
          </cell>
          <cell r="M16">
            <v>-7.69</v>
          </cell>
          <cell r="N16">
            <v>0</v>
          </cell>
          <cell r="O16" t="str">
            <v>0</v>
          </cell>
          <cell r="P16" t="str">
            <v>0.362,-5.65;
1.743,-5.48;
0.34,-7.68;
0.4,-6.25</v>
          </cell>
          <cell r="Q16">
            <v>12000</v>
          </cell>
          <cell r="R16">
            <v>0</v>
          </cell>
          <cell r="S16" t="str">
            <v>1001+0;1002+5;901100+1;908093+1;</v>
          </cell>
          <cell r="T16" t="str">
            <v>11900,1</v>
          </cell>
        </row>
        <row r="17">
          <cell r="A17">
            <v>16</v>
          </cell>
          <cell r="B17" t="str">
            <v>狼群</v>
          </cell>
          <cell r="C17" t="str">
            <v>1200009;1200009;1200009;1200009;</v>
          </cell>
        </row>
        <row r="17">
          <cell r="F17">
            <v>3</v>
          </cell>
          <cell r="G17">
            <v>0</v>
          </cell>
          <cell r="H17">
            <v>1</v>
          </cell>
          <cell r="I17">
            <v>1</v>
          </cell>
          <cell r="J17" t="b">
            <v>0</v>
          </cell>
          <cell r="K17">
            <v>1003</v>
          </cell>
          <cell r="L17">
            <v>-6.34</v>
          </cell>
          <cell r="M17">
            <v>-7.69</v>
          </cell>
          <cell r="N17">
            <v>0</v>
          </cell>
          <cell r="O17" t="str">
            <v>0</v>
          </cell>
          <cell r="P17" t="str">
            <v>0.4,-6.25
2.2,-6.44
0.362,-5.65;
0.34,-7.68;</v>
          </cell>
          <cell r="Q17">
            <v>12000</v>
          </cell>
          <cell r="R17">
            <v>60</v>
          </cell>
          <cell r="S17" t="str">
            <v>1001+0;1002+5;</v>
          </cell>
          <cell r="T17" t="str">
            <v>11900,1</v>
          </cell>
        </row>
        <row r="18">
          <cell r="A18">
            <v>17</v>
          </cell>
          <cell r="B18" t="str">
            <v>山贼匪徒</v>
          </cell>
          <cell r="C18" t="str">
            <v>1200007;1200011;1200014;1200018;</v>
          </cell>
        </row>
        <row r="18"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 t="b">
            <v>0</v>
          </cell>
          <cell r="K18">
            <v>1001</v>
          </cell>
          <cell r="L18">
            <v>-6.34</v>
          </cell>
          <cell r="M18">
            <v>-7.69</v>
          </cell>
          <cell r="N18">
            <v>0</v>
          </cell>
          <cell r="O18" t="str">
            <v>0</v>
          </cell>
          <cell r="P18" t="str">
            <v>0.362,-5.65;
1.743,-5.48;
0.34,-7.68;
0.4,-6.25</v>
          </cell>
          <cell r="Q18">
            <v>12000</v>
          </cell>
          <cell r="R18">
            <v>60</v>
          </cell>
          <cell r="S18" t="str">
            <v>1001+0;1002+5;908094+1;</v>
          </cell>
          <cell r="T18" t="str">
            <v>11900,1</v>
          </cell>
        </row>
        <row r="19">
          <cell r="A19">
            <v>18</v>
          </cell>
          <cell r="B19" t="str">
            <v>山贼匪徒</v>
          </cell>
          <cell r="C19" t="str">
            <v>1200011;1200012;1200016;1200017;</v>
          </cell>
        </row>
        <row r="19"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 t="b">
            <v>0</v>
          </cell>
          <cell r="K19">
            <v>1001</v>
          </cell>
          <cell r="L19">
            <v>-6.34</v>
          </cell>
          <cell r="M19">
            <v>-7.69</v>
          </cell>
          <cell r="N19">
            <v>0</v>
          </cell>
          <cell r="O19" t="str">
            <v>0</v>
          </cell>
          <cell r="P19" t="str">
            <v>0.4,-6.25
2.2,-6.44
1.122,-7.2
0.362,-5.65;</v>
          </cell>
          <cell r="Q19">
            <v>12000</v>
          </cell>
          <cell r="R19">
            <v>60</v>
          </cell>
          <cell r="S19" t="str">
            <v>1001+0;1002+5;908095+1;</v>
          </cell>
          <cell r="T19" t="str">
            <v>11900,1</v>
          </cell>
        </row>
        <row r="20">
          <cell r="A20">
            <v>19</v>
          </cell>
          <cell r="B20" t="str">
            <v>楚林灵</v>
          </cell>
          <cell r="C20" t="str">
            <v>1300001;</v>
          </cell>
        </row>
        <row r="20">
          <cell r="F20">
            <v>2</v>
          </cell>
          <cell r="G20">
            <v>0</v>
          </cell>
          <cell r="H20">
            <v>1</v>
          </cell>
          <cell r="I20">
            <v>1</v>
          </cell>
          <cell r="J20" t="b">
            <v>0</v>
          </cell>
          <cell r="K20">
            <v>1005</v>
          </cell>
          <cell r="L20">
            <v>-6.34</v>
          </cell>
          <cell r="M20">
            <v>-7.69</v>
          </cell>
          <cell r="N20">
            <v>0</v>
          </cell>
          <cell r="O20" t="str">
            <v>0</v>
          </cell>
          <cell r="P20" t="str">
            <v>0.34,-7.68;</v>
          </cell>
          <cell r="Q20">
            <v>13000</v>
          </cell>
          <cell r="R20">
            <v>0</v>
          </cell>
          <cell r="S20" t="str">
            <v>1001+3;1002+10;901001+1;908036+1;</v>
          </cell>
          <cell r="T20" t="str">
            <v>11900,1</v>
          </cell>
        </row>
        <row r="21">
          <cell r="A21">
            <v>20</v>
          </cell>
          <cell r="B21" t="str">
            <v>小乞儿</v>
          </cell>
          <cell r="C21" t="str">
            <v>1300002;</v>
          </cell>
        </row>
        <row r="21">
          <cell r="F21">
            <v>2</v>
          </cell>
          <cell r="G21">
            <v>0</v>
          </cell>
          <cell r="H21">
            <v>1</v>
          </cell>
          <cell r="I21">
            <v>1</v>
          </cell>
          <cell r="J21" t="b">
            <v>0</v>
          </cell>
          <cell r="K21">
            <v>1006</v>
          </cell>
          <cell r="L21">
            <v>-6.34</v>
          </cell>
          <cell r="M21">
            <v>-7.69</v>
          </cell>
          <cell r="N21">
            <v>0</v>
          </cell>
          <cell r="O21" t="str">
            <v>0</v>
          </cell>
          <cell r="P21" t="str">
            <v>0.34,-7.68;</v>
          </cell>
          <cell r="Q21">
            <v>13000</v>
          </cell>
          <cell r="R21">
            <v>0</v>
          </cell>
          <cell r="S21" t="str">
            <v>1001+3;1002+10;901101+1;</v>
          </cell>
          <cell r="T21" t="str">
            <v>11900,1</v>
          </cell>
        </row>
        <row r="22">
          <cell r="A22">
            <v>21</v>
          </cell>
          <cell r="B22" t="str">
            <v>寻梭毛贼</v>
          </cell>
          <cell r="C22" t="str">
            <v>1300003;</v>
          </cell>
        </row>
        <row r="22">
          <cell r="F22">
            <v>2</v>
          </cell>
          <cell r="G22">
            <v>0</v>
          </cell>
          <cell r="H22">
            <v>1</v>
          </cell>
          <cell r="I22">
            <v>1</v>
          </cell>
          <cell r="J22" t="b">
            <v>0</v>
          </cell>
          <cell r="K22">
            <v>1006</v>
          </cell>
          <cell r="L22">
            <v>-6.34</v>
          </cell>
          <cell r="M22">
            <v>-7.69</v>
          </cell>
          <cell r="N22">
            <v>0</v>
          </cell>
          <cell r="O22" t="str">
            <v>0</v>
          </cell>
          <cell r="P22" t="str">
            <v>0.34,-7.68;</v>
          </cell>
          <cell r="Q22">
            <v>13000</v>
          </cell>
          <cell r="R22">
            <v>0</v>
          </cell>
          <cell r="S22" t="str">
            <v>1001+3;1002+10;901001+1;907011+1;</v>
          </cell>
          <cell r="T22" t="str">
            <v>11900,1</v>
          </cell>
        </row>
        <row r="23">
          <cell r="A23">
            <v>22</v>
          </cell>
          <cell r="B23" t="str">
            <v>东市无赖</v>
          </cell>
          <cell r="C23" t="str">
            <v>1300004;1300005;1300034;</v>
          </cell>
        </row>
        <row r="23">
          <cell r="F23">
            <v>2</v>
          </cell>
          <cell r="G23">
            <v>0</v>
          </cell>
          <cell r="H23">
            <v>1</v>
          </cell>
          <cell r="I23">
            <v>1</v>
          </cell>
          <cell r="J23" t="b">
            <v>0</v>
          </cell>
          <cell r="K23">
            <v>1005</v>
          </cell>
          <cell r="L23">
            <v>-6.34</v>
          </cell>
          <cell r="M23">
            <v>-7.69</v>
          </cell>
          <cell r="N23">
            <v>0</v>
          </cell>
          <cell r="O23" t="str">
            <v>0</v>
          </cell>
          <cell r="P23" t="str">
            <v>0.362,-5.65;
1.743,-5.48;
0.34,-7.68;</v>
          </cell>
          <cell r="Q23">
            <v>13000</v>
          </cell>
          <cell r="R23">
            <v>0</v>
          </cell>
          <cell r="S23" t="str">
            <v>1001+3;1002+10;901101+1;</v>
          </cell>
          <cell r="T23" t="str">
            <v>11900,1</v>
          </cell>
        </row>
        <row r="24">
          <cell r="A24">
            <v>23</v>
          </cell>
          <cell r="B24" t="str">
            <v>浣衣娘</v>
          </cell>
          <cell r="C24" t="str">
            <v>1300006;</v>
          </cell>
        </row>
        <row r="24">
          <cell r="F24">
            <v>2</v>
          </cell>
          <cell r="G24">
            <v>0</v>
          </cell>
          <cell r="H24">
            <v>1</v>
          </cell>
          <cell r="I24">
            <v>1</v>
          </cell>
          <cell r="J24" t="b">
            <v>0</v>
          </cell>
          <cell r="K24">
            <v>1005</v>
          </cell>
          <cell r="L24">
            <v>-6.34</v>
          </cell>
          <cell r="M24">
            <v>-7.69</v>
          </cell>
          <cell r="N24">
            <v>0</v>
          </cell>
          <cell r="O24" t="str">
            <v>0</v>
          </cell>
          <cell r="P24" t="str">
            <v>0.34,-7.68;</v>
          </cell>
          <cell r="Q24">
            <v>13000</v>
          </cell>
          <cell r="R24">
            <v>0</v>
          </cell>
          <cell r="S24" t="str">
            <v>1001+3;1002+10;901001+1;907009+1;</v>
          </cell>
          <cell r="T24" t="str">
            <v>11900,1</v>
          </cell>
        </row>
        <row r="25">
          <cell r="A25">
            <v>24</v>
          </cell>
          <cell r="B25" t="str">
            <v>阿大 阿二</v>
          </cell>
          <cell r="C25" t="str">
            <v>1300007;1300008;</v>
          </cell>
        </row>
        <row r="25">
          <cell r="F25">
            <v>2</v>
          </cell>
          <cell r="G25">
            <v>0</v>
          </cell>
          <cell r="H25">
            <v>1</v>
          </cell>
          <cell r="I25">
            <v>1</v>
          </cell>
          <cell r="J25" t="b">
            <v>0</v>
          </cell>
          <cell r="K25">
            <v>1005</v>
          </cell>
          <cell r="L25">
            <v>-6.34</v>
          </cell>
          <cell r="M25">
            <v>-7.69</v>
          </cell>
          <cell r="N25">
            <v>0</v>
          </cell>
          <cell r="O25" t="str">
            <v>0</v>
          </cell>
          <cell r="P25" t="str">
            <v>0.362,-5.65;
3.302,-6.05;</v>
          </cell>
          <cell r="Q25">
            <v>13000</v>
          </cell>
          <cell r="R25">
            <v>0</v>
          </cell>
          <cell r="S25" t="str">
            <v>1001+3;1002+10;901101+1;</v>
          </cell>
          <cell r="T25" t="str">
            <v>11900,1</v>
          </cell>
        </row>
        <row r="26">
          <cell r="A26">
            <v>25</v>
          </cell>
          <cell r="B26" t="str">
            <v>苏北五猖</v>
          </cell>
          <cell r="C26" t="str">
            <v>1300009;1300010;1300011;1300012;1300033;</v>
          </cell>
        </row>
        <row r="26">
          <cell r="F26">
            <v>2</v>
          </cell>
          <cell r="G26">
            <v>0</v>
          </cell>
          <cell r="H26">
            <v>1</v>
          </cell>
          <cell r="I26">
            <v>1</v>
          </cell>
          <cell r="J26" t="b">
            <v>0</v>
          </cell>
          <cell r="K26">
            <v>1009</v>
          </cell>
          <cell r="L26">
            <v>-6.34</v>
          </cell>
          <cell r="M26">
            <v>-7.69</v>
          </cell>
          <cell r="N26">
            <v>0</v>
          </cell>
          <cell r="O26" t="str">
            <v>0</v>
          </cell>
          <cell r="P26" t="str">
            <v>-2.145,-6.05;
3.302,-6.05;
0.362,-5.65;
1.743,-5.48;
0.34,-7.68;</v>
          </cell>
          <cell r="Q26">
            <v>13000</v>
          </cell>
          <cell r="R26">
            <v>0</v>
          </cell>
          <cell r="S26" t="str">
            <v>1001+3;1002+10;901001+1;</v>
          </cell>
          <cell r="T26" t="str">
            <v>11900,1</v>
          </cell>
        </row>
        <row r="27">
          <cell r="A27">
            <v>27</v>
          </cell>
          <cell r="B27" t="str">
            <v>苏北五猖</v>
          </cell>
          <cell r="C27" t="str">
            <v>1300009;1300010;1300011;1300012;1300033;</v>
          </cell>
        </row>
        <row r="27">
          <cell r="F27">
            <v>2</v>
          </cell>
          <cell r="G27" t="str">
            <v>1300032;</v>
          </cell>
          <cell r="H27">
            <v>1</v>
          </cell>
          <cell r="I27">
            <v>1</v>
          </cell>
          <cell r="J27" t="b">
            <v>0</v>
          </cell>
          <cell r="K27">
            <v>1009</v>
          </cell>
          <cell r="L27">
            <v>-6.34</v>
          </cell>
          <cell r="M27">
            <v>-7.69</v>
          </cell>
          <cell r="N27">
            <v>0</v>
          </cell>
          <cell r="O27" t="str">
            <v>3.2,-7.2;</v>
          </cell>
          <cell r="P27" t="str">
            <v>-2.145,-6.05;
3.302,-6.05;
0.362,-5.65;
1.743,-5.48;
0.34,-7.68;</v>
          </cell>
          <cell r="Q27">
            <v>13000</v>
          </cell>
          <cell r="R27">
            <v>0</v>
          </cell>
          <cell r="S27" t="str">
            <v>1001+3;1002+10;901101+1;907010+1;</v>
          </cell>
          <cell r="T27" t="str">
            <v>11900,1</v>
          </cell>
        </row>
        <row r="28">
          <cell r="A28">
            <v>29</v>
          </cell>
          <cell r="B28" t="str">
            <v>孟阳伯</v>
          </cell>
          <cell r="C28" t="str">
            <v>1300013;</v>
          </cell>
        </row>
        <row r="28">
          <cell r="F28">
            <v>2</v>
          </cell>
          <cell r="G28" t="str">
            <v>1300009;
1300010;
1300011;
1300012;
1300033;</v>
          </cell>
          <cell r="H28">
            <v>1</v>
          </cell>
          <cell r="I28">
            <v>1</v>
          </cell>
          <cell r="J28" t="b">
            <v>0</v>
          </cell>
          <cell r="K28">
            <v>1009</v>
          </cell>
          <cell r="L28">
            <v>-6.34</v>
          </cell>
          <cell r="M28">
            <v>-7.69</v>
          </cell>
          <cell r="N28">
            <v>0</v>
          </cell>
          <cell r="O28" t="str">
            <v>-2.6,-4.6;
-2.6,-6.2;
1.2.-4.5;
1.5,-5.6;
1.2,-6.8</v>
          </cell>
          <cell r="P28" t="str">
            <v>0.34,-7.68;</v>
          </cell>
          <cell r="Q28">
            <v>13000</v>
          </cell>
          <cell r="R28">
            <v>0</v>
          </cell>
          <cell r="S28" t="str">
            <v>1001+3;1002+10;901001+1;</v>
          </cell>
          <cell r="T28" t="str">
            <v>11900,1</v>
          </cell>
        </row>
        <row r="29">
          <cell r="A29">
            <v>30</v>
          </cell>
          <cell r="B29" t="str">
            <v>孟阳伯</v>
          </cell>
          <cell r="C29" t="str">
            <v>1300013;</v>
          </cell>
        </row>
        <row r="29">
          <cell r="F29">
            <v>2</v>
          </cell>
          <cell r="G29">
            <v>0</v>
          </cell>
          <cell r="H29">
            <v>1</v>
          </cell>
          <cell r="I29">
            <v>1</v>
          </cell>
          <cell r="J29" t="b">
            <v>0</v>
          </cell>
          <cell r="K29">
            <v>1009</v>
          </cell>
          <cell r="L29">
            <v>-6.34</v>
          </cell>
          <cell r="M29">
            <v>-7.69</v>
          </cell>
          <cell r="N29">
            <v>0</v>
          </cell>
          <cell r="O29" t="str">
            <v>0</v>
          </cell>
          <cell r="P29" t="str">
            <v>0.34,-7.68;</v>
          </cell>
          <cell r="Q29">
            <v>13000</v>
          </cell>
          <cell r="R29">
            <v>0</v>
          </cell>
          <cell r="S29" t="str">
            <v>1001+3;1002+10;901001+1;</v>
          </cell>
          <cell r="T29" t="str">
            <v>11900,1</v>
          </cell>
        </row>
        <row r="30">
          <cell r="A30">
            <v>31</v>
          </cell>
          <cell r="B30" t="str">
            <v>傻小子</v>
          </cell>
          <cell r="C30" t="str">
            <v>1300014;</v>
          </cell>
        </row>
        <row r="30">
          <cell r="F30">
            <v>2</v>
          </cell>
          <cell r="G30">
            <v>0</v>
          </cell>
          <cell r="H30">
            <v>1</v>
          </cell>
          <cell r="I30">
            <v>1</v>
          </cell>
          <cell r="J30" t="b">
            <v>0</v>
          </cell>
          <cell r="K30">
            <v>1005</v>
          </cell>
          <cell r="L30">
            <v>-6.34</v>
          </cell>
          <cell r="M30">
            <v>-7.69</v>
          </cell>
          <cell r="N30">
            <v>0</v>
          </cell>
          <cell r="O30" t="str">
            <v>0</v>
          </cell>
          <cell r="P30" t="str">
            <v>0.34,-7.68;</v>
          </cell>
          <cell r="Q30">
            <v>13000</v>
          </cell>
          <cell r="R30">
            <v>0</v>
          </cell>
          <cell r="S30" t="str">
            <v>1001+3;1002+10;</v>
          </cell>
          <cell r="T30" t="str">
            <v>11900,1</v>
          </cell>
        </row>
        <row r="31">
          <cell r="A31">
            <v>32</v>
          </cell>
          <cell r="B31" t="str">
            <v>探花七</v>
          </cell>
          <cell r="C31" t="str">
            <v>1300015;</v>
          </cell>
        </row>
        <row r="31">
          <cell r="F31">
            <v>2</v>
          </cell>
          <cell r="G31">
            <v>0</v>
          </cell>
          <cell r="H31">
            <v>1</v>
          </cell>
          <cell r="I31">
            <v>1</v>
          </cell>
          <cell r="J31" t="b">
            <v>0</v>
          </cell>
          <cell r="K31">
            <v>1003</v>
          </cell>
          <cell r="L31">
            <v>-6.34</v>
          </cell>
          <cell r="M31">
            <v>-7.69</v>
          </cell>
          <cell r="N31">
            <v>0</v>
          </cell>
          <cell r="O31" t="str">
            <v>0</v>
          </cell>
          <cell r="P31" t="str">
            <v>0.34,-7.68;</v>
          </cell>
          <cell r="Q31">
            <v>13000</v>
          </cell>
          <cell r="R31">
            <v>0</v>
          </cell>
          <cell r="S31" t="str">
            <v>1001+3;1002+10;901001+1;</v>
          </cell>
          <cell r="T31" t="str">
            <v>11900,1</v>
          </cell>
        </row>
        <row r="32">
          <cell r="A32">
            <v>33</v>
          </cell>
          <cell r="B32" t="str">
            <v>探花七</v>
          </cell>
          <cell r="C32" t="str">
            <v>1300016;</v>
          </cell>
        </row>
        <row r="32">
          <cell r="F32">
            <v>2</v>
          </cell>
          <cell r="G32">
            <v>0</v>
          </cell>
          <cell r="H32">
            <v>1</v>
          </cell>
          <cell r="I32">
            <v>1</v>
          </cell>
          <cell r="J32" t="b">
            <v>0</v>
          </cell>
          <cell r="K32">
            <v>1003</v>
          </cell>
          <cell r="L32">
            <v>-6.34</v>
          </cell>
          <cell r="M32">
            <v>-7.69</v>
          </cell>
          <cell r="N32">
            <v>0</v>
          </cell>
          <cell r="O32" t="str">
            <v>0</v>
          </cell>
          <cell r="P32" t="str">
            <v>0.34,-7.68;</v>
          </cell>
          <cell r="Q32">
            <v>13000</v>
          </cell>
          <cell r="R32">
            <v>0</v>
          </cell>
          <cell r="S32" t="str">
            <v>1001+3;1002+10;901101+1;907012+1;</v>
          </cell>
          <cell r="T32" t="str">
            <v>11900,1</v>
          </cell>
        </row>
        <row r="33">
          <cell r="A33">
            <v>34</v>
          </cell>
          <cell r="B33" t="str">
            <v>张英</v>
          </cell>
          <cell r="C33" t="str">
            <v>1300017;</v>
          </cell>
        </row>
        <row r="33">
          <cell r="F33">
            <v>2</v>
          </cell>
          <cell r="G33">
            <v>0</v>
          </cell>
          <cell r="H33">
            <v>1</v>
          </cell>
          <cell r="I33">
            <v>1</v>
          </cell>
          <cell r="J33" t="b">
            <v>0</v>
          </cell>
          <cell r="K33">
            <v>1003</v>
          </cell>
          <cell r="L33">
            <v>-6.34</v>
          </cell>
          <cell r="M33">
            <v>-7.69</v>
          </cell>
          <cell r="N33">
            <v>0</v>
          </cell>
          <cell r="O33" t="str">
            <v>0</v>
          </cell>
          <cell r="P33" t="str">
            <v>0.34,-7.68;</v>
          </cell>
          <cell r="Q33">
            <v>13000</v>
          </cell>
          <cell r="R33">
            <v>0</v>
          </cell>
          <cell r="S33" t="str">
            <v>1001+3;1002+10;901101+1;</v>
          </cell>
          <cell r="T33" t="str">
            <v>11900,1</v>
          </cell>
        </row>
        <row r="34">
          <cell r="A34">
            <v>35</v>
          </cell>
          <cell r="B34" t="str">
            <v>红绡</v>
          </cell>
          <cell r="C34" t="str">
            <v>1300018;1300019;</v>
          </cell>
        </row>
        <row r="34">
          <cell r="F34">
            <v>2</v>
          </cell>
          <cell r="G34">
            <v>0</v>
          </cell>
          <cell r="H34">
            <v>1</v>
          </cell>
          <cell r="I34">
            <v>1</v>
          </cell>
          <cell r="J34" t="b">
            <v>0</v>
          </cell>
          <cell r="K34">
            <v>1003</v>
          </cell>
          <cell r="L34">
            <v>-6.34</v>
          </cell>
          <cell r="M34">
            <v>-7.69</v>
          </cell>
          <cell r="N34">
            <v>0</v>
          </cell>
          <cell r="O34" t="str">
            <v>0</v>
          </cell>
          <cell r="P34" t="str">
            <v>0.362,-5.65;
0.34,-7.68;</v>
          </cell>
          <cell r="Q34">
            <v>13000</v>
          </cell>
          <cell r="R34">
            <v>0</v>
          </cell>
          <cell r="S34" t="str">
            <v>1001+3;1002+10;901001+1;907010+1;</v>
          </cell>
          <cell r="T34" t="str">
            <v>11900,1</v>
          </cell>
        </row>
        <row r="35">
          <cell r="A35">
            <v>36</v>
          </cell>
          <cell r="B35" t="str">
            <v>肖婆婆</v>
          </cell>
          <cell r="C35" t="str">
            <v>1300020;</v>
          </cell>
        </row>
        <row r="35">
          <cell r="F35">
            <v>2</v>
          </cell>
          <cell r="G35">
            <v>0</v>
          </cell>
          <cell r="H35">
            <v>1</v>
          </cell>
          <cell r="I35">
            <v>1</v>
          </cell>
          <cell r="J35" t="b">
            <v>0</v>
          </cell>
          <cell r="K35">
            <v>1005</v>
          </cell>
          <cell r="L35">
            <v>-6.34</v>
          </cell>
          <cell r="M35">
            <v>-7.69</v>
          </cell>
          <cell r="N35">
            <v>0</v>
          </cell>
          <cell r="O35" t="str">
            <v>0</v>
          </cell>
          <cell r="P35" t="str">
            <v>0.34,-7.68;</v>
          </cell>
          <cell r="Q35">
            <v>13000</v>
          </cell>
          <cell r="R35">
            <v>0</v>
          </cell>
          <cell r="S35" t="str">
            <v>1001+3;1002+10;901101+1;</v>
          </cell>
          <cell r="T35" t="str">
            <v>11900,1</v>
          </cell>
        </row>
        <row r="36">
          <cell r="A36">
            <v>37</v>
          </cell>
          <cell r="B36" t="str">
            <v>西门家仆</v>
          </cell>
          <cell r="C36" t="str">
            <v>1300021;</v>
          </cell>
        </row>
        <row r="36">
          <cell r="F36">
            <v>2</v>
          </cell>
          <cell r="G36">
            <v>0</v>
          </cell>
          <cell r="H36">
            <v>1</v>
          </cell>
          <cell r="I36">
            <v>1</v>
          </cell>
          <cell r="J36" t="b">
            <v>0</v>
          </cell>
          <cell r="K36">
            <v>1006</v>
          </cell>
          <cell r="L36">
            <v>-6.34</v>
          </cell>
          <cell r="M36">
            <v>-7.69</v>
          </cell>
          <cell r="N36">
            <v>0</v>
          </cell>
          <cell r="O36" t="str">
            <v>0</v>
          </cell>
          <cell r="P36" t="str">
            <v>0.34,-7.68;</v>
          </cell>
          <cell r="Q36">
            <v>13000</v>
          </cell>
          <cell r="R36">
            <v>0</v>
          </cell>
          <cell r="S36" t="str">
            <v>1001+3;1002+10;901001+1;</v>
          </cell>
          <cell r="T36" t="str">
            <v>11900,1</v>
          </cell>
        </row>
        <row r="37">
          <cell r="A37">
            <v>38</v>
          </cell>
          <cell r="B37" t="str">
            <v>西门家仆</v>
          </cell>
          <cell r="C37" t="str">
            <v>1300022;1300021;</v>
          </cell>
        </row>
        <row r="37">
          <cell r="F37">
            <v>2</v>
          </cell>
          <cell r="G37">
            <v>0</v>
          </cell>
          <cell r="H37">
            <v>1</v>
          </cell>
          <cell r="I37">
            <v>1</v>
          </cell>
          <cell r="J37" t="b">
            <v>0</v>
          </cell>
          <cell r="K37">
            <v>1007</v>
          </cell>
          <cell r="L37">
            <v>-6.34</v>
          </cell>
          <cell r="M37">
            <v>-7.69</v>
          </cell>
          <cell r="N37">
            <v>0</v>
          </cell>
          <cell r="O37" t="str">
            <v>0</v>
          </cell>
          <cell r="P37" t="str">
            <v>0.362,-5.65;
0.34,-7.68;</v>
          </cell>
          <cell r="Q37">
            <v>13000</v>
          </cell>
          <cell r="R37">
            <v>0</v>
          </cell>
          <cell r="S37" t="str">
            <v>1001+3;1002+10;901001+1;</v>
          </cell>
          <cell r="T37" t="str">
            <v>11900,1</v>
          </cell>
        </row>
        <row r="38">
          <cell r="A38">
            <v>39</v>
          </cell>
          <cell r="B38" t="str">
            <v>西门仲</v>
          </cell>
          <cell r="C38" t="str">
            <v>1300023;</v>
          </cell>
        </row>
        <row r="38">
          <cell r="F38">
            <v>2</v>
          </cell>
          <cell r="G38" t="str">
            <v>1300002;</v>
          </cell>
          <cell r="H38">
            <v>1</v>
          </cell>
          <cell r="I38">
            <v>1</v>
          </cell>
          <cell r="J38" t="b">
            <v>0</v>
          </cell>
          <cell r="K38">
            <v>1007</v>
          </cell>
          <cell r="L38">
            <v>-6.34</v>
          </cell>
          <cell r="M38">
            <v>-7.69</v>
          </cell>
          <cell r="N38">
            <v>0</v>
          </cell>
          <cell r="O38" t="str">
            <v>-4.3,-9.6;</v>
          </cell>
          <cell r="P38" t="str">
            <v>0.34,-7.68;</v>
          </cell>
          <cell r="Q38">
            <v>13000</v>
          </cell>
          <cell r="R38">
            <v>0</v>
          </cell>
          <cell r="S38" t="str">
            <v>1001+3;1002+10;901101+1;</v>
          </cell>
          <cell r="T38" t="str">
            <v>11900,1</v>
          </cell>
        </row>
        <row r="39">
          <cell r="A39">
            <v>40</v>
          </cell>
          <cell r="B39" t="str">
            <v>西门仲</v>
          </cell>
          <cell r="C39" t="str">
            <v>1300024;</v>
          </cell>
        </row>
        <row r="39">
          <cell r="F39">
            <v>2</v>
          </cell>
          <cell r="G39">
            <v>0</v>
          </cell>
          <cell r="H39">
            <v>1</v>
          </cell>
          <cell r="I39">
            <v>1</v>
          </cell>
          <cell r="J39" t="b">
            <v>0</v>
          </cell>
          <cell r="K39">
            <v>1007</v>
          </cell>
          <cell r="L39">
            <v>-6.34</v>
          </cell>
          <cell r="M39">
            <v>-7.69</v>
          </cell>
          <cell r="N39">
            <v>0</v>
          </cell>
          <cell r="O39" t="str">
            <v>0</v>
          </cell>
          <cell r="P39" t="str">
            <v>0.34,-7.68;</v>
          </cell>
          <cell r="Q39">
            <v>13000</v>
          </cell>
          <cell r="R39">
            <v>0</v>
          </cell>
          <cell r="S39" t="str">
            <v>1001+3;1002+10;901101+1;907010+1;</v>
          </cell>
          <cell r="T39" t="str">
            <v>11900,1</v>
          </cell>
        </row>
        <row r="40">
          <cell r="A40">
            <v>41</v>
          </cell>
          <cell r="B40" t="str">
            <v>葛有方</v>
          </cell>
          <cell r="C40" t="str">
            <v>1300025;</v>
          </cell>
        </row>
        <row r="40">
          <cell r="F40">
            <v>2</v>
          </cell>
          <cell r="G40">
            <v>0</v>
          </cell>
          <cell r="H40">
            <v>1</v>
          </cell>
          <cell r="I40">
            <v>1</v>
          </cell>
          <cell r="J40" t="b">
            <v>0</v>
          </cell>
          <cell r="K40">
            <v>1007</v>
          </cell>
          <cell r="L40">
            <v>-6.34</v>
          </cell>
          <cell r="M40">
            <v>-7.69</v>
          </cell>
          <cell r="N40">
            <v>0</v>
          </cell>
          <cell r="O40" t="str">
            <v>0</v>
          </cell>
          <cell r="P40" t="str">
            <v>0.34,-7.68;</v>
          </cell>
          <cell r="Q40">
            <v>13000</v>
          </cell>
          <cell r="R40">
            <v>0</v>
          </cell>
          <cell r="S40" t="str">
            <v>1001+3;1002+10;901001+1;</v>
          </cell>
          <cell r="T40" t="str">
            <v>11900,1</v>
          </cell>
        </row>
        <row r="41">
          <cell r="A41">
            <v>42</v>
          </cell>
          <cell r="B41" t="str">
            <v>葛有方</v>
          </cell>
          <cell r="C41" t="str">
            <v>1300026;</v>
          </cell>
        </row>
        <row r="41">
          <cell r="F41">
            <v>2</v>
          </cell>
          <cell r="G41">
            <v>0</v>
          </cell>
          <cell r="H41">
            <v>1</v>
          </cell>
          <cell r="I41">
            <v>1</v>
          </cell>
          <cell r="J41" t="b">
            <v>1</v>
          </cell>
          <cell r="K41">
            <v>1007</v>
          </cell>
          <cell r="L41">
            <v>-6.34</v>
          </cell>
          <cell r="M41">
            <v>-7.69</v>
          </cell>
          <cell r="N41">
            <v>0</v>
          </cell>
          <cell r="O41" t="str">
            <v>0</v>
          </cell>
          <cell r="P41" t="str">
            <v>0.34,-7.68;</v>
          </cell>
          <cell r="Q41">
            <v>13000</v>
          </cell>
          <cell r="R41">
            <v>0</v>
          </cell>
          <cell r="S41" t="str">
            <v>1001+3;1002+10;</v>
          </cell>
          <cell r="T41" t="str">
            <v>11900,1</v>
          </cell>
        </row>
        <row r="42">
          <cell r="A42">
            <v>43</v>
          </cell>
          <cell r="B42" t="str">
            <v>亥字高手</v>
          </cell>
          <cell r="C42" t="str">
            <v>1300027;</v>
          </cell>
        </row>
        <row r="42">
          <cell r="F42">
            <v>2</v>
          </cell>
          <cell r="G42">
            <v>0</v>
          </cell>
          <cell r="H42">
            <v>1</v>
          </cell>
          <cell r="I42">
            <v>1</v>
          </cell>
          <cell r="J42" t="b">
            <v>0</v>
          </cell>
          <cell r="K42">
            <v>1008</v>
          </cell>
          <cell r="L42">
            <v>-6.34</v>
          </cell>
          <cell r="M42">
            <v>-7.69</v>
          </cell>
          <cell r="N42">
            <v>0</v>
          </cell>
          <cell r="O42" t="str">
            <v>0</v>
          </cell>
          <cell r="P42" t="str">
            <v>0.34,-7.68;</v>
          </cell>
          <cell r="Q42">
            <v>13000</v>
          </cell>
          <cell r="R42">
            <v>0</v>
          </cell>
          <cell r="S42" t="str">
            <v>1001+3;1002+10;</v>
          </cell>
          <cell r="T42" t="str">
            <v>11900,1</v>
          </cell>
        </row>
        <row r="43">
          <cell r="A43">
            <v>44</v>
          </cell>
          <cell r="B43" t="str">
            <v>武痴</v>
          </cell>
          <cell r="C43" t="str">
            <v>1300028;</v>
          </cell>
        </row>
        <row r="43">
          <cell r="F43">
            <v>2</v>
          </cell>
          <cell r="G43">
            <v>0</v>
          </cell>
          <cell r="H43">
            <v>1</v>
          </cell>
          <cell r="I43">
            <v>1</v>
          </cell>
          <cell r="J43" t="b">
            <v>0</v>
          </cell>
          <cell r="K43">
            <v>1008</v>
          </cell>
          <cell r="L43">
            <v>-6.34</v>
          </cell>
          <cell r="M43">
            <v>-7.69</v>
          </cell>
          <cell r="N43">
            <v>0</v>
          </cell>
          <cell r="O43" t="str">
            <v>0</v>
          </cell>
          <cell r="P43" t="str">
            <v>0.34,-7.68;</v>
          </cell>
          <cell r="Q43">
            <v>13000</v>
          </cell>
          <cell r="R43">
            <v>0</v>
          </cell>
          <cell r="S43" t="str">
            <v>1001+3;1002+10;</v>
          </cell>
          <cell r="T43" t="str">
            <v>11900,1</v>
          </cell>
        </row>
        <row r="44">
          <cell r="A44">
            <v>45</v>
          </cell>
          <cell r="B44" t="str">
            <v>疯人</v>
          </cell>
          <cell r="C44" t="str">
            <v>1300029;</v>
          </cell>
        </row>
        <row r="44">
          <cell r="F44">
            <v>2</v>
          </cell>
          <cell r="G44">
            <v>0</v>
          </cell>
          <cell r="H44">
            <v>1</v>
          </cell>
          <cell r="I44">
            <v>1</v>
          </cell>
          <cell r="J44" t="b">
            <v>0</v>
          </cell>
          <cell r="K44">
            <v>1008</v>
          </cell>
          <cell r="L44">
            <v>-6.34</v>
          </cell>
          <cell r="M44">
            <v>-7.69</v>
          </cell>
          <cell r="N44">
            <v>0</v>
          </cell>
          <cell r="O44" t="str">
            <v>0</v>
          </cell>
          <cell r="P44" t="str">
            <v>0.34,-7.68;</v>
          </cell>
          <cell r="Q44">
            <v>13000</v>
          </cell>
          <cell r="R44">
            <v>0</v>
          </cell>
          <cell r="S44" t="str">
            <v>1001+3;1002+10;</v>
          </cell>
          <cell r="T44" t="str">
            <v>11900,1</v>
          </cell>
        </row>
        <row r="45">
          <cell r="A45">
            <v>46</v>
          </cell>
          <cell r="B45" t="str">
            <v>南宫侍女</v>
          </cell>
          <cell r="C45" t="str">
            <v>1300030;1300037;1300038;</v>
          </cell>
        </row>
        <row r="45">
          <cell r="F45">
            <v>2</v>
          </cell>
          <cell r="G45">
            <v>0</v>
          </cell>
          <cell r="H45">
            <v>1</v>
          </cell>
          <cell r="I45">
            <v>1</v>
          </cell>
          <cell r="J45" t="b">
            <v>0</v>
          </cell>
          <cell r="K45">
            <v>1007</v>
          </cell>
          <cell r="L45">
            <v>-6.34</v>
          </cell>
          <cell r="M45">
            <v>-7.69</v>
          </cell>
          <cell r="N45">
            <v>0</v>
          </cell>
          <cell r="O45" t="str">
            <v>0</v>
          </cell>
          <cell r="P45" t="str">
            <v>0.362,-5.65;
1.743,-5.48;
0.34,-7.68;</v>
          </cell>
          <cell r="Q45">
            <v>13000</v>
          </cell>
          <cell r="R45">
            <v>0</v>
          </cell>
          <cell r="S45" t="str">
            <v>1001+3;1002+10;901001+1;</v>
          </cell>
          <cell r="T45" t="str">
            <v>11900,1</v>
          </cell>
        </row>
        <row r="46">
          <cell r="A46">
            <v>47</v>
          </cell>
          <cell r="B46" t="str">
            <v>南宫莲</v>
          </cell>
          <cell r="C46" t="str">
            <v>1300031;</v>
          </cell>
        </row>
        <row r="46">
          <cell r="F46">
            <v>2</v>
          </cell>
          <cell r="G46">
            <v>0</v>
          </cell>
          <cell r="H46">
            <v>1</v>
          </cell>
          <cell r="I46">
            <v>1</v>
          </cell>
          <cell r="J46" t="b">
            <v>0</v>
          </cell>
          <cell r="K46">
            <v>1007</v>
          </cell>
          <cell r="L46">
            <v>-6.34</v>
          </cell>
          <cell r="M46">
            <v>-7.69</v>
          </cell>
          <cell r="N46">
            <v>0</v>
          </cell>
          <cell r="O46" t="str">
            <v>0</v>
          </cell>
          <cell r="P46" t="str">
            <v>0.34,-7.68;</v>
          </cell>
          <cell r="Q46">
            <v>13000</v>
          </cell>
          <cell r="R46">
            <v>0</v>
          </cell>
          <cell r="S46" t="str">
            <v>1001+3;1002+10;901101+1;908034+1;</v>
          </cell>
          <cell r="T46" t="str">
            <v>11900,1</v>
          </cell>
        </row>
        <row r="47">
          <cell r="A47">
            <v>48</v>
          </cell>
          <cell r="B47" t="str">
            <v>山间野兽</v>
          </cell>
          <cell r="C47" t="str">
            <v>1300035;1300035;</v>
          </cell>
        </row>
        <row r="47">
          <cell r="F47">
            <v>3</v>
          </cell>
          <cell r="G47">
            <v>0</v>
          </cell>
          <cell r="H47">
            <v>1</v>
          </cell>
          <cell r="I47">
            <v>1</v>
          </cell>
          <cell r="J47" t="b">
            <v>0</v>
          </cell>
          <cell r="K47">
            <v>1006</v>
          </cell>
          <cell r="L47">
            <v>-6.34</v>
          </cell>
          <cell r="M47">
            <v>-7.69</v>
          </cell>
          <cell r="N47">
            <v>0</v>
          </cell>
          <cell r="O47" t="str">
            <v>0</v>
          </cell>
          <cell r="P47" t="str">
            <v>0.362,-5.65;
0.34,-7.68;</v>
          </cell>
          <cell r="Q47">
            <v>13000</v>
          </cell>
          <cell r="R47">
            <v>60</v>
          </cell>
          <cell r="S47" t="str">
            <v>1001+3;1002+10;901001+1;</v>
          </cell>
          <cell r="T47" t="str">
            <v>11900,1</v>
          </cell>
        </row>
        <row r="48">
          <cell r="A48">
            <v>49</v>
          </cell>
          <cell r="B48" t="str">
            <v>西门家仆</v>
          </cell>
          <cell r="C48" t="str">
            <v>1300022;1300021;</v>
          </cell>
        </row>
        <row r="48">
          <cell r="F48">
            <v>3</v>
          </cell>
          <cell r="G48">
            <v>0</v>
          </cell>
          <cell r="H48">
            <v>1</v>
          </cell>
          <cell r="I48">
            <v>1</v>
          </cell>
          <cell r="J48" t="b">
            <v>0</v>
          </cell>
          <cell r="K48">
            <v>0</v>
          </cell>
          <cell r="L48">
            <v>-6.34</v>
          </cell>
          <cell r="M48">
            <v>-7.69</v>
          </cell>
          <cell r="N48">
            <v>0</v>
          </cell>
          <cell r="O48" t="str">
            <v>0</v>
          </cell>
          <cell r="P48" t="str">
            <v>0.362,-5.65;
0.34,-7.68;</v>
          </cell>
          <cell r="Q48">
            <v>13000</v>
          </cell>
          <cell r="R48">
            <v>60</v>
          </cell>
          <cell r="S48" t="str">
            <v>1001+3;1002+10;901001+1;</v>
          </cell>
          <cell r="T48" t="str">
            <v>11900,1</v>
          </cell>
        </row>
        <row r="49">
          <cell r="A49">
            <v>50</v>
          </cell>
          <cell r="B49" t="str">
            <v>东市无赖</v>
          </cell>
          <cell r="C49" t="str">
            <v>1300005;1300034;</v>
          </cell>
        </row>
        <row r="49">
          <cell r="F49">
            <v>3</v>
          </cell>
          <cell r="G49">
            <v>0</v>
          </cell>
          <cell r="H49">
            <v>1</v>
          </cell>
          <cell r="I49">
            <v>1</v>
          </cell>
          <cell r="J49" t="b">
            <v>0</v>
          </cell>
          <cell r="K49">
            <v>0</v>
          </cell>
          <cell r="L49">
            <v>-6.34</v>
          </cell>
          <cell r="M49">
            <v>-7.69</v>
          </cell>
          <cell r="N49">
            <v>0</v>
          </cell>
          <cell r="O49" t="str">
            <v>0</v>
          </cell>
          <cell r="P49" t="str">
            <v>0.362,-5.65;
0.34,-7.68;</v>
          </cell>
          <cell r="Q49">
            <v>13000</v>
          </cell>
          <cell r="R49">
            <v>60</v>
          </cell>
          <cell r="S49" t="str">
            <v>1001+3;1002+10;901001+1;908049+1;</v>
          </cell>
          <cell r="T49" t="str">
            <v>11900,1</v>
          </cell>
        </row>
        <row r="50">
          <cell r="A50">
            <v>51</v>
          </cell>
          <cell r="B50" t="str">
            <v>山间野兽</v>
          </cell>
          <cell r="C50" t="str">
            <v>1300034;1300035;</v>
          </cell>
        </row>
        <row r="50">
          <cell r="F50">
            <v>3</v>
          </cell>
          <cell r="G50">
            <v>0</v>
          </cell>
          <cell r="H50">
            <v>1</v>
          </cell>
          <cell r="I50">
            <v>1</v>
          </cell>
          <cell r="J50" t="b">
            <v>0</v>
          </cell>
          <cell r="K50">
            <v>0</v>
          </cell>
          <cell r="L50">
            <v>-6.34</v>
          </cell>
          <cell r="M50">
            <v>-7.69</v>
          </cell>
          <cell r="N50">
            <v>0</v>
          </cell>
          <cell r="O50" t="str">
            <v>0</v>
          </cell>
          <cell r="P50" t="str">
            <v>0.362,-5.65;
0.34,-7.68;</v>
          </cell>
          <cell r="Q50">
            <v>13000</v>
          </cell>
          <cell r="R50">
            <v>60</v>
          </cell>
          <cell r="S50" t="str">
            <v>1001+3;1002+10;901101+2;</v>
          </cell>
          <cell r="T50" t="str">
            <v>11900,1</v>
          </cell>
        </row>
        <row r="51">
          <cell r="A51">
            <v>52</v>
          </cell>
          <cell r="B51" t="str">
            <v>山间野兽</v>
          </cell>
          <cell r="C51" t="str">
            <v>1300035;1300034;1300035;</v>
          </cell>
        </row>
        <row r="51">
          <cell r="F51">
            <v>3</v>
          </cell>
          <cell r="G51">
            <v>0</v>
          </cell>
          <cell r="H51">
            <v>1</v>
          </cell>
          <cell r="I51">
            <v>1</v>
          </cell>
          <cell r="J51" t="b">
            <v>0</v>
          </cell>
          <cell r="K51">
            <v>0</v>
          </cell>
          <cell r="L51">
            <v>-6.34</v>
          </cell>
          <cell r="M51">
            <v>-7.69</v>
          </cell>
          <cell r="N51">
            <v>0</v>
          </cell>
          <cell r="O51" t="str">
            <v>0</v>
          </cell>
          <cell r="P51" t="str">
            <v>0.362,-5.65;
1.743,-5.48;
0.34,-7.68;</v>
          </cell>
          <cell r="Q51">
            <v>13000</v>
          </cell>
          <cell r="R51">
            <v>60</v>
          </cell>
          <cell r="S51" t="str">
            <v>1001+3;1002+10;901001+1;</v>
          </cell>
          <cell r="T51" t="str">
            <v>11900,1</v>
          </cell>
        </row>
        <row r="52">
          <cell r="A52">
            <v>53</v>
          </cell>
          <cell r="B52" t="str">
            <v>山贼前哨</v>
          </cell>
          <cell r="C52" t="str">
            <v>1200013;1200014;1200011;</v>
          </cell>
        </row>
        <row r="52">
          <cell r="F52">
            <v>2</v>
          </cell>
          <cell r="G52">
            <v>0</v>
          </cell>
          <cell r="H52">
            <v>1</v>
          </cell>
          <cell r="I52">
            <v>1</v>
          </cell>
          <cell r="J52" t="b">
            <v>0</v>
          </cell>
          <cell r="K52">
            <v>1004</v>
          </cell>
          <cell r="L52">
            <v>-6.34</v>
          </cell>
          <cell r="M52">
            <v>-7.69</v>
          </cell>
          <cell r="N52">
            <v>0</v>
          </cell>
          <cell r="O52" t="str">
            <v>0</v>
          </cell>
          <cell r="P52" t="str">
            <v>0.362,-5.65;
0.34,-7.68;</v>
          </cell>
          <cell r="Q52">
            <v>12000</v>
          </cell>
          <cell r="R52">
            <v>0</v>
          </cell>
          <cell r="S52" t="str">
            <v>1001+0;1002+5;901001+1;908096+1;</v>
          </cell>
          <cell r="T52" t="str">
            <v>11900,1</v>
          </cell>
        </row>
        <row r="53">
          <cell r="A53">
            <v>9999</v>
          </cell>
          <cell r="B53" t="str">
            <v>测试木人</v>
          </cell>
          <cell r="C53" t="str">
            <v>1000001;</v>
          </cell>
        </row>
        <row r="53">
          <cell r="F53">
            <v>4</v>
          </cell>
          <cell r="G53">
            <v>0</v>
          </cell>
          <cell r="H53">
            <v>1</v>
          </cell>
          <cell r="I53">
            <v>1</v>
          </cell>
          <cell r="J53" t="b">
            <v>1</v>
          </cell>
          <cell r="K53">
            <v>1019</v>
          </cell>
          <cell r="L53">
            <v>-6.34</v>
          </cell>
          <cell r="M53">
            <v>-7.69</v>
          </cell>
          <cell r="N53">
            <v>0</v>
          </cell>
          <cell r="O53" t="str">
            <v>0</v>
          </cell>
          <cell r="P53" t="str">
            <v>0.362,-5.65;</v>
          </cell>
          <cell r="Q53">
            <v>12000</v>
          </cell>
          <cell r="R53">
            <v>0</v>
          </cell>
          <cell r="S53" t="str">
            <v>1001+0;1002+5;</v>
          </cell>
          <cell r="T53">
            <v>0</v>
          </cell>
        </row>
        <row r="54">
          <cell r="A54">
            <v>54</v>
          </cell>
          <cell r="B54" t="str">
            <v>山贼前哨</v>
          </cell>
          <cell r="C54" t="str">
            <v>1200015;1200017;1200011;1200135;</v>
          </cell>
        </row>
        <row r="54">
          <cell r="F54">
            <v>2</v>
          </cell>
          <cell r="G54">
            <v>0</v>
          </cell>
          <cell r="H54">
            <v>1</v>
          </cell>
          <cell r="I54">
            <v>1</v>
          </cell>
          <cell r="J54" t="b">
            <v>0</v>
          </cell>
          <cell r="K54">
            <v>1002</v>
          </cell>
          <cell r="L54">
            <v>-6.34</v>
          </cell>
          <cell r="M54">
            <v>-7.69</v>
          </cell>
          <cell r="N54">
            <v>0</v>
          </cell>
          <cell r="O54" t="str">
            <v>0</v>
          </cell>
          <cell r="P54" t="str">
            <v>0.362,-5.65;
0.34,-7.68;</v>
          </cell>
          <cell r="Q54">
            <v>12000</v>
          </cell>
          <cell r="R54">
            <v>0</v>
          </cell>
          <cell r="S54" t="str">
            <v>1001+0;1002+5;901001+1;908097+1;</v>
          </cell>
          <cell r="T54" t="str">
            <v>11900,1</v>
          </cell>
        </row>
        <row r="55">
          <cell r="A55">
            <v>55</v>
          </cell>
          <cell r="B55" t="str">
            <v>山贼前哨</v>
          </cell>
          <cell r="C55" t="str">
            <v>1200012;1200014;1200135;1200016;</v>
          </cell>
        </row>
        <row r="55">
          <cell r="F55">
            <v>2</v>
          </cell>
          <cell r="G55">
            <v>0</v>
          </cell>
          <cell r="H55">
            <v>1</v>
          </cell>
          <cell r="I55">
            <v>1</v>
          </cell>
          <cell r="J55" t="b">
            <v>0</v>
          </cell>
          <cell r="K55">
            <v>1002</v>
          </cell>
          <cell r="L55">
            <v>-6.34</v>
          </cell>
          <cell r="M55">
            <v>-7.69</v>
          </cell>
          <cell r="N55">
            <v>0</v>
          </cell>
          <cell r="O55" t="str">
            <v>0</v>
          </cell>
          <cell r="P55" t="str">
            <v>1.362,-5.65;
3.743,-5.67;</v>
          </cell>
          <cell r="Q55">
            <v>12000</v>
          </cell>
          <cell r="R55">
            <v>0</v>
          </cell>
          <cell r="S55" t="str">
            <v>1001+0;1002+5;901100+1;908092+1;</v>
          </cell>
          <cell r="T55" t="str">
            <v>11900,1</v>
          </cell>
        </row>
        <row r="56">
          <cell r="A56">
            <v>56</v>
          </cell>
          <cell r="B56" t="str">
            <v>疯癔之人</v>
          </cell>
          <cell r="C56" t="str">
            <v>1200019;</v>
          </cell>
        </row>
        <row r="56">
          <cell r="F56">
            <v>2</v>
          </cell>
          <cell r="G56">
            <v>0</v>
          </cell>
          <cell r="H56">
            <v>1</v>
          </cell>
          <cell r="I56">
            <v>1</v>
          </cell>
          <cell r="J56" t="b">
            <v>0</v>
          </cell>
          <cell r="K56">
            <v>1003</v>
          </cell>
          <cell r="L56">
            <v>-6.34</v>
          </cell>
          <cell r="M56">
            <v>-7.69</v>
          </cell>
          <cell r="N56">
            <v>0</v>
          </cell>
          <cell r="O56" t="str">
            <v>0</v>
          </cell>
          <cell r="P56" t="str">
            <v>1.362,-5.65;</v>
          </cell>
          <cell r="Q56">
            <v>12000</v>
          </cell>
          <cell r="R56">
            <v>0</v>
          </cell>
          <cell r="S56" t="str">
            <v>1001+0;1002+5;</v>
          </cell>
          <cell r="T56" t="str">
            <v>11900,1</v>
          </cell>
        </row>
        <row r="57">
          <cell r="A57">
            <v>57</v>
          </cell>
          <cell r="B57" t="str">
            <v>山间野兽</v>
          </cell>
          <cell r="C57" t="str">
            <v>1300035;1300035;</v>
          </cell>
        </row>
        <row r="57">
          <cell r="F57">
            <v>2</v>
          </cell>
          <cell r="G57">
            <v>0</v>
          </cell>
          <cell r="H57">
            <v>1</v>
          </cell>
          <cell r="I57">
            <v>1</v>
          </cell>
          <cell r="J57" t="b">
            <v>0</v>
          </cell>
          <cell r="K57">
            <v>1003</v>
          </cell>
          <cell r="L57">
            <v>-6.34</v>
          </cell>
          <cell r="M57">
            <v>-7.69</v>
          </cell>
          <cell r="N57">
            <v>0</v>
          </cell>
          <cell r="O57" t="str">
            <v>0</v>
          </cell>
          <cell r="P57" t="str">
            <v>1.362,-5.65;
3.743,-5.67;</v>
          </cell>
          <cell r="Q57">
            <v>14000</v>
          </cell>
          <cell r="R57">
            <v>0</v>
          </cell>
          <cell r="S57" t="str">
            <v>1001+12;1002+20;901002+1;</v>
          </cell>
          <cell r="T57" t="str">
            <v>11900,1</v>
          </cell>
        </row>
        <row r="58">
          <cell r="A58">
            <v>58</v>
          </cell>
          <cell r="B58" t="str">
            <v>心魔</v>
          </cell>
          <cell r="C58" t="str">
            <v>1400001;</v>
          </cell>
        </row>
        <row r="58">
          <cell r="F58">
            <v>2</v>
          </cell>
          <cell r="G58">
            <v>0</v>
          </cell>
          <cell r="H58">
            <v>1</v>
          </cell>
          <cell r="I58">
            <v>1</v>
          </cell>
          <cell r="J58" t="b">
            <v>0</v>
          </cell>
          <cell r="K58">
            <v>1013</v>
          </cell>
          <cell r="L58">
            <v>-6.34</v>
          </cell>
          <cell r="M58">
            <v>-7.69</v>
          </cell>
          <cell r="N58">
            <v>0</v>
          </cell>
          <cell r="O58" t="str">
            <v>0</v>
          </cell>
          <cell r="P58" t="str">
            <v>1.362,-5.65;</v>
          </cell>
          <cell r="Q58">
            <v>14000</v>
          </cell>
          <cell r="R58">
            <v>0</v>
          </cell>
          <cell r="S58" t="str">
            <v>1001+12;1002+20;</v>
          </cell>
          <cell r="T58" t="str">
            <v>11900,1</v>
          </cell>
        </row>
        <row r="59">
          <cell r="A59">
            <v>59</v>
          </cell>
          <cell r="B59" t="str">
            <v>神秘道人</v>
          </cell>
          <cell r="C59" t="str">
            <v>1400002;</v>
          </cell>
        </row>
        <row r="59">
          <cell r="F59">
            <v>2</v>
          </cell>
          <cell r="G59">
            <v>0</v>
          </cell>
          <cell r="H59">
            <v>1</v>
          </cell>
          <cell r="I59">
            <v>1</v>
          </cell>
          <cell r="J59" t="b">
            <v>0</v>
          </cell>
          <cell r="K59">
            <v>1012</v>
          </cell>
          <cell r="L59">
            <v>-6.34</v>
          </cell>
          <cell r="M59">
            <v>-7.69</v>
          </cell>
          <cell r="N59">
            <v>0</v>
          </cell>
          <cell r="O59" t="str">
            <v>0</v>
          </cell>
          <cell r="P59" t="str">
            <v>1.362,-5.65;</v>
          </cell>
          <cell r="Q59">
            <v>14000</v>
          </cell>
          <cell r="R59">
            <v>0</v>
          </cell>
          <cell r="S59" t="str">
            <v>1001+12;1002+20;901102+1;907014+1;</v>
          </cell>
          <cell r="T59" t="str">
            <v>11900,1</v>
          </cell>
        </row>
        <row r="60">
          <cell r="A60">
            <v>60</v>
          </cell>
          <cell r="B60" t="str">
            <v>赌场混混</v>
          </cell>
          <cell r="C60" t="str">
            <v>1400003;1400004;</v>
          </cell>
        </row>
        <row r="60">
          <cell r="F60">
            <v>2</v>
          </cell>
          <cell r="G60">
            <v>0</v>
          </cell>
          <cell r="H60">
            <v>1</v>
          </cell>
          <cell r="I60">
            <v>1</v>
          </cell>
          <cell r="J60" t="b">
            <v>0</v>
          </cell>
          <cell r="K60">
            <v>1001</v>
          </cell>
          <cell r="L60">
            <v>-6.34</v>
          </cell>
          <cell r="M60">
            <v>-7.69</v>
          </cell>
          <cell r="N60">
            <v>0</v>
          </cell>
          <cell r="O60" t="str">
            <v>0</v>
          </cell>
          <cell r="P60" t="str">
            <v>1.362,-5.65;
3.743,-5.67;</v>
          </cell>
          <cell r="Q60">
            <v>14000</v>
          </cell>
          <cell r="R60">
            <v>0</v>
          </cell>
          <cell r="S60" t="str">
            <v>1001+12;1002+20;901002+1;908031+1;</v>
          </cell>
          <cell r="T60" t="str">
            <v>11900,1</v>
          </cell>
        </row>
        <row r="61">
          <cell r="A61">
            <v>61</v>
          </cell>
          <cell r="B61" t="str">
            <v>常服道人</v>
          </cell>
          <cell r="C61" t="str">
            <v>1400005;</v>
          </cell>
        </row>
        <row r="61">
          <cell r="F61">
            <v>2</v>
          </cell>
          <cell r="G61">
            <v>0</v>
          </cell>
          <cell r="H61">
            <v>1</v>
          </cell>
          <cell r="I61">
            <v>1</v>
          </cell>
          <cell r="J61" t="b">
            <v>0</v>
          </cell>
          <cell r="K61">
            <v>1012</v>
          </cell>
          <cell r="L61">
            <v>-6.34</v>
          </cell>
          <cell r="M61">
            <v>-7.69</v>
          </cell>
          <cell r="N61">
            <v>0</v>
          </cell>
          <cell r="O61" t="str">
            <v>0</v>
          </cell>
          <cell r="P61" t="str">
            <v>1.362,-5.65;</v>
          </cell>
          <cell r="Q61">
            <v>14000</v>
          </cell>
          <cell r="R61">
            <v>0</v>
          </cell>
          <cell r="S61" t="str">
            <v>1001+12;1002+20;901102+1;908048+1;</v>
          </cell>
          <cell r="T61" t="str">
            <v>11900,1</v>
          </cell>
        </row>
        <row r="62">
          <cell r="A62">
            <v>62</v>
          </cell>
          <cell r="B62" t="str">
            <v>护卫首领</v>
          </cell>
          <cell r="C62" t="str">
            <v>1400008;1400009;</v>
          </cell>
        </row>
        <row r="62">
          <cell r="F62">
            <v>2</v>
          </cell>
          <cell r="G62">
            <v>0</v>
          </cell>
          <cell r="H62">
            <v>1</v>
          </cell>
          <cell r="I62">
            <v>1</v>
          </cell>
          <cell r="J62" t="b">
            <v>0</v>
          </cell>
          <cell r="K62">
            <v>1012</v>
          </cell>
          <cell r="L62">
            <v>-6.34</v>
          </cell>
          <cell r="M62">
            <v>-7.69</v>
          </cell>
          <cell r="N62">
            <v>0</v>
          </cell>
          <cell r="O62" t="str">
            <v>0</v>
          </cell>
          <cell r="P62" t="str">
            <v>1.362,-5.65;
3.743,-5.67;</v>
          </cell>
          <cell r="Q62">
            <v>14000</v>
          </cell>
          <cell r="R62">
            <v>0</v>
          </cell>
          <cell r="S62" t="str">
            <v>1001+12;1002+20;</v>
          </cell>
          <cell r="T62" t="str">
            <v>11900,1</v>
          </cell>
        </row>
        <row r="63">
          <cell r="A63">
            <v>63</v>
          </cell>
          <cell r="B63" t="str">
            <v>持械甲士</v>
          </cell>
          <cell r="C63" t="str">
            <v>1400010;1400011;</v>
          </cell>
        </row>
        <row r="63">
          <cell r="F63">
            <v>2</v>
          </cell>
          <cell r="G63">
            <v>0</v>
          </cell>
          <cell r="H63">
            <v>1</v>
          </cell>
          <cell r="I63">
            <v>1</v>
          </cell>
          <cell r="J63" t="b">
            <v>0</v>
          </cell>
          <cell r="K63">
            <v>1012</v>
          </cell>
          <cell r="L63">
            <v>-6.34</v>
          </cell>
          <cell r="M63">
            <v>-7.69</v>
          </cell>
          <cell r="N63">
            <v>0</v>
          </cell>
          <cell r="O63" t="str">
            <v>0</v>
          </cell>
          <cell r="P63" t="str">
            <v>0.362,-5.65;
3.302,-6.05;</v>
          </cell>
          <cell r="Q63">
            <v>14000</v>
          </cell>
          <cell r="R63">
            <v>0</v>
          </cell>
          <cell r="S63" t="str">
            <v>1001+12;1002+20;907009+1;</v>
          </cell>
          <cell r="T63" t="str">
            <v>11900,1</v>
          </cell>
        </row>
        <row r="64">
          <cell r="A64">
            <v>64</v>
          </cell>
          <cell r="B64" t="str">
            <v>持械甲士</v>
          </cell>
          <cell r="C64" t="str">
            <v>1400012;1400012;1400012;</v>
          </cell>
        </row>
        <row r="64">
          <cell r="F64">
            <v>2</v>
          </cell>
          <cell r="G64">
            <v>0</v>
          </cell>
          <cell r="H64">
            <v>1</v>
          </cell>
          <cell r="I64">
            <v>1</v>
          </cell>
          <cell r="J64" t="b">
            <v>0</v>
          </cell>
          <cell r="K64">
            <v>1012</v>
          </cell>
          <cell r="L64">
            <v>-6.34</v>
          </cell>
          <cell r="M64">
            <v>-7.69</v>
          </cell>
          <cell r="N64">
            <v>0</v>
          </cell>
          <cell r="O64" t="str">
            <v>0</v>
          </cell>
          <cell r="P64" t="str">
            <v>7.44,-6.96;
3.45,-5.74;
3.45,-7.95;</v>
          </cell>
          <cell r="Q64">
            <v>14000</v>
          </cell>
          <cell r="R64">
            <v>0</v>
          </cell>
          <cell r="S64" t="str">
            <v>1001+12;1002+20;</v>
          </cell>
          <cell r="T64" t="str">
            <v>11900,1</v>
          </cell>
        </row>
        <row r="65">
          <cell r="A65">
            <v>65</v>
          </cell>
          <cell r="B65" t="str">
            <v>蒙面甲士</v>
          </cell>
          <cell r="C65" t="str">
            <v>1400013;1400014;</v>
          </cell>
        </row>
        <row r="65">
          <cell r="F65">
            <v>2</v>
          </cell>
          <cell r="G65">
            <v>0</v>
          </cell>
          <cell r="H65">
            <v>1</v>
          </cell>
          <cell r="I65">
            <v>1</v>
          </cell>
          <cell r="J65" t="b">
            <v>0</v>
          </cell>
          <cell r="K65">
            <v>1012</v>
          </cell>
          <cell r="L65">
            <v>-6.34</v>
          </cell>
          <cell r="M65">
            <v>-7.69</v>
          </cell>
          <cell r="N65">
            <v>0</v>
          </cell>
          <cell r="O65" t="str">
            <v>0</v>
          </cell>
          <cell r="P65" t="str">
            <v>1.362,-5.65;
3.743,-5.67;</v>
          </cell>
          <cell r="Q65">
            <v>14000</v>
          </cell>
          <cell r="R65">
            <v>0</v>
          </cell>
          <cell r="S65" t="str">
            <v>1001+12;1002+20;</v>
          </cell>
          <cell r="T65" t="str">
            <v>11900,1</v>
          </cell>
        </row>
        <row r="66">
          <cell r="A66">
            <v>66</v>
          </cell>
          <cell r="B66" t="str">
            <v>太和弟子</v>
          </cell>
          <cell r="C66" t="str">
            <v>1400015;1400016;</v>
          </cell>
        </row>
        <row r="66">
          <cell r="F66">
            <v>2</v>
          </cell>
          <cell r="G66">
            <v>0</v>
          </cell>
          <cell r="H66">
            <v>1</v>
          </cell>
          <cell r="I66">
            <v>1</v>
          </cell>
          <cell r="J66" t="b">
            <v>0</v>
          </cell>
          <cell r="K66">
            <v>1012</v>
          </cell>
          <cell r="L66">
            <v>-6.34</v>
          </cell>
          <cell r="M66">
            <v>-7.69</v>
          </cell>
          <cell r="N66">
            <v>0</v>
          </cell>
          <cell r="O66" t="str">
            <v>0</v>
          </cell>
          <cell r="P66" t="str">
            <v>0.362,-5.65;
3.302,-6.05;</v>
          </cell>
          <cell r="Q66">
            <v>14000</v>
          </cell>
          <cell r="R66">
            <v>0</v>
          </cell>
          <cell r="S66" t="str">
            <v>1001+12;1002+20;901002+1;</v>
          </cell>
          <cell r="T66" t="str">
            <v>11900,1</v>
          </cell>
        </row>
        <row r="67">
          <cell r="A67">
            <v>67</v>
          </cell>
          <cell r="B67" t="str">
            <v>龙虎道人</v>
          </cell>
          <cell r="C67" t="str">
            <v>1400006;1400007;</v>
          </cell>
        </row>
        <row r="67">
          <cell r="F67">
            <v>2</v>
          </cell>
          <cell r="G67">
            <v>0</v>
          </cell>
          <cell r="H67">
            <v>1</v>
          </cell>
          <cell r="I67">
            <v>1</v>
          </cell>
          <cell r="J67" t="b">
            <v>0</v>
          </cell>
          <cell r="K67">
            <v>1012</v>
          </cell>
          <cell r="L67">
            <v>-6.34</v>
          </cell>
          <cell r="M67">
            <v>-7.69</v>
          </cell>
          <cell r="N67">
            <v>0</v>
          </cell>
          <cell r="O67" t="str">
            <v>0</v>
          </cell>
          <cell r="P67" t="str">
            <v>1.362,-5.65;
3.743,-5.67;</v>
          </cell>
          <cell r="Q67">
            <v>14000</v>
          </cell>
          <cell r="R67">
            <v>0</v>
          </cell>
          <cell r="S67" t="str">
            <v>1001+12;1002+20;901102+1;908031+1;</v>
          </cell>
          <cell r="T67" t="str">
            <v>11900,1</v>
          </cell>
        </row>
        <row r="68">
          <cell r="A68">
            <v>68</v>
          </cell>
          <cell r="B68" t="str">
            <v>山间野兽</v>
          </cell>
          <cell r="C68" t="str">
            <v>1300035;1300035;</v>
          </cell>
        </row>
        <row r="68">
          <cell r="F68">
            <v>3</v>
          </cell>
          <cell r="G68">
            <v>0</v>
          </cell>
          <cell r="H68">
            <v>1</v>
          </cell>
          <cell r="I68">
            <v>1</v>
          </cell>
          <cell r="J68" t="b">
            <v>0</v>
          </cell>
          <cell r="K68">
            <v>1010</v>
          </cell>
          <cell r="L68">
            <v>-6.34</v>
          </cell>
          <cell r="M68">
            <v>-7.69</v>
          </cell>
          <cell r="N68">
            <v>0</v>
          </cell>
          <cell r="O68" t="str">
            <v>0</v>
          </cell>
          <cell r="P68" t="str">
            <v>0.362,-5.65;
3.302,-6.05;</v>
          </cell>
          <cell r="Q68">
            <v>14000</v>
          </cell>
          <cell r="R68">
            <v>60</v>
          </cell>
          <cell r="S68" t="str">
            <v>1001+12;1002+20;</v>
          </cell>
          <cell r="T68" t="str">
            <v>11900,1</v>
          </cell>
        </row>
        <row r="69">
          <cell r="A69">
            <v>69</v>
          </cell>
          <cell r="B69" t="str">
            <v>东海浪人</v>
          </cell>
          <cell r="C69" t="str">
            <v>1500001;1500002;1500003;</v>
          </cell>
        </row>
        <row r="69">
          <cell r="F69">
            <v>2</v>
          </cell>
          <cell r="G69">
            <v>0</v>
          </cell>
          <cell r="H69">
            <v>1</v>
          </cell>
          <cell r="I69">
            <v>1</v>
          </cell>
          <cell r="J69" t="b">
            <v>0</v>
          </cell>
          <cell r="K69">
            <v>1011</v>
          </cell>
          <cell r="L69">
            <v>-6.34</v>
          </cell>
          <cell r="M69">
            <v>-7.69</v>
          </cell>
          <cell r="N69">
            <v>0</v>
          </cell>
          <cell r="O69" t="str">
            <v>0</v>
          </cell>
          <cell r="P69" t="str">
            <v>7.44,-6.96;
3.45,-5.74;
3.45,-7.95;</v>
          </cell>
          <cell r="Q69">
            <v>15000</v>
          </cell>
          <cell r="R69">
            <v>0</v>
          </cell>
          <cell r="S69" t="str">
            <v>1001+12;1002+20;908031+1;</v>
          </cell>
          <cell r="T69" t="str">
            <v>11900,1</v>
          </cell>
        </row>
        <row r="70">
          <cell r="A70">
            <v>70</v>
          </cell>
          <cell r="B70" t="str">
            <v>探花</v>
          </cell>
          <cell r="C70" t="str">
            <v>1500004;1500005;</v>
          </cell>
        </row>
        <row r="70">
          <cell r="F70">
            <v>2</v>
          </cell>
          <cell r="G70">
            <v>0</v>
          </cell>
          <cell r="H70">
            <v>1</v>
          </cell>
          <cell r="I70">
            <v>1</v>
          </cell>
          <cell r="J70" t="b">
            <v>0</v>
          </cell>
          <cell r="K70">
            <v>1011</v>
          </cell>
          <cell r="L70">
            <v>-6.34</v>
          </cell>
          <cell r="M70">
            <v>-7.69</v>
          </cell>
          <cell r="N70">
            <v>0</v>
          </cell>
          <cell r="O70" t="str">
            <v>0</v>
          </cell>
          <cell r="P70" t="str">
            <v>0.362,-5.65;
3.302,-6.05;</v>
          </cell>
          <cell r="Q70">
            <v>15000</v>
          </cell>
          <cell r="R70">
            <v>0</v>
          </cell>
          <cell r="S70" t="str">
            <v>1001+12;1002+20;901002+1;</v>
          </cell>
          <cell r="T70" t="str">
            <v>11900,1</v>
          </cell>
        </row>
        <row r="71">
          <cell r="A71">
            <v>71</v>
          </cell>
          <cell r="B71" t="str">
            <v>水寨刺客</v>
          </cell>
          <cell r="C71" t="str">
            <v>1500006;1500007;</v>
          </cell>
        </row>
        <row r="71">
          <cell r="F71">
            <v>2</v>
          </cell>
          <cell r="G71">
            <v>0</v>
          </cell>
          <cell r="H71">
            <v>1</v>
          </cell>
          <cell r="I71">
            <v>1</v>
          </cell>
          <cell r="J71" t="b">
            <v>0</v>
          </cell>
          <cell r="K71">
            <v>1011</v>
          </cell>
          <cell r="L71">
            <v>-6.34</v>
          </cell>
          <cell r="M71">
            <v>-7.69</v>
          </cell>
          <cell r="N71">
            <v>0</v>
          </cell>
          <cell r="O71" t="str">
            <v>0</v>
          </cell>
          <cell r="P71" t="str">
            <v>1.362,-5.65;
3.743,-5.67;</v>
          </cell>
          <cell r="Q71">
            <v>15000</v>
          </cell>
          <cell r="R71">
            <v>0</v>
          </cell>
          <cell r="S71" t="str">
            <v>1001+12;1002+20;901102+1;</v>
          </cell>
          <cell r="T71" t="str">
            <v>11900,1</v>
          </cell>
        </row>
        <row r="72">
          <cell r="A72">
            <v>72</v>
          </cell>
          <cell r="B72" t="str">
            <v>刀奴</v>
          </cell>
          <cell r="C72" t="str">
            <v>1500008;1500009;</v>
          </cell>
        </row>
        <row r="72">
          <cell r="F72">
            <v>2</v>
          </cell>
          <cell r="G72">
            <v>0</v>
          </cell>
          <cell r="H72">
            <v>1</v>
          </cell>
          <cell r="I72">
            <v>1</v>
          </cell>
          <cell r="J72" t="b">
            <v>0</v>
          </cell>
          <cell r="K72">
            <v>1011</v>
          </cell>
          <cell r="L72">
            <v>-6.34</v>
          </cell>
          <cell r="M72">
            <v>-7.69</v>
          </cell>
          <cell r="N72">
            <v>0</v>
          </cell>
          <cell r="O72" t="str">
            <v>0</v>
          </cell>
          <cell r="P72" t="str">
            <v>0.362,-5.65;
3.302,-6.05;</v>
          </cell>
          <cell r="Q72">
            <v>15000</v>
          </cell>
          <cell r="R72">
            <v>0</v>
          </cell>
          <cell r="S72" t="str">
            <v>1001+12;1002+20;</v>
          </cell>
          <cell r="T72" t="str">
            <v>11900,1</v>
          </cell>
        </row>
        <row r="73">
          <cell r="A73">
            <v>73</v>
          </cell>
          <cell r="B73" t="str">
            <v>拓跋笑</v>
          </cell>
          <cell r="C73" t="str">
            <v>1500010;</v>
          </cell>
        </row>
        <row r="73">
          <cell r="F73">
            <v>2</v>
          </cell>
          <cell r="G73">
            <v>0</v>
          </cell>
          <cell r="H73">
            <v>1</v>
          </cell>
          <cell r="I73">
            <v>1</v>
          </cell>
          <cell r="J73" t="b">
            <v>0</v>
          </cell>
          <cell r="K73">
            <v>1011</v>
          </cell>
          <cell r="L73">
            <v>-6.34</v>
          </cell>
          <cell r="M73">
            <v>-7.69</v>
          </cell>
          <cell r="N73">
            <v>0</v>
          </cell>
          <cell r="O73" t="str">
            <v>0</v>
          </cell>
          <cell r="P73" t="str">
            <v>1.362,-5.65;</v>
          </cell>
          <cell r="Q73">
            <v>15000</v>
          </cell>
          <cell r="R73">
            <v>0</v>
          </cell>
          <cell r="S73" t="str">
            <v>1001+12;1002+20;+1;</v>
          </cell>
          <cell r="T73" t="str">
            <v>11900,1</v>
          </cell>
        </row>
        <row r="74">
          <cell r="A74">
            <v>74</v>
          </cell>
          <cell r="B74" t="str">
            <v>明印</v>
          </cell>
          <cell r="C74" t="str">
            <v>1600001;</v>
          </cell>
        </row>
        <row r="74">
          <cell r="F74">
            <v>2</v>
          </cell>
          <cell r="G74">
            <v>0</v>
          </cell>
          <cell r="H74">
            <v>1</v>
          </cell>
          <cell r="I74">
            <v>1</v>
          </cell>
          <cell r="J74" t="b">
            <v>0</v>
          </cell>
          <cell r="K74">
            <v>1003</v>
          </cell>
          <cell r="L74">
            <v>-6.34</v>
          </cell>
          <cell r="M74">
            <v>-7.69</v>
          </cell>
          <cell r="N74">
            <v>0</v>
          </cell>
          <cell r="O74" t="str">
            <v>0</v>
          </cell>
          <cell r="P74" t="str">
            <v>1.362,-5.65;</v>
          </cell>
          <cell r="Q74">
            <v>16000</v>
          </cell>
          <cell r="R74">
            <v>0</v>
          </cell>
          <cell r="S74" t="str">
            <v>1001+7;1002+15;901001+1;</v>
          </cell>
          <cell r="T74" t="str">
            <v>11900,1</v>
          </cell>
        </row>
        <row r="75">
          <cell r="A75">
            <v>75</v>
          </cell>
          <cell r="B75" t="str">
            <v>玉箫楼打手</v>
          </cell>
          <cell r="C75" t="str">
            <v>1600002;1600003;</v>
          </cell>
        </row>
        <row r="75">
          <cell r="F75">
            <v>2</v>
          </cell>
          <cell r="G75">
            <v>0</v>
          </cell>
          <cell r="H75">
            <v>1</v>
          </cell>
          <cell r="I75">
            <v>1</v>
          </cell>
          <cell r="J75" t="b">
            <v>0</v>
          </cell>
          <cell r="K75">
            <v>1005</v>
          </cell>
          <cell r="L75">
            <v>-6.34</v>
          </cell>
          <cell r="M75">
            <v>-7.69</v>
          </cell>
          <cell r="N75">
            <v>0</v>
          </cell>
          <cell r="O75" t="str">
            <v>0</v>
          </cell>
          <cell r="P75" t="str">
            <v>0.362,-5.65;
3.302,-6.05;</v>
          </cell>
          <cell r="Q75">
            <v>16000</v>
          </cell>
          <cell r="R75">
            <v>0</v>
          </cell>
          <cell r="S75" t="str">
            <v>1001+7;1002+15;901101+1;</v>
          </cell>
          <cell r="T75" t="str">
            <v>11900,1</v>
          </cell>
        </row>
        <row r="76">
          <cell r="A76">
            <v>76</v>
          </cell>
          <cell r="B76" t="str">
            <v>官差</v>
          </cell>
          <cell r="C76" t="str">
            <v>1600004;1600005;</v>
          </cell>
        </row>
        <row r="76">
          <cell r="F76">
            <v>2</v>
          </cell>
          <cell r="G76">
            <v>0</v>
          </cell>
          <cell r="H76">
            <v>1</v>
          </cell>
          <cell r="I76">
            <v>1</v>
          </cell>
          <cell r="J76" t="b">
            <v>1</v>
          </cell>
          <cell r="K76">
            <v>1005</v>
          </cell>
          <cell r="L76">
            <v>-6.34</v>
          </cell>
          <cell r="M76">
            <v>-7.69</v>
          </cell>
          <cell r="N76">
            <v>0</v>
          </cell>
          <cell r="O76" t="str">
            <v>0</v>
          </cell>
          <cell r="P76" t="str">
            <v>1.362,-5.65;
3.743,-5.67;</v>
          </cell>
          <cell r="Q76">
            <v>16000</v>
          </cell>
          <cell r="R76">
            <v>0</v>
          </cell>
          <cell r="S76" t="str">
            <v>1001+7;1002+15;</v>
          </cell>
          <cell r="T76" t="str">
            <v>11900,1</v>
          </cell>
        </row>
        <row r="77">
          <cell r="A77">
            <v>77</v>
          </cell>
          <cell r="B77" t="str">
            <v>墨家老叟</v>
          </cell>
          <cell r="C77" t="str">
            <v>1600006;</v>
          </cell>
        </row>
        <row r="77">
          <cell r="F77">
            <v>2</v>
          </cell>
          <cell r="G77">
            <v>0</v>
          </cell>
          <cell r="H77">
            <v>1</v>
          </cell>
          <cell r="I77">
            <v>1</v>
          </cell>
          <cell r="J77" t="b">
            <v>0</v>
          </cell>
          <cell r="K77">
            <v>1010</v>
          </cell>
          <cell r="L77">
            <v>-6.34</v>
          </cell>
          <cell r="M77">
            <v>-7.69</v>
          </cell>
          <cell r="N77">
            <v>0</v>
          </cell>
          <cell r="O77" t="str">
            <v>0</v>
          </cell>
          <cell r="P77" t="str">
            <v>1.362,-5.65;</v>
          </cell>
          <cell r="Q77">
            <v>16000</v>
          </cell>
          <cell r="R77">
            <v>0</v>
          </cell>
          <cell r="S77" t="str">
            <v>1001+7;1002+15;901001+1;</v>
          </cell>
          <cell r="T77" t="str">
            <v>11900,1</v>
          </cell>
        </row>
        <row r="78">
          <cell r="A78">
            <v>78</v>
          </cell>
          <cell r="B78" t="str">
            <v>丁家仆从</v>
          </cell>
          <cell r="C78" t="str">
            <v>1600007;1600008;</v>
          </cell>
        </row>
        <row r="78">
          <cell r="F78">
            <v>2</v>
          </cell>
          <cell r="G78">
            <v>0</v>
          </cell>
          <cell r="H78">
            <v>1</v>
          </cell>
          <cell r="I78">
            <v>1</v>
          </cell>
          <cell r="J78" t="b">
            <v>0</v>
          </cell>
          <cell r="K78">
            <v>1005</v>
          </cell>
          <cell r="L78">
            <v>-6.34</v>
          </cell>
          <cell r="M78">
            <v>-7.69</v>
          </cell>
          <cell r="N78">
            <v>0</v>
          </cell>
          <cell r="O78" t="str">
            <v>0</v>
          </cell>
          <cell r="P78" t="str">
            <v>1.362,-5.65;
3.743,-5.67;</v>
          </cell>
          <cell r="Q78">
            <v>16000</v>
          </cell>
          <cell r="R78">
            <v>0</v>
          </cell>
          <cell r="S78" t="str">
            <v>1001+7;1002+15;901101+1;908048+1;</v>
          </cell>
          <cell r="T78" t="str">
            <v>11900,1</v>
          </cell>
        </row>
        <row r="79">
          <cell r="A79">
            <v>79</v>
          </cell>
          <cell r="B79" t="str">
            <v>丁昭</v>
          </cell>
          <cell r="C79" t="str">
            <v>1600007;1600008;1600009;</v>
          </cell>
        </row>
        <row r="79">
          <cell r="F79">
            <v>2</v>
          </cell>
          <cell r="G79">
            <v>0</v>
          </cell>
          <cell r="H79">
            <v>1</v>
          </cell>
          <cell r="I79">
            <v>1</v>
          </cell>
          <cell r="J79" t="b">
            <v>0</v>
          </cell>
          <cell r="K79">
            <v>1005</v>
          </cell>
          <cell r="L79">
            <v>-6.34</v>
          </cell>
          <cell r="M79">
            <v>-7.69</v>
          </cell>
          <cell r="N79">
            <v>0</v>
          </cell>
          <cell r="O79" t="str">
            <v>0</v>
          </cell>
          <cell r="P79" t="str">
            <v>7.44,-6.96;
3.45,-5.74;
3.45,-7.95;</v>
          </cell>
          <cell r="Q79">
            <v>16000</v>
          </cell>
          <cell r="R79">
            <v>0</v>
          </cell>
          <cell r="S79" t="str">
            <v>1001+7;1002+15;</v>
          </cell>
          <cell r="T79" t="str">
            <v>11900,1</v>
          </cell>
        </row>
        <row r="80">
          <cell r="A80">
            <v>80</v>
          </cell>
          <cell r="B80" t="str">
            <v>陈河</v>
          </cell>
          <cell r="C80" t="str">
            <v>1600010;1600011</v>
          </cell>
        </row>
        <row r="80">
          <cell r="F80">
            <v>2</v>
          </cell>
          <cell r="G80">
            <v>0</v>
          </cell>
          <cell r="H80">
            <v>1</v>
          </cell>
          <cell r="I80">
            <v>1</v>
          </cell>
          <cell r="J80" t="b">
            <v>0</v>
          </cell>
          <cell r="K80">
            <v>1005</v>
          </cell>
          <cell r="L80">
            <v>-6.34</v>
          </cell>
          <cell r="M80">
            <v>-7.69</v>
          </cell>
          <cell r="N80">
            <v>0</v>
          </cell>
          <cell r="O80" t="str">
            <v>0</v>
          </cell>
          <cell r="P80" t="str">
            <v>0.362,-5.65;
0.34,-7.68;</v>
          </cell>
          <cell r="Q80">
            <v>16000</v>
          </cell>
          <cell r="R80">
            <v>0</v>
          </cell>
          <cell r="S80" t="str">
            <v>1001+7;1002+15;901001+1;</v>
          </cell>
          <cell r="T80" t="str">
            <v>11900,1</v>
          </cell>
        </row>
        <row r="81">
          <cell r="A81">
            <v>81</v>
          </cell>
          <cell r="B81" t="str">
            <v>换糖帮杀手</v>
          </cell>
          <cell r="C81" t="str">
            <v>1600013;1600011;1600012;</v>
          </cell>
        </row>
        <row r="81">
          <cell r="F81">
            <v>2</v>
          </cell>
          <cell r="G81">
            <v>1400017</v>
          </cell>
          <cell r="H81">
            <v>1</v>
          </cell>
          <cell r="I81">
            <v>1</v>
          </cell>
          <cell r="J81" t="b">
            <v>0</v>
          </cell>
          <cell r="K81">
            <v>1005</v>
          </cell>
          <cell r="L81">
            <v>-6.34</v>
          </cell>
          <cell r="M81">
            <v>-7.69</v>
          </cell>
          <cell r="N81">
            <v>0</v>
          </cell>
          <cell r="O81" t="str">
            <v>-3.2,-6.7;</v>
          </cell>
          <cell r="P81" t="str">
            <v>7.44,-6.96;
3.45,-5.74;
3.45,-7.95;</v>
          </cell>
          <cell r="Q81">
            <v>16000</v>
          </cell>
          <cell r="R81">
            <v>0</v>
          </cell>
          <cell r="S81" t="str">
            <v>1001+7;1002+15;901101+1;</v>
          </cell>
          <cell r="T81" t="str">
            <v>11900,1</v>
          </cell>
        </row>
        <row r="82">
          <cell r="A82">
            <v>82</v>
          </cell>
          <cell r="B82" t="str">
            <v>杜颜白</v>
          </cell>
          <cell r="C82" t="str">
            <v>1200127;</v>
          </cell>
        </row>
        <row r="82">
          <cell r="F82">
            <v>2</v>
          </cell>
          <cell r="G82">
            <v>0</v>
          </cell>
          <cell r="H82">
            <v>1</v>
          </cell>
          <cell r="I82">
            <v>1</v>
          </cell>
          <cell r="J82" t="b">
            <v>0</v>
          </cell>
          <cell r="K82">
            <v>1001</v>
          </cell>
          <cell r="L82">
            <v>-6.34</v>
          </cell>
          <cell r="M82">
            <v>-7.69</v>
          </cell>
          <cell r="N82">
            <v>0</v>
          </cell>
          <cell r="O82" t="str">
            <v>0</v>
          </cell>
          <cell r="P82" t="str">
            <v>1.362,-5.65;</v>
          </cell>
          <cell r="Q82">
            <v>12000</v>
          </cell>
          <cell r="R82">
            <v>0</v>
          </cell>
          <cell r="S82" t="str">
            <v>1001+0;1002+5;901000+1;</v>
          </cell>
          <cell r="T82">
            <v>0</v>
          </cell>
        </row>
        <row r="83">
          <cell r="A83">
            <v>83</v>
          </cell>
          <cell r="B83" t="str">
            <v>垂钓翁</v>
          </cell>
          <cell r="C83" t="str">
            <v>1200121;</v>
          </cell>
        </row>
        <row r="83">
          <cell r="F83">
            <v>2</v>
          </cell>
          <cell r="G83">
            <v>0</v>
          </cell>
          <cell r="H83">
            <v>1</v>
          </cell>
          <cell r="I83">
            <v>1</v>
          </cell>
          <cell r="J83" t="b">
            <v>0</v>
          </cell>
          <cell r="K83">
            <v>1001</v>
          </cell>
          <cell r="L83">
            <v>-6.34</v>
          </cell>
          <cell r="M83">
            <v>-7.69</v>
          </cell>
          <cell r="N83">
            <v>0</v>
          </cell>
          <cell r="O83" t="str">
            <v>0</v>
          </cell>
          <cell r="P83" t="str">
            <v>1.362,-5.65;</v>
          </cell>
          <cell r="Q83">
            <v>12000</v>
          </cell>
          <cell r="R83">
            <v>0</v>
          </cell>
          <cell r="S83" t="str">
            <v>1001+0;1002+5;901100+1;</v>
          </cell>
          <cell r="T83" t="str">
            <v>11900,1</v>
          </cell>
        </row>
        <row r="84">
          <cell r="A84">
            <v>84</v>
          </cell>
          <cell r="B84" t="str">
            <v>垂钓翁</v>
          </cell>
          <cell r="C84" t="str">
            <v>1200117;</v>
          </cell>
        </row>
        <row r="84">
          <cell r="F84">
            <v>2</v>
          </cell>
          <cell r="G84">
            <v>0</v>
          </cell>
          <cell r="H84">
            <v>1</v>
          </cell>
          <cell r="I84">
            <v>1</v>
          </cell>
          <cell r="J84" t="b">
            <v>0</v>
          </cell>
          <cell r="K84">
            <v>1001</v>
          </cell>
          <cell r="L84">
            <v>-6.34</v>
          </cell>
          <cell r="M84">
            <v>-7.69</v>
          </cell>
          <cell r="N84">
            <v>0</v>
          </cell>
          <cell r="O84" t="str">
            <v>0</v>
          </cell>
          <cell r="P84" t="str">
            <v>1.362,-5.65;</v>
          </cell>
          <cell r="Q84">
            <v>12000</v>
          </cell>
          <cell r="R84">
            <v>0</v>
          </cell>
          <cell r="S84" t="str">
            <v>1001+0;1002+5;</v>
          </cell>
          <cell r="T84" t="str">
            <v>11900,1</v>
          </cell>
        </row>
        <row r="85">
          <cell r="A85">
            <v>85</v>
          </cell>
          <cell r="B85" t="str">
            <v>糖人张</v>
          </cell>
          <cell r="C85" t="str">
            <v>1200128;</v>
          </cell>
        </row>
        <row r="85">
          <cell r="F85">
            <v>2</v>
          </cell>
          <cell r="G85">
            <v>0</v>
          </cell>
          <cell r="H85">
            <v>1</v>
          </cell>
          <cell r="I85">
            <v>1</v>
          </cell>
          <cell r="J85" t="b">
            <v>0</v>
          </cell>
          <cell r="K85">
            <v>1001</v>
          </cell>
          <cell r="L85">
            <v>-6.34</v>
          </cell>
          <cell r="M85">
            <v>-7.69</v>
          </cell>
          <cell r="N85">
            <v>0</v>
          </cell>
          <cell r="O85" t="str">
            <v>0</v>
          </cell>
          <cell r="P85" t="str">
            <v>1.362,-5.65;</v>
          </cell>
          <cell r="Q85">
            <v>12000</v>
          </cell>
          <cell r="R85">
            <v>0</v>
          </cell>
          <cell r="S85" t="str">
            <v>1001+0;1002+5;</v>
          </cell>
          <cell r="T85" t="str">
            <v>11900,1</v>
          </cell>
        </row>
        <row r="86">
          <cell r="A86">
            <v>86</v>
          </cell>
          <cell r="B86" t="str">
            <v>浣衣娘</v>
          </cell>
          <cell r="C86" t="str">
            <v>1200122;</v>
          </cell>
        </row>
        <row r="86">
          <cell r="F86">
            <v>2</v>
          </cell>
          <cell r="G86">
            <v>0</v>
          </cell>
          <cell r="H86">
            <v>1</v>
          </cell>
          <cell r="I86">
            <v>1</v>
          </cell>
          <cell r="J86" t="b">
            <v>0</v>
          </cell>
          <cell r="K86">
            <v>1001</v>
          </cell>
          <cell r="L86">
            <v>-6.34</v>
          </cell>
          <cell r="M86">
            <v>-7.69</v>
          </cell>
          <cell r="N86">
            <v>0</v>
          </cell>
          <cell r="O86" t="str">
            <v>0</v>
          </cell>
          <cell r="P86" t="str">
            <v>1.362,-5.65;</v>
          </cell>
          <cell r="Q86">
            <v>12000</v>
          </cell>
          <cell r="R86">
            <v>0</v>
          </cell>
          <cell r="S86" t="str">
            <v>1001+0;1002+5;901000+1;908097+1;</v>
          </cell>
          <cell r="T86" t="str">
            <v>11900,1</v>
          </cell>
        </row>
        <row r="87">
          <cell r="A87">
            <v>87</v>
          </cell>
          <cell r="B87" t="str">
            <v>浣衣娘</v>
          </cell>
          <cell r="C87" t="str">
            <v>1300006;</v>
          </cell>
        </row>
        <row r="87">
          <cell r="F87">
            <v>2</v>
          </cell>
          <cell r="G87">
            <v>0</v>
          </cell>
          <cell r="H87">
            <v>1</v>
          </cell>
          <cell r="I87">
            <v>1</v>
          </cell>
          <cell r="J87" t="b">
            <v>0</v>
          </cell>
          <cell r="K87">
            <v>1001</v>
          </cell>
          <cell r="L87">
            <v>-6.34</v>
          </cell>
          <cell r="M87">
            <v>-7.69</v>
          </cell>
          <cell r="N87">
            <v>0</v>
          </cell>
          <cell r="O87" t="str">
            <v>0</v>
          </cell>
          <cell r="P87" t="str">
            <v>1.362,-5.65;</v>
          </cell>
          <cell r="Q87">
            <v>12000</v>
          </cell>
          <cell r="R87">
            <v>0</v>
          </cell>
          <cell r="S87" t="str">
            <v>1001+0;1002+5;901100+1;908097+1;</v>
          </cell>
          <cell r="T87" t="str">
            <v>11900,1</v>
          </cell>
        </row>
        <row r="88">
          <cell r="A88">
            <v>88</v>
          </cell>
          <cell r="B88" t="str">
            <v>穷酸书生</v>
          </cell>
          <cell r="C88" t="str">
            <v>1200123;</v>
          </cell>
        </row>
        <row r="88">
          <cell r="F88">
            <v>2</v>
          </cell>
          <cell r="G88">
            <v>0</v>
          </cell>
          <cell r="H88">
            <v>1</v>
          </cell>
          <cell r="I88">
            <v>1</v>
          </cell>
          <cell r="J88" t="b">
            <v>0</v>
          </cell>
          <cell r="K88">
            <v>1001</v>
          </cell>
          <cell r="L88">
            <v>-6.34</v>
          </cell>
          <cell r="M88">
            <v>-7.69</v>
          </cell>
          <cell r="N88">
            <v>0</v>
          </cell>
          <cell r="O88" t="str">
            <v>0</v>
          </cell>
          <cell r="P88" t="str">
            <v>1.362,-5.65;</v>
          </cell>
          <cell r="Q88">
            <v>12000</v>
          </cell>
          <cell r="R88">
            <v>0</v>
          </cell>
          <cell r="S88" t="str">
            <v>1001+0;1002+5;</v>
          </cell>
          <cell r="T88" t="str">
            <v>11900,1</v>
          </cell>
        </row>
        <row r="89">
          <cell r="A89">
            <v>89</v>
          </cell>
          <cell r="B89" t="str">
            <v>穷酸书生</v>
          </cell>
          <cell r="C89" t="str">
            <v>1200111;</v>
          </cell>
        </row>
        <row r="89">
          <cell r="F89">
            <v>2</v>
          </cell>
          <cell r="G89">
            <v>1200122</v>
          </cell>
          <cell r="H89">
            <v>1</v>
          </cell>
          <cell r="I89">
            <v>1</v>
          </cell>
          <cell r="J89" t="b">
            <v>0</v>
          </cell>
          <cell r="K89">
            <v>1001</v>
          </cell>
          <cell r="L89">
            <v>-6.34</v>
          </cell>
          <cell r="M89">
            <v>-7.69</v>
          </cell>
          <cell r="N89">
            <v>0</v>
          </cell>
          <cell r="O89" t="str">
            <v>-12.57,-7.07;</v>
          </cell>
          <cell r="P89" t="str">
            <v>1.362,-5.65;</v>
          </cell>
          <cell r="Q89">
            <v>12000</v>
          </cell>
          <cell r="R89">
            <v>0</v>
          </cell>
          <cell r="S89" t="str">
            <v>1001+0;1002+5;901000+1;</v>
          </cell>
          <cell r="T89" t="str">
            <v>11900,1</v>
          </cell>
        </row>
        <row r="90">
          <cell r="A90">
            <v>90</v>
          </cell>
          <cell r="B90" t="str">
            <v>贼人</v>
          </cell>
          <cell r="C90" t="str">
            <v>1200124;</v>
          </cell>
        </row>
        <row r="90">
          <cell r="F90">
            <v>2</v>
          </cell>
          <cell r="G90">
            <v>0</v>
          </cell>
          <cell r="H90">
            <v>1</v>
          </cell>
          <cell r="I90">
            <v>1</v>
          </cell>
          <cell r="J90" t="b">
            <v>0</v>
          </cell>
          <cell r="K90">
            <v>1001</v>
          </cell>
          <cell r="L90">
            <v>-6.34</v>
          </cell>
          <cell r="M90">
            <v>-7.69</v>
          </cell>
          <cell r="N90">
            <v>0</v>
          </cell>
          <cell r="O90" t="str">
            <v>0</v>
          </cell>
          <cell r="P90" t="str">
            <v>1.362,-5.65;</v>
          </cell>
          <cell r="Q90">
            <v>12000</v>
          </cell>
          <cell r="R90">
            <v>0</v>
          </cell>
          <cell r="S90" t="str">
            <v>1001+0;1002+5;901100+1;908094+1;</v>
          </cell>
          <cell r="T90" t="str">
            <v>11900,1</v>
          </cell>
        </row>
        <row r="91">
          <cell r="A91">
            <v>91</v>
          </cell>
          <cell r="B91" t="str">
            <v>孙猎户</v>
          </cell>
          <cell r="C91" t="str">
            <v>1200115;</v>
          </cell>
        </row>
        <row r="91">
          <cell r="F91">
            <v>2</v>
          </cell>
          <cell r="G91">
            <v>0</v>
          </cell>
          <cell r="H91">
            <v>1</v>
          </cell>
          <cell r="I91">
            <v>1</v>
          </cell>
          <cell r="J91" t="b">
            <v>0</v>
          </cell>
          <cell r="K91">
            <v>1001</v>
          </cell>
          <cell r="L91">
            <v>-6.34</v>
          </cell>
          <cell r="M91">
            <v>-7.69</v>
          </cell>
          <cell r="N91">
            <v>0</v>
          </cell>
          <cell r="O91" t="str">
            <v>0</v>
          </cell>
          <cell r="P91" t="str">
            <v>1.362,-5.65;</v>
          </cell>
          <cell r="Q91">
            <v>12000</v>
          </cell>
          <cell r="R91">
            <v>0</v>
          </cell>
          <cell r="S91" t="str">
            <v>1001+0;1002+5;</v>
          </cell>
          <cell r="T91" t="str">
            <v>11900,1</v>
          </cell>
        </row>
        <row r="92">
          <cell r="A92">
            <v>92</v>
          </cell>
          <cell r="B92" t="str">
            <v>恶少</v>
          </cell>
          <cell r="C92" t="str">
            <v>1200125;1200126;</v>
          </cell>
        </row>
        <row r="92">
          <cell r="F92">
            <v>2</v>
          </cell>
          <cell r="G92">
            <v>0</v>
          </cell>
          <cell r="H92">
            <v>1</v>
          </cell>
          <cell r="I92">
            <v>1</v>
          </cell>
          <cell r="J92" t="b">
            <v>0</v>
          </cell>
          <cell r="K92">
            <v>1001</v>
          </cell>
          <cell r="L92">
            <v>-6.34</v>
          </cell>
          <cell r="M92">
            <v>-7.69</v>
          </cell>
          <cell r="N92">
            <v>0</v>
          </cell>
          <cell r="O92" t="str">
            <v>0</v>
          </cell>
          <cell r="P92" t="str">
            <v>0.362,-5.65;
3.302,-6.05;</v>
          </cell>
          <cell r="Q92">
            <v>12000</v>
          </cell>
          <cell r="R92">
            <v>0</v>
          </cell>
          <cell r="S92" t="str">
            <v>1001+0;1002+5;901000+1;908094+1;</v>
          </cell>
          <cell r="T92" t="str">
            <v>11900,1</v>
          </cell>
        </row>
        <row r="93">
          <cell r="A93">
            <v>93</v>
          </cell>
          <cell r="B93" t="str">
            <v>酒铺小贩</v>
          </cell>
          <cell r="C93" t="str">
            <v>1200006;1200129;</v>
          </cell>
        </row>
        <row r="93">
          <cell r="F93">
            <v>2</v>
          </cell>
          <cell r="G93">
            <v>0</v>
          </cell>
          <cell r="H93">
            <v>1</v>
          </cell>
          <cell r="I93">
            <v>1</v>
          </cell>
          <cell r="J93" t="b">
            <v>0</v>
          </cell>
          <cell r="K93">
            <v>1001</v>
          </cell>
          <cell r="L93">
            <v>-6.34</v>
          </cell>
          <cell r="M93">
            <v>-7.69</v>
          </cell>
          <cell r="N93">
            <v>0</v>
          </cell>
          <cell r="O93" t="str">
            <v>0</v>
          </cell>
          <cell r="P93" t="str">
            <v>1.362,-5.65;</v>
          </cell>
          <cell r="Q93">
            <v>12000</v>
          </cell>
          <cell r="R93">
            <v>0</v>
          </cell>
          <cell r="S93" t="str">
            <v>1001+0;1002+5;901100+1;908031+1;</v>
          </cell>
          <cell r="T93" t="str">
            <v>11900,1</v>
          </cell>
        </row>
        <row r="94">
          <cell r="A94">
            <v>3001</v>
          </cell>
          <cell r="B94" t="str">
            <v>黑风流贼头目</v>
          </cell>
          <cell r="C94" t="str">
            <v>1010101;1020101;1030109;1030108;</v>
          </cell>
        </row>
        <row r="94">
          <cell r="F94">
            <v>3</v>
          </cell>
          <cell r="G94">
            <v>0</v>
          </cell>
          <cell r="H94">
            <v>1</v>
          </cell>
          <cell r="I94">
            <v>1</v>
          </cell>
          <cell r="J94" t="b">
            <v>0</v>
          </cell>
          <cell r="K94">
            <v>1003</v>
          </cell>
          <cell r="L94">
            <v>-6.34</v>
          </cell>
          <cell r="M94">
            <v>-7.69</v>
          </cell>
          <cell r="N94">
            <v>0</v>
          </cell>
          <cell r="O94" t="str">
            <v>0</v>
          </cell>
          <cell r="P94" t="str">
            <v>0.362,-5.65;1.743,-5.48;0.34,-7.68;-0.76,-5.24;-1.76,-5.89;</v>
          </cell>
          <cell r="Q94">
            <v>12000</v>
          </cell>
          <cell r="R94">
            <v>600</v>
          </cell>
          <cell r="S94" t="str">
            <v>1001+0;901000+1;908093+1;</v>
          </cell>
          <cell r="T94" t="str">
            <v>12000,1</v>
          </cell>
        </row>
        <row r="95">
          <cell r="A95">
            <v>3002</v>
          </cell>
          <cell r="B95" t="str">
            <v>流落匪首</v>
          </cell>
          <cell r="C95" t="str">
            <v>1010102;1020101;1030108;1030103</v>
          </cell>
        </row>
        <row r="95">
          <cell r="F95">
            <v>3</v>
          </cell>
          <cell r="G95">
            <v>0</v>
          </cell>
          <cell r="H95">
            <v>1</v>
          </cell>
          <cell r="I95">
            <v>1</v>
          </cell>
          <cell r="J95" t="b">
            <v>0</v>
          </cell>
          <cell r="K95">
            <v>1003</v>
          </cell>
          <cell r="L95">
            <v>-6.34</v>
          </cell>
          <cell r="M95">
            <v>-7.69</v>
          </cell>
          <cell r="N95">
            <v>0</v>
          </cell>
          <cell r="O95" t="str">
            <v>0</v>
          </cell>
          <cell r="P95" t="str">
            <v>0.362,-5.65;1.743,-5.48;0.34,-7.68;-0.76,-5.24;-1.76,-5.89;</v>
          </cell>
          <cell r="Q95">
            <v>12000</v>
          </cell>
          <cell r="R95">
            <v>600</v>
          </cell>
          <cell r="S95" t="str">
            <v>1001+0;901100+1;908092+1;</v>
          </cell>
          <cell r="T95" t="str">
            <v>12000,1</v>
          </cell>
        </row>
        <row r="96">
          <cell r="A96">
            <v>3003</v>
          </cell>
          <cell r="B96" t="str">
            <v>流贼精锐</v>
          </cell>
          <cell r="C96" t="str">
            <v>1020101;1030108;1030103;1030201;</v>
          </cell>
        </row>
        <row r="96">
          <cell r="F96">
            <v>3</v>
          </cell>
          <cell r="G96">
            <v>0</v>
          </cell>
          <cell r="H96">
            <v>1</v>
          </cell>
          <cell r="I96">
            <v>1</v>
          </cell>
          <cell r="J96" t="b">
            <v>0</v>
          </cell>
          <cell r="K96">
            <v>1003</v>
          </cell>
          <cell r="L96">
            <v>-6.34</v>
          </cell>
          <cell r="M96">
            <v>-7.69</v>
          </cell>
          <cell r="N96">
            <v>0</v>
          </cell>
          <cell r="O96" t="str">
            <v>0</v>
          </cell>
          <cell r="P96" t="str">
            <v>0.362,-5.65;
1.743,-5.48;
0.34,-7.68;</v>
          </cell>
          <cell r="Q96">
            <v>12000</v>
          </cell>
          <cell r="R96">
            <v>600</v>
          </cell>
          <cell r="S96" t="str">
            <v>1001+0;901000+1;908094+1;</v>
          </cell>
          <cell r="T96" t="str">
            <v>12000,1</v>
          </cell>
        </row>
        <row r="97">
          <cell r="A97">
            <v>3004</v>
          </cell>
          <cell r="B97" t="str">
            <v>嗤人野狼</v>
          </cell>
          <cell r="C97" t="str">
            <v>1020201;1030201;1030201;</v>
          </cell>
        </row>
        <row r="97">
          <cell r="F97">
            <v>3</v>
          </cell>
          <cell r="G97">
            <v>0</v>
          </cell>
          <cell r="H97">
            <v>1</v>
          </cell>
          <cell r="I97">
            <v>1</v>
          </cell>
          <cell r="J97" t="b">
            <v>0</v>
          </cell>
          <cell r="K97">
            <v>1003</v>
          </cell>
          <cell r="L97">
            <v>-6.34</v>
          </cell>
          <cell r="M97">
            <v>-7.69</v>
          </cell>
          <cell r="N97">
            <v>0</v>
          </cell>
          <cell r="O97" t="str">
            <v>0</v>
          </cell>
          <cell r="P97" t="str">
            <v>0.362,-5.65;
1.743,-5.48;
0.34,-7.68;</v>
          </cell>
          <cell r="Q97">
            <v>12000</v>
          </cell>
          <cell r="R97">
            <v>600</v>
          </cell>
          <cell r="S97" t="str">
            <v>1001+0;901100+1;908056+1</v>
          </cell>
          <cell r="T97" t="str">
            <v>12000,1</v>
          </cell>
        </row>
        <row r="98">
          <cell r="A98">
            <v>3007</v>
          </cell>
          <cell r="B98" t="str">
            <v>避缉强盗</v>
          </cell>
          <cell r="C98" t="str">
            <v>1030103;1030109;</v>
          </cell>
        </row>
        <row r="98">
          <cell r="F98">
            <v>3</v>
          </cell>
          <cell r="G98">
            <v>0</v>
          </cell>
          <cell r="H98">
            <v>1</v>
          </cell>
          <cell r="I98">
            <v>1</v>
          </cell>
          <cell r="J98" t="b">
            <v>0</v>
          </cell>
          <cell r="K98">
            <v>1003</v>
          </cell>
          <cell r="L98">
            <v>-6.34</v>
          </cell>
          <cell r="M98">
            <v>-7.69</v>
          </cell>
          <cell r="N98">
            <v>0</v>
          </cell>
          <cell r="O98" t="str">
            <v>0</v>
          </cell>
          <cell r="P98" t="str">
            <v>0.362,-5.65;
0.34,-7.68;</v>
          </cell>
          <cell r="Q98">
            <v>12000</v>
          </cell>
          <cell r="R98">
            <v>600</v>
          </cell>
          <cell r="S98" t="str">
            <v>1001+0;908097+1;</v>
          </cell>
          <cell r="T98" t="str">
            <v>12000,1</v>
          </cell>
        </row>
        <row r="99">
          <cell r="A99">
            <v>3008</v>
          </cell>
          <cell r="B99" t="str">
            <v>村外流寇</v>
          </cell>
          <cell r="C99" t="str">
            <v>1030107;1030109;</v>
          </cell>
        </row>
        <row r="99">
          <cell r="F99">
            <v>3</v>
          </cell>
          <cell r="G99">
            <v>0</v>
          </cell>
          <cell r="H99">
            <v>1</v>
          </cell>
          <cell r="I99">
            <v>1</v>
          </cell>
          <cell r="J99" t="b">
            <v>0</v>
          </cell>
          <cell r="K99">
            <v>1003</v>
          </cell>
          <cell r="L99">
            <v>-6.34</v>
          </cell>
          <cell r="M99">
            <v>-7.69</v>
          </cell>
          <cell r="N99">
            <v>0</v>
          </cell>
          <cell r="O99" t="str">
            <v>0</v>
          </cell>
          <cell r="P99" t="str">
            <v>0.362,-5.65;
0.34,-7.68;</v>
          </cell>
          <cell r="Q99">
            <v>12000</v>
          </cell>
          <cell r="R99">
            <v>600</v>
          </cell>
          <cell r="S99" t="str">
            <v>1001+0;908097+1;</v>
          </cell>
          <cell r="T99" t="str">
            <v>12000,1</v>
          </cell>
        </row>
        <row r="100">
          <cell r="A100">
            <v>3011</v>
          </cell>
          <cell r="B100" t="str">
            <v>青萍地痞</v>
          </cell>
          <cell r="C100" t="str">
            <v>1030108;1030107</v>
          </cell>
        </row>
        <row r="100">
          <cell r="F100">
            <v>3</v>
          </cell>
          <cell r="G100">
            <v>0</v>
          </cell>
          <cell r="H100">
            <v>1</v>
          </cell>
          <cell r="I100">
            <v>1</v>
          </cell>
          <cell r="J100" t="b">
            <v>0</v>
          </cell>
          <cell r="K100">
            <v>1003</v>
          </cell>
          <cell r="L100">
            <v>-6.34</v>
          </cell>
          <cell r="M100">
            <v>-7.69</v>
          </cell>
          <cell r="N100">
            <v>0</v>
          </cell>
          <cell r="O100" t="str">
            <v>0</v>
          </cell>
          <cell r="P100" t="str">
            <v>0.362,-5.65;
0.34,-7.68;</v>
          </cell>
          <cell r="Q100">
            <v>12000</v>
          </cell>
          <cell r="R100">
            <v>600</v>
          </cell>
          <cell r="S100" t="str">
            <v>1001+0;901000+1;908096+1;</v>
          </cell>
          <cell r="T100" t="str">
            <v>12000,1</v>
          </cell>
        </row>
        <row r="101">
          <cell r="A101">
            <v>3012</v>
          </cell>
          <cell r="B101" t="str">
            <v>歧途恶棍</v>
          </cell>
          <cell r="C101" t="str">
            <v>1030109;1030103;1030108;</v>
          </cell>
        </row>
        <row r="101">
          <cell r="F101">
            <v>3</v>
          </cell>
          <cell r="G101">
            <v>0</v>
          </cell>
          <cell r="H101">
            <v>1</v>
          </cell>
          <cell r="I101">
            <v>1</v>
          </cell>
          <cell r="J101" t="b">
            <v>0</v>
          </cell>
          <cell r="K101">
            <v>1003</v>
          </cell>
          <cell r="L101">
            <v>-6.34</v>
          </cell>
          <cell r="M101">
            <v>-7.69</v>
          </cell>
          <cell r="N101">
            <v>0</v>
          </cell>
          <cell r="O101" t="str">
            <v>0</v>
          </cell>
          <cell r="P101" t="str">
            <v>0.362,-5.65;
1.743,-5.48;
0.34,-7.68;</v>
          </cell>
          <cell r="Q101">
            <v>12000</v>
          </cell>
          <cell r="R101">
            <v>600</v>
          </cell>
          <cell r="S101" t="str">
            <v>1001+0;901100+1;908095+1;</v>
          </cell>
          <cell r="T101" t="str">
            <v>12000,1</v>
          </cell>
        </row>
        <row r="102">
          <cell r="A102">
            <v>3013</v>
          </cell>
          <cell r="B102" t="str">
            <v>伏训野狼</v>
          </cell>
          <cell r="C102" t="str">
            <v>1030201;</v>
          </cell>
        </row>
        <row r="102">
          <cell r="F102">
            <v>3</v>
          </cell>
          <cell r="G102">
            <v>0</v>
          </cell>
          <cell r="H102">
            <v>1</v>
          </cell>
          <cell r="I102">
            <v>1</v>
          </cell>
          <cell r="J102" t="b">
            <v>0</v>
          </cell>
          <cell r="K102">
            <v>1003</v>
          </cell>
          <cell r="L102">
            <v>-6.34</v>
          </cell>
          <cell r="M102">
            <v>-7.69</v>
          </cell>
          <cell r="N102">
            <v>0</v>
          </cell>
          <cell r="O102" t="str">
            <v>0</v>
          </cell>
          <cell r="P102" t="str">
            <v>0.34,-7.68;</v>
          </cell>
          <cell r="Q102">
            <v>12000</v>
          </cell>
          <cell r="R102">
            <v>600</v>
          </cell>
          <cell r="S102" t="str">
            <v>1001+0;</v>
          </cell>
          <cell r="T102" t="str">
            <v>12000,1</v>
          </cell>
        </row>
        <row r="103">
          <cell r="A103">
            <v>3014</v>
          </cell>
          <cell r="B103" t="str">
            <v>强者挑战</v>
          </cell>
          <cell r="C103" t="str">
            <v>1200140;1200141;1200142;1200143;1200144</v>
          </cell>
        </row>
        <row r="103">
          <cell r="F103">
            <v>3</v>
          </cell>
          <cell r="G103">
            <v>0</v>
          </cell>
          <cell r="H103">
            <v>1</v>
          </cell>
          <cell r="I103">
            <v>1</v>
          </cell>
          <cell r="J103" t="b">
            <v>0</v>
          </cell>
          <cell r="K103">
            <v>1003</v>
          </cell>
          <cell r="L103">
            <v>-6.34</v>
          </cell>
          <cell r="M103">
            <v>-7.69</v>
          </cell>
          <cell r="N103">
            <v>0</v>
          </cell>
          <cell r="O103" t="str">
            <v>0</v>
          </cell>
          <cell r="P103" t="str">
            <v>0.362,-5.65;1.743,-5.48;0.34,-7.68;-0.76,-5.24;-1.76,-5.89;</v>
          </cell>
          <cell r="Q103">
            <v>12000</v>
          </cell>
          <cell r="R103">
            <v>600</v>
          </cell>
          <cell r="S103" t="str">
            <v>1001+0;</v>
          </cell>
          <cell r="T103" t="str">
            <v>12000,1</v>
          </cell>
        </row>
        <row r="104">
          <cell r="A104">
            <v>3015</v>
          </cell>
          <cell r="B104" t="str">
            <v>山贼头目</v>
          </cell>
          <cell r="C104" t="str">
            <v>1200145;1200146;1200147;1200148</v>
          </cell>
        </row>
        <row r="104">
          <cell r="F104">
            <v>3</v>
          </cell>
          <cell r="G104">
            <v>0</v>
          </cell>
          <cell r="H104">
            <v>1</v>
          </cell>
          <cell r="I104">
            <v>1</v>
          </cell>
          <cell r="J104" t="b">
            <v>0</v>
          </cell>
          <cell r="K104">
            <v>1003</v>
          </cell>
          <cell r="L104">
            <v>-6.34</v>
          </cell>
          <cell r="M104">
            <v>-7.69</v>
          </cell>
          <cell r="N104">
            <v>0</v>
          </cell>
          <cell r="O104" t="str">
            <v>0</v>
          </cell>
          <cell r="P104" t="str">
            <v>0.362,-5.65;1.743,-5.48;0.34,-7.68;-0.76,-5.24;-1.76,-5.89;</v>
          </cell>
          <cell r="Q104">
            <v>13000</v>
          </cell>
          <cell r="R104">
            <v>180</v>
          </cell>
          <cell r="S104" t="str">
            <v>1001+3;901101+1;</v>
          </cell>
          <cell r="T104" t="str">
            <v>12000,1</v>
          </cell>
        </row>
        <row r="105">
          <cell r="A105">
            <v>3016</v>
          </cell>
          <cell r="B105" t="str">
            <v>野地狼群</v>
          </cell>
          <cell r="C105" t="str">
            <v>1200149;1200150;1200151</v>
          </cell>
        </row>
        <row r="105">
          <cell r="F105">
            <v>3</v>
          </cell>
          <cell r="G105">
            <v>0</v>
          </cell>
          <cell r="H105">
            <v>1</v>
          </cell>
          <cell r="I105">
            <v>1</v>
          </cell>
          <cell r="J105" t="b">
            <v>0</v>
          </cell>
          <cell r="K105">
            <v>1003</v>
          </cell>
          <cell r="L105">
            <v>-6.34</v>
          </cell>
          <cell r="M105">
            <v>-7.69</v>
          </cell>
          <cell r="N105">
            <v>0</v>
          </cell>
          <cell r="O105" t="str">
            <v>0</v>
          </cell>
          <cell r="P105" t="str">
            <v>0.362,-5.65;1.743,-5.48;0.34,-7.68;-0.76,-5.24;-1.76,-5.89;</v>
          </cell>
          <cell r="Q105">
            <v>13000</v>
          </cell>
          <cell r="R105">
            <v>180</v>
          </cell>
          <cell r="S105" t="str">
            <v>1001+3;901001+1;908056+1</v>
          </cell>
          <cell r="T105" t="str">
            <v>12000,1</v>
          </cell>
        </row>
        <row r="106">
          <cell r="A106">
            <v>3017</v>
          </cell>
          <cell r="B106" t="str">
            <v>流亡恶徒</v>
          </cell>
          <cell r="C106" t="str">
            <v>1200152;1200153;1200154</v>
          </cell>
        </row>
        <row r="106">
          <cell r="F106">
            <v>3</v>
          </cell>
          <cell r="G106">
            <v>0</v>
          </cell>
          <cell r="H106">
            <v>1</v>
          </cell>
          <cell r="I106">
            <v>1</v>
          </cell>
          <cell r="J106" t="b">
            <v>0</v>
          </cell>
          <cell r="K106">
            <v>1003</v>
          </cell>
          <cell r="L106">
            <v>-6.34</v>
          </cell>
          <cell r="M106">
            <v>-7.69</v>
          </cell>
          <cell r="N106">
            <v>0</v>
          </cell>
          <cell r="O106" t="str">
            <v>0</v>
          </cell>
          <cell r="P106" t="str">
            <v>0.362,-5.65;1.743,-5.48;0.34,-7.68;-0.76,-5.24;-1.76,-5.89;</v>
          </cell>
          <cell r="Q106">
            <v>13000</v>
          </cell>
          <cell r="R106">
            <v>180</v>
          </cell>
          <cell r="S106" t="str">
            <v>1001+3;907011+1;</v>
          </cell>
          <cell r="T106" t="str">
            <v>12000,1</v>
          </cell>
        </row>
        <row r="107">
          <cell r="A107">
            <v>3018</v>
          </cell>
          <cell r="B107" t="str">
            <v>山间蛇患</v>
          </cell>
          <cell r="C107" t="str">
            <v>1200155;1200156;1200157;1200158</v>
          </cell>
        </row>
        <row r="107">
          <cell r="F107">
            <v>3</v>
          </cell>
          <cell r="G107">
            <v>0</v>
          </cell>
          <cell r="H107">
            <v>1</v>
          </cell>
          <cell r="I107">
            <v>1</v>
          </cell>
          <cell r="J107" t="b">
            <v>0</v>
          </cell>
          <cell r="K107">
            <v>1003</v>
          </cell>
          <cell r="L107">
            <v>-6.34</v>
          </cell>
          <cell r="M107">
            <v>-7.69</v>
          </cell>
          <cell r="N107">
            <v>0</v>
          </cell>
          <cell r="O107" t="str">
            <v>0</v>
          </cell>
          <cell r="P107" t="str">
            <v>0.362,-5.65;1.743,-5.48;0.34,-7.68;-0.76,-5.24;-1.76,-5.89;</v>
          </cell>
          <cell r="Q107">
            <v>13000</v>
          </cell>
          <cell r="R107">
            <v>180</v>
          </cell>
          <cell r="S107" t="str">
            <v>1001+3;901101+1;908043+1</v>
          </cell>
          <cell r="T107" t="str">
            <v>12000,1</v>
          </cell>
        </row>
        <row r="108">
          <cell r="A108">
            <v>3019</v>
          </cell>
          <cell r="B108" t="str">
            <v>贼寇</v>
          </cell>
          <cell r="C108" t="str">
            <v>1200159;1200160;1200161;1200162</v>
          </cell>
        </row>
        <row r="108">
          <cell r="F108">
            <v>3</v>
          </cell>
          <cell r="G108">
            <v>0</v>
          </cell>
          <cell r="H108">
            <v>1</v>
          </cell>
          <cell r="I108">
            <v>1</v>
          </cell>
          <cell r="J108" t="b">
            <v>0</v>
          </cell>
          <cell r="K108">
            <v>1003</v>
          </cell>
          <cell r="L108">
            <v>-6.34</v>
          </cell>
          <cell r="M108">
            <v>-7.69</v>
          </cell>
          <cell r="N108">
            <v>0</v>
          </cell>
          <cell r="O108" t="str">
            <v>0</v>
          </cell>
          <cell r="P108" t="str">
            <v>0.362,-5.65;1.743,-5.48;0.34,-7.68;-0.76,-5.24;-1.76,-5.89;</v>
          </cell>
          <cell r="Q108">
            <v>13000</v>
          </cell>
          <cell r="R108">
            <v>180</v>
          </cell>
          <cell r="S108" t="str">
            <v>1001+3;901001+1;</v>
          </cell>
          <cell r="T108" t="str">
            <v>12000,1</v>
          </cell>
        </row>
        <row r="109">
          <cell r="A109">
            <v>3020</v>
          </cell>
          <cell r="B109" t="str">
            <v>贼寇小头目</v>
          </cell>
          <cell r="C109" t="str">
            <v>1200163;1200164;1200165</v>
          </cell>
        </row>
        <row r="109">
          <cell r="F109">
            <v>3</v>
          </cell>
          <cell r="G109">
            <v>0</v>
          </cell>
          <cell r="H109">
            <v>1</v>
          </cell>
          <cell r="I109">
            <v>1</v>
          </cell>
          <cell r="J109" t="b">
            <v>0</v>
          </cell>
          <cell r="K109">
            <v>1003</v>
          </cell>
          <cell r="L109">
            <v>-6.34</v>
          </cell>
          <cell r="M109">
            <v>-7.69</v>
          </cell>
          <cell r="N109">
            <v>0</v>
          </cell>
          <cell r="O109" t="str">
            <v>0</v>
          </cell>
          <cell r="P109" t="str">
            <v>0.362,-5.65;1.743,-5.48;0.34,-7.68;-0.76,-5.24;-1.76,-5.89;</v>
          </cell>
          <cell r="Q109">
            <v>13000</v>
          </cell>
          <cell r="R109">
            <v>180</v>
          </cell>
          <cell r="S109" t="str">
            <v>1001+3;901101+1;908031+1;</v>
          </cell>
          <cell r="T109" t="str">
            <v>12000,1</v>
          </cell>
        </row>
        <row r="110">
          <cell r="A110">
            <v>3021</v>
          </cell>
          <cell r="B110" t="str">
            <v>贼寇头目</v>
          </cell>
          <cell r="C110" t="str">
            <v>1200166;1200167;1200168;1200169</v>
          </cell>
        </row>
        <row r="110">
          <cell r="F110">
            <v>3</v>
          </cell>
          <cell r="G110">
            <v>0</v>
          </cell>
          <cell r="H110">
            <v>1</v>
          </cell>
          <cell r="I110">
            <v>1</v>
          </cell>
          <cell r="J110" t="b">
            <v>0</v>
          </cell>
          <cell r="K110">
            <v>1003</v>
          </cell>
          <cell r="L110">
            <v>-6.34</v>
          </cell>
          <cell r="M110">
            <v>-7.69</v>
          </cell>
          <cell r="N110">
            <v>0</v>
          </cell>
          <cell r="O110" t="str">
            <v>0</v>
          </cell>
          <cell r="P110" t="str">
            <v>0.362,-5.65;1.743,-5.48;0.34,-7.68;-0.76,-5.24;-1.76,-5.89;</v>
          </cell>
          <cell r="Q110">
            <v>13000</v>
          </cell>
          <cell r="R110">
            <v>180</v>
          </cell>
          <cell r="S110" t="str">
            <v>1001+3;901001+1;</v>
          </cell>
          <cell r="T110" t="str">
            <v>12000,1</v>
          </cell>
        </row>
        <row r="111">
          <cell r="A111">
            <v>3023</v>
          </cell>
          <cell r="B111" t="str">
            <v>隐世好手</v>
          </cell>
          <cell r="C111">
            <v>1200170</v>
          </cell>
        </row>
        <row r="111">
          <cell r="F111">
            <v>3</v>
          </cell>
          <cell r="G111">
            <v>0</v>
          </cell>
          <cell r="H111">
            <v>1</v>
          </cell>
          <cell r="I111">
            <v>1</v>
          </cell>
          <cell r="J111" t="b">
            <v>0</v>
          </cell>
          <cell r="K111">
            <v>1003</v>
          </cell>
          <cell r="L111">
            <v>-6.34</v>
          </cell>
          <cell r="M111">
            <v>-7.69</v>
          </cell>
          <cell r="N111">
            <v>0</v>
          </cell>
          <cell r="O111" t="str">
            <v>0</v>
          </cell>
          <cell r="P111" t="str">
            <v>0.362,-5.65;1.743,-5.48;0.34,-7.68;-0.76,-5.24;-1.76,-5.89;</v>
          </cell>
          <cell r="Q111">
            <v>13000</v>
          </cell>
          <cell r="R111">
            <v>360</v>
          </cell>
          <cell r="S111" t="str">
            <v>1001+3;</v>
          </cell>
          <cell r="T111" t="str">
            <v>12000,1</v>
          </cell>
        </row>
        <row r="112">
          <cell r="A112">
            <v>3024</v>
          </cell>
          <cell r="B112" t="str">
            <v>黑市好手</v>
          </cell>
          <cell r="C112">
            <v>1200171</v>
          </cell>
        </row>
        <row r="112">
          <cell r="F112">
            <v>3</v>
          </cell>
          <cell r="G112">
            <v>0</v>
          </cell>
          <cell r="H112">
            <v>1</v>
          </cell>
          <cell r="I112">
            <v>1</v>
          </cell>
          <cell r="J112" t="b">
            <v>0</v>
          </cell>
          <cell r="K112">
            <v>1003</v>
          </cell>
          <cell r="L112">
            <v>-6.34</v>
          </cell>
          <cell r="M112">
            <v>-7.69</v>
          </cell>
          <cell r="N112">
            <v>0</v>
          </cell>
          <cell r="O112" t="str">
            <v>0</v>
          </cell>
          <cell r="P112" t="str">
            <v>0.362,-5.65;1.743,-5.48;0.34,-7.68;-0.76,-5.24;-1.76,-5.89;</v>
          </cell>
          <cell r="Q112">
            <v>13000</v>
          </cell>
          <cell r="R112">
            <v>180</v>
          </cell>
          <cell r="S112" t="str">
            <v>1001+3;</v>
          </cell>
          <cell r="T112" t="str">
            <v>12000,1</v>
          </cell>
        </row>
        <row r="113">
          <cell r="A113">
            <v>3025</v>
          </cell>
          <cell r="B113" t="str">
            <v>陋巷地痞</v>
          </cell>
          <cell r="C113" t="str">
            <v>1200172;1200173;1200174</v>
          </cell>
        </row>
        <row r="113">
          <cell r="F113">
            <v>3</v>
          </cell>
          <cell r="G113">
            <v>0</v>
          </cell>
          <cell r="H113">
            <v>1</v>
          </cell>
          <cell r="I113">
            <v>1</v>
          </cell>
          <cell r="J113" t="b">
            <v>0</v>
          </cell>
          <cell r="K113">
            <v>1003</v>
          </cell>
          <cell r="L113">
            <v>-6.34</v>
          </cell>
          <cell r="M113">
            <v>-7.69</v>
          </cell>
          <cell r="N113">
            <v>0</v>
          </cell>
          <cell r="O113" t="str">
            <v>0</v>
          </cell>
          <cell r="P113" t="str">
            <v>0.362,-5.65;1.743,-5.48;0.34,-7.68;-0.76,-5.24;-1.76,-5.89;</v>
          </cell>
          <cell r="Q113">
            <v>13000</v>
          </cell>
          <cell r="R113">
            <v>180</v>
          </cell>
          <cell r="S113" t="str">
            <v>1001+3;901101+1;907010+1;</v>
          </cell>
          <cell r="T113" t="str">
            <v>12000,1</v>
          </cell>
        </row>
        <row r="114">
          <cell r="A114">
            <v>3026</v>
          </cell>
          <cell r="B114" t="str">
            <v>东市余党</v>
          </cell>
          <cell r="C114" t="str">
            <v>1200175;1200176;1200177;1200178</v>
          </cell>
        </row>
        <row r="114">
          <cell r="F114">
            <v>3</v>
          </cell>
          <cell r="G114">
            <v>0</v>
          </cell>
          <cell r="H114">
            <v>1</v>
          </cell>
          <cell r="I114">
            <v>1</v>
          </cell>
          <cell r="J114" t="b">
            <v>0</v>
          </cell>
          <cell r="K114">
            <v>1003</v>
          </cell>
          <cell r="L114">
            <v>-6.34</v>
          </cell>
          <cell r="M114">
            <v>-7.69</v>
          </cell>
          <cell r="N114">
            <v>0</v>
          </cell>
          <cell r="O114" t="str">
            <v>0</v>
          </cell>
          <cell r="P114" t="str">
            <v>0.362,-5.65;1.743,-5.48;0.34,-7.68;-0.76,-5.24;-1.76,-5.89;</v>
          </cell>
          <cell r="Q114">
            <v>13000</v>
          </cell>
          <cell r="R114">
            <v>180</v>
          </cell>
          <cell r="S114" t="str">
            <v>1001+3;901001+1;</v>
          </cell>
          <cell r="T114" t="str">
            <v>12000,1</v>
          </cell>
        </row>
        <row r="115">
          <cell r="A115">
            <v>3027</v>
          </cell>
          <cell r="B115" t="str">
            <v>东市余党</v>
          </cell>
          <cell r="C115" t="str">
            <v>1200179;1200180;1200181</v>
          </cell>
        </row>
        <row r="115">
          <cell r="F115">
            <v>3</v>
          </cell>
          <cell r="G115">
            <v>0</v>
          </cell>
          <cell r="H115">
            <v>1</v>
          </cell>
          <cell r="I115">
            <v>1</v>
          </cell>
          <cell r="J115" t="b">
            <v>0</v>
          </cell>
          <cell r="K115">
            <v>1003</v>
          </cell>
          <cell r="L115">
            <v>-6.34</v>
          </cell>
          <cell r="M115">
            <v>-7.69</v>
          </cell>
          <cell r="N115">
            <v>0</v>
          </cell>
          <cell r="O115" t="str">
            <v>0</v>
          </cell>
          <cell r="P115" t="str">
            <v>0.362,-5.65;1.743,-5.48;0.34,-7.68;-0.76,-5.24;-1.76,-5.89;</v>
          </cell>
          <cell r="Q115">
            <v>13000</v>
          </cell>
          <cell r="R115">
            <v>180</v>
          </cell>
          <cell r="S115" t="str">
            <v>1001+3;907009+1;</v>
          </cell>
          <cell r="T115" t="str">
            <v>12000,1</v>
          </cell>
        </row>
        <row r="116">
          <cell r="A116">
            <v>3028</v>
          </cell>
          <cell r="B116" t="str">
            <v>西门家好手</v>
          </cell>
          <cell r="C116">
            <v>1200182</v>
          </cell>
        </row>
        <row r="116">
          <cell r="F116">
            <v>3</v>
          </cell>
          <cell r="G116">
            <v>0</v>
          </cell>
          <cell r="H116">
            <v>1</v>
          </cell>
          <cell r="I116">
            <v>1</v>
          </cell>
          <cell r="J116" t="b">
            <v>0</v>
          </cell>
          <cell r="K116">
            <v>1003</v>
          </cell>
          <cell r="L116">
            <v>-6.34</v>
          </cell>
          <cell r="M116">
            <v>-7.69</v>
          </cell>
          <cell r="N116">
            <v>0</v>
          </cell>
          <cell r="O116" t="str">
            <v>0</v>
          </cell>
          <cell r="P116" t="str">
            <v>0.362,-5.65;1.743,-5.48;0.34,-7.68;-0.76,-5.24;-1.76,-5.89;</v>
          </cell>
          <cell r="Q116">
            <v>13000</v>
          </cell>
          <cell r="R116">
            <v>180</v>
          </cell>
          <cell r="S116" t="str">
            <v>1001+3;901101+1;</v>
          </cell>
          <cell r="T116" t="str">
            <v>12000,1</v>
          </cell>
        </row>
        <row r="117">
          <cell r="A117">
            <v>3029</v>
          </cell>
          <cell r="B117" t="str">
            <v>贼寇</v>
          </cell>
          <cell r="C117" t="str">
            <v>1200183;1200184;1200185;1200186</v>
          </cell>
        </row>
        <row r="117">
          <cell r="F117">
            <v>3</v>
          </cell>
          <cell r="G117">
            <v>0</v>
          </cell>
          <cell r="H117">
            <v>1</v>
          </cell>
          <cell r="I117">
            <v>1</v>
          </cell>
          <cell r="J117" t="b">
            <v>0</v>
          </cell>
          <cell r="K117">
            <v>1003</v>
          </cell>
          <cell r="L117">
            <v>-6.34</v>
          </cell>
          <cell r="M117">
            <v>-7.69</v>
          </cell>
          <cell r="N117">
            <v>0</v>
          </cell>
          <cell r="O117" t="str">
            <v>0</v>
          </cell>
          <cell r="P117" t="str">
            <v>0.362,-5.65;1.743,-5.48;0.34,-7.68;-0.76,-5.24;-1.76,-5.89;</v>
          </cell>
          <cell r="Q117">
            <v>13000</v>
          </cell>
          <cell r="R117">
            <v>180</v>
          </cell>
          <cell r="S117" t="str">
            <v>1001+3;901001+1;</v>
          </cell>
          <cell r="T117" t="str">
            <v>12000,1</v>
          </cell>
        </row>
        <row r="118">
          <cell r="A118">
            <v>3030</v>
          </cell>
          <cell r="B118" t="str">
            <v>老虎</v>
          </cell>
          <cell r="C118">
            <v>1200198</v>
          </cell>
        </row>
        <row r="118">
          <cell r="F118">
            <v>3</v>
          </cell>
          <cell r="G118">
            <v>0</v>
          </cell>
          <cell r="H118">
            <v>1</v>
          </cell>
          <cell r="I118">
            <v>1</v>
          </cell>
          <cell r="J118" t="b">
            <v>0</v>
          </cell>
          <cell r="K118">
            <v>1003</v>
          </cell>
          <cell r="L118">
            <v>-6.34</v>
          </cell>
          <cell r="M118">
            <v>-7.69</v>
          </cell>
          <cell r="N118">
            <v>0</v>
          </cell>
          <cell r="O118" t="str">
            <v>0</v>
          </cell>
          <cell r="P118" t="str">
            <v>0.362,-5.65;1.743,-5.48;0.34,-7.68;-0.76,-5.24;-1.76,-5.89;</v>
          </cell>
          <cell r="Q118">
            <v>14000</v>
          </cell>
          <cell r="R118">
            <v>180</v>
          </cell>
          <cell r="S118" t="str">
            <v>1001+12;908056+1;908043+1</v>
          </cell>
          <cell r="T118" t="str">
            <v>12000,1</v>
          </cell>
        </row>
        <row r="119">
          <cell r="A119">
            <v>3031</v>
          </cell>
          <cell r="B119" t="str">
            <v>剪径强人</v>
          </cell>
          <cell r="C119" t="str">
            <v>1200190;1200191;1200192</v>
          </cell>
        </row>
        <row r="119">
          <cell r="F119">
            <v>3</v>
          </cell>
          <cell r="G119">
            <v>0</v>
          </cell>
          <cell r="H119">
            <v>1</v>
          </cell>
          <cell r="I119">
            <v>1</v>
          </cell>
          <cell r="J119" t="b">
            <v>0</v>
          </cell>
          <cell r="K119">
            <v>1003</v>
          </cell>
          <cell r="L119">
            <v>-6.34</v>
          </cell>
          <cell r="M119">
            <v>-7.69</v>
          </cell>
          <cell r="N119">
            <v>0</v>
          </cell>
          <cell r="O119" t="str">
            <v>0</v>
          </cell>
          <cell r="P119" t="str">
            <v>0.362,-5.65;1.743,-5.48;0.34,-7.68;-0.76,-5.24;-1.76,-5.89;</v>
          </cell>
          <cell r="Q119">
            <v>14000</v>
          </cell>
          <cell r="R119">
            <v>180</v>
          </cell>
          <cell r="S119" t="str">
            <v>1001+12;901002+1;</v>
          </cell>
          <cell r="T119" t="str">
            <v>12000,1</v>
          </cell>
        </row>
        <row r="120">
          <cell r="A120">
            <v>3032</v>
          </cell>
          <cell r="B120" t="str">
            <v>无赖头儿</v>
          </cell>
          <cell r="C120" t="str">
            <v>1200193;1200194;1200195</v>
          </cell>
        </row>
        <row r="120">
          <cell r="F120">
            <v>3</v>
          </cell>
          <cell r="G120">
            <v>0</v>
          </cell>
          <cell r="H120">
            <v>1</v>
          </cell>
          <cell r="I120">
            <v>1</v>
          </cell>
          <cell r="J120" t="b">
            <v>0</v>
          </cell>
          <cell r="K120">
            <v>1003</v>
          </cell>
          <cell r="L120">
            <v>-6.34</v>
          </cell>
          <cell r="M120">
            <v>-7.69</v>
          </cell>
          <cell r="N120">
            <v>0</v>
          </cell>
          <cell r="O120" t="str">
            <v>0</v>
          </cell>
          <cell r="P120" t="str">
            <v>0.362,-5.65;1.743,-5.48;0.34,-7.68;-0.76,-5.24;-1.76,-5.89;</v>
          </cell>
          <cell r="Q120">
            <v>14000</v>
          </cell>
          <cell r="R120">
            <v>180</v>
          </cell>
          <cell r="S120" t="str">
            <v>1001+12;901102+1;907011+1;</v>
          </cell>
          <cell r="T120" t="str">
            <v>12000,1</v>
          </cell>
        </row>
        <row r="121">
          <cell r="A121">
            <v>3033</v>
          </cell>
          <cell r="B121" t="str">
            <v>太平妖道</v>
          </cell>
          <cell r="C121" t="str">
            <v>1200196;1200197</v>
          </cell>
        </row>
        <row r="121">
          <cell r="F121">
            <v>3</v>
          </cell>
          <cell r="G121">
            <v>0</v>
          </cell>
          <cell r="H121">
            <v>1</v>
          </cell>
          <cell r="I121">
            <v>1</v>
          </cell>
          <cell r="J121" t="b">
            <v>0</v>
          </cell>
          <cell r="K121">
            <v>1003</v>
          </cell>
          <cell r="L121">
            <v>-6.34</v>
          </cell>
          <cell r="M121">
            <v>-7.69</v>
          </cell>
          <cell r="N121">
            <v>0</v>
          </cell>
          <cell r="O121" t="str">
            <v>0</v>
          </cell>
          <cell r="P121" t="str">
            <v>0.362,-5.65;1.743,-5.48;0.34,-7.68;-0.76,-5.24;-1.76,-5.89;</v>
          </cell>
          <cell r="Q121">
            <v>14000</v>
          </cell>
          <cell r="R121">
            <v>180</v>
          </cell>
          <cell r="S121" t="str">
            <v>1001+12;</v>
          </cell>
          <cell r="T121" t="str">
            <v>12000,1</v>
          </cell>
        </row>
        <row r="122">
          <cell r="A122">
            <v>3034</v>
          </cell>
          <cell r="B122" t="str">
            <v>恶狼</v>
          </cell>
          <cell r="C122" t="str">
            <v>1200187;1200188;1200189</v>
          </cell>
        </row>
        <row r="122">
          <cell r="F122">
            <v>3</v>
          </cell>
          <cell r="G122">
            <v>0</v>
          </cell>
          <cell r="H122">
            <v>1</v>
          </cell>
          <cell r="I122">
            <v>1</v>
          </cell>
          <cell r="J122" t="b">
            <v>0</v>
          </cell>
          <cell r="K122">
            <v>1003</v>
          </cell>
          <cell r="L122">
            <v>-6.34</v>
          </cell>
          <cell r="M122">
            <v>-7.69</v>
          </cell>
          <cell r="N122">
            <v>0</v>
          </cell>
          <cell r="O122" t="str">
            <v>0</v>
          </cell>
          <cell r="P122" t="str">
            <v>0.362,-5.65;1.743,-5.48;0.34,-7.68;-0.76,-5.24;-1.76,-5.89;</v>
          </cell>
          <cell r="Q122">
            <v>14000</v>
          </cell>
          <cell r="R122">
            <v>180</v>
          </cell>
          <cell r="S122" t="str">
            <v>1001+12;901002+1;908056+1</v>
          </cell>
          <cell r="T122" t="str">
            <v>12000,1</v>
          </cell>
        </row>
        <row r="123">
          <cell r="A123">
            <v>3035</v>
          </cell>
          <cell r="B123" t="str">
            <v>金顶道长</v>
          </cell>
          <cell r="C123">
            <v>1200199</v>
          </cell>
        </row>
        <row r="123">
          <cell r="F123">
            <v>3</v>
          </cell>
          <cell r="G123">
            <v>0</v>
          </cell>
          <cell r="H123">
            <v>1</v>
          </cell>
          <cell r="I123">
            <v>1</v>
          </cell>
          <cell r="J123" t="b">
            <v>0</v>
          </cell>
          <cell r="K123">
            <v>1003</v>
          </cell>
          <cell r="L123">
            <v>-6.34</v>
          </cell>
          <cell r="M123">
            <v>-7.69</v>
          </cell>
          <cell r="N123">
            <v>0</v>
          </cell>
          <cell r="O123" t="str">
            <v>0</v>
          </cell>
          <cell r="P123" t="str">
            <v>0.362,-5.65;1.743,-5.48;0.34,-7.68;-0.76,-5.24;-1.76,-5.89;</v>
          </cell>
          <cell r="Q123">
            <v>14000</v>
          </cell>
          <cell r="R123">
            <v>360</v>
          </cell>
          <cell r="S123" t="str">
            <v>1001+12;901102+1;907010+1;</v>
          </cell>
          <cell r="T123" t="str">
            <v>12000,1</v>
          </cell>
        </row>
        <row r="124">
          <cell r="A124">
            <v>3036</v>
          </cell>
          <cell r="B124" t="str">
            <v>通缉逃犯</v>
          </cell>
          <cell r="C124">
            <v>1200200</v>
          </cell>
        </row>
        <row r="124">
          <cell r="F124">
            <v>3</v>
          </cell>
          <cell r="G124">
            <v>0</v>
          </cell>
          <cell r="H124">
            <v>1</v>
          </cell>
          <cell r="I124">
            <v>1</v>
          </cell>
          <cell r="J124" t="b">
            <v>0</v>
          </cell>
          <cell r="K124">
            <v>1003</v>
          </cell>
          <cell r="L124">
            <v>-6.34</v>
          </cell>
          <cell r="M124">
            <v>-7.69</v>
          </cell>
          <cell r="N124">
            <v>0</v>
          </cell>
          <cell r="O124" t="str">
            <v>0</v>
          </cell>
          <cell r="P124" t="str">
            <v>0.362,-5.65;1.743,-5.48;0.34,-7.68;-0.76,-5.24;-1.76,-5.89;</v>
          </cell>
          <cell r="Q124">
            <v>15000</v>
          </cell>
          <cell r="R124">
            <v>180</v>
          </cell>
          <cell r="S124" t="str">
            <v>1001+12;</v>
          </cell>
          <cell r="T124" t="str">
            <v>12000,1</v>
          </cell>
        </row>
        <row r="125">
          <cell r="A125">
            <v>3037</v>
          </cell>
          <cell r="B125" t="str">
            <v>流窜倭寇</v>
          </cell>
          <cell r="C125" t="str">
            <v>1200201;1200202;1200203;1200204;1200205</v>
          </cell>
        </row>
        <row r="125">
          <cell r="F125">
            <v>3</v>
          </cell>
          <cell r="G125">
            <v>0</v>
          </cell>
          <cell r="H125">
            <v>1</v>
          </cell>
          <cell r="I125">
            <v>1</v>
          </cell>
          <cell r="J125" t="b">
            <v>0</v>
          </cell>
          <cell r="K125">
            <v>1003</v>
          </cell>
          <cell r="L125">
            <v>-6.34</v>
          </cell>
          <cell r="M125">
            <v>-7.69</v>
          </cell>
          <cell r="N125">
            <v>0</v>
          </cell>
          <cell r="O125" t="str">
            <v>0</v>
          </cell>
          <cell r="P125" t="str">
            <v>0.362,-5.65;1.743,-5.48;0.34,-7.68;-0.76,-5.24;-1.76,-5.89;</v>
          </cell>
          <cell r="Q125">
            <v>15000</v>
          </cell>
          <cell r="R125">
            <v>180</v>
          </cell>
          <cell r="S125" t="str">
            <v>1001+12;</v>
          </cell>
          <cell r="T125" t="str">
            <v>12000,1</v>
          </cell>
        </row>
        <row r="126">
          <cell r="A126">
            <v>3038</v>
          </cell>
          <cell r="B126" t="str">
            <v>地痞</v>
          </cell>
          <cell r="C126" t="str">
            <v>1200206;1200207;1200208;1200209</v>
          </cell>
        </row>
        <row r="126">
          <cell r="F126">
            <v>3</v>
          </cell>
          <cell r="G126">
            <v>0</v>
          </cell>
          <cell r="H126">
            <v>1</v>
          </cell>
          <cell r="I126">
            <v>1</v>
          </cell>
          <cell r="J126" t="b">
            <v>0</v>
          </cell>
          <cell r="K126">
            <v>1003</v>
          </cell>
          <cell r="L126">
            <v>-6.34</v>
          </cell>
          <cell r="M126">
            <v>-7.69</v>
          </cell>
          <cell r="N126">
            <v>0</v>
          </cell>
          <cell r="O126" t="str">
            <v>0</v>
          </cell>
          <cell r="P126" t="str">
            <v>0.362,-5.65;1.743,-5.48;0.34,-7.68;-0.76,-5.24;-1.76,-5.89;</v>
          </cell>
          <cell r="Q126">
            <v>15000</v>
          </cell>
          <cell r="R126">
            <v>180</v>
          </cell>
          <cell r="S126" t="str">
            <v>1001+12;901002+1;</v>
          </cell>
          <cell r="T126" t="str">
            <v>12000,1</v>
          </cell>
        </row>
        <row r="127">
          <cell r="A127">
            <v>3039</v>
          </cell>
          <cell r="B127" t="str">
            <v>今川家武士</v>
          </cell>
          <cell r="C127">
            <v>1200210</v>
          </cell>
        </row>
        <row r="127">
          <cell r="F127">
            <v>3</v>
          </cell>
          <cell r="G127">
            <v>0</v>
          </cell>
          <cell r="H127">
            <v>1</v>
          </cell>
          <cell r="I127">
            <v>1</v>
          </cell>
          <cell r="J127" t="b">
            <v>0</v>
          </cell>
          <cell r="K127">
            <v>1003</v>
          </cell>
          <cell r="L127">
            <v>-6.34</v>
          </cell>
          <cell r="M127">
            <v>-7.69</v>
          </cell>
          <cell r="N127">
            <v>0</v>
          </cell>
          <cell r="O127" t="str">
            <v>0</v>
          </cell>
          <cell r="P127" t="str">
            <v>0.362,-5.65;1.743,-5.48;0.34,-7.68;-0.76,-5.24;-1.76,-5.89;</v>
          </cell>
          <cell r="Q127">
            <v>15000</v>
          </cell>
          <cell r="R127">
            <v>360</v>
          </cell>
          <cell r="S127" t="str">
            <v>1001+12;901102+1;908031+1;</v>
          </cell>
          <cell r="T127" t="str">
            <v>12000,1</v>
          </cell>
        </row>
        <row r="128">
          <cell r="A128">
            <v>3040</v>
          </cell>
          <cell r="B128" t="str">
            <v>涯守弟子</v>
          </cell>
          <cell r="C128" t="str">
            <v>1200211;1200212;1200213</v>
          </cell>
        </row>
        <row r="128">
          <cell r="F128">
            <v>3</v>
          </cell>
          <cell r="G128">
            <v>0</v>
          </cell>
          <cell r="H128">
            <v>1</v>
          </cell>
          <cell r="I128">
            <v>1</v>
          </cell>
          <cell r="J128" t="b">
            <v>0</v>
          </cell>
          <cell r="K128">
            <v>1003</v>
          </cell>
          <cell r="L128">
            <v>-6.34</v>
          </cell>
          <cell r="M128">
            <v>-7.69</v>
          </cell>
          <cell r="N128">
            <v>0</v>
          </cell>
          <cell r="O128" t="str">
            <v>0</v>
          </cell>
          <cell r="P128" t="str">
            <v>0.362,-5.65;1.743,-5.48;0.34,-7.68;-0.76,-5.24;-1.76,-5.89;</v>
          </cell>
          <cell r="Q128">
            <v>15000</v>
          </cell>
          <cell r="R128">
            <v>180</v>
          </cell>
          <cell r="S128" t="str">
            <v>1001+12;</v>
          </cell>
          <cell r="T128" t="str">
            <v>12000,1</v>
          </cell>
        </row>
        <row r="129">
          <cell r="A129">
            <v>3041</v>
          </cell>
          <cell r="B129" t="str">
            <v>海阁高士</v>
          </cell>
          <cell r="C129">
            <v>1200214</v>
          </cell>
        </row>
        <row r="129">
          <cell r="F129">
            <v>3</v>
          </cell>
          <cell r="G129">
            <v>0</v>
          </cell>
          <cell r="H129">
            <v>1</v>
          </cell>
          <cell r="I129">
            <v>1</v>
          </cell>
          <cell r="J129" t="b">
            <v>0</v>
          </cell>
          <cell r="K129">
            <v>1003</v>
          </cell>
          <cell r="L129">
            <v>-6.34</v>
          </cell>
          <cell r="M129">
            <v>-7.69</v>
          </cell>
          <cell r="N129">
            <v>0</v>
          </cell>
          <cell r="O129" t="str">
            <v>0</v>
          </cell>
          <cell r="P129" t="str">
            <v>0.362,-5.65;1.743,-5.48;0.34,-7.68;-0.76,-5.24;-1.76,-5.89;</v>
          </cell>
          <cell r="Q129">
            <v>15000</v>
          </cell>
          <cell r="R129">
            <v>360</v>
          </cell>
          <cell r="S129" t="str">
            <v>1001+12;901002+1;907012+1;</v>
          </cell>
          <cell r="T129" t="str">
            <v>12000,1</v>
          </cell>
        </row>
        <row r="130">
          <cell r="A130">
            <v>3042</v>
          </cell>
          <cell r="B130" t="str">
            <v>飞贼</v>
          </cell>
          <cell r="C130">
            <v>1200215</v>
          </cell>
        </row>
        <row r="130">
          <cell r="F130">
            <v>3</v>
          </cell>
          <cell r="G130">
            <v>0</v>
          </cell>
          <cell r="H130">
            <v>1</v>
          </cell>
          <cell r="I130">
            <v>1</v>
          </cell>
          <cell r="J130" t="b">
            <v>0</v>
          </cell>
          <cell r="K130">
            <v>1003</v>
          </cell>
          <cell r="L130">
            <v>-6.34</v>
          </cell>
          <cell r="M130">
            <v>-7.69</v>
          </cell>
          <cell r="N130">
            <v>0</v>
          </cell>
          <cell r="O130" t="str">
            <v>0</v>
          </cell>
          <cell r="P130" t="str">
            <v>0.362,-5.65;1.743,-5.48;0.34,-7.68;-0.76,-5.24;-1.76,-5.89;</v>
          </cell>
          <cell r="Q130">
            <v>15000</v>
          </cell>
          <cell r="R130">
            <v>180</v>
          </cell>
          <cell r="S130" t="str">
            <v>1001+12;901102+1;</v>
          </cell>
          <cell r="T130" t="str">
            <v>12000,1</v>
          </cell>
        </row>
        <row r="131">
          <cell r="A131">
            <v>3043</v>
          </cell>
          <cell r="B131" t="str">
            <v>灵隐禅师</v>
          </cell>
          <cell r="C131">
            <v>1200216</v>
          </cell>
        </row>
        <row r="131">
          <cell r="F131">
            <v>3</v>
          </cell>
          <cell r="G131">
            <v>0</v>
          </cell>
          <cell r="H131">
            <v>1</v>
          </cell>
          <cell r="I131">
            <v>1</v>
          </cell>
          <cell r="J131" t="b">
            <v>0</v>
          </cell>
          <cell r="K131">
            <v>1003</v>
          </cell>
          <cell r="L131">
            <v>-6.34</v>
          </cell>
          <cell r="M131">
            <v>-7.69</v>
          </cell>
          <cell r="N131">
            <v>0</v>
          </cell>
          <cell r="O131" t="str">
            <v>0</v>
          </cell>
          <cell r="P131" t="str">
            <v>0.362,-5.65;1.743,-5.48;0.34,-7.68;-0.76,-5.24;-1.76,-5.89;</v>
          </cell>
          <cell r="Q131">
            <v>16000</v>
          </cell>
          <cell r="R131">
            <v>180</v>
          </cell>
          <cell r="S131" t="str">
            <v>1001+7;</v>
          </cell>
          <cell r="T131" t="str">
            <v>12000,1</v>
          </cell>
        </row>
        <row r="132">
          <cell r="A132">
            <v>3044</v>
          </cell>
          <cell r="B132" t="str">
            <v>鬼祟偷儿</v>
          </cell>
          <cell r="C132">
            <v>1200217</v>
          </cell>
        </row>
        <row r="132">
          <cell r="F132">
            <v>3</v>
          </cell>
          <cell r="G132">
            <v>0</v>
          </cell>
          <cell r="H132">
            <v>1</v>
          </cell>
          <cell r="I132">
            <v>1</v>
          </cell>
          <cell r="J132" t="b">
            <v>0</v>
          </cell>
          <cell r="K132">
            <v>1003</v>
          </cell>
          <cell r="L132">
            <v>-6.34</v>
          </cell>
          <cell r="M132">
            <v>-7.69</v>
          </cell>
          <cell r="N132">
            <v>0</v>
          </cell>
          <cell r="O132" t="str">
            <v>0</v>
          </cell>
          <cell r="P132" t="str">
            <v>0.362,-5.65;1.743,-5.48;0.34,-7.68;-0.76,-5.24;-1.76,-5.89;</v>
          </cell>
          <cell r="Q132">
            <v>16000</v>
          </cell>
          <cell r="R132">
            <v>180</v>
          </cell>
          <cell r="S132" t="str">
            <v>1001+7;901002+1;907011+1;</v>
          </cell>
          <cell r="T132" t="str">
            <v>12000,1</v>
          </cell>
        </row>
        <row r="133">
          <cell r="A133">
            <v>3045</v>
          </cell>
          <cell r="B133" t="str">
            <v>游历侠客</v>
          </cell>
          <cell r="C133" t="str">
            <v>1200218;1200219</v>
          </cell>
        </row>
        <row r="133">
          <cell r="F133">
            <v>3</v>
          </cell>
          <cell r="G133">
            <v>0</v>
          </cell>
          <cell r="H133">
            <v>1</v>
          </cell>
          <cell r="I133">
            <v>1</v>
          </cell>
          <cell r="J133" t="b">
            <v>0</v>
          </cell>
          <cell r="K133">
            <v>1003</v>
          </cell>
          <cell r="L133">
            <v>-6.34</v>
          </cell>
          <cell r="M133">
            <v>-7.69</v>
          </cell>
          <cell r="N133">
            <v>0</v>
          </cell>
          <cell r="O133" t="str">
            <v>0</v>
          </cell>
          <cell r="P133" t="str">
            <v>0.362,-5.65;1.743,-5.48;0.34,-7.68;-0.76,-5.24;-1.76,-5.89;</v>
          </cell>
          <cell r="Q133">
            <v>16000</v>
          </cell>
          <cell r="R133">
            <v>360</v>
          </cell>
          <cell r="S133" t="str">
            <v>1001+7;901102+1;</v>
          </cell>
          <cell r="T133" t="str">
            <v>12000,1</v>
          </cell>
        </row>
        <row r="134">
          <cell r="A134">
            <v>3046</v>
          </cell>
          <cell r="B134" t="str">
            <v>地痞头子</v>
          </cell>
          <cell r="C134" t="str">
            <v>1200220;1200221;1200222;1200223</v>
          </cell>
        </row>
        <row r="134">
          <cell r="F134">
            <v>3</v>
          </cell>
          <cell r="G134">
            <v>0</v>
          </cell>
          <cell r="H134">
            <v>1</v>
          </cell>
          <cell r="I134">
            <v>1</v>
          </cell>
          <cell r="J134" t="b">
            <v>0</v>
          </cell>
          <cell r="K134">
            <v>1003</v>
          </cell>
          <cell r="L134">
            <v>-6.34</v>
          </cell>
          <cell r="M134">
            <v>-7.69</v>
          </cell>
          <cell r="N134">
            <v>0</v>
          </cell>
          <cell r="O134" t="str">
            <v>0</v>
          </cell>
          <cell r="P134" t="str">
            <v>0.362,-5.65;1.743,-5.48;0.34,-7.68;-0.76,-5.24;-1.76,-5.89;</v>
          </cell>
          <cell r="Q134">
            <v>16000</v>
          </cell>
          <cell r="R134">
            <v>180</v>
          </cell>
          <cell r="S134" t="str">
            <v>1001+7;</v>
          </cell>
          <cell r="T134" t="str">
            <v>12000,1</v>
          </cell>
        </row>
        <row r="135">
          <cell r="A135">
            <v>3047</v>
          </cell>
          <cell r="B135" t="str">
            <v>退隐武师</v>
          </cell>
          <cell r="C135">
            <v>1200224</v>
          </cell>
        </row>
        <row r="135">
          <cell r="F135">
            <v>3</v>
          </cell>
          <cell r="G135">
            <v>0</v>
          </cell>
          <cell r="H135">
            <v>1</v>
          </cell>
          <cell r="I135">
            <v>1</v>
          </cell>
          <cell r="J135" t="b">
            <v>0</v>
          </cell>
          <cell r="K135">
            <v>1003</v>
          </cell>
          <cell r="L135">
            <v>-6.34</v>
          </cell>
          <cell r="M135">
            <v>-7.69</v>
          </cell>
          <cell r="N135">
            <v>0</v>
          </cell>
          <cell r="O135" t="str">
            <v>0</v>
          </cell>
          <cell r="P135" t="str">
            <v>0.362,-5.65;1.743,-5.48;0.34,-7.68;-0.76,-5.24;-1.76,-5.89;</v>
          </cell>
          <cell r="Q135">
            <v>16000</v>
          </cell>
          <cell r="R135">
            <v>180</v>
          </cell>
          <cell r="S135" t="str">
            <v>1001+7;907009+1;</v>
          </cell>
          <cell r="T135" t="str">
            <v>12000,1</v>
          </cell>
        </row>
        <row r="136">
          <cell r="A136">
            <v>3048</v>
          </cell>
          <cell r="B136" t="str">
            <v>毒蛇</v>
          </cell>
          <cell r="C136" t="str">
            <v>1200225;1200226;1200227</v>
          </cell>
        </row>
        <row r="136">
          <cell r="F136">
            <v>3</v>
          </cell>
          <cell r="G136">
            <v>0</v>
          </cell>
          <cell r="H136">
            <v>1</v>
          </cell>
          <cell r="I136">
            <v>1</v>
          </cell>
          <cell r="J136" t="b">
            <v>0</v>
          </cell>
          <cell r="K136">
            <v>1003</v>
          </cell>
          <cell r="L136">
            <v>-6.34</v>
          </cell>
          <cell r="M136">
            <v>-7.69</v>
          </cell>
          <cell r="N136">
            <v>0</v>
          </cell>
          <cell r="O136" t="str">
            <v>0</v>
          </cell>
          <cell r="P136" t="str">
            <v>0.362,-5.65;1.743,-5.48;0.34,-7.68;-0.76,-5.24;-1.76,-5.89;</v>
          </cell>
          <cell r="Q136">
            <v>17000</v>
          </cell>
          <cell r="R136">
            <v>180</v>
          </cell>
          <cell r="S136" t="str">
            <v>1001+17;901003+1;908040+1</v>
          </cell>
          <cell r="T136" t="str">
            <v>12000,1</v>
          </cell>
        </row>
        <row r="137">
          <cell r="A137">
            <v>3049</v>
          </cell>
          <cell r="B137" t="str">
            <v>落魄苗民</v>
          </cell>
          <cell r="C137" t="str">
            <v>1200228;1200229;1200230</v>
          </cell>
        </row>
        <row r="137">
          <cell r="F137">
            <v>3</v>
          </cell>
          <cell r="G137">
            <v>0</v>
          </cell>
          <cell r="H137">
            <v>1</v>
          </cell>
          <cell r="I137">
            <v>1</v>
          </cell>
          <cell r="J137" t="b">
            <v>0</v>
          </cell>
          <cell r="K137">
            <v>1003</v>
          </cell>
          <cell r="L137">
            <v>-6.34</v>
          </cell>
          <cell r="M137">
            <v>-7.69</v>
          </cell>
          <cell r="N137">
            <v>0</v>
          </cell>
          <cell r="O137" t="str">
            <v>0</v>
          </cell>
          <cell r="P137" t="str">
            <v>0.362,-5.65;1.743,-5.48;0.34,-7.68;-0.76,-5.24;-1.76,-5.89;</v>
          </cell>
          <cell r="Q137">
            <v>17000</v>
          </cell>
          <cell r="R137">
            <v>180</v>
          </cell>
          <cell r="S137" t="str">
            <v>1001+17;901103+1;</v>
          </cell>
          <cell r="T137" t="str">
            <v>12000,1</v>
          </cell>
        </row>
        <row r="138">
          <cell r="A138">
            <v>3050</v>
          </cell>
          <cell r="B138" t="str">
            <v>流亡汉民</v>
          </cell>
          <cell r="C138" t="str">
            <v>1200231;1200232;1200233</v>
          </cell>
        </row>
        <row r="138">
          <cell r="F138">
            <v>3</v>
          </cell>
          <cell r="G138">
            <v>0</v>
          </cell>
          <cell r="H138">
            <v>1</v>
          </cell>
          <cell r="I138">
            <v>1</v>
          </cell>
          <cell r="J138" t="b">
            <v>0</v>
          </cell>
          <cell r="K138">
            <v>1003</v>
          </cell>
          <cell r="L138">
            <v>-6.34</v>
          </cell>
          <cell r="M138">
            <v>-7.69</v>
          </cell>
          <cell r="N138">
            <v>0</v>
          </cell>
          <cell r="O138" t="str">
            <v>0</v>
          </cell>
          <cell r="P138" t="str">
            <v>0.362,-5.65;1.743,-5.48;0.34,-7.68;-0.76,-5.24;-1.76,-5.89;</v>
          </cell>
          <cell r="Q138">
            <v>17000</v>
          </cell>
          <cell r="R138">
            <v>180</v>
          </cell>
          <cell r="S138" t="str">
            <v>1001+17;</v>
          </cell>
          <cell r="T138" t="str">
            <v>12000,1</v>
          </cell>
        </row>
        <row r="139">
          <cell r="A139">
            <v>3051</v>
          </cell>
          <cell r="B139" t="str">
            <v>贼寇</v>
          </cell>
          <cell r="C139" t="str">
            <v>1200234;1200235;1200236;1200237</v>
          </cell>
        </row>
        <row r="139">
          <cell r="F139">
            <v>3</v>
          </cell>
          <cell r="G139">
            <v>0</v>
          </cell>
          <cell r="H139">
            <v>1</v>
          </cell>
          <cell r="I139">
            <v>1</v>
          </cell>
          <cell r="J139" t="b">
            <v>0</v>
          </cell>
          <cell r="K139">
            <v>1003</v>
          </cell>
          <cell r="L139">
            <v>-6.34</v>
          </cell>
          <cell r="M139">
            <v>-7.69</v>
          </cell>
          <cell r="N139">
            <v>0</v>
          </cell>
          <cell r="O139" t="str">
            <v>0</v>
          </cell>
          <cell r="P139" t="str">
            <v>0.362,-5.65;1.743,-5.48;0.34,-7.68;-0.76,-5.24;-1.76,-5.89;</v>
          </cell>
          <cell r="Q139">
            <v>17000</v>
          </cell>
          <cell r="R139">
            <v>180</v>
          </cell>
          <cell r="S139" t="str">
            <v>1001+17;</v>
          </cell>
          <cell r="T139" t="str">
            <v>12000,1</v>
          </cell>
        </row>
        <row r="140">
          <cell r="A140">
            <v>3052</v>
          </cell>
          <cell r="B140" t="str">
            <v>五圣好手</v>
          </cell>
          <cell r="C140">
            <v>1200238</v>
          </cell>
        </row>
        <row r="140">
          <cell r="F140">
            <v>3</v>
          </cell>
          <cell r="G140">
            <v>0</v>
          </cell>
          <cell r="H140">
            <v>1</v>
          </cell>
          <cell r="I140">
            <v>1</v>
          </cell>
          <cell r="J140" t="b">
            <v>0</v>
          </cell>
          <cell r="K140">
            <v>1003</v>
          </cell>
          <cell r="L140">
            <v>-6.34</v>
          </cell>
          <cell r="M140">
            <v>-7.69</v>
          </cell>
          <cell r="N140">
            <v>0</v>
          </cell>
          <cell r="O140" t="str">
            <v>0</v>
          </cell>
          <cell r="P140" t="str">
            <v>0.362,-5.65;1.743,-5.48;0.34,-7.68;-0.76,-5.24;-1.76,-5.89;</v>
          </cell>
          <cell r="Q140">
            <v>17000</v>
          </cell>
          <cell r="R140">
            <v>180</v>
          </cell>
          <cell r="S140" t="str">
            <v>1001+17;901003+1;907011+1;</v>
          </cell>
          <cell r="T140" t="str">
            <v>12000,1</v>
          </cell>
        </row>
        <row r="141">
          <cell r="A141">
            <v>3053</v>
          </cell>
          <cell r="B141" t="str">
            <v>恶狼</v>
          </cell>
          <cell r="C141" t="str">
            <v>1200239;1200322;1200323</v>
          </cell>
        </row>
        <row r="141">
          <cell r="F141">
            <v>3</v>
          </cell>
          <cell r="G141">
            <v>0</v>
          </cell>
          <cell r="H141">
            <v>1</v>
          </cell>
          <cell r="I141">
            <v>1</v>
          </cell>
          <cell r="J141" t="b">
            <v>0</v>
          </cell>
          <cell r="K141">
            <v>1003</v>
          </cell>
          <cell r="L141">
            <v>-6.34</v>
          </cell>
          <cell r="M141">
            <v>-7.69</v>
          </cell>
          <cell r="N141">
            <v>0</v>
          </cell>
          <cell r="O141" t="str">
            <v>0</v>
          </cell>
          <cell r="P141" t="str">
            <v>0.362,-5.65;1.743,-5.48;0.34,-7.68;-0.76,-5.24;-1.76,-5.89;</v>
          </cell>
          <cell r="Q141">
            <v>17000</v>
          </cell>
          <cell r="R141">
            <v>180</v>
          </cell>
          <cell r="S141" t="str">
            <v>1001+17;901103+1;908043+1</v>
          </cell>
          <cell r="T141" t="str">
            <v>12000,1</v>
          </cell>
        </row>
        <row r="142">
          <cell r="A142">
            <v>3054</v>
          </cell>
          <cell r="B142" t="str">
            <v>贼寇头目</v>
          </cell>
          <cell r="C142" t="str">
            <v>1200240;1200241;1200242;1200243</v>
          </cell>
        </row>
        <row r="142">
          <cell r="F142">
            <v>3</v>
          </cell>
          <cell r="G142">
            <v>0</v>
          </cell>
          <cell r="H142">
            <v>1</v>
          </cell>
          <cell r="I142">
            <v>1</v>
          </cell>
          <cell r="J142" t="b">
            <v>0</v>
          </cell>
          <cell r="K142">
            <v>1003</v>
          </cell>
          <cell r="L142">
            <v>-6.34</v>
          </cell>
          <cell r="M142">
            <v>-7.69</v>
          </cell>
          <cell r="N142">
            <v>0</v>
          </cell>
          <cell r="O142" t="str">
            <v>0</v>
          </cell>
          <cell r="P142" t="str">
            <v>0.362,-5.65;1.743,-5.48;0.34,-7.68;-0.76,-5.24;-1.76,-5.89;</v>
          </cell>
          <cell r="Q142">
            <v>17000</v>
          </cell>
          <cell r="R142">
            <v>180</v>
          </cell>
          <cell r="S142" t="str">
            <v>1001+17;</v>
          </cell>
          <cell r="T142" t="str">
            <v>12000,1</v>
          </cell>
        </row>
        <row r="143">
          <cell r="A143">
            <v>3055</v>
          </cell>
          <cell r="B143" t="str">
            <v>赤练蛇</v>
          </cell>
          <cell r="C143">
            <v>1200244</v>
          </cell>
        </row>
        <row r="143">
          <cell r="F143">
            <v>3</v>
          </cell>
          <cell r="G143">
            <v>0</v>
          </cell>
          <cell r="H143">
            <v>1</v>
          </cell>
          <cell r="I143">
            <v>1</v>
          </cell>
          <cell r="J143" t="b">
            <v>0</v>
          </cell>
          <cell r="K143">
            <v>1003</v>
          </cell>
          <cell r="L143">
            <v>-6.34</v>
          </cell>
          <cell r="M143">
            <v>-7.69</v>
          </cell>
          <cell r="N143">
            <v>0</v>
          </cell>
          <cell r="O143" t="str">
            <v>0</v>
          </cell>
          <cell r="P143" t="str">
            <v>0.362,-5.65;1.743,-5.48;0.34,-7.68;-0.76,-5.24;-1.76,-5.89;</v>
          </cell>
          <cell r="Q143">
            <v>18000</v>
          </cell>
          <cell r="R143">
            <v>180</v>
          </cell>
          <cell r="S143" t="str">
            <v>1001+17;908040+1</v>
          </cell>
          <cell r="T143" t="str">
            <v>12000,1</v>
          </cell>
        </row>
        <row r="144">
          <cell r="A144">
            <v>3056</v>
          </cell>
          <cell r="B144" t="str">
            <v>逃逸蛊蛇</v>
          </cell>
          <cell r="C144" t="str">
            <v>1200245;1200246;1200247</v>
          </cell>
        </row>
        <row r="144">
          <cell r="F144">
            <v>3</v>
          </cell>
          <cell r="G144">
            <v>0</v>
          </cell>
          <cell r="H144">
            <v>1</v>
          </cell>
          <cell r="I144">
            <v>1</v>
          </cell>
          <cell r="J144" t="b">
            <v>0</v>
          </cell>
          <cell r="K144">
            <v>1003</v>
          </cell>
          <cell r="L144">
            <v>-6.34</v>
          </cell>
          <cell r="M144">
            <v>-7.69</v>
          </cell>
          <cell r="N144">
            <v>0</v>
          </cell>
          <cell r="O144" t="str">
            <v>0</v>
          </cell>
          <cell r="P144" t="str">
            <v>0.362,-5.65;1.743,-5.48;0.34,-7.68;-0.76,-5.24;-1.76,-5.89;</v>
          </cell>
          <cell r="Q144">
            <v>18000</v>
          </cell>
          <cell r="R144">
            <v>180</v>
          </cell>
          <cell r="S144" t="str">
            <v>1001+17;908040+1</v>
          </cell>
          <cell r="T144" t="str">
            <v>12000,1</v>
          </cell>
        </row>
        <row r="145">
          <cell r="A145">
            <v>3057</v>
          </cell>
          <cell r="B145" t="str">
            <v>蛊人</v>
          </cell>
          <cell r="C145">
            <v>1200248</v>
          </cell>
        </row>
        <row r="145">
          <cell r="F145">
            <v>3</v>
          </cell>
          <cell r="G145">
            <v>0</v>
          </cell>
          <cell r="H145">
            <v>1</v>
          </cell>
          <cell r="I145">
            <v>1</v>
          </cell>
          <cell r="J145" t="b">
            <v>0</v>
          </cell>
          <cell r="K145">
            <v>1003</v>
          </cell>
          <cell r="L145">
            <v>-6.34</v>
          </cell>
          <cell r="M145">
            <v>-7.69</v>
          </cell>
          <cell r="N145">
            <v>0</v>
          </cell>
          <cell r="O145" t="str">
            <v>0</v>
          </cell>
          <cell r="P145" t="str">
            <v>0.362,-5.65;1.743,-5.48;0.34,-7.68;-0.76,-5.24;-1.76,-5.89;</v>
          </cell>
          <cell r="Q145">
            <v>18000</v>
          </cell>
          <cell r="R145">
            <v>180</v>
          </cell>
          <cell r="S145" t="str">
            <v>1001+17;901003+1;907010+1;</v>
          </cell>
          <cell r="T145" t="str">
            <v>12000,1</v>
          </cell>
        </row>
        <row r="146">
          <cell r="A146">
            <v>3058</v>
          </cell>
          <cell r="B146" t="str">
            <v>失控灵蜈奴</v>
          </cell>
          <cell r="C146" t="str">
            <v>1200249;1200250;1200251</v>
          </cell>
        </row>
        <row r="146">
          <cell r="F146">
            <v>3</v>
          </cell>
          <cell r="G146">
            <v>0</v>
          </cell>
          <cell r="H146">
            <v>1</v>
          </cell>
          <cell r="I146">
            <v>1</v>
          </cell>
          <cell r="J146" t="b">
            <v>0</v>
          </cell>
          <cell r="K146">
            <v>1003</v>
          </cell>
          <cell r="L146">
            <v>-6.34</v>
          </cell>
          <cell r="M146">
            <v>-7.69</v>
          </cell>
          <cell r="N146">
            <v>0</v>
          </cell>
          <cell r="O146" t="str">
            <v>0</v>
          </cell>
          <cell r="P146" t="str">
            <v>0.362,-5.65;1.743,-5.48;0.34,-7.68;-0.76,-5.24;-1.76,-5.89;</v>
          </cell>
          <cell r="Q146">
            <v>18000</v>
          </cell>
          <cell r="R146">
            <v>360</v>
          </cell>
          <cell r="S146" t="str">
            <v>1001+17;901103+1;</v>
          </cell>
          <cell r="T146" t="str">
            <v>12000,1</v>
          </cell>
        </row>
        <row r="147">
          <cell r="A147">
            <v>3059</v>
          </cell>
          <cell r="B147" t="str">
            <v>毒蛇</v>
          </cell>
          <cell r="C147" t="str">
            <v>1200252;1200253;1200254;1200255;1200256</v>
          </cell>
        </row>
        <row r="147">
          <cell r="F147">
            <v>3</v>
          </cell>
          <cell r="G147">
            <v>0</v>
          </cell>
          <cell r="H147">
            <v>1</v>
          </cell>
          <cell r="I147">
            <v>1</v>
          </cell>
          <cell r="J147" t="b">
            <v>0</v>
          </cell>
          <cell r="K147">
            <v>1003</v>
          </cell>
          <cell r="L147">
            <v>-6.34</v>
          </cell>
          <cell r="M147">
            <v>-7.69</v>
          </cell>
          <cell r="N147">
            <v>0</v>
          </cell>
          <cell r="O147" t="str">
            <v>0</v>
          </cell>
          <cell r="P147" t="str">
            <v>0.362,-5.65;1.743,-5.48;0.34,-7.68;-0.76,-5.24;-1.76,-5.89;</v>
          </cell>
          <cell r="Q147">
            <v>18000</v>
          </cell>
          <cell r="R147">
            <v>180</v>
          </cell>
          <cell r="S147" t="str">
            <v>1001+17;908040+1</v>
          </cell>
          <cell r="T147" t="str">
            <v>12000,1</v>
          </cell>
        </row>
        <row r="148">
          <cell r="A148">
            <v>3060</v>
          </cell>
          <cell r="B148" t="str">
            <v>蛊蝎</v>
          </cell>
          <cell r="C148" t="str">
            <v>1200257;1200258;1200259</v>
          </cell>
        </row>
        <row r="148">
          <cell r="F148">
            <v>3</v>
          </cell>
          <cell r="G148">
            <v>0</v>
          </cell>
          <cell r="H148">
            <v>1</v>
          </cell>
          <cell r="I148">
            <v>1</v>
          </cell>
          <cell r="J148" t="b">
            <v>0</v>
          </cell>
          <cell r="K148">
            <v>1003</v>
          </cell>
          <cell r="L148">
            <v>-6.34</v>
          </cell>
          <cell r="M148">
            <v>-7.69</v>
          </cell>
          <cell r="N148">
            <v>0</v>
          </cell>
          <cell r="O148" t="str">
            <v>0</v>
          </cell>
          <cell r="P148" t="str">
            <v>0.362,-5.65;1.743,-5.48;0.34,-7.68;-0.76,-5.24;-1.76,-5.89;</v>
          </cell>
          <cell r="Q148">
            <v>18000</v>
          </cell>
          <cell r="R148">
            <v>180</v>
          </cell>
          <cell r="S148" t="str">
            <v>1001+17;901003+1;</v>
          </cell>
          <cell r="T148" t="str">
            <v>12000,1</v>
          </cell>
        </row>
        <row r="149">
          <cell r="A149">
            <v>3061</v>
          </cell>
          <cell r="B149" t="str">
            <v>苗寨好手</v>
          </cell>
          <cell r="C149">
            <v>1200260</v>
          </cell>
        </row>
        <row r="149">
          <cell r="F149">
            <v>3</v>
          </cell>
          <cell r="G149">
            <v>0</v>
          </cell>
          <cell r="H149">
            <v>1</v>
          </cell>
          <cell r="I149">
            <v>1</v>
          </cell>
          <cell r="J149" t="b">
            <v>0</v>
          </cell>
          <cell r="K149">
            <v>1003</v>
          </cell>
          <cell r="L149">
            <v>-6.34</v>
          </cell>
          <cell r="M149">
            <v>-7.69</v>
          </cell>
          <cell r="N149">
            <v>0</v>
          </cell>
          <cell r="O149" t="str">
            <v>0</v>
          </cell>
          <cell r="P149" t="str">
            <v>0.362,-5.65;1.743,-5.48;0.34,-7.68;-0.76,-5.24;-1.76,-5.89;</v>
          </cell>
          <cell r="Q149">
            <v>18000</v>
          </cell>
          <cell r="R149">
            <v>180</v>
          </cell>
          <cell r="S149" t="str">
            <v>1001+17;901103+1;907009+1;</v>
          </cell>
          <cell r="T149" t="str">
            <v>12000,1</v>
          </cell>
        </row>
        <row r="150">
          <cell r="A150">
            <v>3062</v>
          </cell>
          <cell r="B150" t="str">
            <v>毒蛇</v>
          </cell>
          <cell r="C150" t="str">
            <v>1200261;1200262;1200263;1200264;1200265</v>
          </cell>
        </row>
        <row r="150">
          <cell r="F150">
            <v>3</v>
          </cell>
          <cell r="G150">
            <v>0</v>
          </cell>
          <cell r="H150">
            <v>1</v>
          </cell>
          <cell r="I150">
            <v>1</v>
          </cell>
          <cell r="J150" t="b">
            <v>0</v>
          </cell>
          <cell r="K150">
            <v>1003</v>
          </cell>
          <cell r="L150">
            <v>-6.34</v>
          </cell>
          <cell r="M150">
            <v>-7.69</v>
          </cell>
          <cell r="N150">
            <v>0</v>
          </cell>
          <cell r="O150" t="str">
            <v>0</v>
          </cell>
          <cell r="P150" t="str">
            <v>0.362,-5.65;1.743,-5.48;0.34,-7.68;-0.76,-5.24;-1.76,-5.89;</v>
          </cell>
          <cell r="Q150">
            <v>18040</v>
          </cell>
          <cell r="R150">
            <v>180</v>
          </cell>
          <cell r="S150" t="str">
            <v>1001+25;1002+30;908040+1</v>
          </cell>
          <cell r="T150" t="str">
            <v>12000,1</v>
          </cell>
        </row>
        <row r="151">
          <cell r="A151">
            <v>3063</v>
          </cell>
          <cell r="B151" t="str">
            <v>蛇王</v>
          </cell>
          <cell r="C151" t="str">
            <v>1200266;1200267;1200268;1200269</v>
          </cell>
        </row>
        <row r="151">
          <cell r="F151">
            <v>3</v>
          </cell>
          <cell r="G151">
            <v>0</v>
          </cell>
          <cell r="H151">
            <v>1</v>
          </cell>
          <cell r="I151">
            <v>1</v>
          </cell>
          <cell r="J151" t="b">
            <v>0</v>
          </cell>
          <cell r="K151">
            <v>1003</v>
          </cell>
          <cell r="L151">
            <v>-6.34</v>
          </cell>
          <cell r="M151">
            <v>-7.69</v>
          </cell>
          <cell r="N151">
            <v>0</v>
          </cell>
          <cell r="O151" t="str">
            <v>0</v>
          </cell>
          <cell r="P151" t="str">
            <v>0.362,-5.65;1.743,-5.48;0.34,-7.68;-0.76,-5.24;-1.76,-5.89;</v>
          </cell>
          <cell r="Q151">
            <v>18040</v>
          </cell>
          <cell r="R151">
            <v>180</v>
          </cell>
          <cell r="S151" t="str">
            <v>1001+17;901003+1;908040+1</v>
          </cell>
          <cell r="T151" t="str">
            <v>12000,1</v>
          </cell>
        </row>
        <row r="152">
          <cell r="A152">
            <v>3064</v>
          </cell>
          <cell r="B152" t="str">
            <v>毒蝎</v>
          </cell>
          <cell r="C152" t="str">
            <v>1200270;1200271;1200272;1200273;1200274</v>
          </cell>
        </row>
        <row r="152">
          <cell r="F152">
            <v>3</v>
          </cell>
          <cell r="G152">
            <v>0</v>
          </cell>
          <cell r="H152">
            <v>1</v>
          </cell>
          <cell r="I152">
            <v>1</v>
          </cell>
          <cell r="J152" t="b">
            <v>0</v>
          </cell>
          <cell r="K152">
            <v>1003</v>
          </cell>
          <cell r="L152">
            <v>-6.34</v>
          </cell>
          <cell r="M152">
            <v>-7.69</v>
          </cell>
          <cell r="N152">
            <v>0</v>
          </cell>
          <cell r="O152" t="str">
            <v>0</v>
          </cell>
          <cell r="P152" t="str">
            <v>0.362,-5.65;1.743,-5.48;0.34,-7.68;-0.76,-5.24;-1.76,-5.89;</v>
          </cell>
          <cell r="Q152">
            <v>18040</v>
          </cell>
          <cell r="R152">
            <v>180</v>
          </cell>
          <cell r="S152" t="str">
            <v>1001+17;901103+1;908040+1</v>
          </cell>
          <cell r="T152" t="str">
            <v>12000,1</v>
          </cell>
        </row>
        <row r="153">
          <cell r="A153">
            <v>3065</v>
          </cell>
          <cell r="B153" t="str">
            <v>毒蛛</v>
          </cell>
          <cell r="C153" t="str">
            <v>1200275;1200276;1200277;1200278</v>
          </cell>
        </row>
        <row r="153">
          <cell r="F153">
            <v>3</v>
          </cell>
          <cell r="G153">
            <v>0</v>
          </cell>
          <cell r="H153">
            <v>1</v>
          </cell>
          <cell r="I153">
            <v>1</v>
          </cell>
          <cell r="J153" t="b">
            <v>0</v>
          </cell>
          <cell r="K153">
            <v>1003</v>
          </cell>
          <cell r="L153">
            <v>-6.34</v>
          </cell>
          <cell r="M153">
            <v>-7.69</v>
          </cell>
          <cell r="N153">
            <v>0</v>
          </cell>
          <cell r="O153" t="str">
            <v>0</v>
          </cell>
          <cell r="P153" t="str">
            <v>0.362,-5.65;1.743,-5.48;0.34,-7.68;-0.76,-5.24;-1.76,-5.89;</v>
          </cell>
          <cell r="Q153">
            <v>18040</v>
          </cell>
          <cell r="R153">
            <v>180</v>
          </cell>
          <cell r="S153" t="str">
            <v>1001+17;908040+1</v>
          </cell>
          <cell r="T153" t="str">
            <v>12000,1</v>
          </cell>
        </row>
        <row r="154">
          <cell r="A154">
            <v>3066</v>
          </cell>
          <cell r="B154" t="str">
            <v>逃逸蛊蛛</v>
          </cell>
          <cell r="C154" t="str">
            <v>1200279;1200280;1200281;1200282</v>
          </cell>
        </row>
        <row r="154">
          <cell r="F154">
            <v>3</v>
          </cell>
          <cell r="G154">
            <v>0</v>
          </cell>
          <cell r="H154">
            <v>1</v>
          </cell>
          <cell r="I154">
            <v>1</v>
          </cell>
          <cell r="J154" t="b">
            <v>0</v>
          </cell>
          <cell r="K154">
            <v>1003</v>
          </cell>
          <cell r="L154">
            <v>-6.34</v>
          </cell>
          <cell r="M154">
            <v>-7.69</v>
          </cell>
          <cell r="N154">
            <v>0</v>
          </cell>
          <cell r="O154" t="str">
            <v>0</v>
          </cell>
          <cell r="P154" t="str">
            <v>0.362,-5.65;1.743,-5.48;0.34,-7.68;-0.76,-5.24;-1.76,-5.89;</v>
          </cell>
          <cell r="Q154">
            <v>18040</v>
          </cell>
          <cell r="R154">
            <v>180</v>
          </cell>
          <cell r="S154" t="str">
            <v>1001+17;901003+1;908040+1</v>
          </cell>
          <cell r="T154" t="str">
            <v>12000,1</v>
          </cell>
        </row>
        <row r="155">
          <cell r="A155">
            <v>3067</v>
          </cell>
          <cell r="B155" t="str">
            <v>毒蟾</v>
          </cell>
          <cell r="C155" t="str">
            <v>1200283;1200284;1200285;1200286</v>
          </cell>
        </row>
        <row r="155">
          <cell r="F155">
            <v>3</v>
          </cell>
          <cell r="G155">
            <v>0</v>
          </cell>
          <cell r="H155">
            <v>1</v>
          </cell>
          <cell r="I155">
            <v>1</v>
          </cell>
          <cell r="J155" t="b">
            <v>0</v>
          </cell>
          <cell r="K155">
            <v>1003</v>
          </cell>
          <cell r="L155">
            <v>-6.34</v>
          </cell>
          <cell r="M155">
            <v>-7.69</v>
          </cell>
          <cell r="N155">
            <v>0</v>
          </cell>
          <cell r="O155" t="str">
            <v>0</v>
          </cell>
          <cell r="P155" t="str">
            <v>0.362,-5.65;1.743,-5.48;0.34,-7.68;-0.76,-5.24;-1.76,-5.89;</v>
          </cell>
          <cell r="Q155">
            <v>18040</v>
          </cell>
          <cell r="R155">
            <v>180</v>
          </cell>
          <cell r="S155" t="str">
            <v>1001+17;901103+1;908040+1</v>
          </cell>
          <cell r="T155" t="str">
            <v>12000,1</v>
          </cell>
        </row>
        <row r="156">
          <cell r="A156">
            <v>3068</v>
          </cell>
          <cell r="B156" t="str">
            <v>流亡恶徒</v>
          </cell>
          <cell r="C156" t="str">
            <v>1200287;1200288;1200289</v>
          </cell>
        </row>
        <row r="156">
          <cell r="F156">
            <v>3</v>
          </cell>
          <cell r="G156">
            <v>0</v>
          </cell>
          <cell r="H156">
            <v>1</v>
          </cell>
          <cell r="I156">
            <v>1</v>
          </cell>
          <cell r="J156" t="b">
            <v>0</v>
          </cell>
          <cell r="K156">
            <v>1003</v>
          </cell>
          <cell r="L156">
            <v>-6.34</v>
          </cell>
          <cell r="M156">
            <v>-7.69</v>
          </cell>
          <cell r="N156">
            <v>0</v>
          </cell>
          <cell r="O156" t="str">
            <v>0</v>
          </cell>
          <cell r="P156" t="str">
            <v>0.362,-5.65;1.743,-5.48;0.34,-7.68;-0.76,-5.24;-1.76,-5.89;</v>
          </cell>
          <cell r="Q156">
            <v>20000</v>
          </cell>
          <cell r="R156">
            <v>180</v>
          </cell>
          <cell r="S156" t="str">
            <v>1001+12;907011+1;</v>
          </cell>
          <cell r="T156" t="str">
            <v>12000,1</v>
          </cell>
        </row>
        <row r="157">
          <cell r="A157">
            <v>3069</v>
          </cell>
          <cell r="B157" t="str">
            <v>伪装道人</v>
          </cell>
          <cell r="C157">
            <v>1200290</v>
          </cell>
        </row>
        <row r="157">
          <cell r="F157">
            <v>3</v>
          </cell>
          <cell r="G157">
            <v>0</v>
          </cell>
          <cell r="H157">
            <v>1</v>
          </cell>
          <cell r="I157">
            <v>1</v>
          </cell>
          <cell r="J157" t="b">
            <v>0</v>
          </cell>
          <cell r="K157">
            <v>1003</v>
          </cell>
          <cell r="L157">
            <v>-6.34</v>
          </cell>
          <cell r="M157">
            <v>-7.69</v>
          </cell>
          <cell r="N157">
            <v>0</v>
          </cell>
          <cell r="O157" t="str">
            <v>0</v>
          </cell>
          <cell r="P157" t="str">
            <v>0.362,-5.65;1.743,-5.48;0.34,-7.68;-0.76,-5.24;-1.76,-5.89;</v>
          </cell>
          <cell r="Q157">
            <v>20000</v>
          </cell>
          <cell r="R157">
            <v>180</v>
          </cell>
          <cell r="S157" t="str">
            <v>1001+12;</v>
          </cell>
          <cell r="T157" t="str">
            <v>12000,1</v>
          </cell>
        </row>
        <row r="158">
          <cell r="A158">
            <v>3070</v>
          </cell>
          <cell r="B158" t="str">
            <v>违纪军士</v>
          </cell>
          <cell r="C158" t="str">
            <v>1200291;1200292;1200293;1200294</v>
          </cell>
        </row>
        <row r="158">
          <cell r="F158">
            <v>3</v>
          </cell>
          <cell r="G158">
            <v>0</v>
          </cell>
          <cell r="H158">
            <v>1</v>
          </cell>
          <cell r="I158">
            <v>1</v>
          </cell>
          <cell r="J158" t="b">
            <v>0</v>
          </cell>
          <cell r="K158">
            <v>1003</v>
          </cell>
          <cell r="L158">
            <v>-6.34</v>
          </cell>
          <cell r="M158">
            <v>-7.69</v>
          </cell>
          <cell r="N158">
            <v>0</v>
          </cell>
          <cell r="O158" t="str">
            <v>0</v>
          </cell>
          <cell r="P158" t="str">
            <v>0.362,-5.65;1.743,-5.48;0.34,-7.68;-0.76,-5.24;-1.76,-5.89;</v>
          </cell>
          <cell r="Q158">
            <v>20000</v>
          </cell>
          <cell r="R158">
            <v>180</v>
          </cell>
          <cell r="S158" t="str">
            <v>1001+12;</v>
          </cell>
          <cell r="T158" t="str">
            <v>12000,1</v>
          </cell>
        </row>
        <row r="159">
          <cell r="A159">
            <v>3071</v>
          </cell>
          <cell r="B159" t="str">
            <v>狱卒</v>
          </cell>
          <cell r="C159" t="str">
            <v>1200906;1200907;1200927;1200930</v>
          </cell>
        </row>
        <row r="159">
          <cell r="F159">
            <v>3</v>
          </cell>
          <cell r="G159">
            <v>0</v>
          </cell>
          <cell r="H159">
            <v>1</v>
          </cell>
          <cell r="I159">
            <v>1</v>
          </cell>
          <cell r="J159" t="b">
            <v>0</v>
          </cell>
          <cell r="K159">
            <v>1003</v>
          </cell>
          <cell r="L159">
            <v>-6.34</v>
          </cell>
          <cell r="M159">
            <v>-7.69</v>
          </cell>
          <cell r="N159">
            <v>0</v>
          </cell>
          <cell r="O159">
            <v>0</v>
          </cell>
          <cell r="P159" t="str">
            <v>0.362,-5.65;1.743,-5.48;0.34,-7.68;-0.76,-5.24;-1.76,-5.89;</v>
          </cell>
          <cell r="Q159">
            <v>0</v>
          </cell>
          <cell r="R159">
            <v>180</v>
          </cell>
          <cell r="S159" t="str">
            <v>1001+15;1002+20;</v>
          </cell>
          <cell r="T159">
            <v>0</v>
          </cell>
        </row>
        <row r="160">
          <cell r="A160">
            <v>3072</v>
          </cell>
          <cell r="B160" t="str">
            <v>狱卒</v>
          </cell>
          <cell r="C160" t="str">
            <v>1200908;1200909;1200928;1200929</v>
          </cell>
        </row>
        <row r="160">
          <cell r="F160">
            <v>3</v>
          </cell>
          <cell r="G160">
            <v>0</v>
          </cell>
          <cell r="H160">
            <v>1</v>
          </cell>
          <cell r="I160">
            <v>1</v>
          </cell>
          <cell r="J160" t="b">
            <v>0</v>
          </cell>
          <cell r="K160">
            <v>1003</v>
          </cell>
          <cell r="L160">
            <v>-6.34</v>
          </cell>
          <cell r="M160">
            <v>-7.69</v>
          </cell>
          <cell r="N160">
            <v>0</v>
          </cell>
          <cell r="O160">
            <v>0</v>
          </cell>
          <cell r="P160" t="str">
            <v>0.362,-5.65;1.743,-5.48;0.34,-7.68;-0.76,-5.24;-1.76,-5.89;</v>
          </cell>
          <cell r="Q160">
            <v>0</v>
          </cell>
          <cell r="R160">
            <v>180</v>
          </cell>
          <cell r="S160" t="str">
            <v>1001+15;1002+20;</v>
          </cell>
          <cell r="T160">
            <v>0</v>
          </cell>
        </row>
        <row r="161">
          <cell r="A161">
            <v>3073</v>
          </cell>
          <cell r="B161" t="str">
            <v>狱卒</v>
          </cell>
          <cell r="C161" t="str">
            <v>1200910;1200911;1200912</v>
          </cell>
        </row>
        <row r="161">
          <cell r="F161">
            <v>3</v>
          </cell>
          <cell r="G161">
            <v>0</v>
          </cell>
          <cell r="H161">
            <v>1</v>
          </cell>
          <cell r="I161">
            <v>1</v>
          </cell>
          <cell r="J161" t="b">
            <v>0</v>
          </cell>
          <cell r="K161">
            <v>1003</v>
          </cell>
          <cell r="L161">
            <v>-6.34</v>
          </cell>
          <cell r="M161">
            <v>-7.69</v>
          </cell>
          <cell r="N161">
            <v>0</v>
          </cell>
          <cell r="O161">
            <v>0</v>
          </cell>
          <cell r="P161" t="str">
            <v>0.362,-5.65;1.743,-5.48;0.34,-7.68;-0.76,-5.24;-1.76,-5.89;</v>
          </cell>
          <cell r="Q161">
            <v>0</v>
          </cell>
          <cell r="R161">
            <v>180</v>
          </cell>
          <cell r="S161" t="str">
            <v>1001+20;1002+25;</v>
          </cell>
          <cell r="T161">
            <v>0</v>
          </cell>
        </row>
        <row r="162">
          <cell r="A162">
            <v>3074</v>
          </cell>
          <cell r="B162" t="str">
            <v>狱卒</v>
          </cell>
          <cell r="C162" t="str">
            <v>1200913;1200914;1200915</v>
          </cell>
        </row>
        <row r="162">
          <cell r="F162">
            <v>3</v>
          </cell>
          <cell r="G162">
            <v>0</v>
          </cell>
          <cell r="H162">
            <v>1</v>
          </cell>
          <cell r="I162">
            <v>1</v>
          </cell>
          <cell r="J162" t="b">
            <v>0</v>
          </cell>
          <cell r="K162">
            <v>1003</v>
          </cell>
          <cell r="L162">
            <v>-6.34</v>
          </cell>
          <cell r="M162">
            <v>-7.69</v>
          </cell>
          <cell r="N162">
            <v>0</v>
          </cell>
          <cell r="O162">
            <v>0</v>
          </cell>
          <cell r="P162" t="str">
            <v>0.362,-5.65;1.743,-5.48;0.34,-7.68;-0.76,-5.24;-1.76,-5.89;</v>
          </cell>
          <cell r="Q162">
            <v>0</v>
          </cell>
          <cell r="R162">
            <v>180</v>
          </cell>
          <cell r="S162" t="str">
            <v>1001+20;1002+25;</v>
          </cell>
          <cell r="T162">
            <v>0</v>
          </cell>
        </row>
        <row r="163">
          <cell r="A163">
            <v>3075</v>
          </cell>
          <cell r="B163" t="str">
            <v>狱卒</v>
          </cell>
          <cell r="C163" t="str">
            <v>1200916;1200917;1200912</v>
          </cell>
        </row>
        <row r="163">
          <cell r="F163">
            <v>3</v>
          </cell>
          <cell r="G163">
            <v>0</v>
          </cell>
          <cell r="H163">
            <v>1</v>
          </cell>
          <cell r="I163">
            <v>1</v>
          </cell>
          <cell r="J163" t="b">
            <v>0</v>
          </cell>
          <cell r="K163">
            <v>1003</v>
          </cell>
          <cell r="L163">
            <v>-6.34</v>
          </cell>
          <cell r="M163">
            <v>-7.69</v>
          </cell>
          <cell r="N163">
            <v>0</v>
          </cell>
          <cell r="O163">
            <v>0</v>
          </cell>
          <cell r="P163" t="str">
            <v>0.362,-5.65;1.743,-5.48;0.34,-7.68;-0.76,-5.24;-1.76,-5.89;</v>
          </cell>
          <cell r="Q163">
            <v>0</v>
          </cell>
          <cell r="R163">
            <v>180</v>
          </cell>
          <cell r="S163" t="str">
            <v>1001+20;1002+25;</v>
          </cell>
          <cell r="T163">
            <v>0</v>
          </cell>
        </row>
        <row r="164">
          <cell r="A164">
            <v>3076</v>
          </cell>
          <cell r="B164" t="str">
            <v>狱卒</v>
          </cell>
          <cell r="C164" t="str">
            <v>1200918;1200919;1200920</v>
          </cell>
        </row>
        <row r="164">
          <cell r="F164">
            <v>3</v>
          </cell>
          <cell r="G164">
            <v>0</v>
          </cell>
          <cell r="H164">
            <v>1</v>
          </cell>
          <cell r="I164">
            <v>1</v>
          </cell>
          <cell r="J164" t="b">
            <v>0</v>
          </cell>
          <cell r="K164">
            <v>1003</v>
          </cell>
          <cell r="L164">
            <v>-6.34</v>
          </cell>
          <cell r="M164">
            <v>-7.69</v>
          </cell>
          <cell r="N164">
            <v>0</v>
          </cell>
          <cell r="O164">
            <v>0</v>
          </cell>
          <cell r="P164" t="str">
            <v>0.362,-5.65;1.743,-5.48;0.34,-7.68;-0.76,-5.24;-1.76,-5.89;</v>
          </cell>
          <cell r="Q164">
            <v>0</v>
          </cell>
          <cell r="R164">
            <v>180</v>
          </cell>
          <cell r="S164" t="str">
            <v>1001+25;1002+30;</v>
          </cell>
          <cell r="T164">
            <v>0</v>
          </cell>
        </row>
        <row r="165">
          <cell r="A165">
            <v>3077</v>
          </cell>
          <cell r="B165" t="str">
            <v>狱卒</v>
          </cell>
          <cell r="C165" t="str">
            <v>1200921;1200922;1200923</v>
          </cell>
        </row>
        <row r="165">
          <cell r="F165">
            <v>3</v>
          </cell>
          <cell r="G165">
            <v>0</v>
          </cell>
          <cell r="H165">
            <v>1</v>
          </cell>
          <cell r="I165">
            <v>1</v>
          </cell>
          <cell r="J165" t="b">
            <v>0</v>
          </cell>
          <cell r="K165">
            <v>1003</v>
          </cell>
          <cell r="L165">
            <v>-6.34</v>
          </cell>
          <cell r="M165">
            <v>-7.69</v>
          </cell>
          <cell r="N165">
            <v>0</v>
          </cell>
          <cell r="O165">
            <v>0</v>
          </cell>
          <cell r="P165" t="str">
            <v>0.362,-5.65;1.743,-5.48;0.34,-7.68;-0.76,-5.24;-1.76,-5.89;</v>
          </cell>
          <cell r="Q165">
            <v>0</v>
          </cell>
          <cell r="R165">
            <v>180</v>
          </cell>
          <cell r="S165" t="str">
            <v>1001+25;1002+30;</v>
          </cell>
          <cell r="T165">
            <v>0</v>
          </cell>
        </row>
        <row r="166">
          <cell r="A166">
            <v>3078</v>
          </cell>
          <cell r="B166" t="str">
            <v>狱卒</v>
          </cell>
          <cell r="C166" t="str">
            <v>1200924;1200925;1200923</v>
          </cell>
        </row>
        <row r="166">
          <cell r="F166">
            <v>3</v>
          </cell>
          <cell r="G166">
            <v>0</v>
          </cell>
          <cell r="H166">
            <v>1</v>
          </cell>
          <cell r="I166">
            <v>1</v>
          </cell>
          <cell r="J166" t="b">
            <v>0</v>
          </cell>
          <cell r="K166">
            <v>1003</v>
          </cell>
          <cell r="L166">
            <v>-6.34</v>
          </cell>
          <cell r="M166">
            <v>-7.69</v>
          </cell>
          <cell r="N166">
            <v>0</v>
          </cell>
          <cell r="O166">
            <v>0</v>
          </cell>
          <cell r="P166" t="str">
            <v>0.362,-5.65;1.743,-5.48;0.34,-7.68;-0.76,-5.24;-1.76,-5.89;</v>
          </cell>
          <cell r="Q166">
            <v>0</v>
          </cell>
          <cell r="R166">
            <v>180</v>
          </cell>
          <cell r="S166" t="str">
            <v>1001+25;1002+30;</v>
          </cell>
          <cell r="T166">
            <v>0</v>
          </cell>
        </row>
        <row r="167">
          <cell r="A167">
            <v>3079</v>
          </cell>
          <cell r="B167" t="str">
            <v>捕快</v>
          </cell>
          <cell r="C167" t="str">
            <v>1200933;1200934;1200935</v>
          </cell>
        </row>
        <row r="167">
          <cell r="F167">
            <v>3</v>
          </cell>
          <cell r="G167">
            <v>0</v>
          </cell>
          <cell r="H167">
            <v>1</v>
          </cell>
          <cell r="I167">
            <v>1</v>
          </cell>
          <cell r="J167" t="b">
            <v>0</v>
          </cell>
          <cell r="K167">
            <v>1003</v>
          </cell>
          <cell r="L167">
            <v>-6.34</v>
          </cell>
          <cell r="M167">
            <v>-7.69</v>
          </cell>
          <cell r="N167">
            <v>0</v>
          </cell>
          <cell r="O167">
            <v>0</v>
          </cell>
          <cell r="P167" t="str">
            <v>0.362,-5.65;1.743,-5.48;0.34,-7.68;-0.76,-5.24;-1.76,-5.89;</v>
          </cell>
          <cell r="Q167">
            <v>0</v>
          </cell>
          <cell r="R167">
            <v>180</v>
          </cell>
          <cell r="S167" t="str">
            <v>1001+15;1002+20;</v>
          </cell>
          <cell r="T167">
            <v>0</v>
          </cell>
        </row>
        <row r="168">
          <cell r="A168">
            <v>3080</v>
          </cell>
          <cell r="B168" t="str">
            <v>捕快</v>
          </cell>
          <cell r="C168" t="str">
            <v>1200936;1200937;1200938;1200941</v>
          </cell>
        </row>
        <row r="168">
          <cell r="F168">
            <v>3</v>
          </cell>
          <cell r="G168">
            <v>0</v>
          </cell>
          <cell r="H168">
            <v>1</v>
          </cell>
          <cell r="I168">
            <v>1</v>
          </cell>
          <cell r="J168" t="b">
            <v>0</v>
          </cell>
          <cell r="K168">
            <v>1003</v>
          </cell>
          <cell r="L168">
            <v>-6.34</v>
          </cell>
          <cell r="M168">
            <v>-7.69</v>
          </cell>
          <cell r="N168">
            <v>0</v>
          </cell>
          <cell r="O168">
            <v>0</v>
          </cell>
          <cell r="P168" t="str">
            <v>0.362,-5.65;1.743,-5.48;0.34,-7.68;-0.76,-5.24;-1.76,-5.89;</v>
          </cell>
          <cell r="Q168">
            <v>0</v>
          </cell>
          <cell r="R168">
            <v>180</v>
          </cell>
          <cell r="S168" t="str">
            <v>1001+15;1002+20;</v>
          </cell>
          <cell r="T168">
            <v>0</v>
          </cell>
        </row>
        <row r="169">
          <cell r="A169">
            <v>3081</v>
          </cell>
          <cell r="B169" t="str">
            <v>捕快</v>
          </cell>
          <cell r="C169" t="str">
            <v>1200939;1200940;1200942</v>
          </cell>
        </row>
        <row r="169">
          <cell r="F169">
            <v>3</v>
          </cell>
          <cell r="G169">
            <v>0</v>
          </cell>
          <cell r="H169">
            <v>1</v>
          </cell>
          <cell r="I169">
            <v>1</v>
          </cell>
          <cell r="J169" t="b">
            <v>0</v>
          </cell>
          <cell r="K169">
            <v>1003</v>
          </cell>
          <cell r="L169">
            <v>-6.34</v>
          </cell>
          <cell r="M169">
            <v>-7.69</v>
          </cell>
          <cell r="N169">
            <v>0</v>
          </cell>
          <cell r="O169">
            <v>0</v>
          </cell>
          <cell r="P169" t="str">
            <v>0.362,-5.65;1.743,-5.48;0.34,-7.68;-0.76,-5.24;-1.76,-5.89;</v>
          </cell>
          <cell r="Q169">
            <v>0</v>
          </cell>
          <cell r="R169">
            <v>180</v>
          </cell>
          <cell r="S169" t="str">
            <v>1001+15;1002+20;</v>
          </cell>
          <cell r="T169">
            <v>0</v>
          </cell>
        </row>
        <row r="170">
          <cell r="A170">
            <v>3082</v>
          </cell>
          <cell r="B170" t="str">
            <v>捕快</v>
          </cell>
          <cell r="C170" t="str">
            <v>1200943;1200944;1200945</v>
          </cell>
        </row>
        <row r="170">
          <cell r="F170">
            <v>3</v>
          </cell>
          <cell r="G170">
            <v>0</v>
          </cell>
          <cell r="H170">
            <v>1</v>
          </cell>
          <cell r="I170">
            <v>1</v>
          </cell>
          <cell r="J170" t="b">
            <v>0</v>
          </cell>
          <cell r="K170">
            <v>1003</v>
          </cell>
          <cell r="L170">
            <v>-6.34</v>
          </cell>
          <cell r="M170">
            <v>-7.69</v>
          </cell>
          <cell r="N170">
            <v>0</v>
          </cell>
          <cell r="O170">
            <v>0</v>
          </cell>
          <cell r="P170" t="str">
            <v>0.362,-5.65;1.743,-5.48;0.34,-7.68;-0.76,-5.24;-1.76,-5.89;</v>
          </cell>
          <cell r="Q170">
            <v>0</v>
          </cell>
          <cell r="R170">
            <v>180</v>
          </cell>
          <cell r="S170" t="str">
            <v>1001+15;1002+20;</v>
          </cell>
          <cell r="T170">
            <v>0</v>
          </cell>
        </row>
        <row r="171">
          <cell r="A171">
            <v>3083</v>
          </cell>
          <cell r="B171" t="str">
            <v>捕快</v>
          </cell>
          <cell r="C171" t="str">
            <v>1200946;1200947;1200948</v>
          </cell>
        </row>
        <row r="171">
          <cell r="F171">
            <v>3</v>
          </cell>
          <cell r="G171">
            <v>0</v>
          </cell>
          <cell r="H171">
            <v>1</v>
          </cell>
          <cell r="I171">
            <v>1</v>
          </cell>
          <cell r="J171" t="b">
            <v>0</v>
          </cell>
          <cell r="K171">
            <v>1003</v>
          </cell>
          <cell r="L171">
            <v>-6.34</v>
          </cell>
          <cell r="M171">
            <v>-7.69</v>
          </cell>
          <cell r="N171">
            <v>0</v>
          </cell>
          <cell r="O171">
            <v>0</v>
          </cell>
          <cell r="P171" t="str">
            <v>0.362,-5.65;1.743,-5.48;0.34,-7.68;-0.76,-5.24;-1.76,-5.89;</v>
          </cell>
          <cell r="Q171">
            <v>0</v>
          </cell>
          <cell r="R171">
            <v>180</v>
          </cell>
          <cell r="S171" t="str">
            <v>1001+20;1002+25;</v>
          </cell>
          <cell r="T171">
            <v>0</v>
          </cell>
        </row>
        <row r="172">
          <cell r="A172">
            <v>3084</v>
          </cell>
          <cell r="B172" t="str">
            <v>捕快</v>
          </cell>
          <cell r="C172" t="str">
            <v>1200949;1200950;1200951;1200952</v>
          </cell>
        </row>
        <row r="172">
          <cell r="F172">
            <v>3</v>
          </cell>
          <cell r="G172">
            <v>0</v>
          </cell>
          <cell r="H172">
            <v>1</v>
          </cell>
          <cell r="I172">
            <v>1</v>
          </cell>
          <cell r="J172" t="b">
            <v>0</v>
          </cell>
          <cell r="K172">
            <v>1003</v>
          </cell>
          <cell r="L172">
            <v>-6.34</v>
          </cell>
          <cell r="M172">
            <v>-7.69</v>
          </cell>
          <cell r="N172">
            <v>0</v>
          </cell>
          <cell r="O172">
            <v>0</v>
          </cell>
          <cell r="P172" t="str">
            <v>0.362,-5.65;1.743,-5.48;0.34,-7.68;-0.76,-5.24;-1.76,-5.89;</v>
          </cell>
          <cell r="Q172">
            <v>0</v>
          </cell>
          <cell r="R172">
            <v>180</v>
          </cell>
          <cell r="S172" t="str">
            <v>1001+20;1002+25;</v>
          </cell>
          <cell r="T172">
            <v>0</v>
          </cell>
        </row>
        <row r="173">
          <cell r="A173">
            <v>3085</v>
          </cell>
          <cell r="B173" t="str">
            <v>捕快</v>
          </cell>
          <cell r="C173" t="str">
            <v>1200953;1200954;1200955</v>
          </cell>
        </row>
        <row r="173">
          <cell r="F173">
            <v>3</v>
          </cell>
          <cell r="G173">
            <v>0</v>
          </cell>
          <cell r="H173">
            <v>1</v>
          </cell>
          <cell r="I173">
            <v>1</v>
          </cell>
          <cell r="J173" t="b">
            <v>0</v>
          </cell>
          <cell r="K173">
            <v>1003</v>
          </cell>
          <cell r="L173">
            <v>-6.34</v>
          </cell>
          <cell r="M173">
            <v>-7.69</v>
          </cell>
          <cell r="N173">
            <v>0</v>
          </cell>
          <cell r="O173">
            <v>0</v>
          </cell>
          <cell r="P173" t="str">
            <v>0.362,-5.65;1.743,-5.48;0.34,-7.68;-0.76,-5.24;-1.76,-5.89;</v>
          </cell>
          <cell r="Q173">
            <v>0</v>
          </cell>
          <cell r="R173">
            <v>180</v>
          </cell>
          <cell r="S173" t="str">
            <v>1001+20;1002+25;</v>
          </cell>
          <cell r="T173">
            <v>0</v>
          </cell>
        </row>
        <row r="174">
          <cell r="A174">
            <v>3086</v>
          </cell>
          <cell r="B174" t="str">
            <v>捕快</v>
          </cell>
          <cell r="C174" t="str">
            <v>1200956;1200957;1200958</v>
          </cell>
        </row>
        <row r="174">
          <cell r="F174">
            <v>3</v>
          </cell>
          <cell r="G174">
            <v>0</v>
          </cell>
          <cell r="H174">
            <v>1</v>
          </cell>
          <cell r="I174">
            <v>1</v>
          </cell>
          <cell r="J174" t="b">
            <v>0</v>
          </cell>
          <cell r="K174">
            <v>1003</v>
          </cell>
          <cell r="L174">
            <v>-6.34</v>
          </cell>
          <cell r="M174">
            <v>-7.69</v>
          </cell>
          <cell r="N174">
            <v>0</v>
          </cell>
          <cell r="O174">
            <v>0</v>
          </cell>
          <cell r="P174" t="str">
            <v>0.362,-5.65;1.743,-5.48;0.34,-7.68;-0.76,-5.24;-1.76,-5.89;</v>
          </cell>
          <cell r="Q174">
            <v>0</v>
          </cell>
          <cell r="R174">
            <v>180</v>
          </cell>
          <cell r="S174" t="str">
            <v>1001+25;1002+30;</v>
          </cell>
          <cell r="T174">
            <v>0</v>
          </cell>
        </row>
        <row r="175">
          <cell r="A175">
            <v>3087</v>
          </cell>
          <cell r="B175" t="str">
            <v>捕快</v>
          </cell>
          <cell r="C175" t="str">
            <v>1200959;1200960;1200961;1200962</v>
          </cell>
        </row>
        <row r="175">
          <cell r="F175">
            <v>3</v>
          </cell>
          <cell r="G175">
            <v>0</v>
          </cell>
          <cell r="H175">
            <v>1</v>
          </cell>
          <cell r="I175">
            <v>1</v>
          </cell>
          <cell r="J175" t="b">
            <v>0</v>
          </cell>
          <cell r="K175">
            <v>1003</v>
          </cell>
          <cell r="L175">
            <v>-6.34</v>
          </cell>
          <cell r="M175">
            <v>-7.69</v>
          </cell>
          <cell r="N175">
            <v>0</v>
          </cell>
          <cell r="O175">
            <v>0</v>
          </cell>
          <cell r="P175" t="str">
            <v>0.362,-5.65;1.743,-5.48;0.34,-7.68;-0.76,-5.24;-1.76,-5.89;</v>
          </cell>
          <cell r="Q175">
            <v>0</v>
          </cell>
          <cell r="R175">
            <v>180</v>
          </cell>
          <cell r="S175" t="str">
            <v>1001+25;1002+30;</v>
          </cell>
          <cell r="T175">
            <v>0</v>
          </cell>
        </row>
        <row r="176">
          <cell r="A176">
            <v>3088</v>
          </cell>
          <cell r="B176" t="str">
            <v>捕快</v>
          </cell>
          <cell r="C176" t="str">
            <v>1200963;1200964;1200965</v>
          </cell>
        </row>
        <row r="176">
          <cell r="F176">
            <v>3</v>
          </cell>
          <cell r="G176">
            <v>0</v>
          </cell>
          <cell r="H176">
            <v>1</v>
          </cell>
          <cell r="I176">
            <v>1</v>
          </cell>
          <cell r="J176" t="b">
            <v>0</v>
          </cell>
          <cell r="K176">
            <v>1003</v>
          </cell>
          <cell r="L176">
            <v>-6.34</v>
          </cell>
          <cell r="M176">
            <v>-7.69</v>
          </cell>
          <cell r="N176">
            <v>0</v>
          </cell>
          <cell r="O176">
            <v>0</v>
          </cell>
          <cell r="P176" t="str">
            <v>0.362,-5.65;1.743,-5.48;0.34,-7.68;-0.76,-5.24;-1.76,-5.89;</v>
          </cell>
          <cell r="Q176">
            <v>0</v>
          </cell>
          <cell r="R176">
            <v>180</v>
          </cell>
          <cell r="S176" t="str">
            <v>1001+25;1002+30;</v>
          </cell>
          <cell r="T176">
            <v>0</v>
          </cell>
        </row>
        <row r="177">
          <cell r="A177">
            <v>3089</v>
          </cell>
          <cell r="B177" t="str">
            <v>镖师</v>
          </cell>
          <cell r="C177" t="str">
            <v>1200966;1200967;1200968</v>
          </cell>
        </row>
        <row r="177">
          <cell r="F177">
            <v>3</v>
          </cell>
          <cell r="G177">
            <v>0</v>
          </cell>
          <cell r="H177">
            <v>1</v>
          </cell>
          <cell r="I177">
            <v>1</v>
          </cell>
          <cell r="J177" t="b">
            <v>0</v>
          </cell>
          <cell r="K177">
            <v>1003</v>
          </cell>
          <cell r="L177">
            <v>-6.34</v>
          </cell>
          <cell r="M177">
            <v>-7.69</v>
          </cell>
          <cell r="N177">
            <v>0</v>
          </cell>
          <cell r="O177">
            <v>0</v>
          </cell>
          <cell r="P177" t="str">
            <v>0.362,-5.65;1.743,-5.48;0.34,-7.68;-0.76,-5.24;-1.76,-5.89;</v>
          </cell>
          <cell r="Q177">
            <v>0</v>
          </cell>
          <cell r="R177">
            <v>180</v>
          </cell>
          <cell r="S177" t="str">
            <v>1001+5;1002+10;</v>
          </cell>
          <cell r="T177">
            <v>0</v>
          </cell>
        </row>
        <row r="178">
          <cell r="A178">
            <v>3090</v>
          </cell>
          <cell r="B178" t="str">
            <v>镖师</v>
          </cell>
          <cell r="C178" t="str">
            <v>1200969;1200970;1200971</v>
          </cell>
        </row>
        <row r="178">
          <cell r="F178">
            <v>3</v>
          </cell>
          <cell r="G178">
            <v>0</v>
          </cell>
          <cell r="H178">
            <v>1</v>
          </cell>
          <cell r="I178">
            <v>1</v>
          </cell>
          <cell r="J178" t="b">
            <v>0</v>
          </cell>
          <cell r="K178">
            <v>1003</v>
          </cell>
          <cell r="L178">
            <v>-6.34</v>
          </cell>
          <cell r="M178">
            <v>-7.69</v>
          </cell>
          <cell r="N178">
            <v>0</v>
          </cell>
          <cell r="O178">
            <v>0</v>
          </cell>
          <cell r="P178" t="str">
            <v>0.362,-5.65;1.743,-5.48;0.34,-7.68;-0.76,-5.24;-1.76,-5.89;</v>
          </cell>
          <cell r="Q178">
            <v>0</v>
          </cell>
          <cell r="R178">
            <v>180</v>
          </cell>
          <cell r="S178" t="str">
            <v>1001+10;1002+15;</v>
          </cell>
          <cell r="T178">
            <v>0</v>
          </cell>
        </row>
        <row r="179">
          <cell r="A179">
            <v>3091</v>
          </cell>
          <cell r="B179" t="str">
            <v>镖师</v>
          </cell>
          <cell r="C179" t="str">
            <v>1200972;1200973;1200974</v>
          </cell>
        </row>
        <row r="179">
          <cell r="F179">
            <v>3</v>
          </cell>
          <cell r="G179">
            <v>0</v>
          </cell>
          <cell r="H179">
            <v>1</v>
          </cell>
          <cell r="I179">
            <v>1</v>
          </cell>
          <cell r="J179" t="b">
            <v>0</v>
          </cell>
          <cell r="K179">
            <v>1003</v>
          </cell>
          <cell r="L179">
            <v>-6.34</v>
          </cell>
          <cell r="M179">
            <v>-7.69</v>
          </cell>
          <cell r="N179">
            <v>0</v>
          </cell>
          <cell r="O179">
            <v>0</v>
          </cell>
          <cell r="P179" t="str">
            <v>0.362,-5.65;1.743,-5.48;0.34,-7.68;-0.76,-5.24;-1.76,-5.89;</v>
          </cell>
          <cell r="Q179">
            <v>0</v>
          </cell>
          <cell r="R179">
            <v>180</v>
          </cell>
          <cell r="S179" t="str">
            <v>1001+15;1002+20;</v>
          </cell>
          <cell r="T179">
            <v>0</v>
          </cell>
        </row>
        <row r="180">
          <cell r="A180">
            <v>3092</v>
          </cell>
          <cell r="B180" t="str">
            <v>狱卒</v>
          </cell>
          <cell r="C180" t="str">
            <v>1200904;1200905;1200926</v>
          </cell>
        </row>
        <row r="180">
          <cell r="F180">
            <v>3</v>
          </cell>
          <cell r="G180">
            <v>0</v>
          </cell>
          <cell r="H180">
            <v>1</v>
          </cell>
          <cell r="I180">
            <v>1</v>
          </cell>
          <cell r="J180" t="b">
            <v>0</v>
          </cell>
          <cell r="K180">
            <v>1003</v>
          </cell>
          <cell r="L180">
            <v>-6.34</v>
          </cell>
          <cell r="M180">
            <v>-7.69</v>
          </cell>
          <cell r="N180">
            <v>0</v>
          </cell>
          <cell r="O180">
            <v>0</v>
          </cell>
          <cell r="P180" t="str">
            <v>0.362,-5.65;1.743,-5.48;0.34,-7.68;-0.76,-5.24;-1.76,-5.89;</v>
          </cell>
          <cell r="Q180">
            <v>0</v>
          </cell>
          <cell r="R180">
            <v>180</v>
          </cell>
          <cell r="S180" t="str">
            <v>1001+15;1002+20;</v>
          </cell>
          <cell r="T180">
            <v>0</v>
          </cell>
        </row>
        <row r="181">
          <cell r="A181">
            <v>3093</v>
          </cell>
          <cell r="B181" t="str">
            <v>摸金魁首</v>
          </cell>
          <cell r="C181" t="str">
            <v>1501523;1501524;1501525;1501526</v>
          </cell>
          <cell r="D181" t="str">
            <v>1501523;1501524;1501525;1501526;1501527</v>
          </cell>
          <cell r="E181" t="str">
            <v>1501523;1501524;1501525;1501526;1501527;1501528</v>
          </cell>
          <cell r="F181">
            <v>3</v>
          </cell>
          <cell r="G181">
            <v>0</v>
          </cell>
          <cell r="H181">
            <v>1</v>
          </cell>
          <cell r="I181">
            <v>1</v>
          </cell>
          <cell r="J181" t="b">
            <v>0</v>
          </cell>
          <cell r="K181">
            <v>1003</v>
          </cell>
          <cell r="L181">
            <v>-6.34</v>
          </cell>
          <cell r="M181">
            <v>-7.69</v>
          </cell>
          <cell r="N181">
            <v>0</v>
          </cell>
          <cell r="O181" t="str">
            <v>0</v>
          </cell>
          <cell r="P181" t="str">
            <v>0.362,-5.65;1.743,-5.48;0.34,-7.68;-0.76,-5.24;-1.76,-5.89;</v>
          </cell>
          <cell r="Q181">
            <v>21000</v>
          </cell>
          <cell r="R181">
            <v>360</v>
          </cell>
          <cell r="S181" t="str">
            <v>1001+35;1002+40;</v>
          </cell>
          <cell r="T181" t="str">
            <v>12000,1</v>
          </cell>
        </row>
        <row r="182">
          <cell r="A182">
            <v>3094</v>
          </cell>
          <cell r="B182" t="str">
            <v>饥馋狼群</v>
          </cell>
          <cell r="C182" t="str">
            <v>1501529;1501530;1501531;1501532</v>
          </cell>
          <cell r="D182" t="str">
            <v>1501529;1501530;1501531;1501532;1501533</v>
          </cell>
          <cell r="E182" t="str">
            <v>1501529;1501530;1501531;1501532;1501533;1501534</v>
          </cell>
          <cell r="F182">
            <v>3</v>
          </cell>
          <cell r="G182">
            <v>0</v>
          </cell>
          <cell r="H182">
            <v>1</v>
          </cell>
          <cell r="I182">
            <v>1</v>
          </cell>
          <cell r="J182" t="b">
            <v>0</v>
          </cell>
          <cell r="K182">
            <v>1003</v>
          </cell>
          <cell r="L182">
            <v>-6.34</v>
          </cell>
          <cell r="M182">
            <v>-7.69</v>
          </cell>
          <cell r="N182">
            <v>0</v>
          </cell>
          <cell r="O182" t="str">
            <v>0</v>
          </cell>
          <cell r="P182" t="str">
            <v>0.362,-5.65;1.743,-5.48;0.34,-7.68;-0.76,-5.24;-1.76,-5.89;</v>
          </cell>
          <cell r="Q182">
            <v>21000</v>
          </cell>
          <cell r="R182">
            <v>180</v>
          </cell>
          <cell r="S182" t="str">
            <v>1001+35;1002+40;</v>
          </cell>
          <cell r="T182" t="str">
            <v>12000,1</v>
          </cell>
        </row>
        <row r="183">
          <cell r="A183">
            <v>3095</v>
          </cell>
          <cell r="B183" t="str">
            <v>匿踪探花</v>
          </cell>
          <cell r="C183" t="str">
            <v>1501535</v>
          </cell>
          <cell r="D183" t="str">
            <v>1501535;1501536</v>
          </cell>
          <cell r="E183" t="str">
            <v>1501535;1501536;1501537</v>
          </cell>
          <cell r="F183">
            <v>3</v>
          </cell>
          <cell r="G183">
            <v>0</v>
          </cell>
          <cell r="H183">
            <v>1</v>
          </cell>
          <cell r="I183">
            <v>1</v>
          </cell>
          <cell r="J183" t="b">
            <v>0</v>
          </cell>
          <cell r="K183">
            <v>1003</v>
          </cell>
          <cell r="L183">
            <v>-6.34</v>
          </cell>
          <cell r="M183">
            <v>-7.69</v>
          </cell>
          <cell r="N183">
            <v>0</v>
          </cell>
          <cell r="O183" t="str">
            <v>0</v>
          </cell>
          <cell r="P183" t="str">
            <v>0.362,-5.65;1.743,-5.48;0.34,-7.68;-0.76,-5.24;-1.76,-5.89;</v>
          </cell>
          <cell r="Q183">
            <v>21000</v>
          </cell>
          <cell r="R183">
            <v>180</v>
          </cell>
          <cell r="S183" t="str">
            <v>1001+35;1002+40;</v>
          </cell>
          <cell r="T183" t="str">
            <v>12000,1</v>
          </cell>
        </row>
        <row r="184">
          <cell r="A184">
            <v>3096</v>
          </cell>
          <cell r="B184" t="str">
            <v>拦路饥匪</v>
          </cell>
          <cell r="C184" t="str">
            <v>1501538;1501539;1501540;1501541</v>
          </cell>
          <cell r="D184" t="str">
            <v>1501538;1501539;1501540;1501541;1501542</v>
          </cell>
          <cell r="E184" t="str">
            <v>1501538;1501539;1501540;1501541;1501542;1501543</v>
          </cell>
          <cell r="F184">
            <v>3</v>
          </cell>
          <cell r="G184">
            <v>0</v>
          </cell>
          <cell r="H184">
            <v>1</v>
          </cell>
          <cell r="I184">
            <v>1</v>
          </cell>
          <cell r="J184" t="b">
            <v>0</v>
          </cell>
          <cell r="K184">
            <v>1003</v>
          </cell>
          <cell r="L184">
            <v>-6.34</v>
          </cell>
          <cell r="M184">
            <v>-7.69</v>
          </cell>
          <cell r="N184">
            <v>0</v>
          </cell>
          <cell r="O184" t="str">
            <v>0</v>
          </cell>
          <cell r="P184" t="str">
            <v>0.362,-5.65;1.743,-5.48;0.34,-7.68;-0.76,-5.24;-1.76,-5.89;</v>
          </cell>
          <cell r="Q184">
            <v>21000</v>
          </cell>
          <cell r="R184">
            <v>180</v>
          </cell>
          <cell r="S184" t="str">
            <v>1001+35;1002+40;</v>
          </cell>
          <cell r="T184" t="str">
            <v>12000,1</v>
          </cell>
        </row>
        <row r="185">
          <cell r="A185">
            <v>3097</v>
          </cell>
          <cell r="B185" t="str">
            <v>群聚流寇</v>
          </cell>
          <cell r="C185" t="str">
            <v>1501544;1501545;1501546;1501547</v>
          </cell>
          <cell r="D185" t="str">
            <v>1501544;1501545;1501546;1501547;1501548</v>
          </cell>
          <cell r="E185" t="str">
            <v>1501544;1501545;1501546;1501547;1501548;1501549</v>
          </cell>
          <cell r="F185">
            <v>3</v>
          </cell>
          <cell r="G185">
            <v>0</v>
          </cell>
          <cell r="H185">
            <v>1</v>
          </cell>
          <cell r="I185">
            <v>1</v>
          </cell>
          <cell r="J185" t="b">
            <v>0</v>
          </cell>
          <cell r="K185">
            <v>1003</v>
          </cell>
          <cell r="L185">
            <v>-6.34</v>
          </cell>
          <cell r="M185">
            <v>-7.69</v>
          </cell>
          <cell r="N185">
            <v>0</v>
          </cell>
          <cell r="O185" t="str">
            <v>0</v>
          </cell>
          <cell r="P185" t="str">
            <v>0.362,-5.65;1.743,-5.48;0.34,-7.68;-0.76,-5.24;-1.76,-5.89;</v>
          </cell>
          <cell r="Q185">
            <v>21000</v>
          </cell>
          <cell r="R185">
            <v>180</v>
          </cell>
          <cell r="S185" t="str">
            <v>1001+35;1002+40;</v>
          </cell>
          <cell r="T185" t="str">
            <v>12000,1</v>
          </cell>
        </row>
        <row r="186">
          <cell r="A186">
            <v>3098</v>
          </cell>
          <cell r="B186" t="str">
            <v>流亡匪徒</v>
          </cell>
          <cell r="C186" t="str">
            <v>1501550;1501551;1501552;1501553</v>
          </cell>
          <cell r="D186" t="str">
            <v>1501550;1501551;1501552;1501553;1501554</v>
          </cell>
          <cell r="E186" t="str">
            <v>1501550;1501551;1501552;1501553;1501554;1501555</v>
          </cell>
          <cell r="F186">
            <v>3</v>
          </cell>
          <cell r="G186">
            <v>0</v>
          </cell>
          <cell r="H186">
            <v>1</v>
          </cell>
          <cell r="I186">
            <v>1</v>
          </cell>
          <cell r="J186" t="b">
            <v>0</v>
          </cell>
          <cell r="K186">
            <v>1003</v>
          </cell>
          <cell r="L186">
            <v>-6.34</v>
          </cell>
          <cell r="M186">
            <v>-7.69</v>
          </cell>
          <cell r="N186">
            <v>0</v>
          </cell>
          <cell r="O186" t="str">
            <v>0</v>
          </cell>
          <cell r="P186" t="str">
            <v>0.362,-5.65;1.743,-5.48;0.34,-7.68;-0.76,-5.24;-1.76,-5.89;</v>
          </cell>
          <cell r="Q186">
            <v>21000</v>
          </cell>
          <cell r="R186">
            <v>180</v>
          </cell>
          <cell r="S186" t="str">
            <v>1001+35;1002+40;</v>
          </cell>
          <cell r="T186" t="str">
            <v>12000,1</v>
          </cell>
        </row>
        <row r="187">
          <cell r="A187">
            <v>3099</v>
          </cell>
          <cell r="B187" t="str">
            <v>捕快</v>
          </cell>
          <cell r="C187" t="str">
            <v>1501576;1501577;1501578</v>
          </cell>
        </row>
        <row r="187">
          <cell r="F187">
            <v>3</v>
          </cell>
          <cell r="G187">
            <v>0</v>
          </cell>
          <cell r="H187">
            <v>1</v>
          </cell>
          <cell r="I187">
            <v>1</v>
          </cell>
          <cell r="J187" t="b">
            <v>0</v>
          </cell>
          <cell r="K187">
            <v>1003</v>
          </cell>
          <cell r="L187">
            <v>-6.34</v>
          </cell>
          <cell r="M187">
            <v>-7.69</v>
          </cell>
          <cell r="N187">
            <v>0</v>
          </cell>
          <cell r="O187" t="str">
            <v>0</v>
          </cell>
          <cell r="P187" t="str">
            <v>0.362,-5.65;1.743,-5.48;0.34,-7.68;-0.76,-5.24;-1.76,-5.89;</v>
          </cell>
          <cell r="Q187">
            <v>0</v>
          </cell>
          <cell r="R187">
            <v>0</v>
          </cell>
          <cell r="S187" t="str">
            <v>1001+35;1002+40;</v>
          </cell>
          <cell r="T187">
            <v>0</v>
          </cell>
        </row>
        <row r="188">
          <cell r="A188">
            <v>3100</v>
          </cell>
          <cell r="B188" t="str">
            <v>捕快</v>
          </cell>
          <cell r="C188" t="str">
            <v>1501579;1501580;1501581</v>
          </cell>
        </row>
        <row r="188">
          <cell r="F188">
            <v>3</v>
          </cell>
          <cell r="G188">
            <v>0</v>
          </cell>
          <cell r="H188">
            <v>1</v>
          </cell>
          <cell r="I188">
            <v>1</v>
          </cell>
          <cell r="J188" t="b">
            <v>0</v>
          </cell>
          <cell r="K188">
            <v>1003</v>
          </cell>
          <cell r="L188">
            <v>-6.34</v>
          </cell>
          <cell r="M188">
            <v>-7.69</v>
          </cell>
          <cell r="N188">
            <v>0</v>
          </cell>
          <cell r="O188" t="str">
            <v>0</v>
          </cell>
          <cell r="P188" t="str">
            <v>0.362,-5.65;1.743,-5.48;0.34,-7.68;-0.76,-5.24;-1.76,-5.89;</v>
          </cell>
          <cell r="Q188">
            <v>0</v>
          </cell>
          <cell r="R188">
            <v>0</v>
          </cell>
          <cell r="S188" t="str">
            <v>1001+35;1002+40;</v>
          </cell>
          <cell r="T188">
            <v>0</v>
          </cell>
        </row>
        <row r="189">
          <cell r="A189">
            <v>3101</v>
          </cell>
          <cell r="B189" t="str">
            <v>捕快</v>
          </cell>
          <cell r="C189" t="str">
            <v>1501582;1501583;1501584;1501585</v>
          </cell>
        </row>
        <row r="189">
          <cell r="F189">
            <v>3</v>
          </cell>
          <cell r="G189">
            <v>0</v>
          </cell>
          <cell r="H189">
            <v>1</v>
          </cell>
          <cell r="I189">
            <v>1</v>
          </cell>
          <cell r="J189" t="b">
            <v>0</v>
          </cell>
          <cell r="K189">
            <v>1003</v>
          </cell>
          <cell r="L189">
            <v>-6.34</v>
          </cell>
          <cell r="M189">
            <v>-7.69</v>
          </cell>
          <cell r="N189">
            <v>0</v>
          </cell>
          <cell r="O189" t="str">
            <v>0</v>
          </cell>
          <cell r="P189" t="str">
            <v>0.362,-5.65;1.743,-5.48;0.34,-7.68;-0.76,-5.24;-1.76,-5.89;</v>
          </cell>
          <cell r="Q189">
            <v>0</v>
          </cell>
          <cell r="R189">
            <v>0</v>
          </cell>
          <cell r="S189" t="str">
            <v>1001+35;1002+40;</v>
          </cell>
          <cell r="T189">
            <v>0</v>
          </cell>
        </row>
        <row r="190">
          <cell r="A190">
            <v>3102</v>
          </cell>
          <cell r="B190" t="str">
            <v>狱卒</v>
          </cell>
          <cell r="C190" t="str">
            <v>1501586;1501587;1501588</v>
          </cell>
        </row>
        <row r="190">
          <cell r="F190">
            <v>3</v>
          </cell>
          <cell r="G190">
            <v>0</v>
          </cell>
          <cell r="H190">
            <v>1</v>
          </cell>
          <cell r="I190">
            <v>1</v>
          </cell>
          <cell r="J190" t="b">
            <v>0</v>
          </cell>
          <cell r="K190">
            <v>1003</v>
          </cell>
          <cell r="L190">
            <v>-6.34</v>
          </cell>
          <cell r="M190">
            <v>-7.69</v>
          </cell>
          <cell r="N190">
            <v>0</v>
          </cell>
          <cell r="O190" t="str">
            <v>0</v>
          </cell>
          <cell r="P190" t="str">
            <v>0.362,-5.65;1.743,-5.48;0.34,-7.68;-0.76,-5.24;-1.76,-5.89;</v>
          </cell>
          <cell r="Q190">
            <v>0</v>
          </cell>
          <cell r="R190">
            <v>0</v>
          </cell>
          <cell r="S190" t="str">
            <v>1001+35;1002+40;</v>
          </cell>
          <cell r="T190">
            <v>0</v>
          </cell>
        </row>
        <row r="191">
          <cell r="A191">
            <v>3103</v>
          </cell>
          <cell r="B191" t="str">
            <v>狱卒</v>
          </cell>
          <cell r="C191" t="str">
            <v>1501589;1501590;1501591</v>
          </cell>
        </row>
        <row r="191">
          <cell r="F191">
            <v>3</v>
          </cell>
          <cell r="G191">
            <v>0</v>
          </cell>
          <cell r="H191">
            <v>1</v>
          </cell>
          <cell r="I191">
            <v>1</v>
          </cell>
          <cell r="J191" t="b">
            <v>0</v>
          </cell>
          <cell r="K191">
            <v>1003</v>
          </cell>
          <cell r="L191">
            <v>-6.34</v>
          </cell>
          <cell r="M191">
            <v>-7.69</v>
          </cell>
          <cell r="N191">
            <v>0</v>
          </cell>
          <cell r="O191" t="str">
            <v>0</v>
          </cell>
          <cell r="P191" t="str">
            <v>0.362,-5.65;1.743,-5.48;0.34,-7.68;-0.76,-5.24;-1.76,-5.89;</v>
          </cell>
          <cell r="Q191">
            <v>0</v>
          </cell>
          <cell r="R191">
            <v>0</v>
          </cell>
          <cell r="S191" t="str">
            <v>1001+35;1002+40;</v>
          </cell>
          <cell r="T191">
            <v>0</v>
          </cell>
        </row>
        <row r="192">
          <cell r="A192">
            <v>3104</v>
          </cell>
          <cell r="B192" t="str">
            <v>狱卒</v>
          </cell>
          <cell r="C192" t="str">
            <v>1501592;1501593;1501594</v>
          </cell>
        </row>
        <row r="192">
          <cell r="F192">
            <v>3</v>
          </cell>
          <cell r="G192">
            <v>0</v>
          </cell>
          <cell r="H192">
            <v>1</v>
          </cell>
          <cell r="I192">
            <v>1</v>
          </cell>
          <cell r="J192" t="b">
            <v>0</v>
          </cell>
          <cell r="K192">
            <v>1003</v>
          </cell>
          <cell r="L192">
            <v>-6.34</v>
          </cell>
          <cell r="M192">
            <v>-7.69</v>
          </cell>
          <cell r="N192">
            <v>0</v>
          </cell>
          <cell r="O192" t="str">
            <v>0</v>
          </cell>
          <cell r="P192" t="str">
            <v>0.362,-5.65;1.743,-5.48;0.34,-7.68;-0.76,-5.24;-1.76,-5.89;</v>
          </cell>
          <cell r="Q192">
            <v>0</v>
          </cell>
          <cell r="R192">
            <v>0</v>
          </cell>
          <cell r="S192" t="str">
            <v>1001+35;1002+40;</v>
          </cell>
          <cell r="T192">
            <v>0</v>
          </cell>
        </row>
        <row r="193">
          <cell r="A193">
            <v>3105</v>
          </cell>
          <cell r="B193" t="str">
            <v>女真头人</v>
          </cell>
          <cell r="C193" t="str">
            <v>1501821;1501822;1501823;1501824;1501825</v>
          </cell>
          <cell r="D193" t="str">
            <v>1501821;1501822;1501823;1501824;1501825;1501826</v>
          </cell>
          <cell r="E193" t="str">
            <v>1501821;1501822;1501823;1501824;1501825;1501826;1501827</v>
          </cell>
          <cell r="F193">
            <v>3</v>
          </cell>
          <cell r="G193">
            <v>0</v>
          </cell>
          <cell r="H193">
            <v>1</v>
          </cell>
          <cell r="I193">
            <v>1</v>
          </cell>
          <cell r="J193" t="b">
            <v>0</v>
          </cell>
          <cell r="K193">
            <v>1003</v>
          </cell>
          <cell r="L193">
            <v>-6.34</v>
          </cell>
          <cell r="M193">
            <v>-7.69</v>
          </cell>
          <cell r="N193">
            <v>0</v>
          </cell>
          <cell r="O193">
            <v>0</v>
          </cell>
          <cell r="P193" t="str">
            <v>0.362,-5.65;1.743,-5.48;0.34,-7.68;-0.76,-5.24;-1.76,-5.89;</v>
          </cell>
          <cell r="Q193">
            <v>22000</v>
          </cell>
        </row>
        <row r="193">
          <cell r="S193" t="str">
            <v>1001+35;1002+40;</v>
          </cell>
          <cell r="T193" t="str">
            <v>12000,1</v>
          </cell>
        </row>
        <row r="194">
          <cell r="A194">
            <v>3106</v>
          </cell>
          <cell r="B194" t="str">
            <v>巡猎女真</v>
          </cell>
          <cell r="C194" t="str">
            <v>1501828;1501829;1501830;1501831;1501832</v>
          </cell>
          <cell r="D194" t="str">
            <v>1501828;1501829;1501830;1501831;1501832;1501833</v>
          </cell>
          <cell r="E194" t="str">
            <v>1501828;1501829;1501830;1501831;1501832;1501833;1501834</v>
          </cell>
          <cell r="F194">
            <v>3</v>
          </cell>
          <cell r="G194">
            <v>0</v>
          </cell>
          <cell r="H194">
            <v>1</v>
          </cell>
          <cell r="I194">
            <v>1</v>
          </cell>
          <cell r="J194" t="b">
            <v>0</v>
          </cell>
          <cell r="K194">
            <v>1003</v>
          </cell>
          <cell r="L194">
            <v>-6.34</v>
          </cell>
          <cell r="M194">
            <v>-7.69</v>
          </cell>
          <cell r="N194">
            <v>0</v>
          </cell>
          <cell r="O194">
            <v>0</v>
          </cell>
          <cell r="P194" t="str">
            <v>0.362,-5.65;1.743,-5.48;0.34,-7.68;-0.76,-5.24;-1.76,-5.89;</v>
          </cell>
          <cell r="Q194">
            <v>22000</v>
          </cell>
        </row>
        <row r="194">
          <cell r="S194" t="str">
            <v>1001+35;1002+40;</v>
          </cell>
          <cell r="T194" t="str">
            <v>12000,1</v>
          </cell>
        </row>
        <row r="195">
          <cell r="A195">
            <v>3107</v>
          </cell>
          <cell r="B195" t="str">
            <v>倭寇武士</v>
          </cell>
          <cell r="C195" t="str">
            <v>1501835;1501836;1501837;1501838</v>
          </cell>
          <cell r="D195" t="str">
            <v>1501835;1501836;1501837;1501838;1501839</v>
          </cell>
          <cell r="E195" t="str">
            <v>1501835;1501836;1501837;1501838;1501839;1501840</v>
          </cell>
          <cell r="F195">
            <v>3</v>
          </cell>
          <cell r="G195">
            <v>0</v>
          </cell>
          <cell r="H195">
            <v>1</v>
          </cell>
          <cell r="I195">
            <v>1</v>
          </cell>
          <cell r="J195" t="b">
            <v>0</v>
          </cell>
          <cell r="K195">
            <v>1003</v>
          </cell>
          <cell r="L195">
            <v>-6.34</v>
          </cell>
          <cell r="M195">
            <v>-7.69</v>
          </cell>
          <cell r="N195">
            <v>0</v>
          </cell>
          <cell r="O195">
            <v>0</v>
          </cell>
          <cell r="P195" t="str">
            <v>0.362,-5.65;1.743,-5.48;0.34,-7.68;-0.76,-5.24;-1.76,-5.89;</v>
          </cell>
          <cell r="Q195">
            <v>22000</v>
          </cell>
        </row>
        <row r="195">
          <cell r="S195" t="str">
            <v>1001+35;1002+40;</v>
          </cell>
          <cell r="T195" t="str">
            <v>12000,1</v>
          </cell>
        </row>
        <row r="196">
          <cell r="A196">
            <v>3108</v>
          </cell>
          <cell r="B196" t="str">
            <v>倭寇大将</v>
          </cell>
          <cell r="C196" t="str">
            <v>1501841;1501842;1501843;1501844</v>
          </cell>
          <cell r="D196" t="str">
            <v>1501841;1501842;1501843;1501844;1501845</v>
          </cell>
          <cell r="E196" t="str">
            <v>1501841;1501842;1501843;1501844;1501845;1501846</v>
          </cell>
          <cell r="F196">
            <v>3</v>
          </cell>
          <cell r="G196">
            <v>0</v>
          </cell>
          <cell r="H196">
            <v>1</v>
          </cell>
          <cell r="I196">
            <v>1</v>
          </cell>
          <cell r="J196" t="b">
            <v>0</v>
          </cell>
          <cell r="K196">
            <v>1003</v>
          </cell>
          <cell r="L196">
            <v>-6.34</v>
          </cell>
          <cell r="M196">
            <v>-7.69</v>
          </cell>
          <cell r="N196">
            <v>0</v>
          </cell>
          <cell r="O196">
            <v>0</v>
          </cell>
          <cell r="P196" t="str">
            <v>0.362,-5.65;1.743,-5.48;0.34,-7.68;-0.76,-5.24;-1.76,-5.89;</v>
          </cell>
          <cell r="Q196">
            <v>22000</v>
          </cell>
        </row>
        <row r="196">
          <cell r="S196" t="str">
            <v>1001+35;1002+40;</v>
          </cell>
          <cell r="T196" t="str">
            <v>12000,1</v>
          </cell>
        </row>
        <row r="197">
          <cell r="A197">
            <v>3109</v>
          </cell>
          <cell r="B197" t="str">
            <v>关外凶匪</v>
          </cell>
          <cell r="C197" t="str">
            <v>1501847;1501848;1501849;1501850;1501851</v>
          </cell>
          <cell r="D197" t="str">
            <v>1501847;1501848;1501849;1501850;1501851;1501852</v>
          </cell>
          <cell r="E197" t="str">
            <v>1501847;1501848;1501849;1501850;1501851;1501852;1501853</v>
          </cell>
          <cell r="F197">
            <v>3</v>
          </cell>
          <cell r="G197">
            <v>0</v>
          </cell>
          <cell r="H197">
            <v>1</v>
          </cell>
          <cell r="I197">
            <v>1</v>
          </cell>
          <cell r="J197" t="b">
            <v>0</v>
          </cell>
          <cell r="K197">
            <v>1003</v>
          </cell>
          <cell r="L197">
            <v>-6.34</v>
          </cell>
          <cell r="M197">
            <v>-7.69</v>
          </cell>
          <cell r="N197">
            <v>0</v>
          </cell>
          <cell r="O197">
            <v>0</v>
          </cell>
          <cell r="P197" t="str">
            <v>0.362,-5.65;1.743,-5.48;0.34,-7.68;-0.76,-5.24;-1.76,-5.89;</v>
          </cell>
          <cell r="Q197">
            <v>22000</v>
          </cell>
        </row>
        <row r="197">
          <cell r="S197" t="str">
            <v>1001+35;1002+40;</v>
          </cell>
          <cell r="T197" t="str">
            <v>12000,1</v>
          </cell>
        </row>
        <row r="198">
          <cell r="A198">
            <v>3110</v>
          </cell>
          <cell r="B198" t="str">
            <v>女真斥候</v>
          </cell>
          <cell r="C198" t="str">
            <v>1501854;1501855;1501856;1501857</v>
          </cell>
          <cell r="D198" t="str">
            <v>1501854;1501855;1501856;1501857;1501858</v>
          </cell>
          <cell r="E198" t="str">
            <v>1501854;1501855;1501856;1501857;1501858;1501859</v>
          </cell>
          <cell r="F198">
            <v>3</v>
          </cell>
          <cell r="G198">
            <v>0</v>
          </cell>
          <cell r="H198">
            <v>1</v>
          </cell>
          <cell r="I198">
            <v>1</v>
          </cell>
          <cell r="J198" t="b">
            <v>0</v>
          </cell>
          <cell r="K198">
            <v>1003</v>
          </cell>
          <cell r="L198">
            <v>-6.34</v>
          </cell>
          <cell r="M198">
            <v>-7.69</v>
          </cell>
          <cell r="N198">
            <v>0</v>
          </cell>
          <cell r="O198">
            <v>0</v>
          </cell>
          <cell r="P198" t="str">
            <v>0.362,-5.65;1.743,-5.48;0.34,-7.68;-0.76,-5.24;-1.76,-5.89;</v>
          </cell>
          <cell r="Q198">
            <v>22000</v>
          </cell>
        </row>
        <row r="198">
          <cell r="S198" t="str">
            <v>1001+35;1002+40;</v>
          </cell>
          <cell r="T198" t="str">
            <v>12000,1</v>
          </cell>
        </row>
        <row r="199">
          <cell r="A199">
            <v>3111</v>
          </cell>
          <cell r="B199" t="str">
            <v>女真勇士</v>
          </cell>
          <cell r="C199" t="str">
            <v>1501860;1501861;1501862;1501863</v>
          </cell>
          <cell r="D199" t="str">
            <v>1501860;1501861;1501862;1501863;1501864</v>
          </cell>
          <cell r="E199" t="str">
            <v>1501860;1501861;1501862;1501863;1501864;1501865</v>
          </cell>
          <cell r="F199">
            <v>3</v>
          </cell>
          <cell r="G199">
            <v>0</v>
          </cell>
          <cell r="H199">
            <v>1</v>
          </cell>
          <cell r="I199">
            <v>1</v>
          </cell>
          <cell r="J199" t="b">
            <v>0</v>
          </cell>
          <cell r="K199">
            <v>1003</v>
          </cell>
          <cell r="L199">
            <v>-6.34</v>
          </cell>
          <cell r="M199">
            <v>-7.69</v>
          </cell>
          <cell r="N199">
            <v>0</v>
          </cell>
          <cell r="O199">
            <v>0</v>
          </cell>
          <cell r="P199" t="str">
            <v>0.362,-5.65;1.743,-5.48;0.34,-7.68;-0.76,-5.24;-1.76,-5.89;</v>
          </cell>
          <cell r="Q199">
            <v>22000</v>
          </cell>
        </row>
        <row r="199">
          <cell r="S199" t="str">
            <v>1001+35;1002+40;</v>
          </cell>
          <cell r="T199" t="str">
            <v>12000,1</v>
          </cell>
        </row>
        <row r="200">
          <cell r="A200">
            <v>3112</v>
          </cell>
          <cell r="B200" t="str">
            <v>女真精锐护卫</v>
          </cell>
          <cell r="C200" t="str">
            <v>1501866;1501867;1501868;1501869;1501870</v>
          </cell>
          <cell r="D200" t="str">
            <v>1501866;1501867;1501868;1501869;1501870;1501871</v>
          </cell>
          <cell r="E200" t="str">
            <v>1501866;1501867;1501868;1501869;1501870;1501871;1501872</v>
          </cell>
          <cell r="F200">
            <v>3</v>
          </cell>
          <cell r="G200">
            <v>0</v>
          </cell>
          <cell r="H200">
            <v>1</v>
          </cell>
          <cell r="I200">
            <v>1</v>
          </cell>
          <cell r="J200" t="b">
            <v>0</v>
          </cell>
          <cell r="K200">
            <v>1003</v>
          </cell>
          <cell r="L200">
            <v>-6.34</v>
          </cell>
          <cell r="M200">
            <v>-7.69</v>
          </cell>
          <cell r="N200">
            <v>0</v>
          </cell>
          <cell r="O200">
            <v>0</v>
          </cell>
          <cell r="P200" t="str">
            <v>0.362,-5.65;1.743,-5.48;0.34,-7.68;-0.76,-5.24;-1.76,-5.89;</v>
          </cell>
          <cell r="Q200">
            <v>22000</v>
          </cell>
        </row>
        <row r="200">
          <cell r="S200" t="str">
            <v>1001+35;1002+40;</v>
          </cell>
          <cell r="T200" t="str">
            <v>12000,1</v>
          </cell>
        </row>
        <row r="201">
          <cell r="A201">
            <v>3113</v>
          </cell>
          <cell r="B201" t="str">
            <v>关外流寇</v>
          </cell>
          <cell r="C201" t="str">
            <v>1501873;1501874;1501875;1501876;1501877</v>
          </cell>
          <cell r="D201" t="str">
            <v>1501873;1501874;1501875;1501876;1501877;1501878</v>
          </cell>
          <cell r="E201" t="str">
            <v>1501873;1501874;1501875;1501876;1501877;1501878;1501879</v>
          </cell>
          <cell r="F201">
            <v>3</v>
          </cell>
          <cell r="G201">
            <v>0</v>
          </cell>
          <cell r="H201">
            <v>1</v>
          </cell>
          <cell r="I201">
            <v>1</v>
          </cell>
          <cell r="J201" t="b">
            <v>0</v>
          </cell>
          <cell r="K201">
            <v>1003</v>
          </cell>
          <cell r="L201">
            <v>-6.34</v>
          </cell>
          <cell r="M201">
            <v>-7.69</v>
          </cell>
          <cell r="N201">
            <v>0</v>
          </cell>
          <cell r="O201">
            <v>0</v>
          </cell>
          <cell r="P201" t="str">
            <v>0.362,-5.65;1.743,-5.48;0.34,-7.68;-0.76,-5.24;-1.76,-5.89;</v>
          </cell>
          <cell r="Q201">
            <v>22000</v>
          </cell>
        </row>
        <row r="201">
          <cell r="S201" t="str">
            <v>1001+35;1002+40;</v>
          </cell>
          <cell r="T201" t="str">
            <v>12000,1</v>
          </cell>
        </row>
        <row r="202">
          <cell r="A202">
            <v>3114</v>
          </cell>
          <cell r="B202" t="str">
            <v>女真残兵</v>
          </cell>
          <cell r="C202" t="str">
            <v>1501880;1501881;1501882;1501883</v>
          </cell>
          <cell r="D202" t="str">
            <v>1501880;1501881;1501882;1501883;1501884</v>
          </cell>
          <cell r="E202" t="str">
            <v>1501880;1501881;1501882;1501883;1501884;1501885</v>
          </cell>
          <cell r="F202">
            <v>3</v>
          </cell>
          <cell r="G202">
            <v>0</v>
          </cell>
          <cell r="H202">
            <v>1</v>
          </cell>
          <cell r="I202">
            <v>1</v>
          </cell>
          <cell r="J202" t="b">
            <v>0</v>
          </cell>
          <cell r="K202">
            <v>1003</v>
          </cell>
          <cell r="L202">
            <v>-6.34</v>
          </cell>
          <cell r="M202">
            <v>-7.69</v>
          </cell>
          <cell r="N202">
            <v>0</v>
          </cell>
          <cell r="O202">
            <v>0</v>
          </cell>
          <cell r="P202" t="str">
            <v>0.362,-5.65;1.743,-5.48;0.34,-7.68;-0.76,-5.24;-1.76,-5.89;</v>
          </cell>
          <cell r="Q202">
            <v>22000</v>
          </cell>
        </row>
        <row r="202">
          <cell r="S202" t="str">
            <v>1001+35;1002+40;</v>
          </cell>
          <cell r="T202" t="str">
            <v>12000,1</v>
          </cell>
        </row>
        <row r="203">
          <cell r="A203">
            <v>3115</v>
          </cell>
          <cell r="B203" t="str">
            <v>关外山匪</v>
          </cell>
          <cell r="C203" t="str">
            <v>1501886;1501887;1501888;1501889;1501890</v>
          </cell>
          <cell r="D203" t="str">
            <v>1501886;1501887;1501888;1501889;1501890;1501891</v>
          </cell>
          <cell r="E203" t="str">
            <v>1501886;1501887;1501888;1501889;1501890;1501891;1501892</v>
          </cell>
          <cell r="F203">
            <v>3</v>
          </cell>
          <cell r="G203">
            <v>0</v>
          </cell>
          <cell r="H203">
            <v>1</v>
          </cell>
          <cell r="I203">
            <v>1</v>
          </cell>
          <cell r="J203" t="b">
            <v>0</v>
          </cell>
          <cell r="K203">
            <v>1003</v>
          </cell>
          <cell r="L203">
            <v>-6.34</v>
          </cell>
          <cell r="M203">
            <v>-7.69</v>
          </cell>
          <cell r="N203">
            <v>0</v>
          </cell>
          <cell r="O203">
            <v>0</v>
          </cell>
          <cell r="P203" t="str">
            <v>0.362,-5.65;1.743,-5.48;0.34,-7.68;-0.76,-5.24;-1.76,-5.89;</v>
          </cell>
          <cell r="Q203">
            <v>22000</v>
          </cell>
        </row>
        <row r="203">
          <cell r="S203" t="str">
            <v>1001+35;1002+40;</v>
          </cell>
          <cell r="T203" t="str">
            <v>12000,1</v>
          </cell>
        </row>
        <row r="204">
          <cell r="A204">
            <v>3116</v>
          </cell>
          <cell r="B204" t="str">
            <v>关外狼群</v>
          </cell>
          <cell r="C204" t="str">
            <v>1501893;1501894;1501895;1501896</v>
          </cell>
          <cell r="D204" t="str">
            <v>1501893;1501894;1501895;1501896;1501897</v>
          </cell>
          <cell r="E204" t="str">
            <v>1501893;1501894;1501895;1501896;1501897;1501898</v>
          </cell>
          <cell r="F204">
            <v>3</v>
          </cell>
          <cell r="G204">
            <v>0</v>
          </cell>
          <cell r="H204">
            <v>1</v>
          </cell>
          <cell r="I204">
            <v>1</v>
          </cell>
          <cell r="J204" t="b">
            <v>0</v>
          </cell>
          <cell r="K204">
            <v>1003</v>
          </cell>
          <cell r="L204">
            <v>-6.34</v>
          </cell>
          <cell r="M204">
            <v>-7.69</v>
          </cell>
          <cell r="N204">
            <v>0</v>
          </cell>
          <cell r="O204">
            <v>0</v>
          </cell>
          <cell r="P204" t="str">
            <v>0.362,-5.65;1.743,-5.48;0.34,-7.68;-0.76,-5.24;-1.76,-5.89;</v>
          </cell>
          <cell r="Q204">
            <v>22000</v>
          </cell>
        </row>
        <row r="204">
          <cell r="S204" t="str">
            <v>1001+35;1002+40;</v>
          </cell>
          <cell r="T204" t="str">
            <v>12000,1</v>
          </cell>
        </row>
        <row r="205">
          <cell r="A205">
            <v>3117</v>
          </cell>
          <cell r="B205" t="str">
            <v>山中凶虎</v>
          </cell>
          <cell r="C205" t="str">
            <v>1501899</v>
          </cell>
          <cell r="D205" t="str">
            <v>1501899;1501900</v>
          </cell>
          <cell r="E205" t="str">
            <v>1501899;1501900;1501901</v>
          </cell>
          <cell r="F205">
            <v>3</v>
          </cell>
          <cell r="G205">
            <v>0</v>
          </cell>
          <cell r="H205">
            <v>1</v>
          </cell>
          <cell r="I205">
            <v>1</v>
          </cell>
          <cell r="J205" t="b">
            <v>0</v>
          </cell>
          <cell r="K205">
            <v>1003</v>
          </cell>
          <cell r="L205">
            <v>-6.34</v>
          </cell>
          <cell r="M205">
            <v>-7.69</v>
          </cell>
          <cell r="N205">
            <v>0</v>
          </cell>
          <cell r="O205">
            <v>0</v>
          </cell>
          <cell r="P205" t="str">
            <v>0.362,-5.65;1.743,-5.48;0.34,-7.68;-0.76,-5.24;-1.76,-5.89;</v>
          </cell>
          <cell r="Q205">
            <v>22000</v>
          </cell>
        </row>
        <row r="205">
          <cell r="S205" t="str">
            <v>1001+35;1002+40;</v>
          </cell>
          <cell r="T205" t="str">
            <v>12000,100</v>
          </cell>
        </row>
        <row r="206">
          <cell r="A206">
            <v>94</v>
          </cell>
          <cell r="B206" t="str">
            <v>洛家高手</v>
          </cell>
          <cell r="C206">
            <v>1200295</v>
          </cell>
        </row>
        <row r="206">
          <cell r="G206">
            <v>0</v>
          </cell>
          <cell r="H206">
            <v>1</v>
          </cell>
          <cell r="I206">
            <v>1</v>
          </cell>
          <cell r="J206" t="b">
            <v>0</v>
          </cell>
          <cell r="K206">
            <v>1003</v>
          </cell>
          <cell r="L206">
            <v>-6.34</v>
          </cell>
          <cell r="M206">
            <v>-7.69</v>
          </cell>
          <cell r="N206">
            <v>0</v>
          </cell>
          <cell r="O206" t="str">
            <v>0</v>
          </cell>
          <cell r="P206" t="str">
            <v>0.362,-5.65;1.743,-5.48;0.34,-7.68;-0.76,-5.24;-1.76,-5.89;</v>
          </cell>
          <cell r="Q206">
            <v>13000</v>
          </cell>
          <cell r="R206">
            <v>0</v>
          </cell>
          <cell r="S206" t="str">
            <v>1001+10;1002+15;908031+1;</v>
          </cell>
          <cell r="T206" t="str">
            <v>11900,1</v>
          </cell>
        </row>
        <row r="207">
          <cell r="A207">
            <v>95</v>
          </cell>
          <cell r="B207" t="str">
            <v>南蛮武痴</v>
          </cell>
          <cell r="C207">
            <v>1200296</v>
          </cell>
        </row>
        <row r="207">
          <cell r="G207">
            <v>0</v>
          </cell>
          <cell r="H207">
            <v>1</v>
          </cell>
          <cell r="I207">
            <v>1</v>
          </cell>
          <cell r="J207" t="b">
            <v>0</v>
          </cell>
          <cell r="K207">
            <v>1003</v>
          </cell>
          <cell r="L207">
            <v>-6.34</v>
          </cell>
          <cell r="M207">
            <v>-7.69</v>
          </cell>
          <cell r="N207">
            <v>0</v>
          </cell>
          <cell r="O207" t="str">
            <v>0</v>
          </cell>
          <cell r="P207" t="str">
            <v>0.362,-5.65;1.743,-5.48;0.34,-7.68;-0.76,-5.24;-1.76,-5.89;</v>
          </cell>
          <cell r="Q207">
            <v>13000</v>
          </cell>
          <cell r="R207">
            <v>0</v>
          </cell>
          <cell r="S207" t="str">
            <v>1001+10;1002+15;</v>
          </cell>
          <cell r="T207" t="str">
            <v>11900,1</v>
          </cell>
        </row>
        <row r="208">
          <cell r="A208">
            <v>96</v>
          </cell>
          <cell r="B208" t="str">
            <v>嗜血疯魔</v>
          </cell>
          <cell r="C208">
            <v>1200297</v>
          </cell>
        </row>
        <row r="208">
          <cell r="G208">
            <v>0</v>
          </cell>
          <cell r="H208">
            <v>1</v>
          </cell>
          <cell r="I208">
            <v>1</v>
          </cell>
          <cell r="J208" t="b">
            <v>0</v>
          </cell>
          <cell r="K208">
            <v>1003</v>
          </cell>
          <cell r="L208">
            <v>-6.34</v>
          </cell>
          <cell r="M208">
            <v>-7.69</v>
          </cell>
          <cell r="N208">
            <v>0</v>
          </cell>
          <cell r="O208" t="str">
            <v>0</v>
          </cell>
          <cell r="P208" t="str">
            <v>0.362,-5.65;1.743,-5.48;0.34,-7.68;-0.76,-5.24;-1.76,-5.89;</v>
          </cell>
          <cell r="Q208">
            <v>13000</v>
          </cell>
          <cell r="R208">
            <v>0</v>
          </cell>
          <cell r="S208" t="str">
            <v>1001+10;1002+15;</v>
          </cell>
          <cell r="T208" t="str">
            <v>11900,1</v>
          </cell>
        </row>
        <row r="209">
          <cell r="A209">
            <v>97</v>
          </cell>
          <cell r="B209" t="str">
            <v>东市混混</v>
          </cell>
          <cell r="C209" t="str">
            <v>1200298;1200299</v>
          </cell>
          <cell r="D209" t="str">
            <v>1200298;1200299;1200300</v>
          </cell>
          <cell r="E209" t="str">
            <v>1200298;1200299;1200300</v>
          </cell>
        </row>
        <row r="209">
          <cell r="G209">
            <v>0</v>
          </cell>
          <cell r="H209">
            <v>1</v>
          </cell>
          <cell r="I209">
            <v>1</v>
          </cell>
          <cell r="J209" t="b">
            <v>0</v>
          </cell>
          <cell r="K209">
            <v>1003</v>
          </cell>
          <cell r="L209">
            <v>-6.34</v>
          </cell>
          <cell r="M209">
            <v>-7.69</v>
          </cell>
          <cell r="N209">
            <v>0</v>
          </cell>
          <cell r="O209" t="str">
            <v>0</v>
          </cell>
          <cell r="P209" t="str">
            <v>0.362,-5.65;1.743,-5.48;0.34,-7.68;-0.76,-5.24;-1.76,-5.89;</v>
          </cell>
          <cell r="Q209">
            <v>13000</v>
          </cell>
          <cell r="R209">
            <v>0</v>
          </cell>
          <cell r="S209" t="str">
            <v>1001+10;1002+15;901101+1;</v>
          </cell>
          <cell r="T209" t="str">
            <v>11900,1</v>
          </cell>
        </row>
        <row r="210">
          <cell r="A210">
            <v>98</v>
          </cell>
          <cell r="B210" t="str">
            <v>林二虎</v>
          </cell>
          <cell r="C210">
            <v>1200301</v>
          </cell>
          <cell r="D210" t="str">
            <v>1200301;1200299</v>
          </cell>
          <cell r="E210" t="str">
            <v>1200301;1200298;1200299</v>
          </cell>
        </row>
        <row r="210">
          <cell r="G210">
            <v>0</v>
          </cell>
          <cell r="H210">
            <v>1</v>
          </cell>
          <cell r="I210">
            <v>1</v>
          </cell>
          <cell r="J210" t="b">
            <v>0</v>
          </cell>
          <cell r="K210">
            <v>1003</v>
          </cell>
          <cell r="L210">
            <v>-6.34</v>
          </cell>
          <cell r="M210">
            <v>-7.69</v>
          </cell>
          <cell r="N210">
            <v>0</v>
          </cell>
          <cell r="O210" t="str">
            <v>0</v>
          </cell>
          <cell r="P210" t="str">
            <v>0.362,-5.65;1.743,-5.48;0.34,-7.68;-0.76,-5.24;-1.76,-5.89;</v>
          </cell>
          <cell r="Q210">
            <v>13000</v>
          </cell>
          <cell r="R210">
            <v>0</v>
          </cell>
          <cell r="S210" t="str">
            <v>1001+10;1002+15;</v>
          </cell>
          <cell r="T210" t="str">
            <v>11900,1</v>
          </cell>
        </row>
        <row r="211">
          <cell r="A211">
            <v>99</v>
          </cell>
          <cell r="B211" t="str">
            <v>连环寨山贼</v>
          </cell>
          <cell r="C211" t="str">
            <v>1200302;1200303</v>
          </cell>
          <cell r="D211" t="str">
            <v>1200302;1200303;1200304</v>
          </cell>
          <cell r="E211" t="str">
            <v>1200302;1200303;1200304;1200305</v>
          </cell>
        </row>
        <row r="211">
          <cell r="G211">
            <v>0</v>
          </cell>
          <cell r="H211">
            <v>1</v>
          </cell>
          <cell r="I211">
            <v>1</v>
          </cell>
          <cell r="J211" t="b">
            <v>0</v>
          </cell>
          <cell r="K211">
            <v>1003</v>
          </cell>
          <cell r="L211">
            <v>-6.34</v>
          </cell>
          <cell r="M211">
            <v>-7.69</v>
          </cell>
          <cell r="N211">
            <v>0</v>
          </cell>
          <cell r="O211" t="str">
            <v>3.2,-7.2;</v>
          </cell>
          <cell r="P211" t="str">
            <v>0.362,-5.65;1.743,-5.48;0.34,-7.68;-0.76,-5.24;-1.76,-5.89;</v>
          </cell>
          <cell r="Q211">
            <v>13000</v>
          </cell>
          <cell r="R211">
            <v>0</v>
          </cell>
          <cell r="S211" t="str">
            <v>1001+10;1002+15;908093+1;</v>
          </cell>
          <cell r="T211" t="str">
            <v>11900,1</v>
          </cell>
        </row>
        <row r="212">
          <cell r="A212">
            <v>100</v>
          </cell>
          <cell r="B212" t="str">
            <v>连环寨山贼</v>
          </cell>
          <cell r="C212" t="str">
            <v>1200302;1200303;1200304</v>
          </cell>
          <cell r="D212" t="str">
            <v>1200302;1200303;1200304;1200305</v>
          </cell>
          <cell r="E212" t="str">
            <v>1200302;1200303;1200304;1200305;1200306</v>
          </cell>
        </row>
        <row r="212">
          <cell r="G212">
            <v>0</v>
          </cell>
          <cell r="H212">
            <v>1</v>
          </cell>
          <cell r="I212">
            <v>1</v>
          </cell>
          <cell r="J212" t="b">
            <v>0</v>
          </cell>
          <cell r="K212">
            <v>1003</v>
          </cell>
          <cell r="L212">
            <v>-6.34</v>
          </cell>
          <cell r="M212">
            <v>-7.69</v>
          </cell>
          <cell r="N212">
            <v>0</v>
          </cell>
          <cell r="O212" t="str">
            <v>3.2,-7.2;</v>
          </cell>
          <cell r="P212" t="str">
            <v>0.362,-5.65;1.743,-5.48;0.34,-7.68;-0.76,-5.24;-1.76,-5.89;</v>
          </cell>
          <cell r="Q212">
            <v>13000</v>
          </cell>
          <cell r="R212">
            <v>0</v>
          </cell>
          <cell r="S212" t="str">
            <v>1001+10;1002+15;</v>
          </cell>
          <cell r="T212" t="str">
            <v>11900,1</v>
          </cell>
        </row>
        <row r="213">
          <cell r="A213">
            <v>101</v>
          </cell>
          <cell r="B213" t="str">
            <v>肉痴</v>
          </cell>
          <cell r="C213" t="str">
            <v>1200310;1200302;1200304</v>
          </cell>
          <cell r="D213" t="str">
            <v>1200310;1200302;1200303;1200304</v>
          </cell>
          <cell r="E213" t="str">
            <v>1200310;1200302;1200303;1200304;1200305</v>
          </cell>
        </row>
        <row r="213">
          <cell r="G213">
            <v>0</v>
          </cell>
          <cell r="H213">
            <v>1</v>
          </cell>
          <cell r="I213">
            <v>1</v>
          </cell>
          <cell r="J213" t="b">
            <v>0</v>
          </cell>
          <cell r="K213">
            <v>1003</v>
          </cell>
          <cell r="L213">
            <v>-6.34</v>
          </cell>
          <cell r="M213">
            <v>-7.69</v>
          </cell>
          <cell r="N213">
            <v>0</v>
          </cell>
          <cell r="O213" t="str">
            <v>3.2,-7.2;</v>
          </cell>
          <cell r="P213" t="str">
            <v>0.362,-5.65;1.743,-5.48;0.34,-7.68;-0.76,-5.24;-1.76,-5.89;</v>
          </cell>
          <cell r="Q213">
            <v>13000</v>
          </cell>
          <cell r="R213">
            <v>0</v>
          </cell>
          <cell r="S213" t="str">
            <v>1001+10;1002+15;901001+1;</v>
          </cell>
          <cell r="T213" t="str">
            <v>11900,1</v>
          </cell>
        </row>
        <row r="214">
          <cell r="A214">
            <v>102</v>
          </cell>
          <cell r="B214" t="str">
            <v>连环寨山贼</v>
          </cell>
          <cell r="C214" t="str">
            <v>1200302;1200303</v>
          </cell>
          <cell r="D214" t="str">
            <v>1200302;1200303;1200304</v>
          </cell>
          <cell r="E214" t="str">
            <v>1200302;1200303;1200304;1200305</v>
          </cell>
        </row>
        <row r="214">
          <cell r="G214">
            <v>0</v>
          </cell>
          <cell r="H214">
            <v>1</v>
          </cell>
          <cell r="I214">
            <v>1</v>
          </cell>
          <cell r="J214" t="b">
            <v>0</v>
          </cell>
          <cell r="K214">
            <v>1003</v>
          </cell>
          <cell r="L214">
            <v>-6.34</v>
          </cell>
          <cell r="M214">
            <v>-7.69</v>
          </cell>
          <cell r="N214">
            <v>0</v>
          </cell>
          <cell r="O214" t="str">
            <v>3.2,-7.2;</v>
          </cell>
          <cell r="P214" t="str">
            <v>0.362,-5.65;1.743,-5.48;0.34,-7.68;-0.76,-5.24;-1.76,-5.89;</v>
          </cell>
          <cell r="Q214">
            <v>13000</v>
          </cell>
          <cell r="R214">
            <v>0</v>
          </cell>
          <cell r="S214" t="str">
            <v>1001+10;1002+15;</v>
          </cell>
          <cell r="T214" t="str">
            <v>11900,1</v>
          </cell>
        </row>
        <row r="215">
          <cell r="A215">
            <v>103</v>
          </cell>
          <cell r="B215" t="str">
            <v>连环寨山贼</v>
          </cell>
          <cell r="C215" t="str">
            <v>1200302;1200303</v>
          </cell>
          <cell r="D215" t="str">
            <v>1200302;1200303;1200304</v>
          </cell>
          <cell r="E215" t="str">
            <v>1200302;1200303;1200304;1200305</v>
          </cell>
        </row>
        <row r="215">
          <cell r="G215">
            <v>1200307</v>
          </cell>
          <cell r="H215">
            <v>1</v>
          </cell>
          <cell r="I215">
            <v>1</v>
          </cell>
          <cell r="J215" t="b">
            <v>0</v>
          </cell>
          <cell r="K215">
            <v>1003</v>
          </cell>
          <cell r="L215">
            <v>-6.34</v>
          </cell>
          <cell r="M215">
            <v>-7.69</v>
          </cell>
          <cell r="N215">
            <v>0</v>
          </cell>
          <cell r="O215" t="str">
            <v>3.2,-7.2;</v>
          </cell>
          <cell r="P215" t="str">
            <v>0.362,-5.65;1.743,-5.48;0.34,-7.68;-0.76,-5.24;-1.76,-5.89;</v>
          </cell>
          <cell r="Q215">
            <v>13000</v>
          </cell>
          <cell r="R215">
            <v>0</v>
          </cell>
          <cell r="S215" t="str">
            <v>1001+10;1002+15;907009+1;</v>
          </cell>
          <cell r="T215">
            <v>0</v>
          </cell>
        </row>
        <row r="216">
          <cell r="A216">
            <v>104</v>
          </cell>
          <cell r="B216" t="str">
            <v>连环寨山贼</v>
          </cell>
          <cell r="C216" t="str">
            <v>1200302;1200303;1200304</v>
          </cell>
          <cell r="D216" t="str">
            <v>1200302;1200303;1200304;1200305</v>
          </cell>
          <cell r="E216" t="str">
            <v>1200302;1200303;1200304;1200305;1200306</v>
          </cell>
        </row>
        <row r="216">
          <cell r="G216">
            <v>1200307</v>
          </cell>
          <cell r="H216">
            <v>1</v>
          </cell>
          <cell r="I216">
            <v>1</v>
          </cell>
          <cell r="J216" t="b">
            <v>0</v>
          </cell>
          <cell r="K216">
            <v>1003</v>
          </cell>
          <cell r="L216">
            <v>-6.34</v>
          </cell>
          <cell r="M216">
            <v>-7.69</v>
          </cell>
          <cell r="N216">
            <v>0</v>
          </cell>
          <cell r="O216" t="str">
            <v>3.2,-7.2;</v>
          </cell>
          <cell r="P216" t="str">
            <v>0.362,-5.65;1.743,-5.48;0.34,-7.68;-0.76,-5.24;-1.76,-5.89;</v>
          </cell>
          <cell r="Q216">
            <v>13000</v>
          </cell>
          <cell r="R216">
            <v>0</v>
          </cell>
          <cell r="S216" t="str">
            <v>1001+10;1002+15;</v>
          </cell>
          <cell r="T216">
            <v>0</v>
          </cell>
        </row>
        <row r="217">
          <cell r="A217">
            <v>105</v>
          </cell>
          <cell r="B217" t="str">
            <v>连环寨山贼</v>
          </cell>
          <cell r="C217" t="str">
            <v>1201244;1200304;1200305</v>
          </cell>
          <cell r="D217" t="str">
            <v>1201244;1200304;1200305;1200306</v>
          </cell>
          <cell r="E217" t="str">
            <v>1201244;1200304;1200305;1200306;1200309</v>
          </cell>
        </row>
        <row r="217">
          <cell r="G217">
            <v>1200307</v>
          </cell>
          <cell r="H217">
            <v>1</v>
          </cell>
          <cell r="I217">
            <v>1</v>
          </cell>
          <cell r="J217" t="b">
            <v>0</v>
          </cell>
          <cell r="K217">
            <v>1003</v>
          </cell>
          <cell r="L217">
            <v>-6.34</v>
          </cell>
          <cell r="M217">
            <v>-7.69</v>
          </cell>
          <cell r="N217">
            <v>0</v>
          </cell>
          <cell r="O217" t="str">
            <v>3.2,-7.2;</v>
          </cell>
          <cell r="P217" t="str">
            <v>0.362,-5.65;1.743,-5.48;0.34,-7.68;-0.76,-5.24;-1.76,-5.89;</v>
          </cell>
          <cell r="Q217">
            <v>13000</v>
          </cell>
          <cell r="R217">
            <v>0</v>
          </cell>
          <cell r="S217" t="str">
            <v>1001+10;1002+15;901101+1;</v>
          </cell>
          <cell r="T217" t="str">
            <v>11900,1</v>
          </cell>
        </row>
        <row r="218">
          <cell r="A218">
            <v>106</v>
          </cell>
          <cell r="B218" t="str">
            <v>肉痴</v>
          </cell>
          <cell r="C218" t="str">
            <v>1200310;1200303;1200304</v>
          </cell>
          <cell r="D218" t="str">
            <v>1200310;1200303;1200304;1200305</v>
          </cell>
          <cell r="E218" t="str">
            <v>1200310;1200303;1200304;1200305;1200306</v>
          </cell>
        </row>
        <row r="218">
          <cell r="G218">
            <v>1200307</v>
          </cell>
          <cell r="H218">
            <v>1</v>
          </cell>
          <cell r="I218">
            <v>1</v>
          </cell>
          <cell r="J218" t="b">
            <v>0</v>
          </cell>
          <cell r="K218">
            <v>1003</v>
          </cell>
          <cell r="L218">
            <v>-6.34</v>
          </cell>
          <cell r="M218">
            <v>-7.69</v>
          </cell>
          <cell r="N218">
            <v>0</v>
          </cell>
          <cell r="O218" t="str">
            <v>3.2,-7.2;</v>
          </cell>
          <cell r="P218" t="str">
            <v>0.362,-5.65;1.743,-5.48;0.34,-7.68;-0.76,-5.24;-1.76,-5.89;</v>
          </cell>
          <cell r="Q218">
            <v>13000</v>
          </cell>
          <cell r="R218">
            <v>0</v>
          </cell>
          <cell r="S218" t="str">
            <v>1001+10;1002+15;+1;907010+1;</v>
          </cell>
          <cell r="T218" t="str">
            <v>11900,1</v>
          </cell>
        </row>
        <row r="219">
          <cell r="A219">
            <v>107</v>
          </cell>
          <cell r="B219" t="str">
            <v>连环寨山贼</v>
          </cell>
          <cell r="C219" t="str">
            <v>1200303;1200304;1200305</v>
          </cell>
          <cell r="D219" t="str">
            <v>1200303;1200304;1200305;1200306</v>
          </cell>
          <cell r="E219" t="str">
            <v>1200303;1200304;1200305;1200306;1200309</v>
          </cell>
        </row>
        <row r="219">
          <cell r="G219">
            <v>1200307</v>
          </cell>
          <cell r="H219">
            <v>1</v>
          </cell>
          <cell r="I219">
            <v>1</v>
          </cell>
          <cell r="J219" t="b">
            <v>0</v>
          </cell>
          <cell r="K219">
            <v>1003</v>
          </cell>
          <cell r="L219">
            <v>-6.34</v>
          </cell>
          <cell r="M219">
            <v>-7.69</v>
          </cell>
          <cell r="N219">
            <v>0</v>
          </cell>
          <cell r="O219" t="str">
            <v>3.2,-7.2;</v>
          </cell>
          <cell r="P219" t="str">
            <v>0.362,-5.65;1.743,-5.48;0.34,-7.68;-0.76,-5.24;-1.76,-5.89;</v>
          </cell>
          <cell r="Q219">
            <v>13000</v>
          </cell>
          <cell r="R219">
            <v>0</v>
          </cell>
          <cell r="S219" t="str">
            <v>1001+10;1002+15;</v>
          </cell>
          <cell r="T219" t="str">
            <v>11900,1</v>
          </cell>
        </row>
        <row r="220">
          <cell r="A220">
            <v>108</v>
          </cell>
          <cell r="B220" t="str">
            <v>西门直</v>
          </cell>
          <cell r="C220">
            <v>1200311</v>
          </cell>
          <cell r="D220" t="str">
            <v>1200311;1200312</v>
          </cell>
          <cell r="E220" t="str">
            <v>1200311;1200312;1200313</v>
          </cell>
        </row>
        <row r="220">
          <cell r="G220">
            <v>0</v>
          </cell>
          <cell r="H220">
            <v>1</v>
          </cell>
          <cell r="I220">
            <v>1</v>
          </cell>
          <cell r="J220" t="b">
            <v>0</v>
          </cell>
          <cell r="K220">
            <v>1003</v>
          </cell>
          <cell r="L220">
            <v>-6.34</v>
          </cell>
          <cell r="M220">
            <v>-7.69</v>
          </cell>
          <cell r="N220">
            <v>0</v>
          </cell>
          <cell r="O220" t="str">
            <v>0</v>
          </cell>
          <cell r="P220" t="str">
            <v>0.362,-5.65;1.743,-5.48;0.34,-7.68;-0.76,-5.24;-1.76,-5.89;</v>
          </cell>
          <cell r="Q220">
            <v>13000</v>
          </cell>
          <cell r="R220">
            <v>0</v>
          </cell>
          <cell r="S220" t="str">
            <v>1001+10;1002+15;901001+1;</v>
          </cell>
          <cell r="T220" t="str">
            <v>11900,1</v>
          </cell>
        </row>
        <row r="221">
          <cell r="A221">
            <v>109</v>
          </cell>
          <cell r="B221" t="str">
            <v>东市无赖</v>
          </cell>
          <cell r="C221" t="str">
            <v>1200315;1201263;1201264</v>
          </cell>
          <cell r="D221" t="str">
            <v>1200315;1200316;1201263;1201264</v>
          </cell>
          <cell r="E221" t="str">
            <v>1200315;1200316;1200670;1201263;1201264</v>
          </cell>
        </row>
        <row r="221">
          <cell r="G221">
            <v>0</v>
          </cell>
          <cell r="H221">
            <v>1</v>
          </cell>
          <cell r="I221">
            <v>1</v>
          </cell>
          <cell r="J221" t="b">
            <v>0</v>
          </cell>
          <cell r="K221">
            <v>1003</v>
          </cell>
          <cell r="L221">
            <v>-6.34</v>
          </cell>
          <cell r="M221">
            <v>-7.69</v>
          </cell>
          <cell r="N221">
            <v>0</v>
          </cell>
          <cell r="O221" t="str">
            <v>0</v>
          </cell>
          <cell r="P221" t="str">
            <v>0.362,-5.65;1.743,-5.48;0.34,-7.68;-0.76,-5.24;-1.76,-5.89;</v>
          </cell>
          <cell r="Q221">
            <v>13000</v>
          </cell>
          <cell r="R221">
            <v>0</v>
          </cell>
          <cell r="S221" t="str">
            <v>1001+10;1002+15;907011+1;</v>
          </cell>
          <cell r="T221" t="str">
            <v>11900,1</v>
          </cell>
        </row>
        <row r="222">
          <cell r="A222">
            <v>110</v>
          </cell>
          <cell r="B222" t="str">
            <v>疯癔之人</v>
          </cell>
          <cell r="C222">
            <v>1200317</v>
          </cell>
        </row>
        <row r="222">
          <cell r="G222">
            <v>0</v>
          </cell>
          <cell r="H222">
            <v>1</v>
          </cell>
          <cell r="I222">
            <v>1</v>
          </cell>
          <cell r="J222" t="b">
            <v>0</v>
          </cell>
          <cell r="K222">
            <v>1003</v>
          </cell>
          <cell r="L222">
            <v>-6.34</v>
          </cell>
          <cell r="M222">
            <v>-7.69</v>
          </cell>
          <cell r="N222">
            <v>0</v>
          </cell>
          <cell r="O222" t="str">
            <v>0</v>
          </cell>
          <cell r="P222" t="str">
            <v>0.362,-5.65;1.743,-5.48;0.34,-7.68;-0.76,-5.24;-1.76,-5.89;</v>
          </cell>
          <cell r="Q222">
            <v>13000</v>
          </cell>
          <cell r="R222">
            <v>0</v>
          </cell>
          <cell r="S222" t="str">
            <v>1001+10;1002+15;</v>
          </cell>
          <cell r="T222" t="str">
            <v>11900,1</v>
          </cell>
        </row>
        <row r="223">
          <cell r="A223">
            <v>111</v>
          </cell>
          <cell r="B223" t="str">
            <v>楚林灵</v>
          </cell>
          <cell r="C223">
            <v>1200318</v>
          </cell>
        </row>
        <row r="223">
          <cell r="G223">
            <v>0</v>
          </cell>
          <cell r="H223">
            <v>1</v>
          </cell>
          <cell r="I223">
            <v>1</v>
          </cell>
          <cell r="J223" t="b">
            <v>0</v>
          </cell>
          <cell r="K223">
            <v>1003</v>
          </cell>
          <cell r="L223">
            <v>-6.34</v>
          </cell>
          <cell r="M223">
            <v>-7.69</v>
          </cell>
          <cell r="N223">
            <v>0</v>
          </cell>
          <cell r="O223" t="str">
            <v>0</v>
          </cell>
          <cell r="P223" t="str">
            <v>0.362,-5.65;1.743,-5.48;0.34,-7.68;-0.76,-5.24;-1.76,-5.89;</v>
          </cell>
          <cell r="Q223">
            <v>13000</v>
          </cell>
          <cell r="R223">
            <v>0</v>
          </cell>
          <cell r="S223" t="str">
            <v>1001+10;1002+15;</v>
          </cell>
          <cell r="T223" t="str">
            <v>11900,1</v>
          </cell>
        </row>
        <row r="224">
          <cell r="A224">
            <v>112</v>
          </cell>
          <cell r="B224" t="str">
            <v>张英</v>
          </cell>
          <cell r="C224">
            <v>1200319</v>
          </cell>
          <cell r="D224" t="str">
            <v>1200319;1200320</v>
          </cell>
          <cell r="E224" t="str">
            <v>1200319;1200320;1200321</v>
          </cell>
        </row>
        <row r="224">
          <cell r="G224">
            <v>0</v>
          </cell>
          <cell r="H224">
            <v>1</v>
          </cell>
          <cell r="I224">
            <v>1</v>
          </cell>
          <cell r="J224" t="b">
            <v>0</v>
          </cell>
          <cell r="K224">
            <v>1003</v>
          </cell>
          <cell r="L224">
            <v>-6.34</v>
          </cell>
          <cell r="M224">
            <v>-7.69</v>
          </cell>
          <cell r="N224">
            <v>0</v>
          </cell>
          <cell r="O224" t="str">
            <v>0</v>
          </cell>
          <cell r="P224" t="str">
            <v>0.362,-5.65;1.743,-5.48;0.34,-7.68;-0.76,-5.24;-1.76,-5.89;</v>
          </cell>
          <cell r="Q224">
            <v>13000</v>
          </cell>
          <cell r="R224">
            <v>0</v>
          </cell>
          <cell r="S224" t="str">
            <v>1001+10;1002+15;908031+1;</v>
          </cell>
          <cell r="T224" t="str">
            <v>11900,1</v>
          </cell>
        </row>
        <row r="225">
          <cell r="A225">
            <v>113</v>
          </cell>
          <cell r="B225" t="str">
            <v>张英 娇俏女子</v>
          </cell>
          <cell r="C225" t="str">
            <v>1200334;1200325</v>
          </cell>
          <cell r="D225" t="str">
            <v>1200334;1200325;1200320</v>
          </cell>
          <cell r="E225" t="str">
            <v>1200334;1200325;1200320;1200321</v>
          </cell>
        </row>
        <row r="225">
          <cell r="G225">
            <v>0</v>
          </cell>
          <cell r="H225">
            <v>1</v>
          </cell>
          <cell r="I225">
            <v>1</v>
          </cell>
          <cell r="J225" t="b">
            <v>0</v>
          </cell>
          <cell r="K225">
            <v>1003</v>
          </cell>
          <cell r="L225">
            <v>-6.34</v>
          </cell>
          <cell r="M225">
            <v>-7.69</v>
          </cell>
          <cell r="N225">
            <v>0</v>
          </cell>
          <cell r="O225" t="str">
            <v>0</v>
          </cell>
          <cell r="P225" t="str">
            <v>0.362,-5.65;1.743,-5.48;0.34,-7.68;-0.76,-5.24;-1.76,-5.89;</v>
          </cell>
          <cell r="Q225">
            <v>13000</v>
          </cell>
          <cell r="R225">
            <v>0</v>
          </cell>
          <cell r="S225" t="str">
            <v>1001+10;1002+15;908031+1;</v>
          </cell>
          <cell r="T225" t="str">
            <v>11900,1</v>
          </cell>
        </row>
        <row r="226">
          <cell r="A226">
            <v>114</v>
          </cell>
          <cell r="B226" t="str">
            <v>张英 红绡</v>
          </cell>
          <cell r="C226" t="str">
            <v>1200335;1200326</v>
          </cell>
          <cell r="D226" t="str">
            <v>1200335;1200326;1200320</v>
          </cell>
          <cell r="E226" t="str">
            <v>1200335;1200326;1200320;1200321</v>
          </cell>
        </row>
        <row r="226">
          <cell r="G226">
            <v>0</v>
          </cell>
          <cell r="H226">
            <v>1</v>
          </cell>
          <cell r="I226">
            <v>1</v>
          </cell>
          <cell r="J226" t="b">
            <v>0</v>
          </cell>
          <cell r="K226">
            <v>1003</v>
          </cell>
          <cell r="L226">
            <v>-6.34</v>
          </cell>
          <cell r="M226">
            <v>-7.69</v>
          </cell>
          <cell r="N226">
            <v>0</v>
          </cell>
          <cell r="O226" t="str">
            <v>0</v>
          </cell>
          <cell r="P226" t="str">
            <v>0.362,-5.65;1.743,-5.48;0.34,-7.68;-0.76,-5.24;-1.76,-5.89;</v>
          </cell>
          <cell r="Q226">
            <v>13000</v>
          </cell>
          <cell r="R226">
            <v>0</v>
          </cell>
          <cell r="S226" t="str">
            <v>1001+10;1002+15;901101+1;</v>
          </cell>
          <cell r="T226" t="str">
            <v>11900,1</v>
          </cell>
        </row>
        <row r="227">
          <cell r="A227">
            <v>115</v>
          </cell>
          <cell r="B227" t="str">
            <v>阿大 阿二</v>
          </cell>
          <cell r="C227" t="str">
            <v>1200327;1200328</v>
          </cell>
        </row>
        <row r="227">
          <cell r="G227">
            <v>0</v>
          </cell>
          <cell r="H227">
            <v>1</v>
          </cell>
          <cell r="I227">
            <v>1</v>
          </cell>
          <cell r="J227" t="b">
            <v>0</v>
          </cell>
          <cell r="K227">
            <v>1003</v>
          </cell>
          <cell r="L227">
            <v>-6.34</v>
          </cell>
          <cell r="M227">
            <v>-7.69</v>
          </cell>
          <cell r="N227">
            <v>0</v>
          </cell>
          <cell r="O227" t="str">
            <v>0</v>
          </cell>
          <cell r="P227" t="str">
            <v>0.362,-5.65;1.743,-5.48;0.34,-7.68;-0.76,-5.24;-1.76,-5.89;</v>
          </cell>
          <cell r="Q227">
            <v>13000</v>
          </cell>
          <cell r="R227">
            <v>0</v>
          </cell>
          <cell r="S227" t="str">
            <v>1001+10;1002+15;908031+1;</v>
          </cell>
          <cell r="T227" t="str">
            <v>11900,1</v>
          </cell>
        </row>
        <row r="228">
          <cell r="A228">
            <v>116</v>
          </cell>
          <cell r="B228" t="str">
            <v>南宫侍女</v>
          </cell>
          <cell r="C228" t="str">
            <v>1200331;1200332</v>
          </cell>
        </row>
        <row r="228">
          <cell r="G228">
            <v>0</v>
          </cell>
          <cell r="H228">
            <v>1</v>
          </cell>
          <cell r="I228">
            <v>1</v>
          </cell>
          <cell r="J228" t="b">
            <v>0</v>
          </cell>
          <cell r="K228">
            <v>1003</v>
          </cell>
          <cell r="L228">
            <v>-6.34</v>
          </cell>
          <cell r="M228">
            <v>-7.69</v>
          </cell>
          <cell r="N228">
            <v>0</v>
          </cell>
          <cell r="O228" t="str">
            <v>0</v>
          </cell>
          <cell r="P228" t="str">
            <v>0.362,-5.65;1.743,-5.48;0.34,-7.68;-0.76,-5.24;-1.76,-5.89;</v>
          </cell>
          <cell r="Q228">
            <v>13000</v>
          </cell>
          <cell r="R228">
            <v>0</v>
          </cell>
          <cell r="S228" t="str">
            <v>1001+10;1002+15;907010+1;</v>
          </cell>
          <cell r="T228" t="str">
            <v>11900,1</v>
          </cell>
        </row>
        <row r="229">
          <cell r="A229">
            <v>117</v>
          </cell>
          <cell r="B229" t="str">
            <v>南宫莲</v>
          </cell>
          <cell r="C229">
            <v>1200329</v>
          </cell>
        </row>
        <row r="229">
          <cell r="G229">
            <v>0</v>
          </cell>
          <cell r="H229">
            <v>1</v>
          </cell>
          <cell r="I229">
            <v>1</v>
          </cell>
          <cell r="J229" t="b">
            <v>0</v>
          </cell>
          <cell r="K229">
            <v>1003</v>
          </cell>
          <cell r="L229">
            <v>-6.34</v>
          </cell>
          <cell r="M229">
            <v>-7.69</v>
          </cell>
          <cell r="N229">
            <v>0</v>
          </cell>
          <cell r="O229" t="str">
            <v>0</v>
          </cell>
          <cell r="P229" t="str">
            <v>0.362,-5.65;1.743,-5.48;0.34,-7.68;-0.76,-5.24;-1.76,-5.89;</v>
          </cell>
          <cell r="Q229">
            <v>13000</v>
          </cell>
          <cell r="R229">
            <v>0</v>
          </cell>
          <cell r="S229" t="str">
            <v>1001+10;1002+15;908031+1;</v>
          </cell>
          <cell r="T229" t="str">
            <v>11900,1</v>
          </cell>
        </row>
        <row r="230">
          <cell r="A230">
            <v>118</v>
          </cell>
          <cell r="B230" t="str">
            <v>毛贼</v>
          </cell>
          <cell r="C230">
            <v>1200333</v>
          </cell>
        </row>
        <row r="230">
          <cell r="G230">
            <v>0</v>
          </cell>
          <cell r="H230">
            <v>1</v>
          </cell>
          <cell r="I230">
            <v>1</v>
          </cell>
          <cell r="J230" t="b">
            <v>0</v>
          </cell>
          <cell r="K230">
            <v>1003</v>
          </cell>
          <cell r="L230">
            <v>-6.34</v>
          </cell>
          <cell r="M230">
            <v>-7.69</v>
          </cell>
          <cell r="N230">
            <v>0</v>
          </cell>
          <cell r="O230" t="str">
            <v>0</v>
          </cell>
          <cell r="P230" t="str">
            <v>0.362,-5.65;1.743,-5.48;0.34,-7.68;-0.76,-5.24;-1.76,-5.89;</v>
          </cell>
          <cell r="Q230">
            <v>13000</v>
          </cell>
          <cell r="R230">
            <v>0</v>
          </cell>
          <cell r="S230" t="str">
            <v>1001+10;1002+15;901001+1;907009+1;</v>
          </cell>
          <cell r="T230" t="str">
            <v>11900,1</v>
          </cell>
        </row>
        <row r="231">
          <cell r="A231">
            <v>119</v>
          </cell>
          <cell r="B231" t="str">
            <v>苏北五猖</v>
          </cell>
          <cell r="C231" t="str">
            <v>1200336;1200337;1200338;1200339;1200340</v>
          </cell>
        </row>
        <row r="231">
          <cell r="G231">
            <v>0</v>
          </cell>
          <cell r="H231">
            <v>1</v>
          </cell>
          <cell r="I231">
            <v>1</v>
          </cell>
          <cell r="J231" t="b">
            <v>0</v>
          </cell>
          <cell r="K231">
            <v>1003</v>
          </cell>
          <cell r="L231">
            <v>-6.34</v>
          </cell>
          <cell r="M231">
            <v>-7.69</v>
          </cell>
          <cell r="N231">
            <v>0</v>
          </cell>
          <cell r="O231" t="str">
            <v>0</v>
          </cell>
          <cell r="P231" t="str">
            <v>0.362,-5.65;1.743,-5.48;0.34,-7.68;-0.76,-5.24;-1.76,-5.89;</v>
          </cell>
          <cell r="Q231">
            <v>13000</v>
          </cell>
          <cell r="R231">
            <v>0</v>
          </cell>
          <cell r="S231" t="str">
            <v>1001+10;1002+15;908031+1;</v>
          </cell>
          <cell r="T231" t="str">
            <v>11900,1</v>
          </cell>
        </row>
        <row r="232">
          <cell r="A232">
            <v>120</v>
          </cell>
          <cell r="B232" t="str">
            <v>苏北五猖</v>
          </cell>
          <cell r="C232" t="str">
            <v>1200342;1200343;1200344;1200345;1200346</v>
          </cell>
        </row>
        <row r="232">
          <cell r="G232">
            <v>1200341</v>
          </cell>
          <cell r="H232">
            <v>1</v>
          </cell>
          <cell r="I232">
            <v>1</v>
          </cell>
          <cell r="J232" t="b">
            <v>0</v>
          </cell>
          <cell r="K232">
            <v>1003</v>
          </cell>
          <cell r="L232">
            <v>-6.34</v>
          </cell>
          <cell r="M232">
            <v>-7.69</v>
          </cell>
          <cell r="N232">
            <v>0</v>
          </cell>
          <cell r="O232" t="str">
            <v>3.2,-7.2;</v>
          </cell>
          <cell r="P232" t="str">
            <v>0.362,-5.65;1.743,-5.48;0.34,-7.68;-0.76,-5.24;-1.76,-5.89;</v>
          </cell>
          <cell r="Q232">
            <v>13000</v>
          </cell>
          <cell r="R232">
            <v>0</v>
          </cell>
          <cell r="S232" t="str">
            <v>1001+10;1002+15;908031+1;</v>
          </cell>
          <cell r="T232" t="str">
            <v>11900,1</v>
          </cell>
        </row>
        <row r="233">
          <cell r="A233">
            <v>121</v>
          </cell>
          <cell r="B233" t="str">
            <v>孟阳伯</v>
          </cell>
          <cell r="C233">
            <v>1200347</v>
          </cell>
        </row>
        <row r="233">
          <cell r="G233" t="str">
            <v>1200342;1200343;1200344;1200345;1200346</v>
          </cell>
          <cell r="H233">
            <v>1</v>
          </cell>
          <cell r="I233">
            <v>1</v>
          </cell>
          <cell r="J233" t="b">
            <v>0</v>
          </cell>
          <cell r="K233">
            <v>1003</v>
          </cell>
          <cell r="L233">
            <v>-6.34</v>
          </cell>
          <cell r="M233">
            <v>-7.69</v>
          </cell>
          <cell r="N233">
            <v>0</v>
          </cell>
          <cell r="O233" t="str">
            <v>3.2,-7.2;-2.6,-4.6;-12.57,-7.07;-4.3,-9.6;-10.31,-5.31</v>
          </cell>
          <cell r="P233" t="str">
            <v>0.362,-5.65;1.743,-5.48;0.34,-7.68;-0.76,-5.24;-1.76,-5.89;</v>
          </cell>
          <cell r="Q233">
            <v>13000</v>
          </cell>
          <cell r="R233">
            <v>0</v>
          </cell>
          <cell r="S233" t="str">
            <v>1001+10;1002+15;908031+1;</v>
          </cell>
          <cell r="T233" t="str">
            <v>11900,1</v>
          </cell>
        </row>
        <row r="234">
          <cell r="A234">
            <v>122</v>
          </cell>
          <cell r="B234" t="str">
            <v>孟阳伯</v>
          </cell>
          <cell r="C234">
            <v>1200348</v>
          </cell>
        </row>
        <row r="234">
          <cell r="G234">
            <v>0</v>
          </cell>
          <cell r="H234">
            <v>1</v>
          </cell>
          <cell r="I234">
            <v>1</v>
          </cell>
          <cell r="J234" t="b">
            <v>0</v>
          </cell>
          <cell r="K234">
            <v>1003</v>
          </cell>
          <cell r="L234">
            <v>-6.34</v>
          </cell>
          <cell r="M234">
            <v>-7.69</v>
          </cell>
          <cell r="N234">
            <v>0</v>
          </cell>
          <cell r="O234" t="str">
            <v>0</v>
          </cell>
          <cell r="P234" t="str">
            <v>0.362,-5.65;1.743,-5.48;0.34,-7.68;-0.76,-5.24;-1.76,-5.89;</v>
          </cell>
          <cell r="Q234">
            <v>13000</v>
          </cell>
          <cell r="R234">
            <v>0</v>
          </cell>
          <cell r="S234" t="str">
            <v>1001+10;1002+15;908031+1;</v>
          </cell>
          <cell r="T234" t="str">
            <v>11900,1</v>
          </cell>
        </row>
        <row r="235">
          <cell r="A235">
            <v>123</v>
          </cell>
          <cell r="B235" t="str">
            <v>探花七</v>
          </cell>
          <cell r="C235">
            <v>1200349</v>
          </cell>
        </row>
        <row r="235">
          <cell r="G235">
            <v>0</v>
          </cell>
          <cell r="H235">
            <v>1</v>
          </cell>
          <cell r="I235">
            <v>1</v>
          </cell>
          <cell r="J235" t="b">
            <v>0</v>
          </cell>
          <cell r="K235">
            <v>1003</v>
          </cell>
          <cell r="L235">
            <v>-6.34</v>
          </cell>
          <cell r="M235">
            <v>-7.69</v>
          </cell>
          <cell r="N235">
            <v>0</v>
          </cell>
          <cell r="O235" t="str">
            <v>0</v>
          </cell>
          <cell r="P235" t="str">
            <v>0.362,-5.65;1.743,-5.48;0.34,-7.68;-0.76,-5.24;-1.76,-5.89;</v>
          </cell>
          <cell r="Q235">
            <v>13000</v>
          </cell>
          <cell r="R235">
            <v>0</v>
          </cell>
          <cell r="S235" t="str">
            <v>1001+10;1002+15;907011+1;</v>
          </cell>
          <cell r="T235" t="str">
            <v>11900,1</v>
          </cell>
        </row>
        <row r="236">
          <cell r="A236">
            <v>124</v>
          </cell>
          <cell r="B236" t="str">
            <v>探花七</v>
          </cell>
          <cell r="C236">
            <v>1200350</v>
          </cell>
        </row>
        <row r="236">
          <cell r="G236">
            <v>0</v>
          </cell>
          <cell r="H236">
            <v>1</v>
          </cell>
          <cell r="I236">
            <v>1</v>
          </cell>
          <cell r="J236" t="b">
            <v>0</v>
          </cell>
          <cell r="K236">
            <v>1003</v>
          </cell>
          <cell r="L236">
            <v>-6.34</v>
          </cell>
          <cell r="M236">
            <v>-7.69</v>
          </cell>
          <cell r="N236">
            <v>0</v>
          </cell>
          <cell r="O236" t="str">
            <v>0</v>
          </cell>
          <cell r="P236" t="str">
            <v>0.362,-5.65;1.743,-5.48;0.34,-7.68;-0.76,-5.24;-1.76,-5.89;</v>
          </cell>
          <cell r="Q236">
            <v>13000</v>
          </cell>
          <cell r="R236">
            <v>0</v>
          </cell>
          <cell r="S236" t="str">
            <v>1001+10;1002+15;908031+1;</v>
          </cell>
          <cell r="T236" t="str">
            <v>11900,1</v>
          </cell>
        </row>
        <row r="237">
          <cell r="A237">
            <v>125</v>
          </cell>
          <cell r="B237" t="str">
            <v>靛衣女子</v>
          </cell>
          <cell r="C237">
            <v>1200351</v>
          </cell>
        </row>
        <row r="237">
          <cell r="G237">
            <v>0</v>
          </cell>
          <cell r="H237">
            <v>1</v>
          </cell>
          <cell r="I237">
            <v>1</v>
          </cell>
          <cell r="J237" t="b">
            <v>0</v>
          </cell>
          <cell r="K237">
            <v>1003</v>
          </cell>
          <cell r="L237">
            <v>-6.34</v>
          </cell>
          <cell r="M237">
            <v>-7.69</v>
          </cell>
          <cell r="N237">
            <v>0</v>
          </cell>
          <cell r="O237" t="str">
            <v>0</v>
          </cell>
          <cell r="P237" t="str">
            <v>0.362,-5.65;1.743,-5.48;0.34,-7.68;-0.76,-5.24;-1.76,-5.89;</v>
          </cell>
          <cell r="Q237">
            <v>13000</v>
          </cell>
          <cell r="R237">
            <v>0</v>
          </cell>
          <cell r="S237" t="str">
            <v>1001+10;1002+15;901101+1;</v>
          </cell>
          <cell r="T237" t="str">
            <v>11900,1</v>
          </cell>
        </row>
        <row r="238">
          <cell r="A238">
            <v>126</v>
          </cell>
          <cell r="B238" t="str">
            <v>纪雨竹</v>
          </cell>
          <cell r="C238">
            <v>1201274</v>
          </cell>
        </row>
        <row r="238">
          <cell r="G238">
            <v>0</v>
          </cell>
          <cell r="H238">
            <v>1</v>
          </cell>
          <cell r="I238">
            <v>1</v>
          </cell>
          <cell r="J238" t="b">
            <v>0</v>
          </cell>
          <cell r="K238">
            <v>1003</v>
          </cell>
          <cell r="L238">
            <v>-6.34</v>
          </cell>
          <cell r="M238">
            <v>-7.69</v>
          </cell>
          <cell r="N238">
            <v>0</v>
          </cell>
          <cell r="O238" t="str">
            <v>0</v>
          </cell>
          <cell r="P238" t="str">
            <v>0.362,-5.65;1.743,-5.48;0.34,-7.68;-0.76,-5.24;-1.76,-5.89;</v>
          </cell>
          <cell r="Q238">
            <v>13000</v>
          </cell>
          <cell r="R238">
            <v>0</v>
          </cell>
          <cell r="S238" t="str">
            <v>1001+10;1002+15;907010+1;</v>
          </cell>
          <cell r="T238" t="str">
            <v>11900,1</v>
          </cell>
        </row>
        <row r="239">
          <cell r="A239">
            <v>127</v>
          </cell>
          <cell r="B239" t="str">
            <v>邓红婵</v>
          </cell>
          <cell r="C239">
            <v>1200324</v>
          </cell>
        </row>
        <row r="239">
          <cell r="G239">
            <v>0</v>
          </cell>
          <cell r="H239">
            <v>1</v>
          </cell>
          <cell r="I239">
            <v>1</v>
          </cell>
          <cell r="J239" t="b">
            <v>0</v>
          </cell>
          <cell r="K239">
            <v>1003</v>
          </cell>
          <cell r="L239">
            <v>-6.34</v>
          </cell>
          <cell r="M239">
            <v>-7.69</v>
          </cell>
          <cell r="N239">
            <v>0</v>
          </cell>
          <cell r="O239" t="str">
            <v>0</v>
          </cell>
          <cell r="P239" t="str">
            <v>0.362,-5.65;1.743,-5.48;0.34,-7.68;-0.76,-5.24;-1.76,-5.89;</v>
          </cell>
          <cell r="Q239">
            <v>13000</v>
          </cell>
          <cell r="R239">
            <v>0</v>
          </cell>
          <cell r="S239" t="str">
            <v>1001+10;1002+15;908031+1;</v>
          </cell>
          <cell r="T239" t="str">
            <v>11900,1</v>
          </cell>
        </row>
        <row r="240">
          <cell r="A240">
            <v>128</v>
          </cell>
          <cell r="B240" t="str">
            <v>连环寨山贼</v>
          </cell>
          <cell r="C240" t="str">
            <v>1200302;1200303</v>
          </cell>
          <cell r="D240" t="str">
            <v>1200302;1200303;1200304</v>
          </cell>
          <cell r="E240" t="str">
            <v>1200302;1200303;1200304;1200305</v>
          </cell>
        </row>
        <row r="240">
          <cell r="G240">
            <v>1201276</v>
          </cell>
          <cell r="H240">
            <v>1</v>
          </cell>
          <cell r="I240">
            <v>1</v>
          </cell>
          <cell r="J240" t="b">
            <v>0</v>
          </cell>
          <cell r="K240">
            <v>1003</v>
          </cell>
          <cell r="L240">
            <v>-6.34</v>
          </cell>
          <cell r="M240">
            <v>-7.69</v>
          </cell>
          <cell r="N240">
            <v>0</v>
          </cell>
          <cell r="O240" t="str">
            <v>3.2,-7.2;</v>
          </cell>
          <cell r="P240" t="str">
            <v>0.362,-5.65;1.743,-5.48;0.34,-7.68;-0.76,-5.24;-1.76,-5.89;</v>
          </cell>
          <cell r="Q240">
            <v>13000</v>
          </cell>
          <cell r="R240">
            <v>0</v>
          </cell>
          <cell r="S240" t="str">
            <v>1001+10;1002+15;908031+1;</v>
          </cell>
          <cell r="T240" t="str">
            <v>11900,1</v>
          </cell>
        </row>
        <row r="241">
          <cell r="A241">
            <v>129</v>
          </cell>
          <cell r="B241" t="str">
            <v>连环寨山贼</v>
          </cell>
          <cell r="C241" t="str">
            <v>1200302;1200303;1200304</v>
          </cell>
          <cell r="D241" t="str">
            <v>1200302;1200303;1200304;1200305</v>
          </cell>
          <cell r="E241" t="str">
            <v>1200302;1200303;1200304;1200305;1200306</v>
          </cell>
        </row>
        <row r="241">
          <cell r="G241" t="str">
            <v>1200353;1200355;1200356</v>
          </cell>
          <cell r="H241">
            <v>1</v>
          </cell>
          <cell r="I241">
            <v>1</v>
          </cell>
          <cell r="J241" t="b">
            <v>0</v>
          </cell>
          <cell r="K241">
            <v>1003</v>
          </cell>
          <cell r="L241">
            <v>-6.34</v>
          </cell>
          <cell r="M241">
            <v>-7.69</v>
          </cell>
          <cell r="N241">
            <v>0</v>
          </cell>
          <cell r="O241" t="str">
            <v>3.2,-7.2;-2.6,-4.6;-12.57,-7.07;</v>
          </cell>
          <cell r="P241" t="str">
            <v>0.362,-5.65;1.743,-5.48;0.34,-7.68;-0.76,-5.24;-1.76,-5.89;</v>
          </cell>
          <cell r="Q241">
            <v>13000</v>
          </cell>
          <cell r="R241">
            <v>0</v>
          </cell>
          <cell r="S241" t="str">
            <v>1001+10;1002+15;901001+1;</v>
          </cell>
          <cell r="T241" t="str">
            <v>11900,1</v>
          </cell>
        </row>
        <row r="242">
          <cell r="A242">
            <v>130</v>
          </cell>
          <cell r="B242" t="str">
            <v>乔府家丁</v>
          </cell>
          <cell r="C242" t="str">
            <v>1200357;1200358</v>
          </cell>
          <cell r="D242" t="str">
            <v>1200357;1200358;1200359</v>
          </cell>
          <cell r="E242" t="str">
            <v>1200357;1200358;1200359;1200671</v>
          </cell>
        </row>
        <row r="242">
          <cell r="G242">
            <v>0</v>
          </cell>
          <cell r="H242">
            <v>1</v>
          </cell>
          <cell r="I242">
            <v>1</v>
          </cell>
          <cell r="J242" t="b">
            <v>0</v>
          </cell>
          <cell r="K242">
            <v>1003</v>
          </cell>
          <cell r="L242">
            <v>-6.34</v>
          </cell>
          <cell r="M242">
            <v>-7.69</v>
          </cell>
          <cell r="N242">
            <v>0</v>
          </cell>
          <cell r="O242" t="str">
            <v>0</v>
          </cell>
          <cell r="P242" t="str">
            <v>0.362,-5.65;1.743,-5.48;0.34,-7.68;-0.76,-5.24;-1.76,-5.89;</v>
          </cell>
          <cell r="Q242">
            <v>13000</v>
          </cell>
          <cell r="R242">
            <v>0</v>
          </cell>
          <cell r="S242" t="str">
            <v>1001+10;1002+15;908031+1;</v>
          </cell>
          <cell r="T242" t="str">
            <v>11900,1</v>
          </cell>
        </row>
        <row r="243">
          <cell r="A243">
            <v>131</v>
          </cell>
          <cell r="B243" t="str">
            <v>连环寨精锐</v>
          </cell>
          <cell r="C243" t="str">
            <v>1200360;1501377;1501378</v>
          </cell>
          <cell r="D243" t="str">
            <v>1200360;1200361;1501377;1501378</v>
          </cell>
          <cell r="E243" t="str">
            <v>1200360;1200361;1200362;1501377;1501378</v>
          </cell>
        </row>
        <row r="243">
          <cell r="G243" t="str">
            <v>1200341;1200363</v>
          </cell>
          <cell r="H243">
            <v>1</v>
          </cell>
          <cell r="I243">
            <v>1</v>
          </cell>
          <cell r="J243" t="b">
            <v>0</v>
          </cell>
          <cell r="K243">
            <v>1003</v>
          </cell>
          <cell r="L243">
            <v>-6.34</v>
          </cell>
          <cell r="M243">
            <v>-7.69</v>
          </cell>
          <cell r="N243">
            <v>0</v>
          </cell>
          <cell r="O243" t="str">
            <v>3.2,-7.2;-2.6,-4.6;</v>
          </cell>
          <cell r="P243" t="str">
            <v>0.362,-5.65;1.743,-5.48;0.34,-7.68;-0.76,-5.24;-1.76,-5.89;</v>
          </cell>
          <cell r="Q243">
            <v>13000</v>
          </cell>
          <cell r="R243">
            <v>0</v>
          </cell>
          <cell r="S243" t="str">
            <v>1001+10;1002+15;908031+1;</v>
          </cell>
          <cell r="T243" t="str">
            <v>11900,1</v>
          </cell>
        </row>
        <row r="244">
          <cell r="A244">
            <v>132</v>
          </cell>
          <cell r="B244" t="str">
            <v>葛有方</v>
          </cell>
          <cell r="C244" t="str">
            <v>1200364</v>
          </cell>
        </row>
        <row r="244">
          <cell r="G244" t="str">
            <v>1200341;1200363</v>
          </cell>
          <cell r="H244">
            <v>1</v>
          </cell>
          <cell r="I244">
            <v>1</v>
          </cell>
          <cell r="J244" t="b">
            <v>0</v>
          </cell>
          <cell r="K244">
            <v>1003</v>
          </cell>
          <cell r="L244">
            <v>-6.34</v>
          </cell>
          <cell r="M244">
            <v>-7.69</v>
          </cell>
          <cell r="N244">
            <v>0</v>
          </cell>
          <cell r="O244" t="str">
            <v>3.2,-7.2;-2.6,-4.6;</v>
          </cell>
          <cell r="P244" t="str">
            <v>0.362,-5.65;1.743,-5.48;0.34,-7.68;-0.76,-5.24;-1.76,-5.89;</v>
          </cell>
          <cell r="Q244">
            <v>13000</v>
          </cell>
          <cell r="R244">
            <v>0</v>
          </cell>
          <cell r="S244" t="str">
            <v>1001+10;1002+15;907012+1;</v>
          </cell>
          <cell r="T244" t="str">
            <v>11900,1</v>
          </cell>
        </row>
        <row r="245">
          <cell r="A245">
            <v>133</v>
          </cell>
          <cell r="B245" t="str">
            <v>连环寨暗哨</v>
          </cell>
          <cell r="C245" t="str">
            <v>1200365;1200366</v>
          </cell>
          <cell r="D245" t="str">
            <v>1200365;1200366;1200367</v>
          </cell>
          <cell r="E245" t="str">
            <v>1200365;1200366;1200367;1200672</v>
          </cell>
        </row>
        <row r="245">
          <cell r="G245">
            <v>0</v>
          </cell>
          <cell r="H245">
            <v>1</v>
          </cell>
          <cell r="I245">
            <v>1</v>
          </cell>
          <cell r="J245" t="b">
            <v>0</v>
          </cell>
          <cell r="K245">
            <v>1003</v>
          </cell>
          <cell r="L245">
            <v>-6.34</v>
          </cell>
          <cell r="M245">
            <v>-7.69</v>
          </cell>
          <cell r="N245">
            <v>0</v>
          </cell>
          <cell r="O245" t="str">
            <v>0</v>
          </cell>
          <cell r="P245" t="str">
            <v>0.362,-5.65;1.743,-5.48;0.34,-7.68;-0.76,-5.24;-1.76,-5.89;</v>
          </cell>
          <cell r="Q245">
            <v>13000</v>
          </cell>
          <cell r="R245">
            <v>0</v>
          </cell>
          <cell r="S245" t="str">
            <v>1001+10;1002+15;908031+1;</v>
          </cell>
          <cell r="T245" t="str">
            <v>11900,1</v>
          </cell>
        </row>
        <row r="246">
          <cell r="A246">
            <v>134</v>
          </cell>
          <cell r="B246" t="str">
            <v>连环寨寨守</v>
          </cell>
          <cell r="C246" t="str">
            <v>1200368;1200369</v>
          </cell>
          <cell r="D246" t="str">
            <v>1200368;1200369;1200370</v>
          </cell>
          <cell r="E246" t="str">
            <v>1200368;1200369;1200370;1200581</v>
          </cell>
        </row>
        <row r="246">
          <cell r="G246">
            <v>0</v>
          </cell>
          <cell r="H246">
            <v>1</v>
          </cell>
          <cell r="I246">
            <v>1</v>
          </cell>
          <cell r="J246" t="b">
            <v>0</v>
          </cell>
          <cell r="K246">
            <v>1003</v>
          </cell>
          <cell r="L246">
            <v>-6.34</v>
          </cell>
          <cell r="M246">
            <v>-7.69</v>
          </cell>
          <cell r="N246">
            <v>0</v>
          </cell>
          <cell r="O246" t="str">
            <v>0</v>
          </cell>
          <cell r="P246" t="str">
            <v>0.362,-5.65;1.743,-5.48;0.34,-7.68;-0.76,-5.24;-1.76,-5.89;</v>
          </cell>
          <cell r="Q246">
            <v>13000</v>
          </cell>
          <cell r="R246">
            <v>0</v>
          </cell>
          <cell r="S246" t="str">
            <v>1001+10;1002+15;908031+1;</v>
          </cell>
          <cell r="T246" t="str">
            <v>11900,1</v>
          </cell>
        </row>
        <row r="247">
          <cell r="A247">
            <v>135</v>
          </cell>
          <cell r="B247" t="str">
            <v>连环寨山贼</v>
          </cell>
          <cell r="C247" t="str">
            <v>1200303;1200306</v>
          </cell>
        </row>
        <row r="247">
          <cell r="G247">
            <v>0</v>
          </cell>
          <cell r="H247">
            <v>1</v>
          </cell>
          <cell r="I247">
            <v>1</v>
          </cell>
          <cell r="J247" t="b">
            <v>0</v>
          </cell>
          <cell r="K247">
            <v>1003</v>
          </cell>
          <cell r="L247">
            <v>-6.34</v>
          </cell>
          <cell r="M247">
            <v>-7.69</v>
          </cell>
          <cell r="N247">
            <v>0</v>
          </cell>
          <cell r="O247" t="str">
            <v>0</v>
          </cell>
          <cell r="P247" t="str">
            <v>0.362,-5.65;1.743,-5.48;0.34,-7.68;-0.76,-5.24;-1.76,-5.89;</v>
          </cell>
          <cell r="Q247">
            <v>13000</v>
          </cell>
          <cell r="R247">
            <v>0</v>
          </cell>
          <cell r="S247" t="str">
            <v>1001+10;1002+15;907011+1;</v>
          </cell>
          <cell r="T247" t="str">
            <v>11900,1</v>
          </cell>
        </row>
        <row r="248">
          <cell r="A248">
            <v>136</v>
          </cell>
          <cell r="B248" t="str">
            <v>西门仲</v>
          </cell>
          <cell r="C248" t="str">
            <v>1200375;1200313</v>
          </cell>
          <cell r="D248" t="str">
            <v>1200375;1200314;1200313</v>
          </cell>
          <cell r="E248" t="str">
            <v>1200375;1200314;1200313;1200312</v>
          </cell>
        </row>
        <row r="248">
          <cell r="G248" t="str">
            <v>1200373;1200374</v>
          </cell>
          <cell r="H248">
            <v>1</v>
          </cell>
          <cell r="I248">
            <v>1</v>
          </cell>
          <cell r="J248" t="b">
            <v>0</v>
          </cell>
          <cell r="K248">
            <v>1003</v>
          </cell>
          <cell r="L248">
            <v>-6.34</v>
          </cell>
          <cell r="M248">
            <v>-7.69</v>
          </cell>
          <cell r="N248">
            <v>0</v>
          </cell>
          <cell r="O248" t="str">
            <v>3.2,-7.2;-2.6,-4.6;</v>
          </cell>
          <cell r="P248" t="str">
            <v>0.362,-5.65;1.743,-5.48;0.34,-7.68;-0.76,-5.24;-1.76,-5.89;</v>
          </cell>
          <cell r="Q248">
            <v>13000</v>
          </cell>
          <cell r="R248">
            <v>0</v>
          </cell>
          <cell r="S248" t="str">
            <v>1001+10;1002+15;908031+1;</v>
          </cell>
          <cell r="T248" t="str">
            <v>11900,1</v>
          </cell>
        </row>
        <row r="249">
          <cell r="A249">
            <v>137</v>
          </cell>
          <cell r="B249" t="str">
            <v>葛有方</v>
          </cell>
          <cell r="C249">
            <v>1200371</v>
          </cell>
        </row>
        <row r="249">
          <cell r="G249" t="str">
            <v>1200373;1200374</v>
          </cell>
          <cell r="H249">
            <v>1</v>
          </cell>
          <cell r="I249">
            <v>1</v>
          </cell>
          <cell r="J249" t="b">
            <v>0</v>
          </cell>
          <cell r="K249">
            <v>1003</v>
          </cell>
          <cell r="L249">
            <v>-6.34</v>
          </cell>
          <cell r="M249">
            <v>-7.69</v>
          </cell>
          <cell r="N249">
            <v>0</v>
          </cell>
          <cell r="O249" t="str">
            <v>3.2,-7.2;-2.6,-4.6;</v>
          </cell>
          <cell r="P249" t="str">
            <v>0.362,-5.65;1.743,-5.48;0.34,-7.68;-0.76,-5.24;-1.76,-5.89;</v>
          </cell>
          <cell r="Q249">
            <v>13000</v>
          </cell>
          <cell r="R249">
            <v>0</v>
          </cell>
          <cell r="S249" t="str">
            <v>1001+10;1002+15;908031+1;</v>
          </cell>
          <cell r="T249" t="str">
            <v>11900,1</v>
          </cell>
        </row>
        <row r="250">
          <cell r="A250">
            <v>138</v>
          </cell>
          <cell r="B250" t="str">
            <v>葛有方</v>
          </cell>
          <cell r="C250">
            <v>1200372</v>
          </cell>
        </row>
        <row r="250">
          <cell r="G250" t="str">
            <v>1200373;1200374</v>
          </cell>
          <cell r="H250">
            <v>1</v>
          </cell>
          <cell r="I250">
            <v>1</v>
          </cell>
          <cell r="J250" t="b">
            <v>1</v>
          </cell>
          <cell r="K250">
            <v>1003</v>
          </cell>
          <cell r="L250">
            <v>-6.34</v>
          </cell>
          <cell r="M250">
            <v>-7.69</v>
          </cell>
          <cell r="N250">
            <v>0</v>
          </cell>
          <cell r="O250" t="str">
            <v>3.2,-7.2;-2.6,-4.6;</v>
          </cell>
          <cell r="P250" t="str">
            <v>0.362,-5.65;1.743,-5.48;0.34,-7.68;-0.76,-5.24;-1.76,-5.89;</v>
          </cell>
          <cell r="Q250">
            <v>13000</v>
          </cell>
          <cell r="R250">
            <v>0</v>
          </cell>
          <cell r="S250" t="str">
            <v>1001+10;1002+15;907009+1;</v>
          </cell>
          <cell r="T250" t="str">
            <v>11900,1</v>
          </cell>
        </row>
        <row r="251">
          <cell r="A251">
            <v>139</v>
          </cell>
          <cell r="B251" t="str">
            <v>肖婆婆</v>
          </cell>
          <cell r="C251">
            <v>1200376</v>
          </cell>
        </row>
        <row r="251">
          <cell r="G251">
            <v>1200375</v>
          </cell>
          <cell r="H251">
            <v>1</v>
          </cell>
          <cell r="I251">
            <v>1</v>
          </cell>
          <cell r="J251" t="b">
            <v>0</v>
          </cell>
          <cell r="K251">
            <v>1003</v>
          </cell>
          <cell r="L251">
            <v>-6.34</v>
          </cell>
          <cell r="M251">
            <v>-7.69</v>
          </cell>
          <cell r="N251">
            <v>0</v>
          </cell>
          <cell r="O251" t="str">
            <v>3.2,-7.2;</v>
          </cell>
          <cell r="P251" t="str">
            <v>0.362,-5.65;1.743,-5.48;0.34,-7.68;-0.76,-5.24;-1.76,-5.89;</v>
          </cell>
          <cell r="Q251">
            <v>13000</v>
          </cell>
          <cell r="R251">
            <v>0</v>
          </cell>
          <cell r="S251" t="str">
            <v>1001+10;1002+15;908031+1;</v>
          </cell>
          <cell r="T251" t="str">
            <v>11900,1</v>
          </cell>
        </row>
        <row r="252">
          <cell r="A252">
            <v>140</v>
          </cell>
          <cell r="B252" t="str">
            <v>西门家仆</v>
          </cell>
          <cell r="C252">
            <v>1200312</v>
          </cell>
          <cell r="D252" t="str">
            <v>1200312;1200313</v>
          </cell>
          <cell r="E252" t="str">
            <v>1200312;1200313;1200314</v>
          </cell>
        </row>
        <row r="252">
          <cell r="G252">
            <v>0</v>
          </cell>
          <cell r="H252">
            <v>1</v>
          </cell>
          <cell r="I252">
            <v>1</v>
          </cell>
          <cell r="J252" t="b">
            <v>0</v>
          </cell>
          <cell r="K252">
            <v>1003</v>
          </cell>
          <cell r="L252">
            <v>-6.34</v>
          </cell>
          <cell r="M252">
            <v>-7.69</v>
          </cell>
          <cell r="N252">
            <v>0</v>
          </cell>
          <cell r="O252" t="str">
            <v>0</v>
          </cell>
          <cell r="P252" t="str">
            <v>0.362,-5.65;1.743,-5.48;0.34,-7.68;-0.76,-5.24;-1.76,-5.89;</v>
          </cell>
          <cell r="Q252">
            <v>13000</v>
          </cell>
          <cell r="R252">
            <v>0</v>
          </cell>
          <cell r="S252" t="str">
            <v>1001+10;1002+15;908031+1;</v>
          </cell>
          <cell r="T252" t="str">
            <v>11900,1</v>
          </cell>
        </row>
        <row r="253">
          <cell r="A253">
            <v>141</v>
          </cell>
          <cell r="B253" t="str">
            <v>西门家仆</v>
          </cell>
          <cell r="C253">
            <v>1200378</v>
          </cell>
          <cell r="D253" t="str">
            <v>1200378;1200313</v>
          </cell>
          <cell r="E253" t="str">
            <v>1200378;1200313;1200314</v>
          </cell>
        </row>
        <row r="253">
          <cell r="G253">
            <v>1200374</v>
          </cell>
          <cell r="H253">
            <v>1</v>
          </cell>
          <cell r="I253">
            <v>1</v>
          </cell>
          <cell r="J253" t="b">
            <v>0</v>
          </cell>
          <cell r="K253">
            <v>1003</v>
          </cell>
          <cell r="L253">
            <v>-6.34</v>
          </cell>
          <cell r="M253">
            <v>-7.69</v>
          </cell>
          <cell r="N253">
            <v>0</v>
          </cell>
          <cell r="O253" t="str">
            <v>3.2,-7.2;</v>
          </cell>
          <cell r="P253" t="str">
            <v>0.362,-5.65;1.743,-5.48;0.34,-7.68;-0.76,-5.24;-1.76,-5.89;</v>
          </cell>
          <cell r="Q253">
            <v>13000</v>
          </cell>
          <cell r="R253">
            <v>0</v>
          </cell>
          <cell r="S253" t="str">
            <v>1001+10;1002+15;901001+1;</v>
          </cell>
          <cell r="T253" t="str">
            <v>11900,1</v>
          </cell>
        </row>
        <row r="254">
          <cell r="A254">
            <v>142</v>
          </cell>
          <cell r="B254" t="str">
            <v>西门仲</v>
          </cell>
          <cell r="C254">
            <v>1200377</v>
          </cell>
          <cell r="D254" t="str">
            <v>1200377;1200378</v>
          </cell>
          <cell r="E254" t="str">
            <v>1200377;1200378;1200314</v>
          </cell>
        </row>
        <row r="254">
          <cell r="G254">
            <v>1200374</v>
          </cell>
          <cell r="H254">
            <v>1</v>
          </cell>
          <cell r="I254">
            <v>1</v>
          </cell>
          <cell r="J254" t="b">
            <v>0</v>
          </cell>
          <cell r="K254">
            <v>1003</v>
          </cell>
          <cell r="L254">
            <v>-6.34</v>
          </cell>
          <cell r="M254">
            <v>-7.69</v>
          </cell>
          <cell r="N254">
            <v>0</v>
          </cell>
          <cell r="O254" t="str">
            <v>3.2,-7.2;</v>
          </cell>
          <cell r="P254" t="str">
            <v>0.362,-5.65;1.743,-5.48;0.34,-7.68;-0.76,-5.24;-1.76,-5.89;</v>
          </cell>
          <cell r="Q254">
            <v>13000</v>
          </cell>
          <cell r="R254">
            <v>0</v>
          </cell>
          <cell r="S254" t="str">
            <v>1001+10;1002+15;908031+1;</v>
          </cell>
          <cell r="T254" t="str">
            <v>11900,1</v>
          </cell>
        </row>
        <row r="255">
          <cell r="A255">
            <v>143</v>
          </cell>
          <cell r="B255" t="str">
            <v>连环寨精锐</v>
          </cell>
          <cell r="C255" t="str">
            <v>1200382;1200383</v>
          </cell>
          <cell r="D255" t="str">
            <v>1200382;1200383;1200384</v>
          </cell>
          <cell r="E255" t="str">
            <v>1200382;1200383;1200384;1200385</v>
          </cell>
        </row>
        <row r="255">
          <cell r="G255">
            <v>1200341</v>
          </cell>
          <cell r="H255">
            <v>1</v>
          </cell>
          <cell r="I255">
            <v>1</v>
          </cell>
          <cell r="J255" t="b">
            <v>0</v>
          </cell>
          <cell r="K255">
            <v>1003</v>
          </cell>
          <cell r="L255">
            <v>-6.34</v>
          </cell>
          <cell r="M255">
            <v>-7.69</v>
          </cell>
          <cell r="N255">
            <v>0</v>
          </cell>
          <cell r="O255" t="str">
            <v>3.2,-7.2;</v>
          </cell>
          <cell r="P255" t="str">
            <v>0.362,-5.65;1.743,-5.48;0.34,-7.68;-0.76,-5.24;-1.76,-5.89;</v>
          </cell>
          <cell r="Q255">
            <v>13000</v>
          </cell>
          <cell r="R255">
            <v>0</v>
          </cell>
          <cell r="S255" t="str">
            <v>1001+5;1002+10;</v>
          </cell>
          <cell r="T255">
            <v>0</v>
          </cell>
        </row>
        <row r="256">
          <cell r="A256">
            <v>144</v>
          </cell>
          <cell r="B256" t="str">
            <v>连环寨精锐</v>
          </cell>
          <cell r="C256" t="str">
            <v>1200582;1200583;1200584</v>
          </cell>
          <cell r="D256" t="str">
            <v>1200582;1200583;1200584;1200585</v>
          </cell>
          <cell r="E256" t="str">
            <v>1200582;1200583;1200584;1200585;1200586</v>
          </cell>
        </row>
        <row r="256">
          <cell r="G256">
            <v>1200341</v>
          </cell>
          <cell r="H256">
            <v>1</v>
          </cell>
          <cell r="I256">
            <v>1</v>
          </cell>
          <cell r="J256" t="b">
            <v>0</v>
          </cell>
          <cell r="K256">
            <v>1003</v>
          </cell>
          <cell r="L256">
            <v>-6.34</v>
          </cell>
          <cell r="M256">
            <v>-7.69</v>
          </cell>
          <cell r="N256">
            <v>0</v>
          </cell>
          <cell r="O256" t="str">
            <v>3.2,-7.2;</v>
          </cell>
          <cell r="P256" t="str">
            <v>0.362,-5.65;1.743,-5.48;0.34,-7.68;-0.76,-5.24;-1.76,-5.89;</v>
          </cell>
          <cell r="Q256">
            <v>13000</v>
          </cell>
          <cell r="R256">
            <v>0</v>
          </cell>
          <cell r="S256" t="str">
            <v>1001+5;1002+10;</v>
          </cell>
          <cell r="T256">
            <v>0</v>
          </cell>
        </row>
        <row r="257">
          <cell r="A257">
            <v>145</v>
          </cell>
          <cell r="B257" t="str">
            <v>连环寨精锐</v>
          </cell>
          <cell r="C257" t="str">
            <v>1200587;1200588</v>
          </cell>
          <cell r="D257" t="str">
            <v>1200587;1200588;1200589</v>
          </cell>
          <cell r="E257" t="str">
            <v>1200587;1200588;1200589;1200590</v>
          </cell>
        </row>
        <row r="257">
          <cell r="G257">
            <v>1200341</v>
          </cell>
          <cell r="H257">
            <v>1</v>
          </cell>
          <cell r="I257">
            <v>1</v>
          </cell>
          <cell r="J257" t="b">
            <v>0</v>
          </cell>
          <cell r="K257">
            <v>1003</v>
          </cell>
          <cell r="L257">
            <v>-6.34</v>
          </cell>
          <cell r="M257">
            <v>-7.69</v>
          </cell>
          <cell r="N257">
            <v>0</v>
          </cell>
          <cell r="O257" t="str">
            <v>3.2,-7.2;</v>
          </cell>
          <cell r="P257" t="str">
            <v>0.362,-5.65;1.743,-5.48;0.34,-7.68;-0.76,-5.24;-1.76,-5.89;</v>
          </cell>
          <cell r="Q257">
            <v>13000</v>
          </cell>
          <cell r="R257">
            <v>0</v>
          </cell>
          <cell r="S257" t="str">
            <v>1001+5;1002+10;</v>
          </cell>
          <cell r="T257">
            <v>0</v>
          </cell>
        </row>
        <row r="258">
          <cell r="A258">
            <v>146</v>
          </cell>
          <cell r="B258" t="str">
            <v>连环寨精锐</v>
          </cell>
          <cell r="C258" t="str">
            <v>1200591;1200592;1200593</v>
          </cell>
          <cell r="D258" t="str">
            <v>1200591;1200592;1200593;1200594</v>
          </cell>
          <cell r="E258" t="str">
            <v>1200591;1200592;1200593;1200594;1200595</v>
          </cell>
        </row>
        <row r="258">
          <cell r="G258">
            <v>1200341</v>
          </cell>
          <cell r="H258">
            <v>1</v>
          </cell>
          <cell r="I258">
            <v>1</v>
          </cell>
          <cell r="J258" t="b">
            <v>0</v>
          </cell>
          <cell r="K258">
            <v>1003</v>
          </cell>
          <cell r="L258">
            <v>-6.34</v>
          </cell>
          <cell r="M258">
            <v>-7.69</v>
          </cell>
          <cell r="N258">
            <v>0</v>
          </cell>
          <cell r="O258" t="str">
            <v>3.2,-7.2;</v>
          </cell>
          <cell r="P258" t="str">
            <v>0.362,-5.65;1.743,-5.48;0.34,-7.68;-0.76,-5.24;-1.76,-5.89;</v>
          </cell>
          <cell r="Q258">
            <v>13000</v>
          </cell>
          <cell r="R258">
            <v>0</v>
          </cell>
          <cell r="S258" t="str">
            <v>1001+5;1002+10;</v>
          </cell>
          <cell r="T258">
            <v>0</v>
          </cell>
        </row>
        <row r="259">
          <cell r="A259">
            <v>147</v>
          </cell>
          <cell r="B259" t="str">
            <v>肉痴</v>
          </cell>
          <cell r="C259" t="str">
            <v>1200596;1200597;1200598</v>
          </cell>
          <cell r="D259" t="str">
            <v>1200596;1200597;1200598;1200599</v>
          </cell>
          <cell r="E259" t="str">
            <v>1200596;1200597;1200598;1200599;1200600</v>
          </cell>
        </row>
        <row r="259">
          <cell r="G259">
            <v>1200341</v>
          </cell>
          <cell r="H259">
            <v>1</v>
          </cell>
          <cell r="I259">
            <v>1</v>
          </cell>
          <cell r="J259" t="b">
            <v>0</v>
          </cell>
          <cell r="K259">
            <v>1003</v>
          </cell>
          <cell r="L259">
            <v>-6.34</v>
          </cell>
          <cell r="M259">
            <v>-7.69</v>
          </cell>
          <cell r="N259">
            <v>0</v>
          </cell>
          <cell r="O259" t="str">
            <v>3.2,-7.2;</v>
          </cell>
          <cell r="P259" t="str">
            <v>0.362,-5.65;1.743,-5.48;0.34,-7.68;-0.76,-5.24;-1.76,-5.89;</v>
          </cell>
          <cell r="Q259">
            <v>13000</v>
          </cell>
          <cell r="R259">
            <v>0</v>
          </cell>
          <cell r="S259" t="str">
            <v>1001+5;1002+10;</v>
          </cell>
          <cell r="T259">
            <v>0</v>
          </cell>
        </row>
        <row r="260">
          <cell r="A260">
            <v>148</v>
          </cell>
          <cell r="B260" t="str">
            <v>葛有方</v>
          </cell>
          <cell r="C260">
            <v>1200379</v>
          </cell>
          <cell r="D260" t="str">
            <v>1200379;1200601</v>
          </cell>
          <cell r="E260" t="str">
            <v>1200379;1200601;1200602</v>
          </cell>
        </row>
        <row r="260">
          <cell r="G260">
            <v>1200381</v>
          </cell>
          <cell r="H260">
            <v>1</v>
          </cell>
          <cell r="I260">
            <v>1</v>
          </cell>
          <cell r="J260" t="b">
            <v>0</v>
          </cell>
          <cell r="K260">
            <v>1003</v>
          </cell>
          <cell r="L260">
            <v>-6.34</v>
          </cell>
          <cell r="M260">
            <v>-7.69</v>
          </cell>
          <cell r="N260">
            <v>0</v>
          </cell>
          <cell r="O260" t="str">
            <v>3.2,-7.2;</v>
          </cell>
          <cell r="P260" t="str">
            <v>0.362,-5.65;1.743,-5.48;0.34,-7.68;-0.76,-5.24;-1.76,-5.89;</v>
          </cell>
          <cell r="Q260">
            <v>13000</v>
          </cell>
          <cell r="R260">
            <v>0</v>
          </cell>
          <cell r="S260" t="str">
            <v>1001+5;1002+10;</v>
          </cell>
          <cell r="T260">
            <v>0</v>
          </cell>
        </row>
        <row r="261">
          <cell r="A261">
            <v>149</v>
          </cell>
          <cell r="B261" t="str">
            <v>连天明</v>
          </cell>
          <cell r="C261" t="str">
            <v>1200380;1200603;1200604</v>
          </cell>
          <cell r="D261" t="str">
            <v>1200380;1200603;1200604;1200605</v>
          </cell>
          <cell r="E261" t="str">
            <v>1200380;1200603;1200604;1200605;1200606</v>
          </cell>
        </row>
        <row r="261">
          <cell r="G261">
            <v>1200341</v>
          </cell>
          <cell r="H261">
            <v>1</v>
          </cell>
          <cell r="I261">
            <v>1</v>
          </cell>
          <cell r="J261" t="b">
            <v>0</v>
          </cell>
          <cell r="K261">
            <v>1003</v>
          </cell>
          <cell r="L261">
            <v>-6.34</v>
          </cell>
          <cell r="M261">
            <v>-7.69</v>
          </cell>
          <cell r="N261">
            <v>0</v>
          </cell>
          <cell r="O261" t="str">
            <v>3.2,-7.2;</v>
          </cell>
          <cell r="P261" t="str">
            <v>0.362,-5.65;1.743,-5.48;0.34,-7.68;-0.76,-5.24;-1.76,-5.89;</v>
          </cell>
          <cell r="Q261">
            <v>13000</v>
          </cell>
          <cell r="R261">
            <v>0</v>
          </cell>
          <cell r="S261" t="str">
            <v>1001+5;1002+10;</v>
          </cell>
          <cell r="T261" t="str">
            <v>11000,1</v>
          </cell>
        </row>
        <row r="262">
          <cell r="A262">
            <v>150</v>
          </cell>
          <cell r="B262" t="str">
            <v>五圣教徒</v>
          </cell>
          <cell r="C262" t="str">
            <v>1200386;1200387;1200388</v>
          </cell>
          <cell r="D262" t="str">
            <v>1200386;1200387;1200388;1200389</v>
          </cell>
          <cell r="E262" t="str">
            <v>1200386;1200387;1200388;1200389;1200390</v>
          </cell>
        </row>
        <row r="262">
          <cell r="G262">
            <v>0</v>
          </cell>
          <cell r="H262">
            <v>1</v>
          </cell>
          <cell r="I262">
            <v>1</v>
          </cell>
          <cell r="J262" t="b">
            <v>0</v>
          </cell>
          <cell r="K262">
            <v>1003</v>
          </cell>
          <cell r="L262">
            <v>-6.34</v>
          </cell>
          <cell r="M262">
            <v>-7.69</v>
          </cell>
        </row>
        <row r="262">
          <cell r="O262" t="str">
            <v>0</v>
          </cell>
          <cell r="P262" t="str">
            <v>0.362,-5.65;1.743,-5.48;0.34,-7.68;-0.76,-5.24;-1.76,-5.89;</v>
          </cell>
          <cell r="Q262">
            <v>17000</v>
          </cell>
          <cell r="R262">
            <v>0</v>
          </cell>
          <cell r="S262" t="str">
            <v>1001+25;1002+30;</v>
          </cell>
          <cell r="T262" t="str">
            <v>11900,1</v>
          </cell>
        </row>
        <row r="263">
          <cell r="A263">
            <v>151</v>
          </cell>
          <cell r="B263" t="str">
            <v>无赖</v>
          </cell>
          <cell r="C263">
            <v>1200391</v>
          </cell>
        </row>
        <row r="263">
          <cell r="G263">
            <v>0</v>
          </cell>
          <cell r="H263">
            <v>1</v>
          </cell>
          <cell r="I263">
            <v>1</v>
          </cell>
          <cell r="J263" t="b">
            <v>0</v>
          </cell>
          <cell r="K263">
            <v>1003</v>
          </cell>
          <cell r="L263">
            <v>-6.34</v>
          </cell>
          <cell r="M263">
            <v>-7.69</v>
          </cell>
        </row>
        <row r="263">
          <cell r="O263" t="str">
            <v>0</v>
          </cell>
          <cell r="P263" t="str">
            <v>0.362,-5.65;1.743,-5.48;0.34,-7.68;-0.76,-5.24;-1.76,-5.89;</v>
          </cell>
          <cell r="Q263">
            <v>17000</v>
          </cell>
          <cell r="R263">
            <v>0</v>
          </cell>
          <cell r="S263" t="str">
            <v>1001+25;1002+30;</v>
          </cell>
          <cell r="T263" t="str">
            <v>11900,1</v>
          </cell>
        </row>
        <row r="264">
          <cell r="A264">
            <v>152</v>
          </cell>
          <cell r="B264" t="str">
            <v>丹左膳</v>
          </cell>
          <cell r="C264">
            <v>1200392</v>
          </cell>
        </row>
        <row r="264">
          <cell r="G264">
            <v>0</v>
          </cell>
          <cell r="H264">
            <v>1</v>
          </cell>
          <cell r="I264">
            <v>1</v>
          </cell>
          <cell r="J264" t="b">
            <v>0</v>
          </cell>
          <cell r="K264">
            <v>1003</v>
          </cell>
          <cell r="L264">
            <v>-6.34</v>
          </cell>
          <cell r="M264">
            <v>-7.69</v>
          </cell>
        </row>
        <row r="264">
          <cell r="O264" t="str">
            <v>0</v>
          </cell>
          <cell r="P264" t="str">
            <v>0.362,-5.65;1.743,-5.48;0.34,-7.68;-0.76,-5.24;-1.76,-5.89;</v>
          </cell>
          <cell r="Q264">
            <v>17000</v>
          </cell>
          <cell r="R264">
            <v>0</v>
          </cell>
          <cell r="S264" t="str">
            <v>1001+25;1002+30;907009+1;</v>
          </cell>
          <cell r="T264" t="str">
            <v>11900,1</v>
          </cell>
        </row>
        <row r="265">
          <cell r="A265">
            <v>153</v>
          </cell>
          <cell r="B265" t="str">
            <v>丹左膳</v>
          </cell>
          <cell r="C265">
            <v>1200393</v>
          </cell>
        </row>
        <row r="265">
          <cell r="G265">
            <v>0</v>
          </cell>
          <cell r="H265">
            <v>1</v>
          </cell>
          <cell r="I265">
            <v>1</v>
          </cell>
          <cell r="J265" t="b">
            <v>0</v>
          </cell>
          <cell r="K265">
            <v>1003</v>
          </cell>
          <cell r="L265">
            <v>-6.34</v>
          </cell>
          <cell r="M265">
            <v>-7.69</v>
          </cell>
        </row>
        <row r="265">
          <cell r="O265" t="str">
            <v>0</v>
          </cell>
          <cell r="P265" t="str">
            <v>0.362,-5.65;1.743,-5.48;0.34,-7.68;-0.76,-5.24;-1.76,-5.89;</v>
          </cell>
          <cell r="Q265">
            <v>17000</v>
          </cell>
          <cell r="R265">
            <v>0</v>
          </cell>
          <cell r="S265" t="str">
            <v>1001+25;1002+30;</v>
          </cell>
          <cell r="T265" t="str">
            <v>11900,1</v>
          </cell>
        </row>
        <row r="266">
          <cell r="A266">
            <v>154</v>
          </cell>
          <cell r="B266" t="str">
            <v>匪盗</v>
          </cell>
          <cell r="C266" t="str">
            <v>1200395;1200396;1200397</v>
          </cell>
          <cell r="D266" t="str">
            <v>1200395;1200396;1200397;1200398</v>
          </cell>
          <cell r="E266" t="str">
            <v>1200395;1200396;1200397;1200398;1200399</v>
          </cell>
        </row>
        <row r="266">
          <cell r="G266">
            <v>1200394</v>
          </cell>
          <cell r="H266">
            <v>1</v>
          </cell>
          <cell r="I266">
            <v>1</v>
          </cell>
          <cell r="J266" t="b">
            <v>0</v>
          </cell>
          <cell r="K266">
            <v>1003</v>
          </cell>
          <cell r="L266">
            <v>-6.34</v>
          </cell>
          <cell r="M266">
            <v>-7.69</v>
          </cell>
        </row>
        <row r="266">
          <cell r="O266" t="str">
            <v>3.2,-7.2;</v>
          </cell>
          <cell r="P266" t="str">
            <v>0.362,-5.65;1.743,-5.48;0.34,-7.68;-0.76,-5.24;-1.76,-5.89;</v>
          </cell>
          <cell r="Q266">
            <v>17000</v>
          </cell>
          <cell r="R266">
            <v>0</v>
          </cell>
          <cell r="S266" t="str">
            <v>1001+25;1002+30;901103+1;</v>
          </cell>
          <cell r="T266">
            <v>0</v>
          </cell>
        </row>
        <row r="267">
          <cell r="A267">
            <v>155</v>
          </cell>
          <cell r="B267" t="str">
            <v>匪盗</v>
          </cell>
          <cell r="C267" t="str">
            <v>1200395;1200396;1200398</v>
          </cell>
          <cell r="D267" t="str">
            <v>1200395;1200396;1200399;1200398</v>
          </cell>
          <cell r="E267" t="str">
            <v>1200395;1200396;1200397;1200398;1200399</v>
          </cell>
        </row>
        <row r="267">
          <cell r="G267">
            <v>1200394</v>
          </cell>
          <cell r="H267">
            <v>1</v>
          </cell>
          <cell r="I267">
            <v>1</v>
          </cell>
          <cell r="J267" t="b">
            <v>0</v>
          </cell>
          <cell r="K267">
            <v>1003</v>
          </cell>
          <cell r="L267">
            <v>-6.34</v>
          </cell>
          <cell r="M267">
            <v>-7.69</v>
          </cell>
        </row>
        <row r="267">
          <cell r="O267" t="str">
            <v>3.2,-7.2;</v>
          </cell>
          <cell r="P267" t="str">
            <v>0.362,-5.65;1.743,-5.48;0.34,-7.68;-0.76,-5.24;-1.76,-5.89;</v>
          </cell>
          <cell r="Q267">
            <v>17000</v>
          </cell>
          <cell r="R267">
            <v>0</v>
          </cell>
          <cell r="S267" t="str">
            <v>1001+25;1002+30;</v>
          </cell>
          <cell r="T267">
            <v>0</v>
          </cell>
        </row>
        <row r="268">
          <cell r="A268">
            <v>156</v>
          </cell>
          <cell r="B268" t="str">
            <v>匪盗</v>
          </cell>
          <cell r="C268" t="str">
            <v>1200395;1200399;1200396</v>
          </cell>
          <cell r="D268" t="str">
            <v>1200395;1200399;1200396;1200398</v>
          </cell>
          <cell r="E268" t="str">
            <v>1200395;1200396;1200397;1200398;1200399</v>
          </cell>
        </row>
        <row r="268">
          <cell r="G268">
            <v>1200394</v>
          </cell>
          <cell r="H268">
            <v>1</v>
          </cell>
          <cell r="I268">
            <v>1</v>
          </cell>
          <cell r="J268" t="b">
            <v>0</v>
          </cell>
          <cell r="K268">
            <v>1003</v>
          </cell>
          <cell r="L268">
            <v>-6.34</v>
          </cell>
          <cell r="M268">
            <v>-7.69</v>
          </cell>
        </row>
        <row r="268">
          <cell r="O268" t="str">
            <v>3.2,-7.2;</v>
          </cell>
          <cell r="P268" t="str">
            <v>0.362,-5.65;1.743,-5.48;0.34,-7.68;-0.76,-5.24;-1.76,-5.89;</v>
          </cell>
          <cell r="Q268">
            <v>17000</v>
          </cell>
          <cell r="R268">
            <v>0</v>
          </cell>
          <cell r="S268" t="str">
            <v>1001+25;1002+30;</v>
          </cell>
          <cell r="T268" t="str">
            <v>11900,1</v>
          </cell>
        </row>
        <row r="269">
          <cell r="A269">
            <v>157</v>
          </cell>
          <cell r="B269" t="str">
            <v>罗刹寨匪首</v>
          </cell>
          <cell r="C269" t="str">
            <v>1200400;1200395;1200396;1200397</v>
          </cell>
          <cell r="D269" t="str">
            <v>1200400;1200395;1200396;1200397;1200398</v>
          </cell>
          <cell r="E269" t="str">
            <v>1200400;1200395;1200396;1200397;1200398;1200399</v>
          </cell>
        </row>
        <row r="269">
          <cell r="G269">
            <v>1200394</v>
          </cell>
          <cell r="H269">
            <v>1</v>
          </cell>
          <cell r="I269">
            <v>1</v>
          </cell>
          <cell r="J269" t="b">
            <v>0</v>
          </cell>
          <cell r="K269">
            <v>1003</v>
          </cell>
          <cell r="L269">
            <v>-6.34</v>
          </cell>
          <cell r="M269">
            <v>-7.69</v>
          </cell>
        </row>
        <row r="269">
          <cell r="O269" t="str">
            <v>3.2,-7.2;</v>
          </cell>
          <cell r="P269" t="str">
            <v>0.362,-5.65;1.743,-5.48;0.34,-7.68;-0.76,-5.24;-1.76,-5.89;</v>
          </cell>
          <cell r="Q269">
            <v>17000</v>
          </cell>
          <cell r="R269">
            <v>0</v>
          </cell>
          <cell r="S269" t="str">
            <v>1001+25;1002+30;907012+1;</v>
          </cell>
          <cell r="T269" t="str">
            <v>11900,1</v>
          </cell>
        </row>
        <row r="270">
          <cell r="A270">
            <v>158</v>
          </cell>
          <cell r="B270" t="str">
            <v>青萍幻象</v>
          </cell>
          <cell r="C270" t="str">
            <v>1200401;1200402;1200403;1200404;1200405</v>
          </cell>
        </row>
        <row r="270">
          <cell r="G270">
            <v>1200607</v>
          </cell>
          <cell r="H270">
            <v>1</v>
          </cell>
          <cell r="I270">
            <v>1</v>
          </cell>
          <cell r="J270" t="b">
            <v>0</v>
          </cell>
          <cell r="K270">
            <v>1003</v>
          </cell>
          <cell r="L270">
            <v>-6.34</v>
          </cell>
          <cell r="M270">
            <v>-7.69</v>
          </cell>
        </row>
        <row r="270">
          <cell r="O270" t="str">
            <v>3.2,-7.2;</v>
          </cell>
          <cell r="P270" t="str">
            <v>0.362,-5.65;1.743,-5.48;0.34,-7.68;-0.76,-5.24;-1.76,-5.89;</v>
          </cell>
          <cell r="Q270">
            <v>17000</v>
          </cell>
          <cell r="R270">
            <v>0</v>
          </cell>
          <cell r="S270" t="str">
            <v>1001+25;1002+30;</v>
          </cell>
          <cell r="T270" t="str">
            <v>11900,1</v>
          </cell>
        </row>
        <row r="271">
          <cell r="A271">
            <v>159</v>
          </cell>
          <cell r="B271" t="str">
            <v>蝎卫</v>
          </cell>
          <cell r="C271" t="str">
            <v>1200406;1200407</v>
          </cell>
        </row>
        <row r="271">
          <cell r="G271">
            <v>0</v>
          </cell>
          <cell r="H271">
            <v>1</v>
          </cell>
          <cell r="I271">
            <v>1</v>
          </cell>
          <cell r="J271" t="b">
            <v>0</v>
          </cell>
          <cell r="K271">
            <v>1003</v>
          </cell>
          <cell r="L271">
            <v>-6.34</v>
          </cell>
          <cell r="M271">
            <v>-7.69</v>
          </cell>
        </row>
        <row r="271">
          <cell r="O271" t="str">
            <v>0</v>
          </cell>
          <cell r="P271" t="str">
            <v>0.362,-5.65;1.743,-5.48;0.34,-7.68;-0.76,-5.24;-1.76,-5.89;</v>
          </cell>
          <cell r="Q271">
            <v>18000</v>
          </cell>
          <cell r="R271">
            <v>0</v>
          </cell>
          <cell r="S271" t="str">
            <v>1001+25;1002+30;901003+1;</v>
          </cell>
          <cell r="T271" t="str">
            <v>11900,1</v>
          </cell>
        </row>
        <row r="272">
          <cell r="A272">
            <v>160</v>
          </cell>
          <cell r="B272" t="str">
            <v>灵蜈殿好手</v>
          </cell>
          <cell r="C272">
            <v>1200408</v>
          </cell>
          <cell r="D272" t="str">
            <v> </v>
          </cell>
        </row>
        <row r="272">
          <cell r="G272">
            <v>0</v>
          </cell>
          <cell r="H272">
            <v>1</v>
          </cell>
          <cell r="I272">
            <v>1</v>
          </cell>
          <cell r="J272" t="b">
            <v>0</v>
          </cell>
          <cell r="K272">
            <v>1003</v>
          </cell>
          <cell r="L272">
            <v>-6.34</v>
          </cell>
          <cell r="M272">
            <v>-7.69</v>
          </cell>
        </row>
        <row r="272">
          <cell r="O272" t="str">
            <v>0</v>
          </cell>
          <cell r="P272" t="str">
            <v>0.362,-5.65;1.743,-5.48;0.34,-7.68;-0.76,-5.24;-1.76,-5.89;</v>
          </cell>
          <cell r="Q272">
            <v>18000</v>
          </cell>
          <cell r="R272">
            <v>0</v>
          </cell>
          <cell r="S272" t="str">
            <v>1001+25;1002+30;907011+1;</v>
          </cell>
          <cell r="T272">
            <v>0</v>
          </cell>
        </row>
        <row r="273">
          <cell r="A273">
            <v>161</v>
          </cell>
          <cell r="B273" t="str">
            <v>月蟾宫好手</v>
          </cell>
          <cell r="C273">
            <v>1200409</v>
          </cell>
        </row>
        <row r="273">
          <cell r="G273">
            <v>0</v>
          </cell>
          <cell r="H273">
            <v>1</v>
          </cell>
          <cell r="I273">
            <v>1</v>
          </cell>
          <cell r="J273" t="b">
            <v>0</v>
          </cell>
          <cell r="K273">
            <v>1003</v>
          </cell>
          <cell r="L273">
            <v>-6.34</v>
          </cell>
          <cell r="M273">
            <v>-7.69</v>
          </cell>
        </row>
        <row r="273">
          <cell r="O273" t="str">
            <v>0</v>
          </cell>
          <cell r="P273" t="str">
            <v>0.362,-5.65;1.743,-5.48;0.34,-7.68;-0.76,-5.24;-1.76,-5.89;</v>
          </cell>
          <cell r="Q273">
            <v>18000</v>
          </cell>
          <cell r="R273">
            <v>0</v>
          </cell>
          <cell r="S273" t="str">
            <v>1001+25;1002+30;</v>
          </cell>
          <cell r="T273">
            <v>0</v>
          </cell>
        </row>
        <row r="274">
          <cell r="A274">
            <v>162</v>
          </cell>
          <cell r="B274" t="str">
            <v>螣蛇谷好手</v>
          </cell>
          <cell r="C274">
            <v>1200410</v>
          </cell>
        </row>
        <row r="274">
          <cell r="G274">
            <v>0</v>
          </cell>
          <cell r="H274">
            <v>1</v>
          </cell>
          <cell r="I274">
            <v>1</v>
          </cell>
          <cell r="J274" t="b">
            <v>0</v>
          </cell>
          <cell r="K274">
            <v>1003</v>
          </cell>
          <cell r="L274">
            <v>-6.34</v>
          </cell>
          <cell r="M274">
            <v>-7.69</v>
          </cell>
        </row>
        <row r="274">
          <cell r="O274" t="str">
            <v>0</v>
          </cell>
          <cell r="P274" t="str">
            <v>0.362,-5.65;1.743,-5.48;0.34,-7.68;-0.76,-5.24;-1.76,-5.89;</v>
          </cell>
          <cell r="Q274">
            <v>18000</v>
          </cell>
          <cell r="R274">
            <v>0</v>
          </cell>
          <cell r="S274" t="str">
            <v>1001+25;1002+30;</v>
          </cell>
          <cell r="T274">
            <v>0</v>
          </cell>
        </row>
        <row r="275">
          <cell r="A275">
            <v>163</v>
          </cell>
          <cell r="B275" t="str">
            <v>千蛛塔好手</v>
          </cell>
          <cell r="C275">
            <v>1200411</v>
          </cell>
        </row>
        <row r="275">
          <cell r="G275">
            <v>0</v>
          </cell>
          <cell r="H275">
            <v>1</v>
          </cell>
          <cell r="I275">
            <v>1</v>
          </cell>
          <cell r="J275" t="b">
            <v>0</v>
          </cell>
          <cell r="K275">
            <v>1003</v>
          </cell>
          <cell r="L275">
            <v>-6.34</v>
          </cell>
          <cell r="M275">
            <v>-7.69</v>
          </cell>
        </row>
        <row r="275">
          <cell r="O275" t="str">
            <v>0</v>
          </cell>
          <cell r="P275" t="str">
            <v>0.362,-5.65;1.743,-5.48;0.34,-7.68;-0.76,-5.24;-1.76,-5.89;</v>
          </cell>
          <cell r="Q275">
            <v>18000</v>
          </cell>
          <cell r="R275">
            <v>0</v>
          </cell>
          <cell r="S275" t="str">
            <v>1001+25;1002+30;907009+1;</v>
          </cell>
          <cell r="T275" t="str">
            <v>11900,1</v>
          </cell>
        </row>
        <row r="276">
          <cell r="A276">
            <v>164</v>
          </cell>
          <cell r="B276" t="str">
            <v>灯火夜蟾</v>
          </cell>
          <cell r="C276" t="str">
            <v>1200412;1200414;1200463</v>
          </cell>
          <cell r="D276" t="str">
            <v>1200412;1200414;1200463;1200415</v>
          </cell>
          <cell r="E276" t="str">
            <v>1200412;1200414;1200463;1200415;1200464</v>
          </cell>
        </row>
        <row r="276">
          <cell r="G276">
            <v>1200413</v>
          </cell>
          <cell r="H276">
            <v>1</v>
          </cell>
          <cell r="I276">
            <v>1</v>
          </cell>
          <cell r="J276" t="b">
            <v>0</v>
          </cell>
          <cell r="K276">
            <v>1003</v>
          </cell>
          <cell r="L276">
            <v>-6.34</v>
          </cell>
          <cell r="M276">
            <v>-7.69</v>
          </cell>
        </row>
        <row r="276">
          <cell r="O276" t="str">
            <v>3.2,-7.2;</v>
          </cell>
          <cell r="P276" t="str">
            <v>0.362,-5.65;1.743,-5.48;0.34,-7.68;-0.76,-5.24;-1.76,-5.89;</v>
          </cell>
          <cell r="Q276">
            <v>18000</v>
          </cell>
          <cell r="R276">
            <v>0</v>
          </cell>
          <cell r="S276" t="str">
            <v>1001+25;1002+30;908040+1</v>
          </cell>
          <cell r="T276" t="str">
            <v>11900,1</v>
          </cell>
        </row>
        <row r="277">
          <cell r="A277">
            <v>165</v>
          </cell>
          <cell r="B277" t="str">
            <v>蛇形蛊人</v>
          </cell>
          <cell r="C277">
            <v>1200420</v>
          </cell>
        </row>
        <row r="277">
          <cell r="G277">
            <v>1200413</v>
          </cell>
          <cell r="H277">
            <v>1</v>
          </cell>
          <cell r="I277">
            <v>1</v>
          </cell>
          <cell r="J277" t="b">
            <v>0</v>
          </cell>
          <cell r="K277">
            <v>1003</v>
          </cell>
          <cell r="L277">
            <v>-6.34</v>
          </cell>
          <cell r="M277">
            <v>-7.69</v>
          </cell>
        </row>
        <row r="277">
          <cell r="O277" t="str">
            <v>3.2,-7.2;</v>
          </cell>
          <cell r="P277" t="str">
            <v>0.362,-5.65;1.743,-5.48;0.34,-7.68;-0.76,-5.24;-1.76,-5.89;</v>
          </cell>
          <cell r="Q277">
            <v>18000</v>
          </cell>
          <cell r="R277">
            <v>0</v>
          </cell>
          <cell r="S277" t="str">
            <v>1001+25;1002+30;</v>
          </cell>
          <cell r="T277" t="str">
            <v>11900,1</v>
          </cell>
        </row>
        <row r="278">
          <cell r="A278">
            <v>166</v>
          </cell>
          <cell r="B278" t="str">
            <v>巨蛇</v>
          </cell>
          <cell r="C278" t="str">
            <v>1201248</v>
          </cell>
        </row>
        <row r="278">
          <cell r="G278">
            <v>0</v>
          </cell>
          <cell r="H278">
            <v>1</v>
          </cell>
          <cell r="I278">
            <v>1</v>
          </cell>
          <cell r="J278" t="b">
            <v>0</v>
          </cell>
          <cell r="K278">
            <v>1003</v>
          </cell>
          <cell r="L278">
            <v>-6.34</v>
          </cell>
          <cell r="M278">
            <v>-7.69</v>
          </cell>
        </row>
        <row r="278">
          <cell r="O278" t="str">
            <v>0</v>
          </cell>
          <cell r="P278" t="str">
            <v>0.362,-5.65;1.743,-5.48;0.34,-7.68;-0.76,-5.24;-1.76,-5.89;</v>
          </cell>
          <cell r="Q278">
            <v>18000</v>
          </cell>
          <cell r="R278">
            <v>0</v>
          </cell>
          <cell r="S278" t="str">
            <v>1001+25;1002+30;901003+1;908040+1</v>
          </cell>
          <cell r="T278" t="str">
            <v>11900,1</v>
          </cell>
        </row>
        <row r="279">
          <cell r="A279">
            <v>167</v>
          </cell>
          <cell r="B279" t="str">
            <v>巨蛇</v>
          </cell>
          <cell r="C279" t="str">
            <v>1201249</v>
          </cell>
        </row>
        <row r="279">
          <cell r="G279">
            <v>1200413</v>
          </cell>
          <cell r="H279">
            <v>1</v>
          </cell>
          <cell r="I279">
            <v>1</v>
          </cell>
          <cell r="J279" t="b">
            <v>0</v>
          </cell>
          <cell r="K279">
            <v>1003</v>
          </cell>
          <cell r="L279">
            <v>-6.34</v>
          </cell>
          <cell r="M279">
            <v>-7.69</v>
          </cell>
        </row>
        <row r="279">
          <cell r="O279" t="str">
            <v>3.2,-7.2;</v>
          </cell>
          <cell r="P279" t="str">
            <v>0.362,-5.65;1.743,-5.48;0.34,-7.68;-0.76,-5.24;-1.76,-5.89;</v>
          </cell>
          <cell r="Q279">
            <v>18000</v>
          </cell>
          <cell r="R279">
            <v>0</v>
          </cell>
          <cell r="S279" t="str">
            <v>1001+25;1002+30;908040+1</v>
          </cell>
          <cell r="T279" t="str">
            <v>11900,1</v>
          </cell>
        </row>
        <row r="280">
          <cell r="A280">
            <v>168</v>
          </cell>
          <cell r="B280" t="str">
            <v>百目君</v>
          </cell>
          <cell r="C280">
            <v>1200423</v>
          </cell>
        </row>
        <row r="280">
          <cell r="G280">
            <v>1200413</v>
          </cell>
          <cell r="H280">
            <v>1</v>
          </cell>
          <cell r="I280">
            <v>1</v>
          </cell>
          <cell r="J280" t="b">
            <v>0</v>
          </cell>
          <cell r="K280">
            <v>1003</v>
          </cell>
          <cell r="L280">
            <v>-6.34</v>
          </cell>
          <cell r="M280">
            <v>-7.69</v>
          </cell>
        </row>
        <row r="280">
          <cell r="O280" t="str">
            <v>3.2,-7.2;</v>
          </cell>
          <cell r="P280" t="str">
            <v>0.362,-5.65;1.743,-5.48;0.34,-7.68;-0.76,-5.24;-1.76,-5.89;</v>
          </cell>
          <cell r="Q280">
            <v>18000</v>
          </cell>
          <cell r="R280">
            <v>0</v>
          </cell>
          <cell r="S280" t="str">
            <v>1001+25;1002+30;907011+1;</v>
          </cell>
          <cell r="T280" t="str">
            <v>11900,1</v>
          </cell>
        </row>
        <row r="281">
          <cell r="A281">
            <v>169</v>
          </cell>
          <cell r="B281" t="str">
            <v>段氏子弟</v>
          </cell>
          <cell r="C281" t="str">
            <v>1200425;1200426;1200427</v>
          </cell>
          <cell r="D281" t="str">
            <v>1200425;1200426;1200427;1200428</v>
          </cell>
          <cell r="E281" t="str">
            <v>1200425;1200426;1200427;1200428;1200429</v>
          </cell>
        </row>
        <row r="281">
          <cell r="G281">
            <v>0</v>
          </cell>
          <cell r="H281">
            <v>1</v>
          </cell>
          <cell r="I281">
            <v>1</v>
          </cell>
          <cell r="J281" t="b">
            <v>0</v>
          </cell>
          <cell r="K281">
            <v>1003</v>
          </cell>
          <cell r="L281">
            <v>-6.34</v>
          </cell>
          <cell r="M281">
            <v>-7.69</v>
          </cell>
        </row>
        <row r="281">
          <cell r="O281" t="str">
            <v>0</v>
          </cell>
          <cell r="P281" t="str">
            <v>0.362,-5.65;1.743,-5.48;0.34,-7.68;-0.76,-5.24;-1.76,-5.89;</v>
          </cell>
          <cell r="Q281">
            <v>18000</v>
          </cell>
          <cell r="R281">
            <v>0</v>
          </cell>
          <cell r="S281" t="str">
            <v>1001+25;1002+30;</v>
          </cell>
          <cell r="T281" t="str">
            <v>11900,1</v>
          </cell>
        </row>
        <row r="282">
          <cell r="A282">
            <v>170</v>
          </cell>
          <cell r="B282" t="str">
            <v>段绍裘</v>
          </cell>
          <cell r="C282">
            <v>1200430</v>
          </cell>
        </row>
        <row r="282">
          <cell r="G282">
            <v>0</v>
          </cell>
          <cell r="H282">
            <v>1</v>
          </cell>
          <cell r="I282">
            <v>1</v>
          </cell>
          <cell r="J282" t="b">
            <v>0</v>
          </cell>
          <cell r="K282">
            <v>1003</v>
          </cell>
          <cell r="L282">
            <v>-6.34</v>
          </cell>
          <cell r="M282">
            <v>-7.69</v>
          </cell>
        </row>
        <row r="282">
          <cell r="O282" t="str">
            <v>0</v>
          </cell>
          <cell r="P282" t="str">
            <v>0.362,-5.65;1.743,-5.48;0.34,-7.68;-0.76,-5.24;-1.76,-5.89;</v>
          </cell>
          <cell r="Q282">
            <v>18000</v>
          </cell>
          <cell r="R282">
            <v>0</v>
          </cell>
          <cell r="S282" t="str">
            <v>1001+25;1002+30;901103+1;</v>
          </cell>
          <cell r="T282" t="str">
            <v>11900,1</v>
          </cell>
        </row>
        <row r="283">
          <cell r="A283">
            <v>171</v>
          </cell>
          <cell r="B283" t="str">
            <v>百目君 金蟾使</v>
          </cell>
          <cell r="C283" t="str">
            <v>1200424;1200433</v>
          </cell>
          <cell r="D283" t="str">
            <v>1200424;1200433;1200440</v>
          </cell>
          <cell r="E283" t="str">
            <v>1200424;1200433;1200440;1200441</v>
          </cell>
        </row>
        <row r="283">
          <cell r="G283">
            <v>1200434</v>
          </cell>
          <cell r="H283">
            <v>1</v>
          </cell>
          <cell r="I283">
            <v>1</v>
          </cell>
          <cell r="J283" t="b">
            <v>0</v>
          </cell>
          <cell r="K283">
            <v>1003</v>
          </cell>
          <cell r="L283">
            <v>-6.34</v>
          </cell>
          <cell r="M283">
            <v>-7.69</v>
          </cell>
        </row>
        <row r="283">
          <cell r="O283" t="str">
            <v>3.2,-7.2;</v>
          </cell>
          <cell r="P283" t="str">
            <v>0.362,-5.65;1.743,-5.48;0.34,-7.68;-0.76,-5.24;-1.76,-5.89;</v>
          </cell>
          <cell r="Q283">
            <v>18000</v>
          </cell>
          <cell r="R283">
            <v>0</v>
          </cell>
          <cell r="S283" t="str">
            <v>1001+25;1002+30;</v>
          </cell>
          <cell r="T283" t="str">
            <v>11900,1</v>
          </cell>
        </row>
        <row r="284">
          <cell r="A284">
            <v>172</v>
          </cell>
          <cell r="B284" t="str">
            <v>螣蛇谷民</v>
          </cell>
          <cell r="C284" t="str">
            <v>1200435;1200436;1200437;1200438</v>
          </cell>
          <cell r="D284" t="str">
            <v>1200435;1200436;1200437;1200438;1200439</v>
          </cell>
          <cell r="E284" t="str">
            <v>1200435;1200436;1200437;1200438;1200439;1200451</v>
          </cell>
        </row>
        <row r="284">
          <cell r="G284" t="str">
            <v>1200449;1200450</v>
          </cell>
          <cell r="H284">
            <v>1</v>
          </cell>
          <cell r="I284">
            <v>1</v>
          </cell>
          <cell r="J284" t="b">
            <v>0</v>
          </cell>
          <cell r="K284">
            <v>1003</v>
          </cell>
          <cell r="L284">
            <v>-6.34</v>
          </cell>
          <cell r="M284">
            <v>-7.69</v>
          </cell>
        </row>
        <row r="284">
          <cell r="O284" t="str">
            <v>3.2,-7.2;</v>
          </cell>
          <cell r="P284" t="str">
            <v>0.362,-5.65;1.743,-5.48;0.34,-7.68;-0.76,-5.24;-1.76,-5.89;</v>
          </cell>
          <cell r="Q284">
            <v>18000</v>
          </cell>
          <cell r="R284">
            <v>0</v>
          </cell>
          <cell r="S284" t="str">
            <v>1001+25;1002+30;</v>
          </cell>
          <cell r="T284" t="str">
            <v>11900,1</v>
          </cell>
        </row>
        <row r="285">
          <cell r="A285">
            <v>173</v>
          </cell>
          <cell r="B285" t="str">
            <v>螣蛇谷民</v>
          </cell>
          <cell r="C285" t="str">
            <v>1501379;1200442;1200443;1200445;1200446</v>
          </cell>
          <cell r="D285" t="str">
            <v>1501379;1200442;1200443;1200445;1200446;1200440</v>
          </cell>
          <cell r="E285" t="str">
            <v>1501379;1200442;1200443;1200445;1200446;1200440;1200441</v>
          </cell>
        </row>
        <row r="285">
          <cell r="G285" t="str">
            <v>1200453;1200413;1200449;1200434</v>
          </cell>
          <cell r="H285">
            <v>1</v>
          </cell>
          <cell r="I285">
            <v>1</v>
          </cell>
          <cell r="J285" t="b">
            <v>0</v>
          </cell>
          <cell r="K285">
            <v>1003</v>
          </cell>
          <cell r="L285">
            <v>-6.34</v>
          </cell>
          <cell r="M285">
            <v>-7.69</v>
          </cell>
        </row>
        <row r="285">
          <cell r="O285" t="str">
            <v>3.2,-7.2;-2.6,-4.6;</v>
          </cell>
          <cell r="P285" t="str">
            <v>0.362,-5.65;1.743,-5.48;0.34,-7.68;-0.76,-5.24;-1.76,-5.89;</v>
          </cell>
          <cell r="Q285">
            <v>18000</v>
          </cell>
          <cell r="R285">
            <v>0</v>
          </cell>
          <cell r="S285" t="str">
            <v>1001+25;1002+30;907010+1;</v>
          </cell>
          <cell r="T285">
            <v>0</v>
          </cell>
        </row>
        <row r="286">
          <cell r="A286">
            <v>174</v>
          </cell>
          <cell r="B286" t="str">
            <v>段氏弃徒</v>
          </cell>
          <cell r="C286" t="str">
            <v>1501380;1200425;1200426;1200427;1200428</v>
          </cell>
          <cell r="D286" t="str">
            <v>1501380;1200425;1200426;1200427;1200428;1200429</v>
          </cell>
          <cell r="E286" t="str">
            <v>1501380;1200425;1200426;1200427;1200428;1200429;1200454</v>
          </cell>
        </row>
        <row r="286">
          <cell r="G286" t="str">
            <v>1200453;1200413;1200449;1200434</v>
          </cell>
          <cell r="H286">
            <v>1</v>
          </cell>
          <cell r="I286">
            <v>1</v>
          </cell>
          <cell r="J286" t="b">
            <v>0</v>
          </cell>
          <cell r="K286">
            <v>1003</v>
          </cell>
          <cell r="L286">
            <v>-6.34</v>
          </cell>
          <cell r="M286">
            <v>-7.69</v>
          </cell>
        </row>
        <row r="286">
          <cell r="O286" t="str">
            <v>3.2,-7.2;-2.6,-4.6;-12.57,-7.07;-4.3,-9.6;</v>
          </cell>
          <cell r="P286" t="str">
            <v>0.362,-5.65;1.743,-5.48;0.34,-7.68;-0.76,-5.24;-1.76,-5.89;</v>
          </cell>
          <cell r="Q286">
            <v>18000</v>
          </cell>
          <cell r="R286">
            <v>0</v>
          </cell>
          <cell r="S286" t="str">
            <v>1001+25;1002+30;</v>
          </cell>
          <cell r="T286">
            <v>0</v>
          </cell>
        </row>
        <row r="287">
          <cell r="A287">
            <v>175</v>
          </cell>
          <cell r="B287" t="str">
            <v>灵蜈奴</v>
          </cell>
          <cell r="C287" t="str">
            <v>1501381;1501382;1200435;1200436;1200437</v>
          </cell>
          <cell r="D287" t="str">
            <v>1501381;1501382;1200435;1200436;1200437;1200442</v>
          </cell>
          <cell r="E287" t="str">
            <v>1501381;1501382;1200435;1200436;1200437;1200442;1200443</v>
          </cell>
        </row>
        <row r="287">
          <cell r="G287" t="str">
            <v>1200453;1200413;1200449;1200434</v>
          </cell>
          <cell r="H287">
            <v>1</v>
          </cell>
          <cell r="I287">
            <v>1</v>
          </cell>
          <cell r="J287" t="b">
            <v>0</v>
          </cell>
          <cell r="K287">
            <v>1003</v>
          </cell>
          <cell r="L287">
            <v>-6.34</v>
          </cell>
          <cell r="M287">
            <v>-7.69</v>
          </cell>
        </row>
        <row r="287">
          <cell r="O287" t="str">
            <v>3.2,-7.2;-2.6,-4.6;-12.57,-7.07;-4.3,-9.6;</v>
          </cell>
          <cell r="P287" t="str">
            <v>0.362,-5.65;1.743,-5.48;0.34,-7.68;-0.76,-5.24;-1.76,-5.89;</v>
          </cell>
          <cell r="Q287">
            <v>18000</v>
          </cell>
          <cell r="R287">
            <v>0</v>
          </cell>
          <cell r="S287" t="str">
            <v>1001+25;1002+30;901003+1;</v>
          </cell>
          <cell r="T287" t="str">
            <v>11900,1</v>
          </cell>
        </row>
        <row r="288">
          <cell r="A288">
            <v>176</v>
          </cell>
          <cell r="B288" t="str">
            <v>段氏弃徒 灵蜈奴</v>
          </cell>
          <cell r="C288" t="str">
            <v>1200553;1200554;1200555;1200569;1200570</v>
          </cell>
        </row>
        <row r="288">
          <cell r="G288">
            <v>1200608</v>
          </cell>
          <cell r="H288">
            <v>1</v>
          </cell>
          <cell r="I288">
            <v>1</v>
          </cell>
          <cell r="J288" t="b">
            <v>0</v>
          </cell>
          <cell r="K288">
            <v>1003</v>
          </cell>
          <cell r="L288">
            <v>-6.34</v>
          </cell>
          <cell r="M288">
            <v>-7.69</v>
          </cell>
        </row>
        <row r="288">
          <cell r="O288" t="str">
            <v>3.2,-7.2;</v>
          </cell>
          <cell r="P288" t="str">
            <v>0.362,-5.65;1.743,-5.48;0.34,-7.68;-0.76,-5.24;-1.76,-5.89;</v>
          </cell>
          <cell r="Q288">
            <v>18000</v>
          </cell>
          <cell r="R288">
            <v>0</v>
          </cell>
          <cell r="S288" t="str">
            <v>1001+15;1002+20;</v>
          </cell>
          <cell r="T288">
            <v>0</v>
          </cell>
        </row>
        <row r="289">
          <cell r="A289">
            <v>177</v>
          </cell>
          <cell r="B289" t="str">
            <v>段绍裘</v>
          </cell>
          <cell r="C289" t="str">
            <v>1200460;1200558;1200609;1200610;1200611</v>
          </cell>
          <cell r="D289" t="str">
            <v>1200460;1200558;1200609;1200610;1200611;1200612</v>
          </cell>
          <cell r="E289" t="str">
            <v>1200460;1200558;1200609;1200610;1200611;1200612;1200559</v>
          </cell>
        </row>
        <row r="289">
          <cell r="G289">
            <v>1200608</v>
          </cell>
          <cell r="H289">
            <v>1</v>
          </cell>
          <cell r="I289">
            <v>1</v>
          </cell>
          <cell r="J289" t="b">
            <v>0</v>
          </cell>
          <cell r="K289">
            <v>1003</v>
          </cell>
          <cell r="L289">
            <v>-6.34</v>
          </cell>
          <cell r="M289">
            <v>-7.69</v>
          </cell>
        </row>
        <row r="289">
          <cell r="O289" t="str">
            <v>3.2,-7.2;</v>
          </cell>
          <cell r="P289" t="str">
            <v>0.362,-5.65;1.743,-5.48;0.34,-7.68;-0.76,-5.24;-1.76,-5.89;</v>
          </cell>
          <cell r="Q289">
            <v>18000</v>
          </cell>
          <cell r="R289">
            <v>0</v>
          </cell>
          <cell r="S289" t="str">
            <v>1001+15;1002+20;</v>
          </cell>
          <cell r="T289">
            <v>0</v>
          </cell>
        </row>
        <row r="290">
          <cell r="A290">
            <v>178</v>
          </cell>
          <cell r="B290" t="str">
            <v>发狂的灵蜈奴</v>
          </cell>
          <cell r="C290" t="str">
            <v>1200563;1200577;1200578;1200579;1200580</v>
          </cell>
          <cell r="D290" t="str">
            <v>1200563;1200577;1200578;1200579;1200580;1200574</v>
          </cell>
          <cell r="E290" t="str">
            <v>1200563;1200577;1200578;1200579;1200580;1200574;1200575</v>
          </cell>
        </row>
        <row r="290">
          <cell r="G290">
            <v>1200608</v>
          </cell>
          <cell r="H290">
            <v>1</v>
          </cell>
          <cell r="I290">
            <v>1</v>
          </cell>
          <cell r="J290" t="b">
            <v>0</v>
          </cell>
          <cell r="K290">
            <v>1003</v>
          </cell>
          <cell r="L290">
            <v>-6.34</v>
          </cell>
          <cell r="M290">
            <v>-7.69</v>
          </cell>
        </row>
        <row r="290">
          <cell r="O290" t="str">
            <v>3.2,-7.2;</v>
          </cell>
          <cell r="P290" t="str">
            <v>0.362,-5.65;1.743,-5.48;0.34,-7.68;-0.76,-5.24;-1.76,-5.89;</v>
          </cell>
          <cell r="Q290">
            <v>18000</v>
          </cell>
          <cell r="R290">
            <v>0</v>
          </cell>
          <cell r="S290" t="str">
            <v>1001+15;1002+20;</v>
          </cell>
          <cell r="T290">
            <v>0</v>
          </cell>
        </row>
        <row r="291">
          <cell r="A291">
            <v>179</v>
          </cell>
          <cell r="B291" t="str">
            <v>毒物</v>
          </cell>
          <cell r="C291" t="str">
            <v>1200564;1200621;1200622;1200623;1200624</v>
          </cell>
        </row>
        <row r="291">
          <cell r="G291">
            <v>1200608</v>
          </cell>
          <cell r="H291">
            <v>1</v>
          </cell>
          <cell r="I291">
            <v>1</v>
          </cell>
          <cell r="J291" t="b">
            <v>0</v>
          </cell>
          <cell r="K291">
            <v>1003</v>
          </cell>
          <cell r="L291">
            <v>-6.34</v>
          </cell>
          <cell r="M291">
            <v>-7.69</v>
          </cell>
        </row>
        <row r="291">
          <cell r="O291" t="str">
            <v>3.2,-7.2;</v>
          </cell>
          <cell r="P291" t="str">
            <v>0.362,-5.65;1.743,-5.48;0.34,-7.68;-0.76,-5.24;-1.76,-5.89;</v>
          </cell>
          <cell r="Q291">
            <v>18000</v>
          </cell>
          <cell r="R291">
            <v>0</v>
          </cell>
          <cell r="S291" t="str">
            <v>1001+15;1002+20;</v>
          </cell>
          <cell r="T291">
            <v>0</v>
          </cell>
        </row>
        <row r="292">
          <cell r="A292">
            <v>180</v>
          </cell>
          <cell r="B292" t="str">
            <v>灵蜈奴 螣蛇谷民</v>
          </cell>
          <cell r="C292" t="str">
            <v>1200627;1200628;1200629;1200630;1200631</v>
          </cell>
        </row>
        <row r="292">
          <cell r="G292">
            <v>1200608</v>
          </cell>
          <cell r="H292">
            <v>1</v>
          </cell>
          <cell r="I292">
            <v>1</v>
          </cell>
          <cell r="J292" t="b">
            <v>0</v>
          </cell>
          <cell r="K292">
            <v>1003</v>
          </cell>
          <cell r="L292">
            <v>-6.34</v>
          </cell>
          <cell r="M292">
            <v>-7.69</v>
          </cell>
        </row>
        <row r="292">
          <cell r="O292" t="str">
            <v>3.2,-7.2;</v>
          </cell>
          <cell r="P292" t="str">
            <v>0.362,-5.65;1.743,-5.48;0.34,-7.68;-0.76,-5.24;-1.76,-5.89;</v>
          </cell>
          <cell r="Q292">
            <v>18000</v>
          </cell>
          <cell r="R292">
            <v>0</v>
          </cell>
          <cell r="S292" t="str">
            <v>1001+15;1002+20;</v>
          </cell>
          <cell r="T292">
            <v>0</v>
          </cell>
        </row>
        <row r="293">
          <cell r="A293">
            <v>181</v>
          </cell>
          <cell r="B293" t="str">
            <v>百目君</v>
          </cell>
          <cell r="C293" t="str">
            <v>1200459;1200636;1200637;1200638;1200639</v>
          </cell>
          <cell r="D293" t="str">
            <v>1200459;1200636;1200637;1200638;1200639;1200640</v>
          </cell>
          <cell r="E293" t="str">
            <v>1200459;1200636;1200637;1200638;1200639;1200640;1200641</v>
          </cell>
        </row>
        <row r="293">
          <cell r="G293">
            <v>1200608</v>
          </cell>
          <cell r="H293">
            <v>1</v>
          </cell>
          <cell r="I293">
            <v>1</v>
          </cell>
          <cell r="J293" t="b">
            <v>0</v>
          </cell>
          <cell r="K293">
            <v>1003</v>
          </cell>
          <cell r="L293">
            <v>-6.34</v>
          </cell>
          <cell r="M293">
            <v>-7.69</v>
          </cell>
        </row>
        <row r="293">
          <cell r="O293" t="str">
            <v>3.2,-7.2;</v>
          </cell>
          <cell r="P293" t="str">
            <v>0.362,-5.65;1.743,-5.48;0.34,-7.68;-0.76,-5.24;-1.76,-5.89;</v>
          </cell>
          <cell r="Q293">
            <v>18000</v>
          </cell>
          <cell r="R293">
            <v>0</v>
          </cell>
          <cell r="S293" t="str">
            <v>1001+15;1002+20;</v>
          </cell>
          <cell r="T293">
            <v>0</v>
          </cell>
        </row>
        <row r="294">
          <cell r="A294">
            <v>182</v>
          </cell>
          <cell r="B294" t="str">
            <v>灯火夜蟾</v>
          </cell>
          <cell r="C294" t="str">
            <v>1200573;1200646;1200647;1200648;1200649</v>
          </cell>
          <cell r="D294" t="str">
            <v>1200573;1200646;1200647;1200648;1200649;1200650</v>
          </cell>
          <cell r="E294" t="str">
            <v>1200573;1200646;1200647;1200648;1200649;1200650;1200651</v>
          </cell>
        </row>
        <row r="294">
          <cell r="G294">
            <v>1200608</v>
          </cell>
          <cell r="H294">
            <v>1</v>
          </cell>
          <cell r="I294">
            <v>1</v>
          </cell>
          <cell r="J294" t="b">
            <v>0</v>
          </cell>
          <cell r="K294">
            <v>1003</v>
          </cell>
          <cell r="L294">
            <v>-6.34</v>
          </cell>
          <cell r="M294">
            <v>-7.69</v>
          </cell>
        </row>
        <row r="294">
          <cell r="O294" t="str">
            <v>3.2,-7.2;</v>
          </cell>
          <cell r="P294" t="str">
            <v>0.362,-5.65;1.743,-5.48;0.34,-7.68;-0.76,-5.24;-1.76,-5.89;</v>
          </cell>
          <cell r="Q294">
            <v>18000</v>
          </cell>
          <cell r="R294">
            <v>0</v>
          </cell>
          <cell r="S294" t="str">
            <v>1001+15;1002+20;908040+1;908042+1</v>
          </cell>
          <cell r="T294">
            <v>0</v>
          </cell>
        </row>
        <row r="295">
          <cell r="A295">
            <v>183</v>
          </cell>
          <cell r="B295" t="str">
            <v>蒙巳</v>
          </cell>
          <cell r="C295" t="str">
            <v>1200458;1200658;1200659;1200660;1200661</v>
          </cell>
          <cell r="D295" t="str">
            <v>1200458;1200658;1200659;1200660;1200661;1200662</v>
          </cell>
          <cell r="E295" t="str">
            <v>1200458;1200658;1200659;1200660;1200661;1200662;1200663</v>
          </cell>
        </row>
        <row r="295">
          <cell r="G295">
            <v>1200608</v>
          </cell>
          <cell r="H295">
            <v>1</v>
          </cell>
          <cell r="I295">
            <v>1</v>
          </cell>
          <cell r="J295" t="b">
            <v>0</v>
          </cell>
          <cell r="K295">
            <v>1003</v>
          </cell>
          <cell r="L295">
            <v>-6.34</v>
          </cell>
          <cell r="M295">
            <v>-7.69</v>
          </cell>
        </row>
        <row r="295">
          <cell r="O295" t="str">
            <v>3.2,-7.2;</v>
          </cell>
          <cell r="P295" t="str">
            <v>0.362,-5.65;1.743,-5.48;0.34,-7.68;-0.76,-5.24;-1.76,-5.89;</v>
          </cell>
          <cell r="Q295">
            <v>18000</v>
          </cell>
          <cell r="R295">
            <v>0</v>
          </cell>
          <cell r="S295" t="str">
            <v>1001+15;1002+20;</v>
          </cell>
          <cell r="T295" t="str">
            <v>11000,1</v>
          </cell>
        </row>
        <row r="296">
          <cell r="A296">
            <v>184</v>
          </cell>
          <cell r="B296" t="str">
            <v>毒蟾</v>
          </cell>
          <cell r="C296" t="str">
            <v>1200463;1200464;1200465;1200466;1200467</v>
          </cell>
          <cell r="D296" t="str">
            <v>1200463;1200464;1200465;1200466;1200467;1200468</v>
          </cell>
          <cell r="E296" t="str">
            <v>1200463;1200464;1200465;1200466;1200467;1200468;1200469</v>
          </cell>
        </row>
        <row r="296">
          <cell r="G296">
            <v>0</v>
          </cell>
          <cell r="H296">
            <v>1</v>
          </cell>
          <cell r="I296">
            <v>1</v>
          </cell>
          <cell r="J296" t="b">
            <v>0</v>
          </cell>
          <cell r="K296">
            <v>1003</v>
          </cell>
          <cell r="L296">
            <v>-6.34</v>
          </cell>
          <cell r="M296">
            <v>-7.69</v>
          </cell>
        </row>
        <row r="296">
          <cell r="O296" t="str">
            <v>0</v>
          </cell>
          <cell r="P296" t="str">
            <v>0.362,-5.65;1.743,-5.48;0.34,-7.68;-0.76,-5.24;-1.76,-5.89;</v>
          </cell>
          <cell r="Q296">
            <v>18000</v>
          </cell>
          <cell r="R296">
            <v>0</v>
          </cell>
          <cell r="S296" t="str">
            <v>1001+25;1002+30;907012+1;</v>
          </cell>
          <cell r="T296">
            <v>0</v>
          </cell>
        </row>
        <row r="297">
          <cell r="A297">
            <v>185</v>
          </cell>
          <cell r="B297" t="str">
            <v>毒蛇</v>
          </cell>
          <cell r="C297" t="str">
            <v>1200474;1200475;1200470;1200471</v>
          </cell>
          <cell r="D297" t="str">
            <v>1200474;1200475;1200470;1200471;1200565</v>
          </cell>
          <cell r="E297" t="str">
            <v>1200474;1200475;1200470;1200471;1200565;1200566</v>
          </cell>
        </row>
        <row r="297">
          <cell r="G297">
            <v>0</v>
          </cell>
          <cell r="H297">
            <v>1</v>
          </cell>
          <cell r="I297">
            <v>1</v>
          </cell>
          <cell r="J297" t="b">
            <v>0</v>
          </cell>
          <cell r="K297">
            <v>1003</v>
          </cell>
          <cell r="L297">
            <v>-6.34</v>
          </cell>
          <cell r="M297">
            <v>-7.69</v>
          </cell>
        </row>
        <row r="297">
          <cell r="O297" t="str">
            <v>0</v>
          </cell>
          <cell r="P297" t="str">
            <v>0.362,-5.65;1.743,-5.48;0.34,-7.68;-0.76,-5.24;-1.76,-5.89;</v>
          </cell>
          <cell r="Q297">
            <v>18000</v>
          </cell>
          <cell r="R297">
            <v>0</v>
          </cell>
          <cell r="S297" t="str">
            <v>1001+25;1002+30;</v>
          </cell>
          <cell r="T297">
            <v>0</v>
          </cell>
        </row>
        <row r="298">
          <cell r="A298">
            <v>186</v>
          </cell>
          <cell r="B298" t="str">
            <v>蛇王</v>
          </cell>
          <cell r="C298" t="str">
            <v>1200473;1200476;1200477;1200478;1201245</v>
          </cell>
          <cell r="D298" t="str">
            <v>1200473;1200476;1200477;1200478;1201245;1201246</v>
          </cell>
          <cell r="E298" t="str">
            <v>1200473;1200476;1200477;1200478;1201245;1201246;1201247</v>
          </cell>
        </row>
        <row r="298">
          <cell r="G298">
            <v>0</v>
          </cell>
          <cell r="H298">
            <v>1</v>
          </cell>
          <cell r="I298">
            <v>1</v>
          </cell>
          <cell r="J298" t="b">
            <v>0</v>
          </cell>
          <cell r="K298">
            <v>1003</v>
          </cell>
          <cell r="L298">
            <v>-6.34</v>
          </cell>
          <cell r="M298">
            <v>-7.69</v>
          </cell>
        </row>
        <row r="298">
          <cell r="O298" t="str">
            <v>0</v>
          </cell>
          <cell r="P298" t="str">
            <v>0.362,-5.65;1.743,-5.48;0.34,-7.68;-0.76,-5.24;-1.76,-5.89;</v>
          </cell>
          <cell r="Q298">
            <v>18000</v>
          </cell>
          <cell r="R298">
            <v>0</v>
          </cell>
          <cell r="S298" t="str">
            <v>1001+25;1002+30;908040+1;908043+1</v>
          </cell>
          <cell r="T298" t="str">
            <v>11900,1</v>
          </cell>
        </row>
        <row r="299">
          <cell r="A299">
            <v>187</v>
          </cell>
          <cell r="B299" t="str">
            <v>苗人老者</v>
          </cell>
          <cell r="C299">
            <v>1200461</v>
          </cell>
        </row>
        <row r="299">
          <cell r="G299">
            <v>0</v>
          </cell>
          <cell r="H299">
            <v>1</v>
          </cell>
          <cell r="I299">
            <v>1</v>
          </cell>
          <cell r="J299" t="b">
            <v>0</v>
          </cell>
          <cell r="K299">
            <v>1003</v>
          </cell>
          <cell r="L299">
            <v>-6.34</v>
          </cell>
          <cell r="M299">
            <v>-7.69</v>
          </cell>
        </row>
        <row r="299">
          <cell r="O299" t="str">
            <v>0</v>
          </cell>
          <cell r="P299" t="str">
            <v>0.362,-5.65;1.743,-5.48;0.34,-7.68;-0.76,-5.24;-1.76,-5.89;</v>
          </cell>
          <cell r="Q299">
            <v>18000</v>
          </cell>
          <cell r="R299">
            <v>0</v>
          </cell>
          <cell r="S299" t="str">
            <v>1001+25;1002+30;907011+1;</v>
          </cell>
          <cell r="T299" t="str">
            <v>11900,1</v>
          </cell>
        </row>
        <row r="300">
          <cell r="A300">
            <v>188</v>
          </cell>
          <cell r="B300" t="str">
            <v>锦绣富商</v>
          </cell>
          <cell r="C300" t="str">
            <v>1200487;1200488</v>
          </cell>
          <cell r="D300" t="str">
            <v>1200487;1200488;1200489</v>
          </cell>
          <cell r="E300" t="str">
            <v>1200487;1200488;1200489;1200490</v>
          </cell>
        </row>
        <row r="300">
          <cell r="G300">
            <v>0</v>
          </cell>
          <cell r="H300">
            <v>1</v>
          </cell>
          <cell r="I300">
            <v>1</v>
          </cell>
          <cell r="J300" t="b">
            <v>0</v>
          </cell>
          <cell r="K300">
            <v>1003</v>
          </cell>
          <cell r="L300">
            <v>-6.34</v>
          </cell>
          <cell r="M300">
            <v>-7.69</v>
          </cell>
        </row>
        <row r="300">
          <cell r="O300" t="str">
            <v>0</v>
          </cell>
          <cell r="P300" t="str">
            <v>0.362,-5.65;1.743,-5.48;0.34,-7.68;-0.76,-5.24;-1.76,-5.89;</v>
          </cell>
          <cell r="Q300">
            <v>16000</v>
          </cell>
          <cell r="R300">
            <v>0</v>
          </cell>
          <cell r="S300" t="str">
            <v>1001+15;1002+20;901001+1;</v>
          </cell>
          <cell r="T300" t="str">
            <v>11900,1</v>
          </cell>
        </row>
        <row r="301">
          <cell r="A301">
            <v>189</v>
          </cell>
          <cell r="B301" t="str">
            <v>流寇</v>
          </cell>
          <cell r="C301" t="str">
            <v>1200492;1200493</v>
          </cell>
          <cell r="D301" t="str">
            <v>1200492;1200493;1200494</v>
          </cell>
          <cell r="E301" t="str">
            <v>1200492;1200493;1200494;1200495</v>
          </cell>
        </row>
        <row r="301">
          <cell r="G301">
            <v>0</v>
          </cell>
          <cell r="H301">
            <v>1</v>
          </cell>
          <cell r="I301">
            <v>1</v>
          </cell>
          <cell r="J301" t="b">
            <v>0</v>
          </cell>
          <cell r="K301">
            <v>1003</v>
          </cell>
          <cell r="L301">
            <v>-6.34</v>
          </cell>
          <cell r="M301">
            <v>-7.69</v>
          </cell>
        </row>
        <row r="301">
          <cell r="O301" t="str">
            <v>0</v>
          </cell>
          <cell r="P301" t="str">
            <v>0.362,-5.65;1.743,-5.48;0.34,-7.68;-0.76,-5.24;-1.76,-5.89;</v>
          </cell>
          <cell r="Q301">
            <v>16000</v>
          </cell>
          <cell r="R301">
            <v>0</v>
          </cell>
          <cell r="S301" t="str">
            <v>1001+15;1002+20;</v>
          </cell>
          <cell r="T301">
            <v>0</v>
          </cell>
        </row>
        <row r="302">
          <cell r="A302">
            <v>190</v>
          </cell>
          <cell r="B302" t="str">
            <v>流寇</v>
          </cell>
          <cell r="C302" t="str">
            <v>1200492;1200493</v>
          </cell>
          <cell r="D302" t="str">
            <v>1200492;1200493;1200494</v>
          </cell>
          <cell r="E302" t="str">
            <v>1200492;1200493;1200494;1200495</v>
          </cell>
        </row>
        <row r="302">
          <cell r="G302">
            <v>0</v>
          </cell>
          <cell r="H302">
            <v>1</v>
          </cell>
          <cell r="I302">
            <v>1</v>
          </cell>
          <cell r="J302" t="b">
            <v>0</v>
          </cell>
          <cell r="K302">
            <v>1003</v>
          </cell>
          <cell r="L302">
            <v>-6.34</v>
          </cell>
          <cell r="M302">
            <v>-7.69</v>
          </cell>
        </row>
        <row r="302">
          <cell r="O302" t="str">
            <v>0</v>
          </cell>
          <cell r="P302" t="str">
            <v>0.362,-5.65;1.743,-5.48;0.34,-7.68;-0.76,-5.24;-1.76,-5.89;</v>
          </cell>
          <cell r="Q302">
            <v>16000</v>
          </cell>
          <cell r="R302">
            <v>0</v>
          </cell>
          <cell r="S302" t="str">
            <v>1001+15;1002+20;907009+1;</v>
          </cell>
          <cell r="T302">
            <v>0</v>
          </cell>
        </row>
        <row r="303">
          <cell r="A303">
            <v>191</v>
          </cell>
          <cell r="B303" t="str">
            <v>流寇首领</v>
          </cell>
          <cell r="C303" t="str">
            <v>1200491;1200492;1200494</v>
          </cell>
          <cell r="D303" t="str">
            <v>1200491;1200492;1200493;1200494</v>
          </cell>
          <cell r="E303" t="str">
            <v>1200491;1200492;1200493;1200494;1200495</v>
          </cell>
        </row>
        <row r="303">
          <cell r="G303">
            <v>0</v>
          </cell>
          <cell r="H303">
            <v>1</v>
          </cell>
          <cell r="I303">
            <v>1</v>
          </cell>
          <cell r="J303" t="b">
            <v>0</v>
          </cell>
          <cell r="K303">
            <v>1003</v>
          </cell>
          <cell r="L303">
            <v>-6.34</v>
          </cell>
          <cell r="M303">
            <v>-7.69</v>
          </cell>
        </row>
        <row r="303">
          <cell r="O303" t="str">
            <v>0</v>
          </cell>
          <cell r="P303" t="str">
            <v>0.362,-5.65;1.743,-5.48;0.34,-7.68;-0.76,-5.24;-1.76,-5.89;</v>
          </cell>
          <cell r="Q303">
            <v>16000</v>
          </cell>
          <cell r="R303">
            <v>0</v>
          </cell>
          <cell r="S303" t="str">
            <v>1001+15;1002+20;</v>
          </cell>
          <cell r="T303" t="str">
            <v>11900,1</v>
          </cell>
        </row>
        <row r="304">
          <cell r="A304">
            <v>192</v>
          </cell>
          <cell r="B304" t="str">
            <v>武馆弟子</v>
          </cell>
          <cell r="C304" t="str">
            <v>1200496;1200497;1200498;1200499;1200500</v>
          </cell>
        </row>
        <row r="304">
          <cell r="G304">
            <v>0</v>
          </cell>
          <cell r="H304">
            <v>1</v>
          </cell>
          <cell r="I304">
            <v>1</v>
          </cell>
          <cell r="J304" t="b">
            <v>0</v>
          </cell>
          <cell r="K304">
            <v>1003</v>
          </cell>
          <cell r="L304">
            <v>-6.34</v>
          </cell>
          <cell r="M304">
            <v>-7.69</v>
          </cell>
        </row>
        <row r="304">
          <cell r="O304" t="str">
            <v>0</v>
          </cell>
          <cell r="P304" t="str">
            <v>0.362,-5.65;1.743,-5.48;0.34,-7.68;-0.76,-5.24;-1.76,-5.89;</v>
          </cell>
          <cell r="Q304">
            <v>16000</v>
          </cell>
          <cell r="R304">
            <v>0</v>
          </cell>
          <cell r="S304" t="str">
            <v>1001+15;1002+20;901101+1;</v>
          </cell>
          <cell r="T304">
            <v>0</v>
          </cell>
        </row>
        <row r="305">
          <cell r="A305">
            <v>193</v>
          </cell>
          <cell r="B305" t="str">
            <v>徐行川</v>
          </cell>
          <cell r="C305" t="str">
            <v>1200506;1200501;1200502;1200503;1200504</v>
          </cell>
        </row>
        <row r="305">
          <cell r="G305">
            <v>0</v>
          </cell>
          <cell r="H305">
            <v>1</v>
          </cell>
          <cell r="I305">
            <v>1</v>
          </cell>
          <cell r="J305" t="b">
            <v>0</v>
          </cell>
          <cell r="K305">
            <v>1003</v>
          </cell>
          <cell r="L305">
            <v>-6.34</v>
          </cell>
          <cell r="M305">
            <v>-7.69</v>
          </cell>
        </row>
        <row r="305">
          <cell r="O305" t="str">
            <v>0</v>
          </cell>
          <cell r="P305" t="str">
            <v>0.362,-5.65;1.743,-5.48;0.34,-7.68;-0.76,-5.24;-1.76,-5.89;</v>
          </cell>
          <cell r="Q305">
            <v>16000</v>
          </cell>
          <cell r="R305">
            <v>0</v>
          </cell>
          <cell r="S305" t="str">
            <v>1001+15;1002+20;</v>
          </cell>
          <cell r="T305" t="str">
            <v>11900,1</v>
          </cell>
        </row>
        <row r="306">
          <cell r="A306">
            <v>194</v>
          </cell>
          <cell r="B306" t="str">
            <v>店家</v>
          </cell>
          <cell r="C306">
            <v>1200507</v>
          </cell>
          <cell r="D306" t="str">
            <v>1200507;1200508</v>
          </cell>
          <cell r="E306" t="str">
            <v>1200507;1200508;1200509</v>
          </cell>
        </row>
        <row r="306">
          <cell r="G306">
            <v>0</v>
          </cell>
          <cell r="H306">
            <v>1</v>
          </cell>
          <cell r="I306">
            <v>1</v>
          </cell>
          <cell r="J306" t="b">
            <v>0</v>
          </cell>
          <cell r="K306">
            <v>1003</v>
          </cell>
          <cell r="L306">
            <v>-6.34</v>
          </cell>
          <cell r="M306">
            <v>-7.69</v>
          </cell>
        </row>
        <row r="306">
          <cell r="O306" t="str">
            <v>0</v>
          </cell>
          <cell r="P306" t="str">
            <v>0.362,-5.65;1.743,-5.48;0.34,-7.68;-0.76,-5.24;-1.76,-5.89;</v>
          </cell>
          <cell r="Q306">
            <v>16000</v>
          </cell>
          <cell r="R306">
            <v>0</v>
          </cell>
          <cell r="S306" t="str">
            <v>1001+15;1002+20;</v>
          </cell>
          <cell r="T306" t="str">
            <v>11900,1</v>
          </cell>
        </row>
        <row r="307">
          <cell r="A307">
            <v>195</v>
          </cell>
          <cell r="B307" t="str">
            <v>胡家护院</v>
          </cell>
          <cell r="C307" t="str">
            <v>1200515;1200516</v>
          </cell>
          <cell r="D307" t="str">
            <v>1200515;1200516;1200517</v>
          </cell>
          <cell r="E307" t="str">
            <v>1200515;1200516;1200517;1200518</v>
          </cell>
        </row>
        <row r="307">
          <cell r="G307">
            <v>0</v>
          </cell>
          <cell r="H307">
            <v>1</v>
          </cell>
          <cell r="I307">
            <v>1</v>
          </cell>
          <cell r="J307" t="b">
            <v>0</v>
          </cell>
          <cell r="K307">
            <v>1003</v>
          </cell>
          <cell r="L307">
            <v>-6.34</v>
          </cell>
          <cell r="M307">
            <v>-7.69</v>
          </cell>
        </row>
        <row r="307">
          <cell r="O307" t="str">
            <v>0</v>
          </cell>
          <cell r="P307" t="str">
            <v>0.362,-5.65;1.743,-5.48;0.34,-7.68;-0.76,-5.24;-1.76,-5.89;</v>
          </cell>
          <cell r="Q307">
            <v>16000</v>
          </cell>
          <cell r="R307">
            <v>0</v>
          </cell>
          <cell r="S307" t="str">
            <v>1001+15;1002+20;907011+1;</v>
          </cell>
          <cell r="T307">
            <v>0</v>
          </cell>
        </row>
        <row r="308">
          <cell r="A308">
            <v>196</v>
          </cell>
          <cell r="B308" t="str">
            <v>胡管家</v>
          </cell>
          <cell r="C308" t="str">
            <v>1200519;1200515</v>
          </cell>
          <cell r="D308" t="str">
            <v>1200519;1200515;1200516</v>
          </cell>
          <cell r="E308" t="str">
            <v>1200519;1200515;1200516;1200517</v>
          </cell>
        </row>
        <row r="308">
          <cell r="G308">
            <v>0</v>
          </cell>
          <cell r="H308">
            <v>1</v>
          </cell>
          <cell r="I308">
            <v>1</v>
          </cell>
          <cell r="J308" t="b">
            <v>0</v>
          </cell>
          <cell r="K308">
            <v>1003</v>
          </cell>
          <cell r="L308">
            <v>-6.34</v>
          </cell>
          <cell r="M308">
            <v>-7.69</v>
          </cell>
        </row>
        <row r="308">
          <cell r="O308" t="str">
            <v>0</v>
          </cell>
          <cell r="P308" t="str">
            <v>0.362,-5.65;1.743,-5.48;0.34,-7.68;-0.76,-5.24;-1.76,-5.89;</v>
          </cell>
          <cell r="Q308">
            <v>16000</v>
          </cell>
          <cell r="R308">
            <v>0</v>
          </cell>
          <cell r="S308" t="str">
            <v>1001+15;1002+20;</v>
          </cell>
          <cell r="T308">
            <v>0</v>
          </cell>
        </row>
        <row r="309">
          <cell r="A309">
            <v>197</v>
          </cell>
          <cell r="B309" t="str">
            <v>胡员外</v>
          </cell>
          <cell r="C309" t="str">
            <v>1200520;1200515</v>
          </cell>
          <cell r="D309" t="str">
            <v>1200520;1200515;1200516</v>
          </cell>
          <cell r="E309" t="str">
            <v>1200520;1200515;1200516;1200517</v>
          </cell>
        </row>
        <row r="309">
          <cell r="G309">
            <v>0</v>
          </cell>
          <cell r="H309">
            <v>1</v>
          </cell>
          <cell r="I309">
            <v>1</v>
          </cell>
          <cell r="J309" t="b">
            <v>0</v>
          </cell>
          <cell r="K309">
            <v>1003</v>
          </cell>
          <cell r="L309">
            <v>-6.34</v>
          </cell>
          <cell r="M309">
            <v>-7.69</v>
          </cell>
        </row>
        <row r="309">
          <cell r="O309" t="str">
            <v>0</v>
          </cell>
          <cell r="P309" t="str">
            <v>0.362,-5.65;1.743,-5.48;0.34,-7.68;-0.76,-5.24;-1.76,-5.89;</v>
          </cell>
          <cell r="Q309">
            <v>16000</v>
          </cell>
          <cell r="R309">
            <v>0</v>
          </cell>
          <cell r="S309" t="str">
            <v>1001+15;1002+20;901101+1;</v>
          </cell>
          <cell r="T309" t="str">
            <v>11900,1</v>
          </cell>
        </row>
        <row r="310">
          <cell r="A310">
            <v>198</v>
          </cell>
          <cell r="B310" t="str">
            <v>窦四</v>
          </cell>
          <cell r="C310">
            <v>1200521</v>
          </cell>
          <cell r="D310" t="str">
            <v>1200521;1200522</v>
          </cell>
          <cell r="E310" t="str">
            <v>1200521;1200522;1200523</v>
          </cell>
        </row>
        <row r="310">
          <cell r="G310">
            <v>0</v>
          </cell>
          <cell r="H310">
            <v>1</v>
          </cell>
          <cell r="I310">
            <v>1</v>
          </cell>
          <cell r="J310" t="b">
            <v>0</v>
          </cell>
          <cell r="K310">
            <v>1003</v>
          </cell>
          <cell r="L310">
            <v>-6.34</v>
          </cell>
          <cell r="M310">
            <v>-7.69</v>
          </cell>
        </row>
        <row r="310">
          <cell r="O310" t="str">
            <v>0</v>
          </cell>
          <cell r="P310" t="str">
            <v>0.362,-5.65;1.743,-5.48;0.34,-7.68;-0.76,-5.24;-1.76,-5.89;</v>
          </cell>
          <cell r="Q310">
            <v>16000</v>
          </cell>
          <cell r="R310">
            <v>0</v>
          </cell>
          <cell r="S310" t="str">
            <v>1001+15;1002+20;</v>
          </cell>
          <cell r="T310" t="str">
            <v>11900,1</v>
          </cell>
        </row>
        <row r="311">
          <cell r="A311">
            <v>199</v>
          </cell>
          <cell r="B311" t="str">
            <v>换糖帮众</v>
          </cell>
          <cell r="C311" t="str">
            <v>1200524;1200525;1200526</v>
          </cell>
          <cell r="D311" t="str">
            <v>1200524;1200525;1200526;1200527</v>
          </cell>
          <cell r="E311" t="str">
            <v>1200524;1200525;1200526;1200527;1200528</v>
          </cell>
        </row>
        <row r="311">
          <cell r="G311">
            <v>0</v>
          </cell>
          <cell r="H311">
            <v>1</v>
          </cell>
          <cell r="I311">
            <v>1</v>
          </cell>
          <cell r="J311" t="b">
            <v>0</v>
          </cell>
          <cell r="K311">
            <v>1003</v>
          </cell>
          <cell r="L311">
            <v>-6.34</v>
          </cell>
          <cell r="M311">
            <v>-7.69</v>
          </cell>
        </row>
        <row r="311">
          <cell r="O311" t="str">
            <v>0</v>
          </cell>
          <cell r="P311" t="str">
            <v>0.362,-5.65;1.743,-5.48;0.34,-7.68;-0.76,-5.24;-1.76,-5.89;</v>
          </cell>
          <cell r="Q311">
            <v>16000</v>
          </cell>
          <cell r="R311">
            <v>0</v>
          </cell>
          <cell r="S311" t="str">
            <v>1001+15;1002+20;</v>
          </cell>
          <cell r="T311" t="str">
            <v>11900,1</v>
          </cell>
        </row>
        <row r="312">
          <cell r="A312">
            <v>200</v>
          </cell>
          <cell r="B312" t="str">
            <v>明印</v>
          </cell>
          <cell r="C312">
            <v>1200529</v>
          </cell>
        </row>
        <row r="312">
          <cell r="G312">
            <v>0</v>
          </cell>
          <cell r="H312">
            <v>1</v>
          </cell>
          <cell r="I312">
            <v>1</v>
          </cell>
          <cell r="J312" t="b">
            <v>0</v>
          </cell>
          <cell r="K312">
            <v>1003</v>
          </cell>
          <cell r="L312">
            <v>-6.34</v>
          </cell>
          <cell r="M312">
            <v>-7.69</v>
          </cell>
        </row>
        <row r="312">
          <cell r="O312" t="str">
            <v>0</v>
          </cell>
          <cell r="P312" t="str">
            <v>0.362,-5.65;1.743,-5.48;0.34,-7.68;-0.76,-5.24;-1.76,-5.89;</v>
          </cell>
          <cell r="Q312">
            <v>16000</v>
          </cell>
          <cell r="R312">
            <v>0</v>
          </cell>
          <cell r="S312" t="str">
            <v>1001+15;1002+20;907010+1;</v>
          </cell>
          <cell r="T312" t="str">
            <v>11900,1</v>
          </cell>
        </row>
        <row r="313">
          <cell r="A313">
            <v>201</v>
          </cell>
          <cell r="B313" t="str">
            <v>玉箫楼打手</v>
          </cell>
          <cell r="C313" t="str">
            <v>1200530;1200531;1200532</v>
          </cell>
          <cell r="D313" t="str">
            <v>1200530;1200531;1200531;1200532</v>
          </cell>
          <cell r="E313" t="str">
            <v>1200530;1200531;1200531;1200532;1200533</v>
          </cell>
        </row>
        <row r="313">
          <cell r="G313">
            <v>0</v>
          </cell>
          <cell r="H313">
            <v>1</v>
          </cell>
          <cell r="I313">
            <v>1</v>
          </cell>
          <cell r="J313" t="b">
            <v>0</v>
          </cell>
          <cell r="K313">
            <v>1003</v>
          </cell>
          <cell r="L313">
            <v>-6.34</v>
          </cell>
          <cell r="M313">
            <v>-7.69</v>
          </cell>
        </row>
        <row r="313">
          <cell r="O313" t="str">
            <v>0</v>
          </cell>
          <cell r="P313" t="str">
            <v>0.362,-5.65;1.743,-5.48;0.34,-7.68;-0.76,-5.24;-1.76,-5.89;</v>
          </cell>
          <cell r="Q313">
            <v>16000</v>
          </cell>
          <cell r="R313">
            <v>0</v>
          </cell>
          <cell r="S313" t="str">
            <v>1001+15;1002+20;</v>
          </cell>
          <cell r="T313" t="str">
            <v>11900,1</v>
          </cell>
        </row>
        <row r="314">
          <cell r="A314">
            <v>202</v>
          </cell>
          <cell r="B314" t="str">
            <v>官差</v>
          </cell>
          <cell r="C314" t="str">
            <v>1200534;1200535</v>
          </cell>
          <cell r="D314" t="str">
            <v>1200534;1200535;1200536</v>
          </cell>
          <cell r="E314" t="str">
            <v>1200534;1200535;1200536;1200537</v>
          </cell>
        </row>
        <row r="314">
          <cell r="G314">
            <v>0</v>
          </cell>
          <cell r="H314">
            <v>1</v>
          </cell>
          <cell r="I314">
            <v>1</v>
          </cell>
          <cell r="J314" t="b">
            <v>0</v>
          </cell>
          <cell r="K314">
            <v>1003</v>
          </cell>
          <cell r="L314">
            <v>-6.34</v>
          </cell>
          <cell r="M314">
            <v>-7.69</v>
          </cell>
        </row>
        <row r="314">
          <cell r="O314" t="str">
            <v>0</v>
          </cell>
          <cell r="P314" t="str">
            <v>0.362,-5.65;1.743,-5.48;0.34,-7.68;-0.76,-5.24;-1.76,-5.89;</v>
          </cell>
          <cell r="Q314">
            <v>16000</v>
          </cell>
          <cell r="R314">
            <v>0</v>
          </cell>
          <cell r="S314" t="str">
            <v>1001+15;1002+20;</v>
          </cell>
          <cell r="T314" t="str">
            <v>11900,1</v>
          </cell>
        </row>
        <row r="315">
          <cell r="A315">
            <v>203</v>
          </cell>
          <cell r="B315" t="str">
            <v>健壮仆从</v>
          </cell>
          <cell r="C315" t="str">
            <v>1200538;1200539</v>
          </cell>
          <cell r="D315" t="str">
            <v>1200538;1200539;1200540</v>
          </cell>
          <cell r="E315" t="str">
            <v>1200538;1200539;1200540;1200541</v>
          </cell>
        </row>
        <row r="315">
          <cell r="G315">
            <v>0</v>
          </cell>
          <cell r="H315">
            <v>1</v>
          </cell>
          <cell r="I315">
            <v>1</v>
          </cell>
          <cell r="J315" t="b">
            <v>0</v>
          </cell>
          <cell r="K315">
            <v>1003</v>
          </cell>
          <cell r="L315">
            <v>-6.34</v>
          </cell>
          <cell r="M315">
            <v>-7.69</v>
          </cell>
        </row>
        <row r="315">
          <cell r="O315" t="str">
            <v>0</v>
          </cell>
          <cell r="P315" t="str">
            <v>0.362,-5.65;1.743,-5.48;0.34,-7.68;-0.76,-5.24;-1.76,-5.89;</v>
          </cell>
          <cell r="Q315">
            <v>16000</v>
          </cell>
          <cell r="R315">
            <v>0</v>
          </cell>
          <cell r="S315" t="str">
            <v>1001+15;1002+20;901001+1;</v>
          </cell>
          <cell r="T315" t="str">
            <v>11900,1</v>
          </cell>
        </row>
        <row r="316">
          <cell r="A316">
            <v>204</v>
          </cell>
          <cell r="B316" t="str">
            <v>健壮仆从</v>
          </cell>
          <cell r="C316" t="str">
            <v>1200538;1200539</v>
          </cell>
          <cell r="D316" t="str">
            <v>1200538;1200539;1200540</v>
          </cell>
          <cell r="E316" t="str">
            <v>1200538;1200539;1200540;1200541</v>
          </cell>
        </row>
        <row r="316">
          <cell r="G316">
            <v>0</v>
          </cell>
          <cell r="H316">
            <v>1</v>
          </cell>
          <cell r="I316">
            <v>1</v>
          </cell>
          <cell r="J316" t="b">
            <v>0</v>
          </cell>
          <cell r="K316">
            <v>1003</v>
          </cell>
          <cell r="L316">
            <v>-6.34</v>
          </cell>
          <cell r="M316">
            <v>-7.69</v>
          </cell>
        </row>
        <row r="316">
          <cell r="O316" t="str">
            <v>0</v>
          </cell>
          <cell r="P316" t="str">
            <v>0.362,-5.65;1.743,-5.48;0.34,-7.68;-0.76,-5.24;-1.76,-5.89;</v>
          </cell>
          <cell r="Q316">
            <v>16000</v>
          </cell>
          <cell r="R316">
            <v>0</v>
          </cell>
          <cell r="S316" t="str">
            <v>1001+15;1002+20;907009+1;</v>
          </cell>
          <cell r="T316" t="str">
            <v>11900,1</v>
          </cell>
        </row>
        <row r="317">
          <cell r="A317">
            <v>205</v>
          </cell>
          <cell r="B317" t="str">
            <v>丁昭</v>
          </cell>
          <cell r="C317" t="str">
            <v>1200542;1200538;1200539</v>
          </cell>
          <cell r="D317" t="str">
            <v>1200542;1200538;1200539;1200540</v>
          </cell>
          <cell r="E317" t="str">
            <v>1200542;1200538;1200539;1200540;1200541</v>
          </cell>
        </row>
        <row r="317">
          <cell r="G317">
            <v>0</v>
          </cell>
          <cell r="H317">
            <v>1</v>
          </cell>
          <cell r="I317">
            <v>1</v>
          </cell>
          <cell r="J317" t="b">
            <v>0</v>
          </cell>
          <cell r="K317">
            <v>1003</v>
          </cell>
          <cell r="L317">
            <v>-6.34</v>
          </cell>
          <cell r="M317">
            <v>-7.69</v>
          </cell>
        </row>
        <row r="317">
          <cell r="O317" t="str">
            <v>0</v>
          </cell>
          <cell r="P317" t="str">
            <v>0.362,-5.65;1.743,-5.48;0.34,-7.68;-0.76,-5.24;-1.76,-5.89;</v>
          </cell>
          <cell r="Q317">
            <v>16000</v>
          </cell>
          <cell r="R317">
            <v>0</v>
          </cell>
          <cell r="S317" t="str">
            <v>1001+15;1002+20;</v>
          </cell>
          <cell r="T317" t="str">
            <v>11900,1</v>
          </cell>
        </row>
        <row r="318">
          <cell r="A318">
            <v>206</v>
          </cell>
          <cell r="B318" t="str">
            <v>陈河</v>
          </cell>
          <cell r="C318" t="str">
            <v>1200543;1200545</v>
          </cell>
          <cell r="D318" t="str">
            <v>1200543;1200545;1200546</v>
          </cell>
          <cell r="E318" t="str">
            <v>1200543;1200545;1200546;1200547</v>
          </cell>
        </row>
        <row r="318">
          <cell r="G318">
            <v>0</v>
          </cell>
          <cell r="H318">
            <v>1</v>
          </cell>
          <cell r="I318">
            <v>1</v>
          </cell>
          <cell r="J318" t="b">
            <v>0</v>
          </cell>
          <cell r="K318">
            <v>1003</v>
          </cell>
          <cell r="L318">
            <v>-6.34</v>
          </cell>
          <cell r="M318">
            <v>-7.69</v>
          </cell>
        </row>
        <row r="318">
          <cell r="O318" t="str">
            <v>0</v>
          </cell>
          <cell r="P318" t="str">
            <v>0.362,-5.65;1.743,-5.48;0.34,-7.68;-0.76,-5.24;-1.76,-5.89;</v>
          </cell>
          <cell r="Q318">
            <v>16000</v>
          </cell>
          <cell r="R318">
            <v>0</v>
          </cell>
          <cell r="S318" t="str">
            <v>1001+15;1002+20;</v>
          </cell>
          <cell r="T318" t="str">
            <v>11900,1</v>
          </cell>
        </row>
        <row r="319">
          <cell r="A319">
            <v>207</v>
          </cell>
          <cell r="B319" t="str">
            <v>换糖帮杀手</v>
          </cell>
          <cell r="C319" t="str">
            <v>1200545;1200546</v>
          </cell>
          <cell r="D319" t="str">
            <v>1200545;1200546;1200547</v>
          </cell>
          <cell r="E319" t="str">
            <v>1200545;1200546;1200547;1200548</v>
          </cell>
        </row>
        <row r="319">
          <cell r="G319">
            <v>1500952</v>
          </cell>
          <cell r="H319">
            <v>1</v>
          </cell>
          <cell r="I319">
            <v>1</v>
          </cell>
          <cell r="J319" t="b">
            <v>0</v>
          </cell>
          <cell r="K319">
            <v>1003</v>
          </cell>
          <cell r="L319">
            <v>-6.34</v>
          </cell>
          <cell r="M319">
            <v>-7.69</v>
          </cell>
        </row>
        <row r="319">
          <cell r="O319" t="str">
            <v>0</v>
          </cell>
          <cell r="P319" t="str">
            <v>0.362,-5.65;1.743,-5.48;0.34,-7.68;-0.76,-5.24;-1.76,-5.89;</v>
          </cell>
          <cell r="Q319">
            <v>16000</v>
          </cell>
          <cell r="R319">
            <v>0</v>
          </cell>
          <cell r="S319" t="str">
            <v>1001+15;1002+20;</v>
          </cell>
          <cell r="T319" t="str">
            <v>11900,1</v>
          </cell>
        </row>
        <row r="320">
          <cell r="A320">
            <v>208</v>
          </cell>
          <cell r="B320" t="str">
            <v>秦懿瑶</v>
          </cell>
          <cell r="C320">
            <v>1200549</v>
          </cell>
        </row>
        <row r="320">
          <cell r="G320">
            <v>0</v>
          </cell>
          <cell r="H320">
            <v>1</v>
          </cell>
          <cell r="I320">
            <v>1</v>
          </cell>
          <cell r="J320" t="b">
            <v>0</v>
          </cell>
          <cell r="K320">
            <v>1003</v>
          </cell>
          <cell r="L320">
            <v>-6.34</v>
          </cell>
          <cell r="M320">
            <v>-7.69</v>
          </cell>
        </row>
        <row r="320">
          <cell r="O320" t="str">
            <v>0</v>
          </cell>
          <cell r="P320" t="str">
            <v>0.362,-5.65;1.743,-5.48;0.34,-7.68;-0.76,-5.24;-1.76,-5.89;</v>
          </cell>
          <cell r="Q320">
            <v>16000</v>
          </cell>
          <cell r="R320">
            <v>0</v>
          </cell>
          <cell r="S320" t="str">
            <v>1001+15;1002+20;901001+1;</v>
          </cell>
          <cell r="T320" t="str">
            <v>11900,1</v>
          </cell>
        </row>
        <row r="321">
          <cell r="A321">
            <v>209</v>
          </cell>
          <cell r="B321" t="str">
            <v>谢昊</v>
          </cell>
          <cell r="C321">
            <v>1200486</v>
          </cell>
        </row>
        <row r="321">
          <cell r="G321">
            <v>1200448</v>
          </cell>
          <cell r="H321">
            <v>1</v>
          </cell>
          <cell r="I321">
            <v>1</v>
          </cell>
          <cell r="J321" t="b">
            <v>0</v>
          </cell>
          <cell r="K321">
            <v>1003</v>
          </cell>
          <cell r="L321">
            <v>-6.34</v>
          </cell>
          <cell r="M321">
            <v>-7.69</v>
          </cell>
        </row>
        <row r="321">
          <cell r="O321" t="str">
            <v>3.2,-7.2;</v>
          </cell>
          <cell r="P321" t="str">
            <v>0.362,-5.65;1.743,-5.48;0.34,-7.68;-0.76,-5.24;-1.76,-5.89;</v>
          </cell>
          <cell r="Q321">
            <v>16000</v>
          </cell>
          <cell r="R321">
            <v>0</v>
          </cell>
          <cell r="S321" t="str">
            <v>1001+15;1002+20;</v>
          </cell>
          <cell r="T321" t="str">
            <v>11900,1</v>
          </cell>
        </row>
        <row r="322">
          <cell r="A322">
            <v>210</v>
          </cell>
          <cell r="B322" t="str">
            <v>秦懿瑶</v>
          </cell>
          <cell r="C322">
            <v>1200550</v>
          </cell>
        </row>
        <row r="322">
          <cell r="G322">
            <v>0</v>
          </cell>
          <cell r="H322">
            <v>1</v>
          </cell>
          <cell r="I322">
            <v>1</v>
          </cell>
          <cell r="J322" t="b">
            <v>0</v>
          </cell>
          <cell r="K322">
            <v>1003</v>
          </cell>
          <cell r="L322">
            <v>-6.34</v>
          </cell>
          <cell r="M322">
            <v>-7.69</v>
          </cell>
        </row>
        <row r="322">
          <cell r="O322" t="str">
            <v>0</v>
          </cell>
          <cell r="P322" t="str">
            <v>0.362,-5.65;1.743,-5.48;0.34,-7.68;-0.76,-5.24;-1.76,-5.89;</v>
          </cell>
          <cell r="Q322">
            <v>16000</v>
          </cell>
          <cell r="R322">
            <v>0</v>
          </cell>
          <cell r="S322" t="str">
            <v>1001+15;1002+20;</v>
          </cell>
          <cell r="T322" t="str">
            <v>11900,1</v>
          </cell>
        </row>
        <row r="323">
          <cell r="A323">
            <v>211</v>
          </cell>
          <cell r="B323" t="str">
            <v>探花廿六</v>
          </cell>
          <cell r="C323">
            <v>1200551</v>
          </cell>
        </row>
        <row r="323">
          <cell r="G323">
            <v>1200448</v>
          </cell>
          <cell r="H323">
            <v>1</v>
          </cell>
          <cell r="I323">
            <v>1</v>
          </cell>
          <cell r="J323" t="b">
            <v>0</v>
          </cell>
          <cell r="K323">
            <v>1003</v>
          </cell>
          <cell r="L323">
            <v>-6.34</v>
          </cell>
          <cell r="M323">
            <v>-7.69</v>
          </cell>
        </row>
        <row r="323">
          <cell r="O323" t="str">
            <v>3.2,-7.2;</v>
          </cell>
          <cell r="P323" t="str">
            <v>0.362,-5.65;1.743,-5.48;0.34,-7.68;-0.76,-5.24;-1.76,-5.89;</v>
          </cell>
          <cell r="Q323">
            <v>16000</v>
          </cell>
          <cell r="R323">
            <v>0</v>
          </cell>
          <cell r="S323" t="str">
            <v>1001+15;1002+20;</v>
          </cell>
          <cell r="T323" t="str">
            <v>11900,1</v>
          </cell>
        </row>
        <row r="324">
          <cell r="A324">
            <v>212</v>
          </cell>
          <cell r="B324" t="str">
            <v>探花廿六</v>
          </cell>
          <cell r="C324">
            <v>1200552</v>
          </cell>
        </row>
        <row r="324">
          <cell r="G324">
            <v>1200448</v>
          </cell>
          <cell r="H324">
            <v>1</v>
          </cell>
          <cell r="I324">
            <v>1</v>
          </cell>
          <cell r="J324" t="b">
            <v>0</v>
          </cell>
          <cell r="K324">
            <v>1003</v>
          </cell>
          <cell r="L324">
            <v>-6.34</v>
          </cell>
          <cell r="M324">
            <v>-7.69</v>
          </cell>
        </row>
        <row r="324">
          <cell r="O324" t="str">
            <v>3.2,-7.2;</v>
          </cell>
          <cell r="P324" t="str">
            <v>0.362,-5.65;1.743,-5.48;0.34,-7.68;-0.76,-5.24;-1.76,-5.89;</v>
          </cell>
          <cell r="Q324">
            <v>16000</v>
          </cell>
          <cell r="R324">
            <v>0</v>
          </cell>
          <cell r="S324" t="str">
            <v>1001+15;1002+20;</v>
          </cell>
          <cell r="T324" t="str">
            <v>11900,1</v>
          </cell>
        </row>
        <row r="325">
          <cell r="A325">
            <v>213</v>
          </cell>
          <cell r="B325" t="str">
            <v>若烟</v>
          </cell>
          <cell r="C325" t="str">
            <v>1200728;1200729;1200730;1200732;1200733</v>
          </cell>
          <cell r="D325" t="str">
            <v>1200728;1200729;1200730;1200732;1200733;1200734</v>
          </cell>
          <cell r="E325" t="str">
            <v>1200728;1200729;1200730;1200732;1200733;1200734;1200735</v>
          </cell>
        </row>
        <row r="325">
          <cell r="G325">
            <v>1200706</v>
          </cell>
          <cell r="H325">
            <v>1</v>
          </cell>
          <cell r="I325">
            <v>1</v>
          </cell>
          <cell r="J325" t="b">
            <v>0</v>
          </cell>
          <cell r="K325">
            <v>1003</v>
          </cell>
          <cell r="L325">
            <v>-6.34</v>
          </cell>
          <cell r="M325">
            <v>-7.69</v>
          </cell>
        </row>
        <row r="325">
          <cell r="O325" t="str">
            <v>3.2,-7.2;</v>
          </cell>
          <cell r="P325" t="str">
            <v>0.362,-5.65;1.743,-5.48;0.34,-7.68;-0.76,-5.24;-1.76,-5.89;</v>
          </cell>
          <cell r="Q325">
            <v>19000</v>
          </cell>
          <cell r="R325">
            <v>0</v>
          </cell>
          <cell r="S325" t="str">
            <v>1001+20;1002+25;</v>
          </cell>
          <cell r="T325">
            <v>0</v>
          </cell>
        </row>
        <row r="326">
          <cell r="A326">
            <v>214</v>
          </cell>
          <cell r="B326" t="str">
            <v>近侍 亲卫</v>
          </cell>
          <cell r="C326" t="str">
            <v>1200737;1200738;1200739;1200740;1200741;1200742</v>
          </cell>
        </row>
        <row r="326">
          <cell r="G326">
            <v>1200706</v>
          </cell>
          <cell r="H326">
            <v>1</v>
          </cell>
          <cell r="I326">
            <v>1</v>
          </cell>
          <cell r="J326" t="b">
            <v>0</v>
          </cell>
          <cell r="K326">
            <v>1003</v>
          </cell>
          <cell r="L326">
            <v>-6.34</v>
          </cell>
          <cell r="M326">
            <v>-7.69</v>
          </cell>
        </row>
        <row r="326">
          <cell r="O326" t="str">
            <v>3.2,-7.2;</v>
          </cell>
          <cell r="P326" t="str">
            <v>0.362,-5.65;1.743,-5.48;0.34,-7.68;-0.76,-5.24;-1.76,-5.89;</v>
          </cell>
          <cell r="Q326">
            <v>19000</v>
          </cell>
          <cell r="R326">
            <v>0</v>
          </cell>
          <cell r="S326" t="str">
            <v>1001+20;1002+25;</v>
          </cell>
          <cell r="T326">
            <v>0</v>
          </cell>
        </row>
        <row r="327">
          <cell r="A327">
            <v>215</v>
          </cell>
          <cell r="B327" t="str">
            <v>近侍 亲卫</v>
          </cell>
          <cell r="C327" t="str">
            <v>1200743;1200744;1200745;1200746;1200747;1200748;1200749</v>
          </cell>
        </row>
        <row r="327">
          <cell r="G327">
            <v>1200706</v>
          </cell>
          <cell r="H327">
            <v>1</v>
          </cell>
          <cell r="I327">
            <v>1</v>
          </cell>
          <cell r="J327" t="b">
            <v>0</v>
          </cell>
          <cell r="K327">
            <v>1003</v>
          </cell>
          <cell r="L327">
            <v>-6.34</v>
          </cell>
          <cell r="M327">
            <v>-7.69</v>
          </cell>
        </row>
        <row r="327">
          <cell r="O327" t="str">
            <v>3.2,-7.2;</v>
          </cell>
          <cell r="P327" t="str">
            <v>0.362,-5.65;1.743,-5.48;0.34,-7.68;-0.76,-5.24;-1.76,-5.89;</v>
          </cell>
          <cell r="Q327">
            <v>19000</v>
          </cell>
          <cell r="R327">
            <v>0</v>
          </cell>
          <cell r="S327" t="str">
            <v>1001+20;1002+25;</v>
          </cell>
          <cell r="T327">
            <v>0</v>
          </cell>
        </row>
        <row r="328">
          <cell r="A328">
            <v>216</v>
          </cell>
          <cell r="B328" t="str">
            <v>阴阳卫</v>
          </cell>
          <cell r="C328" t="str">
            <v>1200750;1200751;1200752;1200753;1200754</v>
          </cell>
          <cell r="D328" t="str">
            <v>1200750;1200751;1200752;1200753;1200754;1200755</v>
          </cell>
          <cell r="E328" t="str">
            <v>1200750;1200751;1200752;1200753;1200754;1200755;1200757</v>
          </cell>
        </row>
        <row r="328">
          <cell r="G328">
            <v>1200706</v>
          </cell>
          <cell r="H328">
            <v>1</v>
          </cell>
          <cell r="I328">
            <v>1</v>
          </cell>
          <cell r="J328" t="b">
            <v>0</v>
          </cell>
          <cell r="K328">
            <v>1003</v>
          </cell>
          <cell r="L328">
            <v>-6.34</v>
          </cell>
          <cell r="M328">
            <v>-7.69</v>
          </cell>
        </row>
        <row r="328">
          <cell r="O328" t="str">
            <v>3.2,-7.2;</v>
          </cell>
          <cell r="P328" t="str">
            <v>0.362,-5.65;1.743,-5.48;0.34,-7.68;-0.76,-5.24;-1.76,-5.89;</v>
          </cell>
          <cell r="Q328">
            <v>19000</v>
          </cell>
          <cell r="R328">
            <v>0</v>
          </cell>
          <cell r="S328" t="str">
            <v>1001+20;1002+25;</v>
          </cell>
          <cell r="T328">
            <v>0</v>
          </cell>
        </row>
        <row r="329">
          <cell r="A329">
            <v>217</v>
          </cell>
          <cell r="B329" t="str">
            <v>阴阳卫</v>
          </cell>
          <cell r="C329" t="str">
            <v>1200760;1200761</v>
          </cell>
        </row>
        <row r="329">
          <cell r="G329">
            <v>1200706</v>
          </cell>
          <cell r="H329">
            <v>1</v>
          </cell>
          <cell r="I329">
            <v>1</v>
          </cell>
          <cell r="J329" t="b">
            <v>0</v>
          </cell>
          <cell r="K329">
            <v>1003</v>
          </cell>
          <cell r="L329">
            <v>-6.34</v>
          </cell>
          <cell r="M329">
            <v>-7.69</v>
          </cell>
        </row>
        <row r="329">
          <cell r="O329" t="str">
            <v>3.2,-7.2;</v>
          </cell>
          <cell r="P329" t="str">
            <v>0.362,-5.65;1.743,-5.48;0.34,-7.68;-0.76,-5.24;-1.76,-5.89;</v>
          </cell>
          <cell r="Q329">
            <v>19000</v>
          </cell>
          <cell r="R329">
            <v>0</v>
          </cell>
          <cell r="S329" t="str">
            <v>1001+20;1002+25;</v>
          </cell>
          <cell r="T329">
            <v>0</v>
          </cell>
        </row>
        <row r="330">
          <cell r="A330">
            <v>218</v>
          </cell>
          <cell r="B330" t="str">
            <v>阴阳卫</v>
          </cell>
          <cell r="C330" t="str">
            <v>1200762;1200763;1200764;1200765;1200766</v>
          </cell>
          <cell r="D330" t="str">
            <v>1200762;1200763;1200764;1200765;1200766;1200768</v>
          </cell>
          <cell r="E330" t="str">
            <v>1200762;1200763;1200764;1200765;1200766;1200768;1200769</v>
          </cell>
        </row>
        <row r="330">
          <cell r="G330">
            <v>1200706</v>
          </cell>
          <cell r="H330">
            <v>1</v>
          </cell>
          <cell r="I330">
            <v>1</v>
          </cell>
          <cell r="J330" t="b">
            <v>0</v>
          </cell>
          <cell r="K330">
            <v>1003</v>
          </cell>
          <cell r="L330">
            <v>-6.34</v>
          </cell>
          <cell r="M330">
            <v>-7.69</v>
          </cell>
        </row>
        <row r="330">
          <cell r="O330" t="str">
            <v>3.2,-7.2;</v>
          </cell>
          <cell r="P330" t="str">
            <v>0.362,-5.65;1.743,-5.48;0.34,-7.68;-0.76,-5.24;-1.76,-5.89;</v>
          </cell>
          <cell r="Q330">
            <v>19000</v>
          </cell>
          <cell r="R330">
            <v>0</v>
          </cell>
          <cell r="S330" t="str">
            <v>1001+20;1002+25;</v>
          </cell>
          <cell r="T330">
            <v>0</v>
          </cell>
        </row>
        <row r="331">
          <cell r="A331">
            <v>219</v>
          </cell>
          <cell r="B331" t="str">
            <v>潇湘子</v>
          </cell>
          <cell r="C331" t="str">
            <v>1200772;1200773;1200774;1200775;1200776</v>
          </cell>
          <cell r="D331" t="str">
            <v>1200772;1200773;1200774;1200775;1200776;1200777</v>
          </cell>
          <cell r="E331" t="str">
            <v>1200772;1200773;1200774;1200775;1200776;1200777;1200778</v>
          </cell>
        </row>
        <row r="331">
          <cell r="G331">
            <v>1200706</v>
          </cell>
          <cell r="H331">
            <v>1</v>
          </cell>
          <cell r="I331">
            <v>1</v>
          </cell>
          <cell r="J331" t="b">
            <v>0</v>
          </cell>
          <cell r="K331">
            <v>1003</v>
          </cell>
          <cell r="L331">
            <v>-6.34</v>
          </cell>
          <cell r="M331">
            <v>-7.69</v>
          </cell>
        </row>
        <row r="331">
          <cell r="O331" t="str">
            <v>3.2,-7.2;</v>
          </cell>
          <cell r="P331" t="str">
            <v>0.362,-5.65;1.743,-5.48;0.34,-7.68;-0.76,-5.24;-1.76,-5.89;</v>
          </cell>
          <cell r="Q331">
            <v>19000</v>
          </cell>
          <cell r="R331">
            <v>0</v>
          </cell>
          <cell r="S331" t="str">
            <v>1001+20;1002+25;907009+1;1005+800;</v>
          </cell>
          <cell r="T331" t="str">
            <v>11000,1</v>
          </cell>
        </row>
        <row r="332">
          <cell r="A332">
            <v>220</v>
          </cell>
          <cell r="B332" t="str">
            <v>黑衣匪首</v>
          </cell>
          <cell r="C332" t="str">
            <v>2000001;2000002;2000003;2000004</v>
          </cell>
          <cell r="D332" t="str">
            <v>2000001;2000002;2000003;2000004;2000005</v>
          </cell>
          <cell r="E332" t="str">
            <v>2000001;2000002;2000003;2000004;2000005;2000006</v>
          </cell>
        </row>
        <row r="332">
          <cell r="G332">
            <v>0</v>
          </cell>
          <cell r="H332">
            <v>1</v>
          </cell>
          <cell r="I332">
            <v>1</v>
          </cell>
          <cell r="J332" t="b">
            <v>0</v>
          </cell>
          <cell r="K332">
            <v>1003</v>
          </cell>
          <cell r="L332">
            <v>-6.34</v>
          </cell>
          <cell r="M332">
            <v>-7.69</v>
          </cell>
        </row>
        <row r="332">
          <cell r="O332" t="str">
            <v>0</v>
          </cell>
          <cell r="P332" t="str">
            <v>0.362,-5.65;1.743,-5.48;0.34,-7.68;-0.76,-5.24;-1.76,-5.89;</v>
          </cell>
          <cell r="Q332">
            <v>20000</v>
          </cell>
          <cell r="R332">
            <v>0</v>
          </cell>
          <cell r="S332" t="str">
            <v>1001+20;1002+25;</v>
          </cell>
          <cell r="T332" t="str">
            <v>11900,1</v>
          </cell>
        </row>
        <row r="333">
          <cell r="A333">
            <v>221</v>
          </cell>
          <cell r="B333" t="str">
            <v>顾府护院</v>
          </cell>
          <cell r="C333" t="str">
            <v>2000007;2000008;2000009</v>
          </cell>
        </row>
        <row r="333">
          <cell r="G333">
            <v>0</v>
          </cell>
          <cell r="H333">
            <v>1</v>
          </cell>
          <cell r="I333">
            <v>1</v>
          </cell>
          <cell r="J333" t="b">
            <v>0</v>
          </cell>
          <cell r="K333">
            <v>1003</v>
          </cell>
          <cell r="L333">
            <v>-6.34</v>
          </cell>
          <cell r="M333">
            <v>-7.69</v>
          </cell>
        </row>
        <row r="333">
          <cell r="O333" t="str">
            <v>0</v>
          </cell>
          <cell r="P333" t="str">
            <v>0.362,-5.65;1.743,-5.48;0.34,-7.68;-0.76,-5.24;-1.76,-5.89;</v>
          </cell>
          <cell r="Q333">
            <v>20000</v>
          </cell>
          <cell r="R333">
            <v>0</v>
          </cell>
          <cell r="S333" t="str">
            <v>1001+20;1002+25;</v>
          </cell>
          <cell r="T333" t="str">
            <v>11900,1</v>
          </cell>
        </row>
        <row r="334">
          <cell r="A334">
            <v>222</v>
          </cell>
          <cell r="B334" t="str">
            <v>谢正青</v>
          </cell>
          <cell r="C334">
            <v>2000010</v>
          </cell>
        </row>
        <row r="334">
          <cell r="G334">
            <v>0</v>
          </cell>
          <cell r="H334">
            <v>1</v>
          </cell>
          <cell r="I334">
            <v>1</v>
          </cell>
          <cell r="J334" t="b">
            <v>0</v>
          </cell>
          <cell r="K334">
            <v>1003</v>
          </cell>
          <cell r="L334">
            <v>-6.34</v>
          </cell>
          <cell r="M334">
            <v>-7.69</v>
          </cell>
        </row>
        <row r="334">
          <cell r="O334" t="str">
            <v>0</v>
          </cell>
          <cell r="P334" t="str">
            <v>0.362,-5.65;1.743,-5.48;0.34,-7.68;-0.76,-5.24;-1.76,-5.89;</v>
          </cell>
          <cell r="Q334">
            <v>20000</v>
          </cell>
          <cell r="R334">
            <v>0</v>
          </cell>
          <cell r="S334" t="str">
            <v>1001+20;1002+25;901002+1;</v>
          </cell>
          <cell r="T334" t="str">
            <v>11900,1</v>
          </cell>
        </row>
        <row r="335">
          <cell r="A335">
            <v>223</v>
          </cell>
          <cell r="B335" t="str">
            <v>谢正青</v>
          </cell>
          <cell r="C335">
            <v>2000011</v>
          </cell>
        </row>
        <row r="335">
          <cell r="G335">
            <v>0</v>
          </cell>
          <cell r="H335">
            <v>1</v>
          </cell>
          <cell r="I335">
            <v>1</v>
          </cell>
          <cell r="J335" t="b">
            <v>0</v>
          </cell>
          <cell r="K335">
            <v>1003</v>
          </cell>
          <cell r="L335">
            <v>-6.34</v>
          </cell>
          <cell r="M335">
            <v>-7.69</v>
          </cell>
        </row>
        <row r="335">
          <cell r="O335" t="str">
            <v>0</v>
          </cell>
          <cell r="P335" t="str">
            <v>0.362,-5.65;1.743,-5.48;0.34,-7.68;-0.76,-5.24;-1.76,-5.89;</v>
          </cell>
          <cell r="Q335">
            <v>20000</v>
          </cell>
          <cell r="R335">
            <v>0</v>
          </cell>
          <cell r="S335" t="str">
            <v>1001+20;1002+25;</v>
          </cell>
          <cell r="T335" t="str">
            <v>11900,1</v>
          </cell>
        </row>
        <row r="336">
          <cell r="A336">
            <v>224</v>
          </cell>
          <cell r="B336" t="str">
            <v>常阔天</v>
          </cell>
          <cell r="C336" t="str">
            <v>2000013;2000014;2000015;2000016;2000017</v>
          </cell>
          <cell r="D336" t="str">
            <v>2000013;2000014;2000015;2000016;2000017</v>
          </cell>
          <cell r="E336" t="str">
            <v>2000013;2000014;2000015;2000016;2000017</v>
          </cell>
        </row>
        <row r="336">
          <cell r="G336">
            <v>2000012</v>
          </cell>
          <cell r="H336">
            <v>1</v>
          </cell>
          <cell r="I336">
            <v>1</v>
          </cell>
          <cell r="J336" t="b">
            <v>0</v>
          </cell>
          <cell r="K336">
            <v>1003</v>
          </cell>
          <cell r="L336">
            <v>-6.34</v>
          </cell>
          <cell r="M336">
            <v>-7.69</v>
          </cell>
        </row>
        <row r="336">
          <cell r="O336" t="str">
            <v>3.2,-7.2;</v>
          </cell>
          <cell r="P336" t="str">
            <v>0.362,-5.65;1.743,-5.48;0.34,-7.68;-0.76,-5.24;-1.76,-5.89;</v>
          </cell>
          <cell r="Q336">
            <v>20000</v>
          </cell>
          <cell r="R336">
            <v>0</v>
          </cell>
          <cell r="S336" t="str">
            <v>1001+20;1002+25;907011+1;</v>
          </cell>
          <cell r="T336" t="str">
            <v>11900,1</v>
          </cell>
        </row>
        <row r="337">
          <cell r="A337">
            <v>225</v>
          </cell>
          <cell r="B337" t="str">
            <v>荆山玉</v>
          </cell>
          <cell r="C337">
            <v>2000018</v>
          </cell>
        </row>
        <row r="337">
          <cell r="G337">
            <v>0</v>
          </cell>
          <cell r="H337">
            <v>1</v>
          </cell>
          <cell r="I337">
            <v>1</v>
          </cell>
          <cell r="J337" t="b">
            <v>0</v>
          </cell>
          <cell r="K337">
            <v>1003</v>
          </cell>
          <cell r="L337">
            <v>-6.34</v>
          </cell>
          <cell r="M337">
            <v>-7.69</v>
          </cell>
        </row>
        <row r="337">
          <cell r="O337" t="str">
            <v>0</v>
          </cell>
          <cell r="P337" t="str">
            <v>0.362,-5.65;1.743,-5.48;0.34,-7.68;-0.76,-5.24;-1.76,-5.89;</v>
          </cell>
          <cell r="Q337">
            <v>20000</v>
          </cell>
          <cell r="R337">
            <v>0</v>
          </cell>
          <cell r="S337" t="str">
            <v>1001+20;1002+25;</v>
          </cell>
          <cell r="T337" t="str">
            <v>11900,1</v>
          </cell>
        </row>
        <row r="338">
          <cell r="A338">
            <v>226</v>
          </cell>
          <cell r="B338" t="str">
            <v>荆山玉</v>
          </cell>
          <cell r="C338">
            <v>2000019</v>
          </cell>
        </row>
        <row r="338">
          <cell r="G338">
            <v>0</v>
          </cell>
          <cell r="H338">
            <v>1</v>
          </cell>
          <cell r="I338">
            <v>1</v>
          </cell>
          <cell r="J338" t="b">
            <v>0</v>
          </cell>
          <cell r="K338">
            <v>1003</v>
          </cell>
          <cell r="L338">
            <v>-6.34</v>
          </cell>
          <cell r="M338">
            <v>-7.69</v>
          </cell>
        </row>
        <row r="338">
          <cell r="O338" t="str">
            <v>0</v>
          </cell>
          <cell r="P338" t="str">
            <v>0.362,-5.65;1.743,-5.48;0.34,-7.68;-0.76,-5.24;-1.76,-5.89;</v>
          </cell>
          <cell r="Q338">
            <v>20000</v>
          </cell>
          <cell r="R338">
            <v>0</v>
          </cell>
          <cell r="S338" t="str">
            <v>1001+20;1002+25;901002+1;</v>
          </cell>
          <cell r="T338" t="str">
            <v>11900,1</v>
          </cell>
        </row>
        <row r="339">
          <cell r="A339">
            <v>227</v>
          </cell>
          <cell r="B339" t="str">
            <v>持刀大汉</v>
          </cell>
          <cell r="C339" t="str">
            <v>2000020;2000021;2000022;2000023</v>
          </cell>
          <cell r="D339" t="str">
            <v>2000020;2000021;2000022;2000023;2000024</v>
          </cell>
          <cell r="E339" t="str">
            <v>2000020;2000021;2000022;2000023;2000024;2000025</v>
          </cell>
        </row>
        <row r="339">
          <cell r="G339">
            <v>2000031</v>
          </cell>
          <cell r="H339">
            <v>1</v>
          </cell>
          <cell r="I339">
            <v>1</v>
          </cell>
          <cell r="J339" t="b">
            <v>0</v>
          </cell>
          <cell r="K339">
            <v>1003</v>
          </cell>
          <cell r="L339">
            <v>-6.34</v>
          </cell>
          <cell r="M339">
            <v>-7.69</v>
          </cell>
        </row>
        <row r="339">
          <cell r="O339" t="str">
            <v>3.2,-7.2;</v>
          </cell>
          <cell r="P339" t="str">
            <v>0.362,-5.65;1.743,-5.48;0.34,-7.68;-0.76,-5.24;-1.76,-5.89;</v>
          </cell>
          <cell r="Q339">
            <v>20000</v>
          </cell>
          <cell r="R339">
            <v>0</v>
          </cell>
          <cell r="S339" t="str">
            <v>1001+20;1002+25;</v>
          </cell>
          <cell r="T339" t="str">
            <v>11900,1</v>
          </cell>
        </row>
        <row r="340">
          <cell r="A340">
            <v>228</v>
          </cell>
          <cell r="B340" t="str">
            <v>持刀大汉</v>
          </cell>
          <cell r="C340" t="str">
            <v>2000026;2000027;2000028</v>
          </cell>
          <cell r="D340" t="str">
            <v>2000026;2000027;2000028;2000029</v>
          </cell>
          <cell r="E340" t="str">
            <v>2000026;2000027;2000028;2000029;2000030</v>
          </cell>
        </row>
        <row r="340">
          <cell r="G340">
            <v>0</v>
          </cell>
          <cell r="H340">
            <v>1</v>
          </cell>
          <cell r="I340">
            <v>1</v>
          </cell>
          <cell r="J340" t="b">
            <v>0</v>
          </cell>
          <cell r="K340">
            <v>1003</v>
          </cell>
          <cell r="L340">
            <v>-6.34</v>
          </cell>
          <cell r="M340">
            <v>-7.69</v>
          </cell>
        </row>
        <row r="340">
          <cell r="O340" t="str">
            <v>0</v>
          </cell>
          <cell r="P340" t="str">
            <v>0.362,-5.65;1.743,-5.48;0.34,-7.68;-0.76,-5.24;-1.76,-5.89;</v>
          </cell>
          <cell r="Q340">
            <v>20000</v>
          </cell>
          <cell r="R340">
            <v>0</v>
          </cell>
          <cell r="S340" t="str">
            <v>1001+20;1002+25;</v>
          </cell>
          <cell r="T340" t="str">
            <v>11900,1</v>
          </cell>
        </row>
        <row r="341">
          <cell r="A341">
            <v>229</v>
          </cell>
          <cell r="B341" t="str">
            <v>曹辅之</v>
          </cell>
          <cell r="C341">
            <v>2000032</v>
          </cell>
        </row>
        <row r="341">
          <cell r="G341">
            <v>0</v>
          </cell>
          <cell r="H341">
            <v>1</v>
          </cell>
          <cell r="I341">
            <v>1</v>
          </cell>
          <cell r="J341" t="b">
            <v>0</v>
          </cell>
          <cell r="K341">
            <v>1003</v>
          </cell>
          <cell r="L341">
            <v>-6.34</v>
          </cell>
          <cell r="M341">
            <v>-7.69</v>
          </cell>
        </row>
        <row r="341">
          <cell r="O341" t="str">
            <v>0</v>
          </cell>
          <cell r="P341" t="str">
            <v>0.362,-5.65;1.743,-5.48;0.34,-7.68;-0.76,-5.24;-1.76,-5.89;</v>
          </cell>
          <cell r="Q341">
            <v>20000</v>
          </cell>
          <cell r="R341">
            <v>0</v>
          </cell>
          <cell r="S341" t="str">
            <v>1001+20;1002+25;907010+1;</v>
          </cell>
          <cell r="T341" t="str">
            <v>11900,1</v>
          </cell>
        </row>
        <row r="342">
          <cell r="A342">
            <v>230</v>
          </cell>
          <cell r="B342" t="str">
            <v>豪横汉子</v>
          </cell>
          <cell r="C342">
            <v>2000033</v>
          </cell>
        </row>
        <row r="342">
          <cell r="G342">
            <v>0</v>
          </cell>
          <cell r="H342">
            <v>1</v>
          </cell>
          <cell r="I342">
            <v>1</v>
          </cell>
          <cell r="J342" t="b">
            <v>0</v>
          </cell>
          <cell r="K342">
            <v>1003</v>
          </cell>
          <cell r="L342">
            <v>-6.34</v>
          </cell>
          <cell r="M342">
            <v>-7.69</v>
          </cell>
        </row>
        <row r="342">
          <cell r="O342" t="str">
            <v>0</v>
          </cell>
          <cell r="P342" t="str">
            <v>0.362,-5.65;1.743,-5.48;0.34,-7.68;-0.76,-5.24;-1.76,-5.89;</v>
          </cell>
          <cell r="Q342">
            <v>20000</v>
          </cell>
          <cell r="R342">
            <v>0</v>
          </cell>
          <cell r="S342" t="str">
            <v>1001+20;1002+25;</v>
          </cell>
          <cell r="T342" t="str">
            <v>11900,1</v>
          </cell>
        </row>
        <row r="343">
          <cell r="A343">
            <v>231</v>
          </cell>
          <cell r="B343" t="str">
            <v>假船工</v>
          </cell>
          <cell r="C343">
            <v>2000035</v>
          </cell>
        </row>
        <row r="343">
          <cell r="G343">
            <v>2000034</v>
          </cell>
          <cell r="H343">
            <v>1</v>
          </cell>
          <cell r="I343">
            <v>1</v>
          </cell>
          <cell r="J343" t="b">
            <v>0</v>
          </cell>
          <cell r="K343">
            <v>1003</v>
          </cell>
          <cell r="L343">
            <v>-6.34</v>
          </cell>
          <cell r="M343">
            <v>-7.69</v>
          </cell>
        </row>
        <row r="343">
          <cell r="O343" t="str">
            <v>3.2,-7.2;</v>
          </cell>
          <cell r="P343" t="str">
            <v>0.362,-5.65;1.743,-5.48;0.34,-7.68;-0.76,-5.24;-1.76,-5.89;</v>
          </cell>
          <cell r="Q343">
            <v>20000</v>
          </cell>
          <cell r="R343">
            <v>0</v>
          </cell>
          <cell r="S343" t="str">
            <v>1001+20;1002+25;901102+1;</v>
          </cell>
          <cell r="T343" t="str">
            <v>11900,1</v>
          </cell>
        </row>
        <row r="344">
          <cell r="A344">
            <v>232</v>
          </cell>
          <cell r="B344" t="str">
            <v>军士</v>
          </cell>
          <cell r="C344" t="str">
            <v>2000036;2000037;2000038</v>
          </cell>
          <cell r="D344" t="str">
            <v>2000036;2000037;2000038;2000039</v>
          </cell>
          <cell r="E344" t="str">
            <v>2000036;2000037;2000038;2000039;2000040</v>
          </cell>
        </row>
        <row r="344">
          <cell r="G344">
            <v>0</v>
          </cell>
          <cell r="H344">
            <v>1</v>
          </cell>
          <cell r="I344">
            <v>1</v>
          </cell>
          <cell r="J344" t="b">
            <v>0</v>
          </cell>
          <cell r="K344">
            <v>1003</v>
          </cell>
          <cell r="L344">
            <v>-6.34</v>
          </cell>
          <cell r="M344">
            <v>-7.69</v>
          </cell>
        </row>
        <row r="344">
          <cell r="O344" t="str">
            <v>0</v>
          </cell>
          <cell r="P344" t="str">
            <v>0.362,-5.65;1.743,-5.48;0.34,-7.68;-0.76,-5.24;-1.76,-5.89;</v>
          </cell>
          <cell r="Q344">
            <v>20000</v>
          </cell>
          <cell r="R344">
            <v>0</v>
          </cell>
          <cell r="S344" t="str">
            <v>1001+20;1002+25;</v>
          </cell>
          <cell r="T344" t="str">
            <v>11900,1</v>
          </cell>
        </row>
        <row r="345">
          <cell r="A345">
            <v>233</v>
          </cell>
          <cell r="B345" t="str">
            <v>官兵</v>
          </cell>
          <cell r="C345" t="str">
            <v>2000041;2000042;2000043;2000044</v>
          </cell>
          <cell r="D345" t="str">
            <v>2000041;2000042;2000043;2000044;2000045</v>
          </cell>
          <cell r="E345" t="str">
            <v>2000041;2000042;2000043;2000044;2000045;2000046</v>
          </cell>
        </row>
        <row r="345">
          <cell r="G345">
            <v>2000034</v>
          </cell>
          <cell r="H345">
            <v>1</v>
          </cell>
          <cell r="I345">
            <v>1</v>
          </cell>
          <cell r="J345" t="b">
            <v>0</v>
          </cell>
          <cell r="K345">
            <v>1003</v>
          </cell>
          <cell r="L345">
            <v>-6.34</v>
          </cell>
          <cell r="M345">
            <v>-7.69</v>
          </cell>
        </row>
        <row r="345">
          <cell r="O345" t="str">
            <v>3.2,-7.2;</v>
          </cell>
          <cell r="P345" t="str">
            <v>0.362,-5.65;1.743,-5.48;0.34,-7.68;-0.76,-5.24;-1.76,-5.89;</v>
          </cell>
          <cell r="Q345">
            <v>20000</v>
          </cell>
          <cell r="R345">
            <v>0</v>
          </cell>
          <cell r="S345" t="str">
            <v>1001+20;1002+25;907009+1;</v>
          </cell>
          <cell r="T345" t="str">
            <v>11900,1</v>
          </cell>
        </row>
        <row r="346">
          <cell r="A346">
            <v>234</v>
          </cell>
          <cell r="B346" t="str">
            <v>军士</v>
          </cell>
          <cell r="C346" t="str">
            <v>2000047;2000048;2000049;2000050;2000051</v>
          </cell>
          <cell r="D346" t="str">
            <v>2000047;2000048;2000049;2000050;2000051;2000052</v>
          </cell>
          <cell r="E346" t="str">
            <v>2000047;2000048;2000049;2000050;2000051;2000052;2000053</v>
          </cell>
        </row>
        <row r="346">
          <cell r="G346" t="str">
            <v>2000034;2000054;2000055</v>
          </cell>
          <cell r="H346">
            <v>1</v>
          </cell>
          <cell r="I346">
            <v>1</v>
          </cell>
          <cell r="J346" t="b">
            <v>0</v>
          </cell>
          <cell r="K346">
            <v>1003</v>
          </cell>
          <cell r="L346">
            <v>-6.34</v>
          </cell>
          <cell r="M346">
            <v>-7.69</v>
          </cell>
        </row>
        <row r="346">
          <cell r="O346" t="str">
            <v>3.2,-7.2;-2.6,-4.6;-12.57,-7.07;</v>
          </cell>
          <cell r="P346" t="str">
            <v>0.362,-5.65;1.743,-5.48;0.34,-7.68;-0.76,-5.24;-1.76,-5.89;</v>
          </cell>
          <cell r="Q346">
            <v>20000</v>
          </cell>
          <cell r="R346">
            <v>0</v>
          </cell>
          <cell r="S346" t="str">
            <v>1001+20;1002+25;</v>
          </cell>
          <cell r="T346" t="str">
            <v>11900,1</v>
          </cell>
        </row>
        <row r="347">
          <cell r="A347">
            <v>235</v>
          </cell>
          <cell r="B347" t="str">
            <v>持枪军士</v>
          </cell>
          <cell r="C347" t="str">
            <v>2000056;2000057;2000058;2000059;2000060</v>
          </cell>
          <cell r="D347" t="str">
            <v>2000056;2000057;2000058;2000059;2000060;2000061</v>
          </cell>
          <cell r="E347" t="str">
            <v>2000056;2000057;2000058;2000059;2000060;2000061</v>
          </cell>
        </row>
        <row r="347">
          <cell r="G347" t="str">
            <v>2000034;2000054;2000055</v>
          </cell>
          <cell r="H347">
            <v>1</v>
          </cell>
          <cell r="I347">
            <v>1</v>
          </cell>
          <cell r="J347" t="b">
            <v>0</v>
          </cell>
          <cell r="K347">
            <v>1003</v>
          </cell>
          <cell r="L347">
            <v>-6.34</v>
          </cell>
          <cell r="M347">
            <v>-7.69</v>
          </cell>
        </row>
        <row r="347">
          <cell r="O347" t="str">
            <v>3.2,-7.2;-2.6,-4.6;-12.57,-7.07;</v>
          </cell>
          <cell r="P347" t="str">
            <v>0.362,-5.65;1.743,-5.48;0.34,-7.68;-0.76,-5.24;-1.76,-5.89;</v>
          </cell>
          <cell r="Q347">
            <v>20000</v>
          </cell>
          <cell r="R347">
            <v>0</v>
          </cell>
          <cell r="S347" t="str">
            <v>1001+20;1002+25;</v>
          </cell>
          <cell r="T347" t="str">
            <v>11900,1</v>
          </cell>
        </row>
        <row r="348">
          <cell r="A348">
            <v>236</v>
          </cell>
          <cell r="B348" t="str">
            <v>杨茂昌</v>
          </cell>
          <cell r="C348" t="str">
            <v>2000062;2000063;2000064;2000065;2000066;2000067</v>
          </cell>
          <cell r="D348" t="str">
            <v>2000062;2000063;2000064;2000065;2000066;2000067</v>
          </cell>
          <cell r="E348" t="str">
            <v>2000062;2000063;2000064;2000065;2000066;2000067</v>
          </cell>
        </row>
        <row r="348">
          <cell r="G348" t="str">
            <v>2000034;2000054;2000055</v>
          </cell>
          <cell r="H348">
            <v>1</v>
          </cell>
          <cell r="I348">
            <v>1</v>
          </cell>
          <cell r="J348" t="b">
            <v>0</v>
          </cell>
          <cell r="K348">
            <v>1003</v>
          </cell>
          <cell r="L348">
            <v>-6.34</v>
          </cell>
          <cell r="M348">
            <v>-7.69</v>
          </cell>
        </row>
        <row r="348">
          <cell r="O348" t="str">
            <v>3.2,-7.2;-2.6,-4.6;-12.57,-7.07;</v>
          </cell>
          <cell r="P348" t="str">
            <v>0.362,-5.65;1.743,-5.48;0.34,-7.68;-0.76,-5.24;-1.76,-5.89;</v>
          </cell>
          <cell r="Q348">
            <v>20000</v>
          </cell>
          <cell r="R348">
            <v>0</v>
          </cell>
          <cell r="S348" t="str">
            <v>1001+20;1002+25;901002+1;</v>
          </cell>
          <cell r="T348" t="str">
            <v>11900,1</v>
          </cell>
        </row>
        <row r="349">
          <cell r="A349">
            <v>237</v>
          </cell>
          <cell r="B349" t="str">
            <v>赌坊打手</v>
          </cell>
          <cell r="C349" t="str">
            <v>2000068;2000069;2000070;2000071</v>
          </cell>
          <cell r="D349" t="str">
            <v>2000068;2000069;2000070;2000071;2000072</v>
          </cell>
          <cell r="E349" t="str">
            <v>2000068;2000069;2000070;2000071;2000072;2000073</v>
          </cell>
        </row>
        <row r="349">
          <cell r="G349">
            <v>2000074</v>
          </cell>
          <cell r="H349">
            <v>1</v>
          </cell>
          <cell r="I349">
            <v>1</v>
          </cell>
          <cell r="J349" t="b">
            <v>0</v>
          </cell>
          <cell r="K349">
            <v>1003</v>
          </cell>
          <cell r="L349">
            <v>-6.34</v>
          </cell>
          <cell r="M349">
            <v>-7.69</v>
          </cell>
        </row>
        <row r="349">
          <cell r="O349" t="str">
            <v>3.2,-7.2;</v>
          </cell>
          <cell r="P349" t="str">
            <v>0.362,-5.65;1.743,-5.48;0.34,-7.68;-0.76,-5.24;-1.76,-5.89;</v>
          </cell>
          <cell r="Q349">
            <v>20000</v>
          </cell>
          <cell r="R349">
            <v>0</v>
          </cell>
          <cell r="S349" t="str">
            <v>1001+20;1002+25;</v>
          </cell>
          <cell r="T349" t="str">
            <v>11900,1</v>
          </cell>
        </row>
        <row r="350">
          <cell r="A350">
            <v>238</v>
          </cell>
          <cell r="B350" t="str">
            <v>赌坊打手</v>
          </cell>
          <cell r="C350" t="str">
            <v>2000075;2000076;2000077;2000078;2000079</v>
          </cell>
          <cell r="D350" t="str">
            <v>2000075;2000076;2000077;2000078;2000079;2000080</v>
          </cell>
          <cell r="E350" t="str">
            <v>2000075;2000076;2000077;2000078;2000079;2000080</v>
          </cell>
        </row>
        <row r="350">
          <cell r="G350" t="str">
            <v>2000081;2000082;2000083</v>
          </cell>
          <cell r="H350">
            <v>1</v>
          </cell>
          <cell r="I350">
            <v>1</v>
          </cell>
          <cell r="J350" t="b">
            <v>0</v>
          </cell>
          <cell r="K350">
            <v>1003</v>
          </cell>
          <cell r="L350">
            <v>-6.34</v>
          </cell>
          <cell r="M350">
            <v>-7.69</v>
          </cell>
        </row>
        <row r="350">
          <cell r="O350" t="str">
            <v>3.2,-7.2;-2.6,-4.6;-12.57,-7.07;</v>
          </cell>
          <cell r="P350" t="str">
            <v>0.362,-5.65;1.743,-5.48;0.34,-7.68;-0.76,-5.24;-1.76,-5.89;</v>
          </cell>
          <cell r="Q350">
            <v>20000</v>
          </cell>
          <cell r="R350">
            <v>0</v>
          </cell>
          <cell r="S350" t="str">
            <v>1001+20;1002+25;</v>
          </cell>
          <cell r="T350" t="str">
            <v>11900,1</v>
          </cell>
        </row>
        <row r="351">
          <cell r="A351">
            <v>239</v>
          </cell>
          <cell r="B351" t="str">
            <v>人熊</v>
          </cell>
          <cell r="C351">
            <v>2000084</v>
          </cell>
        </row>
        <row r="351">
          <cell r="G351">
            <v>0</v>
          </cell>
          <cell r="H351">
            <v>1</v>
          </cell>
          <cell r="I351">
            <v>1</v>
          </cell>
          <cell r="J351" t="b">
            <v>0</v>
          </cell>
          <cell r="K351">
            <v>1003</v>
          </cell>
          <cell r="L351">
            <v>-6.34</v>
          </cell>
          <cell r="M351">
            <v>-7.69</v>
          </cell>
        </row>
        <row r="351">
          <cell r="O351" t="str">
            <v>0</v>
          </cell>
          <cell r="P351" t="str">
            <v>0.362,-5.65;1.743,-5.48;0.34,-7.68;-0.76,-5.24;-1.76,-5.89;</v>
          </cell>
          <cell r="Q351">
            <v>20000</v>
          </cell>
          <cell r="R351">
            <v>0</v>
          </cell>
          <cell r="S351" t="str">
            <v>1001+20;1002+25;908043+1;908056+1</v>
          </cell>
          <cell r="T351" t="str">
            <v>11900,1</v>
          </cell>
        </row>
        <row r="352">
          <cell r="A352">
            <v>240</v>
          </cell>
          <cell r="B352" t="str">
            <v>庄客</v>
          </cell>
          <cell r="C352" t="str">
            <v>2000085;2000086;2000087;2000088;2000089</v>
          </cell>
          <cell r="D352" t="str">
            <v>2000085;2000086;2000087;2000088;2000089;2000090</v>
          </cell>
          <cell r="E352" t="str">
            <v>2000085;2000086;2000087;2000088;2000089;2000090</v>
          </cell>
        </row>
        <row r="352">
          <cell r="G352" t="str">
            <v>2000081;2000082;2000083</v>
          </cell>
          <cell r="H352">
            <v>1</v>
          </cell>
          <cell r="I352">
            <v>1</v>
          </cell>
          <cell r="J352" t="b">
            <v>0</v>
          </cell>
          <cell r="K352">
            <v>1003</v>
          </cell>
          <cell r="L352">
            <v>-6.34</v>
          </cell>
          <cell r="M352">
            <v>-7.69</v>
          </cell>
        </row>
        <row r="352">
          <cell r="O352" t="str">
            <v>3.2,-7.2;-2.6,-4.6;-12.57,-7.07;</v>
          </cell>
          <cell r="P352" t="str">
            <v>0.362,-5.65;1.743,-5.48;0.34,-7.68;-0.76,-5.24;-1.76,-5.89;</v>
          </cell>
          <cell r="Q352">
            <v>20000</v>
          </cell>
          <cell r="R352">
            <v>0</v>
          </cell>
          <cell r="S352" t="str">
            <v>1001+20;1002+25;</v>
          </cell>
          <cell r="T352" t="str">
            <v>11900,1</v>
          </cell>
        </row>
        <row r="353">
          <cell r="A353">
            <v>241</v>
          </cell>
          <cell r="B353" t="str">
            <v>庄客首领</v>
          </cell>
          <cell r="C353" t="str">
            <v>2000091;2000092;2000093;2000094;2000095</v>
          </cell>
          <cell r="D353" t="str">
            <v>2000091;2000092;2000093;2000094;2000095;2000096</v>
          </cell>
          <cell r="E353" t="str">
            <v>2000091;2000092;2000093;2000094;2000095;2000096</v>
          </cell>
        </row>
        <row r="353">
          <cell r="G353" t="str">
            <v>2000081;2000082;2000083</v>
          </cell>
          <cell r="H353">
            <v>1</v>
          </cell>
          <cell r="I353">
            <v>1</v>
          </cell>
          <cell r="J353" t="b">
            <v>0</v>
          </cell>
          <cell r="K353">
            <v>1003</v>
          </cell>
          <cell r="L353">
            <v>-6.34</v>
          </cell>
          <cell r="M353">
            <v>-7.69</v>
          </cell>
        </row>
        <row r="353">
          <cell r="O353" t="str">
            <v>3.2,-7.2;-2.6,-4.6;-12.57,-7.07;</v>
          </cell>
          <cell r="P353" t="str">
            <v>0.362,-5.65;1.743,-5.48;0.34,-7.68;-0.76,-5.24;-1.76,-5.89;</v>
          </cell>
          <cell r="Q353">
            <v>20000</v>
          </cell>
          <cell r="R353">
            <v>0</v>
          </cell>
          <cell r="S353" t="str">
            <v>1001+20;1002+25;907012+1;</v>
          </cell>
          <cell r="T353" t="str">
            <v>11900,1</v>
          </cell>
        </row>
        <row r="354">
          <cell r="A354">
            <v>242</v>
          </cell>
          <cell r="B354" t="str">
            <v>白武同</v>
          </cell>
          <cell r="C354" t="str">
            <v>2000097;2000098;2000099;2000100;2000101</v>
          </cell>
        </row>
        <row r="354">
          <cell r="G354" t="str">
            <v>2000081;2000082;2000083</v>
          </cell>
          <cell r="H354">
            <v>1</v>
          </cell>
          <cell r="I354">
            <v>1</v>
          </cell>
          <cell r="J354" t="b">
            <v>0</v>
          </cell>
          <cell r="K354">
            <v>1003</v>
          </cell>
          <cell r="L354">
            <v>-6.34</v>
          </cell>
          <cell r="M354">
            <v>-7.69</v>
          </cell>
        </row>
        <row r="354">
          <cell r="O354" t="str">
            <v>3.2,-7.2;-2.6,-4.6;-12.57,-7.07;</v>
          </cell>
          <cell r="P354" t="str">
            <v>0.362,-5.65;1.743,-5.48;0.34,-7.68;-0.76,-5.24;-1.76,-5.89;</v>
          </cell>
          <cell r="Q354">
            <v>20000</v>
          </cell>
          <cell r="R354">
            <v>0</v>
          </cell>
          <cell r="S354" t="str">
            <v>1001+20;1002+25;</v>
          </cell>
          <cell r="T354" t="str">
            <v>11900,1</v>
          </cell>
        </row>
        <row r="355">
          <cell r="A355">
            <v>243</v>
          </cell>
          <cell r="B355" t="str">
            <v>护卫军卒</v>
          </cell>
          <cell r="C355" t="str">
            <v>2000102;2000103;2000104;2000105</v>
          </cell>
          <cell r="D355" t="str">
            <v>2000102;2000103;2000104;2000105;1200571</v>
          </cell>
          <cell r="E355" t="str">
            <v>2000102;2000103;2000104;2000105;1200571;1200572</v>
          </cell>
        </row>
        <row r="355">
          <cell r="G355">
            <v>0</v>
          </cell>
          <cell r="H355">
            <v>1</v>
          </cell>
          <cell r="I355">
            <v>1</v>
          </cell>
          <cell r="J355" t="b">
            <v>0</v>
          </cell>
          <cell r="K355">
            <v>1003</v>
          </cell>
          <cell r="L355">
            <v>-6.34</v>
          </cell>
          <cell r="M355">
            <v>-7.69</v>
          </cell>
        </row>
        <row r="355">
          <cell r="O355" t="str">
            <v>0</v>
          </cell>
          <cell r="P355" t="str">
            <v>0.362,-5.65;1.743,-5.48;0.34,-7.68;-0.76,-5.24;-1.76,-5.89;</v>
          </cell>
          <cell r="Q355">
            <v>20000</v>
          </cell>
          <cell r="R355">
            <v>0</v>
          </cell>
          <cell r="S355" t="str">
            <v>1001+20;1002+25;901102+1;</v>
          </cell>
          <cell r="T355">
            <v>0</v>
          </cell>
        </row>
        <row r="356">
          <cell r="A356">
            <v>244</v>
          </cell>
          <cell r="B356" t="str">
            <v>精锐护军</v>
          </cell>
          <cell r="C356" t="str">
            <v>2000106;1200625;1200626;1200618</v>
          </cell>
          <cell r="D356" t="str">
            <v>2000106;1200625;1200626;1200618;1200619</v>
          </cell>
          <cell r="E356" t="str">
            <v>2000106;1200625;1200626;1200618;1200619;1200620</v>
          </cell>
        </row>
        <row r="356">
          <cell r="G356">
            <v>0</v>
          </cell>
          <cell r="H356">
            <v>1</v>
          </cell>
          <cell r="I356">
            <v>1</v>
          </cell>
          <cell r="J356" t="b">
            <v>0</v>
          </cell>
          <cell r="K356">
            <v>1003</v>
          </cell>
          <cell r="L356">
            <v>-6.34</v>
          </cell>
          <cell r="M356">
            <v>-7.69</v>
          </cell>
        </row>
        <row r="356">
          <cell r="O356" t="str">
            <v>0</v>
          </cell>
          <cell r="P356" t="str">
            <v>0.362,-5.65;1.743,-5.48;0.34,-7.68;-0.76,-5.24;-1.76,-5.89;</v>
          </cell>
          <cell r="Q356">
            <v>20000</v>
          </cell>
          <cell r="R356">
            <v>0</v>
          </cell>
          <cell r="S356" t="str">
            <v>1001+20;1002+25;907011+1;</v>
          </cell>
          <cell r="T356">
            <v>0</v>
          </cell>
        </row>
        <row r="357">
          <cell r="A357">
            <v>245</v>
          </cell>
          <cell r="B357" t="str">
            <v>副将</v>
          </cell>
          <cell r="C357" t="str">
            <v>2000107;1201253;1201254;1200556;1200557</v>
          </cell>
          <cell r="D357" t="str">
            <v>2000107;1201253;1201254;1200556;1200557;1200567</v>
          </cell>
          <cell r="E357" t="str">
            <v>2000107;1201253;1201254;1200556;1200557;1200567;1200568</v>
          </cell>
        </row>
        <row r="357">
          <cell r="G357">
            <v>0</v>
          </cell>
          <cell r="H357">
            <v>1</v>
          </cell>
          <cell r="I357">
            <v>1</v>
          </cell>
          <cell r="J357" t="b">
            <v>0</v>
          </cell>
          <cell r="K357">
            <v>1003</v>
          </cell>
          <cell r="L357">
            <v>-6.34</v>
          </cell>
          <cell r="M357">
            <v>-7.69</v>
          </cell>
        </row>
        <row r="357">
          <cell r="O357" t="str">
            <v>0</v>
          </cell>
          <cell r="P357" t="str">
            <v>0.362,-5.65;1.743,-5.48;0.34,-7.68;-0.76,-5.24;-1.76,-5.89;</v>
          </cell>
          <cell r="Q357">
            <v>20000</v>
          </cell>
          <cell r="R357">
            <v>0</v>
          </cell>
          <cell r="S357" t="str">
            <v>1001+20;1002+25;</v>
          </cell>
          <cell r="T357" t="str">
            <v>11900,1</v>
          </cell>
        </row>
        <row r="358">
          <cell r="A358">
            <v>246</v>
          </cell>
          <cell r="B358" t="str">
            <v>黑商</v>
          </cell>
          <cell r="C358" t="str">
            <v>2000108;2000109</v>
          </cell>
          <cell r="D358" t="str">
            <v>2000108;2000109;2000110</v>
          </cell>
          <cell r="E358" t="str">
            <v>2000108;2000109;2000110;2000111</v>
          </cell>
        </row>
        <row r="358">
          <cell r="G358">
            <v>0</v>
          </cell>
          <cell r="H358">
            <v>1</v>
          </cell>
          <cell r="I358">
            <v>1</v>
          </cell>
          <cell r="J358" t="b">
            <v>0</v>
          </cell>
          <cell r="K358">
            <v>1003</v>
          </cell>
          <cell r="L358">
            <v>-6.34</v>
          </cell>
          <cell r="M358">
            <v>-7.69</v>
          </cell>
        </row>
        <row r="358">
          <cell r="O358" t="str">
            <v>0</v>
          </cell>
          <cell r="P358" t="str">
            <v>0.362,-5.65;1.743,-5.48;0.34,-7.68;-0.76,-5.24;-1.76,-5.89;</v>
          </cell>
          <cell r="Q358">
            <v>20000</v>
          </cell>
          <cell r="R358">
            <v>0</v>
          </cell>
          <cell r="S358" t="str">
            <v>1001+20;1002+25;</v>
          </cell>
          <cell r="T358" t="str">
            <v>11900,1</v>
          </cell>
        </row>
        <row r="359">
          <cell r="A359">
            <v>247</v>
          </cell>
          <cell r="B359" t="str">
            <v>兵痞</v>
          </cell>
          <cell r="C359">
            <v>2000112</v>
          </cell>
          <cell r="D359">
            <v>2000112</v>
          </cell>
          <cell r="E359">
            <v>2000112</v>
          </cell>
        </row>
        <row r="359">
          <cell r="G359">
            <v>0</v>
          </cell>
          <cell r="H359">
            <v>1</v>
          </cell>
          <cell r="I359">
            <v>1</v>
          </cell>
          <cell r="J359" t="b">
            <v>0</v>
          </cell>
          <cell r="K359">
            <v>1003</v>
          </cell>
          <cell r="L359">
            <v>-6.34</v>
          </cell>
          <cell r="M359">
            <v>-7.69</v>
          </cell>
        </row>
        <row r="359">
          <cell r="O359" t="str">
            <v>0</v>
          </cell>
          <cell r="P359" t="str">
            <v>0.362,-5.65;1.743,-5.48;0.34,-7.68;-0.76,-5.24;-1.76,-5.89;</v>
          </cell>
          <cell r="Q359">
            <v>20000</v>
          </cell>
          <cell r="R359">
            <v>0</v>
          </cell>
          <cell r="S359" t="str">
            <v>1001+20;1002+25;907009+1;</v>
          </cell>
          <cell r="T359" t="str">
            <v>11900,1</v>
          </cell>
        </row>
        <row r="360">
          <cell r="A360">
            <v>248</v>
          </cell>
          <cell r="B360" t="str">
            <v>倭寇</v>
          </cell>
          <cell r="C360" t="str">
            <v>1500069;1500070;1500071</v>
          </cell>
          <cell r="D360" t="str">
            <v>1500069;1500070;1500071;1500072</v>
          </cell>
          <cell r="E360" t="str">
            <v>1500069;1500070;1500071;1500072;1500073</v>
          </cell>
        </row>
        <row r="360">
          <cell r="G360">
            <v>0</v>
          </cell>
          <cell r="H360">
            <v>1</v>
          </cell>
          <cell r="I360">
            <v>1</v>
          </cell>
          <cell r="J360" t="b">
            <v>0</v>
          </cell>
          <cell r="K360">
            <v>1003</v>
          </cell>
          <cell r="L360">
            <v>-6.34</v>
          </cell>
          <cell r="M360">
            <v>-7.69</v>
          </cell>
        </row>
        <row r="360">
          <cell r="O360" t="str">
            <v>0</v>
          </cell>
          <cell r="P360" t="str">
            <v>0.362,-5.65;1.743,-5.48;0.34,-7.68;-0.76,-5.24;-1.76,-5.89;</v>
          </cell>
          <cell r="Q360">
            <v>15000</v>
          </cell>
          <cell r="R360">
            <v>0</v>
          </cell>
          <cell r="S360" t="str">
            <v>1001+20;1002+25;</v>
          </cell>
          <cell r="T360" t="str">
            <v>11900,1</v>
          </cell>
        </row>
        <row r="361">
          <cell r="A361">
            <v>249</v>
          </cell>
          <cell r="B361" t="str">
            <v>项天奉</v>
          </cell>
          <cell r="C361">
            <v>1500074</v>
          </cell>
        </row>
        <row r="361">
          <cell r="G361">
            <v>0</v>
          </cell>
          <cell r="H361">
            <v>1</v>
          </cell>
          <cell r="I361">
            <v>1</v>
          </cell>
          <cell r="J361" t="b">
            <v>0</v>
          </cell>
          <cell r="K361">
            <v>1003</v>
          </cell>
          <cell r="L361">
            <v>-6.34</v>
          </cell>
          <cell r="M361">
            <v>-7.69</v>
          </cell>
        </row>
        <row r="361">
          <cell r="O361" t="str">
            <v>0</v>
          </cell>
          <cell r="P361" t="str">
            <v>0.362,-5.65;1.743,-5.48;0.34,-7.68;-0.76,-5.24;-1.76,-5.89;</v>
          </cell>
          <cell r="Q361">
            <v>15000</v>
          </cell>
          <cell r="R361">
            <v>0</v>
          </cell>
          <cell r="S361" t="str">
            <v>1001+20;1002+25;901002+1;</v>
          </cell>
          <cell r="T361" t="str">
            <v>11900,1</v>
          </cell>
        </row>
        <row r="362">
          <cell r="A362">
            <v>250</v>
          </cell>
          <cell r="B362" t="str">
            <v>海阁弟子</v>
          </cell>
          <cell r="C362" t="str">
            <v>1500075;1500076;1500077</v>
          </cell>
          <cell r="D362" t="str">
            <v>1500075;1500076;1500077;1500078</v>
          </cell>
          <cell r="E362" t="str">
            <v>1500075;1500076;1500077;1500078;1500011</v>
          </cell>
        </row>
        <row r="362">
          <cell r="G362">
            <v>0</v>
          </cell>
          <cell r="H362">
            <v>1</v>
          </cell>
          <cell r="I362">
            <v>1</v>
          </cell>
          <cell r="J362" t="b">
            <v>0</v>
          </cell>
          <cell r="K362">
            <v>1003</v>
          </cell>
          <cell r="L362">
            <v>-6.34</v>
          </cell>
          <cell r="M362">
            <v>-7.69</v>
          </cell>
        </row>
        <row r="362">
          <cell r="O362" t="str">
            <v>0</v>
          </cell>
          <cell r="P362" t="str">
            <v>0.362,-5.65;1.743,-5.48;0.34,-7.68;-0.76,-5.24;-1.76,-5.89;</v>
          </cell>
          <cell r="Q362">
            <v>15000</v>
          </cell>
          <cell r="R362">
            <v>0</v>
          </cell>
          <cell r="S362" t="str">
            <v>1001+20;1002+25;</v>
          </cell>
          <cell r="T362" t="str">
            <v>11900,1</v>
          </cell>
        </row>
        <row r="363">
          <cell r="A363">
            <v>251</v>
          </cell>
          <cell r="B363" t="str">
            <v>项天奉</v>
          </cell>
          <cell r="C363">
            <v>1500074</v>
          </cell>
        </row>
        <row r="363">
          <cell r="G363">
            <v>0</v>
          </cell>
          <cell r="H363">
            <v>1</v>
          </cell>
          <cell r="I363">
            <v>1</v>
          </cell>
          <cell r="J363" t="b">
            <v>0</v>
          </cell>
          <cell r="K363">
            <v>1003</v>
          </cell>
          <cell r="L363">
            <v>-6.34</v>
          </cell>
          <cell r="M363">
            <v>-7.69</v>
          </cell>
        </row>
        <row r="363">
          <cell r="O363" t="str">
            <v>0</v>
          </cell>
          <cell r="P363" t="str">
            <v>0.362,-5.65;1.743,-5.48;0.34,-7.68;-0.76,-5.24;-1.76,-5.89;</v>
          </cell>
          <cell r="Q363">
            <v>15000</v>
          </cell>
          <cell r="R363">
            <v>0</v>
          </cell>
          <cell r="S363" t="str">
            <v>1001+20;1002+25;</v>
          </cell>
          <cell r="T363" t="str">
            <v>11900,1</v>
          </cell>
        </row>
        <row r="364">
          <cell r="A364">
            <v>252</v>
          </cell>
          <cell r="B364" t="str">
            <v>项天奉</v>
          </cell>
          <cell r="C364">
            <v>1500074</v>
          </cell>
        </row>
        <row r="364">
          <cell r="G364">
            <v>0</v>
          </cell>
          <cell r="H364">
            <v>1</v>
          </cell>
          <cell r="I364">
            <v>1</v>
          </cell>
          <cell r="J364" t="b">
            <v>0</v>
          </cell>
          <cell r="K364">
            <v>1003</v>
          </cell>
          <cell r="L364">
            <v>-6.34</v>
          </cell>
          <cell r="M364">
            <v>-7.69</v>
          </cell>
        </row>
        <row r="364">
          <cell r="O364" t="str">
            <v>0</v>
          </cell>
          <cell r="P364" t="str">
            <v>0.362,-5.65;1.743,-5.48;0.34,-7.68;-0.76,-5.24;-1.76,-5.89;</v>
          </cell>
          <cell r="Q364">
            <v>15000</v>
          </cell>
          <cell r="R364">
            <v>0</v>
          </cell>
          <cell r="S364" t="str">
            <v>1001+20;1002+25;907011+1;</v>
          </cell>
          <cell r="T364" t="str">
            <v>11900,1</v>
          </cell>
        </row>
        <row r="365">
          <cell r="A365">
            <v>253</v>
          </cell>
          <cell r="B365" t="str">
            <v>倭寇</v>
          </cell>
          <cell r="C365" t="str">
            <v>1500069;1500070;1500071;1500072</v>
          </cell>
          <cell r="D365" t="str">
            <v>1500069;1500070;1500071;1500072;1500073</v>
          </cell>
          <cell r="E365" t="str">
            <v>1500069;1500070;1500071;1500072;1500073;1500013</v>
          </cell>
        </row>
        <row r="365">
          <cell r="G365">
            <v>1500012</v>
          </cell>
          <cell r="H365">
            <v>1</v>
          </cell>
          <cell r="I365">
            <v>1</v>
          </cell>
          <cell r="J365" t="b">
            <v>0</v>
          </cell>
          <cell r="K365">
            <v>1003</v>
          </cell>
          <cell r="L365">
            <v>-6.34</v>
          </cell>
          <cell r="M365">
            <v>-7.69</v>
          </cell>
        </row>
        <row r="365">
          <cell r="O365" t="str">
            <v>3.2,-7.2;</v>
          </cell>
          <cell r="P365" t="str">
            <v>0.362,-5.65;1.743,-5.48;0.34,-7.68;-0.76,-5.24;-1.76,-5.89;</v>
          </cell>
          <cell r="Q365">
            <v>15000</v>
          </cell>
          <cell r="R365">
            <v>0</v>
          </cell>
          <cell r="S365" t="str">
            <v>1001+20;1002+25;</v>
          </cell>
          <cell r="T365" t="str">
            <v>11900,1</v>
          </cell>
        </row>
        <row r="366">
          <cell r="A366">
            <v>254</v>
          </cell>
          <cell r="B366" t="str">
            <v>倭寇</v>
          </cell>
          <cell r="C366" t="str">
            <v>1500069;1500070;1500071;1500072</v>
          </cell>
          <cell r="D366" t="str">
            <v>1500069;1500070;1500071;1500072;1500073</v>
          </cell>
          <cell r="E366" t="str">
            <v>1500069;1500070;1500071;1500072;1500073;1500013</v>
          </cell>
        </row>
        <row r="366">
          <cell r="G366">
            <v>0</v>
          </cell>
          <cell r="H366">
            <v>1</v>
          </cell>
          <cell r="I366">
            <v>1</v>
          </cell>
          <cell r="J366" t="b">
            <v>0</v>
          </cell>
          <cell r="K366">
            <v>1003</v>
          </cell>
          <cell r="L366">
            <v>-6.34</v>
          </cell>
          <cell r="M366">
            <v>-7.69</v>
          </cell>
        </row>
        <row r="366">
          <cell r="O366" t="str">
            <v>0</v>
          </cell>
          <cell r="P366" t="str">
            <v>0.362,-5.65;1.743,-5.48;0.34,-7.68;-0.76,-5.24;-1.76,-5.89;</v>
          </cell>
          <cell r="Q366">
            <v>15000</v>
          </cell>
          <cell r="R366">
            <v>0</v>
          </cell>
          <cell r="S366" t="str">
            <v>1001+20;1002+25;</v>
          </cell>
          <cell r="T366" t="str">
            <v>11900,1</v>
          </cell>
        </row>
        <row r="367">
          <cell r="A367">
            <v>255</v>
          </cell>
          <cell r="B367" t="str">
            <v>倭寇</v>
          </cell>
          <cell r="C367" t="str">
            <v>1500069;1500070;1500071</v>
          </cell>
          <cell r="D367" t="str">
            <v>1500069;1500070;1500071;1500072</v>
          </cell>
          <cell r="E367" t="str">
            <v>1500069;1500070;1500071;1500072;1500073;1500013</v>
          </cell>
        </row>
        <row r="367">
          <cell r="G367">
            <v>0</v>
          </cell>
          <cell r="H367">
            <v>1</v>
          </cell>
          <cell r="I367">
            <v>1</v>
          </cell>
          <cell r="J367" t="b">
            <v>0</v>
          </cell>
          <cell r="K367">
            <v>1003</v>
          </cell>
          <cell r="L367">
            <v>-6.34</v>
          </cell>
          <cell r="M367">
            <v>-7.69</v>
          </cell>
        </row>
        <row r="367">
          <cell r="O367" t="str">
            <v>0</v>
          </cell>
          <cell r="P367" t="str">
            <v>0.362,-5.65;1.743,-5.48;0.34,-7.68;-0.76,-5.24;-1.76,-5.89;</v>
          </cell>
          <cell r="Q367">
            <v>15000</v>
          </cell>
          <cell r="R367">
            <v>0</v>
          </cell>
          <cell r="S367" t="str">
            <v>1001+20;1002+25;901102+1;</v>
          </cell>
          <cell r="T367" t="str">
            <v>11900,1</v>
          </cell>
        </row>
        <row r="368">
          <cell r="A368">
            <v>256</v>
          </cell>
          <cell r="B368" t="str">
            <v>倭寇头目</v>
          </cell>
          <cell r="C368">
            <v>1500014</v>
          </cell>
        </row>
        <row r="368">
          <cell r="G368">
            <v>0</v>
          </cell>
          <cell r="H368">
            <v>1</v>
          </cell>
          <cell r="I368">
            <v>1</v>
          </cell>
          <cell r="J368" t="b">
            <v>0</v>
          </cell>
          <cell r="K368">
            <v>1003</v>
          </cell>
          <cell r="L368">
            <v>-6.34</v>
          </cell>
          <cell r="M368">
            <v>-7.69</v>
          </cell>
        </row>
        <row r="368">
          <cell r="O368" t="str">
            <v>0</v>
          </cell>
          <cell r="P368" t="str">
            <v>0.362,-5.65;1.743,-5.48;0.34,-7.68;-0.76,-5.24;-1.76,-5.89;</v>
          </cell>
          <cell r="Q368">
            <v>15000</v>
          </cell>
          <cell r="R368">
            <v>0</v>
          </cell>
          <cell r="S368" t="str">
            <v>1001+20;1002+25;</v>
          </cell>
          <cell r="T368" t="str">
            <v>11900,1</v>
          </cell>
        </row>
        <row r="369">
          <cell r="A369">
            <v>257</v>
          </cell>
          <cell r="B369" t="str">
            <v>女倭寇</v>
          </cell>
          <cell r="C369">
            <v>1500015</v>
          </cell>
        </row>
        <row r="369">
          <cell r="G369">
            <v>0</v>
          </cell>
          <cell r="H369">
            <v>1</v>
          </cell>
          <cell r="I369">
            <v>1</v>
          </cell>
          <cell r="J369" t="b">
            <v>0</v>
          </cell>
          <cell r="K369">
            <v>1003</v>
          </cell>
          <cell r="L369">
            <v>-6.34</v>
          </cell>
          <cell r="M369">
            <v>-7.69</v>
          </cell>
        </row>
        <row r="369">
          <cell r="O369" t="str">
            <v>0</v>
          </cell>
          <cell r="P369" t="str">
            <v>0.362,-5.65;1.743,-5.48;0.34,-7.68;-0.76,-5.24;-1.76,-5.89;</v>
          </cell>
          <cell r="Q369">
            <v>15000</v>
          </cell>
          <cell r="R369">
            <v>0</v>
          </cell>
          <cell r="S369" t="str">
            <v>1001+20;1002+25;907010+1;</v>
          </cell>
          <cell r="T369" t="str">
            <v>11900,1</v>
          </cell>
        </row>
        <row r="370">
          <cell r="A370">
            <v>258</v>
          </cell>
          <cell r="B370" t="str">
            <v>倭寇</v>
          </cell>
          <cell r="C370" t="str">
            <v>1500069;1500070;1500071</v>
          </cell>
          <cell r="D370" t="str">
            <v>1500069;1500070;1500071;1500072</v>
          </cell>
          <cell r="E370" t="str">
            <v>1500069;1500070;1500071;1500072;1500073;1500013</v>
          </cell>
        </row>
        <row r="370">
          <cell r="G370">
            <v>1500016</v>
          </cell>
          <cell r="H370">
            <v>1</v>
          </cell>
          <cell r="I370">
            <v>1</v>
          </cell>
          <cell r="J370" t="b">
            <v>0</v>
          </cell>
          <cell r="K370">
            <v>1003</v>
          </cell>
          <cell r="L370">
            <v>-6.34</v>
          </cell>
          <cell r="M370">
            <v>-7.69</v>
          </cell>
        </row>
        <row r="370">
          <cell r="O370" t="str">
            <v>3.2,-7.2;</v>
          </cell>
          <cell r="P370" t="str">
            <v>0.362,-5.65;1.743,-5.48;0.34,-7.68;-0.76,-5.24;-1.76,-5.89;</v>
          </cell>
          <cell r="Q370">
            <v>15000</v>
          </cell>
          <cell r="R370">
            <v>0</v>
          </cell>
          <cell r="S370" t="str">
            <v>1001+20;1002+25;908031+1;</v>
          </cell>
          <cell r="T370" t="str">
            <v>11900,1</v>
          </cell>
        </row>
        <row r="371">
          <cell r="A371">
            <v>259</v>
          </cell>
          <cell r="B371" t="str">
            <v>倭寇</v>
          </cell>
          <cell r="C371" t="str">
            <v>1500069;1500070;1500071</v>
          </cell>
          <cell r="D371" t="str">
            <v>1500069;1500070;1500071;1500072</v>
          </cell>
          <cell r="E371" t="str">
            <v>1500069;1500070;1500071;1500072;1500073;1500013</v>
          </cell>
        </row>
        <row r="371">
          <cell r="G371">
            <v>1500016</v>
          </cell>
          <cell r="H371">
            <v>1</v>
          </cell>
          <cell r="I371">
            <v>1</v>
          </cell>
          <cell r="J371" t="b">
            <v>0</v>
          </cell>
          <cell r="K371">
            <v>1003</v>
          </cell>
          <cell r="L371">
            <v>-6.34</v>
          </cell>
          <cell r="M371">
            <v>-7.69</v>
          </cell>
        </row>
        <row r="371">
          <cell r="O371" t="str">
            <v>3.2,-7.2;</v>
          </cell>
          <cell r="P371" t="str">
            <v>0.362,-5.65;1.743,-5.48;0.34,-7.68;-0.76,-5.24;-1.76,-5.89;</v>
          </cell>
          <cell r="Q371">
            <v>15000</v>
          </cell>
          <cell r="R371">
            <v>0</v>
          </cell>
          <cell r="S371" t="str">
            <v>1001+20;1002+25;</v>
          </cell>
          <cell r="T371" t="str">
            <v>11900,1</v>
          </cell>
        </row>
        <row r="372">
          <cell r="A372">
            <v>260</v>
          </cell>
          <cell r="B372" t="str">
            <v>今川正人</v>
          </cell>
          <cell r="C372">
            <v>1500017</v>
          </cell>
        </row>
        <row r="372">
          <cell r="G372">
            <v>1500016</v>
          </cell>
          <cell r="H372">
            <v>1</v>
          </cell>
          <cell r="I372">
            <v>1</v>
          </cell>
          <cell r="J372" t="b">
            <v>0</v>
          </cell>
          <cell r="K372">
            <v>1003</v>
          </cell>
          <cell r="L372">
            <v>-6.34</v>
          </cell>
          <cell r="M372">
            <v>-7.69</v>
          </cell>
        </row>
        <row r="372">
          <cell r="O372" t="str">
            <v>3.2,-7.2;</v>
          </cell>
          <cell r="P372" t="str">
            <v>0.362,-5.65;1.743,-5.48;0.34,-7.68;-0.76,-5.24;-1.76,-5.89;</v>
          </cell>
          <cell r="Q372">
            <v>15000</v>
          </cell>
          <cell r="R372">
            <v>0</v>
          </cell>
          <cell r="S372" t="str">
            <v>1001+20;1002+25;</v>
          </cell>
          <cell r="T372" t="str">
            <v>11900,1</v>
          </cell>
        </row>
        <row r="373">
          <cell r="A373">
            <v>261</v>
          </cell>
          <cell r="B373" t="str">
            <v>江总旗</v>
          </cell>
          <cell r="C373" t="str">
            <v>1500018;1500019;1500020</v>
          </cell>
          <cell r="D373" t="str">
            <v>1500018;1500019;1500020;1500021</v>
          </cell>
          <cell r="E373" t="str">
            <v>1500018;1500019;1500020;1500021;1500022</v>
          </cell>
        </row>
        <row r="373">
          <cell r="G373">
            <v>0</v>
          </cell>
          <cell r="H373">
            <v>1</v>
          </cell>
          <cell r="I373">
            <v>1</v>
          </cell>
          <cell r="J373" t="b">
            <v>0</v>
          </cell>
          <cell r="K373">
            <v>1003</v>
          </cell>
          <cell r="L373">
            <v>-6.34</v>
          </cell>
          <cell r="M373">
            <v>-7.69</v>
          </cell>
        </row>
        <row r="373">
          <cell r="O373" t="str">
            <v>0</v>
          </cell>
          <cell r="P373" t="str">
            <v>0.362,-5.65;1.743,-5.48;0.34,-7.68;-0.76,-5.24;-1.76,-5.89;</v>
          </cell>
          <cell r="Q373">
            <v>15000</v>
          </cell>
          <cell r="R373">
            <v>0</v>
          </cell>
          <cell r="S373" t="str">
            <v>1001+20;1002+25;907009+1;</v>
          </cell>
          <cell r="T373" t="str">
            <v>11900,1</v>
          </cell>
        </row>
        <row r="374">
          <cell r="A374">
            <v>262</v>
          </cell>
          <cell r="B374" t="str">
            <v>倭寇</v>
          </cell>
          <cell r="C374" t="str">
            <v>1500069;1500070;1500071;1500072;1500073</v>
          </cell>
          <cell r="D374" t="str">
            <v>1500069;1500070;1500071;1500072;1500073;1500013</v>
          </cell>
          <cell r="E374" t="str">
            <v>1500069;1500070;1500071;1500072;1500073;1500013</v>
          </cell>
        </row>
        <row r="374">
          <cell r="G374">
            <v>1500023</v>
          </cell>
          <cell r="H374">
            <v>1</v>
          </cell>
          <cell r="I374">
            <v>1</v>
          </cell>
          <cell r="J374" t="b">
            <v>0</v>
          </cell>
          <cell r="K374">
            <v>1003</v>
          </cell>
          <cell r="L374">
            <v>-6.34</v>
          </cell>
          <cell r="M374">
            <v>-7.69</v>
          </cell>
        </row>
        <row r="374">
          <cell r="O374" t="str">
            <v>3.2,-7.2;</v>
          </cell>
          <cell r="P374" t="str">
            <v>0.362,-5.65;1.743,-5.48;0.34,-7.68;-0.76,-5.24;-1.76,-5.89;</v>
          </cell>
          <cell r="Q374">
            <v>15000</v>
          </cell>
          <cell r="R374">
            <v>0</v>
          </cell>
          <cell r="S374" t="str">
            <v>1001+20;1002+25;</v>
          </cell>
          <cell r="T374" t="str">
            <v>11900,1</v>
          </cell>
        </row>
        <row r="375">
          <cell r="A375">
            <v>263</v>
          </cell>
          <cell r="B375" t="str">
            <v>东海浪人</v>
          </cell>
          <cell r="C375" t="str">
            <v>1500024;1500025;1500026;1500027</v>
          </cell>
          <cell r="D375" t="str">
            <v>1500024;1500025;1500026;1500027;1500028</v>
          </cell>
          <cell r="E375" t="str">
            <v>1500024;1500025;1500026;1500027;1500028;1500029</v>
          </cell>
        </row>
        <row r="375">
          <cell r="G375">
            <v>0</v>
          </cell>
          <cell r="H375">
            <v>1</v>
          </cell>
          <cell r="I375">
            <v>1</v>
          </cell>
          <cell r="J375" t="b">
            <v>0</v>
          </cell>
          <cell r="K375">
            <v>1003</v>
          </cell>
          <cell r="L375">
            <v>-6.34</v>
          </cell>
          <cell r="M375">
            <v>-7.69</v>
          </cell>
        </row>
        <row r="375">
          <cell r="O375" t="str">
            <v>0</v>
          </cell>
          <cell r="P375" t="str">
            <v>0.362,-5.65;1.743,-5.48;0.34,-7.68;-0.76,-5.24;-1.76,-5.89;</v>
          </cell>
          <cell r="Q375">
            <v>15000</v>
          </cell>
          <cell r="R375">
            <v>0</v>
          </cell>
          <cell r="S375" t="str">
            <v>1001+20;1002+25;908031+1;</v>
          </cell>
          <cell r="T375" t="str">
            <v>11900,1</v>
          </cell>
        </row>
        <row r="376">
          <cell r="A376">
            <v>264</v>
          </cell>
          <cell r="B376" t="str">
            <v>张鹏山</v>
          </cell>
          <cell r="C376">
            <v>1500030</v>
          </cell>
        </row>
        <row r="376">
          <cell r="G376">
            <v>0</v>
          </cell>
          <cell r="H376">
            <v>1</v>
          </cell>
          <cell r="I376">
            <v>1</v>
          </cell>
          <cell r="J376" t="b">
            <v>0</v>
          </cell>
          <cell r="K376">
            <v>1003</v>
          </cell>
          <cell r="L376">
            <v>-6.34</v>
          </cell>
          <cell r="M376">
            <v>-7.69</v>
          </cell>
        </row>
        <row r="376">
          <cell r="O376" t="str">
            <v>0</v>
          </cell>
          <cell r="P376" t="str">
            <v>0.362,-5.65;1.743,-5.48;0.34,-7.68;-0.76,-5.24;-1.76,-5.89;</v>
          </cell>
          <cell r="Q376">
            <v>15000</v>
          </cell>
          <cell r="R376">
            <v>0</v>
          </cell>
          <cell r="S376" t="str">
            <v>1001+20;1002+25;</v>
          </cell>
          <cell r="T376" t="str">
            <v>11900,1</v>
          </cell>
        </row>
        <row r="377">
          <cell r="A377">
            <v>265</v>
          </cell>
          <cell r="B377" t="str">
            <v>张鹏山</v>
          </cell>
          <cell r="C377">
            <v>1500031</v>
          </cell>
        </row>
        <row r="377">
          <cell r="G377">
            <v>0</v>
          </cell>
          <cell r="H377">
            <v>1</v>
          </cell>
          <cell r="I377">
            <v>1</v>
          </cell>
          <cell r="J377" t="b">
            <v>0</v>
          </cell>
          <cell r="K377">
            <v>1003</v>
          </cell>
          <cell r="L377">
            <v>-6.34</v>
          </cell>
          <cell r="M377">
            <v>-7.69</v>
          </cell>
        </row>
        <row r="377">
          <cell r="O377" t="str">
            <v>0</v>
          </cell>
          <cell r="P377" t="str">
            <v>0.362,-5.65;1.743,-5.48;0.34,-7.68;-0.76,-5.24;-1.76,-5.89;</v>
          </cell>
          <cell r="Q377">
            <v>15000</v>
          </cell>
          <cell r="R377">
            <v>0</v>
          </cell>
          <cell r="S377" t="str">
            <v>1001+20;1002+25;901002+1;</v>
          </cell>
          <cell r="T377" t="str">
            <v>11900,1</v>
          </cell>
        </row>
        <row r="378">
          <cell r="A378">
            <v>266</v>
          </cell>
          <cell r="B378" t="str">
            <v>张鹏山</v>
          </cell>
          <cell r="C378">
            <v>1500032</v>
          </cell>
        </row>
        <row r="378">
          <cell r="G378">
            <v>0</v>
          </cell>
          <cell r="H378">
            <v>1</v>
          </cell>
          <cell r="I378">
            <v>1</v>
          </cell>
          <cell r="J378" t="b">
            <v>0</v>
          </cell>
          <cell r="K378">
            <v>1003</v>
          </cell>
          <cell r="L378">
            <v>-6.34</v>
          </cell>
          <cell r="M378">
            <v>-7.69</v>
          </cell>
        </row>
        <row r="378">
          <cell r="O378" t="str">
            <v>0</v>
          </cell>
          <cell r="P378" t="str">
            <v>0.362,-5.65;1.743,-5.48;0.34,-7.68;-0.76,-5.24;-1.76,-5.89;</v>
          </cell>
          <cell r="Q378">
            <v>15000</v>
          </cell>
          <cell r="R378">
            <v>0</v>
          </cell>
          <cell r="S378" t="str">
            <v>1001+20;1002+25;</v>
          </cell>
          <cell r="T378" t="str">
            <v>11900,1</v>
          </cell>
        </row>
        <row r="379">
          <cell r="A379">
            <v>267</v>
          </cell>
          <cell r="B379" t="str">
            <v>出云直树</v>
          </cell>
          <cell r="C379">
            <v>1500033</v>
          </cell>
        </row>
        <row r="379">
          <cell r="G379">
            <v>0</v>
          </cell>
          <cell r="H379">
            <v>1</v>
          </cell>
          <cell r="I379">
            <v>1</v>
          </cell>
          <cell r="J379" t="b">
            <v>0</v>
          </cell>
          <cell r="K379">
            <v>1003</v>
          </cell>
          <cell r="L379">
            <v>-6.34</v>
          </cell>
          <cell r="M379">
            <v>-7.69</v>
          </cell>
        </row>
        <row r="379">
          <cell r="O379" t="str">
            <v>0</v>
          </cell>
          <cell r="P379" t="str">
            <v>0.362,-5.65;1.743,-5.48;0.34,-7.68;-0.76,-5.24;-1.76,-5.89;</v>
          </cell>
          <cell r="Q379">
            <v>15000</v>
          </cell>
          <cell r="R379">
            <v>0</v>
          </cell>
          <cell r="S379" t="str">
            <v>1001+20;1002+25;907012+1;</v>
          </cell>
          <cell r="T379" t="str">
            <v>11900,1</v>
          </cell>
        </row>
        <row r="380">
          <cell r="A380">
            <v>268</v>
          </cell>
          <cell r="B380" t="str">
            <v>出云直树</v>
          </cell>
          <cell r="C380">
            <v>1500034</v>
          </cell>
        </row>
        <row r="380">
          <cell r="G380">
            <v>0</v>
          </cell>
          <cell r="H380">
            <v>1</v>
          </cell>
          <cell r="I380">
            <v>1</v>
          </cell>
          <cell r="J380" t="b">
            <v>0</v>
          </cell>
          <cell r="K380">
            <v>1003</v>
          </cell>
          <cell r="L380">
            <v>-6.34</v>
          </cell>
          <cell r="M380">
            <v>-7.69</v>
          </cell>
        </row>
        <row r="380">
          <cell r="O380" t="str">
            <v>0</v>
          </cell>
          <cell r="P380" t="str">
            <v>0.362,-5.65;1.743,-5.48;0.34,-7.68;-0.76,-5.24;-1.76,-5.89;</v>
          </cell>
          <cell r="Q380">
            <v>15000</v>
          </cell>
          <cell r="R380">
            <v>0</v>
          </cell>
          <cell r="S380" t="str">
            <v>1001+20;1002+25;</v>
          </cell>
          <cell r="T380" t="str">
            <v>11900,1</v>
          </cell>
        </row>
        <row r="381">
          <cell r="A381">
            <v>269</v>
          </cell>
          <cell r="B381" t="str">
            <v>唐恕</v>
          </cell>
          <cell r="C381">
            <v>1500035</v>
          </cell>
        </row>
        <row r="381">
          <cell r="G381">
            <v>0</v>
          </cell>
          <cell r="H381">
            <v>1</v>
          </cell>
          <cell r="I381">
            <v>1</v>
          </cell>
          <cell r="J381" t="b">
            <v>0</v>
          </cell>
          <cell r="K381">
            <v>1003</v>
          </cell>
          <cell r="L381">
            <v>-6.34</v>
          </cell>
          <cell r="M381">
            <v>-7.69</v>
          </cell>
        </row>
        <row r="381">
          <cell r="O381" t="str">
            <v>0</v>
          </cell>
          <cell r="P381" t="str">
            <v>0.362,-5.65;1.743,-5.48;0.34,-7.68;-0.76,-5.24;-1.76,-5.89;</v>
          </cell>
          <cell r="Q381">
            <v>15000</v>
          </cell>
          <cell r="R381">
            <v>0</v>
          </cell>
          <cell r="S381" t="str">
            <v>1001+20;1002+25;</v>
          </cell>
          <cell r="T381" t="str">
            <v>11900,1</v>
          </cell>
        </row>
        <row r="382">
          <cell r="A382">
            <v>270</v>
          </cell>
          <cell r="B382" t="str">
            <v>唐恕</v>
          </cell>
          <cell r="C382">
            <v>1500036</v>
          </cell>
        </row>
        <row r="382">
          <cell r="G382">
            <v>0</v>
          </cell>
          <cell r="H382">
            <v>1</v>
          </cell>
          <cell r="I382">
            <v>1</v>
          </cell>
          <cell r="J382" t="b">
            <v>0</v>
          </cell>
          <cell r="K382">
            <v>1003</v>
          </cell>
          <cell r="L382">
            <v>-6.34</v>
          </cell>
          <cell r="M382">
            <v>-7.69</v>
          </cell>
        </row>
        <row r="382">
          <cell r="O382" t="str">
            <v>0</v>
          </cell>
          <cell r="P382" t="str">
            <v>0.362,-5.65;1.743,-5.48;0.34,-7.68;-0.76,-5.24;-1.76,-5.89;</v>
          </cell>
          <cell r="Q382">
            <v>15000</v>
          </cell>
          <cell r="R382">
            <v>0</v>
          </cell>
          <cell r="S382" t="str">
            <v>1001+20;1002+25;907011+1;</v>
          </cell>
          <cell r="T382" t="str">
            <v>11900,1</v>
          </cell>
        </row>
        <row r="383">
          <cell r="A383">
            <v>271</v>
          </cell>
          <cell r="B383" t="str">
            <v>出云直树</v>
          </cell>
          <cell r="C383" t="str">
            <v>1500037;1500039</v>
          </cell>
          <cell r="D383" t="str">
            <v>1500037;1500039;1500040</v>
          </cell>
          <cell r="E383" t="str">
            <v>1500037;1500039;1500040;1500041</v>
          </cell>
        </row>
        <row r="383">
          <cell r="G383">
            <v>1500038</v>
          </cell>
          <cell r="H383">
            <v>1</v>
          </cell>
          <cell r="I383">
            <v>1</v>
          </cell>
          <cell r="J383" t="b">
            <v>0</v>
          </cell>
          <cell r="K383">
            <v>1003</v>
          </cell>
          <cell r="L383">
            <v>-6.34</v>
          </cell>
          <cell r="M383">
            <v>-7.69</v>
          </cell>
        </row>
        <row r="383">
          <cell r="O383" t="str">
            <v>3.2,-7.2;</v>
          </cell>
          <cell r="P383" t="str">
            <v>0.362,-5.65;1.743,-5.48;0.34,-7.68;-0.76,-5.24;-1.76,-5.89;</v>
          </cell>
          <cell r="Q383">
            <v>15000</v>
          </cell>
          <cell r="R383">
            <v>0</v>
          </cell>
          <cell r="S383" t="str">
            <v>1001+20;1002+25;</v>
          </cell>
          <cell r="T383" t="str">
            <v>11900,1</v>
          </cell>
        </row>
        <row r="384">
          <cell r="A384">
            <v>272</v>
          </cell>
          <cell r="B384" t="str">
            <v>武师护卫</v>
          </cell>
          <cell r="C384" t="str">
            <v>1500042;1500043;1500044;1500045</v>
          </cell>
          <cell r="D384" t="str">
            <v>1500042;1500043;1500044;1500045;1500046</v>
          </cell>
          <cell r="E384" t="str">
            <v>1500042;1500043;1500044;1500045;1500046;1500047</v>
          </cell>
        </row>
        <row r="384">
          <cell r="G384">
            <v>0</v>
          </cell>
          <cell r="H384">
            <v>1</v>
          </cell>
          <cell r="I384">
            <v>1</v>
          </cell>
          <cell r="J384" t="b">
            <v>0</v>
          </cell>
          <cell r="K384">
            <v>1003</v>
          </cell>
          <cell r="L384">
            <v>-6.34</v>
          </cell>
          <cell r="M384">
            <v>-7.69</v>
          </cell>
        </row>
        <row r="384">
          <cell r="O384" t="str">
            <v>0</v>
          </cell>
          <cell r="P384" t="str">
            <v>0.362,-5.65;1.743,-5.48;0.34,-7.68;-0.76,-5.24;-1.76,-5.89;</v>
          </cell>
          <cell r="Q384">
            <v>15000</v>
          </cell>
          <cell r="R384">
            <v>0</v>
          </cell>
          <cell r="S384" t="str">
            <v>1001+20;1002+25;</v>
          </cell>
          <cell r="T384" t="str">
            <v>11900,1</v>
          </cell>
        </row>
        <row r="385">
          <cell r="A385">
            <v>273</v>
          </cell>
          <cell r="B385" t="str">
            <v>苏鹤子</v>
          </cell>
          <cell r="C385">
            <v>1500048</v>
          </cell>
        </row>
        <row r="385">
          <cell r="G385">
            <v>0</v>
          </cell>
          <cell r="H385">
            <v>1</v>
          </cell>
          <cell r="I385">
            <v>1</v>
          </cell>
          <cell r="J385" t="b">
            <v>0</v>
          </cell>
          <cell r="K385">
            <v>1003</v>
          </cell>
          <cell r="L385">
            <v>-6.34</v>
          </cell>
          <cell r="M385">
            <v>-7.69</v>
          </cell>
        </row>
        <row r="385">
          <cell r="O385" t="str">
            <v>0</v>
          </cell>
          <cell r="P385" t="str">
            <v>0.362,-5.65;1.743,-5.48;0.34,-7.68;-0.76,-5.24;-1.76,-5.89;</v>
          </cell>
          <cell r="Q385">
            <v>15000</v>
          </cell>
          <cell r="R385">
            <v>0</v>
          </cell>
          <cell r="S385" t="str">
            <v>1001+20;1002+25;907009+1;</v>
          </cell>
          <cell r="T385" t="str">
            <v>11900,1</v>
          </cell>
        </row>
        <row r="386">
          <cell r="A386">
            <v>274</v>
          </cell>
          <cell r="B386" t="str">
            <v>倭寇头目</v>
          </cell>
          <cell r="C386" t="str">
            <v>1500049;1500070;1500071</v>
          </cell>
          <cell r="D386" t="str">
            <v>1500049;1500070;1500071;1500072</v>
          </cell>
          <cell r="E386" t="str">
            <v>1500049;1500070;1500071;1500072;1500073</v>
          </cell>
        </row>
        <row r="386">
          <cell r="G386">
            <v>1500048</v>
          </cell>
          <cell r="H386">
            <v>1</v>
          </cell>
          <cell r="I386">
            <v>1</v>
          </cell>
          <cell r="J386" t="b">
            <v>0</v>
          </cell>
          <cell r="K386">
            <v>1003</v>
          </cell>
          <cell r="L386">
            <v>-6.34</v>
          </cell>
          <cell r="M386">
            <v>-7.69</v>
          </cell>
        </row>
        <row r="386">
          <cell r="O386" t="str">
            <v>3.2,-7.2;</v>
          </cell>
          <cell r="P386" t="str">
            <v>0.362,-5.65;1.743,-5.48;0.34,-7.68;-0.76,-5.24;-1.76,-5.89;</v>
          </cell>
          <cell r="Q386">
            <v>15000</v>
          </cell>
          <cell r="R386">
            <v>0</v>
          </cell>
          <cell r="S386" t="str">
            <v>1001+20;1002+25;</v>
          </cell>
          <cell r="T386" t="str">
            <v>11900,1</v>
          </cell>
        </row>
        <row r="387">
          <cell r="A387">
            <v>275</v>
          </cell>
          <cell r="B387" t="str">
            <v>护院打手</v>
          </cell>
          <cell r="C387" t="str">
            <v>1500050;1500051;1500052</v>
          </cell>
          <cell r="D387" t="str">
            <v>1500050;1500051;1500052;1500053</v>
          </cell>
          <cell r="E387" t="str">
            <v>1500050;1500051;1500052;1500053;1500054</v>
          </cell>
        </row>
        <row r="387">
          <cell r="G387">
            <v>0</v>
          </cell>
          <cell r="H387">
            <v>1</v>
          </cell>
          <cell r="I387">
            <v>1</v>
          </cell>
          <cell r="J387" t="b">
            <v>0</v>
          </cell>
          <cell r="K387">
            <v>1003</v>
          </cell>
          <cell r="L387">
            <v>-6.34</v>
          </cell>
          <cell r="M387">
            <v>-7.69</v>
          </cell>
        </row>
        <row r="387">
          <cell r="O387" t="str">
            <v>0</v>
          </cell>
          <cell r="P387" t="str">
            <v>0.362,-5.65;1.743,-5.48;0.34,-7.68;-0.76,-5.24;-1.76,-5.89;</v>
          </cell>
          <cell r="Q387">
            <v>15000</v>
          </cell>
          <cell r="R387">
            <v>0</v>
          </cell>
          <cell r="S387" t="str">
            <v>1001+20;1002+25;901002+1;</v>
          </cell>
          <cell r="T387" t="str">
            <v>11900,1</v>
          </cell>
        </row>
        <row r="388">
          <cell r="A388">
            <v>276</v>
          </cell>
          <cell r="B388" t="str">
            <v>黑贩船工</v>
          </cell>
          <cell r="C388" t="str">
            <v>1500055;1500056;1500057</v>
          </cell>
          <cell r="D388" t="str">
            <v>1500055;1500056;1500057;1500058</v>
          </cell>
          <cell r="E388" t="str">
            <v>1500055;1500056;1500057;1500058;1500059</v>
          </cell>
        </row>
        <row r="388">
          <cell r="G388">
            <v>0</v>
          </cell>
          <cell r="H388">
            <v>1</v>
          </cell>
          <cell r="I388">
            <v>1</v>
          </cell>
          <cell r="J388" t="b">
            <v>0</v>
          </cell>
          <cell r="K388">
            <v>1003</v>
          </cell>
          <cell r="L388">
            <v>-6.34</v>
          </cell>
          <cell r="M388">
            <v>-7.69</v>
          </cell>
        </row>
        <row r="388">
          <cell r="O388" t="str">
            <v>0</v>
          </cell>
          <cell r="P388" t="str">
            <v>0.362,-5.65;1.743,-5.48;0.34,-7.68;-0.76,-5.24;-1.76,-5.89;</v>
          </cell>
          <cell r="Q388">
            <v>15000</v>
          </cell>
          <cell r="R388">
            <v>0</v>
          </cell>
          <cell r="S388" t="str">
            <v>1001+20;1002+25;</v>
          </cell>
          <cell r="T388" t="str">
            <v>11900,1</v>
          </cell>
        </row>
        <row r="389">
          <cell r="A389">
            <v>277</v>
          </cell>
          <cell r="B389" t="str">
            <v>黑贩船工</v>
          </cell>
          <cell r="C389" t="str">
            <v>1500055;1500056;1500057</v>
          </cell>
          <cell r="D389" t="str">
            <v>1500055;1500056;1500057;1500058</v>
          </cell>
          <cell r="E389" t="str">
            <v>1500055;1500056;1500057;1500058;1500059</v>
          </cell>
        </row>
        <row r="389">
          <cell r="G389">
            <v>0</v>
          </cell>
          <cell r="H389">
            <v>1</v>
          </cell>
          <cell r="I389">
            <v>1</v>
          </cell>
          <cell r="J389" t="b">
            <v>0</v>
          </cell>
          <cell r="K389">
            <v>1003</v>
          </cell>
          <cell r="L389">
            <v>-6.34</v>
          </cell>
          <cell r="M389">
            <v>-7.69</v>
          </cell>
        </row>
        <row r="389">
          <cell r="O389" t="str">
            <v>0</v>
          </cell>
          <cell r="P389" t="str">
            <v>0.362,-5.65;1.743,-5.48;0.34,-7.68;-0.76,-5.24;-1.76,-5.89;</v>
          </cell>
          <cell r="Q389">
            <v>15000</v>
          </cell>
          <cell r="R389">
            <v>0</v>
          </cell>
          <cell r="S389" t="str">
            <v>1001+20;1002+25;</v>
          </cell>
          <cell r="T389" t="str">
            <v>11900,1</v>
          </cell>
        </row>
        <row r="390">
          <cell r="A390">
            <v>278</v>
          </cell>
          <cell r="B390" t="str">
            <v>黑贩船工</v>
          </cell>
          <cell r="C390" t="str">
            <v>1500055;1500056;1500057;1500058</v>
          </cell>
          <cell r="D390" t="str">
            <v>1500055;1500056;1500057;1500058;1500059</v>
          </cell>
          <cell r="E390" t="str">
            <v>1500055;1500056;1500057;1500058;1500059;1500060</v>
          </cell>
        </row>
        <row r="390">
          <cell r="G390">
            <v>0</v>
          </cell>
          <cell r="H390">
            <v>1</v>
          </cell>
          <cell r="I390">
            <v>1</v>
          </cell>
          <cell r="J390" t="b">
            <v>0</v>
          </cell>
          <cell r="K390">
            <v>1003</v>
          </cell>
          <cell r="L390">
            <v>-6.34</v>
          </cell>
          <cell r="M390">
            <v>-7.69</v>
          </cell>
        </row>
        <row r="390">
          <cell r="O390" t="str">
            <v>0</v>
          </cell>
          <cell r="P390" t="str">
            <v>0.362,-5.65;1.743,-5.48;0.34,-7.68;-0.76,-5.24;-1.76,-5.89;</v>
          </cell>
          <cell r="Q390">
            <v>15000</v>
          </cell>
          <cell r="R390">
            <v>0</v>
          </cell>
          <cell r="S390" t="str">
            <v>1001+20;1002+25;907011+1;</v>
          </cell>
          <cell r="T390" t="str">
            <v>11900,1</v>
          </cell>
        </row>
        <row r="391">
          <cell r="A391">
            <v>279</v>
          </cell>
          <cell r="B391" t="str">
            <v>倭人武士</v>
          </cell>
          <cell r="C391" t="str">
            <v>1500061;1500062;1500067;1500068</v>
          </cell>
          <cell r="D391" t="str">
            <v>1500061;1500062;1500067;1500068;1500063</v>
          </cell>
          <cell r="E391" t="str">
            <v>1500061;1500062;1500067;1500068;1500063;1500064</v>
          </cell>
        </row>
        <row r="391">
          <cell r="G391">
            <v>0</v>
          </cell>
          <cell r="H391">
            <v>1</v>
          </cell>
          <cell r="I391">
            <v>1</v>
          </cell>
          <cell r="J391" t="b">
            <v>0</v>
          </cell>
          <cell r="K391">
            <v>1003</v>
          </cell>
          <cell r="L391">
            <v>-6.34</v>
          </cell>
          <cell r="M391">
            <v>-7.69</v>
          </cell>
        </row>
        <row r="391">
          <cell r="O391" t="str">
            <v>0</v>
          </cell>
          <cell r="P391" t="str">
            <v>0.362,-5.65;1.743,-5.48;0.34,-7.68;-0.76,-5.24;-1.76,-5.89;</v>
          </cell>
          <cell r="Q391">
            <v>15000</v>
          </cell>
          <cell r="R391">
            <v>0</v>
          </cell>
          <cell r="S391" t="str">
            <v>1001+20;1002+25;</v>
          </cell>
          <cell r="T391" t="str">
            <v>11900,1</v>
          </cell>
        </row>
        <row r="392">
          <cell r="A392">
            <v>280</v>
          </cell>
          <cell r="B392" t="str">
            <v>倭人武士</v>
          </cell>
          <cell r="C392" t="str">
            <v>1500061;1500062;1500063;1500064;1500065</v>
          </cell>
          <cell r="D392" t="str">
            <v>1500061;1500062;1500063;1500064;1500065;1500066</v>
          </cell>
          <cell r="E392" t="str">
            <v>1500061;1500062;1500063;1500064;1500065;1500066</v>
          </cell>
        </row>
        <row r="392">
          <cell r="G392">
            <v>1501152</v>
          </cell>
          <cell r="H392">
            <v>1</v>
          </cell>
          <cell r="I392">
            <v>1</v>
          </cell>
          <cell r="J392" t="b">
            <v>0</v>
          </cell>
          <cell r="K392">
            <v>1003</v>
          </cell>
          <cell r="L392">
            <v>-6.34</v>
          </cell>
          <cell r="M392">
            <v>-7.69</v>
          </cell>
        </row>
        <row r="392">
          <cell r="O392" t="str">
            <v>0</v>
          </cell>
          <cell r="P392" t="str">
            <v>0.362,-5.65;1.743,-5.48;0.34,-7.68;-0.76,-5.24;-1.76,-5.89;</v>
          </cell>
          <cell r="Q392">
            <v>15000</v>
          </cell>
          <cell r="R392">
            <v>0</v>
          </cell>
          <cell r="S392" t="str">
            <v>1001+20;1002+25;908031+1;</v>
          </cell>
          <cell r="T392" t="str">
            <v>11900,1</v>
          </cell>
        </row>
        <row r="393">
          <cell r="A393">
            <v>281</v>
          </cell>
          <cell r="B393" t="str">
            <v>倭国武士</v>
          </cell>
          <cell r="C393" t="str">
            <v>1200674;1200675</v>
          </cell>
          <cell r="D393" t="str">
            <v>1200674;1200675;1200676</v>
          </cell>
          <cell r="E393" t="str">
            <v>1200674;1200675;1200676;1200677</v>
          </cell>
        </row>
        <row r="393">
          <cell r="G393">
            <v>0</v>
          </cell>
          <cell r="H393">
            <v>1</v>
          </cell>
          <cell r="I393">
            <v>1</v>
          </cell>
          <cell r="J393" t="b">
            <v>0</v>
          </cell>
          <cell r="K393">
            <v>1003</v>
          </cell>
          <cell r="L393">
            <v>-6.34</v>
          </cell>
          <cell r="M393">
            <v>-7.69</v>
          </cell>
        </row>
        <row r="393">
          <cell r="O393" t="str">
            <v>0</v>
          </cell>
          <cell r="P393" t="str">
            <v>0.362,-5.65;1.743,-5.48;0.34,-7.68;-0.76,-5.24;-1.76,-5.89;</v>
          </cell>
          <cell r="Q393">
            <v>19000</v>
          </cell>
          <cell r="R393">
            <v>0</v>
          </cell>
          <cell r="S393" t="str">
            <v>1001+30;1002+35;</v>
          </cell>
          <cell r="T393">
            <v>0</v>
          </cell>
        </row>
        <row r="394">
          <cell r="A394">
            <v>282</v>
          </cell>
          <cell r="B394" t="str">
            <v>倭国武士</v>
          </cell>
          <cell r="C394" t="str">
            <v>1200678;1200679;1200680</v>
          </cell>
          <cell r="D394" t="str">
            <v>1200678;1200679;1200680;1200681</v>
          </cell>
          <cell r="E394" t="str">
            <v>1200678;1200679;1200680;1200681;1200682</v>
          </cell>
        </row>
        <row r="394">
          <cell r="G394">
            <v>0</v>
          </cell>
          <cell r="H394">
            <v>1</v>
          </cell>
          <cell r="I394">
            <v>1</v>
          </cell>
          <cell r="J394" t="b">
            <v>0</v>
          </cell>
          <cell r="K394">
            <v>1003</v>
          </cell>
          <cell r="L394">
            <v>-6.34</v>
          </cell>
          <cell r="M394">
            <v>-7.69</v>
          </cell>
        </row>
        <row r="394">
          <cell r="O394" t="str">
            <v>0</v>
          </cell>
          <cell r="P394" t="str">
            <v>0.362,-5.65;1.743,-5.48;0.34,-7.68;-0.76,-5.24;-1.76,-5.89;</v>
          </cell>
          <cell r="Q394">
            <v>19000</v>
          </cell>
          <cell r="R394">
            <v>0</v>
          </cell>
          <cell r="S394" t="str">
            <v>1001+30;1002+35;</v>
          </cell>
          <cell r="T394">
            <v>0</v>
          </cell>
        </row>
        <row r="395">
          <cell r="A395">
            <v>283</v>
          </cell>
          <cell r="B395" t="str">
            <v>倭国武士</v>
          </cell>
          <cell r="C395" t="str">
            <v>1200683;1200684;1200685</v>
          </cell>
          <cell r="D395" t="str">
            <v>1200683;1200684;1200685;1200686</v>
          </cell>
          <cell r="E395" t="str">
            <v>1200683;1200684;1200685;1200686;1200687</v>
          </cell>
        </row>
        <row r="395">
          <cell r="G395">
            <v>0</v>
          </cell>
          <cell r="H395">
            <v>1</v>
          </cell>
          <cell r="I395">
            <v>1</v>
          </cell>
          <cell r="J395" t="b">
            <v>0</v>
          </cell>
          <cell r="K395">
            <v>1003</v>
          </cell>
          <cell r="L395">
            <v>-6.34</v>
          </cell>
          <cell r="M395">
            <v>-7.69</v>
          </cell>
        </row>
        <row r="395">
          <cell r="O395" t="str">
            <v>0</v>
          </cell>
          <cell r="P395" t="str">
            <v>0.362,-5.65;1.743,-5.48;0.34,-7.68;-0.76,-5.24;-1.76,-5.89;</v>
          </cell>
          <cell r="Q395">
            <v>19000</v>
          </cell>
          <cell r="R395">
            <v>0</v>
          </cell>
          <cell r="S395" t="str">
            <v>1001+30;1002+35;</v>
          </cell>
          <cell r="T395" t="str">
            <v>11900,1</v>
          </cell>
        </row>
        <row r="396">
          <cell r="A396">
            <v>284</v>
          </cell>
          <cell r="B396" t="str">
            <v>倭寇</v>
          </cell>
          <cell r="C396" t="str">
            <v>1200688;1200689</v>
          </cell>
          <cell r="D396" t="str">
            <v>1200688;1200689;1200690</v>
          </cell>
          <cell r="E396" t="str">
            <v>1200688;1200689;1200690;1200691</v>
          </cell>
        </row>
        <row r="396">
          <cell r="G396">
            <v>0</v>
          </cell>
          <cell r="H396">
            <v>1</v>
          </cell>
          <cell r="I396">
            <v>1</v>
          </cell>
          <cell r="J396" t="b">
            <v>0</v>
          </cell>
          <cell r="K396">
            <v>1003</v>
          </cell>
          <cell r="L396">
            <v>-6.34</v>
          </cell>
          <cell r="M396">
            <v>-7.69</v>
          </cell>
        </row>
        <row r="396">
          <cell r="O396" t="str">
            <v>0</v>
          </cell>
          <cell r="P396" t="str">
            <v>0.362,-5.65;1.743,-5.48;0.34,-7.68;-0.76,-5.24;-1.76,-5.89;</v>
          </cell>
          <cell r="Q396">
            <v>19000</v>
          </cell>
          <cell r="R396">
            <v>0</v>
          </cell>
          <cell r="S396" t="str">
            <v>1001+30;1002+35;</v>
          </cell>
          <cell r="T396" t="str">
            <v>11900,1</v>
          </cell>
        </row>
        <row r="397">
          <cell r="A397">
            <v>285</v>
          </cell>
          <cell r="B397" t="str">
            <v>今川留</v>
          </cell>
          <cell r="C397" t="str">
            <v>1200692;1200694;1200695</v>
          </cell>
          <cell r="D397" t="str">
            <v>1200692;1200694;1200695;1200696</v>
          </cell>
          <cell r="E397" t="str">
            <v>1200692;1200694;1200695;1200696;1200697</v>
          </cell>
        </row>
        <row r="397">
          <cell r="G397">
            <v>0</v>
          </cell>
          <cell r="H397">
            <v>1</v>
          </cell>
          <cell r="I397">
            <v>1</v>
          </cell>
          <cell r="J397" t="b">
            <v>0</v>
          </cell>
          <cell r="K397">
            <v>1003</v>
          </cell>
          <cell r="L397">
            <v>-6.34</v>
          </cell>
          <cell r="M397">
            <v>-7.69</v>
          </cell>
        </row>
        <row r="397">
          <cell r="O397" t="str">
            <v>0</v>
          </cell>
          <cell r="P397" t="str">
            <v>0.362,-5.65;1.743,-5.48;0.34,-7.68;-0.76,-5.24;-1.76,-5.89;</v>
          </cell>
          <cell r="Q397">
            <v>19000</v>
          </cell>
          <cell r="R397">
            <v>0</v>
          </cell>
          <cell r="S397" t="str">
            <v>1001+30;1002+35;</v>
          </cell>
          <cell r="T397" t="str">
            <v>11900,1</v>
          </cell>
        </row>
        <row r="398">
          <cell r="A398">
            <v>286</v>
          </cell>
          <cell r="B398" t="str">
            <v>今川留</v>
          </cell>
          <cell r="C398">
            <v>1200693</v>
          </cell>
        </row>
        <row r="398">
          <cell r="G398">
            <v>0</v>
          </cell>
          <cell r="H398">
            <v>1</v>
          </cell>
          <cell r="I398">
            <v>1</v>
          </cell>
          <cell r="J398" t="b">
            <v>0</v>
          </cell>
          <cell r="K398">
            <v>1003</v>
          </cell>
          <cell r="L398">
            <v>-6.34</v>
          </cell>
          <cell r="M398">
            <v>-7.69</v>
          </cell>
        </row>
        <row r="398">
          <cell r="O398" t="str">
            <v>0</v>
          </cell>
          <cell r="P398" t="str">
            <v>0.362,-5.65;1.743,-5.48;0.34,-7.68;-0.76,-5.24;-1.76,-5.89;</v>
          </cell>
          <cell r="Q398">
            <v>19000</v>
          </cell>
          <cell r="R398">
            <v>0</v>
          </cell>
          <cell r="S398" t="str">
            <v>1001+30;1002+35;</v>
          </cell>
          <cell r="T398" t="str">
            <v>11900,1</v>
          </cell>
        </row>
        <row r="399">
          <cell r="A399">
            <v>287</v>
          </cell>
          <cell r="B399" t="str">
            <v>倭寇</v>
          </cell>
          <cell r="C399" t="str">
            <v>1200698;1200699;1200700</v>
          </cell>
          <cell r="D399" t="str">
            <v>1200698;1200699;1200700;1200701</v>
          </cell>
          <cell r="E399" t="str">
            <v>1200698;1200699;1200700;1200701;1200702</v>
          </cell>
        </row>
        <row r="399">
          <cell r="G399">
            <v>0</v>
          </cell>
          <cell r="H399">
            <v>1</v>
          </cell>
          <cell r="I399">
            <v>1</v>
          </cell>
          <cell r="J399" t="b">
            <v>0</v>
          </cell>
          <cell r="K399">
            <v>1003</v>
          </cell>
          <cell r="L399">
            <v>-6.34</v>
          </cell>
          <cell r="M399">
            <v>-7.69</v>
          </cell>
        </row>
        <row r="399">
          <cell r="O399" t="str">
            <v>0</v>
          </cell>
          <cell r="P399" t="str">
            <v>0.362,-5.65;1.743,-5.48;0.34,-7.68;-0.76,-5.24;-1.76,-5.89;</v>
          </cell>
          <cell r="Q399">
            <v>19000</v>
          </cell>
          <cell r="R399">
            <v>0</v>
          </cell>
          <cell r="S399" t="str">
            <v>1001+30;1002+35;</v>
          </cell>
          <cell r="T399" t="str">
            <v>11900,1</v>
          </cell>
        </row>
        <row r="400">
          <cell r="A400">
            <v>288</v>
          </cell>
          <cell r="B400" t="str">
            <v>锦瑟</v>
          </cell>
          <cell r="C400" t="str">
            <v>1200703</v>
          </cell>
        </row>
        <row r="400">
          <cell r="G400">
            <v>0</v>
          </cell>
          <cell r="H400">
            <v>1</v>
          </cell>
          <cell r="I400">
            <v>1</v>
          </cell>
          <cell r="J400" t="b">
            <v>0</v>
          </cell>
          <cell r="K400">
            <v>1003</v>
          </cell>
          <cell r="L400">
            <v>-6.34</v>
          </cell>
          <cell r="M400">
            <v>-7.69</v>
          </cell>
        </row>
        <row r="400">
          <cell r="O400" t="str">
            <v>0</v>
          </cell>
          <cell r="P400" t="str">
            <v>0.362,-5.65;1.743,-5.48;0.34,-7.68;-0.76,-5.24;-1.76,-5.89;</v>
          </cell>
          <cell r="Q400">
            <v>19000</v>
          </cell>
          <cell r="R400">
            <v>0</v>
          </cell>
          <cell r="S400" t="str">
            <v>1001+30;1002+35;</v>
          </cell>
          <cell r="T400" t="str">
            <v>11900,1</v>
          </cell>
        </row>
        <row r="401">
          <cell r="A401">
            <v>289</v>
          </cell>
          <cell r="B401" t="str">
            <v>守船亲卫</v>
          </cell>
          <cell r="C401" t="str">
            <v>1200709;1200710;1200711;1200712;1200713</v>
          </cell>
        </row>
        <row r="401">
          <cell r="G401" t="str">
            <v>1200704;1200707;1200708</v>
          </cell>
          <cell r="H401">
            <v>1</v>
          </cell>
          <cell r="I401">
            <v>1</v>
          </cell>
          <cell r="J401" t="b">
            <v>0</v>
          </cell>
          <cell r="K401">
            <v>1003</v>
          </cell>
          <cell r="L401">
            <v>-6.34</v>
          </cell>
          <cell r="M401">
            <v>-7.69</v>
          </cell>
        </row>
        <row r="401">
          <cell r="O401" t="str">
            <v>3.2,-7.2;-2.6,-4.6;-12.57,-7.07;</v>
          </cell>
          <cell r="P401" t="str">
            <v>0.362,-5.65;1.743,-5.48;0.34,-7.68;-0.76,-5.24;-1.76,-5.89;</v>
          </cell>
          <cell r="Q401">
            <v>19000</v>
          </cell>
          <cell r="R401">
            <v>0</v>
          </cell>
          <cell r="S401" t="str">
            <v>1001+30;1002+35;</v>
          </cell>
          <cell r="T401" t="str">
            <v>11900,1</v>
          </cell>
        </row>
        <row r="402">
          <cell r="A402">
            <v>290</v>
          </cell>
          <cell r="B402" t="str">
            <v>守船亲卫</v>
          </cell>
          <cell r="C402" t="str">
            <v>1200714;1200717</v>
          </cell>
          <cell r="D402" t="str">
            <v>1200714;1200717;1200718</v>
          </cell>
          <cell r="E402" t="str">
            <v>1200714;1200717;1200718;1200719</v>
          </cell>
        </row>
        <row r="402">
          <cell r="G402">
            <v>1200705</v>
          </cell>
          <cell r="H402">
            <v>1</v>
          </cell>
          <cell r="I402">
            <v>1</v>
          </cell>
          <cell r="J402" t="b">
            <v>0</v>
          </cell>
          <cell r="K402">
            <v>1003</v>
          </cell>
          <cell r="L402">
            <v>-6.34</v>
          </cell>
          <cell r="M402">
            <v>-7.69</v>
          </cell>
        </row>
        <row r="402">
          <cell r="O402" t="str">
            <v>3.2,-7.2;</v>
          </cell>
          <cell r="P402" t="str">
            <v>0.362,-5.65;1.743,-5.48;0.34,-7.68;-0.76,-5.24;-1.76,-5.89;</v>
          </cell>
          <cell r="Q402">
            <v>19000</v>
          </cell>
          <cell r="R402">
            <v>0</v>
          </cell>
          <cell r="S402" t="str">
            <v>1001+30;1002+35;</v>
          </cell>
          <cell r="T402">
            <v>0</v>
          </cell>
        </row>
        <row r="403">
          <cell r="A403">
            <v>291</v>
          </cell>
          <cell r="B403" t="str">
            <v>守船亲卫</v>
          </cell>
          <cell r="C403" t="str">
            <v>1200715;1200720;1200721</v>
          </cell>
          <cell r="D403" t="str">
            <v>1200715;1200720;1200721;1200722</v>
          </cell>
          <cell r="E403" t="str">
            <v>1200715;1200720;1200721;1200722;1200723</v>
          </cell>
        </row>
        <row r="403">
          <cell r="G403">
            <v>1200705</v>
          </cell>
          <cell r="H403">
            <v>1</v>
          </cell>
          <cell r="I403">
            <v>1</v>
          </cell>
          <cell r="J403" t="b">
            <v>0</v>
          </cell>
          <cell r="K403">
            <v>1003</v>
          </cell>
          <cell r="L403">
            <v>-6.34</v>
          </cell>
          <cell r="M403">
            <v>-7.69</v>
          </cell>
        </row>
        <row r="403">
          <cell r="O403" t="str">
            <v>3.2,-7.2;</v>
          </cell>
          <cell r="P403" t="str">
            <v>0.362,-5.65;1.743,-5.48;0.34,-7.68;-0.76,-5.24;-1.76,-5.89;</v>
          </cell>
          <cell r="Q403">
            <v>19000</v>
          </cell>
          <cell r="R403">
            <v>0</v>
          </cell>
          <cell r="S403" t="str">
            <v>1001+30;1002+35;</v>
          </cell>
          <cell r="T403">
            <v>0</v>
          </cell>
        </row>
        <row r="404">
          <cell r="A404">
            <v>292</v>
          </cell>
          <cell r="B404" t="str">
            <v>守船亲卫</v>
          </cell>
          <cell r="C404" t="str">
            <v>1200716;1200724;1200725</v>
          </cell>
          <cell r="D404" t="str">
            <v>1200716;1200724;1200725;1200726</v>
          </cell>
          <cell r="E404" t="str">
            <v>1200716;1200724;1200725;1200726;1200727</v>
          </cell>
        </row>
        <row r="404">
          <cell r="G404">
            <v>1200705</v>
          </cell>
          <cell r="H404">
            <v>1</v>
          </cell>
          <cell r="I404">
            <v>1</v>
          </cell>
          <cell r="J404" t="b">
            <v>0</v>
          </cell>
          <cell r="K404">
            <v>1003</v>
          </cell>
          <cell r="L404">
            <v>-6.34</v>
          </cell>
          <cell r="M404">
            <v>-7.69</v>
          </cell>
        </row>
        <row r="404">
          <cell r="O404" t="str">
            <v>3.2,-7.2;</v>
          </cell>
          <cell r="P404" t="str">
            <v>0.362,-5.65;1.743,-5.48;0.34,-7.68;-0.76,-5.24;-1.76,-5.89;</v>
          </cell>
          <cell r="Q404">
            <v>19000</v>
          </cell>
          <cell r="R404">
            <v>0</v>
          </cell>
          <cell r="S404" t="str">
            <v>1001+30;1002+35;</v>
          </cell>
          <cell r="T404" t="str">
            <v>11900,1</v>
          </cell>
        </row>
        <row r="405">
          <cell r="A405">
            <v>293</v>
          </cell>
          <cell r="B405" t="str">
            <v>燕南归</v>
          </cell>
          <cell r="C405" t="str">
            <v>1200784</v>
          </cell>
        </row>
        <row r="405">
          <cell r="G405">
            <v>1200785</v>
          </cell>
          <cell r="H405">
            <v>1</v>
          </cell>
          <cell r="I405">
            <v>1</v>
          </cell>
          <cell r="J405" t="b">
            <v>0</v>
          </cell>
          <cell r="K405">
            <v>1003</v>
          </cell>
          <cell r="L405">
            <v>-6.34</v>
          </cell>
          <cell r="M405">
            <v>-7.69</v>
          </cell>
        </row>
        <row r="405">
          <cell r="O405" t="str">
            <v>3.2,-7.2;</v>
          </cell>
          <cell r="P405" t="str">
            <v>0.362,-5.65;1.743,-5.48;0.34,-7.68;-0.76,-5.24;-1.76,-5.89;</v>
          </cell>
          <cell r="Q405">
            <v>19000</v>
          </cell>
          <cell r="R405">
            <v>0</v>
          </cell>
          <cell r="S405" t="str">
            <v>1001+30;1002+35;</v>
          </cell>
          <cell r="T405" t="str">
            <v>11900,1</v>
          </cell>
        </row>
        <row r="406">
          <cell r="A406">
            <v>294</v>
          </cell>
          <cell r="B406" t="str">
            <v>钱长老</v>
          </cell>
          <cell r="C406">
            <v>1200787</v>
          </cell>
        </row>
        <row r="406">
          <cell r="G406">
            <v>1200786</v>
          </cell>
          <cell r="H406">
            <v>1</v>
          </cell>
          <cell r="I406">
            <v>1</v>
          </cell>
          <cell r="J406" t="b">
            <v>0</v>
          </cell>
          <cell r="K406">
            <v>1003</v>
          </cell>
          <cell r="L406">
            <v>-6.34</v>
          </cell>
          <cell r="M406">
            <v>-7.69</v>
          </cell>
        </row>
        <row r="406">
          <cell r="O406" t="str">
            <v>3.2,-7.2;</v>
          </cell>
          <cell r="P406" t="str">
            <v>0.362,-5.65;1.743,-5.48;0.34,-7.68;-0.76,-5.24;-1.76,-5.89;</v>
          </cell>
          <cell r="Q406">
            <v>19000</v>
          </cell>
          <cell r="R406">
            <v>0</v>
          </cell>
          <cell r="S406" t="str">
            <v>1001+30;1002+35;</v>
          </cell>
          <cell r="T406" t="str">
            <v>11900,1</v>
          </cell>
        </row>
        <row r="407">
          <cell r="A407">
            <v>295</v>
          </cell>
          <cell r="B407" t="str">
            <v>丐帮弟子</v>
          </cell>
          <cell r="C407" t="str">
            <v>1200790;1200791;1200792;1200793</v>
          </cell>
          <cell r="D407" t="str">
            <v>1200790;1200791;1200792;1200793;1200794</v>
          </cell>
          <cell r="E407" t="str">
            <v>1200790;1200791;1200792;1200793;1200794;1200795</v>
          </cell>
        </row>
        <row r="407">
          <cell r="G407">
            <v>1200786</v>
          </cell>
          <cell r="H407">
            <v>1</v>
          </cell>
          <cell r="I407">
            <v>1</v>
          </cell>
          <cell r="J407" t="b">
            <v>0</v>
          </cell>
          <cell r="K407">
            <v>1003</v>
          </cell>
          <cell r="L407">
            <v>-6.34</v>
          </cell>
          <cell r="M407">
            <v>-7.69</v>
          </cell>
        </row>
        <row r="407">
          <cell r="O407" t="str">
            <v>3.2,-7.2;</v>
          </cell>
          <cell r="P407" t="str">
            <v>0.362,-5.65;1.743,-5.48;0.34,-7.68;-0.76,-5.24;-1.76,-5.89;</v>
          </cell>
          <cell r="Q407">
            <v>19000</v>
          </cell>
          <cell r="R407">
            <v>0</v>
          </cell>
          <cell r="S407" t="str">
            <v>1001+30;1002+35;</v>
          </cell>
          <cell r="T407">
            <v>0</v>
          </cell>
        </row>
        <row r="408">
          <cell r="A408">
            <v>296</v>
          </cell>
          <cell r="B408" t="str">
            <v>宋逐北</v>
          </cell>
          <cell r="C408" t="str">
            <v>1200788;1200796;1200797</v>
          </cell>
          <cell r="D408" t="str">
            <v>1200788;1200796;1200797;1200798</v>
          </cell>
          <cell r="E408" t="str">
            <v>1200788;1200796;1200797;1200798;1200799</v>
          </cell>
        </row>
        <row r="408">
          <cell r="G408">
            <v>1200786</v>
          </cell>
          <cell r="H408">
            <v>1</v>
          </cell>
          <cell r="I408">
            <v>1</v>
          </cell>
          <cell r="J408" t="b">
            <v>0</v>
          </cell>
          <cell r="K408">
            <v>1003</v>
          </cell>
          <cell r="L408">
            <v>-6.34</v>
          </cell>
          <cell r="M408">
            <v>-7.69</v>
          </cell>
        </row>
        <row r="408">
          <cell r="O408" t="str">
            <v>3.2,-7.2;</v>
          </cell>
          <cell r="P408" t="str">
            <v>0.362,-5.65;1.743,-5.48;0.34,-7.68;-0.76,-5.24;-1.76,-5.89;</v>
          </cell>
          <cell r="Q408">
            <v>19000</v>
          </cell>
          <cell r="R408">
            <v>0</v>
          </cell>
          <cell r="S408" t="str">
            <v>1001+30;1002+35;</v>
          </cell>
          <cell r="T408" t="str">
            <v>11900,1</v>
          </cell>
        </row>
        <row r="409">
          <cell r="A409">
            <v>297</v>
          </cell>
          <cell r="B409" t="str">
            <v>吴长老</v>
          </cell>
          <cell r="C409" t="str">
            <v>1200789;1200800;1200801</v>
          </cell>
          <cell r="D409" t="str">
            <v>1200789;1200800;1200801;1200802</v>
          </cell>
          <cell r="E409" t="str">
            <v>1200789;1200800;1200801;1200802;1200803</v>
          </cell>
        </row>
        <row r="409">
          <cell r="G409">
            <v>1200786</v>
          </cell>
          <cell r="H409">
            <v>1</v>
          </cell>
          <cell r="I409">
            <v>1</v>
          </cell>
          <cell r="J409" t="b">
            <v>0</v>
          </cell>
          <cell r="K409">
            <v>1003</v>
          </cell>
          <cell r="L409">
            <v>-6.34</v>
          </cell>
          <cell r="M409">
            <v>-7.69</v>
          </cell>
        </row>
        <row r="409">
          <cell r="O409" t="str">
            <v>3.2,-7.2;</v>
          </cell>
          <cell r="P409" t="str">
            <v>0.362,-5.65;1.743,-5.48;0.34,-7.68;-0.76,-5.24;-1.76,-5.89;</v>
          </cell>
          <cell r="Q409">
            <v>19000</v>
          </cell>
          <cell r="R409">
            <v>0</v>
          </cell>
          <cell r="S409" t="str">
            <v>1001+30;1002+35;</v>
          </cell>
          <cell r="T409" t="str">
            <v>11900,1</v>
          </cell>
        </row>
        <row r="410">
          <cell r="A410">
            <v>298</v>
          </cell>
          <cell r="B410" t="str">
            <v>邓克礼</v>
          </cell>
          <cell r="C410">
            <v>1200804</v>
          </cell>
        </row>
        <row r="410">
          <cell r="G410">
            <v>0</v>
          </cell>
          <cell r="H410">
            <v>1</v>
          </cell>
          <cell r="I410">
            <v>1</v>
          </cell>
          <cell r="J410" t="b">
            <v>0</v>
          </cell>
          <cell r="K410">
            <v>1003</v>
          </cell>
          <cell r="L410">
            <v>-6.34</v>
          </cell>
          <cell r="M410">
            <v>-7.69</v>
          </cell>
        </row>
        <row r="410">
          <cell r="O410" t="str">
            <v>0</v>
          </cell>
          <cell r="P410" t="str">
            <v>0.362,-5.65;1.743,-5.48;0.34,-7.68;-0.76,-5.24;-1.76,-5.89;</v>
          </cell>
          <cell r="Q410">
            <v>14000</v>
          </cell>
          <cell r="R410">
            <v>0</v>
          </cell>
          <cell r="S410" t="str">
            <v>1001+20;1002+25;</v>
          </cell>
          <cell r="T410" t="str">
            <v>11900,1</v>
          </cell>
        </row>
        <row r="411">
          <cell r="A411">
            <v>299</v>
          </cell>
          <cell r="B411" t="str">
            <v>心魔</v>
          </cell>
          <cell r="C411">
            <v>1200805</v>
          </cell>
        </row>
        <row r="411">
          <cell r="G411">
            <v>0</v>
          </cell>
          <cell r="H411">
            <v>1</v>
          </cell>
          <cell r="I411">
            <v>1</v>
          </cell>
          <cell r="J411" t="b">
            <v>0</v>
          </cell>
          <cell r="K411">
            <v>1003</v>
          </cell>
          <cell r="L411">
            <v>-6.34</v>
          </cell>
          <cell r="M411">
            <v>-7.69</v>
          </cell>
        </row>
        <row r="411">
          <cell r="O411" t="str">
            <v>0</v>
          </cell>
          <cell r="P411" t="str">
            <v>0.362,-5.65;1.743,-5.48;0.34,-7.68;-0.76,-5.24;-1.76,-5.89;</v>
          </cell>
          <cell r="Q411">
            <v>14000</v>
          </cell>
          <cell r="R411">
            <v>0</v>
          </cell>
          <cell r="S411" t="str">
            <v>1001+20;1002+25;</v>
          </cell>
          <cell r="T411" t="str">
            <v>11900,1</v>
          </cell>
        </row>
        <row r="412">
          <cell r="A412">
            <v>300</v>
          </cell>
          <cell r="B412" t="str">
            <v>神秘道人</v>
          </cell>
          <cell r="C412">
            <v>1200806</v>
          </cell>
        </row>
        <row r="412">
          <cell r="G412">
            <v>0</v>
          </cell>
          <cell r="H412">
            <v>1</v>
          </cell>
          <cell r="I412">
            <v>1</v>
          </cell>
          <cell r="J412" t="b">
            <v>0</v>
          </cell>
          <cell r="K412">
            <v>1003</v>
          </cell>
          <cell r="L412">
            <v>-6.34</v>
          </cell>
          <cell r="M412">
            <v>-7.69</v>
          </cell>
        </row>
        <row r="412">
          <cell r="O412" t="str">
            <v>0</v>
          </cell>
          <cell r="P412" t="str">
            <v>0.362,-5.65;1.743,-5.48;0.34,-7.68;-0.76,-5.24;-1.76,-5.89;</v>
          </cell>
          <cell r="Q412">
            <v>14000</v>
          </cell>
          <cell r="R412">
            <v>0</v>
          </cell>
          <cell r="S412" t="str">
            <v>1001+20;1002+25;</v>
          </cell>
          <cell r="T412" t="str">
            <v>11900,1</v>
          </cell>
        </row>
        <row r="413">
          <cell r="A413">
            <v>301</v>
          </cell>
          <cell r="B413" t="str">
            <v>神秘客商</v>
          </cell>
          <cell r="C413" t="str">
            <v>1200807;1200808;1200809</v>
          </cell>
          <cell r="D413" t="str">
            <v>1200807;1200808;1200809;1200810</v>
          </cell>
          <cell r="E413" t="str">
            <v>1200807;1200808;1200809;1200810;1200811</v>
          </cell>
        </row>
        <row r="413">
          <cell r="G413">
            <v>0</v>
          </cell>
          <cell r="H413">
            <v>1</v>
          </cell>
          <cell r="I413">
            <v>1</v>
          </cell>
          <cell r="J413" t="b">
            <v>0</v>
          </cell>
          <cell r="K413">
            <v>1003</v>
          </cell>
          <cell r="L413">
            <v>-6.34</v>
          </cell>
          <cell r="M413">
            <v>-7.69</v>
          </cell>
        </row>
        <row r="413">
          <cell r="O413" t="str">
            <v>0</v>
          </cell>
          <cell r="P413" t="str">
            <v>0.362,-5.65;1.743,-5.48;0.34,-7.68;-0.76,-5.24;-1.76,-5.89;</v>
          </cell>
          <cell r="Q413">
            <v>14000</v>
          </cell>
          <cell r="R413">
            <v>0</v>
          </cell>
          <cell r="S413" t="str">
            <v>1001+20;1002+25;</v>
          </cell>
          <cell r="T413" t="str">
            <v>11900,1</v>
          </cell>
        </row>
        <row r="414">
          <cell r="A414">
            <v>302</v>
          </cell>
          <cell r="B414" t="str">
            <v>神秘人</v>
          </cell>
          <cell r="C414">
            <v>1200812</v>
          </cell>
        </row>
        <row r="414">
          <cell r="G414" t="str">
            <v>1200813;1200814</v>
          </cell>
          <cell r="H414">
            <v>1</v>
          </cell>
          <cell r="I414">
            <v>1</v>
          </cell>
          <cell r="J414" t="b">
            <v>0</v>
          </cell>
          <cell r="K414">
            <v>1003</v>
          </cell>
          <cell r="L414">
            <v>-6.34</v>
          </cell>
          <cell r="M414">
            <v>-7.69</v>
          </cell>
        </row>
        <row r="414">
          <cell r="O414" t="str">
            <v>3.2,-7.2;-2.6,-4.6;</v>
          </cell>
          <cell r="P414" t="str">
            <v>0.362,-5.65;1.743,-5.48;0.34,-7.68;-0.76,-5.24;-1.76,-5.89;</v>
          </cell>
          <cell r="Q414">
            <v>14000</v>
          </cell>
          <cell r="R414">
            <v>0</v>
          </cell>
          <cell r="S414" t="str">
            <v>1001+20;1002+25;</v>
          </cell>
          <cell r="T414" t="str">
            <v>11900,1</v>
          </cell>
        </row>
        <row r="415">
          <cell r="A415">
            <v>303</v>
          </cell>
          <cell r="B415" t="str">
            <v>邓克礼</v>
          </cell>
          <cell r="C415" t="str">
            <v>1200815</v>
          </cell>
        </row>
        <row r="415">
          <cell r="G415">
            <v>0</v>
          </cell>
          <cell r="H415">
            <v>1</v>
          </cell>
          <cell r="I415">
            <v>1</v>
          </cell>
          <cell r="J415" t="b">
            <v>0</v>
          </cell>
          <cell r="K415">
            <v>1003</v>
          </cell>
          <cell r="L415">
            <v>-6.34</v>
          </cell>
          <cell r="M415">
            <v>-7.69</v>
          </cell>
        </row>
        <row r="415">
          <cell r="O415" t="str">
            <v>0</v>
          </cell>
          <cell r="P415" t="str">
            <v>0.362,-5.65;1.743,-5.48;0.34,-7.68;-0.76,-5.24;-1.76,-5.89;</v>
          </cell>
          <cell r="Q415">
            <v>14000</v>
          </cell>
          <cell r="R415">
            <v>0</v>
          </cell>
          <cell r="S415" t="str">
            <v>1001+20;1002+25;</v>
          </cell>
          <cell r="T415" t="str">
            <v>11900,1</v>
          </cell>
        </row>
        <row r="416">
          <cell r="A416">
            <v>304</v>
          </cell>
          <cell r="B416" t="str">
            <v>山贼首领</v>
          </cell>
          <cell r="C416" t="str">
            <v>1200816;1200817;1200818</v>
          </cell>
          <cell r="D416" t="str">
            <v>1200816;1200817;1200818;1200819</v>
          </cell>
          <cell r="E416" t="str">
            <v>1200816;1200817;1200818;1200819;1200820</v>
          </cell>
        </row>
        <row r="416">
          <cell r="G416">
            <v>0</v>
          </cell>
          <cell r="H416">
            <v>1</v>
          </cell>
          <cell r="I416">
            <v>1</v>
          </cell>
          <cell r="J416" t="b">
            <v>0</v>
          </cell>
          <cell r="K416">
            <v>1003</v>
          </cell>
          <cell r="L416">
            <v>-6.34</v>
          </cell>
          <cell r="M416">
            <v>-7.69</v>
          </cell>
        </row>
        <row r="416">
          <cell r="O416" t="str">
            <v>0</v>
          </cell>
          <cell r="P416" t="str">
            <v>0.362,-5.65;1.743,-5.48;0.34,-7.68;-0.76,-5.24;-1.76,-5.89;</v>
          </cell>
          <cell r="Q416">
            <v>14000</v>
          </cell>
          <cell r="R416">
            <v>0</v>
          </cell>
          <cell r="S416" t="str">
            <v>1001+20;1002+25;</v>
          </cell>
          <cell r="T416" t="str">
            <v>11900,1</v>
          </cell>
        </row>
        <row r="417">
          <cell r="A417">
            <v>305</v>
          </cell>
          <cell r="B417" t="str">
            <v>山贼首领</v>
          </cell>
          <cell r="C417" t="str">
            <v>1200816;1200818</v>
          </cell>
          <cell r="D417" t="str">
            <v>1200816;1200818;1200819</v>
          </cell>
          <cell r="E417" t="str">
            <v>1200816;1200818;1200819;1200820</v>
          </cell>
        </row>
        <row r="417">
          <cell r="G417">
            <v>0</v>
          </cell>
          <cell r="H417">
            <v>1</v>
          </cell>
          <cell r="I417">
            <v>1</v>
          </cell>
          <cell r="J417" t="b">
            <v>0</v>
          </cell>
          <cell r="K417">
            <v>1003</v>
          </cell>
          <cell r="L417">
            <v>-6.34</v>
          </cell>
          <cell r="M417">
            <v>-7.69</v>
          </cell>
        </row>
        <row r="417">
          <cell r="O417" t="str">
            <v>0</v>
          </cell>
          <cell r="P417" t="str">
            <v>0.362,-5.65;1.743,-5.48;0.34,-7.68;-0.76,-5.24;-1.76,-5.89;</v>
          </cell>
          <cell r="Q417">
            <v>14000</v>
          </cell>
          <cell r="R417">
            <v>0</v>
          </cell>
          <cell r="S417" t="str">
            <v>1001+20;1002+25;</v>
          </cell>
          <cell r="T417" t="str">
            <v>11900,1</v>
          </cell>
        </row>
        <row r="418">
          <cell r="A418">
            <v>306</v>
          </cell>
          <cell r="B418" t="str">
            <v>华服青年</v>
          </cell>
          <cell r="C418" t="str">
            <v>1200821;1200822</v>
          </cell>
          <cell r="D418" t="str">
            <v>1200821;1200822;1200823</v>
          </cell>
          <cell r="E418" t="str">
            <v>1200821;1200822;1200823;1200824</v>
          </cell>
        </row>
        <row r="418">
          <cell r="G418">
            <v>0</v>
          </cell>
          <cell r="H418">
            <v>1</v>
          </cell>
          <cell r="I418">
            <v>1</v>
          </cell>
          <cell r="J418" t="b">
            <v>0</v>
          </cell>
          <cell r="K418">
            <v>1003</v>
          </cell>
          <cell r="L418">
            <v>-6.34</v>
          </cell>
          <cell r="M418">
            <v>-7.69</v>
          </cell>
        </row>
        <row r="418">
          <cell r="O418" t="str">
            <v>0</v>
          </cell>
          <cell r="P418" t="str">
            <v>0.362,-5.65;1.743,-5.48;0.34,-7.68;-0.76,-5.24;-1.76,-5.89;</v>
          </cell>
          <cell r="Q418">
            <v>14000</v>
          </cell>
          <cell r="R418">
            <v>0</v>
          </cell>
          <cell r="S418" t="str">
            <v>1001+20;1002+25;</v>
          </cell>
          <cell r="T418" t="str">
            <v>11900,1</v>
          </cell>
        </row>
        <row r="419">
          <cell r="A419">
            <v>307</v>
          </cell>
          <cell r="B419" t="str">
            <v>太平道人</v>
          </cell>
          <cell r="C419" t="str">
            <v>1200825;1200826</v>
          </cell>
          <cell r="D419" t="str">
            <v>1200825;1200826;1200827</v>
          </cell>
          <cell r="E419" t="str">
            <v>1200825;1200826;1200827;1200828</v>
          </cell>
        </row>
        <row r="419">
          <cell r="G419">
            <v>0</v>
          </cell>
          <cell r="H419">
            <v>1</v>
          </cell>
          <cell r="I419">
            <v>1</v>
          </cell>
          <cell r="J419" t="b">
            <v>0</v>
          </cell>
          <cell r="K419">
            <v>1003</v>
          </cell>
          <cell r="L419">
            <v>-6.34</v>
          </cell>
          <cell r="M419">
            <v>-7.69</v>
          </cell>
        </row>
        <row r="419">
          <cell r="O419" t="str">
            <v>0</v>
          </cell>
          <cell r="P419" t="str">
            <v>0.362,-5.65;1.743,-5.48;0.34,-7.68;-0.76,-5.24;-1.76,-5.89;</v>
          </cell>
          <cell r="Q419">
            <v>14000</v>
          </cell>
          <cell r="R419">
            <v>0</v>
          </cell>
          <cell r="S419" t="str">
            <v>1001+20;1002+25;</v>
          </cell>
          <cell r="T419" t="str">
            <v>11900,1</v>
          </cell>
        </row>
        <row r="420">
          <cell r="A420">
            <v>308</v>
          </cell>
          <cell r="B420" t="str">
            <v>何傲霜</v>
          </cell>
          <cell r="C420" t="str">
            <v>1200832;1200829</v>
          </cell>
          <cell r="D420" t="str">
            <v>1200832;1200829;1200830</v>
          </cell>
          <cell r="E420" t="str">
            <v>1200832;1200829;1200830;1200831</v>
          </cell>
        </row>
        <row r="420">
          <cell r="G420">
            <v>0</v>
          </cell>
          <cell r="H420">
            <v>1</v>
          </cell>
          <cell r="I420">
            <v>1</v>
          </cell>
          <cell r="J420" t="b">
            <v>0</v>
          </cell>
          <cell r="K420">
            <v>1003</v>
          </cell>
          <cell r="L420">
            <v>-6.34</v>
          </cell>
          <cell r="M420">
            <v>-7.69</v>
          </cell>
        </row>
        <row r="420">
          <cell r="O420" t="str">
            <v>0</v>
          </cell>
          <cell r="P420" t="str">
            <v>0.362,-5.65;1.743,-5.48;0.34,-7.68;-0.76,-5.24;-1.76,-5.89;</v>
          </cell>
          <cell r="Q420">
            <v>14000</v>
          </cell>
          <cell r="R420">
            <v>0</v>
          </cell>
          <cell r="S420" t="str">
            <v>1001+20;1002+25;</v>
          </cell>
          <cell r="T420" t="str">
            <v>11900,1</v>
          </cell>
        </row>
        <row r="421">
          <cell r="A421">
            <v>309</v>
          </cell>
          <cell r="B421" t="str">
            <v>黄字拾肆</v>
          </cell>
          <cell r="C421">
            <v>1200834</v>
          </cell>
        </row>
        <row r="421">
          <cell r="G421">
            <v>0</v>
          </cell>
          <cell r="H421">
            <v>1</v>
          </cell>
          <cell r="I421">
            <v>1</v>
          </cell>
          <cell r="J421" t="b">
            <v>0</v>
          </cell>
          <cell r="K421">
            <v>1003</v>
          </cell>
          <cell r="L421">
            <v>-6.34</v>
          </cell>
          <cell r="M421">
            <v>-7.69</v>
          </cell>
        </row>
        <row r="421">
          <cell r="O421" t="str">
            <v>0</v>
          </cell>
          <cell r="P421" t="str">
            <v>0.362,-5.65;1.743,-5.48;0.34,-7.68;-0.76,-5.24;-1.76,-5.89;</v>
          </cell>
          <cell r="Q421">
            <v>14000</v>
          </cell>
          <cell r="R421">
            <v>0</v>
          </cell>
          <cell r="S421" t="str">
            <v>1001+20;1002+25;</v>
          </cell>
          <cell r="T421" t="str">
            <v>11900,1</v>
          </cell>
        </row>
        <row r="422">
          <cell r="A422">
            <v>310</v>
          </cell>
          <cell r="B422" t="str">
            <v>蒙面人</v>
          </cell>
          <cell r="C422">
            <v>1200835</v>
          </cell>
        </row>
        <row r="422">
          <cell r="G422">
            <v>0</v>
          </cell>
          <cell r="H422">
            <v>1</v>
          </cell>
          <cell r="I422">
            <v>1</v>
          </cell>
          <cell r="J422" t="b">
            <v>0</v>
          </cell>
          <cell r="K422">
            <v>1003</v>
          </cell>
          <cell r="L422">
            <v>-6.34</v>
          </cell>
          <cell r="M422">
            <v>-7.69</v>
          </cell>
        </row>
        <row r="422">
          <cell r="O422" t="str">
            <v>0</v>
          </cell>
          <cell r="P422" t="str">
            <v>0.362,-5.65;1.743,-5.48;0.34,-7.68;-0.76,-5.24;-1.76,-5.89;</v>
          </cell>
          <cell r="Q422">
            <v>14000</v>
          </cell>
          <cell r="R422">
            <v>0</v>
          </cell>
          <cell r="S422" t="str">
            <v>1001+20;1002+25;</v>
          </cell>
          <cell r="T422" t="str">
            <v>11900,1</v>
          </cell>
        </row>
        <row r="423">
          <cell r="A423">
            <v>311</v>
          </cell>
          <cell r="B423" t="str">
            <v>人贩</v>
          </cell>
          <cell r="C423" t="str">
            <v>1200836;1200837;1200838</v>
          </cell>
          <cell r="D423" t="str">
            <v>1200836;1200837;1200838;1200839</v>
          </cell>
          <cell r="E423" t="str">
            <v>1200836;1200837;1200838;1200839;1200840</v>
          </cell>
        </row>
        <row r="423">
          <cell r="G423">
            <v>0</v>
          </cell>
          <cell r="H423">
            <v>1</v>
          </cell>
          <cell r="I423">
            <v>1</v>
          </cell>
          <cell r="J423" t="b">
            <v>0</v>
          </cell>
          <cell r="K423">
            <v>1003</v>
          </cell>
          <cell r="L423">
            <v>-6.34</v>
          </cell>
          <cell r="M423">
            <v>-7.69</v>
          </cell>
        </row>
        <row r="423">
          <cell r="O423" t="str">
            <v>0</v>
          </cell>
          <cell r="P423" t="str">
            <v>0.362,-5.65;1.743,-5.48;0.34,-7.68;-0.76,-5.24;-1.76,-5.89;</v>
          </cell>
          <cell r="Q423">
            <v>14000</v>
          </cell>
          <cell r="R423">
            <v>0</v>
          </cell>
          <cell r="S423" t="str">
            <v>1001+20;1002+25;</v>
          </cell>
          <cell r="T423" t="str">
            <v>11900,1</v>
          </cell>
        </row>
        <row r="424">
          <cell r="A424">
            <v>312</v>
          </cell>
          <cell r="B424" t="str">
            <v>官员</v>
          </cell>
          <cell r="C424" t="str">
            <v>1200841;1200842;1200843</v>
          </cell>
          <cell r="D424" t="str">
            <v>1200841;1200842;1200843;1200844</v>
          </cell>
          <cell r="E424" t="str">
            <v>1200841;1200842;1200843;1200844;1200845</v>
          </cell>
        </row>
        <row r="424">
          <cell r="G424">
            <v>0</v>
          </cell>
          <cell r="H424">
            <v>1</v>
          </cell>
          <cell r="I424">
            <v>1</v>
          </cell>
          <cell r="J424" t="b">
            <v>0</v>
          </cell>
          <cell r="K424">
            <v>1003</v>
          </cell>
          <cell r="L424">
            <v>-6.34</v>
          </cell>
          <cell r="M424">
            <v>-7.69</v>
          </cell>
        </row>
        <row r="424">
          <cell r="O424" t="str">
            <v>0</v>
          </cell>
          <cell r="P424" t="str">
            <v>0.362,-5.65;1.743,-5.48;0.34,-7.68;-0.76,-5.24;-1.76,-5.89;</v>
          </cell>
          <cell r="Q424">
            <v>14000</v>
          </cell>
          <cell r="R424">
            <v>0</v>
          </cell>
          <cell r="S424" t="str">
            <v>1001+20;1002+25;</v>
          </cell>
          <cell r="T424" t="str">
            <v>11900,1</v>
          </cell>
        </row>
        <row r="425">
          <cell r="A425">
            <v>313</v>
          </cell>
          <cell r="B425" t="str">
            <v>蒙面人</v>
          </cell>
          <cell r="C425" t="str">
            <v>1200846;1200847;1200848</v>
          </cell>
          <cell r="D425" t="str">
            <v>1200846;1200847;1200848;1200849</v>
          </cell>
          <cell r="E425" t="str">
            <v>1200846;1200847;1200848;1200849;1200850</v>
          </cell>
        </row>
        <row r="425">
          <cell r="G425">
            <v>0</v>
          </cell>
          <cell r="H425">
            <v>1</v>
          </cell>
          <cell r="I425">
            <v>1</v>
          </cell>
          <cell r="J425" t="b">
            <v>0</v>
          </cell>
          <cell r="K425">
            <v>1003</v>
          </cell>
          <cell r="L425">
            <v>-6.34</v>
          </cell>
          <cell r="M425">
            <v>-7.69</v>
          </cell>
        </row>
        <row r="425">
          <cell r="O425" t="str">
            <v>0</v>
          </cell>
          <cell r="P425" t="str">
            <v>0.362,-5.65;1.743,-5.48;0.34,-7.68;-0.76,-5.24;-1.76,-5.89;</v>
          </cell>
          <cell r="Q425">
            <v>14000</v>
          </cell>
          <cell r="R425">
            <v>0</v>
          </cell>
          <cell r="S425" t="str">
            <v>1001+20;1002+25;</v>
          </cell>
          <cell r="T425" t="str">
            <v>11900,1</v>
          </cell>
        </row>
        <row r="426">
          <cell r="A426">
            <v>314</v>
          </cell>
          <cell r="B426" t="str">
            <v>李二牛</v>
          </cell>
          <cell r="C426" t="str">
            <v>1200851;1200852</v>
          </cell>
          <cell r="D426" t="str">
            <v>1200851;1200852;1200853</v>
          </cell>
          <cell r="E426" t="str">
            <v>1200851;1200852;1200853;1200854</v>
          </cell>
        </row>
        <row r="426">
          <cell r="G426">
            <v>0</v>
          </cell>
          <cell r="H426">
            <v>1</v>
          </cell>
          <cell r="I426">
            <v>1</v>
          </cell>
          <cell r="J426" t="b">
            <v>0</v>
          </cell>
          <cell r="K426">
            <v>1003</v>
          </cell>
          <cell r="L426">
            <v>-6.34</v>
          </cell>
          <cell r="M426">
            <v>-7.69</v>
          </cell>
        </row>
        <row r="426">
          <cell r="O426" t="str">
            <v>0</v>
          </cell>
          <cell r="P426" t="str">
            <v>0.362,-5.65;1.743,-5.48;0.34,-7.68;-0.76,-5.24;-1.76,-5.89;</v>
          </cell>
          <cell r="Q426">
            <v>14000</v>
          </cell>
          <cell r="R426">
            <v>0</v>
          </cell>
          <cell r="S426" t="str">
            <v>1001+20;1002+25;</v>
          </cell>
          <cell r="T426" t="str">
            <v>11900,1</v>
          </cell>
        </row>
        <row r="427">
          <cell r="A427">
            <v>315</v>
          </cell>
          <cell r="B427" t="str">
            <v>常服道人</v>
          </cell>
          <cell r="C427">
            <v>1200855</v>
          </cell>
        </row>
        <row r="427">
          <cell r="G427">
            <v>0</v>
          </cell>
          <cell r="H427">
            <v>1</v>
          </cell>
          <cell r="I427">
            <v>1</v>
          </cell>
          <cell r="J427" t="b">
            <v>0</v>
          </cell>
          <cell r="K427">
            <v>1003</v>
          </cell>
          <cell r="L427">
            <v>-6.34</v>
          </cell>
          <cell r="M427">
            <v>-7.69</v>
          </cell>
        </row>
        <row r="427">
          <cell r="O427" t="str">
            <v>0</v>
          </cell>
          <cell r="P427" t="str">
            <v>0.362,-5.65;1.743,-5.48;0.34,-7.68;-0.76,-5.24;-1.76,-5.89;</v>
          </cell>
          <cell r="Q427">
            <v>14000</v>
          </cell>
          <cell r="R427">
            <v>0</v>
          </cell>
          <cell r="S427" t="str">
            <v>1001+20;1002+25;</v>
          </cell>
          <cell r="T427" t="str">
            <v>11900,1</v>
          </cell>
        </row>
        <row r="428">
          <cell r="A428">
            <v>316</v>
          </cell>
          <cell r="B428" t="str">
            <v>护卫首领</v>
          </cell>
          <cell r="C428">
            <v>1200856</v>
          </cell>
        </row>
        <row r="428">
          <cell r="G428">
            <v>0</v>
          </cell>
          <cell r="H428">
            <v>1</v>
          </cell>
          <cell r="I428">
            <v>1</v>
          </cell>
          <cell r="J428" t="b">
            <v>0</v>
          </cell>
          <cell r="K428">
            <v>1003</v>
          </cell>
          <cell r="L428">
            <v>-6.34</v>
          </cell>
          <cell r="M428">
            <v>-7.69</v>
          </cell>
        </row>
        <row r="428">
          <cell r="O428" t="str">
            <v>0</v>
          </cell>
          <cell r="P428" t="str">
            <v>0.362,-5.65;1.743,-5.48;0.34,-7.68;-0.76,-5.24;-1.76,-5.89;</v>
          </cell>
          <cell r="Q428">
            <v>14000</v>
          </cell>
          <cell r="R428">
            <v>0</v>
          </cell>
          <cell r="S428" t="str">
            <v>1001+20;1002+25;</v>
          </cell>
          <cell r="T428" t="str">
            <v>11900,1</v>
          </cell>
        </row>
        <row r="429">
          <cell r="A429">
            <v>317</v>
          </cell>
          <cell r="B429" t="str">
            <v>持械甲士</v>
          </cell>
          <cell r="C429" t="str">
            <v>1200857;1200858</v>
          </cell>
          <cell r="D429" t="str">
            <v>1200857;1200858;1200859</v>
          </cell>
          <cell r="E429" t="str">
            <v>1200857;1200858;1200859;1200860</v>
          </cell>
        </row>
        <row r="429">
          <cell r="G429">
            <v>0</v>
          </cell>
          <cell r="H429">
            <v>1</v>
          </cell>
          <cell r="I429">
            <v>1</v>
          </cell>
          <cell r="J429" t="b">
            <v>0</v>
          </cell>
          <cell r="K429">
            <v>1003</v>
          </cell>
          <cell r="L429">
            <v>-6.34</v>
          </cell>
          <cell r="M429">
            <v>-7.69</v>
          </cell>
        </row>
        <row r="429">
          <cell r="O429" t="str">
            <v>0</v>
          </cell>
          <cell r="P429" t="str">
            <v>0.362,-5.65;1.743,-5.48;0.34,-7.68;-0.76,-5.24;-1.76,-5.89;</v>
          </cell>
          <cell r="Q429">
            <v>14000</v>
          </cell>
          <cell r="R429">
            <v>0</v>
          </cell>
          <cell r="S429" t="str">
            <v>1001+20;1002+25;</v>
          </cell>
          <cell r="T429" t="str">
            <v>11900,1</v>
          </cell>
        </row>
        <row r="430">
          <cell r="A430">
            <v>318</v>
          </cell>
          <cell r="B430" t="str">
            <v>持械甲士</v>
          </cell>
          <cell r="C430" t="str">
            <v>1200861;1200862;1200863;1200864</v>
          </cell>
          <cell r="D430" t="str">
            <v>1200861;1200862;1200863;1200864;1200865</v>
          </cell>
          <cell r="E430" t="str">
            <v>1200861;1200862;1200863;1200864;1200865;1200866</v>
          </cell>
        </row>
        <row r="430">
          <cell r="G430">
            <v>0</v>
          </cell>
          <cell r="H430">
            <v>1</v>
          </cell>
          <cell r="I430">
            <v>1</v>
          </cell>
          <cell r="J430" t="b">
            <v>0</v>
          </cell>
          <cell r="K430">
            <v>1003</v>
          </cell>
          <cell r="L430">
            <v>-6.34</v>
          </cell>
          <cell r="M430">
            <v>-7.69</v>
          </cell>
        </row>
        <row r="430">
          <cell r="O430" t="str">
            <v>0</v>
          </cell>
          <cell r="P430" t="str">
            <v>0.362,-5.65;1.743,-5.48;0.34,-7.68;-0.76,-5.24;-1.76,-5.89;</v>
          </cell>
          <cell r="Q430">
            <v>14000</v>
          </cell>
          <cell r="R430">
            <v>0</v>
          </cell>
          <cell r="S430" t="str">
            <v>1001+20;1002+25;</v>
          </cell>
          <cell r="T430" t="str">
            <v>11900,1</v>
          </cell>
        </row>
        <row r="431">
          <cell r="A431">
            <v>319</v>
          </cell>
          <cell r="B431" t="str">
            <v>持械甲士</v>
          </cell>
          <cell r="C431" t="str">
            <v>1200867;1200868;1200869;1200870</v>
          </cell>
          <cell r="D431" t="str">
            <v>1200867;1200868;1200869;1200870;1200871</v>
          </cell>
          <cell r="E431" t="str">
            <v>1200867;1200868;1200869;1200870;1200871;1200872</v>
          </cell>
        </row>
        <row r="431">
          <cell r="G431">
            <v>0</v>
          </cell>
          <cell r="H431">
            <v>1</v>
          </cell>
          <cell r="I431">
            <v>1</v>
          </cell>
          <cell r="J431" t="b">
            <v>0</v>
          </cell>
          <cell r="K431">
            <v>1003</v>
          </cell>
          <cell r="L431">
            <v>-6.34</v>
          </cell>
          <cell r="M431">
            <v>-7.69</v>
          </cell>
        </row>
        <row r="431">
          <cell r="O431" t="str">
            <v>0</v>
          </cell>
          <cell r="P431" t="str">
            <v>0.362,-5.65;1.743,-5.48;0.34,-7.68;-0.76,-5.24;-1.76,-5.89;</v>
          </cell>
          <cell r="Q431">
            <v>14000</v>
          </cell>
          <cell r="R431">
            <v>0</v>
          </cell>
          <cell r="S431" t="str">
            <v>1001+20;1002+25;</v>
          </cell>
          <cell r="T431" t="str">
            <v>11900,1</v>
          </cell>
        </row>
        <row r="432">
          <cell r="A432">
            <v>320</v>
          </cell>
          <cell r="B432" t="str">
            <v>假太和弟子</v>
          </cell>
          <cell r="C432" t="str">
            <v>1200873;1200875</v>
          </cell>
          <cell r="D432" t="str">
            <v>1200873;1200874;1200875</v>
          </cell>
          <cell r="E432" t="str">
            <v>1200873;1200874;1200875;1200876</v>
          </cell>
        </row>
        <row r="432">
          <cell r="G432">
            <v>0</v>
          </cell>
          <cell r="H432">
            <v>1</v>
          </cell>
          <cell r="I432">
            <v>1</v>
          </cell>
          <cell r="J432" t="b">
            <v>0</v>
          </cell>
          <cell r="K432">
            <v>1003</v>
          </cell>
          <cell r="L432">
            <v>-6.34</v>
          </cell>
          <cell r="M432">
            <v>-7.69</v>
          </cell>
        </row>
        <row r="432">
          <cell r="O432" t="str">
            <v>0</v>
          </cell>
          <cell r="P432" t="str">
            <v>0.362,-5.65;1.743,-5.48;0.34,-7.68;-0.76,-5.24;-1.76,-5.89;</v>
          </cell>
          <cell r="Q432">
            <v>14000</v>
          </cell>
          <cell r="R432">
            <v>0</v>
          </cell>
          <cell r="S432" t="str">
            <v>1001+20;1002+25;</v>
          </cell>
          <cell r="T432" t="str">
            <v>11900,1</v>
          </cell>
        </row>
        <row r="433">
          <cell r="A433">
            <v>321</v>
          </cell>
          <cell r="B433" t="str">
            <v>龙虎道人</v>
          </cell>
          <cell r="C433" t="str">
            <v>1200877;1200878</v>
          </cell>
          <cell r="D433" t="str">
            <v>1200877;1200878;1200879</v>
          </cell>
          <cell r="E433" t="str">
            <v>1200877;1200878;1200879;1200880</v>
          </cell>
        </row>
        <row r="433">
          <cell r="G433">
            <v>0</v>
          </cell>
          <cell r="H433">
            <v>1</v>
          </cell>
          <cell r="I433">
            <v>1</v>
          </cell>
          <cell r="J433" t="b">
            <v>0</v>
          </cell>
          <cell r="K433">
            <v>1003</v>
          </cell>
          <cell r="L433">
            <v>-6.34</v>
          </cell>
          <cell r="M433">
            <v>-7.69</v>
          </cell>
        </row>
        <row r="433">
          <cell r="O433" t="str">
            <v>0</v>
          </cell>
          <cell r="P433" t="str">
            <v>0.362,-5.65;1.743,-5.48;0.34,-7.68;-0.76,-5.24;-1.76,-5.89;</v>
          </cell>
          <cell r="Q433">
            <v>14000</v>
          </cell>
          <cell r="R433">
            <v>0</v>
          </cell>
          <cell r="S433" t="str">
            <v>1001+20;1002+25;</v>
          </cell>
          <cell r="T433" t="str">
            <v>11900,1</v>
          </cell>
        </row>
        <row r="434">
          <cell r="A434">
            <v>322</v>
          </cell>
          <cell r="B434" t="str">
            <v>龙虎道人</v>
          </cell>
          <cell r="C434" t="str">
            <v>1200881;1200882</v>
          </cell>
          <cell r="D434" t="str">
            <v>1200881;1200882;1200883</v>
          </cell>
          <cell r="E434" t="str">
            <v>1200881;1200882;1200883;1200884</v>
          </cell>
        </row>
        <row r="434">
          <cell r="G434">
            <v>0</v>
          </cell>
          <cell r="H434">
            <v>1</v>
          </cell>
          <cell r="I434">
            <v>1</v>
          </cell>
          <cell r="J434" t="b">
            <v>0</v>
          </cell>
          <cell r="K434">
            <v>1003</v>
          </cell>
          <cell r="L434">
            <v>-6.34</v>
          </cell>
          <cell r="M434">
            <v>-7.69</v>
          </cell>
        </row>
        <row r="434">
          <cell r="O434" t="str">
            <v>0</v>
          </cell>
          <cell r="P434" t="str">
            <v>0.362,-5.65;1.743,-5.48;0.34,-7.68;-0.76,-5.24;-1.76,-5.89;</v>
          </cell>
          <cell r="Q434">
            <v>14000</v>
          </cell>
          <cell r="R434">
            <v>0</v>
          </cell>
          <cell r="S434" t="str">
            <v>1001+20;1002+25;</v>
          </cell>
          <cell r="T434" t="str">
            <v>11900,1</v>
          </cell>
        </row>
        <row r="435">
          <cell r="A435">
            <v>323</v>
          </cell>
          <cell r="B435" t="str">
            <v>神秘人</v>
          </cell>
          <cell r="C435">
            <v>1200885</v>
          </cell>
        </row>
        <row r="435">
          <cell r="G435">
            <v>0</v>
          </cell>
          <cell r="H435">
            <v>1</v>
          </cell>
          <cell r="I435">
            <v>1</v>
          </cell>
          <cell r="J435" t="b">
            <v>0</v>
          </cell>
          <cell r="K435">
            <v>1003</v>
          </cell>
          <cell r="L435">
            <v>-6.34</v>
          </cell>
          <cell r="M435">
            <v>-7.69</v>
          </cell>
        </row>
        <row r="435">
          <cell r="O435" t="str">
            <v>0</v>
          </cell>
          <cell r="P435" t="str">
            <v>0.362,-5.65;1.743,-5.48;0.34,-7.68;-0.76,-5.24;-1.76,-5.89;</v>
          </cell>
          <cell r="Q435">
            <v>14000</v>
          </cell>
          <cell r="R435">
            <v>0</v>
          </cell>
          <cell r="S435" t="str">
            <v>1001+20;1002+25;</v>
          </cell>
          <cell r="T435" t="str">
            <v>11900,1</v>
          </cell>
        </row>
        <row r="436">
          <cell r="A436">
            <v>324</v>
          </cell>
          <cell r="B436" t="str">
            <v>神秘人</v>
          </cell>
          <cell r="C436">
            <v>1200886</v>
          </cell>
        </row>
        <row r="436">
          <cell r="G436">
            <v>1200832</v>
          </cell>
          <cell r="H436">
            <v>1</v>
          </cell>
          <cell r="I436">
            <v>1</v>
          </cell>
          <cell r="J436" t="b">
            <v>0</v>
          </cell>
          <cell r="K436">
            <v>1003</v>
          </cell>
          <cell r="L436">
            <v>-6.34</v>
          </cell>
          <cell r="M436">
            <v>-7.69</v>
          </cell>
        </row>
        <row r="436">
          <cell r="O436" t="str">
            <v>3.2,-7.2;</v>
          </cell>
          <cell r="P436" t="str">
            <v>0.362,-5.65;1.743,-5.48;0.34,-7.68;-0.76,-5.24;-1.76,-5.89;</v>
          </cell>
          <cell r="Q436">
            <v>14000</v>
          </cell>
          <cell r="R436">
            <v>0</v>
          </cell>
          <cell r="S436" t="str">
            <v>1001+20;1002+25;</v>
          </cell>
          <cell r="T436" t="str">
            <v>11900,1</v>
          </cell>
        </row>
        <row r="437">
          <cell r="A437">
            <v>325</v>
          </cell>
          <cell r="B437" t="str">
            <v>太平道人</v>
          </cell>
          <cell r="C437" t="str">
            <v>1200887</v>
          </cell>
        </row>
        <row r="437">
          <cell r="G437">
            <v>0</v>
          </cell>
          <cell r="H437">
            <v>1</v>
          </cell>
          <cell r="I437">
            <v>1</v>
          </cell>
          <cell r="J437" t="b">
            <v>0</v>
          </cell>
          <cell r="K437">
            <v>1003</v>
          </cell>
          <cell r="L437">
            <v>-6.34</v>
          </cell>
          <cell r="M437">
            <v>-7.69</v>
          </cell>
        </row>
        <row r="437">
          <cell r="O437" t="str">
            <v>0</v>
          </cell>
          <cell r="P437" t="str">
            <v>0.362,-5.65;1.743,-5.48;0.34,-7.68;-0.76,-5.24;-1.76,-5.89;</v>
          </cell>
          <cell r="Q437">
            <v>14000</v>
          </cell>
          <cell r="R437">
            <v>0</v>
          </cell>
          <cell r="S437" t="str">
            <v>1001+20;1002+25;</v>
          </cell>
          <cell r="T437" t="str">
            <v>11900,1</v>
          </cell>
        </row>
        <row r="438">
          <cell r="A438">
            <v>326</v>
          </cell>
          <cell r="B438" t="str">
            <v>太平道人</v>
          </cell>
          <cell r="C438">
            <v>1200888</v>
          </cell>
        </row>
        <row r="438">
          <cell r="G438">
            <v>0</v>
          </cell>
          <cell r="H438">
            <v>1</v>
          </cell>
          <cell r="I438">
            <v>1</v>
          </cell>
          <cell r="J438" t="b">
            <v>0</v>
          </cell>
          <cell r="K438">
            <v>1003</v>
          </cell>
          <cell r="L438">
            <v>-6.34</v>
          </cell>
          <cell r="M438">
            <v>-7.69</v>
          </cell>
        </row>
        <row r="438">
          <cell r="O438" t="str">
            <v>0</v>
          </cell>
          <cell r="P438" t="str">
            <v>0.362,-5.65;1.743,-5.48;0.34,-7.68;-0.76,-5.24;-1.76,-5.89;</v>
          </cell>
          <cell r="Q438">
            <v>14000</v>
          </cell>
          <cell r="R438">
            <v>0</v>
          </cell>
          <cell r="S438" t="str">
            <v>1001+20;1002+25;</v>
          </cell>
          <cell r="T438" t="str">
            <v>11900,1</v>
          </cell>
        </row>
        <row r="439">
          <cell r="A439">
            <v>327</v>
          </cell>
          <cell r="B439" t="str">
            <v>太平道人</v>
          </cell>
          <cell r="C439">
            <v>1200889</v>
          </cell>
        </row>
        <row r="439">
          <cell r="G439">
            <v>0</v>
          </cell>
          <cell r="H439">
            <v>1</v>
          </cell>
          <cell r="I439">
            <v>1</v>
          </cell>
          <cell r="J439" t="b">
            <v>0</v>
          </cell>
          <cell r="K439">
            <v>1003</v>
          </cell>
          <cell r="L439">
            <v>-6.34</v>
          </cell>
          <cell r="M439">
            <v>-7.69</v>
          </cell>
        </row>
        <row r="439">
          <cell r="O439" t="str">
            <v>0</v>
          </cell>
          <cell r="P439" t="str">
            <v>0.362,-5.65;1.743,-5.48;0.34,-7.68;-0.76,-5.24;-1.76,-5.89;</v>
          </cell>
          <cell r="Q439">
            <v>14000</v>
          </cell>
          <cell r="R439">
            <v>0</v>
          </cell>
          <cell r="S439" t="str">
            <v>1001+20;1002+25;</v>
          </cell>
          <cell r="T439" t="str">
            <v>11900,1</v>
          </cell>
        </row>
        <row r="440">
          <cell r="A440">
            <v>328</v>
          </cell>
          <cell r="B440" t="str">
            <v>太平道人</v>
          </cell>
          <cell r="C440">
            <v>1200890</v>
          </cell>
        </row>
        <row r="440">
          <cell r="G440">
            <v>0</v>
          </cell>
          <cell r="H440">
            <v>1</v>
          </cell>
          <cell r="I440">
            <v>1</v>
          </cell>
          <cell r="J440" t="b">
            <v>0</v>
          </cell>
          <cell r="K440">
            <v>1003</v>
          </cell>
          <cell r="L440">
            <v>-6.34</v>
          </cell>
          <cell r="M440">
            <v>-7.69</v>
          </cell>
        </row>
        <row r="440">
          <cell r="O440" t="str">
            <v>0</v>
          </cell>
          <cell r="P440" t="str">
            <v>0.362,-5.65;1.743,-5.48;0.34,-7.68;-0.76,-5.24;-1.76,-5.89;</v>
          </cell>
          <cell r="Q440">
            <v>14000</v>
          </cell>
          <cell r="R440">
            <v>0</v>
          </cell>
          <cell r="S440" t="str">
            <v>1001+20;1002+25;</v>
          </cell>
          <cell r="T440" t="str">
            <v>11900,1</v>
          </cell>
        </row>
        <row r="441">
          <cell r="A441">
            <v>329</v>
          </cell>
          <cell r="B441" t="str">
            <v>邵副使</v>
          </cell>
          <cell r="C441" t="str">
            <v>1200891;1200892;1200893</v>
          </cell>
        </row>
        <row r="441">
          <cell r="G441">
            <v>0</v>
          </cell>
          <cell r="H441">
            <v>1</v>
          </cell>
          <cell r="I441">
            <v>1</v>
          </cell>
          <cell r="J441" t="b">
            <v>0</v>
          </cell>
          <cell r="K441">
            <v>1003</v>
          </cell>
          <cell r="L441">
            <v>-6.34</v>
          </cell>
          <cell r="M441">
            <v>-7.69</v>
          </cell>
        </row>
        <row r="441">
          <cell r="O441" t="str">
            <v>0</v>
          </cell>
          <cell r="P441" t="str">
            <v>0.362,-5.65;1.743,-5.48;0.34,-7.68;-0.76,-5.24;-1.76,-5.89;</v>
          </cell>
          <cell r="Q441">
            <v>14000</v>
          </cell>
          <cell r="R441">
            <v>0</v>
          </cell>
          <cell r="S441" t="str">
            <v>1001+20;1002+25;</v>
          </cell>
          <cell r="T441" t="str">
            <v>11900,1</v>
          </cell>
        </row>
        <row r="442">
          <cell r="A442">
            <v>330</v>
          </cell>
          <cell r="B442" t="str">
            <v>戴天鸿</v>
          </cell>
          <cell r="C442">
            <v>1200896</v>
          </cell>
        </row>
        <row r="442">
          <cell r="G442" t="str">
            <v>1200895;1200901;1200902</v>
          </cell>
          <cell r="H442">
            <v>1</v>
          </cell>
          <cell r="I442">
            <v>1</v>
          </cell>
          <cell r="J442" t="b">
            <v>0</v>
          </cell>
          <cell r="K442">
            <v>1003</v>
          </cell>
          <cell r="L442">
            <v>-6.34</v>
          </cell>
          <cell r="M442">
            <v>-7.69</v>
          </cell>
        </row>
        <row r="442">
          <cell r="O442" t="str">
            <v>3.2,-7.2;-2.6,-4.6;-12.57,-7.07;</v>
          </cell>
          <cell r="P442" t="str">
            <v>0.362,-5.65;1.743,-5.48;0.34,-7.68;-0.76,-5.24;-1.76,-5.89;</v>
          </cell>
          <cell r="Q442">
            <v>14000</v>
          </cell>
          <cell r="R442">
            <v>0</v>
          </cell>
          <cell r="S442" t="str">
            <v>1001+20;1002+25;</v>
          </cell>
          <cell r="T442" t="str">
            <v>11900,1</v>
          </cell>
        </row>
        <row r="443">
          <cell r="A443">
            <v>331</v>
          </cell>
          <cell r="B443" t="str">
            <v>太平使</v>
          </cell>
          <cell r="C443" t="str">
            <v>1200897;1200898</v>
          </cell>
        </row>
        <row r="443">
          <cell r="G443">
            <v>1200895</v>
          </cell>
          <cell r="H443">
            <v>1</v>
          </cell>
          <cell r="I443">
            <v>1</v>
          </cell>
          <cell r="J443" t="b">
            <v>1</v>
          </cell>
          <cell r="K443">
            <v>1003</v>
          </cell>
          <cell r="L443">
            <v>-6.34</v>
          </cell>
          <cell r="M443">
            <v>-7.69</v>
          </cell>
        </row>
        <row r="443">
          <cell r="O443" t="str">
            <v>3.2,-7.2;</v>
          </cell>
          <cell r="P443" t="str">
            <v>0.362,-5.65;1.743,-5.48;0.34,-7.68;-0.76,-5.24;-1.76,-5.89;</v>
          </cell>
          <cell r="Q443">
            <v>14000</v>
          </cell>
          <cell r="R443">
            <v>0</v>
          </cell>
          <cell r="S443" t="str">
            <v>1001+20;1002+25;</v>
          </cell>
          <cell r="T443" t="str">
            <v>11900,1</v>
          </cell>
        </row>
        <row r="444">
          <cell r="A444">
            <v>332</v>
          </cell>
          <cell r="B444" t="str">
            <v>太平使</v>
          </cell>
          <cell r="C444" t="str">
            <v>1200899;1200900</v>
          </cell>
        </row>
        <row r="444">
          <cell r="G444" t="str">
            <v>1200895;1200903</v>
          </cell>
          <cell r="H444">
            <v>1</v>
          </cell>
          <cell r="I444">
            <v>1</v>
          </cell>
          <cell r="J444" t="b">
            <v>0</v>
          </cell>
          <cell r="K444">
            <v>1003</v>
          </cell>
          <cell r="L444">
            <v>-6.34</v>
          </cell>
          <cell r="M444">
            <v>-7.69</v>
          </cell>
        </row>
        <row r="444">
          <cell r="O444" t="str">
            <v>3.2,-7.2;-2.6,-4.6;</v>
          </cell>
          <cell r="P444" t="str">
            <v>0.362,-5.65;1.743,-5.48;0.34,-7.68;-0.76,-5.24;-1.76,-5.89;</v>
          </cell>
          <cell r="Q444">
            <v>14000</v>
          </cell>
          <cell r="R444">
            <v>0</v>
          </cell>
          <cell r="S444" t="str">
            <v>1001+20;1002+25;</v>
          </cell>
          <cell r="T444" t="str">
            <v>11900,1</v>
          </cell>
        </row>
        <row r="445">
          <cell r="A445">
            <v>333</v>
          </cell>
          <cell r="B445" t="str">
            <v>戴天鸿</v>
          </cell>
          <cell r="C445">
            <v>1200896</v>
          </cell>
        </row>
        <row r="445">
          <cell r="G445" t="str">
            <v>1200894;1200901;1200902</v>
          </cell>
          <cell r="H445">
            <v>1</v>
          </cell>
          <cell r="I445">
            <v>1</v>
          </cell>
          <cell r="J445" t="b">
            <v>0</v>
          </cell>
          <cell r="K445">
            <v>1003</v>
          </cell>
          <cell r="L445">
            <v>-6.34</v>
          </cell>
          <cell r="M445">
            <v>-7.69</v>
          </cell>
        </row>
        <row r="445">
          <cell r="O445" t="str">
            <v>3.2,-7.2;-2.6,-4.6;-12.57,-7.07;</v>
          </cell>
          <cell r="P445" t="str">
            <v>0.362,-5.65;1.743,-5.48;0.34,-7.68;-0.76,-5.24;-1.76,-5.89;</v>
          </cell>
          <cell r="Q445">
            <v>14000</v>
          </cell>
          <cell r="R445">
            <v>0</v>
          </cell>
          <cell r="S445" t="str">
            <v>1001+20;1002+25;</v>
          </cell>
          <cell r="T445" t="str">
            <v>11900,1</v>
          </cell>
        </row>
        <row r="446">
          <cell r="A446">
            <v>334</v>
          </cell>
          <cell r="B446" t="str">
            <v>太平使</v>
          </cell>
          <cell r="C446" t="str">
            <v>1200897;1200898</v>
          </cell>
        </row>
        <row r="446">
          <cell r="G446">
            <v>1200894</v>
          </cell>
          <cell r="H446">
            <v>1</v>
          </cell>
          <cell r="I446">
            <v>1</v>
          </cell>
          <cell r="J446" t="b">
            <v>1</v>
          </cell>
          <cell r="K446">
            <v>1003</v>
          </cell>
          <cell r="L446">
            <v>-6.34</v>
          </cell>
          <cell r="M446">
            <v>-7.69</v>
          </cell>
        </row>
        <row r="446">
          <cell r="O446" t="str">
            <v>3.2,-7.2;</v>
          </cell>
          <cell r="P446" t="str">
            <v>0.362,-5.65;1.743,-5.48;0.34,-7.68;-0.76,-5.24;-1.76,-5.89;</v>
          </cell>
          <cell r="Q446">
            <v>14000</v>
          </cell>
          <cell r="R446">
            <v>0</v>
          </cell>
          <cell r="S446" t="str">
            <v>1001+20;1002+25;</v>
          </cell>
          <cell r="T446" t="str">
            <v>11900,1</v>
          </cell>
        </row>
        <row r="447">
          <cell r="A447">
            <v>335</v>
          </cell>
          <cell r="B447" t="str">
            <v>太平使</v>
          </cell>
          <cell r="C447" t="str">
            <v>1200899;1200900</v>
          </cell>
        </row>
        <row r="447">
          <cell r="G447" t="str">
            <v>1200894;1200903</v>
          </cell>
          <cell r="H447">
            <v>1</v>
          </cell>
          <cell r="I447">
            <v>1</v>
          </cell>
          <cell r="J447" t="b">
            <v>0</v>
          </cell>
          <cell r="K447">
            <v>1003</v>
          </cell>
          <cell r="L447">
            <v>-6.34</v>
          </cell>
          <cell r="M447">
            <v>-7.69</v>
          </cell>
        </row>
        <row r="447">
          <cell r="O447" t="str">
            <v>3.2,-7.2;-2.6,-4.6;</v>
          </cell>
          <cell r="P447" t="str">
            <v>0.362,-5.65;1.743,-5.48;0.34,-7.68;-0.76,-5.24;-1.76,-5.89;</v>
          </cell>
          <cell r="Q447">
            <v>14000</v>
          </cell>
          <cell r="R447">
            <v>0</v>
          </cell>
          <cell r="S447" t="str">
            <v>1001+20;1002+25;</v>
          </cell>
          <cell r="T447" t="str">
            <v>11900,1</v>
          </cell>
        </row>
        <row r="448">
          <cell r="A448">
            <v>336</v>
          </cell>
          <cell r="B448" t="str">
            <v>净蛊天池</v>
          </cell>
        </row>
        <row r="448">
          <cell r="G448">
            <v>1200608</v>
          </cell>
          <cell r="H448">
            <v>1</v>
          </cell>
          <cell r="I448">
            <v>1</v>
          </cell>
          <cell r="J448" t="b">
            <v>0</v>
          </cell>
          <cell r="K448">
            <v>1003</v>
          </cell>
          <cell r="L448">
            <v>-6.34</v>
          </cell>
          <cell r="M448">
            <v>-7.69</v>
          </cell>
        </row>
        <row r="448">
          <cell r="O448" t="str">
            <v>3.2,-7.2;</v>
          </cell>
          <cell r="P448" t="str">
            <v>0.362,-5.65;1.743,-5.48;0.34,-7.68;-0.76,-5.24;-1.76,-5.89;</v>
          </cell>
          <cell r="Q448">
            <v>18000</v>
          </cell>
          <cell r="R448">
            <v>0</v>
          </cell>
          <cell r="S448" t="str">
            <v>1001+25;1002+30;</v>
          </cell>
          <cell r="T448">
            <v>0</v>
          </cell>
        </row>
        <row r="449">
          <cell r="A449">
            <v>337</v>
          </cell>
          <cell r="B449" t="str">
            <v>桃花坞</v>
          </cell>
        </row>
        <row r="449">
          <cell r="G449">
            <v>1200706</v>
          </cell>
          <cell r="H449">
            <v>1</v>
          </cell>
          <cell r="I449">
            <v>1</v>
          </cell>
          <cell r="J449" t="b">
            <v>0</v>
          </cell>
          <cell r="K449">
            <v>1003</v>
          </cell>
          <cell r="L449">
            <v>-6.34</v>
          </cell>
          <cell r="M449">
            <v>-7.69</v>
          </cell>
        </row>
        <row r="449">
          <cell r="O449" t="str">
            <v>3.2,-7.2;</v>
          </cell>
          <cell r="P449" t="str">
            <v>0.362,-5.65;1.743,-5.48;0.34,-7.68;-0.76,-5.24;-1.76,-5.89;</v>
          </cell>
          <cell r="Q449">
            <v>19000</v>
          </cell>
          <cell r="R449">
            <v>0</v>
          </cell>
          <cell r="S449" t="str">
            <v>1001+30;1002+35;907012+1;</v>
          </cell>
          <cell r="T449">
            <v>0</v>
          </cell>
        </row>
        <row r="450">
          <cell r="A450">
            <v>338</v>
          </cell>
          <cell r="B450" t="str">
            <v>小七</v>
          </cell>
          <cell r="C450">
            <v>1200975</v>
          </cell>
        </row>
        <row r="450">
          <cell r="G450">
            <v>0</v>
          </cell>
          <cell r="H450">
            <v>1</v>
          </cell>
          <cell r="I450">
            <v>1</v>
          </cell>
          <cell r="J450" t="b">
            <v>0</v>
          </cell>
          <cell r="K450">
            <v>1003</v>
          </cell>
          <cell r="L450">
            <v>-6.34</v>
          </cell>
          <cell r="M450">
            <v>-7.69</v>
          </cell>
        </row>
        <row r="450">
          <cell r="O450">
            <v>0</v>
          </cell>
          <cell r="P450" t="str">
            <v>0.362,-5.65;1.743,-5.48;0.34,-7.68;-0.76,-5.24;-1.76,-5.89;</v>
          </cell>
          <cell r="Q450">
            <v>13000</v>
          </cell>
          <cell r="R450">
            <v>0</v>
          </cell>
          <cell r="S450" t="str">
            <v>1001+15;1002+20;</v>
          </cell>
          <cell r="T450" t="str">
            <v>11900,1</v>
          </cell>
        </row>
        <row r="451">
          <cell r="A451">
            <v>339</v>
          </cell>
          <cell r="B451" t="str">
            <v>傻小子</v>
          </cell>
          <cell r="C451">
            <v>1200976</v>
          </cell>
        </row>
        <row r="451">
          <cell r="G451">
            <v>0</v>
          </cell>
          <cell r="H451">
            <v>1</v>
          </cell>
          <cell r="I451">
            <v>1</v>
          </cell>
          <cell r="J451" t="b">
            <v>0</v>
          </cell>
          <cell r="K451">
            <v>1003</v>
          </cell>
          <cell r="L451">
            <v>-6.34</v>
          </cell>
          <cell r="M451">
            <v>-7.69</v>
          </cell>
        </row>
        <row r="451">
          <cell r="O451">
            <v>0</v>
          </cell>
          <cell r="P451" t="str">
            <v>0.362,-5.65;1.743,-5.48;0.34,-7.68;-0.76,-5.24;-1.76,-5.89;</v>
          </cell>
          <cell r="Q451">
            <v>13000</v>
          </cell>
          <cell r="R451">
            <v>0</v>
          </cell>
          <cell r="S451" t="str">
            <v>1001+15;1002+20;</v>
          </cell>
          <cell r="T451" t="str">
            <v>11900,1</v>
          </cell>
        </row>
        <row r="452">
          <cell r="A452">
            <v>340</v>
          </cell>
          <cell r="B452" t="str">
            <v>梁边云 小蝶</v>
          </cell>
          <cell r="C452" t="str">
            <v>1200977;1200978</v>
          </cell>
        </row>
        <row r="452">
          <cell r="G452">
            <v>0</v>
          </cell>
          <cell r="H452">
            <v>1</v>
          </cell>
          <cell r="I452">
            <v>1</v>
          </cell>
          <cell r="J452" t="b">
            <v>0</v>
          </cell>
          <cell r="K452">
            <v>1003</v>
          </cell>
          <cell r="L452">
            <v>-6.34</v>
          </cell>
          <cell r="M452">
            <v>-7.69</v>
          </cell>
        </row>
        <row r="452">
          <cell r="O452">
            <v>0</v>
          </cell>
          <cell r="P452" t="str">
            <v>0.362,-5.65;1.743,-5.48;0.34,-7.68;-0.76,-5.24;-1.76,-5.89;</v>
          </cell>
          <cell r="Q452">
            <v>16000</v>
          </cell>
          <cell r="R452">
            <v>0</v>
          </cell>
          <cell r="S452" t="str">
            <v>1001+15;1002+20;</v>
          </cell>
          <cell r="T452" t="str">
            <v>11900,1</v>
          </cell>
        </row>
        <row r="453">
          <cell r="A453">
            <v>341</v>
          </cell>
          <cell r="B453" t="str">
            <v>连环寨精锐</v>
          </cell>
          <cell r="C453" t="str">
            <v>1200989;1200990</v>
          </cell>
          <cell r="D453" t="str">
            <v>1200989;1200990;1200991</v>
          </cell>
          <cell r="E453" t="str">
            <v>1200989;1200990;1200991;1200992</v>
          </cell>
        </row>
        <row r="453">
          <cell r="G453">
            <v>0</v>
          </cell>
          <cell r="H453">
            <v>1</v>
          </cell>
          <cell r="I453">
            <v>1</v>
          </cell>
          <cell r="J453" t="b">
            <v>0</v>
          </cell>
          <cell r="K453">
            <v>1003</v>
          </cell>
          <cell r="L453">
            <v>-6.34</v>
          </cell>
          <cell r="M453">
            <v>-7.69</v>
          </cell>
          <cell r="N453">
            <v>0</v>
          </cell>
          <cell r="O453" t="str">
            <v>3.2,-7.2;</v>
          </cell>
          <cell r="P453" t="str">
            <v>0.362,-5.65;1.743,-5.48;0.34,-7.68;-0.76,-5.24;-1.76,-5.89;</v>
          </cell>
          <cell r="Q453">
            <v>13000</v>
          </cell>
          <cell r="R453">
            <v>0</v>
          </cell>
          <cell r="S453" t="str">
            <v>1001+10;1002+15;</v>
          </cell>
          <cell r="T453">
            <v>0</v>
          </cell>
        </row>
        <row r="454">
          <cell r="A454">
            <v>342</v>
          </cell>
          <cell r="B454" t="str">
            <v>连环寨精锐</v>
          </cell>
          <cell r="C454" t="str">
            <v>1201012;1201013;1201014</v>
          </cell>
          <cell r="D454" t="str">
            <v>1201012;1201013;1201014;1201015</v>
          </cell>
          <cell r="E454" t="str">
            <v>1201012;1201013;1201014;1201015;1201016</v>
          </cell>
        </row>
        <row r="454">
          <cell r="G454">
            <v>0</v>
          </cell>
          <cell r="H454">
            <v>1</v>
          </cell>
          <cell r="I454">
            <v>1</v>
          </cell>
          <cell r="J454" t="b">
            <v>0</v>
          </cell>
          <cell r="K454">
            <v>1003</v>
          </cell>
          <cell r="L454">
            <v>-6.34</v>
          </cell>
          <cell r="M454">
            <v>-7.69</v>
          </cell>
          <cell r="N454">
            <v>0</v>
          </cell>
          <cell r="O454" t="str">
            <v>3.2,-7.2;</v>
          </cell>
          <cell r="P454" t="str">
            <v>0.362,-5.65;1.743,-5.48;0.34,-7.68;-0.76,-5.24;-1.76,-5.89;</v>
          </cell>
          <cell r="Q454">
            <v>13000</v>
          </cell>
          <cell r="R454">
            <v>0</v>
          </cell>
          <cell r="S454" t="str">
            <v>1001+10;1002+15;</v>
          </cell>
          <cell r="T454">
            <v>0</v>
          </cell>
        </row>
        <row r="455">
          <cell r="A455">
            <v>343</v>
          </cell>
          <cell r="B455" t="str">
            <v>连环寨精锐</v>
          </cell>
          <cell r="C455" t="str">
            <v>1201017;1201018</v>
          </cell>
          <cell r="D455" t="str">
            <v>1201017;1201018;1201019</v>
          </cell>
          <cell r="E455" t="str">
            <v>1201017;1201018;1201019;1201020</v>
          </cell>
        </row>
        <row r="455">
          <cell r="G455">
            <v>0</v>
          </cell>
          <cell r="H455">
            <v>1</v>
          </cell>
          <cell r="I455">
            <v>1</v>
          </cell>
          <cell r="J455" t="b">
            <v>0</v>
          </cell>
          <cell r="K455">
            <v>1003</v>
          </cell>
          <cell r="L455">
            <v>-6.34</v>
          </cell>
          <cell r="M455">
            <v>-7.69</v>
          </cell>
          <cell r="N455">
            <v>0</v>
          </cell>
          <cell r="O455" t="str">
            <v>3.2,-7.2;</v>
          </cell>
          <cell r="P455" t="str">
            <v>0.362,-5.65;1.743,-5.48;0.34,-7.68;-0.76,-5.24;-1.76,-5.89;</v>
          </cell>
          <cell r="Q455">
            <v>13000</v>
          </cell>
          <cell r="R455">
            <v>0</v>
          </cell>
          <cell r="S455" t="str">
            <v>1001+10;1002+15;</v>
          </cell>
          <cell r="T455">
            <v>0</v>
          </cell>
        </row>
        <row r="456">
          <cell r="A456">
            <v>344</v>
          </cell>
          <cell r="B456" t="str">
            <v>连环寨精锐</v>
          </cell>
          <cell r="C456" t="str">
            <v>1201021;1201022;1201023</v>
          </cell>
          <cell r="D456" t="str">
            <v>1201021;1201022;1201023;1201024</v>
          </cell>
          <cell r="E456" t="str">
            <v>1201021;1201022;1201023;1201024;1201025</v>
          </cell>
        </row>
        <row r="456">
          <cell r="G456">
            <v>0</v>
          </cell>
          <cell r="H456">
            <v>1</v>
          </cell>
          <cell r="I456">
            <v>1</v>
          </cell>
          <cell r="J456" t="b">
            <v>0</v>
          </cell>
          <cell r="K456">
            <v>1003</v>
          </cell>
          <cell r="L456">
            <v>-6.34</v>
          </cell>
          <cell r="M456">
            <v>-7.69</v>
          </cell>
          <cell r="N456">
            <v>0</v>
          </cell>
          <cell r="O456" t="str">
            <v>3.2,-7.2;</v>
          </cell>
          <cell r="P456" t="str">
            <v>0.362,-5.65;1.743,-5.48;0.34,-7.68;-0.76,-5.24;-1.76,-5.89;</v>
          </cell>
          <cell r="Q456">
            <v>13000</v>
          </cell>
          <cell r="R456">
            <v>0</v>
          </cell>
          <cell r="S456" t="str">
            <v>1001+10;1002+15;</v>
          </cell>
          <cell r="T456">
            <v>0</v>
          </cell>
        </row>
        <row r="457">
          <cell r="A457">
            <v>345</v>
          </cell>
          <cell r="B457" t="str">
            <v>肉痴</v>
          </cell>
          <cell r="C457" t="str">
            <v>1201026;1201027;1201028</v>
          </cell>
          <cell r="D457" t="str">
            <v>1201026;1201027;1201028;1201029</v>
          </cell>
          <cell r="E457" t="str">
            <v>1201026;1201027;1201028;1201029;1201030</v>
          </cell>
        </row>
        <row r="457">
          <cell r="G457">
            <v>0</v>
          </cell>
          <cell r="H457">
            <v>1</v>
          </cell>
          <cell r="I457">
            <v>1</v>
          </cell>
          <cell r="J457" t="b">
            <v>0</v>
          </cell>
          <cell r="K457">
            <v>1003</v>
          </cell>
          <cell r="L457">
            <v>-6.34</v>
          </cell>
          <cell r="M457">
            <v>-7.69</v>
          </cell>
          <cell r="N457">
            <v>0</v>
          </cell>
          <cell r="O457" t="str">
            <v>3.2,-7.2;</v>
          </cell>
          <cell r="P457" t="str">
            <v>0.362,-5.65;1.743,-5.48;0.34,-7.68;-0.76,-5.24;-1.76,-5.89;</v>
          </cell>
          <cell r="Q457">
            <v>13000</v>
          </cell>
          <cell r="R457">
            <v>0</v>
          </cell>
          <cell r="S457" t="str">
            <v>1001+10;1002+15;</v>
          </cell>
          <cell r="T457">
            <v>0</v>
          </cell>
        </row>
        <row r="458">
          <cell r="A458">
            <v>346</v>
          </cell>
          <cell r="B458" t="str">
            <v>葛有方</v>
          </cell>
          <cell r="C458">
            <v>1200987</v>
          </cell>
          <cell r="D458" t="str">
            <v>1200987;1201031</v>
          </cell>
          <cell r="E458" t="str">
            <v>1200987;1201031;1201032</v>
          </cell>
        </row>
        <row r="458">
          <cell r="G458">
            <v>0</v>
          </cell>
          <cell r="H458">
            <v>1</v>
          </cell>
          <cell r="I458">
            <v>1</v>
          </cell>
          <cell r="J458" t="b">
            <v>0</v>
          </cell>
          <cell r="K458">
            <v>1003</v>
          </cell>
          <cell r="L458">
            <v>-6.34</v>
          </cell>
          <cell r="M458">
            <v>-7.69</v>
          </cell>
          <cell r="N458">
            <v>0</v>
          </cell>
          <cell r="O458" t="str">
            <v>3.2,-7.2;</v>
          </cell>
          <cell r="P458" t="str">
            <v>0.362,-5.65;1.743,-5.48;0.34,-7.68;-0.76,-5.24;-1.76,-5.89;</v>
          </cell>
          <cell r="Q458">
            <v>13000</v>
          </cell>
          <cell r="R458">
            <v>0</v>
          </cell>
          <cell r="S458" t="str">
            <v>1001+10;1002+15;</v>
          </cell>
          <cell r="T458">
            <v>0</v>
          </cell>
        </row>
        <row r="459">
          <cell r="A459">
            <v>347</v>
          </cell>
          <cell r="B459" t="str">
            <v>连天明</v>
          </cell>
          <cell r="C459" t="str">
            <v>1200988;1201033;1201034</v>
          </cell>
          <cell r="D459" t="str">
            <v>1200988;1201033;1201034;1201035</v>
          </cell>
          <cell r="E459" t="str">
            <v>1200988;1201033;1201034;1201035;1201036</v>
          </cell>
        </row>
        <row r="459">
          <cell r="G459">
            <v>0</v>
          </cell>
          <cell r="H459">
            <v>1</v>
          </cell>
          <cell r="I459">
            <v>1</v>
          </cell>
          <cell r="J459" t="b">
            <v>0</v>
          </cell>
          <cell r="K459">
            <v>1003</v>
          </cell>
          <cell r="L459">
            <v>-6.34</v>
          </cell>
          <cell r="M459">
            <v>-7.69</v>
          </cell>
          <cell r="N459">
            <v>0</v>
          </cell>
          <cell r="O459" t="str">
            <v>3.2,-7.2;</v>
          </cell>
          <cell r="P459" t="str">
            <v>0.362,-5.65;1.743,-5.48;0.34,-7.68;-0.76,-5.24;-1.76,-5.89;</v>
          </cell>
          <cell r="Q459">
            <v>13000</v>
          </cell>
          <cell r="R459">
            <v>0</v>
          </cell>
          <cell r="S459" t="str">
            <v>1001+10;1002+15;</v>
          </cell>
          <cell r="T459" t="str">
            <v>11100,1</v>
          </cell>
        </row>
        <row r="460">
          <cell r="A460">
            <v>348</v>
          </cell>
          <cell r="B460" t="str">
            <v>连环寨精锐</v>
          </cell>
          <cell r="C460" t="str">
            <v>1201113;1201114</v>
          </cell>
          <cell r="D460" t="str">
            <v>1201113;1201114;1201115</v>
          </cell>
          <cell r="E460" t="str">
            <v>1201113;1201114;1201115;1201116</v>
          </cell>
        </row>
        <row r="460">
          <cell r="G460">
            <v>0</v>
          </cell>
          <cell r="H460">
            <v>1</v>
          </cell>
          <cell r="I460">
            <v>1</v>
          </cell>
          <cell r="J460" t="b">
            <v>0</v>
          </cell>
          <cell r="K460">
            <v>1003</v>
          </cell>
          <cell r="L460">
            <v>-6.34</v>
          </cell>
          <cell r="M460">
            <v>-7.69</v>
          </cell>
          <cell r="N460">
            <v>0</v>
          </cell>
          <cell r="O460" t="str">
            <v>3.2,-7.2;</v>
          </cell>
          <cell r="P460" t="str">
            <v>0.362,-5.65;1.743,-5.48;0.34,-7.68;-0.76,-5.24;-1.76,-5.89;</v>
          </cell>
          <cell r="Q460">
            <v>13000</v>
          </cell>
          <cell r="R460">
            <v>0</v>
          </cell>
          <cell r="S460" t="str">
            <v>1001+15;1002+20;</v>
          </cell>
          <cell r="T460">
            <v>0</v>
          </cell>
        </row>
        <row r="461">
          <cell r="A461">
            <v>349</v>
          </cell>
          <cell r="B461" t="str">
            <v>连环寨精锐</v>
          </cell>
          <cell r="C461" t="str">
            <v>1201136;1201137;1201138</v>
          </cell>
          <cell r="D461" t="str">
            <v>1201136;1201137;1201138;1201139</v>
          </cell>
          <cell r="E461" t="str">
            <v>1201136;1201137;1201138;1201139;1201140</v>
          </cell>
        </row>
        <row r="461">
          <cell r="G461">
            <v>0</v>
          </cell>
          <cell r="H461">
            <v>1</v>
          </cell>
          <cell r="I461">
            <v>1</v>
          </cell>
          <cell r="J461" t="b">
            <v>0</v>
          </cell>
          <cell r="K461">
            <v>1003</v>
          </cell>
          <cell r="L461">
            <v>-6.34</v>
          </cell>
          <cell r="M461">
            <v>-7.69</v>
          </cell>
          <cell r="N461">
            <v>0</v>
          </cell>
          <cell r="O461" t="str">
            <v>3.2,-7.2;</v>
          </cell>
          <cell r="P461" t="str">
            <v>0.362,-5.65;1.743,-5.48;0.34,-7.68;-0.76,-5.24;-1.76,-5.89;</v>
          </cell>
          <cell r="Q461">
            <v>13000</v>
          </cell>
          <cell r="R461">
            <v>0</v>
          </cell>
          <cell r="S461" t="str">
            <v>1001+15;1002+20;</v>
          </cell>
          <cell r="T461">
            <v>0</v>
          </cell>
        </row>
        <row r="462">
          <cell r="A462">
            <v>350</v>
          </cell>
          <cell r="B462" t="str">
            <v>连环寨精锐</v>
          </cell>
          <cell r="C462" t="str">
            <v>1201141;1201142</v>
          </cell>
          <cell r="D462" t="str">
            <v>1201141;1201142;1201143</v>
          </cell>
          <cell r="E462" t="str">
            <v>1201141;1201142;1201143;1201144</v>
          </cell>
        </row>
        <row r="462">
          <cell r="G462">
            <v>0</v>
          </cell>
          <cell r="H462">
            <v>1</v>
          </cell>
          <cell r="I462">
            <v>1</v>
          </cell>
          <cell r="J462" t="b">
            <v>0</v>
          </cell>
          <cell r="K462">
            <v>1003</v>
          </cell>
          <cell r="L462">
            <v>-6.34</v>
          </cell>
          <cell r="M462">
            <v>-7.69</v>
          </cell>
          <cell r="N462">
            <v>0</v>
          </cell>
          <cell r="O462" t="str">
            <v>3.2,-7.2;</v>
          </cell>
          <cell r="P462" t="str">
            <v>0.362,-5.65;1.743,-5.48;0.34,-7.68;-0.76,-5.24;-1.76,-5.89;</v>
          </cell>
          <cell r="Q462">
            <v>13000</v>
          </cell>
          <cell r="R462">
            <v>0</v>
          </cell>
          <cell r="S462" t="str">
            <v>1001+15;1002+20;</v>
          </cell>
          <cell r="T462">
            <v>0</v>
          </cell>
        </row>
        <row r="463">
          <cell r="A463">
            <v>351</v>
          </cell>
          <cell r="B463" t="str">
            <v>连环寨精锐</v>
          </cell>
          <cell r="C463" t="str">
            <v>1201145;1201146;1201147</v>
          </cell>
          <cell r="D463" t="str">
            <v>1201145;1201146;1201147;1201148</v>
          </cell>
          <cell r="E463" t="str">
            <v>1201145;1201146;1201147;1201148;1201149</v>
          </cell>
        </row>
        <row r="463">
          <cell r="G463">
            <v>0</v>
          </cell>
          <cell r="H463">
            <v>1</v>
          </cell>
          <cell r="I463">
            <v>1</v>
          </cell>
          <cell r="J463" t="b">
            <v>0</v>
          </cell>
          <cell r="K463">
            <v>1003</v>
          </cell>
          <cell r="L463">
            <v>-6.34</v>
          </cell>
          <cell r="M463">
            <v>-7.69</v>
          </cell>
          <cell r="N463">
            <v>0</v>
          </cell>
          <cell r="O463" t="str">
            <v>3.2,-7.2;</v>
          </cell>
          <cell r="P463" t="str">
            <v>0.362,-5.65;1.743,-5.48;0.34,-7.68;-0.76,-5.24;-1.76,-5.89;</v>
          </cell>
          <cell r="Q463">
            <v>13000</v>
          </cell>
          <cell r="R463">
            <v>0</v>
          </cell>
          <cell r="S463" t="str">
            <v>1001+15;1002+20;</v>
          </cell>
          <cell r="T463">
            <v>0</v>
          </cell>
        </row>
        <row r="464">
          <cell r="A464">
            <v>352</v>
          </cell>
          <cell r="B464" t="str">
            <v>肉痴</v>
          </cell>
          <cell r="C464" t="str">
            <v>1201150;1201151;1201152</v>
          </cell>
          <cell r="D464" t="str">
            <v>1201150;1201151;1201152;1201153</v>
          </cell>
          <cell r="E464" t="str">
            <v>1201150;1201151;1201152;1201153;1201154</v>
          </cell>
        </row>
        <row r="464">
          <cell r="G464">
            <v>0</v>
          </cell>
          <cell r="H464">
            <v>1</v>
          </cell>
          <cell r="I464">
            <v>1</v>
          </cell>
          <cell r="J464" t="b">
            <v>0</v>
          </cell>
          <cell r="K464">
            <v>1003</v>
          </cell>
          <cell r="L464">
            <v>-6.34</v>
          </cell>
          <cell r="M464">
            <v>-7.69</v>
          </cell>
          <cell r="N464">
            <v>0</v>
          </cell>
          <cell r="O464" t="str">
            <v>3.2,-7.2;</v>
          </cell>
          <cell r="P464" t="str">
            <v>0.362,-5.65;1.743,-5.48;0.34,-7.68;-0.76,-5.24;-1.76,-5.89;</v>
          </cell>
          <cell r="Q464">
            <v>13000</v>
          </cell>
          <cell r="R464">
            <v>0</v>
          </cell>
          <cell r="S464" t="str">
            <v>1001+15;1002+20;</v>
          </cell>
          <cell r="T464">
            <v>0</v>
          </cell>
        </row>
        <row r="465">
          <cell r="A465">
            <v>353</v>
          </cell>
          <cell r="B465" t="str">
            <v>葛有方</v>
          </cell>
          <cell r="C465" t="str">
            <v>1201111</v>
          </cell>
          <cell r="D465" t="str">
            <v>1201111;1201155</v>
          </cell>
          <cell r="E465" t="str">
            <v>1201111;1201155;1201156</v>
          </cell>
        </row>
        <row r="465">
          <cell r="G465">
            <v>0</v>
          </cell>
          <cell r="H465">
            <v>1</v>
          </cell>
          <cell r="I465">
            <v>1</v>
          </cell>
          <cell r="J465" t="b">
            <v>0</v>
          </cell>
          <cell r="K465">
            <v>1003</v>
          </cell>
          <cell r="L465">
            <v>-6.34</v>
          </cell>
          <cell r="M465">
            <v>-7.69</v>
          </cell>
          <cell r="N465">
            <v>0</v>
          </cell>
          <cell r="O465" t="str">
            <v>3.2,-7.2;</v>
          </cell>
          <cell r="P465" t="str">
            <v>0.362,-5.65;1.743,-5.48;0.34,-7.68;-0.76,-5.24;-1.76,-5.89;</v>
          </cell>
          <cell r="Q465">
            <v>13000</v>
          </cell>
          <cell r="R465">
            <v>0</v>
          </cell>
          <cell r="S465" t="str">
            <v>1001+15;1002+20;</v>
          </cell>
          <cell r="T465">
            <v>0</v>
          </cell>
        </row>
        <row r="466">
          <cell r="A466">
            <v>354</v>
          </cell>
          <cell r="B466" t="str">
            <v>连天明</v>
          </cell>
          <cell r="C466" t="str">
            <v>1201112;1201157;1201158</v>
          </cell>
          <cell r="D466" t="str">
            <v>1201112;1201157;1201158;1201159</v>
          </cell>
          <cell r="E466" t="str">
            <v>1201112;1201157;1201158;1201159;1201160</v>
          </cell>
        </row>
        <row r="466">
          <cell r="G466">
            <v>0</v>
          </cell>
          <cell r="H466">
            <v>1</v>
          </cell>
          <cell r="I466">
            <v>1</v>
          </cell>
          <cell r="J466" t="b">
            <v>0</v>
          </cell>
          <cell r="K466">
            <v>1003</v>
          </cell>
          <cell r="L466">
            <v>-6.34</v>
          </cell>
          <cell r="M466">
            <v>-7.69</v>
          </cell>
          <cell r="N466">
            <v>0</v>
          </cell>
          <cell r="O466" t="str">
            <v>3.2,-7.2;</v>
          </cell>
          <cell r="P466" t="str">
            <v>0.362,-5.65;1.743,-5.48;0.34,-7.68;-0.76,-5.24;-1.76,-5.89;</v>
          </cell>
          <cell r="Q466">
            <v>13000</v>
          </cell>
          <cell r="R466">
            <v>0</v>
          </cell>
          <cell r="S466" t="str">
            <v>1001+15;1002+20;</v>
          </cell>
          <cell r="T466" t="str">
            <v>11200,1</v>
          </cell>
        </row>
        <row r="467">
          <cell r="A467">
            <v>355</v>
          </cell>
          <cell r="B467" t="str">
            <v>段氏弃徒 灵蜈奴</v>
          </cell>
          <cell r="C467" t="str">
            <v>1200996;1200997;1200998;1200999;1201000</v>
          </cell>
        </row>
        <row r="467">
          <cell r="G467">
            <v>0</v>
          </cell>
          <cell r="H467">
            <v>1</v>
          </cell>
          <cell r="I467">
            <v>1</v>
          </cell>
          <cell r="J467" t="b">
            <v>0</v>
          </cell>
          <cell r="K467">
            <v>1003</v>
          </cell>
          <cell r="L467">
            <v>-6.34</v>
          </cell>
          <cell r="M467">
            <v>-7.69</v>
          </cell>
        </row>
        <row r="467">
          <cell r="O467" t="str">
            <v>3.2,-7.2;</v>
          </cell>
          <cell r="P467" t="str">
            <v>0.362,-5.65;1.743,-5.48;0.34,-7.68;-0.76,-5.24;-1.76,-5.89;</v>
          </cell>
          <cell r="Q467">
            <v>18000</v>
          </cell>
          <cell r="R467">
            <v>0</v>
          </cell>
          <cell r="S467" t="str">
            <v>1001+20;1002+25;</v>
          </cell>
          <cell r="T467">
            <v>0</v>
          </cell>
        </row>
        <row r="468">
          <cell r="A468">
            <v>356</v>
          </cell>
          <cell r="B468" t="str">
            <v>段绍裘</v>
          </cell>
          <cell r="C468" t="str">
            <v>1200995;1201001;1201037;1201038;1201039</v>
          </cell>
          <cell r="D468" t="str">
            <v>1200995;1201001;1201037;1201038;1201039;1201040</v>
          </cell>
          <cell r="E468" t="str">
            <v>1200995;1201001;1201037;1201038;1201039;1201040;1201002</v>
          </cell>
        </row>
        <row r="468">
          <cell r="G468">
            <v>0</v>
          </cell>
          <cell r="H468">
            <v>1</v>
          </cell>
          <cell r="I468">
            <v>1</v>
          </cell>
          <cell r="J468" t="b">
            <v>0</v>
          </cell>
          <cell r="K468">
            <v>1003</v>
          </cell>
          <cell r="L468">
            <v>-6.34</v>
          </cell>
          <cell r="M468">
            <v>-7.69</v>
          </cell>
        </row>
        <row r="468">
          <cell r="O468" t="str">
            <v>3.2,-7.2;</v>
          </cell>
          <cell r="P468" t="str">
            <v>0.362,-5.65;1.743,-5.48;0.34,-7.68;-0.76,-5.24;-1.76,-5.89;</v>
          </cell>
          <cell r="Q468">
            <v>18000</v>
          </cell>
          <cell r="R468">
            <v>0</v>
          </cell>
          <cell r="S468" t="str">
            <v>1001+20;1002+25;</v>
          </cell>
          <cell r="T468">
            <v>0</v>
          </cell>
        </row>
        <row r="469">
          <cell r="A469">
            <v>357</v>
          </cell>
          <cell r="B469" t="str">
            <v>发狂的灵蜈奴</v>
          </cell>
          <cell r="C469" t="str">
            <v>1201003;1201008;1201009;1201010;1201011</v>
          </cell>
          <cell r="D469" t="str">
            <v>1201003;1201008;1201009;1201010;1201011;1201006</v>
          </cell>
          <cell r="E469" t="str">
            <v>1201003;1201008;1201009;1201010;1201011;1201006;1201007</v>
          </cell>
        </row>
        <row r="469">
          <cell r="G469">
            <v>0</v>
          </cell>
          <cell r="H469">
            <v>1</v>
          </cell>
          <cell r="I469">
            <v>1</v>
          </cell>
          <cell r="J469" t="b">
            <v>0</v>
          </cell>
          <cell r="K469">
            <v>1003</v>
          </cell>
          <cell r="L469">
            <v>-6.34</v>
          </cell>
          <cell r="M469">
            <v>-7.69</v>
          </cell>
        </row>
        <row r="469">
          <cell r="O469" t="str">
            <v>3.2,-7.2;</v>
          </cell>
          <cell r="P469" t="str">
            <v>0.362,-5.65;1.743,-5.48;0.34,-7.68;-0.76,-5.24;-1.76,-5.89;</v>
          </cell>
          <cell r="Q469">
            <v>18000</v>
          </cell>
          <cell r="R469">
            <v>0</v>
          </cell>
          <cell r="S469" t="str">
            <v>1001+20;1002+25;</v>
          </cell>
          <cell r="T469">
            <v>0</v>
          </cell>
        </row>
        <row r="470">
          <cell r="A470">
            <v>358</v>
          </cell>
          <cell r="B470" t="str">
            <v>毒物</v>
          </cell>
          <cell r="C470" t="str">
            <v>1201004;1201041;1201042;1201043;1201044</v>
          </cell>
        </row>
        <row r="470">
          <cell r="G470">
            <v>0</v>
          </cell>
          <cell r="H470">
            <v>1</v>
          </cell>
          <cell r="I470">
            <v>1</v>
          </cell>
          <cell r="J470" t="b">
            <v>0</v>
          </cell>
          <cell r="K470">
            <v>1003</v>
          </cell>
          <cell r="L470">
            <v>-6.34</v>
          </cell>
          <cell r="M470">
            <v>-7.69</v>
          </cell>
        </row>
        <row r="470">
          <cell r="O470" t="str">
            <v>3.2,-7.2;</v>
          </cell>
          <cell r="P470" t="str">
            <v>0.362,-5.65;1.743,-5.48;0.34,-7.68;-0.76,-5.24;-1.76,-5.89;</v>
          </cell>
          <cell r="Q470">
            <v>18000</v>
          </cell>
          <cell r="R470">
            <v>0</v>
          </cell>
          <cell r="S470" t="str">
            <v>1001+20;1002+25;</v>
          </cell>
          <cell r="T470">
            <v>0</v>
          </cell>
        </row>
        <row r="471">
          <cell r="A471">
            <v>359</v>
          </cell>
          <cell r="B471" t="str">
            <v>灵蜈奴 螣蛇谷民</v>
          </cell>
          <cell r="C471" t="str">
            <v>1201045;1201046;1201047;1201048;1201049</v>
          </cell>
        </row>
        <row r="471">
          <cell r="G471">
            <v>0</v>
          </cell>
          <cell r="H471">
            <v>1</v>
          </cell>
          <cell r="I471">
            <v>1</v>
          </cell>
          <cell r="J471" t="b">
            <v>0</v>
          </cell>
          <cell r="K471">
            <v>1003</v>
          </cell>
          <cell r="L471">
            <v>-6.34</v>
          </cell>
          <cell r="M471">
            <v>-7.69</v>
          </cell>
        </row>
        <row r="471">
          <cell r="O471" t="str">
            <v>3.2,-7.2;</v>
          </cell>
          <cell r="P471" t="str">
            <v>0.362,-5.65;1.743,-5.48;0.34,-7.68;-0.76,-5.24;-1.76,-5.89;</v>
          </cell>
          <cell r="Q471">
            <v>18000</v>
          </cell>
          <cell r="R471">
            <v>0</v>
          </cell>
          <cell r="S471" t="str">
            <v>1001+20;1002+25;</v>
          </cell>
          <cell r="T471">
            <v>0</v>
          </cell>
        </row>
        <row r="472">
          <cell r="A472">
            <v>360</v>
          </cell>
          <cell r="B472" t="str">
            <v>百目君</v>
          </cell>
          <cell r="C472" t="str">
            <v>1200994;1201050;1201051;1201052;1201053</v>
          </cell>
          <cell r="D472" t="str">
            <v>1200994;1201050;1201051;1201052;1201053;1201054</v>
          </cell>
          <cell r="E472" t="str">
            <v>1200994;1201050;1201051;1201052;1201053;1201054;1201055</v>
          </cell>
        </row>
        <row r="472">
          <cell r="G472">
            <v>0</v>
          </cell>
          <cell r="H472">
            <v>1</v>
          </cell>
          <cell r="I472">
            <v>1</v>
          </cell>
          <cell r="J472" t="b">
            <v>0</v>
          </cell>
          <cell r="K472">
            <v>1003</v>
          </cell>
          <cell r="L472">
            <v>-6.34</v>
          </cell>
          <cell r="M472">
            <v>-7.69</v>
          </cell>
        </row>
        <row r="472">
          <cell r="O472" t="str">
            <v>3.2,-7.2;</v>
          </cell>
          <cell r="P472" t="str">
            <v>0.362,-5.65;1.743,-5.48;0.34,-7.68;-0.76,-5.24;-1.76,-5.89;</v>
          </cell>
          <cell r="Q472">
            <v>18000</v>
          </cell>
          <cell r="R472">
            <v>0</v>
          </cell>
          <cell r="S472" t="str">
            <v>1001+20;1002+25;</v>
          </cell>
          <cell r="T472">
            <v>0</v>
          </cell>
        </row>
        <row r="473">
          <cell r="A473">
            <v>361</v>
          </cell>
          <cell r="B473" t="str">
            <v>灯火夜蟾</v>
          </cell>
          <cell r="C473" t="str">
            <v>1201005;1201056;1201057;1201058;1201059</v>
          </cell>
          <cell r="D473" t="str">
            <v>1201005;1201056;1201057;1201058;1201059;1201060</v>
          </cell>
          <cell r="E473" t="str">
            <v>1201005;1201056;1201057;1201058;1201059;1201060;1201061</v>
          </cell>
        </row>
        <row r="473">
          <cell r="G473">
            <v>0</v>
          </cell>
          <cell r="H473">
            <v>1</v>
          </cell>
          <cell r="I473">
            <v>1</v>
          </cell>
          <cell r="J473" t="b">
            <v>0</v>
          </cell>
          <cell r="K473">
            <v>1003</v>
          </cell>
          <cell r="L473">
            <v>-6.34</v>
          </cell>
          <cell r="M473">
            <v>-7.69</v>
          </cell>
        </row>
        <row r="473">
          <cell r="O473" t="str">
            <v>3.2,-7.2;</v>
          </cell>
          <cell r="P473" t="str">
            <v>0.362,-5.65;1.743,-5.48;0.34,-7.68;-0.76,-5.24;-1.76,-5.89;</v>
          </cell>
          <cell r="Q473">
            <v>18000</v>
          </cell>
          <cell r="R473">
            <v>0</v>
          </cell>
          <cell r="S473" t="str">
            <v>1001+20;1002+25;908040+1;908042+1</v>
          </cell>
        </row>
        <row r="474">
          <cell r="A474">
            <v>362</v>
          </cell>
          <cell r="B474" t="str">
            <v>净蛊天池</v>
          </cell>
        </row>
        <row r="474">
          <cell r="G474">
            <v>0</v>
          </cell>
          <cell r="H474">
            <v>1</v>
          </cell>
          <cell r="I474">
            <v>1</v>
          </cell>
          <cell r="J474" t="b">
            <v>0</v>
          </cell>
          <cell r="K474">
            <v>1003</v>
          </cell>
          <cell r="L474">
            <v>-6.34</v>
          </cell>
          <cell r="M474">
            <v>-7.69</v>
          </cell>
        </row>
        <row r="474">
          <cell r="O474" t="str">
            <v>3.2,-7.2;</v>
          </cell>
          <cell r="P474" t="str">
            <v>0.362,-5.65;1.743,-5.48;0.34,-7.68;-0.76,-5.24;-1.76,-5.89;</v>
          </cell>
          <cell r="Q474">
            <v>18000</v>
          </cell>
          <cell r="R474">
            <v>0</v>
          </cell>
          <cell r="S474" t="str">
            <v>1001+20;1002+25;</v>
          </cell>
          <cell r="T474">
            <v>0</v>
          </cell>
        </row>
        <row r="475">
          <cell r="A475">
            <v>363</v>
          </cell>
          <cell r="B475" t="str">
            <v>蒙巳</v>
          </cell>
          <cell r="C475" t="str">
            <v>1200993;1201062;1201063;1201064;1201065</v>
          </cell>
          <cell r="D475" t="str">
            <v>1200993;1201062;1201063;1201064;1201065;1201066</v>
          </cell>
          <cell r="E475" t="str">
            <v>1200993;1201062;1201063;1201064;1201065;1201066;1201067</v>
          </cell>
        </row>
        <row r="475">
          <cell r="G475">
            <v>0</v>
          </cell>
          <cell r="H475">
            <v>1</v>
          </cell>
          <cell r="I475">
            <v>1</v>
          </cell>
          <cell r="J475" t="b">
            <v>0</v>
          </cell>
          <cell r="K475">
            <v>1003</v>
          </cell>
          <cell r="L475">
            <v>-6.34</v>
          </cell>
          <cell r="M475">
            <v>-7.69</v>
          </cell>
        </row>
        <row r="475">
          <cell r="O475" t="str">
            <v>3.2,-7.2;</v>
          </cell>
          <cell r="P475" t="str">
            <v>0.362,-5.65;1.743,-5.48;0.34,-7.68;-0.76,-5.24;-1.76,-5.89;</v>
          </cell>
          <cell r="Q475">
            <v>18000</v>
          </cell>
          <cell r="R475">
            <v>0</v>
          </cell>
          <cell r="S475" t="str">
            <v>1001+20;1002+25;</v>
          </cell>
          <cell r="T475" t="str">
            <v>11100,1</v>
          </cell>
        </row>
        <row r="476">
          <cell r="A476">
            <v>364</v>
          </cell>
          <cell r="B476" t="str">
            <v>段氏弃徒 灵蜈奴</v>
          </cell>
          <cell r="C476" t="str">
            <v>1201120;1201121;1201122;1201123;1201124</v>
          </cell>
        </row>
        <row r="476">
          <cell r="G476">
            <v>0</v>
          </cell>
          <cell r="H476">
            <v>1</v>
          </cell>
          <cell r="I476">
            <v>1</v>
          </cell>
          <cell r="J476" t="b">
            <v>0</v>
          </cell>
          <cell r="K476">
            <v>1003</v>
          </cell>
          <cell r="L476">
            <v>-6.34</v>
          </cell>
          <cell r="M476">
            <v>-7.69</v>
          </cell>
        </row>
        <row r="476">
          <cell r="O476" t="str">
            <v>3.2,-7.2;</v>
          </cell>
          <cell r="P476" t="str">
            <v>0.362,-5.65;1.743,-5.48;0.34,-7.68;-0.76,-5.24;-1.76,-5.89;</v>
          </cell>
          <cell r="Q476">
            <v>18000</v>
          </cell>
          <cell r="R476">
            <v>0</v>
          </cell>
          <cell r="S476" t="str">
            <v>1001+30;1002+35;</v>
          </cell>
          <cell r="T476">
            <v>0</v>
          </cell>
        </row>
        <row r="477">
          <cell r="A477">
            <v>365</v>
          </cell>
          <cell r="B477" t="str">
            <v>段绍裘</v>
          </cell>
          <cell r="C477" t="str">
            <v>1201119;1201125;1201161;1201162;1201163</v>
          </cell>
          <cell r="D477" t="str">
            <v>1201119;1201125;1201161;1201162;1201163;1201164</v>
          </cell>
          <cell r="E477" t="str">
            <v>1201119;1201125;1201161;1201162;1201163;1201164;1201126</v>
          </cell>
        </row>
        <row r="477">
          <cell r="G477">
            <v>0</v>
          </cell>
          <cell r="H477">
            <v>1</v>
          </cell>
          <cell r="I477">
            <v>1</v>
          </cell>
          <cell r="J477" t="b">
            <v>0</v>
          </cell>
          <cell r="K477">
            <v>1003</v>
          </cell>
          <cell r="L477">
            <v>-6.34</v>
          </cell>
          <cell r="M477">
            <v>-7.69</v>
          </cell>
        </row>
        <row r="477">
          <cell r="O477" t="str">
            <v>3.2,-7.2;</v>
          </cell>
          <cell r="P477" t="str">
            <v>0.362,-5.65;1.743,-5.48;0.34,-7.68;-0.76,-5.24;-1.76,-5.89;</v>
          </cell>
          <cell r="Q477">
            <v>18000</v>
          </cell>
          <cell r="R477">
            <v>0</v>
          </cell>
          <cell r="S477" t="str">
            <v>1001+30;1002+35;</v>
          </cell>
          <cell r="T477">
            <v>0</v>
          </cell>
        </row>
        <row r="478">
          <cell r="A478">
            <v>366</v>
          </cell>
          <cell r="B478" t="str">
            <v>发狂的灵蜈奴</v>
          </cell>
          <cell r="C478" t="str">
            <v>1201127;1201132;1201133;1201134;1201135</v>
          </cell>
          <cell r="D478" t="str">
            <v>1201127;1201132;1201133;1201134;1201135;1201130</v>
          </cell>
          <cell r="E478" t="str">
            <v>1201127;1201132;1201133;1201134;1201135;1201130;1201131</v>
          </cell>
        </row>
        <row r="478">
          <cell r="G478">
            <v>0</v>
          </cell>
          <cell r="H478">
            <v>1</v>
          </cell>
          <cell r="I478">
            <v>1</v>
          </cell>
          <cell r="J478" t="b">
            <v>0</v>
          </cell>
          <cell r="K478">
            <v>1003</v>
          </cell>
          <cell r="L478">
            <v>-6.34</v>
          </cell>
          <cell r="M478">
            <v>-7.69</v>
          </cell>
        </row>
        <row r="478">
          <cell r="O478" t="str">
            <v>3.2,-7.2;</v>
          </cell>
          <cell r="P478" t="str">
            <v>0.362,-5.65;1.743,-5.48;0.34,-7.68;-0.76,-5.24;-1.76,-5.89;</v>
          </cell>
          <cell r="Q478">
            <v>18000</v>
          </cell>
          <cell r="R478">
            <v>0</v>
          </cell>
          <cell r="S478" t="str">
            <v>1001+30;1002+35;</v>
          </cell>
          <cell r="T478">
            <v>0</v>
          </cell>
        </row>
        <row r="479">
          <cell r="A479">
            <v>367</v>
          </cell>
          <cell r="B479" t="str">
            <v>毒物</v>
          </cell>
          <cell r="C479" t="str">
            <v>1201128;1201165;1201166;1201167;1201168</v>
          </cell>
        </row>
        <row r="479">
          <cell r="G479">
            <v>0</v>
          </cell>
          <cell r="H479">
            <v>1</v>
          </cell>
          <cell r="I479">
            <v>1</v>
          </cell>
          <cell r="J479" t="b">
            <v>0</v>
          </cell>
          <cell r="K479">
            <v>1003</v>
          </cell>
          <cell r="L479">
            <v>-6.34</v>
          </cell>
          <cell r="M479">
            <v>-7.69</v>
          </cell>
        </row>
        <row r="479">
          <cell r="O479" t="str">
            <v>3.2,-7.2;</v>
          </cell>
          <cell r="P479" t="str">
            <v>0.362,-5.65;1.743,-5.48;0.34,-7.68;-0.76,-5.24;-1.76,-5.89;</v>
          </cell>
          <cell r="Q479">
            <v>18000</v>
          </cell>
          <cell r="R479">
            <v>0</v>
          </cell>
          <cell r="S479" t="str">
            <v>1001+30;1002+35;</v>
          </cell>
          <cell r="T479">
            <v>0</v>
          </cell>
        </row>
        <row r="480">
          <cell r="A480">
            <v>368</v>
          </cell>
          <cell r="B480" t="str">
            <v>灵蜈奴 螣蛇谷民</v>
          </cell>
          <cell r="C480" t="str">
            <v>1201169;1201170;1201171;1201172;1201173</v>
          </cell>
        </row>
        <row r="480">
          <cell r="G480">
            <v>0</v>
          </cell>
          <cell r="H480">
            <v>1</v>
          </cell>
          <cell r="I480">
            <v>1</v>
          </cell>
          <cell r="J480" t="b">
            <v>0</v>
          </cell>
          <cell r="K480">
            <v>1003</v>
          </cell>
          <cell r="L480">
            <v>-6.34</v>
          </cell>
          <cell r="M480">
            <v>-7.69</v>
          </cell>
        </row>
        <row r="480">
          <cell r="O480" t="str">
            <v>3.2,-7.2;</v>
          </cell>
          <cell r="P480" t="str">
            <v>0.362,-5.65;1.743,-5.48;0.34,-7.68;-0.76,-5.24;-1.76,-5.89;</v>
          </cell>
          <cell r="Q480">
            <v>18000</v>
          </cell>
          <cell r="R480">
            <v>0</v>
          </cell>
          <cell r="S480" t="str">
            <v>1001+30;1002+35;</v>
          </cell>
          <cell r="T480">
            <v>0</v>
          </cell>
        </row>
        <row r="481">
          <cell r="A481">
            <v>369</v>
          </cell>
          <cell r="B481" t="str">
            <v>百目君</v>
          </cell>
          <cell r="C481" t="str">
            <v>1201118;1201174;1201175;1201176;1201177</v>
          </cell>
          <cell r="D481" t="str">
            <v>1201118;1201174;1201175;1201176;1201177;1201178</v>
          </cell>
          <cell r="E481" t="str">
            <v>1201118;1201174;1201175;1201176;1201177;1201178;1201179</v>
          </cell>
        </row>
        <row r="481">
          <cell r="G481">
            <v>0</v>
          </cell>
          <cell r="H481">
            <v>1</v>
          </cell>
          <cell r="I481">
            <v>1</v>
          </cell>
          <cell r="J481" t="b">
            <v>0</v>
          </cell>
          <cell r="K481">
            <v>1003</v>
          </cell>
          <cell r="L481">
            <v>-6.34</v>
          </cell>
          <cell r="M481">
            <v>-7.69</v>
          </cell>
        </row>
        <row r="481">
          <cell r="O481" t="str">
            <v>3.2,-7.2;</v>
          </cell>
          <cell r="P481" t="str">
            <v>0.362,-5.65;1.743,-5.48;0.34,-7.68;-0.76,-5.24;-1.76,-5.89;</v>
          </cell>
          <cell r="Q481">
            <v>18000</v>
          </cell>
          <cell r="R481">
            <v>0</v>
          </cell>
          <cell r="S481" t="str">
            <v>1001+30;1002+35;</v>
          </cell>
          <cell r="T481">
            <v>0</v>
          </cell>
        </row>
        <row r="482">
          <cell r="A482">
            <v>370</v>
          </cell>
          <cell r="B482" t="str">
            <v>灯火夜蟾</v>
          </cell>
          <cell r="C482" t="str">
            <v>1201129;1201180;1201181;1201182;1201183</v>
          </cell>
          <cell r="D482" t="str">
            <v>1201129;1201180;1201181;1201182;1201183;1201184</v>
          </cell>
          <cell r="E482" t="str">
            <v>1201129;1201180;1201181;1201182;1201183;1201184;1201185</v>
          </cell>
        </row>
        <row r="482">
          <cell r="G482">
            <v>0</v>
          </cell>
          <cell r="H482">
            <v>1</v>
          </cell>
          <cell r="I482">
            <v>1</v>
          </cell>
          <cell r="J482" t="b">
            <v>0</v>
          </cell>
          <cell r="K482">
            <v>1003</v>
          </cell>
          <cell r="L482">
            <v>-6.34</v>
          </cell>
          <cell r="M482">
            <v>-7.69</v>
          </cell>
        </row>
        <row r="482">
          <cell r="O482" t="str">
            <v>3.2,-7.2;</v>
          </cell>
          <cell r="P482" t="str">
            <v>0.362,-5.65;1.743,-5.48;0.34,-7.68;-0.76,-5.24;-1.76,-5.89;</v>
          </cell>
          <cell r="Q482">
            <v>18000</v>
          </cell>
          <cell r="R482">
            <v>0</v>
          </cell>
          <cell r="S482" t="str">
            <v>1001+30;1002+35;908040+1;908042+1</v>
          </cell>
          <cell r="T482">
            <v>0</v>
          </cell>
        </row>
        <row r="483">
          <cell r="A483">
            <v>371</v>
          </cell>
          <cell r="B483" t="str">
            <v>净蛊天池</v>
          </cell>
        </row>
        <row r="483">
          <cell r="G483">
            <v>0</v>
          </cell>
          <cell r="H483">
            <v>1</v>
          </cell>
          <cell r="I483">
            <v>1</v>
          </cell>
          <cell r="J483" t="b">
            <v>0</v>
          </cell>
          <cell r="K483">
            <v>1003</v>
          </cell>
          <cell r="L483">
            <v>-6.34</v>
          </cell>
          <cell r="M483">
            <v>-7.69</v>
          </cell>
        </row>
        <row r="483">
          <cell r="O483" t="str">
            <v>3.2,-7.2;</v>
          </cell>
          <cell r="P483" t="str">
            <v>0.362,-5.65;1.743,-5.48;0.34,-7.68;-0.76,-5.24;-1.76,-5.89;</v>
          </cell>
          <cell r="Q483">
            <v>18000</v>
          </cell>
          <cell r="R483">
            <v>0</v>
          </cell>
          <cell r="S483" t="str">
            <v>1001+30;1002+35;</v>
          </cell>
          <cell r="T483">
            <v>0</v>
          </cell>
        </row>
        <row r="484">
          <cell r="A484">
            <v>372</v>
          </cell>
          <cell r="B484" t="str">
            <v>蒙巳</v>
          </cell>
          <cell r="C484" t="str">
            <v>1201117;1201186;1201187;1201188;1201189</v>
          </cell>
          <cell r="D484" t="str">
            <v>1201117;1201186;1201187;1201188;1201189;1201190</v>
          </cell>
          <cell r="E484" t="str">
            <v>1201117;1201186;1201187;1201188;1201189;1201190;1201191</v>
          </cell>
        </row>
        <row r="484">
          <cell r="G484">
            <v>0</v>
          </cell>
          <cell r="H484">
            <v>1</v>
          </cell>
          <cell r="I484">
            <v>1</v>
          </cell>
          <cell r="J484" t="b">
            <v>0</v>
          </cell>
          <cell r="K484">
            <v>1003</v>
          </cell>
          <cell r="L484">
            <v>-6.34</v>
          </cell>
          <cell r="M484">
            <v>-7.69</v>
          </cell>
        </row>
        <row r="484">
          <cell r="O484" t="str">
            <v>3.2,-7.2;</v>
          </cell>
          <cell r="P484" t="str">
            <v>0.362,-5.65;1.743,-5.48;0.34,-7.68;-0.76,-5.24;-1.76,-5.89;</v>
          </cell>
          <cell r="Q484">
            <v>18000</v>
          </cell>
          <cell r="R484">
            <v>0</v>
          </cell>
          <cell r="S484" t="str">
            <v>1001+30;1002+35;</v>
          </cell>
          <cell r="T484" t="str">
            <v>11200,1</v>
          </cell>
        </row>
        <row r="485">
          <cell r="A485">
            <v>373</v>
          </cell>
          <cell r="B485" t="str">
            <v>若烟</v>
          </cell>
          <cell r="C485" t="str">
            <v>1201068;1201069;1201070;1201071;1201072</v>
          </cell>
          <cell r="D485" t="str">
            <v>1201068;1201069;1201070;1201071;1201072;1201073</v>
          </cell>
          <cell r="E485" t="str">
            <v>1201068;1201069;1201070;1201071;1201072;1201073;1201074</v>
          </cell>
        </row>
        <row r="485">
          <cell r="G485">
            <v>0</v>
          </cell>
          <cell r="H485">
            <v>1</v>
          </cell>
          <cell r="I485">
            <v>1</v>
          </cell>
          <cell r="J485" t="b">
            <v>0</v>
          </cell>
          <cell r="K485">
            <v>1003</v>
          </cell>
          <cell r="L485">
            <v>-6.34</v>
          </cell>
          <cell r="M485">
            <v>-7.69</v>
          </cell>
        </row>
        <row r="485">
          <cell r="O485" t="str">
            <v>3.2,-7.2;</v>
          </cell>
          <cell r="P485" t="str">
            <v>0.362,-5.65;1.743,-5.48;0.34,-7.68;-0.76,-5.24;-1.76,-5.89;</v>
          </cell>
          <cell r="Q485">
            <v>19000</v>
          </cell>
          <cell r="R485">
            <v>0</v>
          </cell>
          <cell r="S485" t="str">
            <v>1001+25;1002+30;</v>
          </cell>
          <cell r="T485">
            <v>0</v>
          </cell>
        </row>
        <row r="486">
          <cell r="A486">
            <v>374</v>
          </cell>
          <cell r="B486" t="str">
            <v>近侍 亲卫</v>
          </cell>
          <cell r="C486" t="str">
            <v>1201075;1201076;1201077;1201078;1201079;1201080</v>
          </cell>
        </row>
        <row r="486">
          <cell r="G486">
            <v>0</v>
          </cell>
          <cell r="H486">
            <v>1</v>
          </cell>
          <cell r="I486">
            <v>1</v>
          </cell>
          <cell r="J486" t="b">
            <v>0</v>
          </cell>
          <cell r="K486">
            <v>1003</v>
          </cell>
          <cell r="L486">
            <v>-6.34</v>
          </cell>
          <cell r="M486">
            <v>-7.69</v>
          </cell>
        </row>
        <row r="486">
          <cell r="O486" t="str">
            <v>3.2,-7.2;</v>
          </cell>
          <cell r="P486" t="str">
            <v>0.362,-5.65;1.743,-5.48;0.34,-7.68;-0.76,-5.24;-1.76,-5.89;</v>
          </cell>
          <cell r="Q486">
            <v>19000</v>
          </cell>
          <cell r="R486">
            <v>0</v>
          </cell>
          <cell r="S486" t="str">
            <v>1001+25;1002+30;</v>
          </cell>
          <cell r="T486">
            <v>0</v>
          </cell>
        </row>
        <row r="487">
          <cell r="A487">
            <v>375</v>
          </cell>
          <cell r="B487" t="str">
            <v>近侍 亲卫</v>
          </cell>
          <cell r="C487" t="str">
            <v>1201081;1201082;1201083;1201084;1201085;1201086;1201087</v>
          </cell>
        </row>
        <row r="487">
          <cell r="G487">
            <v>0</v>
          </cell>
          <cell r="H487">
            <v>1</v>
          </cell>
          <cell r="I487">
            <v>1</v>
          </cell>
          <cell r="J487" t="b">
            <v>0</v>
          </cell>
          <cell r="K487">
            <v>1003</v>
          </cell>
          <cell r="L487">
            <v>-6.34</v>
          </cell>
          <cell r="M487">
            <v>-7.69</v>
          </cell>
        </row>
        <row r="487">
          <cell r="O487" t="str">
            <v>3.2,-7.2;</v>
          </cell>
          <cell r="P487" t="str">
            <v>0.362,-5.65;1.743,-5.48;0.34,-7.68;-0.76,-5.24;-1.76,-5.89;</v>
          </cell>
          <cell r="Q487">
            <v>19000</v>
          </cell>
          <cell r="R487">
            <v>0</v>
          </cell>
          <cell r="S487" t="str">
            <v>1001+25;1002+30;</v>
          </cell>
          <cell r="T487">
            <v>0</v>
          </cell>
        </row>
        <row r="488">
          <cell r="A488">
            <v>376</v>
          </cell>
          <cell r="B488" t="str">
            <v>阴阳卫</v>
          </cell>
          <cell r="C488" t="str">
            <v>1201088;1201089;1201090;1201091;1201092</v>
          </cell>
          <cell r="D488" t="str">
            <v>1201088;1201089;1201090;1201091;1201092;1201093</v>
          </cell>
          <cell r="E488" t="str">
            <v>1201088;1201089;1201090;1201091;1201092;1201093;1201094</v>
          </cell>
        </row>
        <row r="488">
          <cell r="G488">
            <v>0</v>
          </cell>
          <cell r="H488">
            <v>1</v>
          </cell>
          <cell r="I488">
            <v>1</v>
          </cell>
          <cell r="J488" t="b">
            <v>0</v>
          </cell>
          <cell r="K488">
            <v>1003</v>
          </cell>
          <cell r="L488">
            <v>-6.34</v>
          </cell>
          <cell r="M488">
            <v>-7.69</v>
          </cell>
        </row>
        <row r="488">
          <cell r="O488" t="str">
            <v>3.2,-7.2;</v>
          </cell>
          <cell r="P488" t="str">
            <v>0.362,-5.65;1.743,-5.48;0.34,-7.68;-0.76,-5.24;-1.76,-5.89;</v>
          </cell>
          <cell r="Q488">
            <v>19000</v>
          </cell>
          <cell r="R488">
            <v>0</v>
          </cell>
          <cell r="S488" t="str">
            <v>1001+25;1002+30;</v>
          </cell>
          <cell r="T488">
            <v>0</v>
          </cell>
        </row>
        <row r="489">
          <cell r="A489">
            <v>377</v>
          </cell>
          <cell r="B489" t="str">
            <v>阴阳卫</v>
          </cell>
          <cell r="C489" t="str">
            <v>1201095;1201096</v>
          </cell>
        </row>
        <row r="489">
          <cell r="G489">
            <v>0</v>
          </cell>
          <cell r="H489">
            <v>1</v>
          </cell>
          <cell r="I489">
            <v>1</v>
          </cell>
          <cell r="J489" t="b">
            <v>0</v>
          </cell>
          <cell r="K489">
            <v>1003</v>
          </cell>
          <cell r="L489">
            <v>-6.34</v>
          </cell>
          <cell r="M489">
            <v>-7.69</v>
          </cell>
        </row>
        <row r="489">
          <cell r="O489" t="str">
            <v>3.2,-7.2;</v>
          </cell>
          <cell r="P489" t="str">
            <v>0.362,-5.65;1.743,-5.48;0.34,-7.68;-0.76,-5.24;-1.76,-5.89;</v>
          </cell>
          <cell r="Q489">
            <v>19000</v>
          </cell>
          <cell r="R489">
            <v>0</v>
          </cell>
          <cell r="S489" t="str">
            <v>1001+25;1002+30;</v>
          </cell>
          <cell r="T489">
            <v>0</v>
          </cell>
        </row>
        <row r="490">
          <cell r="A490">
            <v>378</v>
          </cell>
          <cell r="B490" t="str">
            <v>阴阳卫</v>
          </cell>
          <cell r="C490" t="str">
            <v>1201097;1201098;1201099;1201100;1201101</v>
          </cell>
          <cell r="D490" t="str">
            <v>1201097;1201098;1201099;1201100;1201101;1201102</v>
          </cell>
          <cell r="E490" t="str">
            <v>1201097;1201098;1201099;1201100;1201101;1201102;1201103</v>
          </cell>
        </row>
        <row r="490">
          <cell r="G490">
            <v>0</v>
          </cell>
          <cell r="H490">
            <v>1</v>
          </cell>
          <cell r="I490">
            <v>1</v>
          </cell>
          <cell r="J490" t="b">
            <v>0</v>
          </cell>
          <cell r="K490">
            <v>1003</v>
          </cell>
          <cell r="L490">
            <v>-6.34</v>
          </cell>
          <cell r="M490">
            <v>-7.69</v>
          </cell>
        </row>
        <row r="490">
          <cell r="O490" t="str">
            <v>3.2,-7.2;</v>
          </cell>
          <cell r="P490" t="str">
            <v>0.362,-5.65;1.743,-5.48;0.34,-7.68;-0.76,-5.24;-1.76,-5.89;</v>
          </cell>
          <cell r="Q490">
            <v>19000</v>
          </cell>
          <cell r="R490">
            <v>0</v>
          </cell>
          <cell r="S490" t="str">
            <v>1001+25;1002+30;</v>
          </cell>
          <cell r="T490">
            <v>0</v>
          </cell>
        </row>
        <row r="491">
          <cell r="A491">
            <v>379</v>
          </cell>
          <cell r="B491" t="str">
            <v>桃花坞</v>
          </cell>
        </row>
        <row r="491">
          <cell r="G491">
            <v>0</v>
          </cell>
          <cell r="H491">
            <v>1</v>
          </cell>
          <cell r="I491">
            <v>1</v>
          </cell>
          <cell r="J491" t="b">
            <v>0</v>
          </cell>
          <cell r="K491">
            <v>1003</v>
          </cell>
          <cell r="L491">
            <v>-6.34</v>
          </cell>
          <cell r="M491">
            <v>-7.69</v>
          </cell>
        </row>
        <row r="491">
          <cell r="O491" t="str">
            <v>3.2,-7.2;</v>
          </cell>
          <cell r="P491" t="str">
            <v>0.362,-5.65;1.743,-5.48;0.34,-7.68;-0.76,-5.24;-1.76,-5.89;</v>
          </cell>
          <cell r="Q491">
            <v>19000</v>
          </cell>
          <cell r="R491">
            <v>0</v>
          </cell>
          <cell r="S491" t="str">
            <v>1001+25;1002+30;</v>
          </cell>
          <cell r="T491">
            <v>0</v>
          </cell>
        </row>
        <row r="492">
          <cell r="A492">
            <v>380</v>
          </cell>
          <cell r="B492" t="str">
            <v>潇湘子</v>
          </cell>
          <cell r="C492" t="str">
            <v>1201104;1201105;1201106;1201107;1201108</v>
          </cell>
          <cell r="D492" t="str">
            <v>1201104;1201105;1201106;1201107;1201108;1201109</v>
          </cell>
          <cell r="E492" t="str">
            <v>1201104;1201105;1201106;1201107;1201108;1201109;1201110</v>
          </cell>
        </row>
        <row r="492">
          <cell r="G492">
            <v>0</v>
          </cell>
          <cell r="H492">
            <v>1</v>
          </cell>
          <cell r="I492">
            <v>1</v>
          </cell>
          <cell r="J492" t="b">
            <v>0</v>
          </cell>
          <cell r="K492">
            <v>1003</v>
          </cell>
          <cell r="L492">
            <v>-6.34</v>
          </cell>
          <cell r="M492">
            <v>-7.69</v>
          </cell>
        </row>
        <row r="492">
          <cell r="O492" t="str">
            <v>3.2,-7.2;</v>
          </cell>
          <cell r="P492" t="str">
            <v>0.362,-5.65;1.743,-5.48;0.34,-7.68;-0.76,-5.24;-1.76,-5.89;</v>
          </cell>
          <cell r="Q492">
            <v>19000</v>
          </cell>
          <cell r="R492">
            <v>0</v>
          </cell>
          <cell r="S492" t="str">
            <v>1001+25;1002+30;907009+1;1005+1000;</v>
          </cell>
          <cell r="T492" t="str">
            <v>11100,1</v>
          </cell>
        </row>
        <row r="493">
          <cell r="A493">
            <v>381</v>
          </cell>
          <cell r="B493" t="str">
            <v>若烟</v>
          </cell>
          <cell r="C493" t="str">
            <v>1201192;1201193;1201194;1201195;1201196</v>
          </cell>
          <cell r="D493" t="str">
            <v>1201192;1201193;1201194;1201195;1201196;1201197</v>
          </cell>
          <cell r="E493" t="str">
            <v>1201192;1201193;1201194;1201195;1201196;1201197;1201198</v>
          </cell>
        </row>
        <row r="493">
          <cell r="G493">
            <v>0</v>
          </cell>
          <cell r="H493">
            <v>1</v>
          </cell>
          <cell r="I493">
            <v>1</v>
          </cell>
          <cell r="J493" t="b">
            <v>0</v>
          </cell>
          <cell r="K493">
            <v>1003</v>
          </cell>
          <cell r="L493">
            <v>-6.34</v>
          </cell>
          <cell r="M493">
            <v>-7.69</v>
          </cell>
        </row>
        <row r="493">
          <cell r="O493" t="str">
            <v>3.2,-7.2;</v>
          </cell>
          <cell r="P493" t="str">
            <v>0.362,-5.65;1.743,-5.48;0.34,-7.68;-0.76,-5.24;-1.76,-5.89;</v>
          </cell>
          <cell r="Q493">
            <v>19000</v>
          </cell>
          <cell r="R493">
            <v>0</v>
          </cell>
          <cell r="S493" t="str">
            <v>1001+40;1002+45;</v>
          </cell>
          <cell r="T493">
            <v>0</v>
          </cell>
        </row>
        <row r="494">
          <cell r="A494">
            <v>382</v>
          </cell>
          <cell r="B494" t="str">
            <v>近侍 亲卫</v>
          </cell>
          <cell r="C494" t="str">
            <v>1201199;1201200;1201201;1201202;1201203;1201204</v>
          </cell>
        </row>
        <row r="494">
          <cell r="G494">
            <v>0</v>
          </cell>
          <cell r="H494">
            <v>1</v>
          </cell>
          <cell r="I494">
            <v>1</v>
          </cell>
          <cell r="J494" t="b">
            <v>0</v>
          </cell>
          <cell r="K494">
            <v>1003</v>
          </cell>
          <cell r="L494">
            <v>-6.34</v>
          </cell>
          <cell r="M494">
            <v>-7.69</v>
          </cell>
        </row>
        <row r="494">
          <cell r="O494" t="str">
            <v>3.2,-7.2;</v>
          </cell>
          <cell r="P494" t="str">
            <v>0.362,-5.65;1.743,-5.48;0.34,-7.68;-0.76,-5.24;-1.76,-5.89;</v>
          </cell>
          <cell r="Q494">
            <v>19000</v>
          </cell>
          <cell r="R494">
            <v>0</v>
          </cell>
          <cell r="S494" t="str">
            <v>1001+40;1002+45;</v>
          </cell>
          <cell r="T494">
            <v>0</v>
          </cell>
        </row>
        <row r="495">
          <cell r="A495">
            <v>383</v>
          </cell>
          <cell r="B495" t="str">
            <v>近侍 亲卫</v>
          </cell>
          <cell r="C495" t="str">
            <v>1201205;1201206;1201207;1201208;1201209;1201210;1201211</v>
          </cell>
        </row>
        <row r="495">
          <cell r="G495">
            <v>0</v>
          </cell>
          <cell r="H495">
            <v>1</v>
          </cell>
          <cell r="I495">
            <v>1</v>
          </cell>
          <cell r="J495" t="b">
            <v>0</v>
          </cell>
          <cell r="K495">
            <v>1003</v>
          </cell>
          <cell r="L495">
            <v>-6.34</v>
          </cell>
          <cell r="M495">
            <v>-7.69</v>
          </cell>
        </row>
        <row r="495">
          <cell r="O495" t="str">
            <v>3.2,-7.2;</v>
          </cell>
          <cell r="P495" t="str">
            <v>0.362,-5.65;1.743,-5.48;0.34,-7.68;-0.76,-5.24;-1.76,-5.89;</v>
          </cell>
          <cell r="Q495">
            <v>19000</v>
          </cell>
          <cell r="R495">
            <v>0</v>
          </cell>
          <cell r="S495" t="str">
            <v>1001+40;1002+45;</v>
          </cell>
          <cell r="T495">
            <v>0</v>
          </cell>
        </row>
        <row r="496">
          <cell r="A496">
            <v>384</v>
          </cell>
          <cell r="B496" t="str">
            <v>阴阳卫</v>
          </cell>
          <cell r="C496" t="str">
            <v>1201212;1201213;1201214;1201215;1201216</v>
          </cell>
          <cell r="D496" t="str">
            <v>1201212;1201213;1201214;1201215;1201216;1201217</v>
          </cell>
          <cell r="E496" t="str">
            <v>1201212;1201213;1201214;1201215;1201216;1201217;1201218</v>
          </cell>
        </row>
        <row r="496">
          <cell r="G496">
            <v>0</v>
          </cell>
          <cell r="H496">
            <v>1</v>
          </cell>
          <cell r="I496">
            <v>1</v>
          </cell>
          <cell r="J496" t="b">
            <v>0</v>
          </cell>
          <cell r="K496">
            <v>1003</v>
          </cell>
          <cell r="L496">
            <v>-6.34</v>
          </cell>
          <cell r="M496">
            <v>-7.69</v>
          </cell>
        </row>
        <row r="496">
          <cell r="O496" t="str">
            <v>3.2,-7.2;</v>
          </cell>
          <cell r="P496" t="str">
            <v>0.362,-5.65;1.743,-5.48;0.34,-7.68;-0.76,-5.24;-1.76,-5.89;</v>
          </cell>
          <cell r="Q496">
            <v>19000</v>
          </cell>
          <cell r="R496">
            <v>0</v>
          </cell>
          <cell r="S496" t="str">
            <v>1001+40;1002+45;</v>
          </cell>
          <cell r="T496">
            <v>0</v>
          </cell>
        </row>
        <row r="497">
          <cell r="A497">
            <v>385</v>
          </cell>
          <cell r="B497" t="str">
            <v>阴阳卫</v>
          </cell>
          <cell r="C497" t="str">
            <v>1201219;1201220</v>
          </cell>
        </row>
        <row r="497">
          <cell r="G497">
            <v>0</v>
          </cell>
          <cell r="H497">
            <v>1</v>
          </cell>
          <cell r="I497">
            <v>1</v>
          </cell>
          <cell r="J497" t="b">
            <v>0</v>
          </cell>
          <cell r="K497">
            <v>1003</v>
          </cell>
          <cell r="L497">
            <v>-6.34</v>
          </cell>
          <cell r="M497">
            <v>-7.69</v>
          </cell>
        </row>
        <row r="497">
          <cell r="O497" t="str">
            <v>3.2,-7.2;</v>
          </cell>
          <cell r="P497" t="str">
            <v>0.362,-5.65;1.743,-5.48;0.34,-7.68;-0.76,-5.24;-1.76,-5.89;</v>
          </cell>
          <cell r="Q497">
            <v>19000</v>
          </cell>
          <cell r="R497">
            <v>0</v>
          </cell>
          <cell r="S497" t="str">
            <v>1001+40;1002+45;</v>
          </cell>
          <cell r="T497">
            <v>0</v>
          </cell>
        </row>
        <row r="498">
          <cell r="A498">
            <v>386</v>
          </cell>
          <cell r="B498" t="str">
            <v>阴阳卫</v>
          </cell>
          <cell r="C498" t="str">
            <v>1201221;1201222;1201223;1201224;1201225</v>
          </cell>
          <cell r="D498" t="str">
            <v>1201221;1201222;1201223;1201224;1201225;1201226</v>
          </cell>
          <cell r="E498" t="str">
            <v>1201221;1201222;1201223;1201224;1201225;1201226;1201227</v>
          </cell>
        </row>
        <row r="498">
          <cell r="G498">
            <v>0</v>
          </cell>
          <cell r="H498">
            <v>1</v>
          </cell>
          <cell r="I498">
            <v>1</v>
          </cell>
          <cell r="J498" t="b">
            <v>0</v>
          </cell>
          <cell r="K498">
            <v>1003</v>
          </cell>
          <cell r="L498">
            <v>-6.34</v>
          </cell>
          <cell r="M498">
            <v>-7.69</v>
          </cell>
        </row>
        <row r="498">
          <cell r="O498" t="str">
            <v>3.2,-7.2;</v>
          </cell>
          <cell r="P498" t="str">
            <v>0.362,-5.65;1.743,-5.48;0.34,-7.68;-0.76,-5.24;-1.76,-5.89;</v>
          </cell>
          <cell r="Q498">
            <v>19000</v>
          </cell>
          <cell r="R498">
            <v>0</v>
          </cell>
          <cell r="S498" t="str">
            <v>1001+40;1002+45;</v>
          </cell>
          <cell r="T498">
            <v>0</v>
          </cell>
        </row>
        <row r="499">
          <cell r="A499">
            <v>387</v>
          </cell>
          <cell r="B499" t="str">
            <v>桃花坞</v>
          </cell>
        </row>
        <row r="499">
          <cell r="G499">
            <v>0</v>
          </cell>
          <cell r="H499">
            <v>1</v>
          </cell>
          <cell r="I499">
            <v>1</v>
          </cell>
          <cell r="J499" t="b">
            <v>0</v>
          </cell>
          <cell r="K499">
            <v>1003</v>
          </cell>
          <cell r="L499">
            <v>-6.34</v>
          </cell>
          <cell r="M499">
            <v>-7.69</v>
          </cell>
        </row>
        <row r="499">
          <cell r="O499" t="str">
            <v>3.2,-7.2;</v>
          </cell>
          <cell r="P499" t="str">
            <v>0.362,-5.65;1.743,-5.48;0.34,-7.68;-0.76,-5.24;-1.76,-5.89;</v>
          </cell>
          <cell r="Q499">
            <v>19000</v>
          </cell>
          <cell r="R499">
            <v>0</v>
          </cell>
          <cell r="S499" t="str">
            <v>1001+40;1002+45;</v>
          </cell>
          <cell r="T499">
            <v>0</v>
          </cell>
        </row>
        <row r="500">
          <cell r="A500">
            <v>388</v>
          </cell>
          <cell r="B500" t="str">
            <v>潇湘子</v>
          </cell>
          <cell r="C500" t="str">
            <v>1201228;1201229;1201230;1201231;1201232</v>
          </cell>
          <cell r="D500" t="str">
            <v>1201228;1201229;1201230;1201231;1201232;1201233</v>
          </cell>
          <cell r="E500" t="str">
            <v>1201228;1201229;1201230;1201231;1201232;1201233;1201234</v>
          </cell>
        </row>
        <row r="500">
          <cell r="G500">
            <v>0</v>
          </cell>
          <cell r="H500">
            <v>1</v>
          </cell>
          <cell r="I500">
            <v>1</v>
          </cell>
          <cell r="J500" t="b">
            <v>0</v>
          </cell>
          <cell r="K500">
            <v>1003</v>
          </cell>
          <cell r="L500">
            <v>-6.34</v>
          </cell>
          <cell r="M500">
            <v>-7.69</v>
          </cell>
        </row>
        <row r="500">
          <cell r="O500" t="str">
            <v>3.2,-7.2;</v>
          </cell>
          <cell r="P500" t="str">
            <v>0.362,-5.65;1.743,-5.48;0.34,-7.68;-0.76,-5.24;-1.76,-5.89;</v>
          </cell>
          <cell r="Q500">
            <v>19000</v>
          </cell>
          <cell r="R500">
            <v>0</v>
          </cell>
          <cell r="S500" t="str">
            <v>1001+22;1002+10;907009+1;1005+1500;</v>
          </cell>
          <cell r="T500" t="str">
            <v>11200,1</v>
          </cell>
        </row>
        <row r="501">
          <cell r="A501">
            <v>389</v>
          </cell>
          <cell r="B501" t="str">
            <v>西门家仆</v>
          </cell>
          <cell r="C501" t="str">
            <v>1201235;1201236</v>
          </cell>
          <cell r="D501" t="str">
            <v>1201235;1201236;1201237</v>
          </cell>
          <cell r="E501" t="str">
            <v>1201235;1201236;1201237;1201238</v>
          </cell>
        </row>
        <row r="501">
          <cell r="G501">
            <v>0</v>
          </cell>
          <cell r="H501">
            <v>1</v>
          </cell>
          <cell r="I501">
            <v>1</v>
          </cell>
          <cell r="J501" t="b">
            <v>0</v>
          </cell>
          <cell r="K501">
            <v>1003</v>
          </cell>
          <cell r="L501">
            <v>-6.34</v>
          </cell>
          <cell r="M501">
            <v>-7.69</v>
          </cell>
        </row>
        <row r="501">
          <cell r="O501" t="str">
            <v>3.2,-7.2;</v>
          </cell>
          <cell r="P501" t="str">
            <v>0.362,-5.65;1.743,-5.48;0.34,-7.68;-0.76,-5.24;-1.76,-5.89;</v>
          </cell>
          <cell r="Q501">
            <v>13000</v>
          </cell>
          <cell r="R501">
            <v>0</v>
          </cell>
          <cell r="S501" t="str">
            <v>1001+15;1002+20;</v>
          </cell>
          <cell r="T501" t="str">
            <v>11900,1</v>
          </cell>
        </row>
        <row r="502">
          <cell r="A502">
            <v>390</v>
          </cell>
          <cell r="B502" t="str">
            <v>西门家仆</v>
          </cell>
          <cell r="C502" t="str">
            <v>1201239;1201240;1201241</v>
          </cell>
          <cell r="D502" t="str">
            <v>1201239;1201240;1201241;1201242</v>
          </cell>
          <cell r="E502" t="str">
            <v>1201239;1201240;1201241;1201242;1201243</v>
          </cell>
        </row>
        <row r="502">
          <cell r="G502">
            <v>0</v>
          </cell>
          <cell r="H502">
            <v>1</v>
          </cell>
          <cell r="I502">
            <v>1</v>
          </cell>
          <cell r="J502" t="b">
            <v>0</v>
          </cell>
          <cell r="K502">
            <v>1003</v>
          </cell>
          <cell r="L502">
            <v>-6.34</v>
          </cell>
          <cell r="M502">
            <v>-7.69</v>
          </cell>
        </row>
        <row r="502">
          <cell r="O502" t="str">
            <v>3.2,-7.2;</v>
          </cell>
          <cell r="P502" t="str">
            <v>0.362,-5.65;1.743,-5.48;0.34,-7.68;-0.76,-5.24;-1.76,-5.89;</v>
          </cell>
          <cell r="Q502">
            <v>13000</v>
          </cell>
          <cell r="R502">
            <v>0</v>
          </cell>
          <cell r="S502" t="str">
            <v>1001+15;1002+20;</v>
          </cell>
          <cell r="T502" t="str">
            <v>11900,1</v>
          </cell>
        </row>
        <row r="503">
          <cell r="A503">
            <v>391</v>
          </cell>
          <cell r="B503" t="str">
            <v>蒙面黑衣人</v>
          </cell>
          <cell r="C503" t="str">
            <v>1201250;1201251;1201252</v>
          </cell>
        </row>
        <row r="503">
          <cell r="G503">
            <v>0</v>
          </cell>
          <cell r="H503">
            <v>1</v>
          </cell>
          <cell r="I503">
            <v>1</v>
          </cell>
          <cell r="J503" t="b">
            <v>0</v>
          </cell>
          <cell r="K503">
            <v>1003</v>
          </cell>
          <cell r="L503">
            <v>-6.34</v>
          </cell>
          <cell r="M503">
            <v>-7.69</v>
          </cell>
        </row>
        <row r="503">
          <cell r="O503" t="str">
            <v>3.2,-7.2;</v>
          </cell>
          <cell r="P503" t="str">
            <v>0.362,-5.65;1.743,-5.48;0.34,-7.68;-0.76,-5.24;-1.76,-5.89;</v>
          </cell>
          <cell r="Q503">
            <v>17000</v>
          </cell>
          <cell r="R503">
            <v>0</v>
          </cell>
          <cell r="S503" t="str">
            <v>1001+25;1002+30;</v>
          </cell>
          <cell r="T503" t="str">
            <v>11900,1</v>
          </cell>
        </row>
        <row r="504">
          <cell r="A504">
            <v>392</v>
          </cell>
          <cell r="B504" t="str">
            <v>探花</v>
          </cell>
          <cell r="C504" t="str">
            <v>1201255;1201256</v>
          </cell>
        </row>
        <row r="504">
          <cell r="G504">
            <v>0</v>
          </cell>
          <cell r="H504">
            <v>1</v>
          </cell>
          <cell r="I504">
            <v>1</v>
          </cell>
          <cell r="J504" t="b">
            <v>0</v>
          </cell>
          <cell r="K504">
            <v>1003</v>
          </cell>
          <cell r="L504">
            <v>-6.34</v>
          </cell>
          <cell r="M504">
            <v>-7.69</v>
          </cell>
        </row>
        <row r="504">
          <cell r="O504" t="str">
            <v>3.2,-7.2;</v>
          </cell>
          <cell r="P504" t="str">
            <v>0.362,-5.65;1.743,-5.48;0.34,-7.68;-0.76,-5.24;-1.76,-5.89;</v>
          </cell>
          <cell r="Q504">
            <v>16000</v>
          </cell>
          <cell r="R504">
            <v>0</v>
          </cell>
          <cell r="S504" t="str">
            <v>1001+15;1002+20;</v>
          </cell>
          <cell r="T504" t="str">
            <v>11900,1</v>
          </cell>
        </row>
        <row r="505">
          <cell r="A505">
            <v>393</v>
          </cell>
          <cell r="B505" t="str">
            <v>湖畔老叟</v>
          </cell>
          <cell r="C505">
            <v>1201257</v>
          </cell>
        </row>
        <row r="505">
          <cell r="G505">
            <v>0</v>
          </cell>
          <cell r="H505">
            <v>1</v>
          </cell>
          <cell r="I505">
            <v>1</v>
          </cell>
          <cell r="J505" t="b">
            <v>0</v>
          </cell>
          <cell r="K505">
            <v>1003</v>
          </cell>
          <cell r="L505">
            <v>-6.34</v>
          </cell>
          <cell r="M505">
            <v>-7.69</v>
          </cell>
        </row>
        <row r="505">
          <cell r="O505" t="str">
            <v>3.2,-7.2;</v>
          </cell>
          <cell r="P505" t="str">
            <v>0.362,-5.65;1.743,-5.48;0.34,-7.68;-0.76,-5.24;-1.76,-5.89;</v>
          </cell>
          <cell r="Q505">
            <v>16000</v>
          </cell>
          <cell r="R505">
            <v>0</v>
          </cell>
          <cell r="S505" t="str">
            <v>1001+15;1002+20;</v>
          </cell>
          <cell r="T505" t="str">
            <v>11900,1</v>
          </cell>
        </row>
        <row r="506">
          <cell r="A506">
            <v>394</v>
          </cell>
          <cell r="B506" t="str">
            <v>丐帮弟子</v>
          </cell>
          <cell r="C506" t="str">
            <v>1201258;1201259</v>
          </cell>
          <cell r="D506" t="str">
            <v>1201258;1201259;1201260</v>
          </cell>
          <cell r="E506" t="str">
            <v>1201258;1201259;1201260;1201261</v>
          </cell>
        </row>
        <row r="506">
          <cell r="G506">
            <v>1200786</v>
          </cell>
          <cell r="H506">
            <v>1</v>
          </cell>
          <cell r="I506">
            <v>1</v>
          </cell>
          <cell r="J506" t="b">
            <v>0</v>
          </cell>
          <cell r="K506">
            <v>1003</v>
          </cell>
          <cell r="L506">
            <v>-6.34</v>
          </cell>
          <cell r="M506">
            <v>-7.69</v>
          </cell>
        </row>
        <row r="506">
          <cell r="O506" t="str">
            <v>3.2,-7.2;</v>
          </cell>
          <cell r="P506" t="str">
            <v>0.362,-5.65;1.743,-5.48;0.34,-7.68;-0.76,-5.24;-1.76,-5.89;</v>
          </cell>
          <cell r="Q506">
            <v>19000</v>
          </cell>
          <cell r="R506">
            <v>0</v>
          </cell>
          <cell r="S506" t="str">
            <v>1001+30;1002+35;</v>
          </cell>
          <cell r="T506" t="str">
            <v>11900,1</v>
          </cell>
        </row>
        <row r="507">
          <cell r="A507">
            <v>395</v>
          </cell>
          <cell r="B507" t="str">
            <v>拓跋笑</v>
          </cell>
          <cell r="C507" t="str">
            <v>1201262</v>
          </cell>
        </row>
        <row r="507">
          <cell r="G507">
            <v>0</v>
          </cell>
          <cell r="H507">
            <v>1</v>
          </cell>
          <cell r="I507">
            <v>1</v>
          </cell>
          <cell r="J507" t="b">
            <v>0</v>
          </cell>
          <cell r="K507">
            <v>1003</v>
          </cell>
          <cell r="L507">
            <v>-6.34</v>
          </cell>
          <cell r="M507">
            <v>-7.69</v>
          </cell>
        </row>
        <row r="507">
          <cell r="O507" t="str">
            <v>3.2,-7.2;</v>
          </cell>
          <cell r="P507" t="str">
            <v>0.362,-5.65;1.743,-5.48;0.34,-7.68;-0.76,-5.24;-1.76,-5.89;</v>
          </cell>
          <cell r="Q507">
            <v>15000</v>
          </cell>
          <cell r="R507">
            <v>0</v>
          </cell>
          <cell r="S507" t="str">
            <v>1001+20;1002+25;</v>
          </cell>
          <cell r="T507" t="str">
            <v>11900,1</v>
          </cell>
        </row>
        <row r="508">
          <cell r="A508">
            <v>396</v>
          </cell>
          <cell r="B508" t="str">
            <v>投倭汉人</v>
          </cell>
          <cell r="C508">
            <v>1201265</v>
          </cell>
        </row>
        <row r="508">
          <cell r="G508">
            <v>0</v>
          </cell>
          <cell r="H508">
            <v>1</v>
          </cell>
          <cell r="I508">
            <v>1</v>
          </cell>
          <cell r="J508" t="b">
            <v>0</v>
          </cell>
          <cell r="K508">
            <v>1003</v>
          </cell>
          <cell r="L508">
            <v>-6.34</v>
          </cell>
          <cell r="M508">
            <v>-7.69</v>
          </cell>
        </row>
        <row r="508">
          <cell r="O508" t="str">
            <v>3.2,-7.2;</v>
          </cell>
          <cell r="P508" t="str">
            <v>0.362,-5.65;1.743,-5.48;0.34,-7.68;-0.76,-5.24;-1.76,-5.89;</v>
          </cell>
          <cell r="Q508">
            <v>15000</v>
          </cell>
          <cell r="R508">
            <v>0</v>
          </cell>
          <cell r="S508" t="str">
            <v>1001+20;1002+25;</v>
          </cell>
          <cell r="T508" t="str">
            <v>11900,1</v>
          </cell>
        </row>
        <row r="509">
          <cell r="A509">
            <v>397</v>
          </cell>
          <cell r="B509" t="str">
            <v>人贩匪徒</v>
          </cell>
          <cell r="C509" t="str">
            <v>1201268;1201269;1201270;1201271</v>
          </cell>
        </row>
        <row r="509">
          <cell r="G509">
            <v>0</v>
          </cell>
          <cell r="H509">
            <v>1</v>
          </cell>
          <cell r="I509">
            <v>1</v>
          </cell>
          <cell r="J509" t="b">
            <v>0</v>
          </cell>
          <cell r="K509">
            <v>1003</v>
          </cell>
          <cell r="L509">
            <v>-6.34</v>
          </cell>
          <cell r="M509">
            <v>-7.69</v>
          </cell>
        </row>
        <row r="509">
          <cell r="O509" t="str">
            <v>3.2,-7.2;</v>
          </cell>
          <cell r="P509" t="str">
            <v>0.362,-5.65;1.743,-5.48;0.34,-7.68;-0.76,-5.24;-1.76,-5.89;</v>
          </cell>
          <cell r="Q509">
            <v>11000</v>
          </cell>
          <cell r="R509">
            <v>0</v>
          </cell>
          <cell r="S509" t="str">
            <v>1001+3;1002+5;</v>
          </cell>
          <cell r="T509" t="str">
            <v>11900,1</v>
          </cell>
        </row>
        <row r="510">
          <cell r="A510">
            <v>398</v>
          </cell>
          <cell r="B510" t="str">
            <v>大当家西虎</v>
          </cell>
          <cell r="C510">
            <v>1201267</v>
          </cell>
        </row>
        <row r="510">
          <cell r="G510">
            <v>1201266</v>
          </cell>
          <cell r="H510">
            <v>1</v>
          </cell>
          <cell r="I510">
            <v>1</v>
          </cell>
          <cell r="J510" t="b">
            <v>0</v>
          </cell>
          <cell r="K510">
            <v>1003</v>
          </cell>
          <cell r="L510">
            <v>-6.34</v>
          </cell>
          <cell r="M510">
            <v>-7.69</v>
          </cell>
        </row>
        <row r="510">
          <cell r="O510" t="str">
            <v>3.2,-7.2;</v>
          </cell>
          <cell r="P510" t="str">
            <v>0.362,-5.65;1.743,-5.48;0.34,-7.68;-0.76,-5.24;-1.76,-5.89;</v>
          </cell>
          <cell r="Q510">
            <v>11000</v>
          </cell>
          <cell r="R510">
            <v>0</v>
          </cell>
          <cell r="S510" t="str">
            <v>1001+3;1002+5;</v>
          </cell>
          <cell r="T510" t="str">
            <v>11900,1</v>
          </cell>
        </row>
        <row r="511">
          <cell r="A511">
            <v>399</v>
          </cell>
          <cell r="B511" t="str">
            <v>少年道奴</v>
          </cell>
          <cell r="C511">
            <v>1201272</v>
          </cell>
        </row>
        <row r="511">
          <cell r="G511">
            <v>0</v>
          </cell>
          <cell r="H511">
            <v>1</v>
          </cell>
          <cell r="I511">
            <v>1</v>
          </cell>
          <cell r="J511" t="b">
            <v>0</v>
          </cell>
          <cell r="K511">
            <v>1003</v>
          </cell>
          <cell r="L511">
            <v>-6.34</v>
          </cell>
          <cell r="M511">
            <v>-7.69</v>
          </cell>
        </row>
        <row r="511">
          <cell r="O511" t="str">
            <v>3.2,-7.2;</v>
          </cell>
          <cell r="P511" t="str">
            <v>0.362,-5.65;1.743,-5.48;0.34,-7.68;-0.76,-5.24;-1.76,-5.89;</v>
          </cell>
          <cell r="Q511">
            <v>14000</v>
          </cell>
          <cell r="R511">
            <v>0</v>
          </cell>
          <cell r="S511" t="str">
            <v>1001+20;1002+25;</v>
          </cell>
          <cell r="T511" t="str">
            <v>11900,1</v>
          </cell>
        </row>
        <row r="512">
          <cell r="A512">
            <v>400</v>
          </cell>
          <cell r="B512" t="str">
            <v>练功甲人</v>
          </cell>
          <cell r="C512">
            <v>1201277</v>
          </cell>
        </row>
        <row r="512">
          <cell r="G512">
            <v>0</v>
          </cell>
          <cell r="H512">
            <v>1</v>
          </cell>
          <cell r="I512">
            <v>1</v>
          </cell>
          <cell r="J512" t="b">
            <v>0</v>
          </cell>
          <cell r="K512">
            <v>1003</v>
          </cell>
          <cell r="L512">
            <v>-6.34</v>
          </cell>
          <cell r="M512">
            <v>-7.69</v>
          </cell>
        </row>
        <row r="512">
          <cell r="O512" t="str">
            <v>3.2,-7.2;</v>
          </cell>
          <cell r="P512" t="str">
            <v>0.362,-5.65;1.743,-5.48;0.34,-7.68;-0.76,-5.24;-1.76,-5.89;</v>
          </cell>
          <cell r="Q512">
            <v>14000</v>
          </cell>
          <cell r="R512">
            <v>0</v>
          </cell>
          <cell r="S512" t="str">
            <v>1001+20;1002+25;</v>
          </cell>
          <cell r="T512">
            <v>0</v>
          </cell>
        </row>
        <row r="513">
          <cell r="A513">
            <v>401</v>
          </cell>
          <cell r="B513" t="str">
            <v>墨家甲卫</v>
          </cell>
          <cell r="C513" t="str">
            <v>1500912;1500913;1500914</v>
          </cell>
        </row>
        <row r="513">
          <cell r="G513">
            <v>0</v>
          </cell>
          <cell r="H513">
            <v>1</v>
          </cell>
          <cell r="I513">
            <v>1</v>
          </cell>
          <cell r="J513" t="b">
            <v>0</v>
          </cell>
          <cell r="K513">
            <v>1003</v>
          </cell>
          <cell r="L513">
            <v>-6.34</v>
          </cell>
          <cell r="M513">
            <v>-7.69</v>
          </cell>
        </row>
        <row r="513">
          <cell r="O513" t="str">
            <v>3.2,-7.2;</v>
          </cell>
          <cell r="P513" t="str">
            <v>0.362,-5.65;1.743,-5.48;0.34,-7.68;-0.76,-5.24;-1.76,-5.89;</v>
          </cell>
          <cell r="Q513">
            <v>13000</v>
          </cell>
          <cell r="R513">
            <v>0</v>
          </cell>
          <cell r="S513" t="str">
            <v>1001+15;1002+20;</v>
          </cell>
          <cell r="T513" t="str">
            <v>11900,1</v>
          </cell>
        </row>
        <row r="514">
          <cell r="A514">
            <v>402</v>
          </cell>
          <cell r="B514" t="str">
            <v>墨家甲卫</v>
          </cell>
          <cell r="C514" t="str">
            <v>1500915;1500916;1500917</v>
          </cell>
        </row>
        <row r="514">
          <cell r="G514">
            <v>0</v>
          </cell>
          <cell r="H514">
            <v>1</v>
          </cell>
          <cell r="I514">
            <v>1</v>
          </cell>
          <cell r="J514" t="b">
            <v>0</v>
          </cell>
          <cell r="K514">
            <v>1003</v>
          </cell>
          <cell r="L514">
            <v>-6.34</v>
          </cell>
          <cell r="M514">
            <v>-7.69</v>
          </cell>
        </row>
        <row r="514">
          <cell r="O514" t="str">
            <v>3.2,-7.2;</v>
          </cell>
          <cell r="P514" t="str">
            <v>0.362,-5.65;1.743,-5.48;0.34,-7.68;-0.76,-5.24;-1.76,-5.89;</v>
          </cell>
          <cell r="Q514">
            <v>13000</v>
          </cell>
          <cell r="R514">
            <v>0</v>
          </cell>
          <cell r="S514" t="str">
            <v>1001+15;1002+20;</v>
          </cell>
          <cell r="T514" t="str">
            <v>11900,1</v>
          </cell>
        </row>
        <row r="515">
          <cell r="A515">
            <v>403</v>
          </cell>
          <cell r="B515" t="str">
            <v>墨家甲卫</v>
          </cell>
          <cell r="C515" t="str">
            <v>1500918;1500919</v>
          </cell>
        </row>
        <row r="515">
          <cell r="G515">
            <v>0</v>
          </cell>
          <cell r="H515">
            <v>1</v>
          </cell>
          <cell r="I515">
            <v>1</v>
          </cell>
          <cell r="J515" t="b">
            <v>0</v>
          </cell>
          <cell r="K515">
            <v>1003</v>
          </cell>
          <cell r="L515">
            <v>-6.34</v>
          </cell>
          <cell r="M515">
            <v>-7.69</v>
          </cell>
        </row>
        <row r="515">
          <cell r="O515" t="str">
            <v>3.2,-7.2;</v>
          </cell>
          <cell r="P515" t="str">
            <v>0.362,-5.65;1.743,-5.48;0.34,-7.68;-0.76,-5.24;-1.76,-5.89;</v>
          </cell>
          <cell r="Q515">
            <v>17000</v>
          </cell>
          <cell r="R515">
            <v>0</v>
          </cell>
          <cell r="S515" t="str">
            <v>1001+25;1002+30;</v>
          </cell>
          <cell r="T515">
            <v>0</v>
          </cell>
        </row>
        <row r="516">
          <cell r="A516">
            <v>404</v>
          </cell>
          <cell r="B516" t="str">
            <v>墨家甲卫</v>
          </cell>
          <cell r="C516" t="str">
            <v>1500920;1500921;1500922</v>
          </cell>
        </row>
        <row r="516">
          <cell r="G516">
            <v>0</v>
          </cell>
          <cell r="H516">
            <v>1</v>
          </cell>
          <cell r="I516">
            <v>1</v>
          </cell>
          <cell r="J516" t="b">
            <v>0</v>
          </cell>
          <cell r="K516">
            <v>1003</v>
          </cell>
          <cell r="L516">
            <v>-6.34</v>
          </cell>
          <cell r="M516">
            <v>-7.69</v>
          </cell>
        </row>
        <row r="516">
          <cell r="O516" t="str">
            <v>3.2,-7.2;</v>
          </cell>
          <cell r="P516" t="str">
            <v>0.362,-5.65;1.743,-5.48;0.34,-7.68;-0.76,-5.24;-1.76,-5.89;</v>
          </cell>
          <cell r="Q516">
            <v>17000</v>
          </cell>
          <cell r="R516">
            <v>0</v>
          </cell>
          <cell r="S516" t="str">
            <v>1001+25;1002+30;</v>
          </cell>
          <cell r="T516">
            <v>0</v>
          </cell>
        </row>
        <row r="517">
          <cell r="A517">
            <v>405</v>
          </cell>
          <cell r="B517" t="str">
            <v>墨家甲卫</v>
          </cell>
          <cell r="C517" t="str">
            <v>1500923;1500924;1500925</v>
          </cell>
        </row>
        <row r="517">
          <cell r="G517">
            <v>0</v>
          </cell>
          <cell r="H517">
            <v>1</v>
          </cell>
          <cell r="I517">
            <v>1</v>
          </cell>
          <cell r="J517" t="b">
            <v>0</v>
          </cell>
          <cell r="K517">
            <v>1003</v>
          </cell>
          <cell r="L517">
            <v>-6.34</v>
          </cell>
          <cell r="M517">
            <v>-7.69</v>
          </cell>
        </row>
        <row r="517">
          <cell r="O517" t="str">
            <v>3.2,-7.2;</v>
          </cell>
          <cell r="P517" t="str">
            <v>0.362,-5.65;1.743,-5.48;0.34,-7.68;-0.76,-5.24;-1.76,-5.89;</v>
          </cell>
          <cell r="Q517">
            <v>17000</v>
          </cell>
          <cell r="R517">
            <v>0</v>
          </cell>
          <cell r="S517" t="str">
            <v>1001+25;1002+30;</v>
          </cell>
          <cell r="T517" t="str">
            <v>11900,1</v>
          </cell>
        </row>
        <row r="518">
          <cell r="A518">
            <v>406</v>
          </cell>
          <cell r="B518" t="str">
            <v>太平妖道</v>
          </cell>
          <cell r="C518" t="str">
            <v>1500926;1500927</v>
          </cell>
        </row>
        <row r="518">
          <cell r="G518">
            <v>0</v>
          </cell>
          <cell r="H518">
            <v>1</v>
          </cell>
          <cell r="I518">
            <v>1</v>
          </cell>
          <cell r="J518" t="b">
            <v>0</v>
          </cell>
          <cell r="K518">
            <v>1003</v>
          </cell>
          <cell r="L518">
            <v>-6.34</v>
          </cell>
          <cell r="M518">
            <v>-7.69</v>
          </cell>
        </row>
        <row r="518">
          <cell r="O518" t="str">
            <v>3.2,-7.2;</v>
          </cell>
          <cell r="P518" t="str">
            <v>0.362,-5.65;1.743,-5.48;0.34,-7.68;-0.76,-5.24;-1.76,-5.89;</v>
          </cell>
          <cell r="Q518">
            <v>16000</v>
          </cell>
          <cell r="R518">
            <v>0</v>
          </cell>
          <cell r="S518" t="str">
            <v>1001+15;1002+20;</v>
          </cell>
          <cell r="T518" t="str">
            <v>11900,1</v>
          </cell>
        </row>
        <row r="519">
          <cell r="A519">
            <v>407</v>
          </cell>
          <cell r="B519" t="str">
            <v>太平妖道</v>
          </cell>
          <cell r="C519" t="str">
            <v>1500928;1500929;1500930</v>
          </cell>
        </row>
        <row r="519">
          <cell r="G519">
            <v>0</v>
          </cell>
          <cell r="H519">
            <v>1</v>
          </cell>
          <cell r="I519">
            <v>1</v>
          </cell>
          <cell r="J519" t="b">
            <v>0</v>
          </cell>
          <cell r="K519">
            <v>1003</v>
          </cell>
          <cell r="L519">
            <v>-6.34</v>
          </cell>
          <cell r="M519">
            <v>-7.69</v>
          </cell>
        </row>
        <row r="519">
          <cell r="O519" t="str">
            <v>3.2,-7.2;</v>
          </cell>
          <cell r="P519" t="str">
            <v>0.362,-5.65;1.743,-5.48;0.34,-7.68;-0.76,-5.24;-1.76,-5.89;</v>
          </cell>
          <cell r="Q519">
            <v>16000</v>
          </cell>
          <cell r="R519">
            <v>0</v>
          </cell>
          <cell r="S519" t="str">
            <v>1001+15;1002+20;</v>
          </cell>
          <cell r="T519" t="str">
            <v>11900,1</v>
          </cell>
        </row>
        <row r="520">
          <cell r="A520">
            <v>408</v>
          </cell>
          <cell r="B520" t="str">
            <v>太平妖道</v>
          </cell>
          <cell r="C520" t="str">
            <v>1500931;1500932;1500933;1500934</v>
          </cell>
        </row>
        <row r="520">
          <cell r="G520">
            <v>0</v>
          </cell>
          <cell r="H520">
            <v>1</v>
          </cell>
          <cell r="I520">
            <v>1</v>
          </cell>
          <cell r="J520" t="b">
            <v>0</v>
          </cell>
          <cell r="K520">
            <v>1003</v>
          </cell>
          <cell r="L520">
            <v>-6.34</v>
          </cell>
          <cell r="M520">
            <v>-7.69</v>
          </cell>
        </row>
        <row r="520">
          <cell r="O520" t="str">
            <v>3.2,-7.2;</v>
          </cell>
          <cell r="P520" t="str">
            <v>0.362,-5.65;1.743,-5.48;0.34,-7.68;-0.76,-5.24;-1.76,-5.89;</v>
          </cell>
          <cell r="Q520">
            <v>16000</v>
          </cell>
          <cell r="R520">
            <v>0</v>
          </cell>
          <cell r="S520" t="str">
            <v>1001+15;1002+20;</v>
          </cell>
          <cell r="T520" t="str">
            <v>11900,1</v>
          </cell>
        </row>
        <row r="521">
          <cell r="A521">
            <v>409</v>
          </cell>
          <cell r="B521" t="str">
            <v>墨家甲卫</v>
          </cell>
          <cell r="C521" t="str">
            <v>1500935;1500936</v>
          </cell>
        </row>
        <row r="521">
          <cell r="G521">
            <v>0</v>
          </cell>
          <cell r="H521">
            <v>1</v>
          </cell>
          <cell r="I521">
            <v>1</v>
          </cell>
          <cell r="J521" t="b">
            <v>0</v>
          </cell>
          <cell r="K521">
            <v>1003</v>
          </cell>
          <cell r="L521">
            <v>-6.34</v>
          </cell>
          <cell r="M521">
            <v>-7.69</v>
          </cell>
        </row>
        <row r="521">
          <cell r="O521" t="str">
            <v>3.2,-7.2;</v>
          </cell>
          <cell r="P521" t="str">
            <v>0.362,-5.65;1.743,-5.48;0.34,-7.68;-0.76,-5.24;-1.76,-5.89;</v>
          </cell>
          <cell r="Q521">
            <v>20000</v>
          </cell>
          <cell r="R521">
            <v>0</v>
          </cell>
          <cell r="S521" t="str">
            <v>1001+20;1002+25;</v>
          </cell>
          <cell r="T521">
            <v>0</v>
          </cell>
        </row>
        <row r="522">
          <cell r="A522">
            <v>410</v>
          </cell>
          <cell r="B522" t="str">
            <v>墨家甲卫</v>
          </cell>
          <cell r="C522" t="str">
            <v>1500937;1500938;1500939</v>
          </cell>
        </row>
        <row r="522">
          <cell r="G522">
            <v>0</v>
          </cell>
          <cell r="H522">
            <v>1</v>
          </cell>
          <cell r="I522">
            <v>1</v>
          </cell>
          <cell r="J522" t="b">
            <v>0</v>
          </cell>
          <cell r="K522">
            <v>1003</v>
          </cell>
          <cell r="L522">
            <v>-6.34</v>
          </cell>
          <cell r="M522">
            <v>-7.69</v>
          </cell>
        </row>
        <row r="522">
          <cell r="O522" t="str">
            <v>3.2,-7.2;</v>
          </cell>
          <cell r="P522" t="str">
            <v>0.362,-5.65;1.743,-5.48;0.34,-7.68;-0.76,-5.24;-1.76,-5.89;</v>
          </cell>
          <cell r="Q522">
            <v>20000</v>
          </cell>
          <cell r="R522">
            <v>0</v>
          </cell>
          <cell r="S522" t="str">
            <v>1001+20;1002+25;</v>
          </cell>
          <cell r="T522">
            <v>0</v>
          </cell>
        </row>
        <row r="523">
          <cell r="A523">
            <v>411</v>
          </cell>
          <cell r="B523" t="str">
            <v>墨家甲卫</v>
          </cell>
          <cell r="C523" t="str">
            <v>1500940;1500941;1500942</v>
          </cell>
        </row>
        <row r="523">
          <cell r="G523">
            <v>0</v>
          </cell>
          <cell r="H523">
            <v>1</v>
          </cell>
          <cell r="I523">
            <v>1</v>
          </cell>
          <cell r="J523" t="b">
            <v>0</v>
          </cell>
          <cell r="K523">
            <v>1003</v>
          </cell>
          <cell r="L523">
            <v>-6.34</v>
          </cell>
          <cell r="M523">
            <v>-7.69</v>
          </cell>
        </row>
        <row r="523">
          <cell r="O523" t="str">
            <v>3.2,-7.2;</v>
          </cell>
          <cell r="P523" t="str">
            <v>0.362,-5.65;1.743,-5.48;0.34,-7.68;-0.76,-5.24;-1.76,-5.89;</v>
          </cell>
          <cell r="Q523">
            <v>20000</v>
          </cell>
          <cell r="R523">
            <v>0</v>
          </cell>
          <cell r="S523" t="str">
            <v>1001+20;1002+25;</v>
          </cell>
          <cell r="T523" t="str">
            <v>11900,1</v>
          </cell>
        </row>
        <row r="524">
          <cell r="A524">
            <v>412</v>
          </cell>
          <cell r="B524" t="str">
            <v>太平妖道</v>
          </cell>
          <cell r="C524" t="str">
            <v>1500943;1500944</v>
          </cell>
        </row>
        <row r="524">
          <cell r="G524">
            <v>0</v>
          </cell>
          <cell r="H524">
            <v>1</v>
          </cell>
          <cell r="I524">
            <v>1</v>
          </cell>
          <cell r="J524" t="b">
            <v>0</v>
          </cell>
          <cell r="K524">
            <v>1003</v>
          </cell>
          <cell r="L524">
            <v>-6.34</v>
          </cell>
          <cell r="M524">
            <v>-7.69</v>
          </cell>
        </row>
        <row r="524">
          <cell r="O524" t="str">
            <v>3.2,-7.2;</v>
          </cell>
          <cell r="P524" t="str">
            <v>0.362,-5.65;1.743,-5.48;0.34,-7.68;-0.76,-5.24;-1.76,-5.89;</v>
          </cell>
          <cell r="Q524">
            <v>20000</v>
          </cell>
          <cell r="R524">
            <v>0</v>
          </cell>
          <cell r="S524" t="str">
            <v>1001+20;1002+25;</v>
          </cell>
          <cell r="T524" t="str">
            <v>11900,1</v>
          </cell>
        </row>
        <row r="525">
          <cell r="A525">
            <v>413</v>
          </cell>
          <cell r="B525" t="str">
            <v>太平妖道</v>
          </cell>
          <cell r="C525" t="str">
            <v>1500945;1500946;1500947</v>
          </cell>
        </row>
        <row r="525">
          <cell r="G525">
            <v>0</v>
          </cell>
          <cell r="H525">
            <v>1</v>
          </cell>
          <cell r="I525">
            <v>1</v>
          </cell>
          <cell r="J525" t="b">
            <v>0</v>
          </cell>
          <cell r="K525">
            <v>1003</v>
          </cell>
          <cell r="L525">
            <v>-6.34</v>
          </cell>
          <cell r="M525">
            <v>-7.69</v>
          </cell>
        </row>
        <row r="525">
          <cell r="O525" t="str">
            <v>3.2,-7.2;</v>
          </cell>
          <cell r="P525" t="str">
            <v>0.362,-5.65;1.743,-5.48;0.34,-7.68;-0.76,-5.24;-1.76,-5.89;</v>
          </cell>
          <cell r="Q525">
            <v>20000</v>
          </cell>
          <cell r="R525">
            <v>0</v>
          </cell>
          <cell r="S525" t="str">
            <v>1001+20;1002+25;</v>
          </cell>
          <cell r="T525" t="str">
            <v>11900,1</v>
          </cell>
        </row>
        <row r="526">
          <cell r="A526">
            <v>414</v>
          </cell>
          <cell r="B526" t="str">
            <v>太平妖道</v>
          </cell>
          <cell r="C526" t="str">
            <v>1500948;1500949;1500950;1500951</v>
          </cell>
        </row>
        <row r="526">
          <cell r="G526">
            <v>0</v>
          </cell>
          <cell r="H526">
            <v>1</v>
          </cell>
          <cell r="I526">
            <v>1</v>
          </cell>
          <cell r="J526" t="b">
            <v>0</v>
          </cell>
          <cell r="K526">
            <v>1003</v>
          </cell>
          <cell r="L526">
            <v>-6.34</v>
          </cell>
          <cell r="M526">
            <v>-7.69</v>
          </cell>
        </row>
        <row r="526">
          <cell r="O526" t="str">
            <v>3.2,-7.2;</v>
          </cell>
          <cell r="P526" t="str">
            <v>0.362,-5.65;1.743,-5.48;0.34,-7.68;-0.76,-5.24;-1.76,-5.89;</v>
          </cell>
          <cell r="Q526">
            <v>20000</v>
          </cell>
          <cell r="R526">
            <v>0</v>
          </cell>
          <cell r="S526" t="str">
            <v>1001+20;1002+25;</v>
          </cell>
          <cell r="T526" t="str">
            <v>11900,1</v>
          </cell>
        </row>
        <row r="527">
          <cell r="A527">
            <v>415</v>
          </cell>
          <cell r="B527" t="str">
            <v>蒙面人</v>
          </cell>
          <cell r="C527" t="str">
            <v>1501154;1501155;1501156</v>
          </cell>
          <cell r="D527" t="str">
            <v>1501154;1501155;1501156;1501157</v>
          </cell>
          <cell r="E527" t="str">
            <v>1501154;1501155;1501156;1501157;1501158</v>
          </cell>
        </row>
        <row r="527">
          <cell r="G527">
            <v>0</v>
          </cell>
          <cell r="H527">
            <v>1</v>
          </cell>
          <cell r="I527">
            <v>1</v>
          </cell>
          <cell r="J527" t="b">
            <v>0</v>
          </cell>
          <cell r="K527">
            <v>1003</v>
          </cell>
          <cell r="L527">
            <v>-6.34</v>
          </cell>
          <cell r="M527">
            <v>-7.69</v>
          </cell>
        </row>
        <row r="527">
          <cell r="O527" t="str">
            <v>3.2,-7.2;</v>
          </cell>
          <cell r="P527" t="str">
            <v>0.362,-5.65;1.743,-5.48;0.34,-7.68;-0.76,-5.24;-1.76,-5.89;</v>
          </cell>
          <cell r="Q527">
            <v>14000</v>
          </cell>
          <cell r="R527">
            <v>0</v>
          </cell>
          <cell r="S527" t="str">
            <v>1001+20;1002+25;</v>
          </cell>
          <cell r="T527" t="str">
            <v>11900,1</v>
          </cell>
        </row>
        <row r="528">
          <cell r="A528">
            <v>416</v>
          </cell>
          <cell r="B528" t="str">
            <v>鬼祟的江湖人士</v>
          </cell>
          <cell r="C528" t="str">
            <v>1501165;1501166;1501167</v>
          </cell>
          <cell r="D528" t="str">
            <v>1501165;1501166;1501167;1501168</v>
          </cell>
          <cell r="E528" t="str">
            <v>1501165;1501166;1501167;1501168;1501169</v>
          </cell>
        </row>
        <row r="528">
          <cell r="G528">
            <v>0</v>
          </cell>
          <cell r="H528">
            <v>1</v>
          </cell>
          <cell r="I528">
            <v>1</v>
          </cell>
          <cell r="J528" t="b">
            <v>0</v>
          </cell>
          <cell r="K528">
            <v>1003</v>
          </cell>
          <cell r="L528">
            <v>-6.34</v>
          </cell>
          <cell r="M528">
            <v>-7.69</v>
          </cell>
        </row>
        <row r="528">
          <cell r="O528" t="str">
            <v>3.2,-7.2;</v>
          </cell>
          <cell r="P528" t="str">
            <v>0.362,-5.65;1.743,-5.48;0.34,-7.68;-0.76,-5.24;-1.76,-5.89;</v>
          </cell>
          <cell r="Q528">
            <v>15000</v>
          </cell>
          <cell r="R528">
            <v>0</v>
          </cell>
          <cell r="S528" t="str">
            <v>1001+20;1002+25;</v>
          </cell>
          <cell r="T528" t="str">
            <v>11900,1</v>
          </cell>
        </row>
        <row r="529">
          <cell r="A529">
            <v>417</v>
          </cell>
          <cell r="B529" t="str">
            <v>练功甲人</v>
          </cell>
          <cell r="C529" t="str">
            <v>1201278</v>
          </cell>
        </row>
        <row r="529">
          <cell r="G529">
            <v>0</v>
          </cell>
          <cell r="H529">
            <v>1</v>
          </cell>
          <cell r="I529">
            <v>1</v>
          </cell>
          <cell r="J529" t="b">
            <v>0</v>
          </cell>
          <cell r="K529">
            <v>1003</v>
          </cell>
          <cell r="L529">
            <v>-6.34</v>
          </cell>
          <cell r="M529">
            <v>-7.69</v>
          </cell>
        </row>
        <row r="529">
          <cell r="O529" t="str">
            <v>3.2,-7.2;</v>
          </cell>
          <cell r="P529" t="str">
            <v>0.362,-5.65;1.743,-5.48;0.34,-7.68;-0.76,-5.24;-1.76,-5.89;</v>
          </cell>
          <cell r="Q529">
            <v>14000</v>
          </cell>
          <cell r="R529">
            <v>0</v>
          </cell>
          <cell r="S529" t="str">
            <v>1001+20;1002+25;</v>
          </cell>
          <cell r="T529">
            <v>0</v>
          </cell>
        </row>
        <row r="530">
          <cell r="A530">
            <v>418</v>
          </cell>
          <cell r="B530" t="str">
            <v>练功甲人</v>
          </cell>
          <cell r="C530" t="str">
            <v>1201279</v>
          </cell>
        </row>
        <row r="530">
          <cell r="G530">
            <v>0</v>
          </cell>
          <cell r="H530">
            <v>1</v>
          </cell>
          <cell r="I530">
            <v>1</v>
          </cell>
          <cell r="J530" t="b">
            <v>0</v>
          </cell>
          <cell r="K530">
            <v>1003</v>
          </cell>
          <cell r="L530">
            <v>-6.34</v>
          </cell>
          <cell r="M530">
            <v>-7.69</v>
          </cell>
        </row>
        <row r="530">
          <cell r="O530" t="str">
            <v>3.2,-7.2;</v>
          </cell>
          <cell r="P530" t="str">
            <v>0.362,-5.65;1.743,-5.48;0.34,-7.68;-0.76,-5.24;-1.76,-5.89;</v>
          </cell>
          <cell r="Q530">
            <v>14000</v>
          </cell>
          <cell r="R530">
            <v>0</v>
          </cell>
          <cell r="S530" t="str">
            <v>1001+20;1002+25;</v>
          </cell>
          <cell r="T530">
            <v>0</v>
          </cell>
        </row>
        <row r="531">
          <cell r="A531">
            <v>419</v>
          </cell>
          <cell r="B531" t="str">
            <v>练功甲人</v>
          </cell>
          <cell r="C531" t="str">
            <v>1201280</v>
          </cell>
        </row>
        <row r="531">
          <cell r="G531">
            <v>0</v>
          </cell>
          <cell r="H531">
            <v>1</v>
          </cell>
          <cell r="I531">
            <v>1</v>
          </cell>
          <cell r="J531" t="b">
            <v>0</v>
          </cell>
          <cell r="K531">
            <v>1003</v>
          </cell>
          <cell r="L531">
            <v>-6.34</v>
          </cell>
          <cell r="M531">
            <v>-7.69</v>
          </cell>
        </row>
        <row r="531">
          <cell r="O531" t="str">
            <v>3.2,-7.2;</v>
          </cell>
          <cell r="P531" t="str">
            <v>0.362,-5.65;1.743,-5.48;0.34,-7.68;-0.76,-5.24;-1.76,-5.89;</v>
          </cell>
          <cell r="Q531">
            <v>14000</v>
          </cell>
          <cell r="R531">
            <v>0</v>
          </cell>
          <cell r="S531" t="str">
            <v>1001+20;1002+25;</v>
          </cell>
          <cell r="T531">
            <v>0</v>
          </cell>
        </row>
        <row r="532">
          <cell r="A532">
            <v>420</v>
          </cell>
          <cell r="B532" t="str">
            <v>练功甲人</v>
          </cell>
          <cell r="C532" t="str">
            <v>1201281</v>
          </cell>
        </row>
        <row r="532">
          <cell r="G532">
            <v>0</v>
          </cell>
          <cell r="H532">
            <v>1</v>
          </cell>
          <cell r="I532">
            <v>1</v>
          </cell>
          <cell r="J532" t="b">
            <v>0</v>
          </cell>
          <cell r="K532">
            <v>1003</v>
          </cell>
          <cell r="L532">
            <v>-6.34</v>
          </cell>
          <cell r="M532">
            <v>-7.69</v>
          </cell>
        </row>
        <row r="532">
          <cell r="O532" t="str">
            <v>3.2,-7.2;</v>
          </cell>
          <cell r="P532" t="str">
            <v>0.362,-5.65;1.743,-5.48;0.34,-7.68;-0.76,-5.24;-1.76,-5.89;</v>
          </cell>
          <cell r="Q532">
            <v>14000</v>
          </cell>
          <cell r="R532">
            <v>0</v>
          </cell>
          <cell r="S532" t="str">
            <v>1001+20;1002+25;</v>
          </cell>
          <cell r="T532">
            <v>0</v>
          </cell>
        </row>
        <row r="533">
          <cell r="A533">
            <v>421</v>
          </cell>
          <cell r="B533" t="str">
            <v>练功甲人</v>
          </cell>
          <cell r="C533" t="str">
            <v>1201282</v>
          </cell>
        </row>
        <row r="533">
          <cell r="G533">
            <v>0</v>
          </cell>
          <cell r="H533">
            <v>1</v>
          </cell>
          <cell r="I533">
            <v>1</v>
          </cell>
          <cell r="J533" t="b">
            <v>0</v>
          </cell>
          <cell r="K533">
            <v>1003</v>
          </cell>
          <cell r="L533">
            <v>-6.34</v>
          </cell>
          <cell r="M533">
            <v>-7.69</v>
          </cell>
        </row>
        <row r="533">
          <cell r="O533" t="str">
            <v>3.2,-7.2;</v>
          </cell>
          <cell r="P533" t="str">
            <v>0.362,-5.65;1.743,-5.48;0.34,-7.68;-0.76,-5.24;-1.76,-5.89;</v>
          </cell>
          <cell r="Q533">
            <v>14000</v>
          </cell>
          <cell r="R533">
            <v>0</v>
          </cell>
          <cell r="S533" t="str">
            <v>1001+20;1002+25;</v>
          </cell>
          <cell r="T533">
            <v>0</v>
          </cell>
        </row>
        <row r="534">
          <cell r="A534">
            <v>422</v>
          </cell>
          <cell r="B534" t="str">
            <v>探花</v>
          </cell>
          <cell r="C534" t="str">
            <v>1501176;1501177;1501178;1501179</v>
          </cell>
        </row>
        <row r="534">
          <cell r="G534" t="str">
            <v>1501170;1501172</v>
          </cell>
          <cell r="H534">
            <v>1</v>
          </cell>
          <cell r="I534">
            <v>1</v>
          </cell>
          <cell r="J534" t="b">
            <v>0</v>
          </cell>
          <cell r="K534">
            <v>1003</v>
          </cell>
          <cell r="L534">
            <v>-6.34</v>
          </cell>
          <cell r="M534">
            <v>-7.69</v>
          </cell>
        </row>
        <row r="534">
          <cell r="O534" t="str">
            <v>3.2,-7.2;</v>
          </cell>
          <cell r="P534" t="str">
            <v>0.362,-5.65;1.743,-5.48;0.34,-7.68;-0.76,-5.24;-1.76,-5.89;</v>
          </cell>
          <cell r="Q534">
            <v>14000</v>
          </cell>
          <cell r="R534">
            <v>0</v>
          </cell>
          <cell r="S534" t="str">
            <v>1001+20;1002+25;</v>
          </cell>
          <cell r="T534" t="str">
            <v>11900,1</v>
          </cell>
        </row>
        <row r="535">
          <cell r="A535">
            <v>423</v>
          </cell>
          <cell r="B535" t="str">
            <v>水寨刺客</v>
          </cell>
          <cell r="C535" t="str">
            <v>1501180;1501181;1501182;1501183</v>
          </cell>
        </row>
        <row r="535">
          <cell r="G535" t="str">
            <v>1501171;1501173</v>
          </cell>
          <cell r="H535">
            <v>1</v>
          </cell>
          <cell r="I535">
            <v>1</v>
          </cell>
          <cell r="J535" t="b">
            <v>0</v>
          </cell>
          <cell r="K535">
            <v>1003</v>
          </cell>
          <cell r="L535">
            <v>-6.34</v>
          </cell>
          <cell r="M535">
            <v>-7.69</v>
          </cell>
        </row>
        <row r="535">
          <cell r="O535" t="str">
            <v>3.2,-7.2;</v>
          </cell>
          <cell r="P535" t="str">
            <v>0.362,-5.65;1.743,-5.48;0.34,-7.68;-0.76,-5.24;-1.76,-5.89;</v>
          </cell>
          <cell r="Q535">
            <v>14000</v>
          </cell>
          <cell r="R535">
            <v>0</v>
          </cell>
          <cell r="S535" t="str">
            <v>1001+20;1002+25;</v>
          </cell>
          <cell r="T535" t="str">
            <v>11900,1</v>
          </cell>
        </row>
        <row r="536">
          <cell r="A536">
            <v>424</v>
          </cell>
          <cell r="B536" t="str">
            <v>连环寨山贼</v>
          </cell>
          <cell r="C536" t="str">
            <v>1200302;1200303</v>
          </cell>
          <cell r="D536" t="str">
            <v>1200302;1200303;1200304</v>
          </cell>
          <cell r="E536" t="str">
            <v>1200302;1200303;1200304;1200305</v>
          </cell>
        </row>
        <row r="536">
          <cell r="G536">
            <v>0</v>
          </cell>
          <cell r="H536">
            <v>1</v>
          </cell>
          <cell r="I536">
            <v>1</v>
          </cell>
          <cell r="J536" t="b">
            <v>0</v>
          </cell>
          <cell r="K536">
            <v>1003</v>
          </cell>
          <cell r="L536">
            <v>-6.34</v>
          </cell>
          <cell r="M536">
            <v>-7.69</v>
          </cell>
          <cell r="N536">
            <v>0</v>
          </cell>
          <cell r="O536" t="str">
            <v>3.2,-7.2;</v>
          </cell>
          <cell r="P536" t="str">
            <v>0.362,-5.65;1.743,-5.48;0.34,-7.68;-0.76,-5.24;-1.76,-5.89;</v>
          </cell>
          <cell r="Q536">
            <v>13000</v>
          </cell>
          <cell r="R536">
            <v>0</v>
          </cell>
          <cell r="S536" t="str">
            <v>1001+10;1002+15;907009+1;</v>
          </cell>
          <cell r="T536">
            <v>0</v>
          </cell>
        </row>
        <row r="537">
          <cell r="A537">
            <v>425</v>
          </cell>
          <cell r="B537" t="str">
            <v>连环寨山贼</v>
          </cell>
          <cell r="C537" t="str">
            <v>1200302;1200303;1200304</v>
          </cell>
          <cell r="D537" t="str">
            <v>1200302;1200303;1200304;1200305</v>
          </cell>
          <cell r="E537" t="str">
            <v>1200302;1200303;1200304;1200305;1200306</v>
          </cell>
        </row>
        <row r="537">
          <cell r="G537">
            <v>0</v>
          </cell>
          <cell r="H537">
            <v>1</v>
          </cell>
          <cell r="I537">
            <v>1</v>
          </cell>
          <cell r="J537" t="b">
            <v>0</v>
          </cell>
          <cell r="K537">
            <v>1003</v>
          </cell>
          <cell r="L537">
            <v>-6.34</v>
          </cell>
          <cell r="M537">
            <v>-7.69</v>
          </cell>
          <cell r="N537">
            <v>0</v>
          </cell>
          <cell r="O537" t="str">
            <v>3.2,-7.2;</v>
          </cell>
          <cell r="P537" t="str">
            <v>0.362,-5.65;1.743,-5.48;0.34,-7.68;-0.76,-5.24;-1.76,-5.89;</v>
          </cell>
          <cell r="Q537">
            <v>13000</v>
          </cell>
          <cell r="R537">
            <v>0</v>
          </cell>
          <cell r="S537" t="str">
            <v>1001+10;1002+15;</v>
          </cell>
          <cell r="T537">
            <v>0</v>
          </cell>
        </row>
        <row r="538">
          <cell r="A538">
            <v>426</v>
          </cell>
          <cell r="B538" t="str">
            <v>连环寨山贼</v>
          </cell>
          <cell r="C538" t="str">
            <v>1201244;1200304;1200305</v>
          </cell>
          <cell r="D538" t="str">
            <v>1201244;1200304;1200305;1200306</v>
          </cell>
          <cell r="E538" t="str">
            <v>1201244;1200304;1200305;1200306;1200309</v>
          </cell>
        </row>
        <row r="538">
          <cell r="G538">
            <v>0</v>
          </cell>
          <cell r="H538">
            <v>1</v>
          </cell>
          <cell r="I538">
            <v>1</v>
          </cell>
          <cell r="J538" t="b">
            <v>0</v>
          </cell>
          <cell r="K538">
            <v>1003</v>
          </cell>
          <cell r="L538">
            <v>-6.34</v>
          </cell>
          <cell r="M538">
            <v>-7.69</v>
          </cell>
          <cell r="N538">
            <v>0</v>
          </cell>
          <cell r="O538" t="str">
            <v>3.2,-7.2;</v>
          </cell>
          <cell r="P538" t="str">
            <v>0.362,-5.65;1.743,-5.48;0.34,-7.68;-0.76,-5.24;-1.76,-5.89;</v>
          </cell>
          <cell r="Q538">
            <v>13000</v>
          </cell>
          <cell r="R538">
            <v>0</v>
          </cell>
          <cell r="S538" t="str">
            <v>1001+10;1002+15;901101+1;</v>
          </cell>
          <cell r="T538" t="str">
            <v>11900,1</v>
          </cell>
        </row>
        <row r="539">
          <cell r="A539">
            <v>427</v>
          </cell>
          <cell r="B539" t="str">
            <v>肉痴</v>
          </cell>
          <cell r="C539" t="str">
            <v>1200310;1200303;1200304</v>
          </cell>
          <cell r="D539" t="str">
            <v>1200310;1200303;1200304;1200305</v>
          </cell>
          <cell r="E539" t="str">
            <v>1200310;1200303;1200304;1200305;1200306</v>
          </cell>
        </row>
        <row r="539">
          <cell r="G539">
            <v>0</v>
          </cell>
          <cell r="H539">
            <v>1</v>
          </cell>
          <cell r="I539">
            <v>1</v>
          </cell>
          <cell r="J539" t="b">
            <v>0</v>
          </cell>
          <cell r="K539">
            <v>1003</v>
          </cell>
          <cell r="L539">
            <v>-6.34</v>
          </cell>
          <cell r="M539">
            <v>-7.69</v>
          </cell>
          <cell r="N539">
            <v>0</v>
          </cell>
          <cell r="O539" t="str">
            <v>3.2,-7.2;</v>
          </cell>
          <cell r="P539" t="str">
            <v>0.362,-5.65;1.743,-5.48;0.34,-7.68;-0.76,-5.24;-1.76,-5.89;</v>
          </cell>
          <cell r="Q539">
            <v>13000</v>
          </cell>
          <cell r="R539">
            <v>0</v>
          </cell>
          <cell r="S539" t="str">
            <v>1001+10;1002+15;+1;907010+1;</v>
          </cell>
          <cell r="T539" t="str">
            <v>11900,1</v>
          </cell>
        </row>
        <row r="540">
          <cell r="A540">
            <v>428</v>
          </cell>
          <cell r="B540" t="str">
            <v>连环寨山贼</v>
          </cell>
          <cell r="C540" t="str">
            <v>1200303;1200304;1200305</v>
          </cell>
          <cell r="D540" t="str">
            <v>1200303;1200304;1200305;1200306</v>
          </cell>
          <cell r="E540" t="str">
            <v>1200303;1200304;1200305;1200306;1200309</v>
          </cell>
        </row>
        <row r="540">
          <cell r="G540">
            <v>0</v>
          </cell>
          <cell r="H540">
            <v>1</v>
          </cell>
          <cell r="I540">
            <v>1</v>
          </cell>
          <cell r="J540" t="b">
            <v>0</v>
          </cell>
          <cell r="K540">
            <v>1003</v>
          </cell>
          <cell r="L540">
            <v>-6.34</v>
          </cell>
          <cell r="M540">
            <v>-7.69</v>
          </cell>
          <cell r="N540">
            <v>0</v>
          </cell>
          <cell r="O540" t="str">
            <v>3.2,-7.2;</v>
          </cell>
          <cell r="P540" t="str">
            <v>0.362,-5.65;1.743,-5.48;0.34,-7.68;-0.76,-5.24;-1.76,-5.89;</v>
          </cell>
          <cell r="Q540">
            <v>13000</v>
          </cell>
          <cell r="R540">
            <v>0</v>
          </cell>
          <cell r="S540" t="str">
            <v>1001+10;1002+15;</v>
          </cell>
          <cell r="T540" t="str">
            <v>11900,1</v>
          </cell>
        </row>
        <row r="541">
          <cell r="A541">
            <v>429</v>
          </cell>
          <cell r="B541" t="str">
            <v>出云圭树</v>
          </cell>
          <cell r="C541" t="str">
            <v>1501371;1501372;1501373;1501374;1501375</v>
          </cell>
        </row>
        <row r="541">
          <cell r="G541">
            <v>0</v>
          </cell>
          <cell r="H541">
            <v>1</v>
          </cell>
          <cell r="I541">
            <v>1</v>
          </cell>
          <cell r="J541" t="b">
            <v>0</v>
          </cell>
          <cell r="K541">
            <v>1003</v>
          </cell>
          <cell r="L541">
            <v>-6.34</v>
          </cell>
          <cell r="M541">
            <v>-7.69</v>
          </cell>
          <cell r="N541">
            <v>0</v>
          </cell>
          <cell r="O541" t="str">
            <v>3.2,-7.2;</v>
          </cell>
          <cell r="P541" t="str">
            <v>0.362,-5.65;1.743,-5.48;0.34,-7.68;-0.76,-5.24;-1.76,-5.89;</v>
          </cell>
          <cell r="Q541">
            <v>19000</v>
          </cell>
          <cell r="R541">
            <v>0</v>
          </cell>
          <cell r="S541" t="str">
            <v>1001+40;1002+45;</v>
          </cell>
          <cell r="T541" t="str">
            <v>11900,1</v>
          </cell>
        </row>
        <row r="542">
          <cell r="A542">
            <v>430</v>
          </cell>
          <cell r="B542" t="str">
            <v>官差</v>
          </cell>
          <cell r="C542" t="str">
            <v>1501383;1501384;1501385;1501386;1501387</v>
          </cell>
          <cell r="D542" t="str">
            <v>1501383;1501384;1501385;1501386;1501387;1501388</v>
          </cell>
          <cell r="E542" t="str">
            <v>1501383;1501384;1501385;1501386;1501387;1501388;1501389</v>
          </cell>
        </row>
        <row r="542">
          <cell r="G542">
            <v>0</v>
          </cell>
          <cell r="H542">
            <v>1</v>
          </cell>
          <cell r="I542">
            <v>1</v>
          </cell>
          <cell r="J542" t="b">
            <v>0</v>
          </cell>
          <cell r="K542">
            <v>1003</v>
          </cell>
          <cell r="L542">
            <v>-6.34</v>
          </cell>
          <cell r="M542">
            <v>-7.69</v>
          </cell>
          <cell r="N542">
            <v>0</v>
          </cell>
          <cell r="O542" t="str">
            <v>3.2,-7.2;</v>
          </cell>
          <cell r="P542" t="str">
            <v>0.362,-5.65;1.743,-5.48;0.34,-7.68;-0.76,-5.24;-1.76,-5.89;</v>
          </cell>
          <cell r="Q542">
            <v>16000</v>
          </cell>
          <cell r="R542">
            <v>0</v>
          </cell>
          <cell r="S542" t="str">
            <v>1001+15;1002+20;</v>
          </cell>
          <cell r="T542" t="str">
            <v>11900,1</v>
          </cell>
        </row>
        <row r="543">
          <cell r="A543">
            <v>431</v>
          </cell>
          <cell r="B543" t="str">
            <v>玉箫楼打手</v>
          </cell>
          <cell r="C543" t="str">
            <v>1501390;1501391;1501392;1501395</v>
          </cell>
          <cell r="D543" t="str">
            <v>1501390;1501391;1501392;1501393;1501395</v>
          </cell>
          <cell r="E543" t="str">
            <v>1501390;1501391;1501392;1501393;1501394;1501395</v>
          </cell>
        </row>
        <row r="543">
          <cell r="G543">
            <v>0</v>
          </cell>
          <cell r="H543">
            <v>1</v>
          </cell>
          <cell r="I543">
            <v>1</v>
          </cell>
          <cell r="J543" t="b">
            <v>0</v>
          </cell>
          <cell r="K543">
            <v>1003</v>
          </cell>
          <cell r="L543">
            <v>-6.34</v>
          </cell>
          <cell r="M543">
            <v>-7.69</v>
          </cell>
          <cell r="N543">
            <v>0</v>
          </cell>
          <cell r="O543" t="str">
            <v>3.2,-7.2;</v>
          </cell>
          <cell r="P543" t="str">
            <v>0.362,-5.65;1.743,-5.48;0.34,-7.68;-0.76,-5.24;-1.76,-5.89;</v>
          </cell>
          <cell r="Q543">
            <v>16000</v>
          </cell>
          <cell r="R543">
            <v>0</v>
          </cell>
          <cell r="S543" t="str">
            <v>1001+15;1002+20;</v>
          </cell>
          <cell r="T543" t="str">
            <v>11900,1</v>
          </cell>
        </row>
        <row r="544">
          <cell r="A544">
            <v>432</v>
          </cell>
          <cell r="B544" t="str">
            <v>黄小玥</v>
          </cell>
          <cell r="C544" t="str">
            <v>1501396</v>
          </cell>
        </row>
        <row r="544">
          <cell r="G544">
            <v>0</v>
          </cell>
          <cell r="H544">
            <v>1</v>
          </cell>
          <cell r="I544">
            <v>1</v>
          </cell>
          <cell r="J544" t="b">
            <v>0</v>
          </cell>
          <cell r="K544">
            <v>1003</v>
          </cell>
          <cell r="L544">
            <v>-6.34</v>
          </cell>
          <cell r="M544">
            <v>-7.69</v>
          </cell>
          <cell r="N544">
            <v>0</v>
          </cell>
          <cell r="O544" t="str">
            <v>3.2,-7.2;</v>
          </cell>
          <cell r="P544" t="str">
            <v>0.362,-5.65;1.743,-5.48;0.34,-7.68;-0.76,-5.24;-1.76,-5.89;</v>
          </cell>
          <cell r="Q544">
            <v>14000</v>
          </cell>
          <cell r="R544">
            <v>0</v>
          </cell>
          <cell r="S544" t="str">
            <v>1001+20;1002+25;</v>
          </cell>
          <cell r="T544" t="str">
            <v>11900,1</v>
          </cell>
        </row>
        <row r="545">
          <cell r="A545">
            <v>433</v>
          </cell>
          <cell r="B545" t="str">
            <v>护院打手</v>
          </cell>
          <cell r="C545" t="str">
            <v>1501397;1501398</v>
          </cell>
        </row>
        <row r="545">
          <cell r="G545">
            <v>0</v>
          </cell>
          <cell r="H545">
            <v>1</v>
          </cell>
          <cell r="I545">
            <v>1</v>
          </cell>
          <cell r="J545" t="b">
            <v>0</v>
          </cell>
          <cell r="K545">
            <v>1003</v>
          </cell>
          <cell r="L545">
            <v>-6.34</v>
          </cell>
          <cell r="M545">
            <v>-7.69</v>
          </cell>
          <cell r="N545">
            <v>0</v>
          </cell>
          <cell r="O545" t="str">
            <v>3.2,-7.2;</v>
          </cell>
          <cell r="P545" t="str">
            <v>0.362,-5.65;1.743,-5.48;0.34,-7.68;-0.76,-5.24;-1.76,-5.89;</v>
          </cell>
          <cell r="Q545">
            <v>14000</v>
          </cell>
          <cell r="R545">
            <v>0</v>
          </cell>
          <cell r="S545" t="str">
            <v>1001+20;1002+25;</v>
          </cell>
          <cell r="T545" t="str">
            <v>11900,1</v>
          </cell>
        </row>
        <row r="546">
          <cell r="A546">
            <v>434</v>
          </cell>
          <cell r="B546" t="str">
            <v>黑衣匪徒</v>
          </cell>
          <cell r="C546" t="str">
            <v>1501399;1501400;1501401</v>
          </cell>
          <cell r="D546" t="str">
            <v>1501399;1501400;1501401;1501402</v>
          </cell>
          <cell r="E546" t="str">
            <v>1501399;1501400;1501401;1501402;1501403</v>
          </cell>
        </row>
        <row r="546">
          <cell r="G546">
            <v>0</v>
          </cell>
          <cell r="H546">
            <v>1</v>
          </cell>
          <cell r="I546">
            <v>1</v>
          </cell>
          <cell r="J546" t="b">
            <v>0</v>
          </cell>
          <cell r="K546">
            <v>1003</v>
          </cell>
          <cell r="L546">
            <v>-6.34</v>
          </cell>
          <cell r="M546">
            <v>-7.69</v>
          </cell>
          <cell r="N546">
            <v>0</v>
          </cell>
          <cell r="O546" t="str">
            <v>3.2,-7.2;</v>
          </cell>
          <cell r="P546" t="str">
            <v>0.362,-5.65;1.743,-5.48;0.34,-7.68;-0.76,-5.24;-1.76,-5.89;</v>
          </cell>
          <cell r="Q546">
            <v>20000</v>
          </cell>
          <cell r="R546">
            <v>0</v>
          </cell>
          <cell r="S546" t="str">
            <v>1001+20;1002+25;</v>
          </cell>
          <cell r="T546" t="str">
            <v>11900,1</v>
          </cell>
        </row>
        <row r="547">
          <cell r="A547">
            <v>435</v>
          </cell>
          <cell r="B547" t="str">
            <v>军士</v>
          </cell>
          <cell r="C547" t="str">
            <v>2000047;2000048;2000049;2000050;2000051</v>
          </cell>
          <cell r="D547" t="str">
            <v>2000047;2000048;2000049;2000050;2000051;2000052</v>
          </cell>
          <cell r="E547" t="str">
            <v>2000047;2000048;2000049;2000050;2000051;2000052;2000053</v>
          </cell>
        </row>
        <row r="547">
          <cell r="G547">
            <v>2000034</v>
          </cell>
          <cell r="H547">
            <v>1</v>
          </cell>
          <cell r="I547">
            <v>1</v>
          </cell>
          <cell r="J547" t="b">
            <v>0</v>
          </cell>
          <cell r="K547">
            <v>1003</v>
          </cell>
          <cell r="L547">
            <v>-6.34</v>
          </cell>
          <cell r="M547">
            <v>-7.69</v>
          </cell>
        </row>
        <row r="547">
          <cell r="O547" t="str">
            <v>3.2,-7.2;-2.6,-4.6;-12.57,-7.07;</v>
          </cell>
          <cell r="P547" t="str">
            <v>0.362,-5.65;1.743,-5.48;0.34,-7.68;-0.76,-5.24;-1.76,-5.89;</v>
          </cell>
          <cell r="Q547">
            <v>20000</v>
          </cell>
          <cell r="R547">
            <v>0</v>
          </cell>
          <cell r="S547" t="str">
            <v>1001+20;1002+25;</v>
          </cell>
          <cell r="T547" t="str">
            <v>11900,1</v>
          </cell>
        </row>
        <row r="548">
          <cell r="A548">
            <v>436</v>
          </cell>
          <cell r="B548" t="str">
            <v>持枪军士</v>
          </cell>
          <cell r="C548" t="str">
            <v>2000056;2000057;2000058;2000059;2000060</v>
          </cell>
          <cell r="D548" t="str">
            <v>2000056;2000057;2000058;2000059;2000060;2000061</v>
          </cell>
          <cell r="E548" t="str">
            <v>2000056;2000057;2000058;2000059;2000060;2000061</v>
          </cell>
        </row>
        <row r="548">
          <cell r="G548">
            <v>2000034</v>
          </cell>
          <cell r="H548">
            <v>1</v>
          </cell>
          <cell r="I548">
            <v>1</v>
          </cell>
          <cell r="J548" t="b">
            <v>0</v>
          </cell>
          <cell r="K548">
            <v>1003</v>
          </cell>
          <cell r="L548">
            <v>-6.34</v>
          </cell>
          <cell r="M548">
            <v>-7.69</v>
          </cell>
        </row>
        <row r="548">
          <cell r="O548" t="str">
            <v>3.2,-7.2;-2.6,-4.6;-12.57,-7.07;</v>
          </cell>
          <cell r="P548" t="str">
            <v>0.362,-5.65;1.743,-5.48;0.34,-7.68;-0.76,-5.24;-1.76,-5.89;</v>
          </cell>
          <cell r="Q548">
            <v>20000</v>
          </cell>
          <cell r="R548">
            <v>0</v>
          </cell>
          <cell r="S548" t="str">
            <v>1001+20;1002+25;</v>
          </cell>
          <cell r="T548" t="str">
            <v>11900,1</v>
          </cell>
        </row>
        <row r="549">
          <cell r="A549">
            <v>437</v>
          </cell>
          <cell r="B549" t="str">
            <v>杨茂昌</v>
          </cell>
          <cell r="C549" t="str">
            <v>2000062;2000063;2000064;2000065;2000066;2000067</v>
          </cell>
          <cell r="D549" t="str">
            <v>2000062;2000063;2000064;2000065;2000066;2000067</v>
          </cell>
          <cell r="E549" t="str">
            <v>2000062;2000063;2000064;2000065;2000066;2000067</v>
          </cell>
        </row>
        <row r="549">
          <cell r="G549">
            <v>2000034</v>
          </cell>
          <cell r="H549">
            <v>1</v>
          </cell>
          <cell r="I549">
            <v>1</v>
          </cell>
          <cell r="J549" t="b">
            <v>0</v>
          </cell>
          <cell r="K549">
            <v>1003</v>
          </cell>
          <cell r="L549">
            <v>-6.34</v>
          </cell>
          <cell r="M549">
            <v>-7.69</v>
          </cell>
        </row>
        <row r="549">
          <cell r="O549" t="str">
            <v>3.2,-7.2;-2.6,-4.6;-12.57,-7.07;</v>
          </cell>
          <cell r="P549" t="str">
            <v>0.362,-5.65;1.743,-5.48;0.34,-7.68;-0.76,-5.24;-1.76,-5.89;</v>
          </cell>
          <cell r="Q549">
            <v>20000</v>
          </cell>
          <cell r="R549">
            <v>0</v>
          </cell>
          <cell r="S549" t="str">
            <v>1001+20;1002+25;901002+1;</v>
          </cell>
          <cell r="T549" t="str">
            <v>11900,1</v>
          </cell>
        </row>
        <row r="550">
          <cell r="A550">
            <v>438</v>
          </cell>
          <cell r="B550" t="str">
            <v>探花</v>
          </cell>
          <cell r="C550" t="str">
            <v>1501408;1501409</v>
          </cell>
        </row>
        <row r="550">
          <cell r="G550">
            <v>0</v>
          </cell>
          <cell r="H550">
            <v>1</v>
          </cell>
          <cell r="I550">
            <v>1</v>
          </cell>
          <cell r="J550" t="b">
            <v>0</v>
          </cell>
          <cell r="K550">
            <v>1003</v>
          </cell>
          <cell r="L550">
            <v>-6.34</v>
          </cell>
          <cell r="M550">
            <v>-7.69</v>
          </cell>
        </row>
        <row r="550">
          <cell r="O550" t="str">
            <v>3.2,-7.2;-2.6,-4.6;-12.57,-7.07;</v>
          </cell>
          <cell r="P550" t="str">
            <v>0.362,-5.65;1.743,-5.48;0.34,-7.68;-0.76,-5.24;-1.76,-5.89;</v>
          </cell>
          <cell r="Q550">
            <v>16000</v>
          </cell>
          <cell r="R550">
            <v>0</v>
          </cell>
          <cell r="S550" t="str">
            <v>1001+15;1002+20;</v>
          </cell>
          <cell r="T550" t="str">
            <v>11900,1</v>
          </cell>
        </row>
        <row r="551">
          <cell r="A551">
            <v>439</v>
          </cell>
          <cell r="B551" t="str">
            <v>罗刹寨匪徒</v>
          </cell>
          <cell r="C551" t="str">
            <v>1501423;1501424;1501425;1501426;1501427</v>
          </cell>
          <cell r="D551" t="str">
            <v>1501423;1501424;1501425;1501426;1501427;1501428</v>
          </cell>
          <cell r="E551" t="str">
            <v>1501423;1501424;1501425;1501426;1501427;1501428;1501429</v>
          </cell>
        </row>
        <row r="551">
          <cell r="G551" t="str">
            <v>1200394;1501435</v>
          </cell>
          <cell r="H551">
            <v>1</v>
          </cell>
          <cell r="I551">
            <v>1</v>
          </cell>
          <cell r="J551" t="b">
            <v>0</v>
          </cell>
          <cell r="K551">
            <v>1003</v>
          </cell>
          <cell r="L551">
            <v>-6.34</v>
          </cell>
          <cell r="M551">
            <v>-7.69</v>
          </cell>
        </row>
        <row r="551">
          <cell r="O551" t="str">
            <v>3.2,-7.2;-2.6,-4.6;-12.57,-7.07;</v>
          </cell>
          <cell r="P551" t="str">
            <v>0.362,-5.65;1.743,-5.48;0.34,-7.68;-0.76,-5.24;-1.76,-5.89;</v>
          </cell>
          <cell r="Q551">
            <v>17000</v>
          </cell>
          <cell r="R551">
            <v>0</v>
          </cell>
          <cell r="S551" t="str">
            <v>1001+25;1002+30;</v>
          </cell>
          <cell r="T551" t="str">
            <v>11900,1</v>
          </cell>
        </row>
        <row r="552">
          <cell r="A552">
            <v>440</v>
          </cell>
          <cell r="B552" t="str">
            <v>常阔天</v>
          </cell>
          <cell r="C552" t="str">
            <v>1501434;1500459;1501430;1501431</v>
          </cell>
          <cell r="D552" t="str">
            <v>1501434;1500459;1501430;1501431;1501432</v>
          </cell>
          <cell r="E552" t="str">
            <v>1501434;1500459;1501430;1501431;1501432;1501433</v>
          </cell>
        </row>
        <row r="552">
          <cell r="G552">
            <v>0</v>
          </cell>
          <cell r="H552">
            <v>1</v>
          </cell>
          <cell r="I552">
            <v>1</v>
          </cell>
          <cell r="J552" t="b">
            <v>0</v>
          </cell>
          <cell r="K552">
            <v>1003</v>
          </cell>
          <cell r="L552">
            <v>-6.34</v>
          </cell>
          <cell r="M552">
            <v>-7.69</v>
          </cell>
        </row>
        <row r="552">
          <cell r="O552" t="str">
            <v>3.2,-7.2;-2.6,-4.6;-12.57,-7.07;</v>
          </cell>
          <cell r="P552" t="str">
            <v>0.362,-5.65;1.743,-5.48;0.34,-7.68;-0.76,-5.24;-1.76,-5.89;</v>
          </cell>
          <cell r="Q552">
            <v>20000</v>
          </cell>
          <cell r="R552">
            <v>0</v>
          </cell>
          <cell r="S552" t="str">
            <v>1001+20;1002+25;</v>
          </cell>
          <cell r="T552" t="str">
            <v>11900,1</v>
          </cell>
        </row>
        <row r="553">
          <cell r="A553">
            <v>441</v>
          </cell>
          <cell r="B553" t="str">
            <v>探花</v>
          </cell>
          <cell r="C553" t="str">
            <v>1501444;1501445</v>
          </cell>
        </row>
        <row r="553">
          <cell r="H553">
            <v>1</v>
          </cell>
          <cell r="I553">
            <v>1</v>
          </cell>
          <cell r="J553" t="b">
            <v>0</v>
          </cell>
          <cell r="K553">
            <v>1003</v>
          </cell>
          <cell r="L553">
            <v>-6.34</v>
          </cell>
          <cell r="M553">
            <v>-7.69</v>
          </cell>
        </row>
        <row r="553">
          <cell r="O553" t="str">
            <v>3.2,-7.2;-2.6,-4.6;-12.57,-7.07;</v>
          </cell>
          <cell r="P553" t="str">
            <v>0.362,-5.65;1.743,-5.48;0.34,-7.68;-0.76,-5.24;-1.76,-5.89;</v>
          </cell>
          <cell r="Q553">
            <v>21000</v>
          </cell>
          <cell r="R553">
            <v>0</v>
          </cell>
          <cell r="S553" t="str">
            <v>1001+35;1002+40;</v>
          </cell>
          <cell r="T553" t="str">
            <v>11900,1</v>
          </cell>
        </row>
        <row r="554">
          <cell r="A554">
            <v>442</v>
          </cell>
          <cell r="B554" t="str">
            <v>阮彦春</v>
          </cell>
          <cell r="C554" t="str">
            <v>1501446</v>
          </cell>
        </row>
        <row r="554">
          <cell r="H554">
            <v>1</v>
          </cell>
          <cell r="I554">
            <v>1</v>
          </cell>
          <cell r="J554" t="b">
            <v>0</v>
          </cell>
          <cell r="K554">
            <v>1003</v>
          </cell>
          <cell r="L554">
            <v>-6.34</v>
          </cell>
          <cell r="M554">
            <v>-7.69</v>
          </cell>
        </row>
        <row r="554">
          <cell r="O554" t="str">
            <v>3.2,-7.2;-2.6,-4.6;-12.57,-7.07;</v>
          </cell>
          <cell r="P554" t="str">
            <v>0.362,-5.65;1.743,-5.48;0.34,-7.68;-0.76,-5.24;-1.76,-5.89;</v>
          </cell>
          <cell r="Q554">
            <v>21000</v>
          </cell>
          <cell r="R554">
            <v>0</v>
          </cell>
          <cell r="S554" t="str">
            <v>1001+35;1002+40;</v>
          </cell>
          <cell r="T554" t="str">
            <v>11900,1</v>
          </cell>
        </row>
        <row r="555">
          <cell r="A555">
            <v>443</v>
          </cell>
          <cell r="B555" t="str">
            <v>押囚军士</v>
          </cell>
          <cell r="C555" t="str">
            <v>1501447;1501448;1501449</v>
          </cell>
          <cell r="D555" t="str">
            <v>1501447;1501448;1501449;1501450</v>
          </cell>
          <cell r="E555" t="str">
            <v>1501447;1501448;1501449;1501450;1501451</v>
          </cell>
        </row>
        <row r="555">
          <cell r="G555">
            <v>1501467</v>
          </cell>
          <cell r="H555">
            <v>1</v>
          </cell>
          <cell r="I555">
            <v>1</v>
          </cell>
          <cell r="J555" t="b">
            <v>0</v>
          </cell>
          <cell r="K555">
            <v>1003</v>
          </cell>
          <cell r="L555">
            <v>-6.34</v>
          </cell>
          <cell r="M555">
            <v>-7.69</v>
          </cell>
        </row>
        <row r="555">
          <cell r="O555" t="str">
            <v>3.2,-7.2;-2.6,-4.6;-12.57,-7.07;</v>
          </cell>
          <cell r="P555" t="str">
            <v>0.362,-5.65;1.743,-5.48;0.34,-7.68;-0.76,-5.24;-1.76,-5.89;</v>
          </cell>
          <cell r="Q555">
            <v>21000</v>
          </cell>
          <cell r="R555">
            <v>0</v>
          </cell>
          <cell r="S555" t="str">
            <v>1001+35;1002+40;</v>
          </cell>
          <cell r="T555" t="str">
            <v>11900,1</v>
          </cell>
        </row>
        <row r="556">
          <cell r="A556">
            <v>444</v>
          </cell>
          <cell r="B556" t="str">
            <v>探花虚</v>
          </cell>
          <cell r="C556" t="str">
            <v>1501486;1501470;1501471</v>
          </cell>
          <cell r="D556" t="str">
            <v>1501486;1501470;1501471;1501472</v>
          </cell>
          <cell r="E556" t="str">
            <v>1501486;1501470;1501471;1501472;1501473</v>
          </cell>
        </row>
        <row r="556">
          <cell r="G556" t="str">
            <v>1501468;1501469</v>
          </cell>
          <cell r="H556">
            <v>1</v>
          </cell>
          <cell r="I556">
            <v>1</v>
          </cell>
          <cell r="J556" t="b">
            <v>0</v>
          </cell>
          <cell r="K556">
            <v>1003</v>
          </cell>
          <cell r="L556">
            <v>-6.34</v>
          </cell>
          <cell r="M556">
            <v>-7.69</v>
          </cell>
        </row>
        <row r="556">
          <cell r="O556" t="str">
            <v>3.2,-7.2;-2.6,-4.6;-12.57,-7.07;</v>
          </cell>
          <cell r="P556" t="str">
            <v>0.362,-5.65;1.743,-5.48;0.34,-7.68;-0.76,-5.24;-1.76,-5.89;</v>
          </cell>
          <cell r="Q556">
            <v>21000</v>
          </cell>
          <cell r="R556">
            <v>0</v>
          </cell>
          <cell r="S556" t="str">
            <v>1001+35;1002+40;</v>
          </cell>
          <cell r="T556" t="str">
            <v>11900,1</v>
          </cell>
        </row>
        <row r="557">
          <cell r="A557">
            <v>445</v>
          </cell>
          <cell r="B557" t="str">
            <v>探花</v>
          </cell>
          <cell r="C557" t="str">
            <v>1501474;1501475;1501476</v>
          </cell>
          <cell r="D557" t="str">
            <v>1501474;1501475;1501476;1501477</v>
          </cell>
          <cell r="E557" t="str">
            <v>1501474;1501475;1501476;1501477;1501478</v>
          </cell>
        </row>
        <row r="557">
          <cell r="G557" t="str">
            <v>1501468;1501469</v>
          </cell>
          <cell r="H557">
            <v>1</v>
          </cell>
          <cell r="I557">
            <v>1</v>
          </cell>
          <cell r="J557" t="b">
            <v>0</v>
          </cell>
          <cell r="K557">
            <v>1003</v>
          </cell>
          <cell r="L557">
            <v>-6.34</v>
          </cell>
          <cell r="M557">
            <v>-7.69</v>
          </cell>
        </row>
        <row r="557">
          <cell r="O557" t="str">
            <v>3.2,-7.2;-2.6,-4.6;-12.57,-7.07;</v>
          </cell>
          <cell r="P557" t="str">
            <v>0.362,-5.65;1.743,-5.48;0.34,-7.68;-0.76,-5.24;-1.76,-5.89;</v>
          </cell>
          <cell r="Q557">
            <v>21000</v>
          </cell>
          <cell r="R557">
            <v>0</v>
          </cell>
          <cell r="S557" t="str">
            <v>1001+35;1002+40;</v>
          </cell>
          <cell r="T557">
            <v>0</v>
          </cell>
        </row>
        <row r="558">
          <cell r="A558">
            <v>446</v>
          </cell>
          <cell r="B558" t="str">
            <v>探花</v>
          </cell>
          <cell r="C558" t="str">
            <v>1501479;1501480;1501481</v>
          </cell>
          <cell r="D558" t="str">
            <v>1501479;1501480;1501481;1501482</v>
          </cell>
          <cell r="E558" t="str">
            <v>1501479;1501480;1501481;1501482;1501483</v>
          </cell>
        </row>
        <row r="558">
          <cell r="G558" t="str">
            <v>1501468;1501469</v>
          </cell>
          <cell r="H558">
            <v>1</v>
          </cell>
          <cell r="I558">
            <v>1</v>
          </cell>
          <cell r="J558" t="b">
            <v>0</v>
          </cell>
          <cell r="K558">
            <v>1003</v>
          </cell>
          <cell r="L558">
            <v>-6.34</v>
          </cell>
          <cell r="M558">
            <v>-7.69</v>
          </cell>
        </row>
        <row r="558">
          <cell r="O558" t="str">
            <v>3.2,-7.2;-2.6,-4.6;-12.57,-7.07;</v>
          </cell>
          <cell r="P558" t="str">
            <v>0.362,-5.65;1.743,-5.48;0.34,-7.68;-0.76,-5.24;-1.76,-5.89;</v>
          </cell>
          <cell r="Q558">
            <v>21000</v>
          </cell>
          <cell r="R558">
            <v>0</v>
          </cell>
          <cell r="S558" t="str">
            <v>1001+35;1002+40;</v>
          </cell>
          <cell r="T558">
            <v>0</v>
          </cell>
        </row>
        <row r="559">
          <cell r="A559">
            <v>447</v>
          </cell>
          <cell r="B559" t="str">
            <v>探花</v>
          </cell>
          <cell r="C559" t="str">
            <v>1501484;1501485;1501519;1501520</v>
          </cell>
          <cell r="D559" t="str">
            <v>1501484;1501485;1501519;1501520;1501521</v>
          </cell>
          <cell r="E559" t="str">
            <v>1501484;1501485;1501519;1501520;1501521;1501522</v>
          </cell>
        </row>
        <row r="559">
          <cell r="G559" t="str">
            <v>1501468;1501469</v>
          </cell>
          <cell r="H559">
            <v>1</v>
          </cell>
          <cell r="I559">
            <v>1</v>
          </cell>
          <cell r="J559" t="b">
            <v>0</v>
          </cell>
          <cell r="K559">
            <v>1003</v>
          </cell>
          <cell r="L559">
            <v>-6.34</v>
          </cell>
          <cell r="M559">
            <v>-7.69</v>
          </cell>
        </row>
        <row r="559">
          <cell r="O559" t="str">
            <v>3.2,-7.2;-2.6,-4.6;-12.57,-7.07;</v>
          </cell>
          <cell r="P559" t="str">
            <v>0.362,-5.65;1.743,-5.48;0.34,-7.68;-0.76,-5.24;-1.76,-5.89;</v>
          </cell>
          <cell r="Q559">
            <v>21000</v>
          </cell>
          <cell r="R559">
            <v>0</v>
          </cell>
          <cell r="S559" t="str">
            <v>1001+35;1002+40;</v>
          </cell>
          <cell r="T559" t="str">
            <v>11900,1</v>
          </cell>
        </row>
        <row r="560">
          <cell r="A560">
            <v>448</v>
          </cell>
          <cell r="B560" t="str">
            <v>精壮汉子</v>
          </cell>
          <cell r="C560" t="str">
            <v>1501452;1501453;1501454</v>
          </cell>
          <cell r="D560" t="str">
            <v>1501452;1501453;1501454;1501455</v>
          </cell>
          <cell r="E560" t="str">
            <v>1501452;1501453;1501454;1501455;1501456</v>
          </cell>
        </row>
        <row r="560">
          <cell r="H560">
            <v>1</v>
          </cell>
          <cell r="I560">
            <v>1</v>
          </cell>
          <cell r="J560" t="b">
            <v>0</v>
          </cell>
          <cell r="K560">
            <v>1003</v>
          </cell>
          <cell r="L560">
            <v>-6.34</v>
          </cell>
          <cell r="M560">
            <v>-7.69</v>
          </cell>
        </row>
        <row r="560">
          <cell r="O560" t="str">
            <v>3.2,-7.2;-2.6,-4.6;-12.57,-7.07;</v>
          </cell>
          <cell r="P560" t="str">
            <v>0.362,-5.65;1.743,-5.48;0.34,-7.68;-0.76,-5.24;-1.76,-5.89;</v>
          </cell>
          <cell r="Q560">
            <v>21000</v>
          </cell>
          <cell r="R560">
            <v>0</v>
          </cell>
          <cell r="S560" t="str">
            <v>1001+35;1002+40;</v>
          </cell>
          <cell r="T560" t="str">
            <v>11900,1</v>
          </cell>
        </row>
        <row r="561">
          <cell r="A561">
            <v>449</v>
          </cell>
          <cell r="B561" t="str">
            <v>盗墓贼寇</v>
          </cell>
          <cell r="C561" t="str">
            <v>1501457;1501458;1501459</v>
          </cell>
          <cell r="D561" t="str">
            <v>1501457;1501458;1501459;1501460</v>
          </cell>
          <cell r="E561" t="str">
            <v>1501457;1501458;1501459;1501460;1501461</v>
          </cell>
        </row>
        <row r="561">
          <cell r="H561">
            <v>1</v>
          </cell>
          <cell r="I561">
            <v>1</v>
          </cell>
          <cell r="J561" t="b">
            <v>0</v>
          </cell>
          <cell r="K561">
            <v>1003</v>
          </cell>
          <cell r="L561">
            <v>-6.34</v>
          </cell>
          <cell r="M561">
            <v>-7.69</v>
          </cell>
        </row>
        <row r="561">
          <cell r="O561" t="str">
            <v>3.2,-7.2;-2.6,-4.6;-12.57,-7.07;</v>
          </cell>
          <cell r="P561" t="str">
            <v>0.362,-5.65;1.743,-5.48;0.34,-7.68;-0.76,-5.24;-1.76,-5.89;</v>
          </cell>
          <cell r="Q561">
            <v>21000</v>
          </cell>
          <cell r="R561">
            <v>0</v>
          </cell>
          <cell r="S561" t="str">
            <v>1001+35;1002+40;</v>
          </cell>
          <cell r="T561" t="str">
            <v>11900,1</v>
          </cell>
        </row>
        <row r="562">
          <cell r="A562">
            <v>450</v>
          </cell>
          <cell r="B562" t="str">
            <v>穿山四鼠</v>
          </cell>
          <cell r="C562" t="str">
            <v>1501462;1501463;1501464;1501465</v>
          </cell>
        </row>
        <row r="562">
          <cell r="H562">
            <v>1</v>
          </cell>
          <cell r="I562">
            <v>1</v>
          </cell>
          <cell r="J562" t="b">
            <v>0</v>
          </cell>
          <cell r="K562">
            <v>1003</v>
          </cell>
          <cell r="L562">
            <v>-6.34</v>
          </cell>
          <cell r="M562">
            <v>-7.69</v>
          </cell>
        </row>
        <row r="562">
          <cell r="O562" t="str">
            <v>3.2,-7.2;-2.6,-4.6;-12.57,-7.07;</v>
          </cell>
          <cell r="P562" t="str">
            <v>0.362,-5.65;1.743,-5.48;0.34,-7.68;-0.76,-5.24;-1.76,-5.89;</v>
          </cell>
          <cell r="Q562">
            <v>21000</v>
          </cell>
          <cell r="R562">
            <v>0</v>
          </cell>
          <cell r="S562" t="str">
            <v>1001+35;1002+40;</v>
          </cell>
          <cell r="T562" t="str">
            <v>11900,1</v>
          </cell>
        </row>
        <row r="563">
          <cell r="A563">
            <v>451</v>
          </cell>
          <cell r="B563" t="str">
            <v>凌义</v>
          </cell>
          <cell r="C563" t="str">
            <v>1501466</v>
          </cell>
        </row>
        <row r="563">
          <cell r="H563">
            <v>1</v>
          </cell>
          <cell r="I563">
            <v>1</v>
          </cell>
          <cell r="J563" t="b">
            <v>0</v>
          </cell>
          <cell r="K563">
            <v>1003</v>
          </cell>
          <cell r="L563">
            <v>-6.34</v>
          </cell>
          <cell r="M563">
            <v>-7.69</v>
          </cell>
        </row>
        <row r="563">
          <cell r="O563" t="str">
            <v>3.2,-7.2;-2.6,-4.6;-12.57,-7.07;</v>
          </cell>
          <cell r="P563" t="str">
            <v>0.362,-5.65;1.743,-5.48;0.34,-7.68;-0.76,-5.24;-1.76,-5.89;</v>
          </cell>
          <cell r="Q563">
            <v>21000</v>
          </cell>
          <cell r="R563">
            <v>0</v>
          </cell>
          <cell r="S563" t="str">
            <v>1001+35;1002+40;</v>
          </cell>
          <cell r="T563" t="str">
            <v>11900,1</v>
          </cell>
        </row>
        <row r="564">
          <cell r="A564">
            <v>452</v>
          </cell>
          <cell r="B564" t="str">
            <v>大当家西虎</v>
          </cell>
          <cell r="C564" t="str">
            <v>1501597</v>
          </cell>
        </row>
        <row r="564">
          <cell r="G564">
            <v>0</v>
          </cell>
          <cell r="H564">
            <v>1</v>
          </cell>
          <cell r="I564">
            <v>1</v>
          </cell>
          <cell r="J564" t="b">
            <v>0</v>
          </cell>
          <cell r="K564">
            <v>1003</v>
          </cell>
          <cell r="L564">
            <v>-6.34</v>
          </cell>
          <cell r="M564">
            <v>-7.69</v>
          </cell>
        </row>
        <row r="564">
          <cell r="O564" t="str">
            <v>3.2,-7.2;</v>
          </cell>
          <cell r="P564" t="str">
            <v>0.362,-5.65;1.743,-5.48;0.34,-7.68;-0.76,-5.24;-1.76,-5.89;</v>
          </cell>
          <cell r="Q564">
            <v>11000</v>
          </cell>
          <cell r="R564">
            <v>0</v>
          </cell>
          <cell r="S564" t="str">
            <v>1001+3;1002+5;</v>
          </cell>
          <cell r="T564" t="str">
            <v>11900,1</v>
          </cell>
        </row>
        <row r="565">
          <cell r="A565">
            <v>453</v>
          </cell>
          <cell r="B565" t="str">
            <v>练功甲人</v>
          </cell>
          <cell r="C565" t="str">
            <v>1201283</v>
          </cell>
        </row>
        <row r="565">
          <cell r="G565">
            <v>0</v>
          </cell>
          <cell r="H565">
            <v>1</v>
          </cell>
          <cell r="I565">
            <v>1</v>
          </cell>
          <cell r="J565" t="b">
            <v>0</v>
          </cell>
          <cell r="K565">
            <v>1003</v>
          </cell>
          <cell r="L565">
            <v>-6.34</v>
          </cell>
          <cell r="M565">
            <v>-7.69</v>
          </cell>
        </row>
        <row r="565">
          <cell r="O565" t="str">
            <v>3.2,-7.2;</v>
          </cell>
          <cell r="P565" t="str">
            <v>0.362,-5.65;1.743,-5.48;0.34,-7.68;-0.76,-5.24;-1.76,-5.89;</v>
          </cell>
          <cell r="Q565">
            <v>14000</v>
          </cell>
          <cell r="R565">
            <v>0</v>
          </cell>
          <cell r="S565" t="str">
            <v>1001+20;1002+25;</v>
          </cell>
          <cell r="T565">
            <v>0</v>
          </cell>
        </row>
        <row r="566">
          <cell r="A566">
            <v>454</v>
          </cell>
          <cell r="B566" t="str">
            <v>练功甲人</v>
          </cell>
          <cell r="C566" t="str">
            <v>1201284</v>
          </cell>
        </row>
        <row r="566">
          <cell r="G566">
            <v>0</v>
          </cell>
          <cell r="H566">
            <v>1</v>
          </cell>
          <cell r="I566">
            <v>1</v>
          </cell>
          <cell r="J566" t="b">
            <v>0</v>
          </cell>
          <cell r="K566">
            <v>1003</v>
          </cell>
          <cell r="L566">
            <v>-6.34</v>
          </cell>
          <cell r="M566">
            <v>-7.69</v>
          </cell>
        </row>
        <row r="566">
          <cell r="O566" t="str">
            <v>3.2,-7.2;</v>
          </cell>
          <cell r="P566" t="str">
            <v>0.362,-5.65;1.743,-5.48;0.34,-7.68;-0.76,-5.24;-1.76,-5.89;</v>
          </cell>
          <cell r="Q566">
            <v>14000</v>
          </cell>
          <cell r="R566">
            <v>0</v>
          </cell>
          <cell r="S566" t="str">
            <v>1001+20;1002+25;</v>
          </cell>
          <cell r="T566">
            <v>0</v>
          </cell>
        </row>
        <row r="567">
          <cell r="A567">
            <v>455</v>
          </cell>
          <cell r="B567" t="str">
            <v>练功甲人</v>
          </cell>
          <cell r="C567" t="str">
            <v>1201285</v>
          </cell>
        </row>
        <row r="567">
          <cell r="G567">
            <v>0</v>
          </cell>
          <cell r="H567">
            <v>1</v>
          </cell>
          <cell r="I567">
            <v>1</v>
          </cell>
          <cell r="J567" t="b">
            <v>0</v>
          </cell>
          <cell r="K567">
            <v>1003</v>
          </cell>
          <cell r="L567">
            <v>-6.34</v>
          </cell>
          <cell r="M567">
            <v>-7.69</v>
          </cell>
        </row>
        <row r="567">
          <cell r="O567" t="str">
            <v>3.2,-7.2;</v>
          </cell>
          <cell r="P567" t="str">
            <v>0.362,-5.65;1.743,-5.48;0.34,-7.68;-0.76,-5.24;-1.76,-5.89;</v>
          </cell>
          <cell r="Q567">
            <v>14000</v>
          </cell>
          <cell r="R567">
            <v>0</v>
          </cell>
          <cell r="S567" t="str">
            <v>1001+20;1002+25;</v>
          </cell>
          <cell r="T567">
            <v>0</v>
          </cell>
        </row>
        <row r="568">
          <cell r="A568">
            <v>456</v>
          </cell>
          <cell r="B568" t="str">
            <v>练功甲人</v>
          </cell>
          <cell r="C568" t="str">
            <v>1201286</v>
          </cell>
        </row>
        <row r="568">
          <cell r="G568">
            <v>0</v>
          </cell>
          <cell r="H568">
            <v>1</v>
          </cell>
          <cell r="I568">
            <v>1</v>
          </cell>
          <cell r="J568" t="b">
            <v>0</v>
          </cell>
          <cell r="K568">
            <v>1003</v>
          </cell>
          <cell r="L568">
            <v>-6.34</v>
          </cell>
          <cell r="M568">
            <v>-7.69</v>
          </cell>
        </row>
        <row r="568">
          <cell r="O568" t="str">
            <v>3.2,-7.2;</v>
          </cell>
          <cell r="P568" t="str">
            <v>0.362,-5.65;1.743,-5.48;0.34,-7.68;-0.76,-5.24;-1.76,-5.89;</v>
          </cell>
          <cell r="Q568">
            <v>14000</v>
          </cell>
          <cell r="R568">
            <v>0</v>
          </cell>
          <cell r="S568" t="str">
            <v>1001+20;1002+25;</v>
          </cell>
          <cell r="T568">
            <v>0</v>
          </cell>
        </row>
        <row r="569">
          <cell r="A569">
            <v>457</v>
          </cell>
          <cell r="B569" t="str">
            <v>水蛇</v>
          </cell>
          <cell r="C569" t="str">
            <v>1501601</v>
          </cell>
        </row>
        <row r="569">
          <cell r="G569">
            <v>0</v>
          </cell>
          <cell r="H569">
            <v>1</v>
          </cell>
          <cell r="I569">
            <v>1</v>
          </cell>
          <cell r="J569" t="b">
            <v>0</v>
          </cell>
          <cell r="K569">
            <v>1003</v>
          </cell>
          <cell r="L569">
            <v>-6.34</v>
          </cell>
          <cell r="M569">
            <v>-7.69</v>
          </cell>
        </row>
        <row r="569">
          <cell r="O569" t="str">
            <v>3.2,-7.2;</v>
          </cell>
          <cell r="P569" t="str">
            <v>0.362,-5.65;1.743,-5.48;0.34,-7.68;-0.76,-5.24;-1.76,-5.89;</v>
          </cell>
          <cell r="Q569">
            <v>12000</v>
          </cell>
          <cell r="R569">
            <v>0</v>
          </cell>
          <cell r="S569" t="str">
            <v>1001+3;1002+5;</v>
          </cell>
          <cell r="T569" t="str">
            <v>11900,1</v>
          </cell>
        </row>
        <row r="570">
          <cell r="A570">
            <v>458</v>
          </cell>
          <cell r="B570" t="str">
            <v>探花</v>
          </cell>
          <cell r="C570" t="str">
            <v>1501602;1501603;1501604;1501605;</v>
          </cell>
        </row>
        <row r="570">
          <cell r="G570">
            <v>0</v>
          </cell>
          <cell r="H570">
            <v>1</v>
          </cell>
          <cell r="I570">
            <v>1</v>
          </cell>
          <cell r="J570" t="b">
            <v>0</v>
          </cell>
          <cell r="K570">
            <v>1003</v>
          </cell>
          <cell r="L570">
            <v>-6.34</v>
          </cell>
          <cell r="M570">
            <v>-7.69</v>
          </cell>
        </row>
        <row r="570">
          <cell r="O570" t="str">
            <v>3.2,-7.2;</v>
          </cell>
          <cell r="P570" t="str">
            <v>0.362,-5.65;1.743,-5.48;0.34,-7.68;-0.76,-5.24;-1.76,-5.89;</v>
          </cell>
          <cell r="Q570">
            <v>21000</v>
          </cell>
          <cell r="R570">
            <v>0</v>
          </cell>
          <cell r="S570" t="str">
            <v>1001+35;1002+40;</v>
          </cell>
          <cell r="T570">
            <v>0</v>
          </cell>
        </row>
        <row r="571">
          <cell r="A571">
            <v>459</v>
          </cell>
          <cell r="B571" t="str">
            <v>探花六</v>
          </cell>
          <cell r="C571" t="str">
            <v>1501606;1501607;</v>
          </cell>
        </row>
        <row r="571">
          <cell r="G571">
            <v>0</v>
          </cell>
          <cell r="H571">
            <v>1</v>
          </cell>
          <cell r="I571">
            <v>1</v>
          </cell>
          <cell r="J571" t="b">
            <v>0</v>
          </cell>
          <cell r="K571">
            <v>1003</v>
          </cell>
          <cell r="L571">
            <v>-6.34</v>
          </cell>
          <cell r="M571">
            <v>-7.69</v>
          </cell>
        </row>
        <row r="571">
          <cell r="O571" t="str">
            <v>3.2,-7.2;</v>
          </cell>
          <cell r="P571" t="str">
            <v>0.362,-5.65;1.743,-5.48;0.34,-7.68;-0.76,-5.24;-1.76,-5.89;</v>
          </cell>
          <cell r="Q571">
            <v>21000</v>
          </cell>
          <cell r="R571">
            <v>0</v>
          </cell>
          <cell r="S571" t="str">
            <v>1001+35;1002+40;</v>
          </cell>
          <cell r="T571">
            <v>0</v>
          </cell>
        </row>
        <row r="572">
          <cell r="A572">
            <v>460</v>
          </cell>
          <cell r="B572" t="str">
            <v>探花</v>
          </cell>
          <cell r="C572" t="str">
            <v>1501608;1501609;1501610;1501611;1501612;</v>
          </cell>
        </row>
        <row r="572">
          <cell r="G572">
            <v>0</v>
          </cell>
          <cell r="H572">
            <v>1</v>
          </cell>
          <cell r="I572">
            <v>1</v>
          </cell>
          <cell r="J572" t="b">
            <v>0</v>
          </cell>
          <cell r="K572">
            <v>1003</v>
          </cell>
          <cell r="L572">
            <v>-6.34</v>
          </cell>
          <cell r="M572">
            <v>-7.69</v>
          </cell>
        </row>
        <row r="572">
          <cell r="O572" t="str">
            <v>3.2,-7.2;</v>
          </cell>
          <cell r="P572" t="str">
            <v>0.362,-5.65;1.743,-5.48;0.34,-7.68;-0.76,-5.24;-1.76,-5.89;</v>
          </cell>
          <cell r="Q572">
            <v>21000</v>
          </cell>
          <cell r="R572">
            <v>0</v>
          </cell>
          <cell r="S572" t="str">
            <v>1001+35;1002+40;</v>
          </cell>
          <cell r="T572">
            <v>0</v>
          </cell>
        </row>
        <row r="573">
          <cell r="A573">
            <v>461</v>
          </cell>
          <cell r="B573" t="str">
            <v>探花</v>
          </cell>
          <cell r="C573" t="str">
            <v>1501613;1501614;1501615;</v>
          </cell>
        </row>
        <row r="573">
          <cell r="G573">
            <v>0</v>
          </cell>
          <cell r="H573">
            <v>1</v>
          </cell>
          <cell r="I573">
            <v>1</v>
          </cell>
          <cell r="J573" t="b">
            <v>0</v>
          </cell>
          <cell r="K573">
            <v>1003</v>
          </cell>
          <cell r="L573">
            <v>-6.34</v>
          </cell>
          <cell r="M573">
            <v>-7.69</v>
          </cell>
        </row>
        <row r="573">
          <cell r="O573" t="str">
            <v>3.2,-7.2;</v>
          </cell>
          <cell r="P573" t="str">
            <v>0.362,-5.65;1.743,-5.48;0.34,-7.68;-0.76,-5.24;-1.76,-5.89;</v>
          </cell>
          <cell r="Q573">
            <v>21000</v>
          </cell>
          <cell r="R573">
            <v>0</v>
          </cell>
          <cell r="S573" t="str">
            <v>1001+35;1002+40;</v>
          </cell>
          <cell r="T573">
            <v>0</v>
          </cell>
        </row>
        <row r="574">
          <cell r="A574">
            <v>462</v>
          </cell>
          <cell r="B574" t="str">
            <v>探花二</v>
          </cell>
          <cell r="C574" t="str">
            <v>1501616;1501617;1501618;</v>
          </cell>
        </row>
        <row r="574">
          <cell r="G574">
            <v>0</v>
          </cell>
          <cell r="H574">
            <v>1</v>
          </cell>
          <cell r="I574">
            <v>1</v>
          </cell>
          <cell r="J574" t="b">
            <v>0</v>
          </cell>
          <cell r="K574">
            <v>1003</v>
          </cell>
          <cell r="L574">
            <v>-6.34</v>
          </cell>
          <cell r="M574">
            <v>-7.69</v>
          </cell>
        </row>
        <row r="574">
          <cell r="O574" t="str">
            <v>3.2,-7.2;</v>
          </cell>
          <cell r="P574" t="str">
            <v>0.362,-5.65;1.743,-5.48;0.34,-7.68;-0.76,-5.24;-1.76,-5.89;</v>
          </cell>
          <cell r="Q574">
            <v>21000</v>
          </cell>
          <cell r="R574">
            <v>0</v>
          </cell>
          <cell r="S574" t="str">
            <v>1001+35;1002+40;</v>
          </cell>
          <cell r="T574">
            <v>0</v>
          </cell>
        </row>
        <row r="575">
          <cell r="A575">
            <v>463</v>
          </cell>
          <cell r="B575" t="str">
            <v>探花一</v>
          </cell>
          <cell r="C575" t="str">
            <v>1501619;1501620;1501621;1501622;1501623;</v>
          </cell>
        </row>
        <row r="575">
          <cell r="G575">
            <v>0</v>
          </cell>
          <cell r="H575">
            <v>1</v>
          </cell>
          <cell r="I575">
            <v>1</v>
          </cell>
          <cell r="J575" t="b">
            <v>0</v>
          </cell>
          <cell r="K575">
            <v>1003</v>
          </cell>
          <cell r="L575">
            <v>-6.34</v>
          </cell>
          <cell r="M575">
            <v>-7.69</v>
          </cell>
        </row>
        <row r="575">
          <cell r="O575" t="str">
            <v>3.2,-7.2;</v>
          </cell>
          <cell r="P575" t="str">
            <v>0.362,-5.65;1.743,-5.48;0.34,-7.68;-0.76,-5.24;-1.76,-5.89;</v>
          </cell>
          <cell r="Q575">
            <v>21000</v>
          </cell>
          <cell r="R575">
            <v>0</v>
          </cell>
          <cell r="S575" t="str">
            <v>1001+35;1002+40;</v>
          </cell>
          <cell r="T575" t="str">
            <v>11000,1</v>
          </cell>
        </row>
        <row r="576">
          <cell r="A576">
            <v>464</v>
          </cell>
          <cell r="B576" t="str">
            <v>探花</v>
          </cell>
          <cell r="C576" t="str">
            <v>1501624;1501625;1501626;1501627;</v>
          </cell>
        </row>
        <row r="576">
          <cell r="G576">
            <v>0</v>
          </cell>
          <cell r="H576">
            <v>1</v>
          </cell>
          <cell r="I576">
            <v>1</v>
          </cell>
          <cell r="J576" t="b">
            <v>0</v>
          </cell>
          <cell r="K576">
            <v>1003</v>
          </cell>
          <cell r="L576">
            <v>-6.34</v>
          </cell>
          <cell r="M576">
            <v>-7.69</v>
          </cell>
        </row>
        <row r="576">
          <cell r="O576" t="str">
            <v>3.2,-7.2;</v>
          </cell>
          <cell r="P576" t="str">
            <v>0.362,-5.65;1.743,-5.48;0.34,-7.68;-0.76,-5.24;-1.76,-5.89;</v>
          </cell>
          <cell r="Q576">
            <v>21000</v>
          </cell>
          <cell r="R576">
            <v>0</v>
          </cell>
          <cell r="S576" t="str">
            <v>1001+35;1002+40;</v>
          </cell>
          <cell r="T576">
            <v>0</v>
          </cell>
        </row>
        <row r="577">
          <cell r="A577">
            <v>465</v>
          </cell>
          <cell r="B577" t="str">
            <v>探花六</v>
          </cell>
          <cell r="C577" t="str">
            <v>1501628;1501629;</v>
          </cell>
        </row>
        <row r="577">
          <cell r="G577">
            <v>0</v>
          </cell>
          <cell r="H577">
            <v>1</v>
          </cell>
          <cell r="I577">
            <v>1</v>
          </cell>
          <cell r="J577" t="b">
            <v>0</v>
          </cell>
          <cell r="K577">
            <v>1003</v>
          </cell>
          <cell r="L577">
            <v>-6.34</v>
          </cell>
          <cell r="M577">
            <v>-7.69</v>
          </cell>
        </row>
        <row r="577">
          <cell r="O577" t="str">
            <v>3.2,-7.2;</v>
          </cell>
          <cell r="P577" t="str">
            <v>0.362,-5.65;1.743,-5.48;0.34,-7.68;-0.76,-5.24;-1.76,-5.89;</v>
          </cell>
          <cell r="Q577">
            <v>21000</v>
          </cell>
          <cell r="R577">
            <v>0</v>
          </cell>
          <cell r="S577" t="str">
            <v>1001+35;1002+40;</v>
          </cell>
          <cell r="T577">
            <v>0</v>
          </cell>
        </row>
        <row r="578">
          <cell r="A578">
            <v>466</v>
          </cell>
          <cell r="B578" t="str">
            <v>探花</v>
          </cell>
          <cell r="C578" t="str">
            <v>1501630;1501631;1501632;1501633;1501634;</v>
          </cell>
        </row>
        <row r="578">
          <cell r="G578">
            <v>0</v>
          </cell>
          <cell r="H578">
            <v>1</v>
          </cell>
          <cell r="I578">
            <v>1</v>
          </cell>
          <cell r="J578" t="b">
            <v>0</v>
          </cell>
          <cell r="K578">
            <v>1003</v>
          </cell>
          <cell r="L578">
            <v>-6.34</v>
          </cell>
          <cell r="M578">
            <v>-7.69</v>
          </cell>
        </row>
        <row r="578">
          <cell r="O578" t="str">
            <v>3.2,-7.2;</v>
          </cell>
          <cell r="P578" t="str">
            <v>0.362,-5.65;1.743,-5.48;0.34,-7.68;-0.76,-5.24;-1.76,-5.89;</v>
          </cell>
          <cell r="Q578">
            <v>21000</v>
          </cell>
          <cell r="R578">
            <v>0</v>
          </cell>
          <cell r="S578" t="str">
            <v>1001+35;1002+40;</v>
          </cell>
          <cell r="T578">
            <v>0</v>
          </cell>
        </row>
        <row r="579">
          <cell r="A579">
            <v>467</v>
          </cell>
          <cell r="B579" t="str">
            <v>探花</v>
          </cell>
          <cell r="C579" t="str">
            <v>1501635;1501636;1501637;</v>
          </cell>
        </row>
        <row r="579">
          <cell r="G579">
            <v>0</v>
          </cell>
          <cell r="H579">
            <v>1</v>
          </cell>
          <cell r="I579">
            <v>1</v>
          </cell>
          <cell r="J579" t="b">
            <v>0</v>
          </cell>
          <cell r="K579">
            <v>1003</v>
          </cell>
          <cell r="L579">
            <v>-6.34</v>
          </cell>
          <cell r="M579">
            <v>-7.69</v>
          </cell>
        </row>
        <row r="579">
          <cell r="O579" t="str">
            <v>3.2,-7.2;</v>
          </cell>
          <cell r="P579" t="str">
            <v>0.362,-5.65;1.743,-5.48;0.34,-7.68;-0.76,-5.24;-1.76,-5.89;</v>
          </cell>
          <cell r="Q579">
            <v>21000</v>
          </cell>
          <cell r="R579">
            <v>0</v>
          </cell>
          <cell r="S579" t="str">
            <v>1001+35;1002+40;</v>
          </cell>
          <cell r="T579">
            <v>0</v>
          </cell>
        </row>
        <row r="580">
          <cell r="A580">
            <v>468</v>
          </cell>
          <cell r="B580" t="str">
            <v>探花二</v>
          </cell>
          <cell r="C580" t="str">
            <v>1501638;1501639;1501640;</v>
          </cell>
        </row>
        <row r="580">
          <cell r="G580">
            <v>0</v>
          </cell>
          <cell r="H580">
            <v>1</v>
          </cell>
          <cell r="I580">
            <v>1</v>
          </cell>
          <cell r="J580" t="b">
            <v>0</v>
          </cell>
          <cell r="K580">
            <v>1003</v>
          </cell>
          <cell r="L580">
            <v>-6.34</v>
          </cell>
          <cell r="M580">
            <v>-7.69</v>
          </cell>
        </row>
        <row r="580">
          <cell r="O580" t="str">
            <v>3.2,-7.2;</v>
          </cell>
          <cell r="P580" t="str">
            <v>0.362,-5.65;1.743,-5.48;0.34,-7.68;-0.76,-5.24;-1.76,-5.89;</v>
          </cell>
          <cell r="Q580">
            <v>21000</v>
          </cell>
          <cell r="R580">
            <v>0</v>
          </cell>
          <cell r="S580" t="str">
            <v>1001+35;1002+40;</v>
          </cell>
          <cell r="T580">
            <v>0</v>
          </cell>
        </row>
        <row r="581">
          <cell r="A581">
            <v>469</v>
          </cell>
          <cell r="B581" t="str">
            <v>探花一</v>
          </cell>
          <cell r="C581" t="str">
            <v>1501641;1501642;1501643;1501644;1501645;</v>
          </cell>
        </row>
        <row r="581">
          <cell r="G581">
            <v>0</v>
          </cell>
          <cell r="H581">
            <v>1</v>
          </cell>
          <cell r="I581">
            <v>1</v>
          </cell>
          <cell r="J581" t="b">
            <v>0</v>
          </cell>
          <cell r="K581">
            <v>1003</v>
          </cell>
          <cell r="L581">
            <v>-6.34</v>
          </cell>
          <cell r="M581">
            <v>-7.69</v>
          </cell>
        </row>
        <row r="581">
          <cell r="O581" t="str">
            <v>3.2,-7.2;</v>
          </cell>
          <cell r="P581" t="str">
            <v>0.362,-5.65;1.743,-5.48;0.34,-7.68;-0.76,-5.24;-1.76,-5.89;</v>
          </cell>
          <cell r="Q581">
            <v>21000</v>
          </cell>
          <cell r="R581">
            <v>0</v>
          </cell>
          <cell r="S581" t="str">
            <v>1001+35;1002+40;</v>
          </cell>
          <cell r="T581" t="str">
            <v>11100,1</v>
          </cell>
        </row>
        <row r="582">
          <cell r="A582">
            <v>470</v>
          </cell>
          <cell r="B582" t="str">
            <v>探花</v>
          </cell>
          <cell r="C582" t="str">
            <v>1501646;1501647;1501648;1501649;</v>
          </cell>
        </row>
        <row r="582">
          <cell r="G582">
            <v>0</v>
          </cell>
          <cell r="H582">
            <v>1</v>
          </cell>
          <cell r="I582">
            <v>1</v>
          </cell>
          <cell r="J582" t="b">
            <v>0</v>
          </cell>
          <cell r="K582">
            <v>1003</v>
          </cell>
          <cell r="L582">
            <v>-6.34</v>
          </cell>
          <cell r="M582">
            <v>-7.69</v>
          </cell>
        </row>
        <row r="582">
          <cell r="O582" t="str">
            <v>3.2,-7.2;</v>
          </cell>
          <cell r="P582" t="str">
            <v>0.362,-5.65;1.743,-5.48;0.34,-7.68;-0.76,-5.24;-1.76,-5.89;</v>
          </cell>
          <cell r="Q582">
            <v>21000</v>
          </cell>
          <cell r="R582">
            <v>0</v>
          </cell>
          <cell r="S582" t="str">
            <v>1001+35;1002+40;</v>
          </cell>
          <cell r="T582">
            <v>0</v>
          </cell>
        </row>
        <row r="583">
          <cell r="A583">
            <v>471</v>
          </cell>
          <cell r="B583" t="str">
            <v>探花六</v>
          </cell>
          <cell r="C583" t="str">
            <v>1501650;1501651;</v>
          </cell>
        </row>
        <row r="583">
          <cell r="G583">
            <v>0</v>
          </cell>
          <cell r="H583">
            <v>1</v>
          </cell>
          <cell r="I583">
            <v>1</v>
          </cell>
          <cell r="J583" t="b">
            <v>0</v>
          </cell>
          <cell r="K583">
            <v>1003</v>
          </cell>
          <cell r="L583">
            <v>-6.34</v>
          </cell>
          <cell r="M583">
            <v>-7.69</v>
          </cell>
        </row>
        <row r="583">
          <cell r="O583" t="str">
            <v>3.2,-7.2;</v>
          </cell>
          <cell r="P583" t="str">
            <v>0.362,-5.65;1.743,-5.48;0.34,-7.68;-0.76,-5.24;-1.76,-5.89;</v>
          </cell>
          <cell r="Q583">
            <v>21000</v>
          </cell>
          <cell r="R583">
            <v>0</v>
          </cell>
          <cell r="S583" t="str">
            <v>1001+35;1002+40;</v>
          </cell>
          <cell r="T583">
            <v>0</v>
          </cell>
        </row>
        <row r="584">
          <cell r="A584">
            <v>472</v>
          </cell>
          <cell r="B584" t="str">
            <v>探花</v>
          </cell>
          <cell r="C584" t="str">
            <v>1501652;1501653;1501654;1501655;1501656;</v>
          </cell>
        </row>
        <row r="584">
          <cell r="G584">
            <v>0</v>
          </cell>
          <cell r="H584">
            <v>1</v>
          </cell>
          <cell r="I584">
            <v>1</v>
          </cell>
          <cell r="J584" t="b">
            <v>0</v>
          </cell>
          <cell r="K584">
            <v>1003</v>
          </cell>
          <cell r="L584">
            <v>-6.34</v>
          </cell>
          <cell r="M584">
            <v>-7.69</v>
          </cell>
        </row>
        <row r="584">
          <cell r="O584" t="str">
            <v>3.2,-7.2;</v>
          </cell>
          <cell r="P584" t="str">
            <v>0.362,-5.65;1.743,-5.48;0.34,-7.68;-0.76,-5.24;-1.76,-5.89;</v>
          </cell>
          <cell r="Q584">
            <v>21000</v>
          </cell>
          <cell r="R584">
            <v>0</v>
          </cell>
          <cell r="S584" t="str">
            <v>1001+35;1002+40;</v>
          </cell>
          <cell r="T584">
            <v>0</v>
          </cell>
        </row>
        <row r="585">
          <cell r="A585">
            <v>473</v>
          </cell>
          <cell r="B585" t="str">
            <v>探花</v>
          </cell>
          <cell r="C585" t="str">
            <v>1501657;1501658;1501659;</v>
          </cell>
        </row>
        <row r="585">
          <cell r="G585">
            <v>0</v>
          </cell>
          <cell r="H585">
            <v>1</v>
          </cell>
          <cell r="I585">
            <v>1</v>
          </cell>
          <cell r="J585" t="b">
            <v>0</v>
          </cell>
          <cell r="K585">
            <v>1003</v>
          </cell>
          <cell r="L585">
            <v>-6.34</v>
          </cell>
          <cell r="M585">
            <v>-7.69</v>
          </cell>
        </row>
        <row r="585">
          <cell r="O585" t="str">
            <v>3.2,-7.2;</v>
          </cell>
          <cell r="P585" t="str">
            <v>0.362,-5.65;1.743,-5.48;0.34,-7.68;-0.76,-5.24;-1.76,-5.89;</v>
          </cell>
          <cell r="Q585">
            <v>21000</v>
          </cell>
          <cell r="R585">
            <v>0</v>
          </cell>
          <cell r="S585" t="str">
            <v>1001+35;1002+40;</v>
          </cell>
          <cell r="T585">
            <v>0</v>
          </cell>
        </row>
        <row r="586">
          <cell r="A586">
            <v>474</v>
          </cell>
          <cell r="B586" t="str">
            <v>探花二</v>
          </cell>
          <cell r="C586" t="str">
            <v>1501660;1501661;1501662;</v>
          </cell>
        </row>
        <row r="586">
          <cell r="G586">
            <v>0</v>
          </cell>
          <cell r="H586">
            <v>1</v>
          </cell>
          <cell r="I586">
            <v>1</v>
          </cell>
          <cell r="J586" t="b">
            <v>0</v>
          </cell>
          <cell r="K586">
            <v>1003</v>
          </cell>
          <cell r="L586">
            <v>-6.34</v>
          </cell>
          <cell r="M586">
            <v>-7.69</v>
          </cell>
        </row>
        <row r="586">
          <cell r="O586" t="str">
            <v>3.2,-7.2;</v>
          </cell>
          <cell r="P586" t="str">
            <v>0.362,-5.65;1.743,-5.48;0.34,-7.68;-0.76,-5.24;-1.76,-5.89;</v>
          </cell>
          <cell r="Q586">
            <v>21000</v>
          </cell>
          <cell r="R586">
            <v>0</v>
          </cell>
          <cell r="S586" t="str">
            <v>1001+35;1002+40;</v>
          </cell>
          <cell r="T586">
            <v>0</v>
          </cell>
        </row>
        <row r="587">
          <cell r="A587">
            <v>475</v>
          </cell>
          <cell r="B587" t="str">
            <v>探花一</v>
          </cell>
          <cell r="C587" t="str">
            <v>1501663;1501664;1501665;1501666;1501667;</v>
          </cell>
        </row>
        <row r="587">
          <cell r="G587">
            <v>0</v>
          </cell>
          <cell r="H587">
            <v>1</v>
          </cell>
          <cell r="I587">
            <v>1</v>
          </cell>
          <cell r="J587" t="b">
            <v>0</v>
          </cell>
          <cell r="K587">
            <v>1003</v>
          </cell>
          <cell r="L587">
            <v>-6.34</v>
          </cell>
          <cell r="M587">
            <v>-7.69</v>
          </cell>
        </row>
        <row r="587">
          <cell r="O587" t="str">
            <v>3.2,-7.2;</v>
          </cell>
          <cell r="P587" t="str">
            <v>0.362,-5.65;1.743,-5.48;0.34,-7.68;-0.76,-5.24;-1.76,-5.89;</v>
          </cell>
          <cell r="Q587">
            <v>21000</v>
          </cell>
          <cell r="R587">
            <v>0</v>
          </cell>
          <cell r="S587" t="str">
            <v>1001+35;1002+40;</v>
          </cell>
          <cell r="T587" t="str">
            <v>11200,1</v>
          </cell>
        </row>
        <row r="588">
          <cell r="A588">
            <v>476</v>
          </cell>
          <cell r="B588" t="str">
            <v>东海女真</v>
          </cell>
          <cell r="C588" t="str">
            <v>1501668;1501669;1501670;1501671</v>
          </cell>
          <cell r="D588" t="str">
            <v>1501668;1501669;1501670;1501671;1501672</v>
          </cell>
          <cell r="E588" t="str">
            <v>1501668;1501669;1501670;1501671;1501672;1501673</v>
          </cell>
        </row>
        <row r="588">
          <cell r="G588" t="str">
            <v>1501681;1501682;1501683</v>
          </cell>
          <cell r="H588">
            <v>1</v>
          </cell>
          <cell r="I588">
            <v>1</v>
          </cell>
          <cell r="J588" t="b">
            <v>0</v>
          </cell>
          <cell r="K588">
            <v>1003</v>
          </cell>
          <cell r="L588">
            <v>-6.34</v>
          </cell>
          <cell r="M588">
            <v>-7.69</v>
          </cell>
        </row>
        <row r="588">
          <cell r="O588" t="str">
            <v>3.2,-7.2;</v>
          </cell>
          <cell r="P588" t="str">
            <v>0.362,-5.65;1.743,-5.48;0.34,-7.68;-0.76,-5.24;-1.76,-5.89;</v>
          </cell>
          <cell r="Q588">
            <v>22000</v>
          </cell>
          <cell r="R588">
            <v>0</v>
          </cell>
          <cell r="S588" t="str">
            <v>1001+35;1002+40;</v>
          </cell>
          <cell r="T588" t="str">
            <v>11900,1</v>
          </cell>
        </row>
        <row r="589">
          <cell r="A589">
            <v>477</v>
          </cell>
          <cell r="B589" t="str">
            <v>东海女真</v>
          </cell>
          <cell r="C589" t="str">
            <v>1501674;1501675;1501676;1501677;1501678</v>
          </cell>
          <cell r="D589" t="str">
            <v>1501674;1501675;1501676;1501677;1501678;1501679</v>
          </cell>
          <cell r="E589" t="str">
            <v>1501674;1501675;1501676;1501677;1501678;1501679;1501680</v>
          </cell>
        </row>
        <row r="589">
          <cell r="G589" t="str">
            <v>1501681;1501682;1501683</v>
          </cell>
          <cell r="H589">
            <v>1</v>
          </cell>
          <cell r="I589">
            <v>1</v>
          </cell>
          <cell r="J589" t="b">
            <v>0</v>
          </cell>
          <cell r="K589">
            <v>1003</v>
          </cell>
          <cell r="L589">
            <v>-6.34</v>
          </cell>
          <cell r="M589">
            <v>-7.69</v>
          </cell>
        </row>
        <row r="589">
          <cell r="O589" t="str">
            <v>3.2,-7.2;</v>
          </cell>
          <cell r="P589" t="str">
            <v>0.362,-5.65;1.743,-5.48;0.34,-7.68;-0.76,-5.24;-1.76,-5.89;</v>
          </cell>
          <cell r="Q589">
            <v>22000</v>
          </cell>
          <cell r="R589">
            <v>0</v>
          </cell>
          <cell r="S589" t="str">
            <v>1001+35;1002+40;</v>
          </cell>
          <cell r="T589" t="str">
            <v>11900,1</v>
          </cell>
        </row>
        <row r="590">
          <cell r="A590">
            <v>478</v>
          </cell>
          <cell r="B590" t="str">
            <v>罗扬</v>
          </cell>
          <cell r="C590">
            <v>1501685</v>
          </cell>
        </row>
        <row r="590">
          <cell r="G590">
            <v>0</v>
          </cell>
          <cell r="H590">
            <v>1</v>
          </cell>
          <cell r="I590">
            <v>1</v>
          </cell>
          <cell r="J590" t="b">
            <v>0</v>
          </cell>
          <cell r="K590">
            <v>1003</v>
          </cell>
          <cell r="L590">
            <v>-6.34</v>
          </cell>
          <cell r="M590">
            <v>-7.69</v>
          </cell>
        </row>
        <row r="590">
          <cell r="O590" t="str">
            <v>3.2,-7.2;</v>
          </cell>
          <cell r="P590" t="str">
            <v>0.362,-5.65;1.743,-5.48;0.34,-7.68;-0.76,-5.24;-1.76,-5.89;</v>
          </cell>
          <cell r="Q590">
            <v>22000</v>
          </cell>
          <cell r="R590">
            <v>0</v>
          </cell>
          <cell r="S590" t="str">
            <v>1001+35;1002+40;</v>
          </cell>
          <cell r="T590" t="str">
            <v>11900,1</v>
          </cell>
        </row>
        <row r="591">
          <cell r="A591">
            <v>479</v>
          </cell>
          <cell r="B591" t="str">
            <v>罗扬</v>
          </cell>
          <cell r="C591" t="str">
            <v>1501686;1501687;1501688</v>
          </cell>
        </row>
        <row r="591">
          <cell r="G591">
            <v>0</v>
          </cell>
          <cell r="H591">
            <v>1</v>
          </cell>
          <cell r="I591">
            <v>1</v>
          </cell>
          <cell r="J591" t="b">
            <v>0</v>
          </cell>
          <cell r="K591">
            <v>1003</v>
          </cell>
          <cell r="L591">
            <v>-6.34</v>
          </cell>
          <cell r="M591">
            <v>-7.69</v>
          </cell>
        </row>
        <row r="591">
          <cell r="O591" t="str">
            <v>3.2,-7.2;</v>
          </cell>
          <cell r="P591" t="str">
            <v>0.362,-5.65;1.743,-5.48;0.34,-7.68;-0.76,-5.24;-1.76,-5.89;</v>
          </cell>
          <cell r="Q591">
            <v>22000</v>
          </cell>
          <cell r="R591">
            <v>0</v>
          </cell>
          <cell r="S591" t="str">
            <v>1001+35;1002+40;</v>
          </cell>
          <cell r="T591" t="str">
            <v>11900,1</v>
          </cell>
        </row>
        <row r="592">
          <cell r="A592">
            <v>480</v>
          </cell>
          <cell r="B592" t="str">
            <v>冯烨</v>
          </cell>
          <cell r="C592">
            <v>1501684</v>
          </cell>
        </row>
        <row r="592">
          <cell r="G592">
            <v>0</v>
          </cell>
          <cell r="H592">
            <v>1</v>
          </cell>
          <cell r="I592">
            <v>1</v>
          </cell>
          <cell r="J592" t="b">
            <v>0</v>
          </cell>
          <cell r="K592">
            <v>1003</v>
          </cell>
          <cell r="L592">
            <v>-6.34</v>
          </cell>
          <cell r="M592">
            <v>-7.69</v>
          </cell>
        </row>
        <row r="592">
          <cell r="O592" t="str">
            <v>3.2,-7.2;</v>
          </cell>
          <cell r="P592" t="str">
            <v>0.362,-5.65;1.743,-5.48;0.34,-7.68;-0.76,-5.24;-1.76,-5.89;</v>
          </cell>
          <cell r="Q592">
            <v>22000</v>
          </cell>
          <cell r="R592">
            <v>0</v>
          </cell>
          <cell r="S592" t="str">
            <v>1001+35;1002+40;</v>
          </cell>
          <cell r="T592" t="str">
            <v>11900,1</v>
          </cell>
        </row>
        <row r="593">
          <cell r="A593">
            <v>481</v>
          </cell>
          <cell r="B593" t="str">
            <v>屠村流寇</v>
          </cell>
          <cell r="C593" t="str">
            <v>1501689;1501690;1501691;1501692;1501693</v>
          </cell>
          <cell r="D593" t="str">
            <v>1501689;1501690;1501691;1501692;1501693;1501694</v>
          </cell>
          <cell r="E593" t="str">
            <v>1501689;1501690;1501691;1501692;1501693;1501694;1501695</v>
          </cell>
        </row>
        <row r="593">
          <cell r="G593">
            <v>0</v>
          </cell>
          <cell r="H593">
            <v>1</v>
          </cell>
          <cell r="I593">
            <v>1</v>
          </cell>
          <cell r="J593" t="b">
            <v>0</v>
          </cell>
          <cell r="K593">
            <v>1003</v>
          </cell>
          <cell r="L593">
            <v>-6.34</v>
          </cell>
          <cell r="M593">
            <v>-7.69</v>
          </cell>
        </row>
        <row r="593">
          <cell r="O593" t="str">
            <v>3.2,-7.2;</v>
          </cell>
          <cell r="P593" t="str">
            <v>0.362,-5.65;1.743,-5.48;0.34,-7.68;-0.76,-5.24;-1.76,-5.89;</v>
          </cell>
          <cell r="Q593">
            <v>22000</v>
          </cell>
          <cell r="R593">
            <v>0</v>
          </cell>
          <cell r="S593" t="str">
            <v>1001+35;1002+40;</v>
          </cell>
          <cell r="T593" t="str">
            <v>11900,1</v>
          </cell>
        </row>
        <row r="594">
          <cell r="A594">
            <v>482</v>
          </cell>
          <cell r="B594" t="str">
            <v>倭寇</v>
          </cell>
          <cell r="C594" t="str">
            <v>1501696;1501697;1501698</v>
          </cell>
          <cell r="D594" t="str">
            <v>1501696;1501697;1501698;1501699</v>
          </cell>
          <cell r="E594" t="str">
            <v>1501696;1501697;1501698;1501699;1501700</v>
          </cell>
        </row>
        <row r="594">
          <cell r="G594">
            <v>0</v>
          </cell>
          <cell r="H594">
            <v>1</v>
          </cell>
          <cell r="I594">
            <v>1</v>
          </cell>
          <cell r="J594" t="b">
            <v>0</v>
          </cell>
          <cell r="K594">
            <v>1003</v>
          </cell>
          <cell r="L594">
            <v>-6.34</v>
          </cell>
          <cell r="M594">
            <v>-7.69</v>
          </cell>
        </row>
        <row r="594">
          <cell r="O594" t="str">
            <v>3.2,-7.2;</v>
          </cell>
          <cell r="P594" t="str">
            <v>0.362,-5.65;1.743,-5.48;0.34,-7.68;-0.76,-5.24;-1.76,-5.89;</v>
          </cell>
          <cell r="Q594">
            <v>22000</v>
          </cell>
          <cell r="R594">
            <v>0</v>
          </cell>
          <cell r="S594" t="str">
            <v>1001+35;1002+40;</v>
          </cell>
          <cell r="T594">
            <v>0</v>
          </cell>
        </row>
        <row r="595">
          <cell r="A595">
            <v>483</v>
          </cell>
          <cell r="B595" t="str">
            <v>倭寇</v>
          </cell>
          <cell r="C595" t="str">
            <v>1501701;1501702;1501703;1501704</v>
          </cell>
          <cell r="D595" t="str">
            <v>1501701;1501702;1501703;1501704;1501705</v>
          </cell>
          <cell r="E595" t="str">
            <v>1501701;1501702;1501703;1501704;1501705;1501706</v>
          </cell>
        </row>
        <row r="595">
          <cell r="G595">
            <v>0</v>
          </cell>
          <cell r="H595">
            <v>1</v>
          </cell>
          <cell r="I595">
            <v>1</v>
          </cell>
          <cell r="J595" t="b">
            <v>0</v>
          </cell>
          <cell r="K595">
            <v>1003</v>
          </cell>
          <cell r="L595">
            <v>-6.34</v>
          </cell>
          <cell r="M595">
            <v>-7.69</v>
          </cell>
        </row>
        <row r="595">
          <cell r="O595" t="str">
            <v>3.2,-7.2;</v>
          </cell>
          <cell r="P595" t="str">
            <v>0.362,-5.65;1.743,-5.48;0.34,-7.68;-0.76,-5.24;-1.76,-5.89;</v>
          </cell>
          <cell r="Q595">
            <v>22000</v>
          </cell>
          <cell r="R595">
            <v>0</v>
          </cell>
          <cell r="S595" t="str">
            <v>1001+35;1002+40;</v>
          </cell>
          <cell r="T595">
            <v>0</v>
          </cell>
        </row>
        <row r="596">
          <cell r="A596">
            <v>484</v>
          </cell>
          <cell r="B596" t="str">
            <v>倭寇</v>
          </cell>
          <cell r="C596" t="str">
            <v>1501707;1501708;1501709;1501710</v>
          </cell>
          <cell r="D596" t="str">
            <v>1501707;1501708;1501709;1501710;1501711</v>
          </cell>
          <cell r="E596" t="str">
            <v>1501707;1501708;1501709;1501710;1501711;1501712</v>
          </cell>
        </row>
        <row r="596">
          <cell r="G596">
            <v>0</v>
          </cell>
          <cell r="H596">
            <v>1</v>
          </cell>
          <cell r="I596">
            <v>1</v>
          </cell>
          <cell r="J596" t="b">
            <v>0</v>
          </cell>
          <cell r="K596">
            <v>1003</v>
          </cell>
          <cell r="L596">
            <v>-6.34</v>
          </cell>
          <cell r="M596">
            <v>-7.69</v>
          </cell>
        </row>
        <row r="596">
          <cell r="O596" t="str">
            <v>3.2,-7.2;</v>
          </cell>
          <cell r="P596" t="str">
            <v>0.362,-5.65;1.743,-5.48;0.34,-7.68;-0.76,-5.24;-1.76,-5.89;</v>
          </cell>
          <cell r="Q596">
            <v>22000</v>
          </cell>
          <cell r="R596">
            <v>0</v>
          </cell>
          <cell r="S596" t="str">
            <v>1001+35;1002+40;</v>
          </cell>
          <cell r="T596" t="str">
            <v>11900,1</v>
          </cell>
        </row>
        <row r="597">
          <cell r="A597">
            <v>485</v>
          </cell>
          <cell r="B597" t="str">
            <v>倭寇追兵</v>
          </cell>
          <cell r="C597" t="str">
            <v>1501713;1501714;1501715;1501716</v>
          </cell>
          <cell r="D597" t="str">
            <v>1501713;1501714;1501715;1501716;1501717</v>
          </cell>
          <cell r="E597" t="str">
            <v>1501713;1501714;1501715;1501716;1501717;1501718</v>
          </cell>
        </row>
        <row r="597">
          <cell r="G597">
            <v>0</v>
          </cell>
          <cell r="H597">
            <v>1</v>
          </cell>
          <cell r="I597">
            <v>1</v>
          </cell>
          <cell r="J597" t="b">
            <v>0</v>
          </cell>
          <cell r="K597">
            <v>1003</v>
          </cell>
          <cell r="L597">
            <v>-6.34</v>
          </cell>
          <cell r="M597">
            <v>-7.69</v>
          </cell>
        </row>
        <row r="597">
          <cell r="O597" t="str">
            <v>3.2,-7.2;</v>
          </cell>
          <cell r="P597" t="str">
            <v>0.362,-5.65;1.743,-5.48;0.34,-7.68;-0.76,-5.24;-1.76,-5.89;</v>
          </cell>
          <cell r="Q597">
            <v>22000</v>
          </cell>
          <cell r="R597">
            <v>0</v>
          </cell>
          <cell r="S597" t="str">
            <v>1001+35;1002+40;</v>
          </cell>
          <cell r="T597">
            <v>0</v>
          </cell>
        </row>
        <row r="598">
          <cell r="A598">
            <v>486</v>
          </cell>
          <cell r="B598" t="str">
            <v>倭寇追兵</v>
          </cell>
          <cell r="C598" t="str">
            <v>1501719;1501720;1501721</v>
          </cell>
          <cell r="D598" t="str">
            <v>1501719;1501720;1501721;1501722</v>
          </cell>
          <cell r="E598" t="str">
            <v>1501719;1501720;1501721;1501722;1501723</v>
          </cell>
        </row>
        <row r="598">
          <cell r="G598">
            <v>0</v>
          </cell>
          <cell r="H598">
            <v>1</v>
          </cell>
          <cell r="I598">
            <v>1</v>
          </cell>
          <cell r="J598" t="b">
            <v>0</v>
          </cell>
          <cell r="K598">
            <v>1003</v>
          </cell>
          <cell r="L598">
            <v>-6.34</v>
          </cell>
          <cell r="M598">
            <v>-7.69</v>
          </cell>
        </row>
        <row r="598">
          <cell r="O598" t="str">
            <v>3.2,-7.2;</v>
          </cell>
          <cell r="P598" t="str">
            <v>0.362,-5.65;1.743,-5.48;0.34,-7.68;-0.76,-5.24;-1.76,-5.89;</v>
          </cell>
          <cell r="Q598">
            <v>22000</v>
          </cell>
          <cell r="R598">
            <v>0</v>
          </cell>
          <cell r="S598" t="str">
            <v>1001+35;1002+40;</v>
          </cell>
          <cell r="T598">
            <v>0</v>
          </cell>
        </row>
        <row r="599">
          <cell r="A599">
            <v>487</v>
          </cell>
          <cell r="B599" t="str">
            <v>倭寇追兵</v>
          </cell>
          <cell r="C599" t="str">
            <v>1501724;1501725;1501726</v>
          </cell>
          <cell r="D599" t="str">
            <v>1501724;1501725;1501726;1501727</v>
          </cell>
          <cell r="E599" t="str">
            <v>1501724;1501725;1501726;1501727;1501728</v>
          </cell>
        </row>
        <row r="599">
          <cell r="G599">
            <v>0</v>
          </cell>
          <cell r="H599">
            <v>1</v>
          </cell>
          <cell r="I599">
            <v>1</v>
          </cell>
          <cell r="J599" t="b">
            <v>0</v>
          </cell>
          <cell r="K599">
            <v>1003</v>
          </cell>
          <cell r="L599">
            <v>-6.34</v>
          </cell>
          <cell r="M599">
            <v>-7.69</v>
          </cell>
        </row>
        <row r="599">
          <cell r="O599" t="str">
            <v>3.2,-7.2;</v>
          </cell>
          <cell r="P599" t="str">
            <v>0.362,-5.65;1.743,-5.48;0.34,-7.68;-0.76,-5.24;-1.76,-5.89;</v>
          </cell>
          <cell r="Q599">
            <v>22000</v>
          </cell>
          <cell r="R599">
            <v>0</v>
          </cell>
          <cell r="S599" t="str">
            <v>1001+35;1002+40;</v>
          </cell>
          <cell r="T599" t="str">
            <v>11900,1</v>
          </cell>
        </row>
        <row r="600">
          <cell r="A600">
            <v>488</v>
          </cell>
          <cell r="B600" t="str">
            <v>东海女真</v>
          </cell>
          <cell r="C600" t="str">
            <v>1501729;1501730;1501731</v>
          </cell>
          <cell r="D600" t="str">
            <v>1501729;1501730;1501731;1501732</v>
          </cell>
          <cell r="E600" t="str">
            <v>1501729;1501730;1501731;1501732;1501733</v>
          </cell>
        </row>
        <row r="600">
          <cell r="G600">
            <v>1501747</v>
          </cell>
          <cell r="H600">
            <v>1</v>
          </cell>
          <cell r="I600">
            <v>1</v>
          </cell>
          <cell r="J600" t="b">
            <v>0</v>
          </cell>
          <cell r="K600">
            <v>1003</v>
          </cell>
          <cell r="L600">
            <v>-6.34</v>
          </cell>
          <cell r="M600">
            <v>-7.69</v>
          </cell>
        </row>
        <row r="600">
          <cell r="O600" t="str">
            <v>3.2,-7.2;</v>
          </cell>
          <cell r="P600" t="str">
            <v>0.362,-5.65;1.743,-5.48;0.34,-7.68;-0.76,-5.24;-1.76,-5.89;</v>
          </cell>
          <cell r="Q600">
            <v>22000</v>
          </cell>
          <cell r="R600">
            <v>0</v>
          </cell>
          <cell r="S600" t="str">
            <v>1001+35;1002+40;</v>
          </cell>
          <cell r="T600">
            <v>0</v>
          </cell>
        </row>
        <row r="601">
          <cell r="A601">
            <v>489</v>
          </cell>
          <cell r="B601" t="str">
            <v>东海女真</v>
          </cell>
          <cell r="C601" t="str">
            <v>1501734;1501735;1501736;1501737</v>
          </cell>
          <cell r="D601" t="str">
            <v>1501734;1501735;1501736;1501737;1501738</v>
          </cell>
          <cell r="E601" t="str">
            <v>1501734;1501735;1501736;1501737;1501738;1501739</v>
          </cell>
        </row>
        <row r="601">
          <cell r="G601">
            <v>1501747</v>
          </cell>
          <cell r="H601">
            <v>1</v>
          </cell>
          <cell r="I601">
            <v>1</v>
          </cell>
          <cell r="J601" t="b">
            <v>0</v>
          </cell>
          <cell r="K601">
            <v>1003</v>
          </cell>
          <cell r="L601">
            <v>-6.34</v>
          </cell>
          <cell r="M601">
            <v>-7.69</v>
          </cell>
        </row>
        <row r="601">
          <cell r="O601" t="str">
            <v>3.2,-7.2;</v>
          </cell>
          <cell r="P601" t="str">
            <v>0.362,-5.65;1.743,-5.48;0.34,-7.68;-0.76,-5.24;-1.76,-5.89;</v>
          </cell>
          <cell r="Q601">
            <v>22000</v>
          </cell>
          <cell r="R601">
            <v>0</v>
          </cell>
          <cell r="S601" t="str">
            <v>1001+35;1002+40;</v>
          </cell>
          <cell r="T601">
            <v>0</v>
          </cell>
        </row>
        <row r="602">
          <cell r="A602">
            <v>490</v>
          </cell>
          <cell r="B602" t="str">
            <v>东海女真</v>
          </cell>
          <cell r="C602" t="str">
            <v>1501740;1501741;1501742;1501743;1501744</v>
          </cell>
          <cell r="D602" t="str">
            <v>1501740;1501741;1501742;1501743;1501744;1501745</v>
          </cell>
          <cell r="E602" t="str">
            <v>1501740;1501741;1501742;1501743;1501744;1501745;1501746</v>
          </cell>
        </row>
        <row r="602">
          <cell r="G602">
            <v>1501747</v>
          </cell>
          <cell r="H602">
            <v>1</v>
          </cell>
          <cell r="I602">
            <v>1</v>
          </cell>
          <cell r="J602" t="b">
            <v>0</v>
          </cell>
          <cell r="K602">
            <v>1003</v>
          </cell>
          <cell r="L602">
            <v>-6.34</v>
          </cell>
          <cell r="M602">
            <v>-7.69</v>
          </cell>
        </row>
        <row r="602">
          <cell r="O602" t="str">
            <v>3.2,-7.2;</v>
          </cell>
          <cell r="P602" t="str">
            <v>0.362,-5.65;1.743,-5.48;0.34,-7.68;-0.76,-5.24;-1.76,-5.89;</v>
          </cell>
          <cell r="Q602">
            <v>22000</v>
          </cell>
          <cell r="R602">
            <v>0</v>
          </cell>
          <cell r="S602" t="str">
            <v>1001+35;1002+40;</v>
          </cell>
          <cell r="T602" t="str">
            <v>11900,1</v>
          </cell>
        </row>
        <row r="603">
          <cell r="A603">
            <v>491</v>
          </cell>
          <cell r="B603" t="str">
            <v>巨熊</v>
          </cell>
          <cell r="C603">
            <v>1501748</v>
          </cell>
        </row>
        <row r="603">
          <cell r="G603" t="str">
            <v>1501749;1501750</v>
          </cell>
          <cell r="H603">
            <v>1</v>
          </cell>
          <cell r="I603">
            <v>1</v>
          </cell>
          <cell r="J603" t="b">
            <v>0</v>
          </cell>
          <cell r="K603">
            <v>1003</v>
          </cell>
          <cell r="L603">
            <v>-6.34</v>
          </cell>
          <cell r="M603">
            <v>-7.69</v>
          </cell>
        </row>
        <row r="603">
          <cell r="O603" t="str">
            <v>3.2,-7.2;</v>
          </cell>
          <cell r="P603" t="str">
            <v>0.362,-5.65;1.743,-5.48;0.34,-7.68;-0.76,-5.24;-1.76,-5.89;</v>
          </cell>
          <cell r="Q603">
            <v>22000</v>
          </cell>
          <cell r="R603">
            <v>0</v>
          </cell>
          <cell r="S603" t="str">
            <v>1001+35;1002+40;</v>
          </cell>
          <cell r="T603" t="str">
            <v>11900,1</v>
          </cell>
        </row>
        <row r="604">
          <cell r="A604">
            <v>492</v>
          </cell>
          <cell r="B604" t="str">
            <v>女真头人</v>
          </cell>
          <cell r="C604" t="str">
            <v>1501751;1501752;1501753;1501754;1501755</v>
          </cell>
        </row>
        <row r="604">
          <cell r="G604" t="str">
            <v>1501749;1501750</v>
          </cell>
          <cell r="H604">
            <v>1</v>
          </cell>
          <cell r="I604">
            <v>1</v>
          </cell>
          <cell r="J604" t="b">
            <v>0</v>
          </cell>
          <cell r="K604">
            <v>1003</v>
          </cell>
          <cell r="L604">
            <v>-6.34</v>
          </cell>
          <cell r="M604">
            <v>-7.69</v>
          </cell>
        </row>
        <row r="604">
          <cell r="O604" t="str">
            <v>3.2,-7.2;</v>
          </cell>
          <cell r="P604" t="str">
            <v>0.362,-5.65;1.743,-5.48;0.34,-7.68;-0.76,-5.24;-1.76,-5.89;</v>
          </cell>
          <cell r="Q604">
            <v>22000</v>
          </cell>
          <cell r="R604">
            <v>0</v>
          </cell>
          <cell r="S604" t="str">
            <v>1001+35;1002+40;</v>
          </cell>
          <cell r="T604" t="str">
            <v>11900,1</v>
          </cell>
        </row>
        <row r="605">
          <cell r="A605">
            <v>493</v>
          </cell>
          <cell r="B605" t="str">
            <v>仇千秋</v>
          </cell>
          <cell r="C605">
            <v>1501756</v>
          </cell>
        </row>
        <row r="605">
          <cell r="G605">
            <v>0</v>
          </cell>
          <cell r="H605">
            <v>1</v>
          </cell>
          <cell r="I605">
            <v>1</v>
          </cell>
          <cell r="J605" t="b">
            <v>0</v>
          </cell>
          <cell r="K605">
            <v>1003</v>
          </cell>
          <cell r="L605">
            <v>-6.34</v>
          </cell>
          <cell r="M605">
            <v>-7.69</v>
          </cell>
        </row>
        <row r="605">
          <cell r="O605" t="str">
            <v>3.2,-7.2;</v>
          </cell>
          <cell r="P605" t="str">
            <v>0.362,-5.65;1.743,-5.48;0.34,-7.68;-0.76,-5.24;-1.76,-5.89;</v>
          </cell>
          <cell r="Q605">
            <v>22000</v>
          </cell>
          <cell r="R605">
            <v>0</v>
          </cell>
          <cell r="S605" t="str">
            <v>1001+35;1002+40;</v>
          </cell>
          <cell r="T605" t="str">
            <v>11900,1</v>
          </cell>
        </row>
        <row r="606">
          <cell r="A606">
            <v>494</v>
          </cell>
          <cell r="B606" t="str">
            <v>东海女真</v>
          </cell>
          <cell r="C606" t="str">
            <v>1501761;1501762;1501763;1501764</v>
          </cell>
        </row>
        <row r="606">
          <cell r="G606" t="str">
            <v>1501757;1501758;1501759;1501760</v>
          </cell>
          <cell r="H606">
            <v>1</v>
          </cell>
          <cell r="I606">
            <v>1</v>
          </cell>
          <cell r="J606" t="b">
            <v>0</v>
          </cell>
          <cell r="K606">
            <v>1003</v>
          </cell>
          <cell r="L606">
            <v>-6.34</v>
          </cell>
          <cell r="M606">
            <v>-7.69</v>
          </cell>
        </row>
        <row r="606">
          <cell r="O606" t="str">
            <v>3.2,-7.2;</v>
          </cell>
          <cell r="P606" t="str">
            <v>0.362,-5.65;1.743,-5.48;0.34,-7.68;-0.76,-5.24;-1.76,-5.89;</v>
          </cell>
          <cell r="Q606">
            <v>22000</v>
          </cell>
          <cell r="R606">
            <v>0</v>
          </cell>
          <cell r="S606" t="str">
            <v>1001+35;1002+40;</v>
          </cell>
          <cell r="T606">
            <v>0</v>
          </cell>
        </row>
        <row r="607">
          <cell r="A607">
            <v>495</v>
          </cell>
          <cell r="B607" t="str">
            <v>东海女真</v>
          </cell>
          <cell r="C607" t="str">
            <v>1501765;1501766;1501767;1501768;1501769</v>
          </cell>
        </row>
        <row r="607">
          <cell r="G607" t="str">
            <v>1501757;1501758;1501759;1501760</v>
          </cell>
          <cell r="H607">
            <v>1</v>
          </cell>
          <cell r="I607">
            <v>1</v>
          </cell>
          <cell r="J607" t="b">
            <v>0</v>
          </cell>
          <cell r="K607">
            <v>1003</v>
          </cell>
          <cell r="L607">
            <v>-6.34</v>
          </cell>
          <cell r="M607">
            <v>-7.69</v>
          </cell>
        </row>
        <row r="607">
          <cell r="O607" t="str">
            <v>3.2,-7.2;</v>
          </cell>
          <cell r="P607" t="str">
            <v>0.362,-5.65;1.743,-5.48;0.34,-7.68;-0.76,-5.24;-1.76,-5.89;</v>
          </cell>
          <cell r="Q607">
            <v>22000</v>
          </cell>
          <cell r="R607">
            <v>0</v>
          </cell>
          <cell r="S607" t="str">
            <v>1001+35;1002+40;</v>
          </cell>
          <cell r="T607">
            <v>0</v>
          </cell>
        </row>
        <row r="608">
          <cell r="A608">
            <v>496</v>
          </cell>
          <cell r="B608" t="str">
            <v>东海女真</v>
          </cell>
          <cell r="C608" t="str">
            <v>1501770;1501771</v>
          </cell>
        </row>
        <row r="608">
          <cell r="G608" t="str">
            <v>1501757;1501758;1501759;1501760</v>
          </cell>
          <cell r="H608">
            <v>1</v>
          </cell>
          <cell r="I608">
            <v>1</v>
          </cell>
          <cell r="J608" t="b">
            <v>0</v>
          </cell>
          <cell r="K608">
            <v>1003</v>
          </cell>
          <cell r="L608">
            <v>-6.34</v>
          </cell>
          <cell r="M608">
            <v>-7.69</v>
          </cell>
        </row>
        <row r="608">
          <cell r="O608" t="str">
            <v>3.2,-7.2;</v>
          </cell>
          <cell r="P608" t="str">
            <v>0.362,-5.65;1.743,-5.48;0.34,-7.68;-0.76,-5.24;-1.76,-5.89;</v>
          </cell>
          <cell r="Q608">
            <v>22000</v>
          </cell>
          <cell r="R608">
            <v>0</v>
          </cell>
          <cell r="S608" t="str">
            <v>1001+35;1002+40;</v>
          </cell>
          <cell r="T608">
            <v>0</v>
          </cell>
        </row>
        <row r="609">
          <cell r="A609">
            <v>497</v>
          </cell>
          <cell r="B609" t="str">
            <v>东海女真</v>
          </cell>
          <cell r="C609" t="str">
            <v>1501772;1501773;1501774;1501775;1501776</v>
          </cell>
        </row>
        <row r="609">
          <cell r="G609" t="str">
            <v>1501757;1501758;1501759</v>
          </cell>
          <cell r="H609">
            <v>1</v>
          </cell>
          <cell r="I609">
            <v>1</v>
          </cell>
          <cell r="J609" t="b">
            <v>0</v>
          </cell>
          <cell r="K609">
            <v>1003</v>
          </cell>
          <cell r="L609">
            <v>-6.34</v>
          </cell>
          <cell r="M609">
            <v>-7.69</v>
          </cell>
        </row>
        <row r="609">
          <cell r="O609" t="str">
            <v>3.2,-7.2;</v>
          </cell>
          <cell r="P609" t="str">
            <v>0.362,-5.65;1.743,-5.48;0.34,-7.68;-0.76,-5.24;-1.76,-5.89;</v>
          </cell>
          <cell r="Q609">
            <v>22000</v>
          </cell>
          <cell r="R609">
            <v>0</v>
          </cell>
          <cell r="S609" t="str">
            <v>1001+35;1002+40;</v>
          </cell>
          <cell r="T609">
            <v>0</v>
          </cell>
        </row>
        <row r="610">
          <cell r="A610">
            <v>498</v>
          </cell>
          <cell r="B610" t="str">
            <v>东海女真</v>
          </cell>
          <cell r="C610" t="str">
            <v>1501777;1501778</v>
          </cell>
        </row>
        <row r="610">
          <cell r="G610" t="str">
            <v>1501757;1501758</v>
          </cell>
          <cell r="H610">
            <v>1</v>
          </cell>
          <cell r="I610">
            <v>1</v>
          </cell>
          <cell r="J610" t="b">
            <v>0</v>
          </cell>
          <cell r="K610">
            <v>1003</v>
          </cell>
          <cell r="L610">
            <v>-6.34</v>
          </cell>
          <cell r="M610">
            <v>-7.69</v>
          </cell>
        </row>
        <row r="610">
          <cell r="O610" t="str">
            <v>3.2,-7.2;</v>
          </cell>
          <cell r="P610" t="str">
            <v>0.362,-5.65;1.743,-5.48;0.34,-7.68;-0.76,-5.24;-1.76,-5.89;</v>
          </cell>
          <cell r="Q610">
            <v>22000</v>
          </cell>
          <cell r="R610">
            <v>0</v>
          </cell>
          <cell r="S610" t="str">
            <v>1001+35;1002+40;</v>
          </cell>
          <cell r="T610" t="str">
            <v>11900,1</v>
          </cell>
        </row>
        <row r="611">
          <cell r="A611">
            <v>499</v>
          </cell>
          <cell r="B611" t="str">
            <v>东海女真</v>
          </cell>
          <cell r="C611" t="str">
            <v>1501779;1501780;1501781;1501782;1501783</v>
          </cell>
          <cell r="D611" t="str">
            <v>1501779;1501780;1501781;1501782;1501783;1501784</v>
          </cell>
          <cell r="E611" t="str">
            <v>1501779;1501780;1501781;1501782;1501783;1501784;1501785</v>
          </cell>
        </row>
        <row r="611">
          <cell r="G611">
            <v>0</v>
          </cell>
          <cell r="H611">
            <v>1</v>
          </cell>
          <cell r="I611">
            <v>1</v>
          </cell>
          <cell r="J611" t="b">
            <v>0</v>
          </cell>
          <cell r="K611">
            <v>1003</v>
          </cell>
          <cell r="L611">
            <v>-6.34</v>
          </cell>
          <cell r="M611">
            <v>-7.69</v>
          </cell>
        </row>
        <row r="611">
          <cell r="O611" t="str">
            <v>3.2,-7.2;</v>
          </cell>
          <cell r="P611" t="str">
            <v>0.362,-5.65;1.743,-5.48;0.34,-7.68;-0.76,-5.24;-1.76,-5.89;</v>
          </cell>
          <cell r="Q611">
            <v>22000</v>
          </cell>
          <cell r="R611">
            <v>0</v>
          </cell>
          <cell r="S611" t="str">
            <v>1001+35;1002+40;</v>
          </cell>
          <cell r="T611" t="str">
            <v>11900,1</v>
          </cell>
        </row>
        <row r="612">
          <cell r="A612">
            <v>500</v>
          </cell>
          <cell r="B612" t="str">
            <v>东海女真</v>
          </cell>
          <cell r="C612" t="str">
            <v>1501786;1501787</v>
          </cell>
          <cell r="D612" t="str">
            <v>1501786;1501787;1501789;1501790</v>
          </cell>
          <cell r="E612" t="str">
            <v>1501786;1501787;1501788</v>
          </cell>
        </row>
        <row r="612">
          <cell r="G612">
            <v>0</v>
          </cell>
          <cell r="H612">
            <v>1</v>
          </cell>
          <cell r="I612">
            <v>1</v>
          </cell>
          <cell r="J612" t="b">
            <v>0</v>
          </cell>
          <cell r="K612">
            <v>1003</v>
          </cell>
          <cell r="L612">
            <v>-6.34</v>
          </cell>
          <cell r="M612">
            <v>-7.69</v>
          </cell>
        </row>
        <row r="612">
          <cell r="O612" t="str">
            <v>3.2,-7.2;</v>
          </cell>
          <cell r="P612" t="str">
            <v>0.362,-5.65;1.743,-5.48;0.34,-7.68;-0.76,-5.24;-1.76,-5.89;</v>
          </cell>
          <cell r="Q612">
            <v>22000</v>
          </cell>
          <cell r="R612">
            <v>0</v>
          </cell>
          <cell r="S612" t="str">
            <v>1001+35;1002+40;</v>
          </cell>
          <cell r="T612" t="str">
            <v>11900,1</v>
          </cell>
        </row>
        <row r="613">
          <cell r="A613">
            <v>501</v>
          </cell>
          <cell r="B613" t="str">
            <v>东海女真</v>
          </cell>
          <cell r="C613" t="str">
            <v>1501791;1501792;1501793</v>
          </cell>
          <cell r="D613" t="str">
            <v>1501791;1501792;1501793;1501794</v>
          </cell>
          <cell r="E613" t="str">
            <v>1501791;1501792;1501793;1501794;1501795</v>
          </cell>
        </row>
        <row r="613">
          <cell r="G613">
            <v>0</v>
          </cell>
          <cell r="H613">
            <v>1</v>
          </cell>
          <cell r="I613">
            <v>1</v>
          </cell>
          <cell r="J613" t="b">
            <v>0</v>
          </cell>
          <cell r="K613">
            <v>1003</v>
          </cell>
          <cell r="L613">
            <v>-6.34</v>
          </cell>
          <cell r="M613">
            <v>-7.69</v>
          </cell>
        </row>
        <row r="613">
          <cell r="O613" t="str">
            <v>3.2,-7.2;</v>
          </cell>
          <cell r="P613" t="str">
            <v>0.362,-5.65;1.743,-5.48;0.34,-7.68;-0.76,-5.24;-1.76,-5.89;</v>
          </cell>
          <cell r="Q613">
            <v>22000</v>
          </cell>
          <cell r="R613">
            <v>0</v>
          </cell>
          <cell r="S613" t="str">
            <v>1001+35;1002+40;</v>
          </cell>
          <cell r="T613" t="str">
            <v>11900,1</v>
          </cell>
        </row>
        <row r="614">
          <cell r="A614">
            <v>502</v>
          </cell>
          <cell r="B614" t="str">
            <v>女真头人</v>
          </cell>
          <cell r="C614" t="str">
            <v>1501796;1501797;1501799;1501800</v>
          </cell>
          <cell r="D614" t="str">
            <v>1501796;1501797;1501799;1501800;1501801</v>
          </cell>
          <cell r="E614" t="str">
            <v>1501796;1501797;1501798;1501799;1501800;1501801</v>
          </cell>
        </row>
        <row r="614">
          <cell r="G614" t="str">
            <v>1501812;1501813;1501814</v>
          </cell>
          <cell r="H614">
            <v>1</v>
          </cell>
          <cell r="I614">
            <v>1</v>
          </cell>
          <cell r="J614" t="b">
            <v>0</v>
          </cell>
          <cell r="K614">
            <v>1003</v>
          </cell>
          <cell r="L614">
            <v>-6.34</v>
          </cell>
          <cell r="M614">
            <v>-7.69</v>
          </cell>
        </row>
        <row r="614">
          <cell r="O614" t="str">
            <v>3.2,-7.2;</v>
          </cell>
          <cell r="P614" t="str">
            <v>0.362,-5.65;1.743,-5.48;0.34,-7.68;-0.76,-5.24;-1.76,-5.89;</v>
          </cell>
          <cell r="Q614">
            <v>22000</v>
          </cell>
          <cell r="R614">
            <v>0</v>
          </cell>
          <cell r="S614" t="str">
            <v>1001+35;1002+40;</v>
          </cell>
          <cell r="T614">
            <v>0</v>
          </cell>
        </row>
        <row r="615">
          <cell r="A615">
            <v>503</v>
          </cell>
          <cell r="B615" t="str">
            <v>女真头人</v>
          </cell>
          <cell r="C615" t="str">
            <v>1501802;1501803;1501804</v>
          </cell>
          <cell r="D615" t="str">
            <v>1501802;1501803;1501804;1501805</v>
          </cell>
          <cell r="E615" t="str">
            <v>1501802;1501803;1501804;1501805;1501806</v>
          </cell>
        </row>
        <row r="615">
          <cell r="G615" t="str">
            <v>1501812;1501813;1501814</v>
          </cell>
          <cell r="H615">
            <v>1</v>
          </cell>
          <cell r="I615">
            <v>1</v>
          </cell>
          <cell r="J615" t="b">
            <v>0</v>
          </cell>
          <cell r="K615">
            <v>1003</v>
          </cell>
          <cell r="L615">
            <v>-6.34</v>
          </cell>
          <cell r="M615">
            <v>-7.69</v>
          </cell>
        </row>
        <row r="615">
          <cell r="O615" t="str">
            <v>3.2,-7.2;</v>
          </cell>
          <cell r="P615" t="str">
            <v>0.362,-5.65;1.743,-5.48;0.34,-7.68;-0.76,-5.24;-1.76,-5.89;</v>
          </cell>
          <cell r="Q615">
            <v>22000</v>
          </cell>
          <cell r="R615">
            <v>0</v>
          </cell>
          <cell r="S615" t="str">
            <v>1001+35;1002+40;</v>
          </cell>
          <cell r="T615">
            <v>0</v>
          </cell>
        </row>
        <row r="616">
          <cell r="A616">
            <v>504</v>
          </cell>
          <cell r="B616" t="str">
            <v>女真头人</v>
          </cell>
          <cell r="C616" t="str">
            <v>1501807;1501808</v>
          </cell>
          <cell r="D616" t="str">
            <v>1501807;1501808;1501810;1501811</v>
          </cell>
          <cell r="E616" t="str">
            <v>1501807;1501808;1501809</v>
          </cell>
        </row>
        <row r="616">
          <cell r="G616" t="str">
            <v>1501812;1501813;1501814</v>
          </cell>
          <cell r="H616">
            <v>1</v>
          </cell>
          <cell r="I616">
            <v>1</v>
          </cell>
          <cell r="J616" t="b">
            <v>0</v>
          </cell>
          <cell r="K616">
            <v>1003</v>
          </cell>
          <cell r="L616">
            <v>-6.34</v>
          </cell>
          <cell r="M616">
            <v>-7.69</v>
          </cell>
        </row>
        <row r="616">
          <cell r="O616" t="str">
            <v>3.2,-7.2;</v>
          </cell>
          <cell r="P616" t="str">
            <v>0.362,-5.65;1.743,-5.48;0.34,-7.68;-0.76,-5.24;-1.76,-5.89;</v>
          </cell>
          <cell r="Q616">
            <v>22000</v>
          </cell>
          <cell r="R616">
            <v>0</v>
          </cell>
          <cell r="S616" t="str">
            <v>1001+35;1002+40;</v>
          </cell>
          <cell r="T616" t="str">
            <v>11900,1</v>
          </cell>
        </row>
        <row r="617">
          <cell r="A617">
            <v>505</v>
          </cell>
          <cell r="B617" t="str">
            <v>朱尧</v>
          </cell>
          <cell r="C617" t="str">
            <v>1501815;1501816;1501817</v>
          </cell>
          <cell r="D617" t="str">
            <v>1501815;1501816;1501817;1501818</v>
          </cell>
          <cell r="E617" t="str">
            <v>1501815;1501816;1501817;1501818;1501819</v>
          </cell>
        </row>
        <row r="617">
          <cell r="G617">
            <v>0</v>
          </cell>
          <cell r="H617">
            <v>1</v>
          </cell>
          <cell r="I617">
            <v>1</v>
          </cell>
          <cell r="J617" t="b">
            <v>0</v>
          </cell>
          <cell r="K617">
            <v>1003</v>
          </cell>
          <cell r="L617">
            <v>-6.34</v>
          </cell>
          <cell r="M617">
            <v>-7.69</v>
          </cell>
        </row>
        <row r="617">
          <cell r="O617" t="str">
            <v>3.2,-7.2;</v>
          </cell>
          <cell r="P617" t="str">
            <v>0.362,-5.65;1.743,-5.48;0.34,-7.68;-0.76,-5.24;-1.76,-5.89;</v>
          </cell>
          <cell r="Q617">
            <v>22000</v>
          </cell>
          <cell r="R617">
            <v>0</v>
          </cell>
          <cell r="S617" t="str">
            <v>1001+35;1002+40;</v>
          </cell>
          <cell r="T617" t="str">
            <v>11900,1</v>
          </cell>
        </row>
        <row r="618">
          <cell r="A618">
            <v>506</v>
          </cell>
          <cell r="B618" t="str">
            <v>俞阳洲</v>
          </cell>
          <cell r="C618">
            <v>1501820</v>
          </cell>
        </row>
        <row r="618">
          <cell r="G618">
            <v>0</v>
          </cell>
          <cell r="H618">
            <v>1</v>
          </cell>
          <cell r="I618">
            <v>1</v>
          </cell>
          <cell r="J618" t="b">
            <v>0</v>
          </cell>
          <cell r="K618">
            <v>1003</v>
          </cell>
          <cell r="L618">
            <v>-6.34</v>
          </cell>
          <cell r="M618">
            <v>-7.69</v>
          </cell>
        </row>
        <row r="618">
          <cell r="O618" t="str">
            <v>3.2,-7.2;</v>
          </cell>
          <cell r="P618" t="str">
            <v>0.362,-5.65;1.743,-5.48;0.34,-7.68;-0.76,-5.24;-1.76,-5.89;</v>
          </cell>
          <cell r="Q618">
            <v>22000</v>
          </cell>
          <cell r="R618">
            <v>0</v>
          </cell>
          <cell r="S618" t="str">
            <v>1001+35;1002+40;</v>
          </cell>
          <cell r="T618" t="str">
            <v>11900,1</v>
          </cell>
        </row>
        <row r="619">
          <cell r="A619">
            <v>507</v>
          </cell>
          <cell r="B619" t="str">
            <v>女真悍卒</v>
          </cell>
          <cell r="C619" t="str">
            <v>1501902;1501903;1501904;1501905</v>
          </cell>
          <cell r="D619" t="str">
            <v>1501902;1501903;1501904;1501905;1501906</v>
          </cell>
          <cell r="E619" t="str">
            <v>1501902;1501903;1501904;1501905;1501906;1501907</v>
          </cell>
        </row>
        <row r="619">
          <cell r="G619">
            <v>0</v>
          </cell>
          <cell r="H619">
            <v>1</v>
          </cell>
          <cell r="I619">
            <v>1</v>
          </cell>
          <cell r="J619" t="b">
            <v>0</v>
          </cell>
          <cell r="K619">
            <v>1003</v>
          </cell>
          <cell r="L619">
            <v>-6.34</v>
          </cell>
          <cell r="M619">
            <v>-7.69</v>
          </cell>
        </row>
        <row r="619">
          <cell r="O619" t="str">
            <v>3.2,-7.2;</v>
          </cell>
          <cell r="P619" t="str">
            <v>0.362,-5.65;1.743,-5.48;0.34,-7.68;-0.76,-5.24;-1.76,-5.89;</v>
          </cell>
          <cell r="Q619">
            <v>22000</v>
          </cell>
          <cell r="R619">
            <v>0</v>
          </cell>
          <cell r="S619" t="str">
            <v>1001+35;1002+40;</v>
          </cell>
          <cell r="T619">
            <v>0</v>
          </cell>
        </row>
        <row r="620">
          <cell r="A620">
            <v>508</v>
          </cell>
          <cell r="B620" t="str">
            <v>女真战士</v>
          </cell>
          <cell r="C620" t="str">
            <v>1501908;1501909;1501910;1501911;1501912</v>
          </cell>
          <cell r="D620" t="str">
            <v>1501908;1501909;1501910;1501911;1501912;1501913</v>
          </cell>
          <cell r="E620" t="str">
            <v>1501908;1501909;1501910;1501911;1501912;1501913;1501914</v>
          </cell>
        </row>
        <row r="620">
          <cell r="G620">
            <v>0</v>
          </cell>
          <cell r="H620">
            <v>1</v>
          </cell>
          <cell r="I620">
            <v>1</v>
          </cell>
          <cell r="J620" t="b">
            <v>0</v>
          </cell>
          <cell r="K620">
            <v>1003</v>
          </cell>
          <cell r="L620">
            <v>-6.34</v>
          </cell>
          <cell r="M620">
            <v>-7.69</v>
          </cell>
        </row>
        <row r="620">
          <cell r="O620" t="str">
            <v>3.2,-7.2;</v>
          </cell>
          <cell r="P620" t="str">
            <v>0.362,-5.65;1.743,-5.48;0.34,-7.68;-0.76,-5.24;-1.76,-5.89;</v>
          </cell>
          <cell r="Q620">
            <v>22000</v>
          </cell>
          <cell r="R620">
            <v>0</v>
          </cell>
          <cell r="S620" t="str">
            <v>1001+35;1002+40;</v>
          </cell>
          <cell r="T620">
            <v>0</v>
          </cell>
        </row>
        <row r="621">
          <cell r="A621">
            <v>509</v>
          </cell>
          <cell r="B621" t="str">
            <v>女真悍卒</v>
          </cell>
          <cell r="C621" t="str">
            <v>1501915;1501916;1501917;1501918;1501919</v>
          </cell>
          <cell r="D621" t="str">
            <v>1501915;1501916;1501917;1501918;1501919;1501920</v>
          </cell>
          <cell r="E621" t="str">
            <v>1501915;1501916;1501917;1501918;1501919;1501920;1501921</v>
          </cell>
        </row>
        <row r="621">
          <cell r="G621">
            <v>0</v>
          </cell>
          <cell r="H621">
            <v>1</v>
          </cell>
          <cell r="I621">
            <v>1</v>
          </cell>
          <cell r="J621" t="b">
            <v>0</v>
          </cell>
          <cell r="K621">
            <v>1003</v>
          </cell>
          <cell r="L621">
            <v>-6.34</v>
          </cell>
          <cell r="M621">
            <v>-7.69</v>
          </cell>
        </row>
        <row r="621">
          <cell r="O621" t="str">
            <v>3.2,-7.2;</v>
          </cell>
          <cell r="P621" t="str">
            <v>0.362,-5.65;1.743,-5.48;0.34,-7.68;-0.76,-5.24;-1.76,-5.89;</v>
          </cell>
          <cell r="Q621">
            <v>22000</v>
          </cell>
          <cell r="R621">
            <v>0</v>
          </cell>
          <cell r="S621" t="str">
            <v>1001+35;1002+40;</v>
          </cell>
          <cell r="T621">
            <v>0</v>
          </cell>
        </row>
        <row r="622">
          <cell r="A622">
            <v>510</v>
          </cell>
          <cell r="B622" t="str">
            <v>女真头人</v>
          </cell>
          <cell r="C622" t="str">
            <v>1501922;1501923;1501924;1501925;1501926</v>
          </cell>
          <cell r="D622" t="str">
            <v>1501922;1501923;1501924;1501925;1501926;1501927</v>
          </cell>
          <cell r="E622" t="str">
            <v>1501922;1501923;1501924;1501925;1501926;1501927;1501928</v>
          </cell>
        </row>
        <row r="622">
          <cell r="G622">
            <v>0</v>
          </cell>
          <cell r="H622">
            <v>1</v>
          </cell>
          <cell r="I622">
            <v>1</v>
          </cell>
          <cell r="J622" t="b">
            <v>0</v>
          </cell>
          <cell r="K622">
            <v>1003</v>
          </cell>
          <cell r="L622">
            <v>-6.34</v>
          </cell>
          <cell r="M622">
            <v>-7.69</v>
          </cell>
        </row>
        <row r="622">
          <cell r="O622" t="str">
            <v>3.2,-7.2;</v>
          </cell>
          <cell r="P622" t="str">
            <v>0.362,-5.65;1.743,-5.48;0.34,-7.68;-0.76,-5.24;-1.76,-5.89;</v>
          </cell>
          <cell r="Q622">
            <v>22000</v>
          </cell>
          <cell r="R622">
            <v>0</v>
          </cell>
          <cell r="S622" t="str">
            <v>1001+35;1002+40;</v>
          </cell>
          <cell r="T622" t="str">
            <v>11000,1</v>
          </cell>
        </row>
        <row r="623">
          <cell r="A623">
            <v>511</v>
          </cell>
          <cell r="B623" t="str">
            <v>女真悍卒</v>
          </cell>
          <cell r="C623" t="str">
            <v>1501929;1501930;1501931;1501932</v>
          </cell>
          <cell r="D623" t="str">
            <v>1501929;1501930;1501931;1501932;1501933</v>
          </cell>
          <cell r="E623" t="str">
            <v>1501929;1501930;1501931;1501932;1501933;1501934</v>
          </cell>
        </row>
        <row r="623">
          <cell r="G623">
            <v>0</v>
          </cell>
          <cell r="H623">
            <v>1</v>
          </cell>
          <cell r="I623">
            <v>1</v>
          </cell>
          <cell r="J623" t="b">
            <v>0</v>
          </cell>
          <cell r="K623">
            <v>1003</v>
          </cell>
          <cell r="L623">
            <v>-6.34</v>
          </cell>
          <cell r="M623">
            <v>-7.69</v>
          </cell>
        </row>
        <row r="623">
          <cell r="O623" t="str">
            <v>3.2,-7.2;</v>
          </cell>
          <cell r="P623" t="str">
            <v>0.362,-5.65;1.743,-5.48;0.34,-7.68;-0.76,-5.24;-1.76,-5.89;</v>
          </cell>
          <cell r="Q623">
            <v>22000</v>
          </cell>
          <cell r="R623">
            <v>0</v>
          </cell>
          <cell r="S623" t="str">
            <v>1001+35;1002+40;</v>
          </cell>
          <cell r="T623">
            <v>0</v>
          </cell>
        </row>
        <row r="624">
          <cell r="A624">
            <v>512</v>
          </cell>
          <cell r="B624" t="str">
            <v>女真战士</v>
          </cell>
          <cell r="C624" t="str">
            <v>1501935;1501936;1501937;1501938;1501939</v>
          </cell>
          <cell r="D624" t="str">
            <v>1501935;1501936;1501937;1501938;1501939;1501940</v>
          </cell>
          <cell r="E624" t="str">
            <v>1501935;1501936;1501937;1501938;1501939;1501940;1501941</v>
          </cell>
        </row>
        <row r="624">
          <cell r="G624">
            <v>0</v>
          </cell>
          <cell r="H624">
            <v>1</v>
          </cell>
          <cell r="I624">
            <v>1</v>
          </cell>
          <cell r="J624" t="b">
            <v>0</v>
          </cell>
          <cell r="K624">
            <v>1003</v>
          </cell>
          <cell r="L624">
            <v>-6.34</v>
          </cell>
          <cell r="M624">
            <v>-7.69</v>
          </cell>
        </row>
        <row r="624">
          <cell r="O624" t="str">
            <v>3.2,-7.2;</v>
          </cell>
          <cell r="P624" t="str">
            <v>0.362,-5.65;1.743,-5.48;0.34,-7.68;-0.76,-5.24;-1.76,-5.89;</v>
          </cell>
          <cell r="Q624">
            <v>22000</v>
          </cell>
          <cell r="R624">
            <v>0</v>
          </cell>
          <cell r="S624" t="str">
            <v>1001+35;1002+40;</v>
          </cell>
          <cell r="T624">
            <v>0</v>
          </cell>
        </row>
        <row r="625">
          <cell r="A625">
            <v>513</v>
          </cell>
          <cell r="B625" t="str">
            <v>女真悍卒</v>
          </cell>
          <cell r="C625" t="str">
            <v>1501942;1501943;1501944;1501945;1501946</v>
          </cell>
          <cell r="D625" t="str">
            <v>1501942;1501943;1501944;1501945;1501946;1501947</v>
          </cell>
          <cell r="E625" t="str">
            <v>1501942;1501943;1501944;1501945;1501946;1501947;1501948</v>
          </cell>
        </row>
        <row r="625">
          <cell r="G625">
            <v>0</v>
          </cell>
          <cell r="H625">
            <v>1</v>
          </cell>
          <cell r="I625">
            <v>1</v>
          </cell>
          <cell r="J625" t="b">
            <v>0</v>
          </cell>
          <cell r="K625">
            <v>1003</v>
          </cell>
          <cell r="L625">
            <v>-6.34</v>
          </cell>
          <cell r="M625">
            <v>-7.69</v>
          </cell>
        </row>
        <row r="625">
          <cell r="O625" t="str">
            <v>3.2,-7.2;</v>
          </cell>
          <cell r="P625" t="str">
            <v>0.362,-5.65;1.743,-5.48;0.34,-7.68;-0.76,-5.24;-1.76,-5.89;</v>
          </cell>
          <cell r="Q625">
            <v>22000</v>
          </cell>
          <cell r="R625">
            <v>0</v>
          </cell>
          <cell r="S625" t="str">
            <v>1001+35;1002+40;</v>
          </cell>
          <cell r="T625">
            <v>0</v>
          </cell>
        </row>
        <row r="626">
          <cell r="A626">
            <v>514</v>
          </cell>
          <cell r="B626" t="str">
            <v>女真头人</v>
          </cell>
          <cell r="C626" t="str">
            <v>1501949;1501950;1501951;1501952;1501953</v>
          </cell>
          <cell r="D626" t="str">
            <v>1501949;1501950;1501951;1501952;1501953;1501954</v>
          </cell>
          <cell r="E626" t="str">
            <v>1501949;1501950;1501951;1501952;1501953;1501954;1501955</v>
          </cell>
        </row>
        <row r="626">
          <cell r="G626">
            <v>0</v>
          </cell>
          <cell r="H626">
            <v>1</v>
          </cell>
          <cell r="I626">
            <v>1</v>
          </cell>
          <cell r="J626" t="b">
            <v>0</v>
          </cell>
          <cell r="K626">
            <v>1003</v>
          </cell>
          <cell r="L626">
            <v>-6.34</v>
          </cell>
          <cell r="M626">
            <v>-7.69</v>
          </cell>
        </row>
        <row r="626">
          <cell r="O626" t="str">
            <v>3.2,-7.2;</v>
          </cell>
          <cell r="P626" t="str">
            <v>0.362,-5.65;1.743,-5.48;0.34,-7.68;-0.76,-5.24;-1.76,-5.89;</v>
          </cell>
          <cell r="Q626">
            <v>22000</v>
          </cell>
          <cell r="R626">
            <v>0</v>
          </cell>
          <cell r="S626" t="str">
            <v>1001+35;1002+40;</v>
          </cell>
          <cell r="T626" t="str">
            <v>11100,1</v>
          </cell>
        </row>
        <row r="627">
          <cell r="A627">
            <v>515</v>
          </cell>
          <cell r="B627" t="str">
            <v>女真悍卒</v>
          </cell>
          <cell r="C627" t="str">
            <v>1501956;1501957;1501958;1501959</v>
          </cell>
          <cell r="D627" t="str">
            <v>1501956;1501957;1501958;1501959;1501960</v>
          </cell>
          <cell r="E627" t="str">
            <v>1501956;1501957;1501958;1501959;1501960;1501961</v>
          </cell>
        </row>
        <row r="627">
          <cell r="G627">
            <v>0</v>
          </cell>
          <cell r="H627">
            <v>1</v>
          </cell>
          <cell r="I627">
            <v>1</v>
          </cell>
          <cell r="J627" t="b">
            <v>0</v>
          </cell>
          <cell r="K627">
            <v>1003</v>
          </cell>
          <cell r="L627">
            <v>-6.34</v>
          </cell>
          <cell r="M627">
            <v>-7.69</v>
          </cell>
        </row>
        <row r="627">
          <cell r="O627" t="str">
            <v>3.2,-7.2;</v>
          </cell>
          <cell r="P627" t="str">
            <v>0.362,-5.65;1.743,-5.48;0.34,-7.68;-0.76,-5.24;-1.76,-5.89;</v>
          </cell>
          <cell r="Q627">
            <v>22000</v>
          </cell>
          <cell r="R627">
            <v>0</v>
          </cell>
          <cell r="S627" t="str">
            <v>1001+35;1002+40;</v>
          </cell>
          <cell r="T627">
            <v>0</v>
          </cell>
        </row>
        <row r="628">
          <cell r="A628">
            <v>516</v>
          </cell>
          <cell r="B628" t="str">
            <v>女真战士</v>
          </cell>
          <cell r="C628" t="str">
            <v>1501962;1501963;1501964;1501965;1501966</v>
          </cell>
          <cell r="D628" t="str">
            <v>1501962;1501963;1501964;1501965;1501966;1501967</v>
          </cell>
          <cell r="E628" t="str">
            <v>1501962;1501963;1501964;1501965;1501966;1501967;1501968</v>
          </cell>
        </row>
        <row r="628">
          <cell r="G628">
            <v>0</v>
          </cell>
          <cell r="H628">
            <v>1</v>
          </cell>
          <cell r="I628">
            <v>1</v>
          </cell>
          <cell r="J628" t="b">
            <v>0</v>
          </cell>
          <cell r="K628">
            <v>1003</v>
          </cell>
          <cell r="L628">
            <v>-6.34</v>
          </cell>
          <cell r="M628">
            <v>-7.69</v>
          </cell>
        </row>
        <row r="628">
          <cell r="O628" t="str">
            <v>3.2,-7.2;</v>
          </cell>
          <cell r="P628" t="str">
            <v>0.362,-5.65;1.743,-5.48;0.34,-7.68;-0.76,-5.24;-1.76,-5.89;</v>
          </cell>
          <cell r="Q628">
            <v>22000</v>
          </cell>
          <cell r="R628">
            <v>0</v>
          </cell>
          <cell r="S628" t="str">
            <v>1001+35;1002+40;</v>
          </cell>
          <cell r="T628">
            <v>0</v>
          </cell>
        </row>
        <row r="629">
          <cell r="A629">
            <v>517</v>
          </cell>
          <cell r="B629" t="str">
            <v>女真悍卒</v>
          </cell>
          <cell r="C629" t="str">
            <v>1501969;1501970;1501971;1501972;1501973</v>
          </cell>
          <cell r="D629" t="str">
            <v>1501969;1501970;1501971;1501972;1501973;1501974</v>
          </cell>
          <cell r="E629" t="str">
            <v>1501969;1501970;1501971;1501972;1501973;1501974;1501975</v>
          </cell>
        </row>
        <row r="629">
          <cell r="G629">
            <v>0</v>
          </cell>
          <cell r="H629">
            <v>1</v>
          </cell>
          <cell r="I629">
            <v>1</v>
          </cell>
          <cell r="J629" t="b">
            <v>0</v>
          </cell>
          <cell r="K629">
            <v>1003</v>
          </cell>
          <cell r="L629">
            <v>-6.34</v>
          </cell>
          <cell r="M629">
            <v>-7.69</v>
          </cell>
        </row>
        <row r="629">
          <cell r="O629" t="str">
            <v>3.2,-7.2;</v>
          </cell>
          <cell r="P629" t="str">
            <v>0.362,-5.65;1.743,-5.48;0.34,-7.68;-0.76,-5.24;-1.76,-5.89;</v>
          </cell>
          <cell r="Q629">
            <v>22000</v>
          </cell>
          <cell r="R629">
            <v>0</v>
          </cell>
          <cell r="S629" t="str">
            <v>1001+35;1002+40;</v>
          </cell>
          <cell r="T629">
            <v>0</v>
          </cell>
        </row>
        <row r="630">
          <cell r="A630">
            <v>518</v>
          </cell>
          <cell r="B630" t="str">
            <v>女真头人</v>
          </cell>
          <cell r="C630" t="str">
            <v>1501976;1501977;1501978;1501979;1501980</v>
          </cell>
          <cell r="D630" t="str">
            <v>1501976;1501977;1501978;1501979;1501980;1501981</v>
          </cell>
          <cell r="E630" t="str">
            <v>1501976;1501977;1501978;1501979;1501980;1501981;1501982</v>
          </cell>
        </row>
        <row r="630">
          <cell r="G630">
            <v>0</v>
          </cell>
          <cell r="H630">
            <v>1</v>
          </cell>
          <cell r="I630">
            <v>1</v>
          </cell>
          <cell r="J630" t="b">
            <v>0</v>
          </cell>
          <cell r="K630">
            <v>1003</v>
          </cell>
          <cell r="L630">
            <v>-6.34</v>
          </cell>
          <cell r="M630">
            <v>-7.69</v>
          </cell>
        </row>
        <row r="630">
          <cell r="O630" t="str">
            <v>3.2,-7.2;</v>
          </cell>
          <cell r="P630" t="str">
            <v>0.362,-5.65;1.743,-5.48;0.34,-7.68;-0.76,-5.24;-1.76,-5.89;</v>
          </cell>
          <cell r="Q630">
            <v>22000</v>
          </cell>
          <cell r="R630">
            <v>0</v>
          </cell>
          <cell r="S630" t="str">
            <v>1001+35;1002+40;</v>
          </cell>
          <cell r="T630" t="str">
            <v>11200,1</v>
          </cell>
        </row>
        <row r="631">
          <cell r="A631">
            <v>519</v>
          </cell>
          <cell r="B631" t="str">
            <v>罗扬</v>
          </cell>
          <cell r="C631" t="str">
            <v>1502096;1502097;1502098;1502099;1502100</v>
          </cell>
        </row>
        <row r="631">
          <cell r="G631">
            <v>0</v>
          </cell>
          <cell r="H631">
            <v>1</v>
          </cell>
          <cell r="I631">
            <v>1</v>
          </cell>
          <cell r="J631" t="b">
            <v>0</v>
          </cell>
          <cell r="K631">
            <v>1003</v>
          </cell>
          <cell r="L631">
            <v>-6.34</v>
          </cell>
          <cell r="M631">
            <v>-7.69</v>
          </cell>
        </row>
        <row r="631">
          <cell r="O631" t="str">
            <v>3.2,-7.2;</v>
          </cell>
          <cell r="P631" t="str">
            <v>0.362,-5.65;1.743,-5.48;0.34,-7.68;-0.76,-5.24;-1.76,-5.89;</v>
          </cell>
          <cell r="Q631">
            <v>22000</v>
          </cell>
          <cell r="R631">
            <v>0</v>
          </cell>
          <cell r="S631" t="str">
            <v>1001+35;1002+40;</v>
          </cell>
          <cell r="T631" t="str">
            <v>11900,1</v>
          </cell>
        </row>
        <row r="632">
          <cell r="A632">
            <v>520</v>
          </cell>
          <cell r="B632" t="str">
            <v>登船倭寇</v>
          </cell>
          <cell r="C632" t="str">
            <v>1502125;1502126;1502127;</v>
          </cell>
          <cell r="D632" t="str">
            <v>1502125;1502126;1502127;1502128;</v>
          </cell>
          <cell r="E632" t="str">
            <v>1502125;1502126;1502127;1502128;1502129;</v>
          </cell>
        </row>
        <row r="632">
          <cell r="G632">
            <v>0</v>
          </cell>
          <cell r="H632">
            <v>1</v>
          </cell>
          <cell r="I632">
            <v>1</v>
          </cell>
          <cell r="J632" t="b">
            <v>0</v>
          </cell>
          <cell r="K632">
            <v>1013</v>
          </cell>
          <cell r="L632">
            <v>-6.34</v>
          </cell>
          <cell r="M632">
            <v>-7.69</v>
          </cell>
          <cell r="N632">
            <v>0</v>
          </cell>
          <cell r="O632" t="str">
            <v>0</v>
          </cell>
          <cell r="P632" t="str">
            <v>0.34,-7.68;</v>
          </cell>
          <cell r="Q632">
            <v>11000</v>
          </cell>
          <cell r="R632">
            <v>0</v>
          </cell>
          <cell r="S632" t="str">
            <v>1001+35;1002+40;</v>
          </cell>
          <cell r="T632" t="str">
            <v>11900,1</v>
          </cell>
        </row>
        <row r="633">
          <cell r="A633">
            <v>521</v>
          </cell>
          <cell r="B633" t="str">
            <v>登船倭寇</v>
          </cell>
          <cell r="C633" t="str">
            <v>1502130;1502131;1502132;</v>
          </cell>
          <cell r="D633" t="str">
            <v>1502130;1502131;1502132;1502133;</v>
          </cell>
          <cell r="E633" t="str">
            <v>1502130;1502131;1502132;1502133;1502134;</v>
          </cell>
        </row>
        <row r="633">
          <cell r="G633">
            <v>0</v>
          </cell>
          <cell r="H633">
            <v>1</v>
          </cell>
          <cell r="I633">
            <v>1</v>
          </cell>
          <cell r="J633" t="b">
            <v>0</v>
          </cell>
          <cell r="K633">
            <v>1013</v>
          </cell>
          <cell r="L633">
            <v>-6.34</v>
          </cell>
          <cell r="M633">
            <v>-7.69</v>
          </cell>
          <cell r="N633">
            <v>0</v>
          </cell>
          <cell r="O633" t="str">
            <v>0</v>
          </cell>
          <cell r="P633" t="str">
            <v>0.34,-7.68;</v>
          </cell>
          <cell r="Q633">
            <v>11000</v>
          </cell>
          <cell r="R633">
            <v>0</v>
          </cell>
          <cell r="S633" t="str">
            <v>1001+35;1002+40;</v>
          </cell>
          <cell r="T633" t="str">
            <v>11900,1</v>
          </cell>
        </row>
        <row r="634">
          <cell r="A634">
            <v>522</v>
          </cell>
          <cell r="B634" t="str">
            <v>登船倭寇</v>
          </cell>
          <cell r="C634" t="str">
            <v>1502135;1502136;1502137;</v>
          </cell>
          <cell r="D634" t="str">
            <v>1502135;1502136;1502137;1502138;</v>
          </cell>
          <cell r="E634" t="str">
            <v>1502135;1502136;1502137;1502138;1502139;</v>
          </cell>
        </row>
        <row r="634">
          <cell r="G634">
            <v>0</v>
          </cell>
          <cell r="H634">
            <v>1</v>
          </cell>
          <cell r="I634">
            <v>1</v>
          </cell>
          <cell r="J634" t="b">
            <v>0</v>
          </cell>
          <cell r="K634">
            <v>10132</v>
          </cell>
          <cell r="L634">
            <v>-6.34</v>
          </cell>
          <cell r="M634">
            <v>-7.69</v>
          </cell>
          <cell r="N634">
            <v>0</v>
          </cell>
          <cell r="O634" t="str">
            <v>0</v>
          </cell>
          <cell r="P634" t="str">
            <v>0.34,-7.68;
0.362,-5.65;</v>
          </cell>
          <cell r="Q634">
            <v>11000</v>
          </cell>
          <cell r="R634">
            <v>0</v>
          </cell>
          <cell r="S634" t="str">
            <v>1001+35;1002+40;</v>
          </cell>
          <cell r="T634" t="str">
            <v>11900,1</v>
          </cell>
        </row>
        <row r="635">
          <cell r="A635">
            <v>523</v>
          </cell>
          <cell r="B635" t="str">
            <v>登船倭寇</v>
          </cell>
          <cell r="C635" t="str">
            <v>1502140;1502141;</v>
          </cell>
          <cell r="D635" t="str">
            <v>1502140;1502141;1502142;1502143;</v>
          </cell>
          <cell r="E635" t="str">
            <v>1502140;1502141;1502142;1502143;</v>
          </cell>
        </row>
        <row r="635">
          <cell r="G635">
            <v>1502397</v>
          </cell>
          <cell r="H635">
            <v>1</v>
          </cell>
          <cell r="I635">
            <v>1</v>
          </cell>
          <cell r="J635" t="b">
            <v>0</v>
          </cell>
          <cell r="K635">
            <v>10132</v>
          </cell>
          <cell r="L635">
            <v>-4.38</v>
          </cell>
          <cell r="M635">
            <v>-7.01</v>
          </cell>
          <cell r="N635">
            <v>0</v>
          </cell>
          <cell r="O635" t="str">
            <v>0</v>
          </cell>
          <cell r="P635" t="str">
            <v>7.44,-6.96;
3.45,-5.74;
3.45,-7.95;</v>
          </cell>
          <cell r="Q635">
            <v>11000</v>
          </cell>
          <cell r="R635">
            <v>0</v>
          </cell>
          <cell r="S635" t="str">
            <v>1001+35;1002+40;</v>
          </cell>
          <cell r="T635" t="str">
            <v>11900,1</v>
          </cell>
        </row>
        <row r="636">
          <cell r="A636">
            <v>524</v>
          </cell>
          <cell r="B636" t="str">
            <v>宋红玉</v>
          </cell>
          <cell r="C636" t="str">
            <v>1502145;</v>
          </cell>
          <cell r="D636" t="str">
            <v>1502145;</v>
          </cell>
          <cell r="E636" t="str">
            <v>1502145;</v>
          </cell>
        </row>
        <row r="636">
          <cell r="G636">
            <v>0</v>
          </cell>
          <cell r="H636">
            <v>1</v>
          </cell>
          <cell r="I636">
            <v>1</v>
          </cell>
          <cell r="J636" t="b">
            <v>0</v>
          </cell>
          <cell r="K636">
            <v>10132</v>
          </cell>
          <cell r="L636">
            <v>-6.34</v>
          </cell>
          <cell r="M636">
            <v>-7.69</v>
          </cell>
          <cell r="N636">
            <v>0</v>
          </cell>
          <cell r="O636" t="str">
            <v>0</v>
          </cell>
          <cell r="P636" t="str">
            <v>0.34,-7.68;
0.362,-5.65;</v>
          </cell>
          <cell r="Q636">
            <v>11000</v>
          </cell>
          <cell r="R636">
            <v>0</v>
          </cell>
          <cell r="S636" t="str">
            <v>1001+35;1002+40;</v>
          </cell>
          <cell r="T636" t="str">
            <v>11900,1</v>
          </cell>
        </row>
        <row r="637">
          <cell r="A637">
            <v>525</v>
          </cell>
          <cell r="B637" t="str">
            <v>李麒</v>
          </cell>
          <cell r="C637" t="str">
            <v>1502146;</v>
          </cell>
          <cell r="D637" t="str">
            <v>1502146;</v>
          </cell>
          <cell r="E637" t="str">
            <v>1502146;</v>
          </cell>
        </row>
        <row r="637">
          <cell r="G637">
            <v>0</v>
          </cell>
          <cell r="H637">
            <v>1</v>
          </cell>
          <cell r="I637">
            <v>1</v>
          </cell>
          <cell r="J637" t="b">
            <v>0</v>
          </cell>
          <cell r="K637">
            <v>10132</v>
          </cell>
          <cell r="L637">
            <v>-6.34</v>
          </cell>
          <cell r="M637">
            <v>-7.69</v>
          </cell>
          <cell r="N637">
            <v>0</v>
          </cell>
          <cell r="O637" t="str">
            <v>0</v>
          </cell>
          <cell r="P637" t="str">
            <v>0.34,-7.68;</v>
          </cell>
          <cell r="Q637">
            <v>11000</v>
          </cell>
          <cell r="R637">
            <v>0</v>
          </cell>
          <cell r="S637" t="str">
            <v>1001+35;1002+40;</v>
          </cell>
          <cell r="T637" t="str">
            <v>11900,1</v>
          </cell>
        </row>
        <row r="638">
          <cell r="A638">
            <v>526</v>
          </cell>
          <cell r="B638" t="str">
            <v>左三思</v>
          </cell>
          <cell r="C638" t="str">
            <v>1502147;</v>
          </cell>
          <cell r="D638" t="str">
            <v>1502147;</v>
          </cell>
          <cell r="E638" t="str">
            <v>1502147;</v>
          </cell>
        </row>
        <row r="638">
          <cell r="G638">
            <v>0</v>
          </cell>
          <cell r="H638">
            <v>1</v>
          </cell>
          <cell r="I638">
            <v>1</v>
          </cell>
          <cell r="J638" t="b">
            <v>0</v>
          </cell>
          <cell r="K638">
            <v>1001</v>
          </cell>
          <cell r="L638">
            <v>-6.34</v>
          </cell>
          <cell r="M638">
            <v>-7.69</v>
          </cell>
          <cell r="N638">
            <v>0</v>
          </cell>
          <cell r="O638" t="str">
            <v>0</v>
          </cell>
          <cell r="P638" t="str">
            <v>0.34,-7.68;</v>
          </cell>
          <cell r="Q638">
            <v>12000</v>
          </cell>
          <cell r="R638">
            <v>0</v>
          </cell>
          <cell r="S638" t="str">
            <v>1001+35;1002+40;</v>
          </cell>
          <cell r="T638" t="str">
            <v>11900,1</v>
          </cell>
        </row>
        <row r="639">
          <cell r="A639">
            <v>527</v>
          </cell>
          <cell r="B639" t="str">
            <v>卯雅</v>
          </cell>
          <cell r="C639" t="str">
            <v>1502148;</v>
          </cell>
          <cell r="D639" t="str">
            <v>1502148;</v>
          </cell>
          <cell r="E639" t="str">
            <v>1502148;</v>
          </cell>
        </row>
        <row r="639">
          <cell r="G639">
            <v>0</v>
          </cell>
          <cell r="H639">
            <v>1</v>
          </cell>
          <cell r="I639">
            <v>1</v>
          </cell>
          <cell r="J639" t="b">
            <v>0</v>
          </cell>
          <cell r="K639">
            <v>1010</v>
          </cell>
          <cell r="L639">
            <v>-6.34</v>
          </cell>
          <cell r="M639">
            <v>-7.69</v>
          </cell>
          <cell r="N639">
            <v>0</v>
          </cell>
          <cell r="O639" t="str">
            <v>0</v>
          </cell>
          <cell r="P639" t="str">
            <v>0.34,-7.68;</v>
          </cell>
          <cell r="Q639">
            <v>12000</v>
          </cell>
          <cell r="R639">
            <v>0</v>
          </cell>
          <cell r="S639" t="str">
            <v>1001+35;1002+40;</v>
          </cell>
          <cell r="T639" t="str">
            <v>11900,1</v>
          </cell>
        </row>
        <row r="640">
          <cell r="A640">
            <v>528</v>
          </cell>
          <cell r="B640" t="str">
            <v>于红梅</v>
          </cell>
          <cell r="C640" t="str">
            <v>1502149;</v>
          </cell>
          <cell r="D640" t="str">
            <v>1502149;</v>
          </cell>
          <cell r="E640" t="str">
            <v>1502149;</v>
          </cell>
        </row>
        <row r="640">
          <cell r="G640">
            <v>0</v>
          </cell>
          <cell r="H640">
            <v>1</v>
          </cell>
          <cell r="I640">
            <v>1</v>
          </cell>
          <cell r="J640" t="b">
            <v>0</v>
          </cell>
          <cell r="K640">
            <v>1001</v>
          </cell>
          <cell r="L640">
            <v>-6.34</v>
          </cell>
          <cell r="M640">
            <v>-7.69</v>
          </cell>
          <cell r="N640">
            <v>0</v>
          </cell>
          <cell r="O640" t="str">
            <v>0</v>
          </cell>
          <cell r="P640" t="str">
            <v>0.34,-7.68;</v>
          </cell>
          <cell r="Q640">
            <v>12000</v>
          </cell>
          <cell r="R640">
            <v>0</v>
          </cell>
          <cell r="S640" t="str">
            <v>1001+35;1002+40;</v>
          </cell>
          <cell r="T640" t="str">
            <v>11900,1</v>
          </cell>
        </row>
        <row r="641">
          <cell r="A641">
            <v>529</v>
          </cell>
          <cell r="B641" t="str">
            <v>李映心</v>
          </cell>
          <cell r="C641" t="str">
            <v>1502150;</v>
          </cell>
          <cell r="D641" t="str">
            <v>1502150;</v>
          </cell>
          <cell r="E641" t="str">
            <v>1502150;</v>
          </cell>
        </row>
        <row r="641">
          <cell r="G641">
            <v>0</v>
          </cell>
          <cell r="H641">
            <v>1</v>
          </cell>
          <cell r="I641">
            <v>1</v>
          </cell>
          <cell r="J641" t="b">
            <v>0</v>
          </cell>
          <cell r="K641">
            <v>1001</v>
          </cell>
          <cell r="L641">
            <v>-6.34</v>
          </cell>
          <cell r="M641">
            <v>-7.69</v>
          </cell>
          <cell r="N641">
            <v>0</v>
          </cell>
          <cell r="O641" t="str">
            <v>0</v>
          </cell>
          <cell r="P641" t="str">
            <v>0.362,-5.65;
1.743,-5.48;
0.34,-7.68;</v>
          </cell>
          <cell r="Q641">
            <v>12000</v>
          </cell>
          <cell r="R641">
            <v>0</v>
          </cell>
          <cell r="S641" t="str">
            <v>1001+35;1002+40;</v>
          </cell>
          <cell r="T641" t="str">
            <v>11900,1</v>
          </cell>
        </row>
        <row r="642">
          <cell r="A642">
            <v>530</v>
          </cell>
          <cell r="B642" t="str">
            <v>陈锦程</v>
          </cell>
          <cell r="C642" t="str">
            <v>1502151;1502152;</v>
          </cell>
          <cell r="D642" t="str">
            <v>1502151;1502152;</v>
          </cell>
          <cell r="E642" t="str">
            <v>1502151;1502152;</v>
          </cell>
        </row>
        <row r="642">
          <cell r="G642">
            <v>0</v>
          </cell>
          <cell r="H642">
            <v>1</v>
          </cell>
          <cell r="I642">
            <v>1</v>
          </cell>
          <cell r="J642" t="b">
            <v>0</v>
          </cell>
          <cell r="K642">
            <v>1002</v>
          </cell>
          <cell r="L642">
            <v>-6.34</v>
          </cell>
          <cell r="M642">
            <v>-7.69</v>
          </cell>
          <cell r="N642">
            <v>0</v>
          </cell>
          <cell r="O642" t="str">
            <v>0</v>
          </cell>
          <cell r="P642" t="str">
            <v>0.362,-5.65;
1.743,-5.48;
0.34,-7.68;
0.4,-6.25
2.2,-6.44</v>
          </cell>
          <cell r="Q642">
            <v>12010</v>
          </cell>
          <cell r="R642">
            <v>0</v>
          </cell>
          <cell r="S642" t="str">
            <v>1001+35;1002+40;</v>
          </cell>
          <cell r="T642" t="str">
            <v>11900,1</v>
          </cell>
        </row>
        <row r="643">
          <cell r="A643">
            <v>531</v>
          </cell>
          <cell r="B643" t="str">
            <v>北豺</v>
          </cell>
          <cell r="C643" t="str">
            <v>1502153;</v>
          </cell>
          <cell r="D643" t="str">
            <v>1502153;</v>
          </cell>
          <cell r="E643" t="str">
            <v>1502153;</v>
          </cell>
        </row>
        <row r="643">
          <cell r="G643">
            <v>0</v>
          </cell>
          <cell r="H643">
            <v>1</v>
          </cell>
          <cell r="I643">
            <v>1</v>
          </cell>
          <cell r="J643" t="b">
            <v>0</v>
          </cell>
          <cell r="K643">
            <v>1004</v>
          </cell>
          <cell r="L643">
            <v>-6.34</v>
          </cell>
          <cell r="M643">
            <v>-7.69</v>
          </cell>
          <cell r="N643">
            <v>0</v>
          </cell>
          <cell r="O643" t="str">
            <v>0</v>
          </cell>
          <cell r="P643" t="str">
            <v>0.4,-6.25
2.2,-6.44
1.122,-7.2
0.362,-5.65;</v>
          </cell>
          <cell r="Q643">
            <v>12000</v>
          </cell>
          <cell r="R643">
            <v>0</v>
          </cell>
          <cell r="S643" t="str">
            <v>1001+35;1002+40;</v>
          </cell>
          <cell r="T643" t="str">
            <v>11900,1</v>
          </cell>
        </row>
        <row r="644">
          <cell r="A644">
            <v>532</v>
          </cell>
          <cell r="B644" t="str">
            <v>壁城水贼</v>
          </cell>
          <cell r="C644" t="str">
            <v>1502154;1502155;</v>
          </cell>
          <cell r="D644" t="str">
            <v>1502154;1502155;1502156;</v>
          </cell>
          <cell r="E644" t="str">
            <v>1502154;1502155;1502156;1502157;</v>
          </cell>
        </row>
        <row r="644">
          <cell r="G644">
            <v>0</v>
          </cell>
          <cell r="H644">
            <v>1</v>
          </cell>
          <cell r="I644">
            <v>1</v>
          </cell>
          <cell r="J644" t="b">
            <v>0</v>
          </cell>
          <cell r="K644">
            <v>1003</v>
          </cell>
          <cell r="L644">
            <v>-6.34</v>
          </cell>
          <cell r="M644">
            <v>-7.69</v>
          </cell>
          <cell r="N644">
            <v>0</v>
          </cell>
          <cell r="O644" t="str">
            <v>0</v>
          </cell>
          <cell r="P644" t="str">
            <v>0.4,-6.25
2.2,-6.44
1.122,-7.2
0.362,-5.65;
0.34,-7.68;</v>
          </cell>
          <cell r="Q644">
            <v>12000</v>
          </cell>
          <cell r="R644">
            <v>0</v>
          </cell>
          <cell r="S644" t="str">
            <v>1001+35;1002+40;</v>
          </cell>
          <cell r="T644" t="str">
            <v>11900,1</v>
          </cell>
        </row>
        <row r="645">
          <cell r="A645">
            <v>533</v>
          </cell>
          <cell r="B645" t="str">
            <v>猎王堂</v>
          </cell>
          <cell r="C645" t="str">
            <v>1502157;1502158;1502159;1502160;</v>
          </cell>
          <cell r="D645" t="str">
            <v>1502157;1502158;1502159;1502160;1502161;</v>
          </cell>
          <cell r="E645" t="str">
            <v>1502157;1502158;1502159;1502160;1502161;1502162;</v>
          </cell>
        </row>
        <row r="645">
          <cell r="G645">
            <v>0</v>
          </cell>
          <cell r="H645">
            <v>1</v>
          </cell>
          <cell r="I645">
            <v>1</v>
          </cell>
          <cell r="J645" t="b">
            <v>0</v>
          </cell>
          <cell r="K645">
            <v>1001</v>
          </cell>
          <cell r="L645">
            <v>-6.34</v>
          </cell>
          <cell r="M645">
            <v>-7.69</v>
          </cell>
          <cell r="N645">
            <v>0</v>
          </cell>
          <cell r="O645" t="str">
            <v>0</v>
          </cell>
          <cell r="P645" t="str">
            <v>0.4,-6.25
2.2,-6.44
1.122,-7.2
0.362,-5.65;
0.34,-7.68;</v>
          </cell>
          <cell r="Q645">
            <v>12000</v>
          </cell>
          <cell r="R645">
            <v>0</v>
          </cell>
          <cell r="S645" t="str">
            <v>1001+35;1002+40;</v>
          </cell>
        </row>
        <row r="646">
          <cell r="A646">
            <v>534</v>
          </cell>
          <cell r="B646" t="str">
            <v>猎王堂</v>
          </cell>
          <cell r="C646" t="str">
            <v>1502163;1502164;1502165;</v>
          </cell>
          <cell r="D646" t="str">
            <v>1502163;1502164;1502165;1502166;</v>
          </cell>
          <cell r="E646" t="str">
            <v>1502163;1502164;1502165;1502166;1502167;</v>
          </cell>
        </row>
        <row r="646">
          <cell r="G646">
            <v>0</v>
          </cell>
          <cell r="H646">
            <v>1</v>
          </cell>
          <cell r="I646">
            <v>1</v>
          </cell>
          <cell r="J646" t="b">
            <v>0</v>
          </cell>
          <cell r="K646">
            <v>1003</v>
          </cell>
          <cell r="L646">
            <v>-6.34</v>
          </cell>
          <cell r="M646">
            <v>-7.69</v>
          </cell>
          <cell r="N646">
            <v>0</v>
          </cell>
          <cell r="O646" t="str">
            <v>0</v>
          </cell>
          <cell r="P646" t="str">
            <v>0.362,-5.65;
1.743,-5.48;
0.34,-7.68;
0.4,-6.25</v>
          </cell>
          <cell r="Q646">
            <v>12000</v>
          </cell>
          <cell r="R646">
            <v>0</v>
          </cell>
          <cell r="S646" t="str">
            <v>1001+35;1002+40;</v>
          </cell>
        </row>
        <row r="647">
          <cell r="A647">
            <v>535</v>
          </cell>
          <cell r="B647" t="str">
            <v>猎王堂</v>
          </cell>
          <cell r="C647" t="str">
            <v>1502168;1502169;1502170;</v>
          </cell>
          <cell r="D647" t="str">
            <v>1502168;1502169;1502170;1502171;</v>
          </cell>
          <cell r="E647" t="str">
            <v>1502168;1502169;1502170;1502171;1502172;</v>
          </cell>
        </row>
        <row r="647">
          <cell r="G647">
            <v>0</v>
          </cell>
          <cell r="H647">
            <v>1</v>
          </cell>
          <cell r="I647">
            <v>1</v>
          </cell>
          <cell r="J647" t="b">
            <v>0</v>
          </cell>
          <cell r="K647">
            <v>1003</v>
          </cell>
          <cell r="L647">
            <v>-6.34</v>
          </cell>
          <cell r="M647">
            <v>-7.69</v>
          </cell>
          <cell r="N647">
            <v>0</v>
          </cell>
          <cell r="O647" t="str">
            <v>0</v>
          </cell>
          <cell r="P647" t="str">
            <v>0.4,-6.25
2.2,-6.44
0.362,-5.65;
0.34,-7.68;</v>
          </cell>
          <cell r="Q647">
            <v>12000</v>
          </cell>
          <cell r="R647">
            <v>0</v>
          </cell>
          <cell r="S647" t="str">
            <v>1001+35;1002+40;</v>
          </cell>
          <cell r="T647" t="str">
            <v>11900,1</v>
          </cell>
        </row>
        <row r="648">
          <cell r="A648">
            <v>536</v>
          </cell>
          <cell r="B648" t="str">
            <v>陈锦程</v>
          </cell>
          <cell r="C648" t="str">
            <v>1502173;1502174;</v>
          </cell>
          <cell r="D648" t="str">
            <v>1502173;1502174;1502175;1502176;</v>
          </cell>
          <cell r="E648" t="str">
            <v>1502173;1502174;1502175;1502176;1502177;</v>
          </cell>
        </row>
        <row r="648">
          <cell r="G648">
            <v>0</v>
          </cell>
          <cell r="H648">
            <v>1</v>
          </cell>
          <cell r="I648">
            <v>1</v>
          </cell>
          <cell r="J648" t="b">
            <v>0</v>
          </cell>
          <cell r="K648">
            <v>1001</v>
          </cell>
          <cell r="L648">
            <v>-6.34</v>
          </cell>
          <cell r="M648">
            <v>-7.69</v>
          </cell>
          <cell r="N648">
            <v>0</v>
          </cell>
          <cell r="O648" t="str">
            <v>0</v>
          </cell>
          <cell r="P648" t="str">
            <v>0.362,-5.65;
1.743,-5.48;
0.34,-7.68;
0.4,-6.25</v>
          </cell>
          <cell r="Q648">
            <v>12000</v>
          </cell>
          <cell r="R648">
            <v>0</v>
          </cell>
          <cell r="S648" t="str">
            <v>1001+35;1002+40;</v>
          </cell>
          <cell r="T648" t="str">
            <v>11900,1</v>
          </cell>
        </row>
        <row r="649">
          <cell r="A649">
            <v>537</v>
          </cell>
          <cell r="B649" t="str">
            <v>刘烁</v>
          </cell>
          <cell r="C649" t="str">
            <v>1502178;1502179;</v>
          </cell>
          <cell r="D649" t="str">
            <v>1502178;1502179;1502180;1502181;</v>
          </cell>
          <cell r="E649" t="str">
            <v>1502178;1502179;1502180;1502181;1502182;</v>
          </cell>
        </row>
        <row r="649">
          <cell r="G649">
            <v>0</v>
          </cell>
          <cell r="H649">
            <v>1</v>
          </cell>
          <cell r="I649">
            <v>1</v>
          </cell>
          <cell r="J649" t="b">
            <v>0</v>
          </cell>
          <cell r="K649">
            <v>1001</v>
          </cell>
          <cell r="L649">
            <v>-6.34</v>
          </cell>
          <cell r="M649">
            <v>-7.69</v>
          </cell>
          <cell r="N649">
            <v>0</v>
          </cell>
          <cell r="O649" t="str">
            <v>0</v>
          </cell>
          <cell r="P649" t="str">
            <v>0.4,-6.25
2.2,-6.44
1.122,-7.2
0.362,-5.65;</v>
          </cell>
          <cell r="Q649">
            <v>12000</v>
          </cell>
          <cell r="R649">
            <v>0</v>
          </cell>
          <cell r="S649" t="str">
            <v>1001+35;1002+40;</v>
          </cell>
          <cell r="T649" t="str">
            <v>11900,1</v>
          </cell>
        </row>
        <row r="650">
          <cell r="A650">
            <v>538</v>
          </cell>
          <cell r="B650" t="str">
            <v>袁二爷</v>
          </cell>
          <cell r="C650" t="str">
            <v>1502183;1502184;</v>
          </cell>
          <cell r="D650" t="str">
            <v>1502183;1502184;1502185;1502186;</v>
          </cell>
          <cell r="E650" t="str">
            <v>1502183;1502184;1502185;1502186;1502187;</v>
          </cell>
        </row>
        <row r="650">
          <cell r="G650">
            <v>0</v>
          </cell>
          <cell r="H650">
            <v>1</v>
          </cell>
          <cell r="I650">
            <v>1</v>
          </cell>
          <cell r="J650" t="b">
            <v>0</v>
          </cell>
          <cell r="K650">
            <v>1005</v>
          </cell>
          <cell r="L650">
            <v>-6.34</v>
          </cell>
          <cell r="M650">
            <v>-7.69</v>
          </cell>
          <cell r="N650">
            <v>0</v>
          </cell>
          <cell r="O650" t="str">
            <v>0</v>
          </cell>
          <cell r="P650" t="str">
            <v>0.34,-7.68;</v>
          </cell>
          <cell r="Q650">
            <v>13000</v>
          </cell>
          <cell r="R650">
            <v>0</v>
          </cell>
          <cell r="S650" t="str">
            <v>1001+35;1002+40;</v>
          </cell>
          <cell r="T650" t="str">
            <v>11900,1</v>
          </cell>
        </row>
        <row r="651">
          <cell r="A651">
            <v>539</v>
          </cell>
          <cell r="B651" t="str">
            <v>义禄堂</v>
          </cell>
          <cell r="C651" t="str">
            <v>1502188;1502189;1502190;</v>
          </cell>
          <cell r="D651" t="str">
            <v>1502188;1502189;1502190;1502191;1502192;</v>
          </cell>
          <cell r="E651" t="str">
            <v>1502188;1502189;1502190;1502191;1502192;</v>
          </cell>
        </row>
        <row r="651">
          <cell r="G651">
            <v>0</v>
          </cell>
          <cell r="H651">
            <v>1</v>
          </cell>
          <cell r="I651">
            <v>1</v>
          </cell>
          <cell r="J651" t="b">
            <v>0</v>
          </cell>
          <cell r="K651">
            <v>1006</v>
          </cell>
          <cell r="L651">
            <v>-6.34</v>
          </cell>
          <cell r="M651">
            <v>-7.69</v>
          </cell>
          <cell r="N651">
            <v>0</v>
          </cell>
          <cell r="O651" t="str">
            <v>0</v>
          </cell>
          <cell r="P651" t="str">
            <v>0.34,-7.68;</v>
          </cell>
          <cell r="Q651">
            <v>13000</v>
          </cell>
          <cell r="R651">
            <v>0</v>
          </cell>
          <cell r="S651" t="str">
            <v>1001+35;1002+40;</v>
          </cell>
        </row>
        <row r="652">
          <cell r="A652">
            <v>540</v>
          </cell>
          <cell r="B652" t="str">
            <v>义禄堂</v>
          </cell>
          <cell r="C652" t="str">
            <v>1502193;1502194;1502195;1502196;</v>
          </cell>
          <cell r="D652" t="str">
            <v>1502193;1502194;1502195;1502196;1502197;</v>
          </cell>
          <cell r="E652" t="str">
            <v>1502193;1502194;1502195;1502196;1502197;1502198;</v>
          </cell>
        </row>
        <row r="652">
          <cell r="G652">
            <v>0</v>
          </cell>
          <cell r="H652">
            <v>1</v>
          </cell>
          <cell r="I652">
            <v>1</v>
          </cell>
          <cell r="J652" t="b">
            <v>0</v>
          </cell>
          <cell r="K652">
            <v>1006</v>
          </cell>
          <cell r="L652">
            <v>-6.34</v>
          </cell>
          <cell r="M652">
            <v>-7.69</v>
          </cell>
          <cell r="N652">
            <v>0</v>
          </cell>
          <cell r="O652" t="str">
            <v>0</v>
          </cell>
          <cell r="P652" t="str">
            <v>0.34,-7.68;</v>
          </cell>
          <cell r="Q652">
            <v>13000</v>
          </cell>
          <cell r="R652">
            <v>0</v>
          </cell>
          <cell r="S652" t="str">
            <v>1001+35;1002+40;</v>
          </cell>
        </row>
        <row r="653">
          <cell r="A653">
            <v>541</v>
          </cell>
          <cell r="B653" t="str">
            <v>义禄堂</v>
          </cell>
          <cell r="C653" t="str">
            <v>1502200;1502201;1502202;</v>
          </cell>
          <cell r="D653" t="str">
            <v>1502200;1502201;1502202;1502203;</v>
          </cell>
          <cell r="E653" t="str">
            <v>1502200;1502201;1502202;1502203;</v>
          </cell>
        </row>
        <row r="653">
          <cell r="G653">
            <v>0</v>
          </cell>
          <cell r="H653">
            <v>1</v>
          </cell>
          <cell r="I653">
            <v>1</v>
          </cell>
          <cell r="J653" t="b">
            <v>0</v>
          </cell>
          <cell r="K653">
            <v>1005</v>
          </cell>
          <cell r="L653">
            <v>-6.34</v>
          </cell>
          <cell r="M653">
            <v>-7.69</v>
          </cell>
          <cell r="N653">
            <v>0</v>
          </cell>
          <cell r="O653" t="str">
            <v>0</v>
          </cell>
          <cell r="P653" t="str">
            <v>0.362,-5.65;
1.743,-5.48;
0.34,-7.68;</v>
          </cell>
          <cell r="Q653">
            <v>13000</v>
          </cell>
          <cell r="R653">
            <v>0</v>
          </cell>
          <cell r="S653" t="str">
            <v>1001+35;1002+40;</v>
          </cell>
        </row>
        <row r="654">
          <cell r="A654">
            <v>542</v>
          </cell>
          <cell r="B654" t="str">
            <v>义禄堂</v>
          </cell>
          <cell r="C654" t="str">
            <v>1502204;1502205;</v>
          </cell>
          <cell r="D654" t="str">
            <v>1502204;1502205;1502206;1502207;</v>
          </cell>
          <cell r="E654" t="str">
            <v>1502204;1502205;1502206;1502207;1502208;</v>
          </cell>
        </row>
        <row r="654">
          <cell r="G654">
            <v>0</v>
          </cell>
          <cell r="H654">
            <v>1</v>
          </cell>
          <cell r="I654">
            <v>1</v>
          </cell>
          <cell r="J654" t="b">
            <v>0</v>
          </cell>
          <cell r="K654">
            <v>1005</v>
          </cell>
          <cell r="L654">
            <v>-6.34</v>
          </cell>
          <cell r="M654">
            <v>-7.69</v>
          </cell>
          <cell r="N654">
            <v>0</v>
          </cell>
          <cell r="O654" t="str">
            <v>0</v>
          </cell>
          <cell r="P654" t="str">
            <v>0.34,-7.68;</v>
          </cell>
          <cell r="Q654">
            <v>13000</v>
          </cell>
          <cell r="R654">
            <v>0</v>
          </cell>
          <cell r="S654" t="str">
            <v>1001+35;1002+40;</v>
          </cell>
        </row>
        <row r="655">
          <cell r="A655">
            <v>543</v>
          </cell>
          <cell r="B655" t="str">
            <v>义禄堂</v>
          </cell>
          <cell r="C655" t="str">
            <v>1502209;1502210;</v>
          </cell>
          <cell r="D655" t="str">
            <v>1502209;1502210;1502211;1502212;1502213;</v>
          </cell>
          <cell r="E655" t="str">
            <v>1502209;1502210;1502211;1502212;1502213;1502214;</v>
          </cell>
        </row>
        <row r="655">
          <cell r="G655">
            <v>0</v>
          </cell>
          <cell r="H655">
            <v>1</v>
          </cell>
          <cell r="I655">
            <v>1</v>
          </cell>
          <cell r="J655" t="b">
            <v>0</v>
          </cell>
          <cell r="K655">
            <v>1005</v>
          </cell>
          <cell r="L655">
            <v>-6.34</v>
          </cell>
          <cell r="M655">
            <v>-7.69</v>
          </cell>
          <cell r="N655">
            <v>0</v>
          </cell>
          <cell r="O655" t="str">
            <v>0</v>
          </cell>
          <cell r="P655" t="str">
            <v>0.362,-5.65;
3.302,-6.05;</v>
          </cell>
          <cell r="Q655">
            <v>13000</v>
          </cell>
          <cell r="R655">
            <v>0</v>
          </cell>
          <cell r="S655" t="str">
            <v>1001+35;1002+40;</v>
          </cell>
          <cell r="T655" t="str">
            <v>11900,1</v>
          </cell>
        </row>
        <row r="656">
          <cell r="A656">
            <v>544</v>
          </cell>
          <cell r="B656" t="str">
            <v>李府侍卫</v>
          </cell>
          <cell r="C656" t="str">
            <v>1502215;1502216;</v>
          </cell>
          <cell r="D656" t="str">
            <v>1502215;1502216;1502217;1502218;</v>
          </cell>
          <cell r="E656" t="str">
            <v>1502215;1502216;1502217;1502218;1502219;</v>
          </cell>
        </row>
        <row r="656">
          <cell r="G656">
            <v>1501468</v>
          </cell>
          <cell r="H656">
            <v>1</v>
          </cell>
          <cell r="I656">
            <v>1</v>
          </cell>
          <cell r="J656" t="b">
            <v>0</v>
          </cell>
          <cell r="K656">
            <v>1009</v>
          </cell>
          <cell r="L656">
            <v>-6.34</v>
          </cell>
          <cell r="M656">
            <v>-7.69</v>
          </cell>
          <cell r="N656">
            <v>0</v>
          </cell>
          <cell r="O656" t="str">
            <v>0</v>
          </cell>
          <cell r="P656" t="str">
            <v>-2.145,-6.05;
3.302,-6.05;
0.362,-5.65;
1.743,-5.48;
0.34,-7.68;</v>
          </cell>
          <cell r="Q656">
            <v>13000</v>
          </cell>
          <cell r="R656">
            <v>0</v>
          </cell>
          <cell r="S656" t="str">
            <v>1001+35;1002+40;</v>
          </cell>
          <cell r="T656" t="str">
            <v>11900,1</v>
          </cell>
        </row>
        <row r="657">
          <cell r="A657">
            <v>545</v>
          </cell>
          <cell r="B657" t="str">
            <v>锦衣卫</v>
          </cell>
          <cell r="C657" t="str">
            <v>1502220;1502221;</v>
          </cell>
          <cell r="D657" t="str">
            <v>1502220;1502221;1502222;1502223;</v>
          </cell>
          <cell r="E657" t="str">
            <v>1502220;1502221;1502222;1502223;</v>
          </cell>
        </row>
        <row r="657">
          <cell r="G657">
            <v>0</v>
          </cell>
          <cell r="H657">
            <v>1</v>
          </cell>
          <cell r="I657">
            <v>1</v>
          </cell>
          <cell r="J657" t="b">
            <v>0</v>
          </cell>
          <cell r="K657">
            <v>1009</v>
          </cell>
          <cell r="L657">
            <v>-6.34</v>
          </cell>
          <cell r="M657">
            <v>-7.69</v>
          </cell>
          <cell r="N657">
            <v>0</v>
          </cell>
          <cell r="O657" t="str">
            <v>0</v>
          </cell>
          <cell r="P657" t="str">
            <v>-2.145,-6.05;
3.302,-6.05;
0.362,-5.65;
1.743,-5.48;
0.34,-7.68;</v>
          </cell>
          <cell r="Q657">
            <v>13000</v>
          </cell>
          <cell r="R657">
            <v>0</v>
          </cell>
          <cell r="S657" t="str">
            <v>1001+35;1002+40;</v>
          </cell>
          <cell r="T657" t="str">
            <v>11900,1</v>
          </cell>
        </row>
        <row r="658">
          <cell r="A658">
            <v>546</v>
          </cell>
          <cell r="B658" t="str">
            <v>神狩帝</v>
          </cell>
          <cell r="C658" t="str">
            <v>1502225;1502226;1502227;1502228;</v>
          </cell>
          <cell r="D658" t="str">
            <v>1502225;1502226;1502227;1502228;</v>
          </cell>
          <cell r="E658" t="str">
            <v>1502225;1502226;1502227;1502228;1502229;1502230;1502231;</v>
          </cell>
        </row>
        <row r="658">
          <cell r="G658" t="str">
            <v>1502398;1502399;1502400</v>
          </cell>
          <cell r="H658">
            <v>1</v>
          </cell>
          <cell r="I658">
            <v>1</v>
          </cell>
          <cell r="J658" t="b">
            <v>0</v>
          </cell>
          <cell r="K658">
            <v>1009</v>
          </cell>
          <cell r="L658">
            <v>-6.34</v>
          </cell>
          <cell r="M658">
            <v>-7.69</v>
          </cell>
          <cell r="N658">
            <v>0</v>
          </cell>
          <cell r="O658" t="str">
            <v>0</v>
          </cell>
          <cell r="P658" t="str">
            <v>0.34,-7.68;</v>
          </cell>
          <cell r="Q658">
            <v>13000</v>
          </cell>
          <cell r="R658">
            <v>0</v>
          </cell>
          <cell r="S658" t="str">
            <v>1001+35;1002+40;</v>
          </cell>
          <cell r="T658" t="str">
            <v>11900,1</v>
          </cell>
        </row>
        <row r="659">
          <cell r="A659">
            <v>547</v>
          </cell>
          <cell r="B659" t="str">
            <v>李映心</v>
          </cell>
          <cell r="C659" t="str">
            <v>1502232;1502233;1502234;</v>
          </cell>
          <cell r="D659" t="str">
            <v>1502232;1502233;1502234;1502235;1502236;</v>
          </cell>
          <cell r="E659" t="str">
            <v>1502232;1502233;1502234;1502235;1502236;1502237;1502238;</v>
          </cell>
        </row>
        <row r="659">
          <cell r="G659" t="str">
            <v>1502401;1502402;1502403;1502404</v>
          </cell>
          <cell r="H659">
            <v>1</v>
          </cell>
          <cell r="I659">
            <v>1</v>
          </cell>
          <cell r="J659" t="b">
            <v>0</v>
          </cell>
          <cell r="K659">
            <v>1009</v>
          </cell>
          <cell r="L659">
            <v>-6.34</v>
          </cell>
          <cell r="M659">
            <v>-7.69</v>
          </cell>
          <cell r="N659">
            <v>0</v>
          </cell>
          <cell r="O659" t="str">
            <v>0</v>
          </cell>
          <cell r="P659" t="str">
            <v>0.34,-7.68;</v>
          </cell>
          <cell r="Q659">
            <v>13000</v>
          </cell>
          <cell r="R659">
            <v>0</v>
          </cell>
          <cell r="S659" t="str">
            <v>1001+35;1002+40;</v>
          </cell>
          <cell r="T659" t="str">
            <v>11900,1</v>
          </cell>
        </row>
        <row r="660">
          <cell r="A660">
            <v>548</v>
          </cell>
          <cell r="B660" t="str">
            <v>流民</v>
          </cell>
          <cell r="C660" t="str">
            <v>1502239;1502240;</v>
          </cell>
          <cell r="D660" t="str">
            <v>1502239;1502240;1502241;1502242;</v>
          </cell>
          <cell r="E660" t="str">
            <v>1502239;1502240;1502241;1502242;1502243;</v>
          </cell>
        </row>
        <row r="660">
          <cell r="G660" t="str">
            <v>1502405;1502406;1502407;1502408;</v>
          </cell>
          <cell r="H660">
            <v>1</v>
          </cell>
          <cell r="I660">
            <v>1</v>
          </cell>
          <cell r="J660" t="b">
            <v>0</v>
          </cell>
          <cell r="K660">
            <v>1005</v>
          </cell>
          <cell r="L660">
            <v>-6.34</v>
          </cell>
          <cell r="M660">
            <v>-7.69</v>
          </cell>
          <cell r="N660">
            <v>0</v>
          </cell>
          <cell r="O660" t="str">
            <v>0</v>
          </cell>
          <cell r="P660" t="str">
            <v>0.34,-7.68;</v>
          </cell>
          <cell r="Q660">
            <v>13000</v>
          </cell>
          <cell r="R660">
            <v>0</v>
          </cell>
          <cell r="S660" t="str">
            <v>1001+35;1002+40;</v>
          </cell>
          <cell r="T660" t="str">
            <v>11900,1</v>
          </cell>
        </row>
        <row r="661">
          <cell r="A661">
            <v>549</v>
          </cell>
          <cell r="B661" t="str">
            <v>皇宫</v>
          </cell>
          <cell r="C661" t="str">
            <v>1502244;1502245;1502246;</v>
          </cell>
          <cell r="D661" t="str">
            <v>1502244;1502245;1502246;1502247;1502248;</v>
          </cell>
          <cell r="E661" t="str">
            <v>1502244;1502245;1502246;1502247;1502248;1502249;</v>
          </cell>
        </row>
        <row r="661">
          <cell r="G661">
            <v>0</v>
          </cell>
          <cell r="H661">
            <v>1</v>
          </cell>
          <cell r="I661">
            <v>1</v>
          </cell>
          <cell r="J661" t="b">
            <v>0</v>
          </cell>
          <cell r="K661">
            <v>1003</v>
          </cell>
          <cell r="L661">
            <v>-6.34</v>
          </cell>
          <cell r="M661">
            <v>-7.69</v>
          </cell>
          <cell r="N661">
            <v>0</v>
          </cell>
          <cell r="O661" t="str">
            <v>0</v>
          </cell>
          <cell r="P661" t="str">
            <v>0.34,-7.68;</v>
          </cell>
          <cell r="Q661">
            <v>13000</v>
          </cell>
          <cell r="R661">
            <v>0</v>
          </cell>
          <cell r="S661" t="str">
            <v>1001+35;1002+40;</v>
          </cell>
        </row>
        <row r="662">
          <cell r="A662">
            <v>550</v>
          </cell>
          <cell r="B662" t="str">
            <v>皇宫</v>
          </cell>
          <cell r="C662" t="str">
            <v>1502250;1502251;1502252;1502253;1502254;</v>
          </cell>
          <cell r="D662" t="str">
            <v>1502250;1502251;1502252;1502253;1502254;</v>
          </cell>
          <cell r="E662" t="str">
            <v>1502250;1502251;1502252;1502253;1502254;1502256;</v>
          </cell>
        </row>
        <row r="662">
          <cell r="G662">
            <v>0</v>
          </cell>
          <cell r="H662">
            <v>1</v>
          </cell>
          <cell r="I662">
            <v>1</v>
          </cell>
          <cell r="J662" t="b">
            <v>0</v>
          </cell>
          <cell r="K662">
            <v>1003</v>
          </cell>
          <cell r="L662">
            <v>-6.34</v>
          </cell>
          <cell r="M662">
            <v>-7.69</v>
          </cell>
          <cell r="N662">
            <v>0</v>
          </cell>
          <cell r="O662" t="str">
            <v>0</v>
          </cell>
          <cell r="P662" t="str">
            <v>0.34,-7.68;</v>
          </cell>
          <cell r="Q662">
            <v>13000</v>
          </cell>
          <cell r="R662">
            <v>0</v>
          </cell>
          <cell r="S662" t="str">
            <v>1001+35;1002+40;</v>
          </cell>
        </row>
        <row r="663">
          <cell r="A663">
            <v>551</v>
          </cell>
          <cell r="B663" t="str">
            <v>皇宫</v>
          </cell>
          <cell r="C663" t="str">
            <v>1502255;1502256;1502257;1502258;1502259;</v>
          </cell>
          <cell r="D663" t="str">
            <v>1502255;1502256;1502257;1502258;1502259;1502260;</v>
          </cell>
          <cell r="E663" t="str">
            <v>1502255;1502256;1502257;1502258;1502259;1502260;1502261;</v>
          </cell>
        </row>
        <row r="663">
          <cell r="G663">
            <v>0</v>
          </cell>
          <cell r="H663">
            <v>1</v>
          </cell>
          <cell r="I663">
            <v>1</v>
          </cell>
          <cell r="J663" t="b">
            <v>0</v>
          </cell>
          <cell r="K663">
            <v>1003</v>
          </cell>
          <cell r="L663">
            <v>-6.34</v>
          </cell>
          <cell r="M663">
            <v>-7.69</v>
          </cell>
          <cell r="N663">
            <v>0</v>
          </cell>
          <cell r="O663" t="str">
            <v>0</v>
          </cell>
          <cell r="P663" t="str">
            <v>0.34,-7.68;</v>
          </cell>
          <cell r="Q663">
            <v>13000</v>
          </cell>
          <cell r="R663">
            <v>0</v>
          </cell>
          <cell r="S663" t="str">
            <v>1001+35;1002+40;</v>
          </cell>
        </row>
        <row r="664">
          <cell r="A664">
            <v>552</v>
          </cell>
          <cell r="B664" t="str">
            <v>皇宫</v>
          </cell>
          <cell r="C664" t="str">
            <v>1502262;1502263;1502264;1502265;</v>
          </cell>
          <cell r="D664" t="str">
            <v>1502262;1502263;1502264;1502265;1502266;1502267;</v>
          </cell>
          <cell r="E664" t="str">
            <v>1502262;1502263;1502264;1502265;1502266;1502267;</v>
          </cell>
        </row>
        <row r="664">
          <cell r="G664">
            <v>0</v>
          </cell>
          <cell r="H664">
            <v>1</v>
          </cell>
          <cell r="I664">
            <v>1</v>
          </cell>
          <cell r="J664" t="b">
            <v>0</v>
          </cell>
          <cell r="K664">
            <v>1003</v>
          </cell>
          <cell r="L664">
            <v>-6.34</v>
          </cell>
          <cell r="M664">
            <v>-7.69</v>
          </cell>
          <cell r="N664">
            <v>0</v>
          </cell>
          <cell r="O664" t="str">
            <v>0</v>
          </cell>
          <cell r="P664" t="str">
            <v>0.362,-5.65;
0.34,-7.68;</v>
          </cell>
          <cell r="Q664">
            <v>13000</v>
          </cell>
          <cell r="R664">
            <v>0</v>
          </cell>
          <cell r="S664" t="str">
            <v>1001+35;1002+40;</v>
          </cell>
          <cell r="T664" t="str">
            <v>11900,1</v>
          </cell>
        </row>
        <row r="665">
          <cell r="A665">
            <v>553</v>
          </cell>
          <cell r="B665" t="str">
            <v>倭寇精锐</v>
          </cell>
          <cell r="C665" t="str">
            <v>1502269;1502270;1502271;1502272;</v>
          </cell>
          <cell r="D665" t="str">
            <v>1502269;1502270;1502271;1502272;1502273;</v>
          </cell>
          <cell r="E665" t="str">
            <v>1502269;1502270;1502271;1502272;1502273;1502274;</v>
          </cell>
        </row>
        <row r="665">
          <cell r="G665">
            <v>0</v>
          </cell>
          <cell r="H665">
            <v>1</v>
          </cell>
          <cell r="I665">
            <v>1</v>
          </cell>
          <cell r="J665" t="b">
            <v>0</v>
          </cell>
          <cell r="K665">
            <v>1005</v>
          </cell>
          <cell r="L665">
            <v>-6.34</v>
          </cell>
          <cell r="M665">
            <v>-7.69</v>
          </cell>
          <cell r="N665">
            <v>0</v>
          </cell>
          <cell r="O665" t="str">
            <v>0</v>
          </cell>
          <cell r="P665" t="str">
            <v>0.34,-7.68;</v>
          </cell>
          <cell r="Q665">
            <v>13000</v>
          </cell>
          <cell r="R665">
            <v>0</v>
          </cell>
          <cell r="S665" t="str">
            <v>1001+35;1002+40;</v>
          </cell>
          <cell r="T665" t="str">
            <v>11900,1</v>
          </cell>
        </row>
        <row r="666">
          <cell r="A666">
            <v>554</v>
          </cell>
          <cell r="B666" t="str">
            <v>倭寇精锐</v>
          </cell>
          <cell r="C666" t="str">
            <v>1502274;1502275;1502276;1502277;</v>
          </cell>
          <cell r="D666" t="str">
            <v>1502274;1502275;1502276;1502277;1502278;</v>
          </cell>
          <cell r="E666" t="str">
            <v>1502274;1502275;1502276;1502277;1502278;1502279;</v>
          </cell>
        </row>
        <row r="666">
          <cell r="G666">
            <v>0</v>
          </cell>
          <cell r="H666">
            <v>1</v>
          </cell>
          <cell r="I666">
            <v>1</v>
          </cell>
          <cell r="J666" t="b">
            <v>0</v>
          </cell>
          <cell r="K666">
            <v>1006</v>
          </cell>
          <cell r="L666">
            <v>-6.34</v>
          </cell>
          <cell r="M666">
            <v>-7.69</v>
          </cell>
          <cell r="N666">
            <v>0</v>
          </cell>
          <cell r="O666" t="str">
            <v>0</v>
          </cell>
          <cell r="P666" t="str">
            <v>0.34,-7.68;</v>
          </cell>
          <cell r="Q666">
            <v>13000</v>
          </cell>
          <cell r="R666">
            <v>0</v>
          </cell>
          <cell r="S666" t="str">
            <v>1001+35;1002+40;</v>
          </cell>
          <cell r="T666" t="str">
            <v>11900,1</v>
          </cell>
        </row>
        <row r="667">
          <cell r="A667">
            <v>555</v>
          </cell>
          <cell r="B667" t="str">
            <v>倭寇精锐</v>
          </cell>
          <cell r="C667" t="str">
            <v>1502279;1502280;1502281;1502282;</v>
          </cell>
          <cell r="D667" t="str">
            <v>1502279;1502280;1502281;1502282;1502283;</v>
          </cell>
          <cell r="E667" t="str">
            <v>1502279;1502280;1502281;1502282;1502283;1502284;</v>
          </cell>
        </row>
        <row r="667">
          <cell r="G667">
            <v>0</v>
          </cell>
          <cell r="H667">
            <v>1</v>
          </cell>
          <cell r="I667">
            <v>1</v>
          </cell>
          <cell r="J667" t="b">
            <v>0</v>
          </cell>
          <cell r="K667">
            <v>1007</v>
          </cell>
          <cell r="L667">
            <v>-6.34</v>
          </cell>
          <cell r="M667">
            <v>-7.69</v>
          </cell>
          <cell r="N667">
            <v>0</v>
          </cell>
          <cell r="O667" t="str">
            <v>0</v>
          </cell>
          <cell r="P667" t="str">
            <v>0.362,-5.65;
0.34,-7.68;</v>
          </cell>
          <cell r="Q667">
            <v>13000</v>
          </cell>
          <cell r="R667">
            <v>0</v>
          </cell>
          <cell r="S667" t="str">
            <v>1001+35;1002+40;</v>
          </cell>
          <cell r="T667" t="str">
            <v>11900,1</v>
          </cell>
        </row>
        <row r="668">
          <cell r="A668">
            <v>556</v>
          </cell>
          <cell r="B668" t="str">
            <v>倭寇精锐</v>
          </cell>
          <cell r="C668" t="str">
            <v>1502284;1502285;1502286;1502287;</v>
          </cell>
          <cell r="D668" t="str">
            <v>1502284;1502285;1502286;1502287;1502288;</v>
          </cell>
          <cell r="E668" t="str">
            <v>1502284;1502285;1502286;1502287;1502288;1502289;</v>
          </cell>
        </row>
        <row r="668">
          <cell r="G668">
            <v>0</v>
          </cell>
          <cell r="H668">
            <v>1</v>
          </cell>
          <cell r="I668">
            <v>1</v>
          </cell>
          <cell r="J668" t="b">
            <v>0</v>
          </cell>
          <cell r="K668">
            <v>1007</v>
          </cell>
          <cell r="L668">
            <v>-6.34</v>
          </cell>
          <cell r="M668">
            <v>-7.69</v>
          </cell>
          <cell r="N668">
            <v>0</v>
          </cell>
          <cell r="O668" t="str">
            <v>0</v>
          </cell>
          <cell r="P668" t="str">
            <v>0.34,-7.68;</v>
          </cell>
          <cell r="Q668">
            <v>13000</v>
          </cell>
          <cell r="R668">
            <v>0</v>
          </cell>
          <cell r="S668" t="str">
            <v>1001+35;1002+40;</v>
          </cell>
          <cell r="T668" t="str">
            <v>11900,1</v>
          </cell>
        </row>
        <row r="669">
          <cell r="A669">
            <v>557</v>
          </cell>
          <cell r="B669" t="str">
            <v>倭寇精锐</v>
          </cell>
          <cell r="C669" t="str">
            <v>1502289;1502290;1502291;1502292;1502293;</v>
          </cell>
          <cell r="D669" t="str">
            <v>1502289;1502290;1502291;1502292;1502293;1502294;</v>
          </cell>
          <cell r="E669" t="str">
            <v>1502289;1502290;1502291;1502292;1502293;1502294;1502295;</v>
          </cell>
        </row>
        <row r="669">
          <cell r="G669">
            <v>0</v>
          </cell>
          <cell r="H669">
            <v>1</v>
          </cell>
          <cell r="I669">
            <v>1</v>
          </cell>
          <cell r="J669" t="b">
            <v>0</v>
          </cell>
          <cell r="K669">
            <v>1007</v>
          </cell>
          <cell r="L669">
            <v>-6.34</v>
          </cell>
          <cell r="M669">
            <v>-7.69</v>
          </cell>
          <cell r="N669">
            <v>0</v>
          </cell>
          <cell r="O669" t="str">
            <v>0</v>
          </cell>
          <cell r="P669" t="str">
            <v>0.34,-7.68;</v>
          </cell>
          <cell r="Q669">
            <v>13000</v>
          </cell>
          <cell r="R669">
            <v>0</v>
          </cell>
          <cell r="S669" t="str">
            <v>1001+35;1002+40;</v>
          </cell>
          <cell r="T669" t="str">
            <v>11900,1</v>
          </cell>
        </row>
        <row r="670">
          <cell r="A670">
            <v>558</v>
          </cell>
          <cell r="B670" t="str">
            <v>倭寇精锐</v>
          </cell>
          <cell r="C670" t="str">
            <v>1502301;1502302;1502303;1502304;1502305;</v>
          </cell>
          <cell r="D670" t="str">
            <v>1502301;1502302;1502303;1502304;1502305;1502306;</v>
          </cell>
          <cell r="E670" t="str">
            <v>1502301;1502302;1502303;1502304;1502305;1502306;1502307;</v>
          </cell>
        </row>
        <row r="670">
          <cell r="G670">
            <v>0</v>
          </cell>
          <cell r="H670">
            <v>1</v>
          </cell>
          <cell r="I670">
            <v>1</v>
          </cell>
          <cell r="J670" t="b">
            <v>0</v>
          </cell>
          <cell r="K670">
            <v>1007</v>
          </cell>
          <cell r="L670">
            <v>-6.34</v>
          </cell>
          <cell r="M670">
            <v>-7.69</v>
          </cell>
          <cell r="N670">
            <v>0</v>
          </cell>
          <cell r="O670" t="str">
            <v>0</v>
          </cell>
          <cell r="P670" t="str">
            <v>0.34,-7.68;</v>
          </cell>
          <cell r="Q670">
            <v>13000</v>
          </cell>
          <cell r="R670">
            <v>0</v>
          </cell>
          <cell r="S670" t="str">
            <v>1001+35;1002+40;</v>
          </cell>
          <cell r="T670" t="str">
            <v>11900,1</v>
          </cell>
        </row>
        <row r="671">
          <cell r="A671">
            <v>559</v>
          </cell>
          <cell r="B671" t="str">
            <v>倭寇精锐</v>
          </cell>
          <cell r="C671" t="str">
            <v>1502307;1502308;1502309;1502310;1502311;</v>
          </cell>
          <cell r="D671" t="str">
            <v>1502307;1502308;1502309;1502310;1502311;1502312;</v>
          </cell>
          <cell r="E671" t="str">
            <v>1502307;1502308;1502309;1502310;1502311;1502312;1502313;</v>
          </cell>
        </row>
        <row r="671">
          <cell r="G671">
            <v>0</v>
          </cell>
          <cell r="H671">
            <v>1</v>
          </cell>
          <cell r="I671">
            <v>1</v>
          </cell>
          <cell r="J671" t="b">
            <v>1</v>
          </cell>
          <cell r="K671">
            <v>1007</v>
          </cell>
          <cell r="L671">
            <v>-6.34</v>
          </cell>
          <cell r="M671">
            <v>-7.69</v>
          </cell>
          <cell r="N671">
            <v>0</v>
          </cell>
          <cell r="O671" t="str">
            <v>0</v>
          </cell>
          <cell r="P671" t="str">
            <v>0.34,-7.68;</v>
          </cell>
          <cell r="Q671">
            <v>13000</v>
          </cell>
          <cell r="R671">
            <v>0</v>
          </cell>
          <cell r="S671" t="str">
            <v>1001+35;1002+40;</v>
          </cell>
          <cell r="T671" t="str">
            <v>11900,1</v>
          </cell>
        </row>
        <row r="672">
          <cell r="A672">
            <v>560</v>
          </cell>
          <cell r="B672" t="str">
            <v>倭寇精锐</v>
          </cell>
          <cell r="C672" t="str">
            <v>1502313;1502314;1502315;1502316;1502317;</v>
          </cell>
          <cell r="D672" t="str">
            <v>1502313;1502314;1502315;1502316;1502317;1502318;</v>
          </cell>
          <cell r="E672" t="str">
            <v>1502313;1502314;1502315;1502316;1502317;1502318;1502319;</v>
          </cell>
        </row>
        <row r="672">
          <cell r="G672">
            <v>0</v>
          </cell>
          <cell r="H672">
            <v>1</v>
          </cell>
          <cell r="I672">
            <v>1</v>
          </cell>
          <cell r="J672" t="b">
            <v>0</v>
          </cell>
          <cell r="K672">
            <v>1008</v>
          </cell>
          <cell r="L672">
            <v>-6.34</v>
          </cell>
          <cell r="M672">
            <v>-7.69</v>
          </cell>
          <cell r="N672">
            <v>0</v>
          </cell>
          <cell r="O672" t="str">
            <v>0</v>
          </cell>
          <cell r="P672" t="str">
            <v>0.34,-7.68;</v>
          </cell>
          <cell r="Q672">
            <v>13000</v>
          </cell>
          <cell r="R672">
            <v>0</v>
          </cell>
          <cell r="S672" t="str">
            <v>1001+35;1002+40;</v>
          </cell>
          <cell r="T672" t="str">
            <v>11900,1</v>
          </cell>
        </row>
        <row r="673">
          <cell r="A673">
            <v>561</v>
          </cell>
          <cell r="B673" t="str">
            <v>倭寇大将</v>
          </cell>
          <cell r="C673" t="str">
            <v>1502319;1502320;1502321;1502322;1502323;</v>
          </cell>
          <cell r="D673" t="str">
            <v>1502319;1502320;1502321;1502322;1502323;1502324;</v>
          </cell>
          <cell r="E673" t="str">
            <v>1502319;1502320;1502321;1502322;1502323;1502324;1502325;</v>
          </cell>
        </row>
        <row r="673">
          <cell r="G673">
            <v>0</v>
          </cell>
          <cell r="H673">
            <v>1</v>
          </cell>
          <cell r="I673">
            <v>1</v>
          </cell>
          <cell r="J673" t="b">
            <v>0</v>
          </cell>
          <cell r="K673">
            <v>1008</v>
          </cell>
          <cell r="L673">
            <v>-6.34</v>
          </cell>
          <cell r="M673">
            <v>-7.69</v>
          </cell>
          <cell r="N673">
            <v>0</v>
          </cell>
          <cell r="O673" t="str">
            <v>0</v>
          </cell>
          <cell r="P673" t="str">
            <v>0.34,-7.68;</v>
          </cell>
          <cell r="Q673">
            <v>13000</v>
          </cell>
          <cell r="R673">
            <v>0</v>
          </cell>
          <cell r="S673" t="str">
            <v>1001+35;1002+40;</v>
          </cell>
          <cell r="T673" t="str">
            <v>11900,1</v>
          </cell>
        </row>
        <row r="674">
          <cell r="A674">
            <v>562</v>
          </cell>
          <cell r="B674" t="str">
            <v>出云和彦</v>
          </cell>
          <cell r="C674" t="str">
            <v>1502325;1502326;1502327;1502328;1502329;</v>
          </cell>
          <cell r="D674" t="str">
            <v>1502325;1502326;1502327;1502328;1502329;1502330;</v>
          </cell>
          <cell r="E674" t="str">
            <v>1502325;1502326;1502327;1502328;1502329;1502330;1502331;</v>
          </cell>
        </row>
        <row r="674">
          <cell r="G674">
            <v>0</v>
          </cell>
          <cell r="H674">
            <v>1</v>
          </cell>
          <cell r="I674">
            <v>1</v>
          </cell>
          <cell r="J674" t="b">
            <v>0</v>
          </cell>
          <cell r="K674">
            <v>1008</v>
          </cell>
          <cell r="L674">
            <v>-6.34</v>
          </cell>
          <cell r="M674">
            <v>-7.69</v>
          </cell>
          <cell r="N674">
            <v>0</v>
          </cell>
          <cell r="O674" t="str">
            <v>0</v>
          </cell>
          <cell r="P674" t="str">
            <v>0.34,-7.68;</v>
          </cell>
          <cell r="Q674">
            <v>13000</v>
          </cell>
          <cell r="R674">
            <v>0</v>
          </cell>
          <cell r="S674" t="str">
            <v>1001+35;1002+40;</v>
          </cell>
          <cell r="T674" t="str">
            <v>11900,1</v>
          </cell>
        </row>
        <row r="675">
          <cell r="A675">
            <v>563</v>
          </cell>
          <cell r="B675" t="str">
            <v>丰臣秀胜</v>
          </cell>
          <cell r="C675" t="str">
            <v>1502332;1502333;1502334;1502335;1502336;</v>
          </cell>
          <cell r="D675" t="str">
            <v>1502332;1502333;1502334;1502335;1502336;1502337;</v>
          </cell>
          <cell r="E675" t="str">
            <v>1502332;1502333;1502334;1502335;1502336;1502337;1502338;</v>
          </cell>
        </row>
        <row r="675">
          <cell r="G675">
            <v>0</v>
          </cell>
          <cell r="H675">
            <v>1</v>
          </cell>
          <cell r="I675">
            <v>1</v>
          </cell>
          <cell r="J675" t="b">
            <v>0</v>
          </cell>
          <cell r="K675">
            <v>1007</v>
          </cell>
          <cell r="L675">
            <v>-6.34</v>
          </cell>
          <cell r="M675">
            <v>-7.69</v>
          </cell>
          <cell r="N675">
            <v>0</v>
          </cell>
          <cell r="O675" t="str">
            <v>0</v>
          </cell>
          <cell r="P675" t="str">
            <v>0.362,-5.65;
1.743,-5.48;
0.34,-7.68;</v>
          </cell>
          <cell r="Q675">
            <v>13000</v>
          </cell>
          <cell r="R675">
            <v>0</v>
          </cell>
          <cell r="S675" t="str">
            <v>1001+35;1002+40;</v>
          </cell>
          <cell r="T675" t="str">
            <v>11900,1</v>
          </cell>
        </row>
        <row r="676">
          <cell r="A676">
            <v>564</v>
          </cell>
          <cell r="B676" t="str">
            <v>天守阁</v>
          </cell>
          <cell r="C676" t="str">
            <v>1502339;1502340;1502341;1502342;1502343;</v>
          </cell>
          <cell r="D676" t="str">
            <v>1502339;1502340;1502341;1502342;1502343;1502344;</v>
          </cell>
          <cell r="E676" t="str">
            <v>1502339;1502340;1502341;1502342;1502343;1502344;1502345;</v>
          </cell>
        </row>
        <row r="676">
          <cell r="G676">
            <v>0</v>
          </cell>
          <cell r="H676">
            <v>1</v>
          </cell>
          <cell r="I676">
            <v>1</v>
          </cell>
          <cell r="J676" t="b">
            <v>0</v>
          </cell>
          <cell r="K676">
            <v>1007</v>
          </cell>
          <cell r="L676">
            <v>-6.34</v>
          </cell>
          <cell r="M676">
            <v>-7.69</v>
          </cell>
          <cell r="N676">
            <v>0</v>
          </cell>
          <cell r="O676" t="str">
            <v>0</v>
          </cell>
          <cell r="P676" t="str">
            <v>0.34,-7.68;</v>
          </cell>
          <cell r="Q676">
            <v>13000</v>
          </cell>
          <cell r="R676">
            <v>0</v>
          </cell>
          <cell r="S676" t="str">
            <v>1001+35;1002+40;</v>
          </cell>
        </row>
        <row r="677">
          <cell r="A677">
            <v>565</v>
          </cell>
          <cell r="B677" t="str">
            <v>天守阁</v>
          </cell>
          <cell r="C677" t="str">
            <v>1502346;1502347;1502348;1502349;1502350;</v>
          </cell>
          <cell r="D677" t="str">
            <v>1502346;1502347;1502348;1502349;1502350;1502351;</v>
          </cell>
          <cell r="E677" t="str">
            <v>1502346;1502347;1502348;1502349;1502350;1502351;1502352;</v>
          </cell>
        </row>
        <row r="677">
          <cell r="G677">
            <v>0</v>
          </cell>
          <cell r="H677">
            <v>1</v>
          </cell>
          <cell r="I677">
            <v>1</v>
          </cell>
          <cell r="J677" t="b">
            <v>0</v>
          </cell>
          <cell r="K677">
            <v>1006</v>
          </cell>
          <cell r="L677">
            <v>-6.34</v>
          </cell>
          <cell r="M677">
            <v>-7.69</v>
          </cell>
          <cell r="N677">
            <v>0</v>
          </cell>
          <cell r="O677" t="str">
            <v>0</v>
          </cell>
          <cell r="P677" t="str">
            <v>0.362,-5.65;
0.34,-7.68;</v>
          </cell>
          <cell r="Q677">
            <v>13000</v>
          </cell>
          <cell r="R677">
            <v>0</v>
          </cell>
          <cell r="S677" t="str">
            <v>1001+35;1002+40;</v>
          </cell>
        </row>
        <row r="678">
          <cell r="A678">
            <v>566</v>
          </cell>
          <cell r="B678" t="str">
            <v>天守阁</v>
          </cell>
          <cell r="C678" t="str">
            <v>1502353;1502354;1502355;1502356;1502357;</v>
          </cell>
          <cell r="D678" t="str">
            <v>1502353;1502354;1502355;1502356;1502357;1502358;</v>
          </cell>
          <cell r="E678" t="str">
            <v>1502353;1502354;1502355;1502356;1502357;1502358;1502359;</v>
          </cell>
        </row>
        <row r="678">
          <cell r="G678">
            <v>0</v>
          </cell>
          <cell r="H678">
            <v>1</v>
          </cell>
          <cell r="I678">
            <v>1</v>
          </cell>
          <cell r="J678" t="b">
            <v>0</v>
          </cell>
          <cell r="K678">
            <v>0</v>
          </cell>
          <cell r="L678">
            <v>-6.34</v>
          </cell>
          <cell r="M678">
            <v>-7.69</v>
          </cell>
          <cell r="N678">
            <v>0</v>
          </cell>
          <cell r="O678" t="str">
            <v>0</v>
          </cell>
          <cell r="P678" t="str">
            <v>0.362,-5.65;
0.34,-7.68;</v>
          </cell>
          <cell r="Q678">
            <v>13000</v>
          </cell>
          <cell r="R678">
            <v>0</v>
          </cell>
          <cell r="S678" t="str">
            <v>1001+35;1002+40;</v>
          </cell>
        </row>
        <row r="679">
          <cell r="A679">
            <v>567</v>
          </cell>
          <cell r="B679" t="str">
            <v>天守阁</v>
          </cell>
          <cell r="C679" t="str">
            <v>1502360;1502361;1502362;1502363;1502364;</v>
          </cell>
          <cell r="D679" t="str">
            <v>1502360;1502361;1502362;1502363;1502364;1502365;</v>
          </cell>
          <cell r="E679" t="str">
            <v>1502360;1502361;1502362;1502363;1502364;1502365</v>
          </cell>
        </row>
        <row r="679">
          <cell r="G679">
            <v>0</v>
          </cell>
          <cell r="H679">
            <v>1</v>
          </cell>
          <cell r="I679">
            <v>1</v>
          </cell>
          <cell r="J679" t="b">
            <v>0</v>
          </cell>
          <cell r="K679">
            <v>0</v>
          </cell>
          <cell r="L679">
            <v>-6.34</v>
          </cell>
          <cell r="M679">
            <v>-7.69</v>
          </cell>
          <cell r="N679">
            <v>0</v>
          </cell>
          <cell r="O679" t="str">
            <v>0</v>
          </cell>
          <cell r="P679" t="str">
            <v>0.362,-5.65;
0.34,-7.68;</v>
          </cell>
          <cell r="Q679">
            <v>13000</v>
          </cell>
          <cell r="R679">
            <v>0</v>
          </cell>
          <cell r="S679" t="str">
            <v>1001+35;1002+40;</v>
          </cell>
        </row>
        <row r="680">
          <cell r="A680">
            <v>568</v>
          </cell>
          <cell r="B680" t="str">
            <v>天守阁</v>
          </cell>
          <cell r="C680" t="str">
            <v>1502366;1502367;1502368;</v>
          </cell>
          <cell r="D680" t="str">
            <v>1502366;1502367;1502368;1502369;</v>
          </cell>
          <cell r="E680" t="str">
            <v>1502366;1502367;1502368;1502369;1502370;</v>
          </cell>
        </row>
        <row r="680">
          <cell r="G680">
            <v>0</v>
          </cell>
          <cell r="H680">
            <v>1</v>
          </cell>
          <cell r="I680">
            <v>1</v>
          </cell>
          <cell r="J680" t="b">
            <v>0</v>
          </cell>
          <cell r="K680">
            <v>0</v>
          </cell>
          <cell r="L680">
            <v>-6.34</v>
          </cell>
          <cell r="M680">
            <v>-7.69</v>
          </cell>
          <cell r="N680">
            <v>0</v>
          </cell>
          <cell r="O680" t="str">
            <v>0</v>
          </cell>
          <cell r="P680" t="str">
            <v>0.362,-5.65;
0.34,-7.68;</v>
          </cell>
          <cell r="Q680">
            <v>13000</v>
          </cell>
          <cell r="R680">
            <v>0</v>
          </cell>
          <cell r="S680" t="str">
            <v>1001+35;1002+40;</v>
          </cell>
        </row>
        <row r="681">
          <cell r="A681">
            <v>569</v>
          </cell>
          <cell r="B681" t="str">
            <v>倭寇大将</v>
          </cell>
          <cell r="C681" t="str">
            <v>1502371;1502372;1502373;1502374;1502375;</v>
          </cell>
          <cell r="D681" t="str">
            <v>1502371;1502372;1502373;1502374;1502375;</v>
          </cell>
          <cell r="E681" t="str">
            <v>1502371;1502372;1502373;1502374;1502375;1502376;</v>
          </cell>
        </row>
        <row r="681">
          <cell r="G681" t="str">
            <v>1502409;1502410;1502411;1502412;</v>
          </cell>
          <cell r="H681">
            <v>1</v>
          </cell>
          <cell r="I681">
            <v>1</v>
          </cell>
          <cell r="J681" t="b">
            <v>0</v>
          </cell>
          <cell r="K681">
            <v>0</v>
          </cell>
          <cell r="L681">
            <v>-6.34</v>
          </cell>
          <cell r="M681">
            <v>-7.69</v>
          </cell>
          <cell r="N681">
            <v>0</v>
          </cell>
          <cell r="O681" t="str">
            <v>0</v>
          </cell>
          <cell r="P681" t="str">
            <v>0.362,-5.65;
1.743,-5.48;
0.34,-7.68;</v>
          </cell>
          <cell r="Q681">
            <v>13000</v>
          </cell>
          <cell r="R681">
            <v>0</v>
          </cell>
          <cell r="S681" t="str">
            <v>1001+35;1002+40;</v>
          </cell>
        </row>
        <row r="682">
          <cell r="A682">
            <v>570</v>
          </cell>
          <cell r="B682" t="str">
            <v>倭寇大将</v>
          </cell>
          <cell r="C682" t="str">
            <v>1502377;1502378;1502379;1502380;1502381;</v>
          </cell>
          <cell r="D682" t="str">
            <v>1502377;1502378;1502379;1502380;1502381;1502382;</v>
          </cell>
          <cell r="E682" t="str">
            <v>1502377;1502378;1502379;1502380;1502381;1502382;1502383;</v>
          </cell>
        </row>
        <row r="682">
          <cell r="G682" t="str">
            <v>1502413;1502414;1502415;1502416;</v>
          </cell>
          <cell r="H682">
            <v>1</v>
          </cell>
          <cell r="I682">
            <v>1</v>
          </cell>
          <cell r="J682" t="b">
            <v>0</v>
          </cell>
          <cell r="K682">
            <v>1004</v>
          </cell>
          <cell r="L682">
            <v>-6.34</v>
          </cell>
          <cell r="M682">
            <v>-7.69</v>
          </cell>
          <cell r="N682">
            <v>0</v>
          </cell>
          <cell r="O682" t="str">
            <v>0</v>
          </cell>
          <cell r="P682" t="str">
            <v>0.362,-5.65;
0.34,-7.68;</v>
          </cell>
          <cell r="Q682">
            <v>12000</v>
          </cell>
          <cell r="R682">
            <v>0</v>
          </cell>
          <cell r="S682" t="str">
            <v>1001+35;1002+40;</v>
          </cell>
        </row>
        <row r="683">
          <cell r="A683">
            <v>571</v>
          </cell>
          <cell r="B683" t="str">
            <v>倭寇大将</v>
          </cell>
          <cell r="C683" t="str">
            <v>1502383;1502384;1502385;1502386;1502387;</v>
          </cell>
          <cell r="D683" t="str">
            <v>1502383;1502384;1502385;1502386;1502387;1502388;</v>
          </cell>
          <cell r="E683" t="str">
            <v>1502383;1502384;1502385;1502386;1502387;1502388;1502389;</v>
          </cell>
        </row>
        <row r="683">
          <cell r="G683" t="str">
            <v>1502417;1502418;1502419;1502420;</v>
          </cell>
          <cell r="H683">
            <v>1</v>
          </cell>
          <cell r="I683">
            <v>1</v>
          </cell>
          <cell r="J683" t="b">
            <v>0</v>
          </cell>
          <cell r="K683">
            <v>1019</v>
          </cell>
          <cell r="L683">
            <v>-6.34</v>
          </cell>
          <cell r="M683">
            <v>-7.69</v>
          </cell>
          <cell r="N683">
            <v>0</v>
          </cell>
          <cell r="O683" t="str">
            <v>0</v>
          </cell>
          <cell r="P683" t="str">
            <v>0.362,-5.65;</v>
          </cell>
          <cell r="Q683">
            <v>12000</v>
          </cell>
          <cell r="R683">
            <v>0</v>
          </cell>
          <cell r="S683" t="str">
            <v>1001+35;1002+40;</v>
          </cell>
        </row>
        <row r="684">
          <cell r="A684">
            <v>572</v>
          </cell>
          <cell r="B684" t="str">
            <v>倭寇大将</v>
          </cell>
          <cell r="C684" t="str">
            <v>1502390;1502391;1502392;1502393;1502394;</v>
          </cell>
          <cell r="D684" t="str">
            <v>1502390;1502391;1502392;1502393;1502394;1502395;</v>
          </cell>
          <cell r="E684" t="str">
            <v>1502390;1502391;1502392;1502393;1502394;1502395;1502396;</v>
          </cell>
        </row>
        <row r="684">
          <cell r="G684" t="str">
            <v>1502421;1502422;1502423;1502424;</v>
          </cell>
          <cell r="H684">
            <v>1</v>
          </cell>
          <cell r="I684">
            <v>1</v>
          </cell>
          <cell r="J684" t="b">
            <v>0</v>
          </cell>
          <cell r="K684">
            <v>1002</v>
          </cell>
          <cell r="L684">
            <v>-6.34</v>
          </cell>
          <cell r="M684">
            <v>-7.69</v>
          </cell>
          <cell r="N684">
            <v>0</v>
          </cell>
          <cell r="O684" t="str">
            <v>0</v>
          </cell>
          <cell r="P684" t="str">
            <v>0.362,-5.65;
0.34,-7.68;</v>
          </cell>
          <cell r="Q684">
            <v>12000</v>
          </cell>
          <cell r="R684">
            <v>0</v>
          </cell>
          <cell r="S684" t="str">
            <v>1001+35;1002+40;</v>
          </cell>
          <cell r="T684" t="str">
            <v>11900,1</v>
          </cell>
        </row>
        <row r="685">
          <cell r="A685">
            <v>573</v>
          </cell>
          <cell r="B685" t="str">
            <v>东瀛密探</v>
          </cell>
          <cell r="C685" t="str">
            <v>1502425;1502426;</v>
          </cell>
          <cell r="D685" t="str">
            <v>1502425;1502426;</v>
          </cell>
          <cell r="E685" t="str">
            <v>1502425;1502426;</v>
          </cell>
        </row>
        <row r="685">
          <cell r="G685">
            <v>0</v>
          </cell>
          <cell r="H685">
            <v>1</v>
          </cell>
          <cell r="I685">
            <v>1</v>
          </cell>
          <cell r="J685" t="b">
            <v>0</v>
          </cell>
          <cell r="K685">
            <v>1002</v>
          </cell>
          <cell r="L685">
            <v>-6.34</v>
          </cell>
          <cell r="M685">
            <v>-7.69</v>
          </cell>
          <cell r="N685">
            <v>0</v>
          </cell>
          <cell r="O685" t="str">
            <v>0</v>
          </cell>
          <cell r="P685" t="str">
            <v>0.362,-5.65;
0.34,-7.68;</v>
          </cell>
          <cell r="Q685">
            <v>12000</v>
          </cell>
          <cell r="R685">
            <v>0</v>
          </cell>
          <cell r="S685" t="str">
            <v>1001+35;1002+40;</v>
          </cell>
          <cell r="T685" t="str">
            <v>11900,1</v>
          </cell>
        </row>
        <row r="686">
          <cell r="A686">
            <v>574</v>
          </cell>
          <cell r="B686" t="str">
            <v>侍卫</v>
          </cell>
          <cell r="C686" t="str">
            <v>1502431;1502432;</v>
          </cell>
          <cell r="D686" t="str">
            <v>1502431;1502432;1502433;1502434;</v>
          </cell>
          <cell r="E686" t="str">
            <v>1502431;1502432;1502433;1502434;1502435;</v>
          </cell>
        </row>
        <row r="686">
          <cell r="G686">
            <v>0</v>
          </cell>
          <cell r="H686">
            <v>1</v>
          </cell>
          <cell r="I686">
            <v>1</v>
          </cell>
          <cell r="J686" t="b">
            <v>0</v>
          </cell>
          <cell r="K686">
            <v>1002</v>
          </cell>
          <cell r="L686">
            <v>-6.34</v>
          </cell>
          <cell r="M686">
            <v>-7.69</v>
          </cell>
          <cell r="N686">
            <v>0</v>
          </cell>
          <cell r="O686" t="str">
            <v>0</v>
          </cell>
          <cell r="P686" t="str">
            <v>0.362,-5.65;
0.34,-7.68;</v>
          </cell>
          <cell r="Q686">
            <v>12000</v>
          </cell>
          <cell r="R686">
            <v>0</v>
          </cell>
          <cell r="S686" t="str">
            <v>1001+35;1002+40;</v>
          </cell>
          <cell r="T686" t="str">
            <v>11900,1</v>
          </cell>
        </row>
        <row r="687">
          <cell r="A687">
            <v>575</v>
          </cell>
          <cell r="B687" t="str">
            <v>刘文晓</v>
          </cell>
          <cell r="C687" t="str">
            <v>1502436;1502437;1502438;1502439;1502440;</v>
          </cell>
          <cell r="D687" t="str">
            <v>1502436;1502437;1502438;1502439;1502440;1502441;</v>
          </cell>
          <cell r="E687" t="str">
            <v>1502436;1502437;1502438;1502439;1502440;1502441;</v>
          </cell>
        </row>
        <row r="687">
          <cell r="G687">
            <v>1502529</v>
          </cell>
          <cell r="H687">
            <v>1</v>
          </cell>
          <cell r="I687">
            <v>1</v>
          </cell>
          <cell r="J687" t="b">
            <v>0</v>
          </cell>
          <cell r="K687">
            <v>1002</v>
          </cell>
          <cell r="L687">
            <v>-6.34</v>
          </cell>
          <cell r="M687">
            <v>-7.69</v>
          </cell>
          <cell r="N687">
            <v>0</v>
          </cell>
          <cell r="O687" t="str">
            <v>0</v>
          </cell>
          <cell r="P687" t="str">
            <v>0.362,-5.65;
0.34,-7.68;</v>
          </cell>
          <cell r="Q687">
            <v>12000</v>
          </cell>
          <cell r="R687">
            <v>0</v>
          </cell>
          <cell r="S687" t="str">
            <v>1001+35;1002+40;</v>
          </cell>
          <cell r="T687" t="str">
            <v>11900,1</v>
          </cell>
        </row>
        <row r="688">
          <cell r="A688">
            <v>576</v>
          </cell>
          <cell r="B688" t="str">
            <v>沙天嚎</v>
          </cell>
          <cell r="C688" t="str">
            <v>1502443;1502444;</v>
          </cell>
          <cell r="D688" t="str">
            <v>1502443;1502444;</v>
          </cell>
          <cell r="E688" t="str">
            <v>1502443;1502444;</v>
          </cell>
        </row>
        <row r="688">
          <cell r="G688">
            <v>1502530</v>
          </cell>
          <cell r="H688">
            <v>1</v>
          </cell>
          <cell r="I688">
            <v>1</v>
          </cell>
          <cell r="J688" t="b">
            <v>0</v>
          </cell>
          <cell r="K688">
            <v>1002</v>
          </cell>
          <cell r="L688">
            <v>-6.34</v>
          </cell>
          <cell r="M688">
            <v>-7.69</v>
          </cell>
          <cell r="N688">
            <v>0</v>
          </cell>
          <cell r="O688" t="str">
            <v>0</v>
          </cell>
          <cell r="P688" t="str">
            <v>0.362,-5.65;
0.34,-7.68;</v>
          </cell>
          <cell r="Q688">
            <v>12000</v>
          </cell>
          <cell r="R688">
            <v>0</v>
          </cell>
          <cell r="S688" t="str">
            <v>1001+35;1002+40;</v>
          </cell>
          <cell r="T688" t="str">
            <v>11900,1</v>
          </cell>
        </row>
        <row r="689">
          <cell r="A689">
            <v>577</v>
          </cell>
          <cell r="B689" t="str">
            <v>北条重秀</v>
          </cell>
          <cell r="C689" t="str">
            <v>1502445;1502446;</v>
          </cell>
          <cell r="D689" t="str">
            <v>1502445;1502446;1502447;1502448;1502449;</v>
          </cell>
          <cell r="E689" t="str">
            <v>1502445;1502446;1502447;1502448;1502449;1502450;</v>
          </cell>
        </row>
        <row r="689">
          <cell r="G689">
            <v>0</v>
          </cell>
          <cell r="H689">
            <v>1</v>
          </cell>
          <cell r="I689">
            <v>1</v>
          </cell>
          <cell r="J689" t="b">
            <v>0</v>
          </cell>
          <cell r="K689">
            <v>1002</v>
          </cell>
          <cell r="L689">
            <v>-6.34</v>
          </cell>
          <cell r="M689">
            <v>-7.69</v>
          </cell>
          <cell r="N689">
            <v>0</v>
          </cell>
          <cell r="O689" t="str">
            <v>0</v>
          </cell>
          <cell r="P689" t="str">
            <v>0.362,-5.65;
0.34,-7.68;</v>
          </cell>
          <cell r="Q689">
            <v>12000</v>
          </cell>
          <cell r="R689">
            <v>0</v>
          </cell>
          <cell r="S689" t="str">
            <v>1001+35;1002+40;</v>
          </cell>
          <cell r="T689" t="str">
            <v>11900,1</v>
          </cell>
        </row>
        <row r="690">
          <cell r="A690">
            <v>578</v>
          </cell>
          <cell r="B690" t="str">
            <v>道场弟子</v>
          </cell>
          <cell r="C690" t="str">
            <v>1502451;1502452;1502453;1502454;</v>
          </cell>
          <cell r="D690" t="str">
            <v>1502451;1502452;1502453;1502454;1502455;</v>
          </cell>
          <cell r="E690" t="str">
            <v>1502451;1502452;1502453;1502454;1502455;1502456;</v>
          </cell>
        </row>
        <row r="690">
          <cell r="G690">
            <v>0</v>
          </cell>
          <cell r="H690">
            <v>1</v>
          </cell>
          <cell r="I690">
            <v>1</v>
          </cell>
          <cell r="J690" t="b">
            <v>0</v>
          </cell>
          <cell r="K690">
            <v>1002</v>
          </cell>
          <cell r="L690">
            <v>-6.34</v>
          </cell>
          <cell r="M690">
            <v>-7.69</v>
          </cell>
          <cell r="N690">
            <v>0</v>
          </cell>
          <cell r="O690" t="str">
            <v>0</v>
          </cell>
          <cell r="P690" t="str">
            <v>0.362,-5.65;
0.34,-7.68;</v>
          </cell>
          <cell r="Q690">
            <v>12000</v>
          </cell>
          <cell r="R690">
            <v>0</v>
          </cell>
          <cell r="S690" t="str">
            <v>1001+35;1002+40;</v>
          </cell>
          <cell r="T690" t="str">
            <v>11900,1</v>
          </cell>
        </row>
        <row r="691">
          <cell r="A691">
            <v>579</v>
          </cell>
          <cell r="B691" t="str">
            <v>柳生宗近</v>
          </cell>
          <cell r="C691" t="str">
            <v>1502457;</v>
          </cell>
          <cell r="D691" t="str">
            <v>1502457;</v>
          </cell>
          <cell r="E691" t="str">
            <v>1502457;</v>
          </cell>
        </row>
        <row r="691">
          <cell r="G691">
            <v>0</v>
          </cell>
          <cell r="H691">
            <v>1</v>
          </cell>
          <cell r="I691">
            <v>1</v>
          </cell>
          <cell r="J691" t="b">
            <v>0</v>
          </cell>
          <cell r="K691">
            <v>1002</v>
          </cell>
          <cell r="L691">
            <v>-6.34</v>
          </cell>
          <cell r="M691">
            <v>-7.69</v>
          </cell>
          <cell r="N691">
            <v>0</v>
          </cell>
          <cell r="O691" t="str">
            <v>0</v>
          </cell>
          <cell r="P691" t="str">
            <v>0.362,-5.65;
0.34,-7.68;</v>
          </cell>
          <cell r="Q691">
            <v>12000</v>
          </cell>
          <cell r="R691">
            <v>0</v>
          </cell>
          <cell r="S691" t="str">
            <v>1001+40;1002+45;</v>
          </cell>
          <cell r="T691" t="str">
            <v>11900,1</v>
          </cell>
        </row>
        <row r="692">
          <cell r="A692">
            <v>580</v>
          </cell>
          <cell r="B692" t="str">
            <v>东瀛密探</v>
          </cell>
          <cell r="C692" t="str">
            <v>1502458;1502459;1502460;1502461;</v>
          </cell>
          <cell r="D692" t="str">
            <v>1502458;1502459;1502460;1502461;1502462;</v>
          </cell>
          <cell r="E692" t="str">
            <v>1502458;1502459;1502460;1502461;1502462;1502463;</v>
          </cell>
        </row>
        <row r="692">
          <cell r="G692">
            <v>0</v>
          </cell>
          <cell r="H692">
            <v>1</v>
          </cell>
          <cell r="I692">
            <v>1</v>
          </cell>
          <cell r="J692" t="b">
            <v>0</v>
          </cell>
          <cell r="K692">
            <v>1002</v>
          </cell>
          <cell r="L692">
            <v>-6.34</v>
          </cell>
          <cell r="M692">
            <v>-7.69</v>
          </cell>
          <cell r="N692">
            <v>0</v>
          </cell>
          <cell r="O692" t="str">
            <v>0</v>
          </cell>
          <cell r="P692" t="str">
            <v>0.362,-5.65;
0.34,-7.68;</v>
          </cell>
          <cell r="Q692">
            <v>12000</v>
          </cell>
          <cell r="R692">
            <v>0</v>
          </cell>
          <cell r="S692" t="str">
            <v>1001+35;1002+40;</v>
          </cell>
          <cell r="T692" t="str">
            <v>11900,1</v>
          </cell>
        </row>
        <row r="693">
          <cell r="A693">
            <v>581</v>
          </cell>
          <cell r="B693" t="str">
            <v>倭寇</v>
          </cell>
          <cell r="C693" t="str">
            <v>1502464;1502465;1502466;1502467;</v>
          </cell>
          <cell r="D693" t="str">
            <v>1502464;1502465;1502466;1502467;1502468;</v>
          </cell>
          <cell r="E693" t="str">
            <v>1502464;1502465;1502466;1502467;1502468;1502469;</v>
          </cell>
        </row>
        <row r="693">
          <cell r="G693">
            <v>1502531</v>
          </cell>
          <cell r="H693">
            <v>1</v>
          </cell>
          <cell r="I693">
            <v>1</v>
          </cell>
          <cell r="J693" t="b">
            <v>0</v>
          </cell>
          <cell r="K693">
            <v>1002</v>
          </cell>
          <cell r="L693">
            <v>-6.34</v>
          </cell>
          <cell r="M693">
            <v>-7.69</v>
          </cell>
          <cell r="N693">
            <v>0</v>
          </cell>
          <cell r="O693" t="str">
            <v>0</v>
          </cell>
          <cell r="P693" t="str">
            <v>0.362,-5.65;
0.34,-7.68;</v>
          </cell>
          <cell r="Q693">
            <v>12000</v>
          </cell>
          <cell r="R693">
            <v>0</v>
          </cell>
          <cell r="S693" t="str">
            <v>1001+35;1002+40;</v>
          </cell>
          <cell r="T693" t="str">
            <v>11900,1</v>
          </cell>
        </row>
        <row r="694">
          <cell r="A694">
            <v>582</v>
          </cell>
          <cell r="B694" t="str">
            <v>倭寇</v>
          </cell>
          <cell r="C694" t="str">
            <v>1502470;1502471;1502472;1502473;</v>
          </cell>
          <cell r="D694" t="str">
            <v>1502470;1502471;1502472;1502473;1502474;</v>
          </cell>
          <cell r="E694" t="str">
            <v>1502470;1502471;1502472;1502473;1502474;1502475;</v>
          </cell>
        </row>
        <row r="694">
          <cell r="G694">
            <v>0</v>
          </cell>
          <cell r="H694">
            <v>1</v>
          </cell>
          <cell r="I694">
            <v>1</v>
          </cell>
          <cell r="J694" t="b">
            <v>0</v>
          </cell>
          <cell r="K694">
            <v>1002</v>
          </cell>
          <cell r="L694">
            <v>-6.34</v>
          </cell>
          <cell r="M694">
            <v>-7.69</v>
          </cell>
          <cell r="N694">
            <v>0</v>
          </cell>
          <cell r="O694" t="str">
            <v>0</v>
          </cell>
          <cell r="P694" t="str">
            <v>0.362,-5.65;
0.34,-7.68;</v>
          </cell>
          <cell r="Q694">
            <v>12000</v>
          </cell>
          <cell r="R694">
            <v>0</v>
          </cell>
          <cell r="S694" t="str">
            <v>1001+35;1002+40;</v>
          </cell>
        </row>
        <row r="695">
          <cell r="A695">
            <v>583</v>
          </cell>
          <cell r="B695" t="str">
            <v>倭寇精锐</v>
          </cell>
          <cell r="C695" t="str">
            <v>1502476;1502477;1502478;1502479;1502480;</v>
          </cell>
          <cell r="D695" t="str">
            <v>1502476;1502477;1502478;1502479;1502480;1502481;</v>
          </cell>
          <cell r="E695" t="str">
            <v>1502476;1502477;1502478;1502479;1502480;1502481;1502482;</v>
          </cell>
        </row>
        <row r="695">
          <cell r="G695">
            <v>0</v>
          </cell>
          <cell r="H695">
            <v>1</v>
          </cell>
          <cell r="I695">
            <v>1</v>
          </cell>
          <cell r="J695" t="b">
            <v>0</v>
          </cell>
          <cell r="K695">
            <v>1002</v>
          </cell>
          <cell r="L695">
            <v>-6.34</v>
          </cell>
          <cell r="M695">
            <v>-7.69</v>
          </cell>
          <cell r="N695">
            <v>0</v>
          </cell>
          <cell r="O695" t="str">
            <v>0</v>
          </cell>
          <cell r="P695" t="str">
            <v>0.362,-5.65;
0.34,-7.68;</v>
          </cell>
          <cell r="Q695">
            <v>12000</v>
          </cell>
          <cell r="R695">
            <v>0</v>
          </cell>
          <cell r="S695" t="str">
            <v>1001+35;1002+40;</v>
          </cell>
        </row>
        <row r="696">
          <cell r="A696">
            <v>584</v>
          </cell>
          <cell r="B696" t="str">
            <v>蜘蛛鬼</v>
          </cell>
          <cell r="C696" t="str">
            <v>1502483;1502484;1502485;1502486;1502487;</v>
          </cell>
          <cell r="D696" t="str">
            <v>1502483;1502484;1502485;1502486;1502487;1502488;</v>
          </cell>
          <cell r="E696" t="str">
            <v>1502483;1502484;1502485;1502486;1502487;1502488;1502489;</v>
          </cell>
        </row>
        <row r="696">
          <cell r="G696">
            <v>0</v>
          </cell>
          <cell r="H696">
            <v>1</v>
          </cell>
          <cell r="I696">
            <v>1</v>
          </cell>
          <cell r="J696" t="b">
            <v>0</v>
          </cell>
          <cell r="K696">
            <v>1002</v>
          </cell>
          <cell r="L696">
            <v>-6.34</v>
          </cell>
          <cell r="M696">
            <v>-7.69</v>
          </cell>
          <cell r="N696">
            <v>0</v>
          </cell>
          <cell r="O696" t="str">
            <v>0</v>
          </cell>
          <cell r="P696" t="str">
            <v>0.362,-5.65;
0.34,-7.68;</v>
          </cell>
          <cell r="Q696">
            <v>12000</v>
          </cell>
          <cell r="R696">
            <v>0</v>
          </cell>
          <cell r="S696" t="str">
            <v>1001+35;1002+40;</v>
          </cell>
          <cell r="T696" t="str">
            <v>11900,1</v>
          </cell>
        </row>
        <row r="697">
          <cell r="A697">
            <v>585</v>
          </cell>
          <cell r="B697" t="str">
            <v>倭寇</v>
          </cell>
          <cell r="C697" t="str">
            <v>1502490;1502491;1502492;1502493;</v>
          </cell>
          <cell r="D697" t="str">
            <v>1502490;1502491;1502492;1502493;1502494;</v>
          </cell>
          <cell r="E697" t="str">
            <v>1502490;1502491;1502492;1502493;1502494;1502495;</v>
          </cell>
        </row>
        <row r="697">
          <cell r="G697">
            <v>1502531</v>
          </cell>
          <cell r="H697">
            <v>1</v>
          </cell>
          <cell r="I697">
            <v>1</v>
          </cell>
          <cell r="J697" t="b">
            <v>0</v>
          </cell>
          <cell r="K697">
            <v>1002</v>
          </cell>
          <cell r="L697">
            <v>-6.34</v>
          </cell>
          <cell r="M697">
            <v>-7.69</v>
          </cell>
          <cell r="N697">
            <v>0</v>
          </cell>
          <cell r="O697" t="str">
            <v>0</v>
          </cell>
          <cell r="P697" t="str">
            <v>0.362,-5.65;
0.34,-7.68;</v>
          </cell>
          <cell r="Q697">
            <v>12000</v>
          </cell>
          <cell r="R697">
            <v>0</v>
          </cell>
          <cell r="S697" t="str">
            <v>1001+35;1002+40;</v>
          </cell>
        </row>
        <row r="698">
          <cell r="A698">
            <v>586</v>
          </cell>
          <cell r="B698" t="str">
            <v>倭寇精锐</v>
          </cell>
          <cell r="C698" t="str">
            <v>1502496;1502497;1502498;1502499;1502500;</v>
          </cell>
          <cell r="D698" t="str">
            <v>1502496;1502497;1502498;1502499;1502500;1502501;</v>
          </cell>
          <cell r="E698" t="str">
            <v>1502496;1502497;1502498;1502499;1502500;1502501;1502502;</v>
          </cell>
        </row>
        <row r="698">
          <cell r="G698">
            <v>1502531</v>
          </cell>
          <cell r="H698">
            <v>1</v>
          </cell>
          <cell r="I698">
            <v>1</v>
          </cell>
          <cell r="J698" t="b">
            <v>0</v>
          </cell>
          <cell r="K698">
            <v>1002</v>
          </cell>
          <cell r="L698">
            <v>-6.34</v>
          </cell>
          <cell r="M698">
            <v>-7.69</v>
          </cell>
          <cell r="N698">
            <v>0</v>
          </cell>
          <cell r="O698" t="str">
            <v>0</v>
          </cell>
          <cell r="P698" t="str">
            <v>0.362,-5.65;
0.34,-7.68;</v>
          </cell>
          <cell r="Q698">
            <v>12000</v>
          </cell>
          <cell r="R698">
            <v>0</v>
          </cell>
          <cell r="S698" t="str">
            <v>1001+35;1002+40;</v>
          </cell>
        </row>
        <row r="699">
          <cell r="A699">
            <v>587</v>
          </cell>
          <cell r="B699" t="str">
            <v>蜘蛛鬼</v>
          </cell>
          <cell r="C699" t="str">
            <v>1502503;1502504;1502505;1502506;1502507;</v>
          </cell>
          <cell r="D699" t="str">
            <v>1502503;1502504;1502505;1502506;1502507;1502508;</v>
          </cell>
          <cell r="E699" t="str">
            <v>1502503;1502504;1502505;1502506;1502507;1502508;1502509;</v>
          </cell>
        </row>
        <row r="699">
          <cell r="G699">
            <v>1502531</v>
          </cell>
          <cell r="H699">
            <v>1</v>
          </cell>
          <cell r="I699">
            <v>1</v>
          </cell>
          <cell r="J699" t="b">
            <v>0</v>
          </cell>
          <cell r="K699">
            <v>1002</v>
          </cell>
          <cell r="L699">
            <v>-6.34</v>
          </cell>
          <cell r="M699">
            <v>-7.69</v>
          </cell>
          <cell r="N699">
            <v>0</v>
          </cell>
          <cell r="O699" t="str">
            <v>0</v>
          </cell>
          <cell r="P699" t="str">
            <v>0.362,-5.65;
0.34,-7.68;</v>
          </cell>
          <cell r="Q699">
            <v>12000</v>
          </cell>
          <cell r="R699">
            <v>0</v>
          </cell>
          <cell r="S699" t="str">
            <v>1001+35;1002+40;</v>
          </cell>
          <cell r="T699" t="str">
            <v>11900,1</v>
          </cell>
        </row>
        <row r="700">
          <cell r="A700">
            <v>588</v>
          </cell>
          <cell r="B700" t="str">
            <v>倭寇头目</v>
          </cell>
          <cell r="C700" t="str">
            <v>1502510;1502511;1502512;1502513;1502514;</v>
          </cell>
          <cell r="D700" t="str">
            <v>1502510;1502511;1502512;1502513;1502514;1502515;</v>
          </cell>
          <cell r="E700" t="str">
            <v>1502510;1502511;1502512;1502513;1502514;1502515;1502516;</v>
          </cell>
        </row>
        <row r="700">
          <cell r="G700">
            <v>0</v>
          </cell>
          <cell r="H700">
            <v>1</v>
          </cell>
          <cell r="I700">
            <v>1</v>
          </cell>
          <cell r="J700" t="b">
            <v>0</v>
          </cell>
          <cell r="K700">
            <v>1002</v>
          </cell>
          <cell r="L700">
            <v>-6.34</v>
          </cell>
          <cell r="M700">
            <v>-7.69</v>
          </cell>
          <cell r="N700">
            <v>0</v>
          </cell>
          <cell r="O700" t="str">
            <v>0</v>
          </cell>
          <cell r="P700" t="str">
            <v>0.362,-5.65;
0.34,-7.68;</v>
          </cell>
          <cell r="Q700">
            <v>12000</v>
          </cell>
          <cell r="R700">
            <v>0</v>
          </cell>
          <cell r="S700" t="str">
            <v>1001+35;1002+40;</v>
          </cell>
          <cell r="T700" t="str">
            <v>11900,1</v>
          </cell>
        </row>
        <row r="701">
          <cell r="A701">
            <v>589</v>
          </cell>
          <cell r="B701" t="str">
            <v>神秘浪人</v>
          </cell>
          <cell r="C701" t="str">
            <v>1502517;1502518;1502519;1502520;1502521;</v>
          </cell>
          <cell r="D701" t="str">
            <v>1502517;1502518;1502519;1502520;1502521;</v>
          </cell>
          <cell r="E701" t="str">
            <v>1502517;1502518;1502519;1502520;1502521;1502522;</v>
          </cell>
        </row>
        <row r="701">
          <cell r="G701">
            <v>0</v>
          </cell>
          <cell r="H701">
            <v>1</v>
          </cell>
          <cell r="I701">
            <v>1</v>
          </cell>
          <cell r="J701" t="b">
            <v>0</v>
          </cell>
          <cell r="K701">
            <v>1002</v>
          </cell>
          <cell r="L701">
            <v>-6.34</v>
          </cell>
          <cell r="M701">
            <v>-7.69</v>
          </cell>
          <cell r="N701">
            <v>0</v>
          </cell>
          <cell r="O701" t="str">
            <v>0</v>
          </cell>
          <cell r="P701" t="str">
            <v>0.362,-5.65;
0.34,-7.68;</v>
          </cell>
          <cell r="Q701">
            <v>12000</v>
          </cell>
          <cell r="R701">
            <v>0</v>
          </cell>
          <cell r="S701" t="str">
            <v>1001+35;1002+40;</v>
          </cell>
          <cell r="T701" t="str">
            <v>11900,1</v>
          </cell>
        </row>
        <row r="702">
          <cell r="A702">
            <v>590</v>
          </cell>
          <cell r="B702" t="str">
            <v>黑羽胧</v>
          </cell>
          <cell r="C702" t="str">
            <v>1502523;1502524;</v>
          </cell>
          <cell r="D702" t="str">
            <v>1502523;1502524;</v>
          </cell>
          <cell r="E702" t="str">
            <v>1502523;1502524;</v>
          </cell>
        </row>
        <row r="702">
          <cell r="H702">
            <v>1</v>
          </cell>
          <cell r="I702">
            <v>1</v>
          </cell>
          <cell r="J702" t="b">
            <v>0</v>
          </cell>
          <cell r="K702">
            <v>1002</v>
          </cell>
          <cell r="L702">
            <v>-6.34</v>
          </cell>
          <cell r="M702">
            <v>-7.69</v>
          </cell>
          <cell r="N702">
            <v>0</v>
          </cell>
          <cell r="O702" t="str">
            <v>0</v>
          </cell>
          <cell r="P702" t="str">
            <v>0.362,-5.65;
0.34,-7.68;</v>
          </cell>
          <cell r="Q702">
            <v>12000</v>
          </cell>
          <cell r="R702">
            <v>0</v>
          </cell>
          <cell r="S702" t="str">
            <v>1001+35;1002+40;</v>
          </cell>
          <cell r="T702" t="str">
            <v>11900,1</v>
          </cell>
        </row>
        <row r="703">
          <cell r="A703">
            <v>591</v>
          </cell>
          <cell r="B703" t="str">
            <v>黑雾众忍者</v>
          </cell>
          <cell r="C703" t="str">
            <v>1502525;1502526;1502527;1502528;</v>
          </cell>
          <cell r="D703" t="str">
            <v>1502525;1502526;1502527;1502528;1502529;</v>
          </cell>
          <cell r="E703" t="str">
            <v>1502525;1502526;1502527;1502528;1502529;1502530;</v>
          </cell>
        </row>
        <row r="703">
          <cell r="G703">
            <v>1502534</v>
          </cell>
          <cell r="H703">
            <v>1</v>
          </cell>
          <cell r="I703">
            <v>1</v>
          </cell>
          <cell r="J703" t="b">
            <v>0</v>
          </cell>
          <cell r="K703">
            <v>1002</v>
          </cell>
          <cell r="L703">
            <v>-6.34</v>
          </cell>
          <cell r="M703">
            <v>-7.69</v>
          </cell>
          <cell r="N703">
            <v>0</v>
          </cell>
          <cell r="O703" t="str">
            <v>0</v>
          </cell>
          <cell r="P703" t="str">
            <v>0.362,-5.65;
0.34,-7.68;</v>
          </cell>
          <cell r="Q703">
            <v>12000</v>
          </cell>
          <cell r="R703">
            <v>0</v>
          </cell>
          <cell r="S703" t="str">
            <v>1001+35;1002+40;</v>
          </cell>
          <cell r="T703" t="str">
            <v>11900,1</v>
          </cell>
        </row>
        <row r="704">
          <cell r="A704">
            <v>592</v>
          </cell>
          <cell r="B704" t="str">
            <v>大名府邸</v>
          </cell>
          <cell r="C704" t="str">
            <v>1502535;1502536;1502537;1502538;</v>
          </cell>
          <cell r="D704" t="str">
            <v>1502535;1502536;1502537;1502538;1502539;</v>
          </cell>
          <cell r="E704" t="str">
            <v>1502535;1502536;1502537;1502538;1502539;1502540;</v>
          </cell>
        </row>
        <row r="704">
          <cell r="G704">
            <v>0</v>
          </cell>
          <cell r="H704">
            <v>1</v>
          </cell>
          <cell r="I704">
            <v>1</v>
          </cell>
          <cell r="J704" t="b">
            <v>0</v>
          </cell>
          <cell r="K704">
            <v>1002</v>
          </cell>
          <cell r="L704">
            <v>-6.34</v>
          </cell>
          <cell r="M704">
            <v>-7.69</v>
          </cell>
          <cell r="N704">
            <v>0</v>
          </cell>
          <cell r="O704" t="str">
            <v>0</v>
          </cell>
          <cell r="P704" t="str">
            <v>0.362,-5.65;
0.34,-7.68;</v>
          </cell>
          <cell r="Q704">
            <v>12000</v>
          </cell>
          <cell r="R704">
            <v>0</v>
          </cell>
          <cell r="S704" t="str">
            <v>1001+35;1002+40;</v>
          </cell>
        </row>
        <row r="705">
          <cell r="A705">
            <v>593</v>
          </cell>
          <cell r="B705" t="str">
            <v>大名府邸</v>
          </cell>
          <cell r="C705" t="str">
            <v>1502541;1502542;1502543;1502544;1502545;</v>
          </cell>
          <cell r="D705" t="str">
            <v>1502541;1502542;1502543;1502544;1502545;1502546;</v>
          </cell>
          <cell r="E705" t="str">
            <v>1502541;1502542;1502543;1502544;1502545;1502546;1502547;</v>
          </cell>
        </row>
        <row r="705">
          <cell r="G705">
            <v>0</v>
          </cell>
          <cell r="H705">
            <v>1</v>
          </cell>
          <cell r="I705">
            <v>1</v>
          </cell>
          <cell r="J705" t="b">
            <v>0</v>
          </cell>
          <cell r="K705">
            <v>1002</v>
          </cell>
          <cell r="L705">
            <v>-6.34</v>
          </cell>
          <cell r="M705">
            <v>-7.69</v>
          </cell>
          <cell r="N705">
            <v>0</v>
          </cell>
          <cell r="O705" t="str">
            <v>0</v>
          </cell>
          <cell r="P705" t="str">
            <v>0.362,-5.65;
0.34,-7.68;</v>
          </cell>
          <cell r="Q705">
            <v>12000</v>
          </cell>
          <cell r="R705">
            <v>0</v>
          </cell>
          <cell r="S705" t="str">
            <v>1001+35;1002+40;</v>
          </cell>
        </row>
        <row r="706">
          <cell r="A706">
            <v>594</v>
          </cell>
          <cell r="B706" t="str">
            <v>大名府邸</v>
          </cell>
          <cell r="C706" t="str">
            <v>1502546;1502547;1502548;1502549;1502550;</v>
          </cell>
          <cell r="D706" t="str">
            <v>1502546;1502547;1502548;1502549;1502550;1502551;</v>
          </cell>
          <cell r="E706" t="str">
            <v>1502546;1502547;1502548;1502549;1502550;1502551;1502552;</v>
          </cell>
        </row>
        <row r="706">
          <cell r="G706">
            <v>0</v>
          </cell>
          <cell r="H706">
            <v>1</v>
          </cell>
          <cell r="I706">
            <v>1</v>
          </cell>
          <cell r="J706" t="b">
            <v>0</v>
          </cell>
          <cell r="K706">
            <v>1002</v>
          </cell>
          <cell r="L706">
            <v>-6.34</v>
          </cell>
          <cell r="M706">
            <v>-7.69</v>
          </cell>
          <cell r="N706">
            <v>0</v>
          </cell>
          <cell r="O706" t="str">
            <v>0</v>
          </cell>
          <cell r="P706" t="str">
            <v>0.362,-5.65;
0.34,-7.68;</v>
          </cell>
          <cell r="Q706">
            <v>12000</v>
          </cell>
          <cell r="R706">
            <v>0</v>
          </cell>
          <cell r="S706" t="str">
            <v>1001+35;1002+40;</v>
          </cell>
        </row>
        <row r="707">
          <cell r="A707">
            <v>595</v>
          </cell>
          <cell r="B707" t="str">
            <v>大名府邸</v>
          </cell>
          <cell r="C707" t="str">
            <v>1502553;1502554;1502555;1502556;</v>
          </cell>
          <cell r="D707" t="str">
            <v>1502553;1502554;1502555;1502556;1502557;</v>
          </cell>
          <cell r="E707" t="str">
            <v>1502553;1502554;1502555;1502556;1502557;1502558;</v>
          </cell>
        </row>
        <row r="707">
          <cell r="G707">
            <v>0</v>
          </cell>
          <cell r="H707">
            <v>1</v>
          </cell>
          <cell r="I707">
            <v>1</v>
          </cell>
          <cell r="J707" t="b">
            <v>0</v>
          </cell>
          <cell r="K707">
            <v>1002</v>
          </cell>
          <cell r="L707">
            <v>-6.34</v>
          </cell>
          <cell r="M707">
            <v>-7.69</v>
          </cell>
          <cell r="N707">
            <v>0</v>
          </cell>
          <cell r="O707" t="str">
            <v>0</v>
          </cell>
          <cell r="P707" t="str">
            <v>0.362,-5.65;
0.34,-7.68;</v>
          </cell>
          <cell r="Q707">
            <v>12000</v>
          </cell>
          <cell r="R707">
            <v>0</v>
          </cell>
          <cell r="S707" t="str">
            <v>1001+35;1002+40;</v>
          </cell>
        </row>
        <row r="708">
          <cell r="A708">
            <v>596</v>
          </cell>
          <cell r="B708" t="str">
            <v>大名府邸</v>
          </cell>
          <cell r="C708" t="str">
            <v>1502559;1502560;1502561;1502562;</v>
          </cell>
          <cell r="D708" t="str">
            <v>1502559;1502560;1502561;1502562;1502563;</v>
          </cell>
          <cell r="E708" t="str">
            <v>1502559;1502560;1502561;1502562;1502563;1502564;1502565;</v>
          </cell>
        </row>
        <row r="708">
          <cell r="G708">
            <v>0</v>
          </cell>
          <cell r="H708">
            <v>1</v>
          </cell>
          <cell r="I708">
            <v>1</v>
          </cell>
          <cell r="J708" t="b">
            <v>0</v>
          </cell>
          <cell r="K708">
            <v>1002</v>
          </cell>
          <cell r="L708">
            <v>-6.34</v>
          </cell>
          <cell r="M708">
            <v>-7.69</v>
          </cell>
          <cell r="N708">
            <v>0</v>
          </cell>
          <cell r="O708" t="str">
            <v>0</v>
          </cell>
          <cell r="P708" t="str">
            <v>0.362,-5.65;
0.34,-7.68;</v>
          </cell>
          <cell r="Q708">
            <v>12000</v>
          </cell>
          <cell r="R708">
            <v>0</v>
          </cell>
          <cell r="S708" t="str">
            <v>1001+35;1002+40;</v>
          </cell>
          <cell r="T708" t="str">
            <v>11000,1</v>
          </cell>
        </row>
        <row r="709">
          <cell r="A709">
            <v>597</v>
          </cell>
          <cell r="B709" t="str">
            <v>水贼巢穴</v>
          </cell>
          <cell r="C709" t="str">
            <v>1502565;1502566;1502567;1502568;1502569;</v>
          </cell>
          <cell r="D709" t="str">
            <v>1502565;1502566;1502567;1502568;1502569;1502570;</v>
          </cell>
          <cell r="E709" t="str">
            <v>1502565;1502566;1502567;1502568;1502569;1502570;</v>
          </cell>
        </row>
        <row r="709">
          <cell r="G709">
            <v>0</v>
          </cell>
          <cell r="H709">
            <v>1</v>
          </cell>
          <cell r="I709">
            <v>1</v>
          </cell>
          <cell r="J709" t="b">
            <v>0</v>
          </cell>
          <cell r="K709">
            <v>1002</v>
          </cell>
          <cell r="L709">
            <v>-6.34</v>
          </cell>
          <cell r="M709">
            <v>-7.69</v>
          </cell>
          <cell r="N709">
            <v>0</v>
          </cell>
          <cell r="O709" t="str">
            <v>0</v>
          </cell>
          <cell r="P709" t="str">
            <v>0.362,-5.65;
0.34,-7.68;</v>
          </cell>
          <cell r="Q709">
            <v>12000</v>
          </cell>
          <cell r="R709">
            <v>0</v>
          </cell>
          <cell r="S709" t="str">
            <v>1001+35;1002+40;</v>
          </cell>
        </row>
        <row r="710">
          <cell r="A710">
            <v>598</v>
          </cell>
          <cell r="B710" t="str">
            <v>水贼巢穴</v>
          </cell>
          <cell r="C710" t="str">
            <v>1502572;1502573;1502574;1502575;</v>
          </cell>
          <cell r="D710" t="str">
            <v>1502572;1502573;1502574;1502575;1502576;</v>
          </cell>
          <cell r="E710" t="str">
            <v>1502572;1502573;1502574;1502575;1502576;1502577;</v>
          </cell>
        </row>
        <row r="710">
          <cell r="G710">
            <v>0</v>
          </cell>
          <cell r="H710">
            <v>1</v>
          </cell>
          <cell r="I710">
            <v>1</v>
          </cell>
          <cell r="J710" t="b">
            <v>0</v>
          </cell>
          <cell r="K710">
            <v>1002</v>
          </cell>
          <cell r="L710">
            <v>-6.34</v>
          </cell>
          <cell r="M710">
            <v>-7.69</v>
          </cell>
          <cell r="N710">
            <v>0</v>
          </cell>
          <cell r="O710" t="str">
            <v>0</v>
          </cell>
          <cell r="P710" t="str">
            <v>0.362,-5.65;
0.34,-7.68;</v>
          </cell>
          <cell r="Q710">
            <v>12000</v>
          </cell>
          <cell r="R710">
            <v>0</v>
          </cell>
          <cell r="S710" t="str">
            <v>1001+35;1002+40;</v>
          </cell>
        </row>
        <row r="711">
          <cell r="A711">
            <v>599</v>
          </cell>
          <cell r="B711" t="str">
            <v>水贼巢穴</v>
          </cell>
          <cell r="C711" t="str">
            <v>1502578;1502579;1502580;1502581;</v>
          </cell>
          <cell r="D711" t="str">
            <v>1502578;1502579;1502580;1502581;1502582;</v>
          </cell>
          <cell r="E711" t="str">
            <v>1502578;1502579;1502580;1502581;1502582;1502583;</v>
          </cell>
        </row>
        <row r="711">
          <cell r="G711">
            <v>0</v>
          </cell>
          <cell r="H711">
            <v>1</v>
          </cell>
          <cell r="I711">
            <v>1</v>
          </cell>
          <cell r="J711" t="b">
            <v>0</v>
          </cell>
          <cell r="K711">
            <v>1002</v>
          </cell>
          <cell r="L711">
            <v>-6.34</v>
          </cell>
          <cell r="M711">
            <v>-7.69</v>
          </cell>
          <cell r="N711">
            <v>0</v>
          </cell>
          <cell r="O711" t="str">
            <v>0</v>
          </cell>
          <cell r="P711" t="str">
            <v>0.362,-5.65;
0.34,-7.68;</v>
          </cell>
          <cell r="Q711">
            <v>12000</v>
          </cell>
          <cell r="R711">
            <v>0</v>
          </cell>
          <cell r="S711" t="str">
            <v>1001+35;1002+40;</v>
          </cell>
        </row>
        <row r="712">
          <cell r="A712">
            <v>600</v>
          </cell>
          <cell r="B712" t="str">
            <v>水贼巢穴</v>
          </cell>
          <cell r="C712" t="str">
            <v>1502584;1502585;1502586;1502587;1502588;</v>
          </cell>
          <cell r="D712" t="str">
            <v>1502584;1502585;1502586;1502587;1502588;1502589;</v>
          </cell>
          <cell r="E712" t="str">
            <v>1502584;1502585;1502586;1502587;1502588;1502589;1502590;</v>
          </cell>
        </row>
        <row r="712">
          <cell r="G712">
            <v>0</v>
          </cell>
          <cell r="H712">
            <v>1</v>
          </cell>
          <cell r="I712">
            <v>1</v>
          </cell>
          <cell r="J712" t="b">
            <v>0</v>
          </cell>
          <cell r="K712">
            <v>1002</v>
          </cell>
          <cell r="L712">
            <v>-6.34</v>
          </cell>
          <cell r="M712">
            <v>-7.69</v>
          </cell>
          <cell r="N712">
            <v>0</v>
          </cell>
          <cell r="O712" t="str">
            <v>0</v>
          </cell>
          <cell r="P712" t="str">
            <v>0.362,-5.65;
0.34,-7.68;</v>
          </cell>
          <cell r="Q712">
            <v>12000</v>
          </cell>
          <cell r="R712">
            <v>0</v>
          </cell>
          <cell r="S712" t="str">
            <v>1001+35;1002+40;</v>
          </cell>
        </row>
        <row r="713">
          <cell r="A713">
            <v>601</v>
          </cell>
          <cell r="B713" t="str">
            <v>水贼巢穴</v>
          </cell>
          <cell r="C713" t="str">
            <v>1502592;1502593;1502594;1502595;1502596;</v>
          </cell>
          <cell r="D713" t="str">
            <v>1502592;1502593;1502594;1502595;1502596;1502597;</v>
          </cell>
          <cell r="E713" t="str">
            <v>1502592;1502593;1502594;1502595;1502596;1502597;1502598;</v>
          </cell>
        </row>
        <row r="713">
          <cell r="G713">
            <v>0</v>
          </cell>
          <cell r="H713">
            <v>1</v>
          </cell>
          <cell r="I713">
            <v>1</v>
          </cell>
          <cell r="J713" t="b">
            <v>0</v>
          </cell>
          <cell r="K713">
            <v>1002</v>
          </cell>
          <cell r="L713">
            <v>-6.34</v>
          </cell>
          <cell r="M713">
            <v>-7.69</v>
          </cell>
          <cell r="N713">
            <v>0</v>
          </cell>
          <cell r="O713" t="str">
            <v>0</v>
          </cell>
          <cell r="P713" t="str">
            <v>0.362,-5.65;
0.34,-7.68;</v>
          </cell>
          <cell r="Q713">
            <v>12000</v>
          </cell>
          <cell r="R713">
            <v>0</v>
          </cell>
          <cell r="S713" t="str">
            <v>1001+35;1002+40;</v>
          </cell>
        </row>
        <row r="714">
          <cell r="A714">
            <v>602</v>
          </cell>
          <cell r="B714" t="str">
            <v>水贼巢穴</v>
          </cell>
          <cell r="C714" t="str">
            <v>1502599;1502600;1502601;1502602;1502603;</v>
          </cell>
          <cell r="D714" t="str">
            <v>1502599;1502600;1502601;1502602;1502603;1502604;</v>
          </cell>
          <cell r="E714" t="str">
            <v>1502599;1502600;1502601;1502602;1502603;1502604;1502605;</v>
          </cell>
        </row>
        <row r="714">
          <cell r="G714">
            <v>0</v>
          </cell>
          <cell r="H714">
            <v>1</v>
          </cell>
          <cell r="I714">
            <v>1</v>
          </cell>
          <cell r="J714" t="b">
            <v>0</v>
          </cell>
          <cell r="K714">
            <v>1002</v>
          </cell>
          <cell r="L714">
            <v>-6.34</v>
          </cell>
          <cell r="M714">
            <v>-7.69</v>
          </cell>
          <cell r="N714">
            <v>0</v>
          </cell>
          <cell r="O714" t="str">
            <v>0</v>
          </cell>
          <cell r="P714" t="str">
            <v>0.362,-5.65;
0.34,-7.68;</v>
          </cell>
          <cell r="Q714">
            <v>12000</v>
          </cell>
          <cell r="R714">
            <v>0</v>
          </cell>
          <cell r="S714" t="str">
            <v>1001+35;1002+40;</v>
          </cell>
          <cell r="T714" t="str">
            <v>11000,1</v>
          </cell>
        </row>
        <row r="715">
          <cell r="A715">
            <v>603</v>
          </cell>
          <cell r="B715" t="str">
            <v>皇城深处</v>
          </cell>
          <cell r="C715" t="str">
            <v>1502605;1502606;1502607;1502608;</v>
          </cell>
          <cell r="D715" t="str">
            <v>1502605;1502606;1502607;1502608;1502609;</v>
          </cell>
          <cell r="E715" t="str">
            <v>1502605;1502606;1502607;1502608;1502609;1502610;</v>
          </cell>
        </row>
        <row r="715">
          <cell r="G715">
            <v>0</v>
          </cell>
          <cell r="H715">
            <v>1</v>
          </cell>
          <cell r="I715">
            <v>1</v>
          </cell>
          <cell r="J715" t="b">
            <v>0</v>
          </cell>
          <cell r="K715">
            <v>1002</v>
          </cell>
          <cell r="L715">
            <v>-6.34</v>
          </cell>
          <cell r="M715">
            <v>-7.69</v>
          </cell>
          <cell r="N715">
            <v>0</v>
          </cell>
          <cell r="O715" t="str">
            <v>0</v>
          </cell>
          <cell r="P715" t="str">
            <v>0.362,-5.65;
0.34,-7.68;</v>
          </cell>
          <cell r="Q715">
            <v>12000</v>
          </cell>
          <cell r="R715">
            <v>0</v>
          </cell>
          <cell r="S715" t="str">
            <v>1001+35;1002+40;</v>
          </cell>
        </row>
        <row r="716">
          <cell r="A716">
            <v>604</v>
          </cell>
          <cell r="B716" t="str">
            <v>皇城深处</v>
          </cell>
          <cell r="C716" t="str">
            <v>1502611;1502612;1502613;1502614;1502615;</v>
          </cell>
          <cell r="D716" t="str">
            <v>1502611;1502612;1502613;1502614;1502615;1502616;</v>
          </cell>
          <cell r="E716" t="str">
            <v>1502611;1502612;1502613;1502614;1502615;1502616;1502617;</v>
          </cell>
        </row>
        <row r="716">
          <cell r="G716">
            <v>0</v>
          </cell>
          <cell r="H716">
            <v>1</v>
          </cell>
          <cell r="I716">
            <v>1</v>
          </cell>
          <cell r="J716" t="b">
            <v>0</v>
          </cell>
          <cell r="K716">
            <v>1002</v>
          </cell>
          <cell r="L716">
            <v>-6.34</v>
          </cell>
          <cell r="M716">
            <v>-7.69</v>
          </cell>
          <cell r="N716">
            <v>0</v>
          </cell>
          <cell r="O716" t="str">
            <v>0</v>
          </cell>
          <cell r="P716" t="str">
            <v>0.362,-5.65;
0.34,-7.68;</v>
          </cell>
          <cell r="Q716">
            <v>12000</v>
          </cell>
          <cell r="R716">
            <v>0</v>
          </cell>
          <cell r="S716" t="str">
            <v>1001+35;1002+40;</v>
          </cell>
        </row>
        <row r="717">
          <cell r="A717">
            <v>605</v>
          </cell>
          <cell r="B717" t="str">
            <v>皇城深处</v>
          </cell>
          <cell r="C717" t="str">
            <v>1502618;1502619;1502620;1502621;1502622;</v>
          </cell>
          <cell r="D717" t="str">
            <v>1502618;1502619;1502620;1502621;1502622;1502623;</v>
          </cell>
          <cell r="E717" t="str">
            <v>1502618;1502619;1502620;1502621;1502622;1502623;1502624;</v>
          </cell>
        </row>
        <row r="717">
          <cell r="G717">
            <v>0</v>
          </cell>
          <cell r="H717">
            <v>1</v>
          </cell>
          <cell r="I717">
            <v>1</v>
          </cell>
          <cell r="J717" t="b">
            <v>0</v>
          </cell>
          <cell r="K717">
            <v>1002</v>
          </cell>
          <cell r="L717">
            <v>-6.34</v>
          </cell>
          <cell r="M717">
            <v>-7.69</v>
          </cell>
          <cell r="N717">
            <v>0</v>
          </cell>
          <cell r="O717" t="str">
            <v>0</v>
          </cell>
          <cell r="P717" t="str">
            <v>0.362,-5.65;
0.34,-7.68;</v>
          </cell>
          <cell r="Q717">
            <v>12000</v>
          </cell>
          <cell r="R717">
            <v>0</v>
          </cell>
          <cell r="S717" t="str">
            <v>1001+35;1002+40;</v>
          </cell>
        </row>
        <row r="718">
          <cell r="A718">
            <v>606</v>
          </cell>
          <cell r="B718" t="str">
            <v>皇城深处</v>
          </cell>
          <cell r="C718" t="str">
            <v>1502624;1502625;1502626;1502627;1502628;</v>
          </cell>
          <cell r="D718" t="str">
            <v>1502624;1502625;1502626;1502627;1502628;1502629;</v>
          </cell>
          <cell r="E718" t="str">
            <v>1502624;1502625;1502626;1502627;1502628;1502629;1502630;</v>
          </cell>
        </row>
        <row r="718">
          <cell r="G718">
            <v>0</v>
          </cell>
          <cell r="H718">
            <v>1</v>
          </cell>
          <cell r="I718">
            <v>1</v>
          </cell>
          <cell r="J718" t="b">
            <v>0</v>
          </cell>
          <cell r="K718">
            <v>1002</v>
          </cell>
          <cell r="L718">
            <v>-6.34</v>
          </cell>
          <cell r="M718">
            <v>-7.69</v>
          </cell>
          <cell r="N718">
            <v>0</v>
          </cell>
          <cell r="O718" t="str">
            <v>0</v>
          </cell>
          <cell r="P718" t="str">
            <v>0.362,-5.65;
0.34,-7.68;</v>
          </cell>
          <cell r="Q718">
            <v>12000</v>
          </cell>
          <cell r="R718">
            <v>0</v>
          </cell>
          <cell r="S718" t="str">
            <v>1001+35;1002+40;</v>
          </cell>
        </row>
        <row r="719">
          <cell r="A719">
            <v>607</v>
          </cell>
          <cell r="B719" t="str">
            <v>皇城深处</v>
          </cell>
          <cell r="C719" t="str">
            <v>1502631;1502632;1502633;1502634;</v>
          </cell>
          <cell r="D719" t="str">
            <v>1502631;1502632;1502633;1502634;1502635;</v>
          </cell>
          <cell r="E719" t="str">
            <v>1502631;1502632;1502633;1502634;1502635;1502636;</v>
          </cell>
        </row>
        <row r="719">
          <cell r="G719">
            <v>0</v>
          </cell>
          <cell r="H719">
            <v>1</v>
          </cell>
          <cell r="I719">
            <v>1</v>
          </cell>
          <cell r="J719" t="b">
            <v>0</v>
          </cell>
          <cell r="K719">
            <v>1002</v>
          </cell>
          <cell r="L719">
            <v>-6.34</v>
          </cell>
          <cell r="M719">
            <v>-7.69</v>
          </cell>
          <cell r="N719">
            <v>0</v>
          </cell>
          <cell r="O719" t="str">
            <v>0</v>
          </cell>
          <cell r="P719" t="str">
            <v>0.362,-5.65;
0.34,-7.68;</v>
          </cell>
          <cell r="Q719">
            <v>12000</v>
          </cell>
          <cell r="R719">
            <v>0</v>
          </cell>
          <cell r="S719" t="str">
            <v>1001+35;1002+40;</v>
          </cell>
        </row>
        <row r="720">
          <cell r="A720">
            <v>608</v>
          </cell>
          <cell r="B720" t="str">
            <v>皇城深处</v>
          </cell>
          <cell r="C720" t="str">
            <v>1502637;1502638;1502639;1502640;1502641;</v>
          </cell>
          <cell r="D720" t="str">
            <v>1502637;1502638;1502639;1502640;1502641;1502642;</v>
          </cell>
          <cell r="E720" t="str">
            <v>1502637;1502638;1502639;1502640;1502641;1502642;1502643;</v>
          </cell>
        </row>
        <row r="720">
          <cell r="G720">
            <v>0</v>
          </cell>
          <cell r="H720">
            <v>1</v>
          </cell>
          <cell r="I720">
            <v>1</v>
          </cell>
          <cell r="J720" t="b">
            <v>0</v>
          </cell>
          <cell r="K720">
            <v>1002</v>
          </cell>
          <cell r="L720">
            <v>-6.34</v>
          </cell>
          <cell r="M720">
            <v>-7.69</v>
          </cell>
          <cell r="N720">
            <v>0</v>
          </cell>
          <cell r="O720" t="str">
            <v>0</v>
          </cell>
          <cell r="P720" t="str">
            <v>0.362,-5.65;
0.34,-7.68;</v>
          </cell>
          <cell r="Q720">
            <v>12000</v>
          </cell>
          <cell r="R720">
            <v>0</v>
          </cell>
          <cell r="S720" t="str">
            <v>1001+35;1002+40;</v>
          </cell>
          <cell r="T720" t="str">
            <v>11000,1</v>
          </cell>
        </row>
        <row r="721">
          <cell r="A721">
            <v>609</v>
          </cell>
          <cell r="B721" t="str">
            <v>大名府邸</v>
          </cell>
          <cell r="C721" t="str">
            <v>1502644;1502645;1502646;1502647;</v>
          </cell>
          <cell r="D721" t="str">
            <v>1502644;1502645;1502646;1502647;1502648;</v>
          </cell>
          <cell r="E721" t="str">
            <v>1502644;1502645;1502646;1502647;1502648;1502649;</v>
          </cell>
        </row>
        <row r="721">
          <cell r="G721">
            <v>0</v>
          </cell>
          <cell r="H721">
            <v>1</v>
          </cell>
          <cell r="I721">
            <v>1</v>
          </cell>
          <cell r="J721" t="b">
            <v>0</v>
          </cell>
          <cell r="K721">
            <v>1002</v>
          </cell>
          <cell r="L721">
            <v>-6.34</v>
          </cell>
          <cell r="M721">
            <v>-7.69</v>
          </cell>
          <cell r="N721">
            <v>0</v>
          </cell>
          <cell r="O721" t="str">
            <v>0</v>
          </cell>
          <cell r="P721" t="str">
            <v>0.362,-5.65;
0.34,-7.68;</v>
          </cell>
          <cell r="Q721">
            <v>12000</v>
          </cell>
          <cell r="R721">
            <v>0</v>
          </cell>
          <cell r="S721" t="str">
            <v>1001+35;1002+40;</v>
          </cell>
        </row>
        <row r="722">
          <cell r="A722">
            <v>610</v>
          </cell>
          <cell r="B722" t="str">
            <v>大名府邸</v>
          </cell>
          <cell r="C722" t="str">
            <v>1502541;1502542;1502543;1502544;1502545;</v>
          </cell>
          <cell r="D722" t="str">
            <v>1502650;1502651;1502652;1502653;1502654;1502655;</v>
          </cell>
          <cell r="E722" t="str">
            <v>1502650;1502651;1502652;1502653;1502654;1502655;1502656;</v>
          </cell>
        </row>
        <row r="722">
          <cell r="G722">
            <v>0</v>
          </cell>
          <cell r="H722">
            <v>1</v>
          </cell>
          <cell r="I722">
            <v>1</v>
          </cell>
          <cell r="J722" t="b">
            <v>0</v>
          </cell>
          <cell r="K722">
            <v>1002</v>
          </cell>
          <cell r="L722">
            <v>-6.34</v>
          </cell>
          <cell r="M722">
            <v>-7.69</v>
          </cell>
          <cell r="N722">
            <v>0</v>
          </cell>
          <cell r="O722" t="str">
            <v>0</v>
          </cell>
          <cell r="P722" t="str">
            <v>0.362,-5.65;
0.34,-7.68;</v>
          </cell>
          <cell r="Q722">
            <v>12000</v>
          </cell>
          <cell r="R722">
            <v>0</v>
          </cell>
          <cell r="S722" t="str">
            <v>1001+35;1002+40;</v>
          </cell>
        </row>
        <row r="723">
          <cell r="A723">
            <v>611</v>
          </cell>
          <cell r="B723" t="str">
            <v>大名府邸</v>
          </cell>
          <cell r="C723" t="str">
            <v>1502546;1502547;1502548;1502549;1502550;</v>
          </cell>
          <cell r="D723" t="str">
            <v>1502655;1502656;1502657;1502658;1502659;1502660;</v>
          </cell>
          <cell r="E723" t="str">
            <v>1502655;1502656;1502657;1502658;1502659;1502660;1502661;</v>
          </cell>
        </row>
        <row r="723">
          <cell r="G723">
            <v>0</v>
          </cell>
          <cell r="H723">
            <v>1</v>
          </cell>
          <cell r="I723">
            <v>1</v>
          </cell>
          <cell r="J723" t="b">
            <v>0</v>
          </cell>
          <cell r="K723">
            <v>1002</v>
          </cell>
          <cell r="L723">
            <v>-6.34</v>
          </cell>
          <cell r="M723">
            <v>-7.69</v>
          </cell>
          <cell r="N723">
            <v>0</v>
          </cell>
          <cell r="O723" t="str">
            <v>0</v>
          </cell>
          <cell r="P723" t="str">
            <v>0.362,-5.65;
0.34,-7.68;</v>
          </cell>
          <cell r="Q723">
            <v>12000</v>
          </cell>
          <cell r="R723">
            <v>0</v>
          </cell>
          <cell r="S723" t="str">
            <v>1001+35;1002+40;</v>
          </cell>
        </row>
        <row r="724">
          <cell r="A724">
            <v>612</v>
          </cell>
          <cell r="B724" t="str">
            <v>大名府邸</v>
          </cell>
          <cell r="C724" t="str">
            <v>1502553;1502554;1502555;1502556;</v>
          </cell>
          <cell r="D724" t="str">
            <v>1502662;1502663;1502664;1502665;1502666;</v>
          </cell>
          <cell r="E724" t="str">
            <v>1502662;1502663;1502664;1502665;1502666;1502667;</v>
          </cell>
        </row>
        <row r="724">
          <cell r="G724">
            <v>0</v>
          </cell>
          <cell r="H724">
            <v>1</v>
          </cell>
          <cell r="I724">
            <v>1</v>
          </cell>
          <cell r="J724" t="b">
            <v>0</v>
          </cell>
          <cell r="K724">
            <v>1002</v>
          </cell>
          <cell r="L724">
            <v>-6.34</v>
          </cell>
          <cell r="M724">
            <v>-7.69</v>
          </cell>
          <cell r="N724">
            <v>0</v>
          </cell>
          <cell r="O724" t="str">
            <v>0</v>
          </cell>
          <cell r="P724" t="str">
            <v>0.362,-5.65;
0.34,-7.68;</v>
          </cell>
          <cell r="Q724">
            <v>12000</v>
          </cell>
          <cell r="R724">
            <v>0</v>
          </cell>
          <cell r="S724" t="str">
            <v>1001+35;1002+40;</v>
          </cell>
        </row>
        <row r="725">
          <cell r="A725">
            <v>613</v>
          </cell>
          <cell r="B725" t="str">
            <v>大名府邸</v>
          </cell>
          <cell r="C725" t="str">
            <v>1502559;1502560;1502561;1502562;</v>
          </cell>
          <cell r="D725" t="str">
            <v>1502668;1502669;1502670;1502671;1502672;</v>
          </cell>
          <cell r="E725" t="str">
            <v>1502668;1502669;1502670;1502671;1502672;1502673;1502674;</v>
          </cell>
        </row>
        <row r="725">
          <cell r="G725">
            <v>0</v>
          </cell>
          <cell r="H725">
            <v>1</v>
          </cell>
          <cell r="I725">
            <v>1</v>
          </cell>
          <cell r="J725" t="b">
            <v>0</v>
          </cell>
          <cell r="K725">
            <v>1002</v>
          </cell>
          <cell r="L725">
            <v>-6.34</v>
          </cell>
          <cell r="M725">
            <v>-7.69</v>
          </cell>
          <cell r="N725">
            <v>0</v>
          </cell>
          <cell r="O725" t="str">
            <v>0</v>
          </cell>
          <cell r="P725" t="str">
            <v>0.362,-5.65;
0.34,-7.68;</v>
          </cell>
          <cell r="Q725">
            <v>12000</v>
          </cell>
          <cell r="R725">
            <v>0</v>
          </cell>
          <cell r="S725" t="str">
            <v>1001+35;1002+40;</v>
          </cell>
          <cell r="T725" t="str">
            <v>11100,1</v>
          </cell>
        </row>
        <row r="726">
          <cell r="A726">
            <v>614</v>
          </cell>
          <cell r="B726" t="str">
            <v>水贼巢穴</v>
          </cell>
          <cell r="C726" t="str">
            <v>1502565;1502566;1502567;1502568;1502569;</v>
          </cell>
          <cell r="D726" t="str">
            <v>1502674;1502675;1502676;1502677;1502678;1502679;</v>
          </cell>
          <cell r="E726" t="str">
            <v>1502674;1502675;1502676;1502677;1502678;1502679;</v>
          </cell>
        </row>
        <row r="726">
          <cell r="G726">
            <v>0</v>
          </cell>
          <cell r="H726">
            <v>1</v>
          </cell>
          <cell r="I726">
            <v>1</v>
          </cell>
          <cell r="J726" t="b">
            <v>0</v>
          </cell>
          <cell r="K726">
            <v>1002</v>
          </cell>
          <cell r="L726">
            <v>-6.34</v>
          </cell>
          <cell r="M726">
            <v>-7.69</v>
          </cell>
          <cell r="N726">
            <v>0</v>
          </cell>
          <cell r="O726" t="str">
            <v>0</v>
          </cell>
          <cell r="P726" t="str">
            <v>0.362,-5.65;
0.34,-7.68;</v>
          </cell>
          <cell r="Q726">
            <v>12000</v>
          </cell>
          <cell r="R726">
            <v>0</v>
          </cell>
          <cell r="S726" t="str">
            <v>1001+35;1002+40;</v>
          </cell>
        </row>
        <row r="727">
          <cell r="A727">
            <v>615</v>
          </cell>
          <cell r="B727" t="str">
            <v>水贼巢穴</v>
          </cell>
          <cell r="C727" t="str">
            <v>1502572;1502573;1502574;1502575;</v>
          </cell>
          <cell r="D727" t="str">
            <v>1502681;1502682;1502683;1502684;1502685;</v>
          </cell>
          <cell r="E727" t="str">
            <v>1502681;1502682;1502683;1502684;1502685;1502686;</v>
          </cell>
        </row>
        <row r="727">
          <cell r="G727">
            <v>0</v>
          </cell>
          <cell r="H727">
            <v>1</v>
          </cell>
          <cell r="I727">
            <v>1</v>
          </cell>
          <cell r="J727" t="b">
            <v>0</v>
          </cell>
          <cell r="K727">
            <v>1002</v>
          </cell>
          <cell r="L727">
            <v>-6.34</v>
          </cell>
          <cell r="M727">
            <v>-7.69</v>
          </cell>
          <cell r="N727">
            <v>0</v>
          </cell>
          <cell r="O727" t="str">
            <v>0</v>
          </cell>
          <cell r="P727" t="str">
            <v>0.362,-5.65;
0.34,-7.68;</v>
          </cell>
          <cell r="Q727">
            <v>12000</v>
          </cell>
          <cell r="R727">
            <v>0</v>
          </cell>
          <cell r="S727" t="str">
            <v>1001+35;1002+40;</v>
          </cell>
        </row>
        <row r="728">
          <cell r="A728">
            <v>616</v>
          </cell>
          <cell r="B728" t="str">
            <v>水贼巢穴</v>
          </cell>
          <cell r="C728" t="str">
            <v>1502578;1502579;1502580;1502581;</v>
          </cell>
          <cell r="D728" t="str">
            <v>1502687;1502688;1502689;1502690;1502691;</v>
          </cell>
          <cell r="E728" t="str">
            <v>1502687;1502688;1502689;1502690;1502691;1502692;</v>
          </cell>
        </row>
        <row r="728">
          <cell r="G728">
            <v>0</v>
          </cell>
          <cell r="H728">
            <v>1</v>
          </cell>
          <cell r="I728">
            <v>1</v>
          </cell>
          <cell r="J728" t="b">
            <v>0</v>
          </cell>
          <cell r="K728">
            <v>1002</v>
          </cell>
          <cell r="L728">
            <v>-6.34</v>
          </cell>
          <cell r="M728">
            <v>-7.69</v>
          </cell>
          <cell r="N728">
            <v>0</v>
          </cell>
          <cell r="O728" t="str">
            <v>0</v>
          </cell>
          <cell r="P728" t="str">
            <v>0.362,-5.65;
0.34,-7.68;</v>
          </cell>
          <cell r="Q728">
            <v>12000</v>
          </cell>
          <cell r="R728">
            <v>0</v>
          </cell>
          <cell r="S728" t="str">
            <v>1001+35;1002+40;</v>
          </cell>
        </row>
        <row r="729">
          <cell r="A729">
            <v>617</v>
          </cell>
          <cell r="B729" t="str">
            <v>水贼巢穴</v>
          </cell>
          <cell r="C729" t="str">
            <v>1502584;1502585;1502586;1502587;1502588;</v>
          </cell>
          <cell r="D729" t="str">
            <v>1502693;1502694;1502695;1502696;1502697;1502698;</v>
          </cell>
          <cell r="E729" t="str">
            <v>1502693;1502694;1502695;1502696;1502697;1502698;1502699;</v>
          </cell>
        </row>
        <row r="729">
          <cell r="G729">
            <v>0</v>
          </cell>
          <cell r="H729">
            <v>1</v>
          </cell>
          <cell r="I729">
            <v>1</v>
          </cell>
          <cell r="J729" t="b">
            <v>0</v>
          </cell>
          <cell r="K729">
            <v>1002</v>
          </cell>
          <cell r="L729">
            <v>-6.34</v>
          </cell>
          <cell r="M729">
            <v>-7.69</v>
          </cell>
          <cell r="N729">
            <v>0</v>
          </cell>
          <cell r="O729" t="str">
            <v>0</v>
          </cell>
          <cell r="P729" t="str">
            <v>0.362,-5.65;
0.34,-7.68;</v>
          </cell>
          <cell r="Q729">
            <v>12000</v>
          </cell>
          <cell r="R729">
            <v>0</v>
          </cell>
          <cell r="S729" t="str">
            <v>1001+35;1002+40;</v>
          </cell>
        </row>
        <row r="730">
          <cell r="A730">
            <v>618</v>
          </cell>
          <cell r="B730" t="str">
            <v>水贼巢穴</v>
          </cell>
          <cell r="C730" t="str">
            <v>1502592;1502593;1502594;1502595;1502596;</v>
          </cell>
          <cell r="D730" t="str">
            <v>1502701;1502702;1502703;1502704;1502705;1502706;</v>
          </cell>
          <cell r="E730" t="str">
            <v>1502701;1502702;1502703;1502704;1502705;1502706;1502707;</v>
          </cell>
        </row>
        <row r="730">
          <cell r="G730">
            <v>0</v>
          </cell>
          <cell r="H730">
            <v>1</v>
          </cell>
          <cell r="I730">
            <v>1</v>
          </cell>
          <cell r="J730" t="b">
            <v>0</v>
          </cell>
          <cell r="K730">
            <v>1002</v>
          </cell>
          <cell r="L730">
            <v>-6.34</v>
          </cell>
          <cell r="M730">
            <v>-7.69</v>
          </cell>
          <cell r="N730">
            <v>0</v>
          </cell>
          <cell r="O730" t="str">
            <v>0</v>
          </cell>
          <cell r="P730" t="str">
            <v>0.362,-5.65;
0.34,-7.68;</v>
          </cell>
          <cell r="Q730">
            <v>12000</v>
          </cell>
          <cell r="R730">
            <v>0</v>
          </cell>
          <cell r="S730" t="str">
            <v>1001+35;1002+40;</v>
          </cell>
        </row>
        <row r="731">
          <cell r="A731">
            <v>619</v>
          </cell>
          <cell r="B731" t="str">
            <v>水贼巢穴</v>
          </cell>
          <cell r="C731" t="str">
            <v>1502599;1502600;1502601;1502602;1502603;</v>
          </cell>
          <cell r="D731" t="str">
            <v>1502708;1502709;1502710;1502711;1502712;1502713;</v>
          </cell>
          <cell r="E731" t="str">
            <v>1502708;1502709;1502710;1502711;1502712;1502713;1502714;</v>
          </cell>
        </row>
        <row r="731">
          <cell r="G731">
            <v>0</v>
          </cell>
          <cell r="H731">
            <v>1</v>
          </cell>
          <cell r="I731">
            <v>1</v>
          </cell>
          <cell r="J731" t="b">
            <v>0</v>
          </cell>
          <cell r="K731">
            <v>1002</v>
          </cell>
          <cell r="L731">
            <v>-6.34</v>
          </cell>
          <cell r="M731">
            <v>-7.69</v>
          </cell>
          <cell r="N731">
            <v>0</v>
          </cell>
          <cell r="O731" t="str">
            <v>0</v>
          </cell>
          <cell r="P731" t="str">
            <v>0.362,-5.65;
0.34,-7.68;</v>
          </cell>
          <cell r="Q731">
            <v>12000</v>
          </cell>
          <cell r="R731">
            <v>0</v>
          </cell>
          <cell r="S731" t="str">
            <v>1001+35;1002+40;</v>
          </cell>
          <cell r="T731" t="str">
            <v>11100,1</v>
          </cell>
        </row>
        <row r="732">
          <cell r="A732">
            <v>620</v>
          </cell>
          <cell r="B732" t="str">
            <v>皇城深处</v>
          </cell>
          <cell r="C732" t="str">
            <v>1502605;1502606;1502607;1502608;</v>
          </cell>
          <cell r="D732" t="str">
            <v>1502714;1502715;1502716;1502717;1502718;</v>
          </cell>
          <cell r="E732" t="str">
            <v>1502714;1502715;1502716;1502717;1502718;1502719;</v>
          </cell>
        </row>
        <row r="732">
          <cell r="G732">
            <v>0</v>
          </cell>
          <cell r="H732">
            <v>1</v>
          </cell>
          <cell r="I732">
            <v>1</v>
          </cell>
          <cell r="J732" t="b">
            <v>0</v>
          </cell>
          <cell r="K732">
            <v>1002</v>
          </cell>
          <cell r="L732">
            <v>-6.34</v>
          </cell>
          <cell r="M732">
            <v>-7.69</v>
          </cell>
          <cell r="N732">
            <v>0</v>
          </cell>
          <cell r="O732" t="str">
            <v>0</v>
          </cell>
          <cell r="P732" t="str">
            <v>0.362,-5.65;
0.34,-7.68;</v>
          </cell>
          <cell r="Q732">
            <v>12000</v>
          </cell>
          <cell r="R732">
            <v>0</v>
          </cell>
          <cell r="S732" t="str">
            <v>1001+35;1002+40;</v>
          </cell>
        </row>
        <row r="733">
          <cell r="A733">
            <v>621</v>
          </cell>
          <cell r="B733" t="str">
            <v>皇城深处</v>
          </cell>
          <cell r="C733" t="str">
            <v>1502611;1502612;1502613;1502614;1502615;</v>
          </cell>
          <cell r="D733" t="str">
            <v>1502720;1502721;1502722;1502723;1502724;1502725;</v>
          </cell>
          <cell r="E733" t="str">
            <v>1502720;1502721;1502722;1502723;1502724;1502725;1502726;</v>
          </cell>
        </row>
        <row r="733">
          <cell r="G733">
            <v>0</v>
          </cell>
          <cell r="H733">
            <v>1</v>
          </cell>
          <cell r="I733">
            <v>1</v>
          </cell>
          <cell r="J733" t="b">
            <v>0</v>
          </cell>
          <cell r="K733">
            <v>1002</v>
          </cell>
          <cell r="L733">
            <v>-6.34</v>
          </cell>
          <cell r="M733">
            <v>-7.69</v>
          </cell>
          <cell r="N733">
            <v>0</v>
          </cell>
          <cell r="O733" t="str">
            <v>0</v>
          </cell>
          <cell r="P733" t="str">
            <v>0.362,-5.65;
0.34,-7.68;</v>
          </cell>
          <cell r="Q733">
            <v>12000</v>
          </cell>
          <cell r="R733">
            <v>0</v>
          </cell>
          <cell r="S733" t="str">
            <v>1001+35;1002+40;</v>
          </cell>
        </row>
        <row r="734">
          <cell r="A734">
            <v>622</v>
          </cell>
          <cell r="B734" t="str">
            <v>皇城深处</v>
          </cell>
          <cell r="C734" t="str">
            <v>1502618;1502619;1502620;1502621;1502622;</v>
          </cell>
          <cell r="D734" t="str">
            <v>1502727;1502728;1502729;1502730;1502731;1502732;</v>
          </cell>
          <cell r="E734" t="str">
            <v>1502727;1502728;1502729;1502730;1502731;1502732;1502733;</v>
          </cell>
        </row>
        <row r="734">
          <cell r="G734">
            <v>0</v>
          </cell>
          <cell r="H734">
            <v>1</v>
          </cell>
          <cell r="I734">
            <v>1</v>
          </cell>
          <cell r="J734" t="b">
            <v>0</v>
          </cell>
          <cell r="K734">
            <v>1002</v>
          </cell>
          <cell r="L734">
            <v>-6.34</v>
          </cell>
          <cell r="M734">
            <v>-7.69</v>
          </cell>
          <cell r="N734">
            <v>0</v>
          </cell>
          <cell r="O734" t="str">
            <v>0</v>
          </cell>
          <cell r="P734" t="str">
            <v>0.362,-5.65;
0.34,-7.68;</v>
          </cell>
          <cell r="Q734">
            <v>12000</v>
          </cell>
          <cell r="R734">
            <v>0</v>
          </cell>
          <cell r="S734" t="str">
            <v>1001+35;1002+40;</v>
          </cell>
        </row>
        <row r="735">
          <cell r="A735">
            <v>623</v>
          </cell>
          <cell r="B735" t="str">
            <v>皇城深处</v>
          </cell>
          <cell r="C735" t="str">
            <v>1502624;1502625;1502626;1502627;1502628;</v>
          </cell>
          <cell r="D735" t="str">
            <v>1502733;1502734;1502735;1502736;1502737;1502738;</v>
          </cell>
          <cell r="E735" t="str">
            <v>1502733;1502734;1502735;1502736;1502737;1502738;1502739;</v>
          </cell>
        </row>
        <row r="735">
          <cell r="G735">
            <v>0</v>
          </cell>
          <cell r="H735">
            <v>1</v>
          </cell>
          <cell r="I735">
            <v>1</v>
          </cell>
          <cell r="J735" t="b">
            <v>0</v>
          </cell>
          <cell r="K735">
            <v>1002</v>
          </cell>
          <cell r="L735">
            <v>-6.34</v>
          </cell>
          <cell r="M735">
            <v>-7.69</v>
          </cell>
          <cell r="N735">
            <v>0</v>
          </cell>
          <cell r="O735" t="str">
            <v>0</v>
          </cell>
          <cell r="P735" t="str">
            <v>0.362,-5.65;
0.34,-7.68;</v>
          </cell>
          <cell r="Q735">
            <v>12000</v>
          </cell>
          <cell r="R735">
            <v>0</v>
          </cell>
          <cell r="S735" t="str">
            <v>1001+35;1002+40;</v>
          </cell>
        </row>
        <row r="736">
          <cell r="A736">
            <v>624</v>
          </cell>
          <cell r="B736" t="str">
            <v>皇城深处</v>
          </cell>
          <cell r="C736" t="str">
            <v>1502631;1502632;1502633;1502634;</v>
          </cell>
          <cell r="D736" t="str">
            <v>1502740;1502741;1502742;1502743;1502744;</v>
          </cell>
          <cell r="E736" t="str">
            <v>1502740;1502741;1502742;1502743;1502744;1502745;</v>
          </cell>
        </row>
        <row r="736">
          <cell r="G736">
            <v>0</v>
          </cell>
          <cell r="H736">
            <v>1</v>
          </cell>
          <cell r="I736">
            <v>1</v>
          </cell>
          <cell r="J736" t="b">
            <v>0</v>
          </cell>
          <cell r="K736">
            <v>1002</v>
          </cell>
          <cell r="L736">
            <v>-6.34</v>
          </cell>
          <cell r="M736">
            <v>-7.69</v>
          </cell>
          <cell r="N736">
            <v>0</v>
          </cell>
          <cell r="O736" t="str">
            <v>0</v>
          </cell>
          <cell r="P736" t="str">
            <v>0.362,-5.65;
0.34,-7.68;</v>
          </cell>
          <cell r="Q736">
            <v>12000</v>
          </cell>
          <cell r="R736">
            <v>0</v>
          </cell>
          <cell r="S736" t="str">
            <v>1001+35;1002+40;</v>
          </cell>
        </row>
        <row r="737">
          <cell r="A737">
            <v>625</v>
          </cell>
          <cell r="B737" t="str">
            <v>皇城深处</v>
          </cell>
          <cell r="C737" t="str">
            <v>1502637;1502638;1502639;1502640;1502641;</v>
          </cell>
          <cell r="D737" t="str">
            <v>1502746;1502747;1502748;1502749;1502750;1502751;</v>
          </cell>
          <cell r="E737" t="str">
            <v>1502746;1502747;1502748;1502749;1502750;1502751;1502752;</v>
          </cell>
        </row>
        <row r="737">
          <cell r="G737">
            <v>0</v>
          </cell>
          <cell r="H737">
            <v>1</v>
          </cell>
          <cell r="I737">
            <v>1</v>
          </cell>
          <cell r="J737" t="b">
            <v>0</v>
          </cell>
          <cell r="K737">
            <v>1002</v>
          </cell>
          <cell r="L737">
            <v>-6.34</v>
          </cell>
          <cell r="M737">
            <v>-7.69</v>
          </cell>
          <cell r="N737">
            <v>0</v>
          </cell>
          <cell r="O737" t="str">
            <v>0</v>
          </cell>
          <cell r="P737" t="str">
            <v>0.362,-5.65;
0.34,-7.68;</v>
          </cell>
          <cell r="Q737">
            <v>12000</v>
          </cell>
          <cell r="R737">
            <v>0</v>
          </cell>
          <cell r="S737" t="str">
            <v>1001+35;1002+40;</v>
          </cell>
          <cell r="T737" t="str">
            <v>11100,1</v>
          </cell>
        </row>
        <row r="738">
          <cell r="A738">
            <v>626</v>
          </cell>
          <cell r="B738" t="str">
            <v>大名府邸</v>
          </cell>
          <cell r="C738" t="str">
            <v>1502753;1502754;1502755;1502756;</v>
          </cell>
          <cell r="D738" t="str">
            <v>1502753;1502754;1502755;1502756;1502757;</v>
          </cell>
          <cell r="E738" t="str">
            <v>1502753;1502754;1502755;1502756;1502757;1502758;</v>
          </cell>
        </row>
        <row r="738">
          <cell r="G738">
            <v>0</v>
          </cell>
          <cell r="H738">
            <v>1</v>
          </cell>
          <cell r="I738">
            <v>1</v>
          </cell>
          <cell r="J738" t="b">
            <v>0</v>
          </cell>
          <cell r="K738">
            <v>1002</v>
          </cell>
          <cell r="L738">
            <v>-6.34</v>
          </cell>
          <cell r="M738">
            <v>-7.69</v>
          </cell>
          <cell r="N738">
            <v>0</v>
          </cell>
          <cell r="O738" t="str">
            <v>0</v>
          </cell>
          <cell r="P738" t="str">
            <v>0.362,-5.65;
0.34,-7.68;</v>
          </cell>
          <cell r="Q738">
            <v>12000</v>
          </cell>
          <cell r="R738">
            <v>0</v>
          </cell>
          <cell r="S738" t="str">
            <v>1001+35;1002+40;</v>
          </cell>
        </row>
        <row r="739">
          <cell r="A739">
            <v>627</v>
          </cell>
          <cell r="B739" t="str">
            <v>大名府邸</v>
          </cell>
          <cell r="C739" t="str">
            <v>1502541;1502542;1502543;1502544;1502545;</v>
          </cell>
          <cell r="D739" t="str">
            <v>1502759;1502760;1502761;1502762;1502763;1502764;</v>
          </cell>
          <cell r="E739" t="str">
            <v>1502759;1502760;1502761;1502762;1502763;1502764;1502765;</v>
          </cell>
        </row>
        <row r="739">
          <cell r="G739">
            <v>0</v>
          </cell>
          <cell r="H739">
            <v>1</v>
          </cell>
          <cell r="I739">
            <v>1</v>
          </cell>
          <cell r="J739" t="b">
            <v>0</v>
          </cell>
          <cell r="K739">
            <v>1002</v>
          </cell>
          <cell r="L739">
            <v>-6.34</v>
          </cell>
          <cell r="M739">
            <v>-7.69</v>
          </cell>
          <cell r="N739">
            <v>0</v>
          </cell>
          <cell r="O739" t="str">
            <v>0</v>
          </cell>
          <cell r="P739" t="str">
            <v>0.362,-5.65;
0.34,-7.68;</v>
          </cell>
          <cell r="Q739">
            <v>12000</v>
          </cell>
          <cell r="R739">
            <v>0</v>
          </cell>
          <cell r="S739" t="str">
            <v>1001+35;1002+40;</v>
          </cell>
        </row>
        <row r="740">
          <cell r="A740">
            <v>628</v>
          </cell>
          <cell r="B740" t="str">
            <v>大名府邸</v>
          </cell>
          <cell r="C740" t="str">
            <v>1502546;1502547;1502548;1502549;1502550;</v>
          </cell>
          <cell r="D740" t="str">
            <v>1502764;1502765;1502766;1502767;1502768;1502769;</v>
          </cell>
          <cell r="E740" t="str">
            <v>1502764;1502765;1502766;1502767;1502768;1502769;1502770;</v>
          </cell>
        </row>
        <row r="740">
          <cell r="G740">
            <v>0</v>
          </cell>
          <cell r="H740">
            <v>1</v>
          </cell>
          <cell r="I740">
            <v>1</v>
          </cell>
          <cell r="J740" t="b">
            <v>0</v>
          </cell>
          <cell r="K740">
            <v>1002</v>
          </cell>
          <cell r="L740">
            <v>-6.34</v>
          </cell>
          <cell r="M740">
            <v>-7.69</v>
          </cell>
          <cell r="N740">
            <v>0</v>
          </cell>
          <cell r="O740" t="str">
            <v>0</v>
          </cell>
          <cell r="P740" t="str">
            <v>0.362,-5.65;
0.34,-7.68;</v>
          </cell>
          <cell r="Q740">
            <v>12000</v>
          </cell>
          <cell r="R740">
            <v>0</v>
          </cell>
          <cell r="S740" t="str">
            <v>1001+35;1002+40;</v>
          </cell>
        </row>
        <row r="741">
          <cell r="A741">
            <v>629</v>
          </cell>
          <cell r="B741" t="str">
            <v>大名府邸</v>
          </cell>
          <cell r="C741" t="str">
            <v>1502553;1502554;1502555;1502556;</v>
          </cell>
          <cell r="D741" t="str">
            <v>1502771;1502772;1502773;1502774;1502775;</v>
          </cell>
          <cell r="E741" t="str">
            <v>1502771;1502772;1502773;1502774;1502775;1502776;</v>
          </cell>
        </row>
        <row r="741">
          <cell r="G741">
            <v>0</v>
          </cell>
          <cell r="H741">
            <v>1</v>
          </cell>
          <cell r="I741">
            <v>1</v>
          </cell>
          <cell r="J741" t="b">
            <v>0</v>
          </cell>
          <cell r="K741">
            <v>1002</v>
          </cell>
          <cell r="L741">
            <v>-6.34</v>
          </cell>
          <cell r="M741">
            <v>-7.69</v>
          </cell>
          <cell r="N741">
            <v>0</v>
          </cell>
          <cell r="O741" t="str">
            <v>0</v>
          </cell>
          <cell r="P741" t="str">
            <v>0.362,-5.65;
0.34,-7.68;</v>
          </cell>
          <cell r="Q741">
            <v>12000</v>
          </cell>
          <cell r="R741">
            <v>0</v>
          </cell>
          <cell r="S741" t="str">
            <v>1001+35;1002+40;</v>
          </cell>
        </row>
        <row r="742">
          <cell r="A742">
            <v>630</v>
          </cell>
          <cell r="B742" t="str">
            <v>大名府邸</v>
          </cell>
          <cell r="C742" t="str">
            <v>1502559;1502560;1502561;1502562;</v>
          </cell>
          <cell r="D742" t="str">
            <v>1502777;1502778;1502779;1502780;1502781;</v>
          </cell>
          <cell r="E742" t="str">
            <v>1502777;1502778;1502779;1502780;1502781;1502782;1502783;</v>
          </cell>
        </row>
        <row r="742">
          <cell r="G742">
            <v>0</v>
          </cell>
          <cell r="H742">
            <v>1</v>
          </cell>
          <cell r="I742">
            <v>1</v>
          </cell>
          <cell r="J742" t="b">
            <v>0</v>
          </cell>
          <cell r="K742">
            <v>1002</v>
          </cell>
          <cell r="L742">
            <v>-6.34</v>
          </cell>
          <cell r="M742">
            <v>-7.69</v>
          </cell>
          <cell r="N742">
            <v>0</v>
          </cell>
          <cell r="O742" t="str">
            <v>0</v>
          </cell>
          <cell r="P742" t="str">
            <v>0.362,-5.65;
0.34,-7.68;</v>
          </cell>
          <cell r="Q742">
            <v>12000</v>
          </cell>
          <cell r="R742">
            <v>0</v>
          </cell>
          <cell r="S742" t="str">
            <v>1001+35;1002+40;</v>
          </cell>
          <cell r="T742" t="str">
            <v>11200,1 </v>
          </cell>
        </row>
        <row r="743">
          <cell r="A743">
            <v>631</v>
          </cell>
          <cell r="B743" t="str">
            <v>水贼巢穴</v>
          </cell>
          <cell r="C743" t="str">
            <v>1502565;1502566;1502567;1502568;1502569;</v>
          </cell>
          <cell r="D743" t="str">
            <v>1502783;1502784;1502785;1502786;1502787;1502788;</v>
          </cell>
          <cell r="E743" t="str">
            <v>1502783;1502784;1502785;1502786;1502787;1502788;</v>
          </cell>
        </row>
        <row r="743">
          <cell r="G743">
            <v>0</v>
          </cell>
          <cell r="H743">
            <v>1</v>
          </cell>
          <cell r="I743">
            <v>1</v>
          </cell>
          <cell r="J743" t="b">
            <v>0</v>
          </cell>
          <cell r="K743">
            <v>1002</v>
          </cell>
          <cell r="L743">
            <v>-6.34</v>
          </cell>
          <cell r="M743">
            <v>-7.69</v>
          </cell>
          <cell r="N743">
            <v>0</v>
          </cell>
          <cell r="O743" t="str">
            <v>0</v>
          </cell>
          <cell r="P743" t="str">
            <v>0.362,-5.65;
0.34,-7.68;</v>
          </cell>
          <cell r="Q743">
            <v>12000</v>
          </cell>
          <cell r="R743">
            <v>0</v>
          </cell>
          <cell r="S743" t="str">
            <v>1001+35;1002+40;</v>
          </cell>
        </row>
        <row r="744">
          <cell r="A744">
            <v>632</v>
          </cell>
          <cell r="B744" t="str">
            <v>水贼巢穴</v>
          </cell>
          <cell r="C744" t="str">
            <v>1502572;1502573;1502574;1502575;</v>
          </cell>
          <cell r="D744" t="str">
            <v>1502790;1502791;1502792;1502793;1502794;</v>
          </cell>
          <cell r="E744" t="str">
            <v>1502790;1502791;1502792;1502793;1502794;1502795;</v>
          </cell>
        </row>
        <row r="744">
          <cell r="G744">
            <v>0</v>
          </cell>
          <cell r="H744">
            <v>1</v>
          </cell>
          <cell r="I744">
            <v>1</v>
          </cell>
          <cell r="J744" t="b">
            <v>0</v>
          </cell>
          <cell r="K744">
            <v>1002</v>
          </cell>
          <cell r="L744">
            <v>-6.34</v>
          </cell>
          <cell r="M744">
            <v>-7.69</v>
          </cell>
          <cell r="N744">
            <v>0</v>
          </cell>
          <cell r="O744" t="str">
            <v>0</v>
          </cell>
          <cell r="P744" t="str">
            <v>0.362,-5.65;
0.34,-7.68;</v>
          </cell>
          <cell r="Q744">
            <v>12000</v>
          </cell>
          <cell r="R744">
            <v>0</v>
          </cell>
          <cell r="S744" t="str">
            <v>1001+35;1002+40;</v>
          </cell>
        </row>
        <row r="745">
          <cell r="A745">
            <v>633</v>
          </cell>
          <cell r="B745" t="str">
            <v>水贼巢穴</v>
          </cell>
          <cell r="C745" t="str">
            <v>1502578;1502579;1502580;1502581;</v>
          </cell>
          <cell r="D745" t="str">
            <v>1502796;1502797;1502798;1502799;1502800;</v>
          </cell>
          <cell r="E745" t="str">
            <v>1502796;1502797;1502798;1502799;1502800;1502801;</v>
          </cell>
        </row>
        <row r="745">
          <cell r="G745">
            <v>0</v>
          </cell>
          <cell r="H745">
            <v>1</v>
          </cell>
          <cell r="I745">
            <v>1</v>
          </cell>
          <cell r="J745" t="b">
            <v>0</v>
          </cell>
          <cell r="K745">
            <v>1002</v>
          </cell>
          <cell r="L745">
            <v>-6.34</v>
          </cell>
          <cell r="M745">
            <v>-7.69</v>
          </cell>
          <cell r="N745">
            <v>0</v>
          </cell>
          <cell r="O745" t="str">
            <v>0</v>
          </cell>
          <cell r="P745" t="str">
            <v>0.362,-5.65;
0.34,-7.68;</v>
          </cell>
          <cell r="Q745">
            <v>12000</v>
          </cell>
          <cell r="R745">
            <v>0</v>
          </cell>
          <cell r="S745" t="str">
            <v>1001+35;1002+40;</v>
          </cell>
        </row>
        <row r="746">
          <cell r="A746">
            <v>634</v>
          </cell>
          <cell r="B746" t="str">
            <v>水贼巢穴</v>
          </cell>
          <cell r="C746" t="str">
            <v>1502584;1502585;1502586;1502587;1502588;</v>
          </cell>
          <cell r="D746" t="str">
            <v>1502802;1502803;1502804;1502805;1502806;1502807;</v>
          </cell>
          <cell r="E746" t="str">
            <v>1502802;1502803;1502804;1502805;1502806;1502807;1502808;</v>
          </cell>
        </row>
        <row r="746">
          <cell r="G746">
            <v>0</v>
          </cell>
          <cell r="H746">
            <v>1</v>
          </cell>
          <cell r="I746">
            <v>1</v>
          </cell>
          <cell r="J746" t="b">
            <v>0</v>
          </cell>
          <cell r="K746">
            <v>1002</v>
          </cell>
          <cell r="L746">
            <v>-6.34</v>
          </cell>
          <cell r="M746">
            <v>-7.69</v>
          </cell>
          <cell r="N746">
            <v>0</v>
          </cell>
          <cell r="O746" t="str">
            <v>0</v>
          </cell>
          <cell r="P746" t="str">
            <v>0.362,-5.65;
0.34,-7.68;</v>
          </cell>
          <cell r="Q746">
            <v>12000</v>
          </cell>
          <cell r="R746">
            <v>0</v>
          </cell>
          <cell r="S746" t="str">
            <v>1001+35;1002+40;</v>
          </cell>
        </row>
        <row r="747">
          <cell r="A747">
            <v>635</v>
          </cell>
          <cell r="B747" t="str">
            <v>水贼巢穴</v>
          </cell>
          <cell r="C747" t="str">
            <v>1502592;1502593;1502594;1502595;1502596;</v>
          </cell>
          <cell r="D747" t="str">
            <v>1502810;1502811;1502812;1502813;1502814;1502815;</v>
          </cell>
          <cell r="E747" t="str">
            <v>1502810;1502811;1502812;1502813;1502814;1502815;1502816;</v>
          </cell>
        </row>
        <row r="747">
          <cell r="G747">
            <v>0</v>
          </cell>
          <cell r="H747">
            <v>1</v>
          </cell>
          <cell r="I747">
            <v>1</v>
          </cell>
          <cell r="J747" t="b">
            <v>0</v>
          </cell>
          <cell r="K747">
            <v>1002</v>
          </cell>
          <cell r="L747">
            <v>-6.34</v>
          </cell>
          <cell r="M747">
            <v>-7.69</v>
          </cell>
          <cell r="N747">
            <v>0</v>
          </cell>
          <cell r="O747" t="str">
            <v>0</v>
          </cell>
          <cell r="P747" t="str">
            <v>0.362,-5.65;
0.34,-7.68;</v>
          </cell>
          <cell r="Q747">
            <v>12000</v>
          </cell>
          <cell r="R747">
            <v>0</v>
          </cell>
          <cell r="S747" t="str">
            <v>1001+35;1002+40;</v>
          </cell>
        </row>
        <row r="748">
          <cell r="A748">
            <v>636</v>
          </cell>
          <cell r="B748" t="str">
            <v>水贼巢穴</v>
          </cell>
          <cell r="C748" t="str">
            <v>1502599;1502600;1502601;1502602;1502603;</v>
          </cell>
          <cell r="D748" t="str">
            <v>1502817;1502818;1502819;1502820;1502821;1502822;</v>
          </cell>
          <cell r="E748" t="str">
            <v>1502817;1502818;1502819;1502820;1502821;1502822;1502823;</v>
          </cell>
        </row>
        <row r="748">
          <cell r="G748">
            <v>0</v>
          </cell>
          <cell r="H748">
            <v>1</v>
          </cell>
          <cell r="I748">
            <v>1</v>
          </cell>
          <cell r="J748" t="b">
            <v>0</v>
          </cell>
          <cell r="K748">
            <v>1002</v>
          </cell>
          <cell r="L748">
            <v>-6.34</v>
          </cell>
          <cell r="M748">
            <v>-7.69</v>
          </cell>
          <cell r="N748">
            <v>0</v>
          </cell>
          <cell r="O748" t="str">
            <v>0</v>
          </cell>
          <cell r="P748" t="str">
            <v>0.362,-5.65;
0.34,-7.68;</v>
          </cell>
          <cell r="Q748">
            <v>12000</v>
          </cell>
          <cell r="R748">
            <v>0</v>
          </cell>
          <cell r="S748" t="str">
            <v>1001+35;1002+40;</v>
          </cell>
          <cell r="T748" t="str">
            <v>11200,1 </v>
          </cell>
        </row>
        <row r="749">
          <cell r="A749">
            <v>637</v>
          </cell>
          <cell r="B749" t="str">
            <v>皇城深处</v>
          </cell>
          <cell r="C749" t="str">
            <v>1502605;1502606;1502607;1502608;</v>
          </cell>
          <cell r="D749" t="str">
            <v>1502823;1502824;1502825;1502826;1502827;</v>
          </cell>
          <cell r="E749" t="str">
            <v>1502823;1502824;1502825;1502826;1502827;1502828;</v>
          </cell>
        </row>
        <row r="749">
          <cell r="G749">
            <v>0</v>
          </cell>
          <cell r="H749">
            <v>1</v>
          </cell>
          <cell r="I749">
            <v>1</v>
          </cell>
          <cell r="J749" t="b">
            <v>0</v>
          </cell>
          <cell r="K749">
            <v>1002</v>
          </cell>
          <cell r="L749">
            <v>-6.34</v>
          </cell>
          <cell r="M749">
            <v>-7.69</v>
          </cell>
          <cell r="N749">
            <v>0</v>
          </cell>
          <cell r="O749" t="str">
            <v>0</v>
          </cell>
          <cell r="P749" t="str">
            <v>0.362,-5.65;
0.34,-7.68;</v>
          </cell>
          <cell r="Q749">
            <v>12000</v>
          </cell>
          <cell r="R749">
            <v>0</v>
          </cell>
          <cell r="S749" t="str">
            <v>1001+35;1002+40;</v>
          </cell>
        </row>
        <row r="750">
          <cell r="A750">
            <v>638</v>
          </cell>
          <cell r="B750" t="str">
            <v>皇城深处</v>
          </cell>
          <cell r="C750" t="str">
            <v>1502611;1502612;1502613;1502614;1502615;</v>
          </cell>
          <cell r="D750" t="str">
            <v>1502829;1502830;1502831;1502832;1502833;1502834;</v>
          </cell>
          <cell r="E750" t="str">
            <v>1502829;1502830;1502831;1502832;1502833;1502834;1502835;</v>
          </cell>
        </row>
        <row r="750">
          <cell r="G750">
            <v>0</v>
          </cell>
          <cell r="H750">
            <v>1</v>
          </cell>
          <cell r="I750">
            <v>1</v>
          </cell>
          <cell r="J750" t="b">
            <v>0</v>
          </cell>
          <cell r="K750">
            <v>1002</v>
          </cell>
          <cell r="L750">
            <v>-6.34</v>
          </cell>
          <cell r="M750">
            <v>-7.69</v>
          </cell>
          <cell r="N750">
            <v>0</v>
          </cell>
          <cell r="O750" t="str">
            <v>0</v>
          </cell>
          <cell r="P750" t="str">
            <v>0.362,-5.65;
0.34,-7.68;</v>
          </cell>
          <cell r="Q750">
            <v>12000</v>
          </cell>
          <cell r="R750">
            <v>0</v>
          </cell>
          <cell r="S750" t="str">
            <v>1001+35;1002+40;</v>
          </cell>
        </row>
        <row r="751">
          <cell r="A751">
            <v>639</v>
          </cell>
          <cell r="B751" t="str">
            <v>皇城深处</v>
          </cell>
          <cell r="C751" t="str">
            <v>1502618;1502619;1502620;1502621;1502622;</v>
          </cell>
          <cell r="D751" t="str">
            <v>1502836;1502837;1502838;1502839;1502840;1502841;</v>
          </cell>
          <cell r="E751" t="str">
            <v>1502836;1502837;1502838;1502839;1502840;1502841;1502842;</v>
          </cell>
        </row>
        <row r="751">
          <cell r="G751">
            <v>0</v>
          </cell>
          <cell r="H751">
            <v>1</v>
          </cell>
          <cell r="I751">
            <v>1</v>
          </cell>
          <cell r="J751" t="b">
            <v>0</v>
          </cell>
          <cell r="K751">
            <v>1002</v>
          </cell>
          <cell r="L751">
            <v>-6.34</v>
          </cell>
          <cell r="M751">
            <v>-7.69</v>
          </cell>
          <cell r="N751">
            <v>0</v>
          </cell>
          <cell r="O751" t="str">
            <v>0</v>
          </cell>
          <cell r="P751" t="str">
            <v>0.362,-5.65;
0.34,-7.68;</v>
          </cell>
          <cell r="Q751">
            <v>12000</v>
          </cell>
          <cell r="R751">
            <v>0</v>
          </cell>
          <cell r="S751" t="str">
            <v>1001+35;1002+40;</v>
          </cell>
        </row>
        <row r="752">
          <cell r="A752">
            <v>640</v>
          </cell>
          <cell r="B752" t="str">
            <v>皇城深处</v>
          </cell>
          <cell r="C752" t="str">
            <v>1502624;1502625;1502626;1502627;1502628;</v>
          </cell>
          <cell r="D752" t="str">
            <v>1502842;1502843;1502844;1502845;1502846;1502847;</v>
          </cell>
          <cell r="E752" t="str">
            <v>1502842;1502843;1502844;1502845;1502846;1502847;1502848;</v>
          </cell>
        </row>
        <row r="752">
          <cell r="G752">
            <v>0</v>
          </cell>
          <cell r="H752">
            <v>1</v>
          </cell>
          <cell r="I752">
            <v>1</v>
          </cell>
          <cell r="J752" t="b">
            <v>0</v>
          </cell>
          <cell r="K752">
            <v>1002</v>
          </cell>
          <cell r="L752">
            <v>-6.34</v>
          </cell>
          <cell r="M752">
            <v>-7.69</v>
          </cell>
          <cell r="N752">
            <v>0</v>
          </cell>
          <cell r="O752" t="str">
            <v>0</v>
          </cell>
          <cell r="P752" t="str">
            <v>0.362,-5.65;
0.34,-7.68;</v>
          </cell>
          <cell r="Q752">
            <v>12000</v>
          </cell>
          <cell r="R752">
            <v>0</v>
          </cell>
          <cell r="S752" t="str">
            <v>1001+35;1002+40;</v>
          </cell>
        </row>
        <row r="753">
          <cell r="A753">
            <v>641</v>
          </cell>
          <cell r="B753" t="str">
            <v>皇城深处</v>
          </cell>
          <cell r="C753" t="str">
            <v>1502631;1502632;1502633;1502634;</v>
          </cell>
          <cell r="D753" t="str">
            <v>1502849;1502850;1502851;1502852;1502853;</v>
          </cell>
          <cell r="E753" t="str">
            <v>1502849;1502850;1502851;1502852;1502853;1502854;</v>
          </cell>
        </row>
        <row r="753">
          <cell r="G753">
            <v>0</v>
          </cell>
          <cell r="H753">
            <v>1</v>
          </cell>
          <cell r="I753">
            <v>1</v>
          </cell>
          <cell r="J753" t="b">
            <v>0</v>
          </cell>
          <cell r="K753">
            <v>1002</v>
          </cell>
          <cell r="L753">
            <v>-6.34</v>
          </cell>
          <cell r="M753">
            <v>-7.69</v>
          </cell>
          <cell r="N753">
            <v>0</v>
          </cell>
          <cell r="O753" t="str">
            <v>0</v>
          </cell>
          <cell r="P753" t="str">
            <v>0.362,-5.65;
0.34,-7.68;</v>
          </cell>
          <cell r="Q753">
            <v>12000</v>
          </cell>
          <cell r="R753">
            <v>0</v>
          </cell>
          <cell r="S753" t="str">
            <v>1001+35;1002+40;</v>
          </cell>
        </row>
        <row r="754">
          <cell r="A754">
            <v>642</v>
          </cell>
          <cell r="B754" t="str">
            <v>皇城深处</v>
          </cell>
          <cell r="C754" t="str">
            <v>1502637;1502638;1502639;1502640;1502641;</v>
          </cell>
          <cell r="D754" t="str">
            <v>1502855;1502856;1502857;1502858;1502859;1502860;</v>
          </cell>
          <cell r="E754" t="str">
            <v>1502855;1502856;1502857;1502858;1502859;1502860;1502861;</v>
          </cell>
        </row>
        <row r="754">
          <cell r="G754">
            <v>0</v>
          </cell>
          <cell r="H754">
            <v>1</v>
          </cell>
          <cell r="I754">
            <v>1</v>
          </cell>
          <cell r="J754" t="b">
            <v>0</v>
          </cell>
          <cell r="K754">
            <v>1002</v>
          </cell>
          <cell r="L754">
            <v>-6.34</v>
          </cell>
          <cell r="M754">
            <v>-7.69</v>
          </cell>
          <cell r="N754">
            <v>0</v>
          </cell>
          <cell r="O754" t="str">
            <v>0</v>
          </cell>
          <cell r="P754" t="str">
            <v>0.362,-5.65;
0.34,-7.68;</v>
          </cell>
          <cell r="Q754">
            <v>12000</v>
          </cell>
          <cell r="R754">
            <v>0</v>
          </cell>
          <cell r="S754" t="str">
            <v>1001+35;1002+40;</v>
          </cell>
          <cell r="T754" t="str">
            <v>11200,1;13000,1 </v>
          </cell>
        </row>
        <row r="755">
          <cell r="A755">
            <v>643</v>
          </cell>
          <cell r="B755" t="str">
            <v>洛阳</v>
          </cell>
          <cell r="C755" t="str">
            <v>1502862;1502863;1502864;1502865;1502866;</v>
          </cell>
          <cell r="D755" t="str">
            <v>1502862;1502863;1502864;1502865;1502866;1502867;</v>
          </cell>
          <cell r="E755" t="str">
            <v>1502862;1502863;1502864;1502865;1502866;1502867;1502868;</v>
          </cell>
        </row>
        <row r="755">
          <cell r="G755">
            <v>0</v>
          </cell>
          <cell r="H755">
            <v>1</v>
          </cell>
          <cell r="I755">
            <v>1</v>
          </cell>
          <cell r="J755" t="b">
            <v>0</v>
          </cell>
          <cell r="K755">
            <v>1002</v>
          </cell>
          <cell r="L755">
            <v>-6.34</v>
          </cell>
          <cell r="M755">
            <v>-7.69</v>
          </cell>
          <cell r="N755">
            <v>0</v>
          </cell>
          <cell r="O755" t="str">
            <v>0</v>
          </cell>
          <cell r="P755" t="str">
            <v>0.362,-5.65;
0.34,-7.68;</v>
          </cell>
          <cell r="Q755">
            <v>12000</v>
          </cell>
          <cell r="R755">
            <v>0</v>
          </cell>
          <cell r="S755" t="str">
            <v>1001+35;1002+40;</v>
          </cell>
          <cell r="T755" t="str">
            <v>11900,1</v>
          </cell>
        </row>
        <row r="756">
          <cell r="A756">
            <v>644</v>
          </cell>
          <cell r="B756" t="str">
            <v>洛阳</v>
          </cell>
          <cell r="C756" t="str">
            <v>1502869;1502870;1502871;1502872;1502873;</v>
          </cell>
          <cell r="D756" t="str">
            <v>1502869;1502870;1502871;1502872;1502873;1502874;</v>
          </cell>
          <cell r="E756" t="str">
            <v>1502869;1502870;1502871;1502872;1502873;1502874;1502875;</v>
          </cell>
        </row>
        <row r="756">
          <cell r="G756">
            <v>0</v>
          </cell>
          <cell r="H756">
            <v>1</v>
          </cell>
          <cell r="I756">
            <v>1</v>
          </cell>
          <cell r="J756" t="b">
            <v>0</v>
          </cell>
          <cell r="K756">
            <v>1002</v>
          </cell>
          <cell r="L756">
            <v>-6.34</v>
          </cell>
          <cell r="M756">
            <v>-7.69</v>
          </cell>
          <cell r="N756">
            <v>0</v>
          </cell>
          <cell r="O756" t="str">
            <v>0</v>
          </cell>
          <cell r="P756" t="str">
            <v>0.362,-5.65;
0.34,-7.68;</v>
          </cell>
          <cell r="Q756">
            <v>12000</v>
          </cell>
          <cell r="R756">
            <v>0</v>
          </cell>
          <cell r="S756" t="str">
            <v>1001+35;1002+40;</v>
          </cell>
          <cell r="T756" t="str">
            <v>11900,1</v>
          </cell>
        </row>
        <row r="757">
          <cell r="A757">
            <v>645</v>
          </cell>
          <cell r="B757" t="str">
            <v>洛阳</v>
          </cell>
          <cell r="C757" t="str">
            <v>1502876;1502877;1502878;1502879;1502880;</v>
          </cell>
          <cell r="D757" t="str">
            <v>1502876;1502877;1502878;1502879;1502880;1502881;</v>
          </cell>
          <cell r="E757" t="str">
            <v>1502876;1502877;1502878;1502879;1502880;1502881;1502882;</v>
          </cell>
        </row>
        <row r="757">
          <cell r="G757">
            <v>0</v>
          </cell>
          <cell r="H757">
            <v>1</v>
          </cell>
          <cell r="I757">
            <v>1</v>
          </cell>
          <cell r="J757" t="b">
            <v>0</v>
          </cell>
          <cell r="K757">
            <v>1002</v>
          </cell>
          <cell r="L757">
            <v>-6.34</v>
          </cell>
          <cell r="M757">
            <v>-7.69</v>
          </cell>
          <cell r="N757">
            <v>0</v>
          </cell>
          <cell r="O757" t="str">
            <v>0</v>
          </cell>
          <cell r="P757" t="str">
            <v>0.362,-5.65;
0.34,-7.68;</v>
          </cell>
          <cell r="Q757">
            <v>12000</v>
          </cell>
          <cell r="R757">
            <v>0</v>
          </cell>
          <cell r="S757" t="str">
            <v>1001+35;1002+40;</v>
          </cell>
          <cell r="T757" t="str">
            <v>11900,1</v>
          </cell>
        </row>
        <row r="758">
          <cell r="A758">
            <v>646</v>
          </cell>
          <cell r="B758" t="str">
            <v>洛阳</v>
          </cell>
          <cell r="C758" t="str">
            <v>1502883;1502884;1502885;1502886;1502887;</v>
          </cell>
          <cell r="D758" t="str">
            <v>1502883;1502884;1502885;1502886;1502887;</v>
          </cell>
          <cell r="E758" t="str">
            <v>1502883;1502884;1502885;1502886;1502887;1502888;1502889;</v>
          </cell>
        </row>
        <row r="758">
          <cell r="G758">
            <v>0</v>
          </cell>
          <cell r="H758">
            <v>1</v>
          </cell>
          <cell r="I758">
            <v>1</v>
          </cell>
          <cell r="J758" t="b">
            <v>0</v>
          </cell>
          <cell r="K758">
            <v>1002</v>
          </cell>
          <cell r="L758">
            <v>-6.34</v>
          </cell>
          <cell r="M758">
            <v>-7.69</v>
          </cell>
          <cell r="N758">
            <v>0</v>
          </cell>
          <cell r="O758" t="str">
            <v>0</v>
          </cell>
          <cell r="P758" t="str">
            <v>0.362,-5.65;
0.34,-7.68;</v>
          </cell>
          <cell r="Q758">
            <v>12000</v>
          </cell>
          <cell r="R758">
            <v>0</v>
          </cell>
          <cell r="S758" t="str">
            <v>1001+35;1002+40;</v>
          </cell>
          <cell r="T758" t="str">
            <v>11900,1</v>
          </cell>
        </row>
        <row r="759">
          <cell r="A759">
            <v>647</v>
          </cell>
          <cell r="B759" t="str">
            <v>洛阳</v>
          </cell>
          <cell r="C759" t="str">
            <v>1502889;1502890;1502891;1502892;1502893;</v>
          </cell>
          <cell r="D759" t="str">
            <v>1502889;1502890;1502891;1502892;1502893;1502894;</v>
          </cell>
          <cell r="E759" t="str">
            <v>1502889;1502890;1502891;1502892;1502893;1502894;1502895;</v>
          </cell>
        </row>
        <row r="759">
          <cell r="G759">
            <v>0</v>
          </cell>
          <cell r="H759">
            <v>1</v>
          </cell>
          <cell r="I759">
            <v>1</v>
          </cell>
          <cell r="J759" t="b">
            <v>0</v>
          </cell>
          <cell r="K759">
            <v>1002</v>
          </cell>
          <cell r="L759">
            <v>-6.34</v>
          </cell>
          <cell r="M759">
            <v>-7.69</v>
          </cell>
          <cell r="N759">
            <v>0</v>
          </cell>
          <cell r="O759" t="str">
            <v>0</v>
          </cell>
          <cell r="P759" t="str">
            <v>0.362,-5.65;
0.34,-7.68;</v>
          </cell>
          <cell r="Q759">
            <v>12000</v>
          </cell>
          <cell r="R759">
            <v>0</v>
          </cell>
          <cell r="S759" t="str">
            <v>1001+35;1002+40;</v>
          </cell>
          <cell r="T759" t="str">
            <v>11900,1</v>
          </cell>
        </row>
        <row r="760">
          <cell r="A760">
            <v>648</v>
          </cell>
          <cell r="B760" t="str">
            <v>洛阳</v>
          </cell>
          <cell r="C760" t="str">
            <v>1502896;1502897;1502898;1502899;1502900;</v>
          </cell>
          <cell r="D760" t="str">
            <v>1502896;1502897;1502898;1502899;1502900;1502901;</v>
          </cell>
          <cell r="E760" t="str">
            <v>1502896;1502897;1502898;1502899;1502900;1502901;1502902;</v>
          </cell>
        </row>
        <row r="760">
          <cell r="G760">
            <v>0</v>
          </cell>
          <cell r="H760">
            <v>1</v>
          </cell>
          <cell r="I760">
            <v>1</v>
          </cell>
          <cell r="J760" t="b">
            <v>0</v>
          </cell>
          <cell r="K760">
            <v>1002</v>
          </cell>
          <cell r="L760">
            <v>-6.34</v>
          </cell>
          <cell r="M760">
            <v>-7.69</v>
          </cell>
          <cell r="N760">
            <v>0</v>
          </cell>
          <cell r="O760" t="str">
            <v>0</v>
          </cell>
          <cell r="P760" t="str">
            <v>0.362,-5.65;
0.34,-7.68;</v>
          </cell>
          <cell r="Q760">
            <v>12000</v>
          </cell>
          <cell r="R760">
            <v>0</v>
          </cell>
          <cell r="S760" t="str">
            <v>1001+35;1002+40;</v>
          </cell>
          <cell r="T760" t="str">
            <v>11900,1</v>
          </cell>
        </row>
        <row r="761">
          <cell r="A761">
            <v>649</v>
          </cell>
          <cell r="B761" t="str">
            <v>龙门石窟</v>
          </cell>
          <cell r="C761" t="str">
            <v>1502903;1502904;1502905;1502906;1502907;</v>
          </cell>
          <cell r="D761" t="str">
            <v>1502903;1502904;1502905;1502906;1502907;1502908;</v>
          </cell>
          <cell r="E761" t="str">
            <v>1502903;1502904;1502905;1502906;1502907;1502908;1502909;</v>
          </cell>
        </row>
        <row r="761">
          <cell r="G761">
            <v>0</v>
          </cell>
          <cell r="H761">
            <v>1</v>
          </cell>
          <cell r="I761">
            <v>1</v>
          </cell>
          <cell r="J761" t="b">
            <v>0</v>
          </cell>
          <cell r="K761">
            <v>1002</v>
          </cell>
          <cell r="L761">
            <v>-6.34</v>
          </cell>
          <cell r="M761">
            <v>-7.69</v>
          </cell>
          <cell r="N761">
            <v>0</v>
          </cell>
          <cell r="O761" t="str">
            <v>0</v>
          </cell>
          <cell r="P761" t="str">
            <v>0.362,-5.65;
0.34,-7.68;</v>
          </cell>
          <cell r="Q761">
            <v>12000</v>
          </cell>
          <cell r="R761">
            <v>0</v>
          </cell>
          <cell r="S761" t="str">
            <v>1001+35;1002+40;</v>
          </cell>
          <cell r="T761" t="str">
            <v>11900,1</v>
          </cell>
        </row>
        <row r="762">
          <cell r="A762">
            <v>650</v>
          </cell>
          <cell r="B762" t="str">
            <v>龙门石窟</v>
          </cell>
          <cell r="C762" t="str">
            <v>1502910;1502911;1502912;1502913;1502914;</v>
          </cell>
          <cell r="D762" t="str">
            <v>1502910;1502911;1502912;1502913;1502914;1502915;</v>
          </cell>
          <cell r="E762" t="str">
            <v>1502910;1502911;1502912;1502913;1502914;1502915;1502916;</v>
          </cell>
        </row>
        <row r="762">
          <cell r="G762">
            <v>0</v>
          </cell>
          <cell r="H762">
            <v>1</v>
          </cell>
          <cell r="I762">
            <v>1</v>
          </cell>
          <cell r="J762" t="b">
            <v>0</v>
          </cell>
          <cell r="K762">
            <v>1002</v>
          </cell>
          <cell r="L762">
            <v>-6.34</v>
          </cell>
          <cell r="M762">
            <v>-7.69</v>
          </cell>
          <cell r="N762">
            <v>0</v>
          </cell>
          <cell r="O762" t="str">
            <v>0</v>
          </cell>
          <cell r="P762" t="str">
            <v>0.362,-5.65;
0.34,-7.68;</v>
          </cell>
          <cell r="Q762">
            <v>12000</v>
          </cell>
          <cell r="R762">
            <v>0</v>
          </cell>
          <cell r="S762" t="str">
            <v>1001+35;1002+40;</v>
          </cell>
          <cell r="T762" t="str">
            <v>11900,1</v>
          </cell>
        </row>
        <row r="763">
          <cell r="A763">
            <v>651</v>
          </cell>
          <cell r="B763" t="str">
            <v>龙门石窟</v>
          </cell>
          <cell r="C763" t="str">
            <v>1502917;1502918;1502919;1502920;1502921;</v>
          </cell>
          <cell r="D763" t="str">
            <v>1502917;1502918;1502919;1502920;1502921;1502922;</v>
          </cell>
          <cell r="E763" t="str">
            <v>1502917;1502918;1502919;1502920;1502921;1502922;1502923;</v>
          </cell>
        </row>
        <row r="763">
          <cell r="G763">
            <v>0</v>
          </cell>
          <cell r="H763">
            <v>1</v>
          </cell>
          <cell r="I763">
            <v>1</v>
          </cell>
          <cell r="J763" t="b">
            <v>0</v>
          </cell>
          <cell r="K763">
            <v>1002</v>
          </cell>
          <cell r="L763">
            <v>-6.34</v>
          </cell>
          <cell r="M763">
            <v>-7.69</v>
          </cell>
          <cell r="N763">
            <v>0</v>
          </cell>
          <cell r="O763" t="str">
            <v>0</v>
          </cell>
          <cell r="P763" t="str">
            <v>0.362,-5.65;
0.34,-7.68;</v>
          </cell>
          <cell r="Q763">
            <v>12000</v>
          </cell>
          <cell r="R763">
            <v>0</v>
          </cell>
          <cell r="S763" t="str">
            <v>1001+35;1002+40;</v>
          </cell>
          <cell r="T763" t="str">
            <v>11900,1</v>
          </cell>
        </row>
        <row r="764">
          <cell r="A764">
            <v>652</v>
          </cell>
          <cell r="B764" t="str">
            <v>京城</v>
          </cell>
          <cell r="C764" t="str">
            <v>1502924;1502925;1502926;1502927;1502928;</v>
          </cell>
          <cell r="D764" t="str">
            <v>1502924;1502925;1502926;1502927;1502928;1502929;</v>
          </cell>
          <cell r="E764" t="str">
            <v>1502924;1502925;1502926;1502927;1502928;1502929;1502930;</v>
          </cell>
        </row>
        <row r="764">
          <cell r="G764">
            <v>0</v>
          </cell>
          <cell r="H764">
            <v>1</v>
          </cell>
          <cell r="I764">
            <v>1</v>
          </cell>
          <cell r="J764" t="b">
            <v>0</v>
          </cell>
          <cell r="K764">
            <v>1002</v>
          </cell>
          <cell r="L764">
            <v>-6.34</v>
          </cell>
          <cell r="M764">
            <v>-7.69</v>
          </cell>
          <cell r="N764">
            <v>0</v>
          </cell>
          <cell r="O764" t="str">
            <v>0</v>
          </cell>
          <cell r="P764" t="str">
            <v>0.362,-5.65;
0.34,-7.68;</v>
          </cell>
          <cell r="Q764">
            <v>12000</v>
          </cell>
          <cell r="R764">
            <v>0</v>
          </cell>
          <cell r="S764" t="str">
            <v>1001+35;1002+40;</v>
          </cell>
          <cell r="T764" t="str">
            <v>11900,1</v>
          </cell>
        </row>
        <row r="765">
          <cell r="A765">
            <v>653</v>
          </cell>
          <cell r="B765" t="str">
            <v>京城</v>
          </cell>
          <cell r="C765" t="str">
            <v>1502931;1502932;1502933;1502934;</v>
          </cell>
          <cell r="D765" t="str">
            <v>1502931;1502932;1502933;1502934;1502935;</v>
          </cell>
          <cell r="E765" t="str">
            <v>1502931;1502932;1502933;1502934;1502935;1502936;</v>
          </cell>
        </row>
        <row r="765">
          <cell r="G765">
            <v>0</v>
          </cell>
          <cell r="H765">
            <v>1</v>
          </cell>
          <cell r="I765">
            <v>1</v>
          </cell>
          <cell r="J765" t="b">
            <v>0</v>
          </cell>
          <cell r="K765">
            <v>1002</v>
          </cell>
          <cell r="L765">
            <v>-6.34</v>
          </cell>
          <cell r="M765">
            <v>-7.69</v>
          </cell>
          <cell r="N765">
            <v>0</v>
          </cell>
          <cell r="O765" t="str">
            <v>0</v>
          </cell>
          <cell r="P765" t="str">
            <v>0.362,-5.65;
0.34,-7.68;</v>
          </cell>
          <cell r="Q765">
            <v>12000</v>
          </cell>
          <cell r="R765">
            <v>0</v>
          </cell>
          <cell r="S765" t="str">
            <v>1001+35;1002+40;</v>
          </cell>
          <cell r="T765" t="str">
            <v>11900,1</v>
          </cell>
        </row>
        <row r="766">
          <cell r="A766">
            <v>654</v>
          </cell>
          <cell r="B766" t="str">
            <v>京城</v>
          </cell>
          <cell r="C766" t="str">
            <v>1502937;1502938;1502939;1502940;</v>
          </cell>
          <cell r="D766" t="str">
            <v>1502937;1502938;1502939;1502940;1502941;</v>
          </cell>
          <cell r="E766" t="str">
            <v>1502937;1502938;1502939;1502940;1502941;1502942;</v>
          </cell>
        </row>
        <row r="766">
          <cell r="G766">
            <v>0</v>
          </cell>
          <cell r="H766">
            <v>1</v>
          </cell>
          <cell r="I766">
            <v>1</v>
          </cell>
          <cell r="J766" t="b">
            <v>0</v>
          </cell>
          <cell r="K766">
            <v>1002</v>
          </cell>
          <cell r="L766">
            <v>-6.34</v>
          </cell>
          <cell r="M766">
            <v>-7.69</v>
          </cell>
          <cell r="N766">
            <v>0</v>
          </cell>
          <cell r="O766" t="str">
            <v>0</v>
          </cell>
          <cell r="P766" t="str">
            <v>0.362,-5.65;
0.34,-7.68;</v>
          </cell>
          <cell r="Q766">
            <v>12000</v>
          </cell>
          <cell r="R766">
            <v>0</v>
          </cell>
          <cell r="S766" t="str">
            <v>1001+35;1002+40;</v>
          </cell>
          <cell r="T766" t="str">
            <v>11900,1</v>
          </cell>
        </row>
        <row r="767">
          <cell r="A767">
            <v>655</v>
          </cell>
          <cell r="B767" t="str">
            <v>京城</v>
          </cell>
          <cell r="C767" t="str">
            <v>1502942;1502943;1502944;1502945;1502946;</v>
          </cell>
          <cell r="D767" t="str">
            <v>1502942;1502943;1502944;1502945;1502946;1502947;</v>
          </cell>
          <cell r="E767" t="str">
            <v>1502942;1502943;1502944;1502945;1502946;1502947;1502948;</v>
          </cell>
        </row>
        <row r="767">
          <cell r="G767">
            <v>0</v>
          </cell>
          <cell r="H767">
            <v>1</v>
          </cell>
          <cell r="I767">
            <v>1</v>
          </cell>
          <cell r="J767" t="b">
            <v>0</v>
          </cell>
          <cell r="K767">
            <v>1002</v>
          </cell>
          <cell r="L767">
            <v>-6.34</v>
          </cell>
          <cell r="M767">
            <v>-7.69</v>
          </cell>
          <cell r="N767">
            <v>0</v>
          </cell>
          <cell r="O767" t="str">
            <v>0</v>
          </cell>
          <cell r="P767" t="str">
            <v>0.362,-5.65;
0.34,-7.68;</v>
          </cell>
          <cell r="Q767">
            <v>12000</v>
          </cell>
          <cell r="R767">
            <v>0</v>
          </cell>
          <cell r="S767" t="str">
            <v>1001+35;1002+40;</v>
          </cell>
          <cell r="T767" t="str">
            <v>11900,1</v>
          </cell>
        </row>
        <row r="768">
          <cell r="A768">
            <v>656</v>
          </cell>
          <cell r="B768" t="str">
            <v>京城</v>
          </cell>
          <cell r="C768" t="str">
            <v>1502949;1502950;1502951;1502952;1502953;</v>
          </cell>
          <cell r="D768" t="str">
            <v>1502949;1502950;1502951;1502952;1502953;1502954;</v>
          </cell>
          <cell r="E768" t="str">
            <v>1502949;1502950;1502951;1502952;1502953;1502954;1502955;</v>
          </cell>
        </row>
        <row r="768">
          <cell r="G768">
            <v>0</v>
          </cell>
          <cell r="H768">
            <v>1</v>
          </cell>
          <cell r="I768">
            <v>1</v>
          </cell>
          <cell r="J768" t="b">
            <v>0</v>
          </cell>
          <cell r="K768">
            <v>1002</v>
          </cell>
          <cell r="L768">
            <v>-6.34</v>
          </cell>
          <cell r="M768">
            <v>-7.69</v>
          </cell>
          <cell r="N768">
            <v>0</v>
          </cell>
          <cell r="O768" t="str">
            <v>0</v>
          </cell>
          <cell r="P768" t="str">
            <v>0.362,-5.65;
0.34,-7.68;</v>
          </cell>
          <cell r="Q768">
            <v>12000</v>
          </cell>
          <cell r="R768">
            <v>0</v>
          </cell>
          <cell r="S768" t="str">
            <v>1001+35;1002+40;</v>
          </cell>
          <cell r="T768" t="str">
            <v>11900,1</v>
          </cell>
        </row>
        <row r="769">
          <cell r="A769">
            <v>657</v>
          </cell>
          <cell r="B769" t="str">
            <v>壁城水寨</v>
          </cell>
          <cell r="C769" t="str">
            <v>1502956;1502957;1502958;</v>
          </cell>
          <cell r="D769" t="str">
            <v>1502956;1502957;1502958;1502959;</v>
          </cell>
          <cell r="E769" t="str">
            <v>1502956;1502957;1502958;1502959;1502960;</v>
          </cell>
        </row>
        <row r="769">
          <cell r="G769">
            <v>0</v>
          </cell>
          <cell r="H769">
            <v>1</v>
          </cell>
          <cell r="I769">
            <v>1</v>
          </cell>
          <cell r="J769" t="b">
            <v>0</v>
          </cell>
          <cell r="K769">
            <v>1002</v>
          </cell>
          <cell r="L769">
            <v>-6.34</v>
          </cell>
          <cell r="M769">
            <v>-7.69</v>
          </cell>
          <cell r="N769">
            <v>0</v>
          </cell>
          <cell r="O769" t="str">
            <v>0</v>
          </cell>
          <cell r="P769" t="str">
            <v>0.362,-5.65;
0.34,-7.68;</v>
          </cell>
          <cell r="Q769">
            <v>12000</v>
          </cell>
          <cell r="R769">
            <v>0</v>
          </cell>
          <cell r="S769" t="str">
            <v>1001+35;1002+40;</v>
          </cell>
          <cell r="T769" t="str">
            <v>11900,1</v>
          </cell>
        </row>
        <row r="770">
          <cell r="A770">
            <v>658</v>
          </cell>
          <cell r="B770" t="str">
            <v>壁城水寨</v>
          </cell>
          <cell r="C770" t="str">
            <v>1502961;1502962;1502963;</v>
          </cell>
          <cell r="D770" t="str">
            <v>1502961;1502962;1502963;1502964;</v>
          </cell>
          <cell r="E770" t="str">
            <v>1502961;1502962;1502963;1502964;1502965;</v>
          </cell>
        </row>
        <row r="770">
          <cell r="G770">
            <v>0</v>
          </cell>
          <cell r="H770">
            <v>1</v>
          </cell>
          <cell r="I770">
            <v>1</v>
          </cell>
          <cell r="J770" t="b">
            <v>0</v>
          </cell>
          <cell r="K770">
            <v>1002</v>
          </cell>
          <cell r="L770">
            <v>-6.34</v>
          </cell>
          <cell r="M770">
            <v>-7.69</v>
          </cell>
          <cell r="N770">
            <v>0</v>
          </cell>
          <cell r="O770" t="str">
            <v>0</v>
          </cell>
          <cell r="P770" t="str">
            <v>0.362,-5.65;
0.34,-7.68;</v>
          </cell>
          <cell r="Q770">
            <v>12000</v>
          </cell>
          <cell r="R770">
            <v>0</v>
          </cell>
          <cell r="S770" t="str">
            <v>1001+35;1002+40;</v>
          </cell>
          <cell r="T770" t="str">
            <v>11900,1</v>
          </cell>
        </row>
        <row r="771">
          <cell r="A771">
            <v>659</v>
          </cell>
          <cell r="B771" t="str">
            <v>壁城水寨</v>
          </cell>
          <cell r="C771" t="str">
            <v>1502966;1502967;1502968;1502969;</v>
          </cell>
          <cell r="D771" t="str">
            <v>1502966;1502967;1502968;1502969;1502970;</v>
          </cell>
          <cell r="E771" t="str">
            <v>1502966;1502967;1502968;1502969;1502970;1502971;</v>
          </cell>
        </row>
        <row r="771">
          <cell r="G771">
            <v>0</v>
          </cell>
          <cell r="H771">
            <v>1</v>
          </cell>
          <cell r="I771">
            <v>1</v>
          </cell>
          <cell r="J771" t="b">
            <v>0</v>
          </cell>
          <cell r="K771">
            <v>1002</v>
          </cell>
          <cell r="L771">
            <v>-6.34</v>
          </cell>
          <cell r="M771">
            <v>-7.69</v>
          </cell>
          <cell r="N771">
            <v>0</v>
          </cell>
          <cell r="O771" t="str">
            <v>0</v>
          </cell>
          <cell r="P771" t="str">
            <v>0.362,-5.65;
0.34,-7.68;</v>
          </cell>
          <cell r="Q771">
            <v>12000</v>
          </cell>
          <cell r="R771">
            <v>0</v>
          </cell>
          <cell r="S771" t="str">
            <v>1001+35;1002+40;</v>
          </cell>
          <cell r="T771" t="str">
            <v>11900,1</v>
          </cell>
        </row>
        <row r="772">
          <cell r="A772">
            <v>660</v>
          </cell>
          <cell r="B772" t="str">
            <v>东瀛</v>
          </cell>
          <cell r="C772" t="str">
            <v>1502972;1502973;1502974;1502975;</v>
          </cell>
          <cell r="D772" t="str">
            <v>1502972;1502973;1502974;1502975;1502976;</v>
          </cell>
          <cell r="E772" t="str">
            <v>1502972;1502973;1502974;1502975;1502976;1502977;</v>
          </cell>
        </row>
        <row r="772">
          <cell r="G772">
            <v>0</v>
          </cell>
          <cell r="H772">
            <v>1</v>
          </cell>
          <cell r="I772">
            <v>1</v>
          </cell>
          <cell r="J772" t="b">
            <v>0</v>
          </cell>
          <cell r="K772">
            <v>1002</v>
          </cell>
          <cell r="L772">
            <v>-6.34</v>
          </cell>
          <cell r="M772">
            <v>-7.69</v>
          </cell>
          <cell r="N772">
            <v>0</v>
          </cell>
          <cell r="O772" t="str">
            <v>0</v>
          </cell>
          <cell r="P772" t="str">
            <v>0.362,-5.65;
0.34,-7.68;</v>
          </cell>
          <cell r="Q772">
            <v>12000</v>
          </cell>
          <cell r="R772">
            <v>0</v>
          </cell>
          <cell r="S772" t="str">
            <v>1001+35;1002+40;</v>
          </cell>
          <cell r="T772" t="str">
            <v>11900,1</v>
          </cell>
        </row>
        <row r="773">
          <cell r="A773">
            <v>661</v>
          </cell>
          <cell r="B773" t="str">
            <v>东瀛</v>
          </cell>
          <cell r="C773" t="str">
            <v>1502978;1502979;1502980;1502981;</v>
          </cell>
          <cell r="D773" t="str">
            <v>1502978;1502979;1502980;1502981;1502982;</v>
          </cell>
          <cell r="E773" t="str">
            <v>1502978;1502979;1502980;1502981;1502982;1502983;</v>
          </cell>
        </row>
        <row r="773">
          <cell r="G773">
            <v>0</v>
          </cell>
          <cell r="H773">
            <v>1</v>
          </cell>
          <cell r="I773">
            <v>1</v>
          </cell>
          <cell r="J773" t="b">
            <v>0</v>
          </cell>
          <cell r="K773">
            <v>1002</v>
          </cell>
          <cell r="L773">
            <v>-6.34</v>
          </cell>
          <cell r="M773">
            <v>-7.69</v>
          </cell>
          <cell r="N773">
            <v>0</v>
          </cell>
          <cell r="O773" t="str">
            <v>0</v>
          </cell>
          <cell r="P773" t="str">
            <v>0.362,-5.65;
0.34,-7.68;</v>
          </cell>
          <cell r="Q773">
            <v>12000</v>
          </cell>
          <cell r="R773">
            <v>0</v>
          </cell>
          <cell r="S773" t="str">
            <v>1001+35;1002+40;</v>
          </cell>
          <cell r="T773" t="str">
            <v>11900,1</v>
          </cell>
        </row>
        <row r="774">
          <cell r="A774">
            <v>662</v>
          </cell>
          <cell r="B774" t="str">
            <v>东瀛</v>
          </cell>
          <cell r="C774" t="str">
            <v>1502991;1502992;1502993;1502994;1502995;</v>
          </cell>
          <cell r="D774" t="str">
            <v>1502991;1502992;1502993;1502994;1502995;1502996;</v>
          </cell>
          <cell r="E774" t="str">
            <v>1502991;1502992;1502993;1502994;1502995;1502996;</v>
          </cell>
        </row>
        <row r="774">
          <cell r="G774">
            <v>0</v>
          </cell>
          <cell r="H774">
            <v>1</v>
          </cell>
          <cell r="I774">
            <v>1</v>
          </cell>
          <cell r="J774" t="b">
            <v>0</v>
          </cell>
          <cell r="K774">
            <v>1002</v>
          </cell>
          <cell r="L774">
            <v>-6.34</v>
          </cell>
          <cell r="M774">
            <v>-7.69</v>
          </cell>
          <cell r="N774">
            <v>0</v>
          </cell>
          <cell r="O774" t="str">
            <v>0</v>
          </cell>
          <cell r="P774" t="str">
            <v>0.362,-5.65;
0.34,-7.68;</v>
          </cell>
          <cell r="Q774">
            <v>12000</v>
          </cell>
          <cell r="R774">
            <v>0</v>
          </cell>
          <cell r="S774" t="str">
            <v>1001+35;1002+40;</v>
          </cell>
          <cell r="T774" t="str">
            <v>11900,1</v>
          </cell>
        </row>
        <row r="775">
          <cell r="A775">
            <v>663</v>
          </cell>
          <cell r="B775" t="str">
            <v>东瀛</v>
          </cell>
          <cell r="C775" t="str">
            <v>1502998;1502999;1503000;1503001;</v>
          </cell>
          <cell r="D775" t="str">
            <v>1502998;1502999;1503000;1503001;1503002;</v>
          </cell>
          <cell r="E775" t="str">
            <v>1502998;1502999;1503000;1503001;1503002;1503003;</v>
          </cell>
        </row>
        <row r="775">
          <cell r="G775">
            <v>0</v>
          </cell>
          <cell r="H775">
            <v>1</v>
          </cell>
          <cell r="I775">
            <v>1</v>
          </cell>
          <cell r="J775" t="b">
            <v>0</v>
          </cell>
          <cell r="K775">
            <v>1002</v>
          </cell>
          <cell r="L775">
            <v>-6.34</v>
          </cell>
          <cell r="M775">
            <v>-7.69</v>
          </cell>
          <cell r="N775">
            <v>0</v>
          </cell>
          <cell r="O775" t="str">
            <v>0</v>
          </cell>
          <cell r="P775" t="str">
            <v>0.362,-5.65;
0.34,-7.68;</v>
          </cell>
          <cell r="Q775">
            <v>12000</v>
          </cell>
          <cell r="R775">
            <v>0</v>
          </cell>
          <cell r="S775" t="str">
            <v>1001+35;1002+40;</v>
          </cell>
          <cell r="T775" t="str">
            <v>11900,1</v>
          </cell>
        </row>
        <row r="776">
          <cell r="A776">
            <v>664</v>
          </cell>
          <cell r="B776" t="str">
            <v>东瀛</v>
          </cell>
          <cell r="C776" t="str">
            <v>1503004;1503005;1503006;1503007;</v>
          </cell>
          <cell r="D776" t="str">
            <v>1503004;1503005;1503006;1503007;1503008;</v>
          </cell>
          <cell r="E776" t="str">
            <v>1503004;1503005;1503006;1503007;1503008;1503009;</v>
          </cell>
        </row>
        <row r="776">
          <cell r="G776">
            <v>0</v>
          </cell>
          <cell r="H776">
            <v>1</v>
          </cell>
          <cell r="I776">
            <v>1</v>
          </cell>
          <cell r="J776" t="b">
            <v>0</v>
          </cell>
          <cell r="K776">
            <v>1002</v>
          </cell>
          <cell r="L776">
            <v>-6.34</v>
          </cell>
          <cell r="M776">
            <v>-7.69</v>
          </cell>
          <cell r="N776">
            <v>0</v>
          </cell>
          <cell r="O776" t="str">
            <v>0</v>
          </cell>
          <cell r="P776" t="str">
            <v>0.362,-5.65;
0.34,-7.68;</v>
          </cell>
          <cell r="Q776">
            <v>12000</v>
          </cell>
          <cell r="R776">
            <v>0</v>
          </cell>
          <cell r="S776" t="str">
            <v>1001+35;1002+40;</v>
          </cell>
          <cell r="T776" t="str">
            <v>11900,1</v>
          </cell>
        </row>
        <row r="777">
          <cell r="A777">
            <v>665</v>
          </cell>
          <cell r="B777" t="str">
            <v>东瀛</v>
          </cell>
          <cell r="C777" t="str">
            <v>1503010;1503011;1503012;1503013;</v>
          </cell>
          <cell r="D777" t="str">
            <v>1503010;1503011;1503012;1503013;1503014;</v>
          </cell>
          <cell r="E777" t="str">
            <v>1503010;1503011;1503012;1503013;1503014;1503015;</v>
          </cell>
        </row>
        <row r="777">
          <cell r="G777">
            <v>0</v>
          </cell>
          <cell r="H777">
            <v>1</v>
          </cell>
          <cell r="I777">
            <v>1</v>
          </cell>
          <cell r="J777" t="b">
            <v>0</v>
          </cell>
          <cell r="K777">
            <v>1002</v>
          </cell>
          <cell r="L777">
            <v>-6.34</v>
          </cell>
          <cell r="M777">
            <v>-7.69</v>
          </cell>
          <cell r="N777">
            <v>0</v>
          </cell>
          <cell r="O777" t="str">
            <v>0</v>
          </cell>
          <cell r="P777" t="str">
            <v>0.362,-5.65;
0.34,-7.68;</v>
          </cell>
          <cell r="Q777">
            <v>12000</v>
          </cell>
          <cell r="R777">
            <v>0</v>
          </cell>
          <cell r="S777" t="str">
            <v>1001+35;1002+40;</v>
          </cell>
          <cell r="T777" t="str">
            <v>11900,1</v>
          </cell>
        </row>
        <row r="778">
          <cell r="A778">
            <v>666</v>
          </cell>
          <cell r="B778" t="str">
            <v>大雪山</v>
          </cell>
          <cell r="C778" t="str">
            <v>1503016;1503017;1503018;1503019;</v>
          </cell>
          <cell r="D778" t="str">
            <v>1503016;1503017;1503018;1503019;1503020;</v>
          </cell>
          <cell r="E778" t="str">
            <v>1503016;1503017;1503018;1503019;1503020;1503021;</v>
          </cell>
        </row>
        <row r="778">
          <cell r="G778">
            <v>0</v>
          </cell>
          <cell r="H778">
            <v>1</v>
          </cell>
          <cell r="I778">
            <v>1</v>
          </cell>
          <cell r="J778" t="b">
            <v>0</v>
          </cell>
          <cell r="K778">
            <v>1002</v>
          </cell>
          <cell r="L778">
            <v>-6.34</v>
          </cell>
          <cell r="M778">
            <v>-7.69</v>
          </cell>
          <cell r="N778">
            <v>0</v>
          </cell>
          <cell r="O778" t="str">
            <v>0</v>
          </cell>
          <cell r="P778" t="str">
            <v>0.362,-5.65;
0.34,-7.68;</v>
          </cell>
          <cell r="Q778">
            <v>12000</v>
          </cell>
          <cell r="R778">
            <v>0</v>
          </cell>
          <cell r="S778" t="str">
            <v>1001+35;1002+40;</v>
          </cell>
          <cell r="T778" t="str">
            <v>11900,1</v>
          </cell>
        </row>
        <row r="779">
          <cell r="A779">
            <v>667</v>
          </cell>
          <cell r="B779" t="str">
            <v>大雪山</v>
          </cell>
          <cell r="C779" t="str">
            <v>1503022;1503023;1503024;1503025;</v>
          </cell>
          <cell r="D779" t="str">
            <v>1503022;1503023;1503024;1503025;1503026;</v>
          </cell>
          <cell r="E779" t="str">
            <v>1503022;1503023;1503024;1503025;1503026;1503027;</v>
          </cell>
        </row>
        <row r="779">
          <cell r="G779">
            <v>0</v>
          </cell>
          <cell r="H779">
            <v>1</v>
          </cell>
          <cell r="I779">
            <v>1</v>
          </cell>
          <cell r="J779" t="b">
            <v>0</v>
          </cell>
          <cell r="K779">
            <v>1002</v>
          </cell>
          <cell r="L779">
            <v>-6.34</v>
          </cell>
          <cell r="M779">
            <v>-7.69</v>
          </cell>
          <cell r="N779">
            <v>0</v>
          </cell>
          <cell r="O779" t="str">
            <v>0</v>
          </cell>
          <cell r="P779" t="str">
            <v>0.362,-5.65;
0.34,-7.68;</v>
          </cell>
          <cell r="Q779">
            <v>12000</v>
          </cell>
          <cell r="R779">
            <v>0</v>
          </cell>
          <cell r="S779" t="str">
            <v>1001+35;1002+40;</v>
          </cell>
          <cell r="T779" t="str">
            <v>11900,1</v>
          </cell>
        </row>
        <row r="780">
          <cell r="A780">
            <v>668</v>
          </cell>
          <cell r="B780" t="str">
            <v>大雪山</v>
          </cell>
          <cell r="C780" t="str">
            <v>1503028;1503029;1503030;</v>
          </cell>
          <cell r="D780" t="str">
            <v>1503028;1503029;1503030;1503031;</v>
          </cell>
          <cell r="E780" t="str">
            <v>1503028;1503029;1503030;1503031;1503032;</v>
          </cell>
        </row>
        <row r="780">
          <cell r="G780">
            <v>0</v>
          </cell>
          <cell r="H780">
            <v>1</v>
          </cell>
          <cell r="I780">
            <v>1</v>
          </cell>
          <cell r="J780" t="b">
            <v>0</v>
          </cell>
          <cell r="K780">
            <v>1002</v>
          </cell>
          <cell r="L780">
            <v>-6.34</v>
          </cell>
          <cell r="M780">
            <v>-7.69</v>
          </cell>
          <cell r="N780">
            <v>0</v>
          </cell>
          <cell r="O780" t="str">
            <v>0</v>
          </cell>
          <cell r="P780" t="str">
            <v>0.362,-5.65;
0.34,-7.68;</v>
          </cell>
          <cell r="Q780">
            <v>12000</v>
          </cell>
          <cell r="R780">
            <v>0</v>
          </cell>
          <cell r="S780" t="str">
            <v>1001+35;1002+40;</v>
          </cell>
          <cell r="T780" t="str">
            <v>11900,1</v>
          </cell>
        </row>
        <row r="781">
          <cell r="A781">
            <v>669</v>
          </cell>
          <cell r="B781" t="str">
            <v>大雪山</v>
          </cell>
          <cell r="C781" t="str">
            <v>1503187;1503188;1503189;1503190;1503191;</v>
          </cell>
          <cell r="D781" t="str">
            <v>1503187;1503188;1503189;1503190;1503191;1503192;</v>
          </cell>
          <cell r="E781" t="str">
            <v>1503187;1503188;1503189;1503190;1503191;1503192;1503193;</v>
          </cell>
        </row>
        <row r="781">
          <cell r="G781">
            <v>0</v>
          </cell>
          <cell r="H781">
            <v>1</v>
          </cell>
          <cell r="I781">
            <v>1</v>
          </cell>
          <cell r="J781" t="b">
            <v>0</v>
          </cell>
          <cell r="K781">
            <v>1002</v>
          </cell>
          <cell r="L781">
            <v>-6.34</v>
          </cell>
          <cell r="M781">
            <v>-7.69</v>
          </cell>
          <cell r="N781">
            <v>0</v>
          </cell>
          <cell r="O781" t="str">
            <v>0</v>
          </cell>
          <cell r="P781" t="str">
            <v>0.362,-5.65;
0.34,-7.68;</v>
          </cell>
          <cell r="Q781">
            <v>12000</v>
          </cell>
          <cell r="R781">
            <v>0</v>
          </cell>
          <cell r="S781" t="str">
            <v>1001+35;1002+40;</v>
          </cell>
          <cell r="T781" t="str">
            <v>11900,1</v>
          </cell>
        </row>
        <row r="782">
          <cell r="A782">
            <v>670</v>
          </cell>
          <cell r="B782" t="str">
            <v>大雪山</v>
          </cell>
          <cell r="C782" t="str">
            <v>1503033;1503034;1503035;1503036;</v>
          </cell>
          <cell r="D782" t="str">
            <v>1503033;1503034;1503035;1503036;1503037;</v>
          </cell>
          <cell r="E782" t="str">
            <v>1503033;1503034;1503035;1503036;1503037;1503038;</v>
          </cell>
        </row>
        <row r="782">
          <cell r="G782">
            <v>0</v>
          </cell>
          <cell r="H782">
            <v>1</v>
          </cell>
          <cell r="I782">
            <v>1</v>
          </cell>
          <cell r="J782" t="b">
            <v>0</v>
          </cell>
          <cell r="K782">
            <v>1002</v>
          </cell>
          <cell r="L782">
            <v>-6.34</v>
          </cell>
          <cell r="M782">
            <v>-7.69</v>
          </cell>
          <cell r="N782">
            <v>0</v>
          </cell>
          <cell r="O782" t="str">
            <v>0</v>
          </cell>
          <cell r="P782" t="str">
            <v>0.362,-5.65;
0.34,-7.68;</v>
          </cell>
          <cell r="Q782">
            <v>12000</v>
          </cell>
          <cell r="R782">
            <v>0</v>
          </cell>
          <cell r="S782" t="str">
            <v>1001+35;1002+40;</v>
          </cell>
          <cell r="T782" t="str">
            <v>11900,1</v>
          </cell>
        </row>
        <row r="783">
          <cell r="A783">
            <v>671</v>
          </cell>
          <cell r="B783" t="str">
            <v>群丐新雄</v>
          </cell>
          <cell r="C783" t="str">
            <v>1503039;1503040;1503041;1503042;1503043;</v>
          </cell>
          <cell r="D783" t="str">
            <v>1503039;1503040;1503041;1503042;1503043;1503044;</v>
          </cell>
          <cell r="E783" t="str">
            <v>1503039;1503040;1503041;1503042;1503043;1503044;1503045;</v>
          </cell>
        </row>
        <row r="783">
          <cell r="G783">
            <v>1503167</v>
          </cell>
          <cell r="H783">
            <v>1</v>
          </cell>
          <cell r="I783">
            <v>1</v>
          </cell>
          <cell r="J783" t="b">
            <v>0</v>
          </cell>
          <cell r="K783">
            <v>1002</v>
          </cell>
          <cell r="L783">
            <v>-6.34</v>
          </cell>
          <cell r="M783">
            <v>-7.69</v>
          </cell>
          <cell r="N783">
            <v>0</v>
          </cell>
          <cell r="O783" t="str">
            <v>0</v>
          </cell>
          <cell r="P783" t="str">
            <v>0.362,-5.65;
0.34,-7.68;</v>
          </cell>
          <cell r="Q783">
            <v>12000</v>
          </cell>
          <cell r="R783">
            <v>0</v>
          </cell>
          <cell r="S783" t="str">
            <v>1001+35;1002+40;</v>
          </cell>
          <cell r="T783" t="str">
            <v>11900,1</v>
          </cell>
        </row>
        <row r="784">
          <cell r="A784">
            <v>672</v>
          </cell>
          <cell r="B784" t="str">
            <v>佛音渺渺</v>
          </cell>
          <cell r="C784" t="str">
            <v>1503046;1503047;1503048;1503049;</v>
          </cell>
          <cell r="D784" t="str">
            <v>1503046;1503047;1503048;1503049;1503050;</v>
          </cell>
          <cell r="E784" t="str">
            <v>1503046;1503047;1503048;1503049;1503050;1503051;</v>
          </cell>
        </row>
        <row r="784">
          <cell r="G784">
            <v>0</v>
          </cell>
          <cell r="H784">
            <v>1</v>
          </cell>
          <cell r="I784">
            <v>1</v>
          </cell>
          <cell r="J784" t="b">
            <v>0</v>
          </cell>
          <cell r="K784">
            <v>1002</v>
          </cell>
          <cell r="L784">
            <v>-6.34</v>
          </cell>
          <cell r="M784">
            <v>-7.69</v>
          </cell>
          <cell r="N784">
            <v>0</v>
          </cell>
          <cell r="O784" t="str">
            <v>0</v>
          </cell>
          <cell r="P784" t="str">
            <v>0.362,-5.65;
0.34,-7.68;</v>
          </cell>
          <cell r="Q784">
            <v>12000</v>
          </cell>
          <cell r="R784">
            <v>0</v>
          </cell>
          <cell r="S784" t="str">
            <v>1001+35;1002+40;</v>
          </cell>
          <cell r="T784" t="str">
            <v>11900,1</v>
          </cell>
        </row>
        <row r="785">
          <cell r="A785">
            <v>673</v>
          </cell>
          <cell r="B785" t="str">
            <v>慧剑破障</v>
          </cell>
          <cell r="C785" t="str">
            <v>1503052;1503053;1503054;1503055;1503056;</v>
          </cell>
          <cell r="D785" t="str">
            <v>1503052;1503053;1503054;1503055;1503056;1503057;</v>
          </cell>
          <cell r="E785" t="str">
            <v>1503052;1503053;1503054;1503055;1503056;1503057;1503058;</v>
          </cell>
        </row>
        <row r="785">
          <cell r="G785" t="str">
            <v>1503168;1503169;1503170</v>
          </cell>
          <cell r="H785">
            <v>1</v>
          </cell>
          <cell r="I785">
            <v>1</v>
          </cell>
          <cell r="J785" t="b">
            <v>0</v>
          </cell>
          <cell r="K785">
            <v>1002</v>
          </cell>
          <cell r="L785">
            <v>-6.34</v>
          </cell>
          <cell r="M785">
            <v>-7.69</v>
          </cell>
          <cell r="N785">
            <v>0</v>
          </cell>
          <cell r="O785" t="str">
            <v>0</v>
          </cell>
          <cell r="P785" t="str">
            <v>0.362,-5.65;
0.34,-7.68;</v>
          </cell>
          <cell r="Q785">
            <v>12000</v>
          </cell>
          <cell r="R785">
            <v>0</v>
          </cell>
          <cell r="S785" t="str">
            <v>1001+35;1002+40;</v>
          </cell>
          <cell r="T785" t="str">
            <v>11900,1</v>
          </cell>
        </row>
        <row r="786">
          <cell r="A786">
            <v>674</v>
          </cell>
          <cell r="B786" t="str">
            <v>慧剑破障</v>
          </cell>
          <cell r="C786" t="str">
            <v>1503058;1503059;1503060;1503061;</v>
          </cell>
          <cell r="D786" t="str">
            <v>1503058;1503059;1503060;1503061;1503062;</v>
          </cell>
          <cell r="E786" t="str">
            <v>1503058;1503059;1503060;1503061;1503062;1503063;</v>
          </cell>
        </row>
        <row r="786">
          <cell r="G786">
            <v>1503168</v>
          </cell>
          <cell r="H786">
            <v>1</v>
          </cell>
          <cell r="I786">
            <v>1</v>
          </cell>
          <cell r="J786" t="b">
            <v>0</v>
          </cell>
          <cell r="K786">
            <v>1002</v>
          </cell>
          <cell r="L786">
            <v>-6.34</v>
          </cell>
          <cell r="M786">
            <v>-7.69</v>
          </cell>
          <cell r="N786">
            <v>0</v>
          </cell>
          <cell r="O786" t="str">
            <v>0</v>
          </cell>
          <cell r="P786" t="str">
            <v>0.362,-5.65;
0.34,-7.68;</v>
          </cell>
          <cell r="Q786">
            <v>12000</v>
          </cell>
          <cell r="R786">
            <v>0</v>
          </cell>
          <cell r="S786" t="str">
            <v>1001+35;1002+40;</v>
          </cell>
          <cell r="T786" t="str">
            <v>11900,1</v>
          </cell>
        </row>
        <row r="787">
          <cell r="A787">
            <v>675</v>
          </cell>
          <cell r="B787" t="str">
            <v>慧剑破障</v>
          </cell>
          <cell r="C787" t="str">
            <v>1503064;1503065;1503066;1503067;1503068;</v>
          </cell>
          <cell r="D787" t="str">
            <v>1503064;1503065;1503066;1503067;1503068;1503069;</v>
          </cell>
          <cell r="E787" t="str">
            <v>1503064;1503065;1503066;1503067;1503068;1503069;1503070;</v>
          </cell>
        </row>
        <row r="787">
          <cell r="G787">
            <v>1503168</v>
          </cell>
          <cell r="H787">
            <v>1</v>
          </cell>
          <cell r="I787">
            <v>1</v>
          </cell>
          <cell r="J787" t="b">
            <v>0</v>
          </cell>
          <cell r="K787">
            <v>1002</v>
          </cell>
          <cell r="L787">
            <v>-6.34</v>
          </cell>
          <cell r="M787">
            <v>-7.69</v>
          </cell>
          <cell r="N787">
            <v>0</v>
          </cell>
          <cell r="O787" t="str">
            <v>0</v>
          </cell>
          <cell r="P787" t="str">
            <v>0.362,-5.65;
0.34,-7.68;</v>
          </cell>
          <cell r="Q787">
            <v>12000</v>
          </cell>
          <cell r="R787">
            <v>0</v>
          </cell>
          <cell r="S787" t="str">
            <v>1001+35;1002+40;</v>
          </cell>
          <cell r="T787" t="str">
            <v>11900,1</v>
          </cell>
        </row>
        <row r="788">
          <cell r="A788">
            <v>676</v>
          </cell>
          <cell r="B788" t="str">
            <v>慧剑破障</v>
          </cell>
          <cell r="C788" t="str">
            <v>1503071;1503072;1503073;1503074;1503075;</v>
          </cell>
          <cell r="D788" t="str">
            <v>1503071;1503072;1503073;1503074;1503075;1503076;</v>
          </cell>
          <cell r="E788" t="str">
            <v>1503071;1503072;1503073;1503074;1503075;1503076;1503077;</v>
          </cell>
        </row>
        <row r="788">
          <cell r="G788">
            <v>1503168</v>
          </cell>
          <cell r="H788">
            <v>1</v>
          </cell>
          <cell r="I788">
            <v>1</v>
          </cell>
          <cell r="J788" t="b">
            <v>0</v>
          </cell>
          <cell r="K788">
            <v>1002</v>
          </cell>
          <cell r="L788">
            <v>-6.34</v>
          </cell>
          <cell r="M788">
            <v>-7.69</v>
          </cell>
          <cell r="N788">
            <v>0</v>
          </cell>
          <cell r="O788" t="str">
            <v>0</v>
          </cell>
          <cell r="P788" t="str">
            <v>0.362,-5.65;
0.34,-7.68;</v>
          </cell>
          <cell r="Q788">
            <v>12000</v>
          </cell>
          <cell r="R788">
            <v>0</v>
          </cell>
          <cell r="S788" t="str">
            <v>1001+35;1002+40;</v>
          </cell>
          <cell r="T788" t="str">
            <v>11900,1</v>
          </cell>
        </row>
        <row r="789">
          <cell r="A789">
            <v>677</v>
          </cell>
          <cell r="B789" t="str">
            <v>慧剑破障</v>
          </cell>
          <cell r="C789" t="str">
            <v>1503077;1503078;1503079;1503080;1503081;</v>
          </cell>
          <cell r="D789" t="str">
            <v>1503077;1503078;1503079;1503080;1503081;1503082;</v>
          </cell>
          <cell r="E789" t="str">
            <v>1503077;1503078;1503079;1503080;1503081;1503082;1503083;</v>
          </cell>
        </row>
        <row r="789">
          <cell r="G789">
            <v>1503168</v>
          </cell>
          <cell r="H789">
            <v>1</v>
          </cell>
          <cell r="I789">
            <v>1</v>
          </cell>
          <cell r="J789" t="b">
            <v>0</v>
          </cell>
          <cell r="K789">
            <v>1002</v>
          </cell>
          <cell r="L789">
            <v>-6.34</v>
          </cell>
          <cell r="M789">
            <v>-7.69</v>
          </cell>
          <cell r="N789">
            <v>0</v>
          </cell>
          <cell r="O789" t="str">
            <v>0</v>
          </cell>
          <cell r="P789" t="str">
            <v>0.362,-5.65;
0.34,-7.68;</v>
          </cell>
          <cell r="Q789">
            <v>12000</v>
          </cell>
          <cell r="R789">
            <v>0</v>
          </cell>
          <cell r="S789" t="str">
            <v>1001+35;1002+40;</v>
          </cell>
          <cell r="T789" t="str">
            <v>11900,1</v>
          </cell>
        </row>
        <row r="790">
          <cell r="A790">
            <v>678</v>
          </cell>
          <cell r="B790" t="str">
            <v>谋而后动</v>
          </cell>
          <cell r="C790" t="str">
            <v>1503084;</v>
          </cell>
          <cell r="D790" t="str">
            <v>1503084;</v>
          </cell>
          <cell r="E790" t="str">
            <v>1503084;</v>
          </cell>
        </row>
        <row r="790">
          <cell r="G790">
            <v>0</v>
          </cell>
          <cell r="H790">
            <v>1</v>
          </cell>
          <cell r="I790">
            <v>1</v>
          </cell>
          <cell r="J790" t="b">
            <v>0</v>
          </cell>
          <cell r="K790">
            <v>1002</v>
          </cell>
          <cell r="L790">
            <v>-6.34</v>
          </cell>
          <cell r="M790">
            <v>-7.69</v>
          </cell>
          <cell r="N790">
            <v>0</v>
          </cell>
          <cell r="O790" t="str">
            <v>0</v>
          </cell>
          <cell r="P790" t="str">
            <v>0.362,-5.65;
0.34,-7.68;</v>
          </cell>
          <cell r="Q790">
            <v>12000</v>
          </cell>
          <cell r="R790">
            <v>0</v>
          </cell>
          <cell r="S790" t="str">
            <v>1001+35;1002+40;</v>
          </cell>
          <cell r="T790" t="str">
            <v>11900,1</v>
          </cell>
        </row>
        <row r="791">
          <cell r="A791">
            <v>679</v>
          </cell>
          <cell r="B791" t="str">
            <v>青灯古刹</v>
          </cell>
          <cell r="C791" t="str">
            <v>1503085;</v>
          </cell>
          <cell r="D791" t="str">
            <v>1503085;</v>
          </cell>
          <cell r="E791" t="str">
            <v>1503085;</v>
          </cell>
        </row>
        <row r="791">
          <cell r="G791">
            <v>0</v>
          </cell>
          <cell r="H791">
            <v>1</v>
          </cell>
          <cell r="I791">
            <v>1</v>
          </cell>
          <cell r="J791" t="b">
            <v>0</v>
          </cell>
          <cell r="K791">
            <v>1002</v>
          </cell>
          <cell r="L791">
            <v>-6.34</v>
          </cell>
          <cell r="M791">
            <v>-7.69</v>
          </cell>
          <cell r="N791">
            <v>0</v>
          </cell>
          <cell r="O791" t="str">
            <v>0</v>
          </cell>
          <cell r="P791" t="str">
            <v>0.362,-5.65;
0.34,-7.68;</v>
          </cell>
          <cell r="Q791">
            <v>12000</v>
          </cell>
          <cell r="R791">
            <v>0</v>
          </cell>
          <cell r="S791" t="str">
            <v>1001+35;1002+40;</v>
          </cell>
          <cell r="T791" t="str">
            <v>11900,1</v>
          </cell>
        </row>
        <row r="792">
          <cell r="A792">
            <v>680</v>
          </cell>
          <cell r="B792" t="str">
            <v>取信于人</v>
          </cell>
          <cell r="C792" t="str">
            <v>1503086;1503087;</v>
          </cell>
          <cell r="D792" t="str">
            <v>1503086;1503087;1503088;1503089;</v>
          </cell>
          <cell r="E792" t="str">
            <v>1503086;1503087;1503088;1503089;</v>
          </cell>
        </row>
        <row r="792">
          <cell r="G792">
            <v>0</v>
          </cell>
          <cell r="H792">
            <v>1</v>
          </cell>
          <cell r="I792">
            <v>1</v>
          </cell>
          <cell r="J792" t="b">
            <v>0</v>
          </cell>
          <cell r="K792">
            <v>1002</v>
          </cell>
          <cell r="L792">
            <v>-6.34</v>
          </cell>
          <cell r="M792">
            <v>-7.69</v>
          </cell>
          <cell r="N792">
            <v>0</v>
          </cell>
          <cell r="O792" t="str">
            <v>0</v>
          </cell>
          <cell r="P792" t="str">
            <v>0.362,-5.65;
0.34,-7.68;</v>
          </cell>
          <cell r="Q792">
            <v>12000</v>
          </cell>
          <cell r="R792">
            <v>0</v>
          </cell>
          <cell r="S792" t="str">
            <v>1001+35;1002+40;</v>
          </cell>
          <cell r="T792" t="str">
            <v>11900,1</v>
          </cell>
        </row>
        <row r="793">
          <cell r="A793">
            <v>681</v>
          </cell>
          <cell r="B793" t="str">
            <v>先人旧愿</v>
          </cell>
          <cell r="C793" t="str">
            <v>1503090;1503091;1503092;1503093;</v>
          </cell>
          <cell r="D793" t="str">
            <v>1503090;1503091;1503092;1503093;1503094;1503095;</v>
          </cell>
          <cell r="E793" t="str">
            <v>1503090;1503091;1503092;1503093;1503094;1503095;</v>
          </cell>
        </row>
        <row r="793">
          <cell r="H793">
            <v>1</v>
          </cell>
          <cell r="I793">
            <v>1</v>
          </cell>
          <cell r="J793" t="b">
            <v>0</v>
          </cell>
          <cell r="K793">
            <v>1002</v>
          </cell>
          <cell r="L793">
            <v>-6.34</v>
          </cell>
          <cell r="M793">
            <v>-7.69</v>
          </cell>
          <cell r="N793">
            <v>0</v>
          </cell>
          <cell r="O793" t="str">
            <v>0</v>
          </cell>
          <cell r="P793" t="str">
            <v>0.362,-5.65;
0.34,-7.68;</v>
          </cell>
          <cell r="Q793">
            <v>12000</v>
          </cell>
          <cell r="R793">
            <v>0</v>
          </cell>
          <cell r="S793" t="str">
            <v>1001+35;1002+40;</v>
          </cell>
          <cell r="T793" t="str">
            <v>11900,1</v>
          </cell>
        </row>
        <row r="794">
          <cell r="A794">
            <v>682</v>
          </cell>
          <cell r="B794" t="str">
            <v>先人旧愿</v>
          </cell>
          <cell r="C794" t="str">
            <v>1503096;1503097;1503098;1503099;</v>
          </cell>
          <cell r="D794" t="str">
            <v>1503096;1503097;1503098;1503099;1503100;1503101;</v>
          </cell>
          <cell r="E794" t="str">
            <v>1503096;1503097;1503098;1503099;1503100;1503101;</v>
          </cell>
        </row>
        <row r="794">
          <cell r="G794">
            <v>1503171</v>
          </cell>
          <cell r="H794">
            <v>1</v>
          </cell>
          <cell r="I794">
            <v>1</v>
          </cell>
          <cell r="J794" t="b">
            <v>0</v>
          </cell>
          <cell r="K794">
            <v>1002</v>
          </cell>
          <cell r="L794">
            <v>-6.34</v>
          </cell>
          <cell r="M794">
            <v>-7.69</v>
          </cell>
          <cell r="N794">
            <v>0</v>
          </cell>
          <cell r="O794" t="str">
            <v>0</v>
          </cell>
          <cell r="P794" t="str">
            <v>0.362,-5.65;
0.34,-7.68;</v>
          </cell>
          <cell r="Q794">
            <v>12000</v>
          </cell>
          <cell r="R794">
            <v>0</v>
          </cell>
          <cell r="S794" t="str">
            <v>1001+35;1002+40;</v>
          </cell>
          <cell r="T794" t="str">
            <v>11900,1</v>
          </cell>
        </row>
        <row r="795">
          <cell r="A795">
            <v>683</v>
          </cell>
          <cell r="B795" t="str">
            <v>先人旧愿</v>
          </cell>
          <cell r="C795" t="str">
            <v>1503102;</v>
          </cell>
          <cell r="D795" t="str">
            <v>1503102;</v>
          </cell>
          <cell r="E795" t="str">
            <v>1503102;</v>
          </cell>
        </row>
        <row r="795">
          <cell r="G795">
            <v>1503172</v>
          </cell>
          <cell r="H795">
            <v>1</v>
          </cell>
          <cell r="I795">
            <v>1</v>
          </cell>
          <cell r="J795" t="b">
            <v>0</v>
          </cell>
          <cell r="K795">
            <v>1002</v>
          </cell>
          <cell r="L795">
            <v>-6.34</v>
          </cell>
          <cell r="M795">
            <v>-7.69</v>
          </cell>
          <cell r="N795">
            <v>0</v>
          </cell>
          <cell r="O795" t="str">
            <v>0</v>
          </cell>
          <cell r="P795" t="str">
            <v>0.362,-5.65;
0.34,-7.68;</v>
          </cell>
          <cell r="Q795">
            <v>12000</v>
          </cell>
          <cell r="R795">
            <v>0</v>
          </cell>
          <cell r="S795" t="str">
            <v>1001+35;1002+40;</v>
          </cell>
          <cell r="T795" t="str">
            <v>11900,1</v>
          </cell>
        </row>
        <row r="796">
          <cell r="A796">
            <v>684</v>
          </cell>
          <cell r="B796" t="str">
            <v>心猿意马</v>
          </cell>
          <cell r="C796" t="str">
            <v>1503103;1503104;1503105;1503106;</v>
          </cell>
          <cell r="D796" t="str">
            <v>1503103;1503104;1503105;1503106;1503107;</v>
          </cell>
          <cell r="E796" t="str">
            <v>1503103;1503104;1503105;1503106;1503107;1503108;</v>
          </cell>
        </row>
        <row r="796">
          <cell r="G796">
            <v>1503173</v>
          </cell>
          <cell r="H796">
            <v>1</v>
          </cell>
          <cell r="I796">
            <v>1</v>
          </cell>
          <cell r="J796" t="b">
            <v>0</v>
          </cell>
          <cell r="K796">
            <v>1002</v>
          </cell>
          <cell r="L796">
            <v>-6.34</v>
          </cell>
          <cell r="M796">
            <v>-7.69</v>
          </cell>
          <cell r="N796">
            <v>0</v>
          </cell>
          <cell r="O796" t="str">
            <v>0</v>
          </cell>
          <cell r="P796" t="str">
            <v>0.362,-5.65;
0.34,-7.68;</v>
          </cell>
          <cell r="Q796">
            <v>12000</v>
          </cell>
          <cell r="R796">
            <v>0</v>
          </cell>
          <cell r="S796" t="str">
            <v>1001+35;1002+40;</v>
          </cell>
          <cell r="T796" t="str">
            <v>11900,1</v>
          </cell>
        </row>
        <row r="797">
          <cell r="A797">
            <v>685</v>
          </cell>
          <cell r="B797" t="str">
            <v>夜探龙门</v>
          </cell>
          <cell r="C797" t="str">
            <v>1503108;1503109;1503110;1503111;1503112;</v>
          </cell>
          <cell r="D797" t="str">
            <v>1503108;1503109;1503110;1503111;1503112;1503113;</v>
          </cell>
          <cell r="E797" t="str">
            <v>1503108;1503109;1503110;1503111;1503112;1503113;1503114;</v>
          </cell>
        </row>
        <row r="797">
          <cell r="G797" t="str">
            <v>1503174;1503175;1503176</v>
          </cell>
          <cell r="H797">
            <v>1</v>
          </cell>
          <cell r="I797">
            <v>1</v>
          </cell>
          <cell r="J797" t="b">
            <v>0</v>
          </cell>
          <cell r="K797">
            <v>1002</v>
          </cell>
          <cell r="L797">
            <v>-6.34</v>
          </cell>
          <cell r="M797">
            <v>-7.69</v>
          </cell>
          <cell r="N797">
            <v>0</v>
          </cell>
          <cell r="O797" t="str">
            <v>0</v>
          </cell>
          <cell r="P797" t="str">
            <v>0.362,-5.65;
0.34,-7.68;</v>
          </cell>
          <cell r="Q797">
            <v>12000</v>
          </cell>
          <cell r="R797">
            <v>0</v>
          </cell>
          <cell r="S797" t="str">
            <v>1001+35;1002+40;</v>
          </cell>
          <cell r="T797" t="str">
            <v>11900,1</v>
          </cell>
        </row>
        <row r="798">
          <cell r="A798">
            <v>686</v>
          </cell>
          <cell r="B798" t="str">
            <v>夜探龙门</v>
          </cell>
          <cell r="C798" t="str">
            <v>1503115;1503116;1503117;1503118;1503119;</v>
          </cell>
          <cell r="D798" t="str">
            <v>1503115;1503116;1503117;1503118;1503119;</v>
          </cell>
          <cell r="E798" t="str">
            <v>1503115;1503116;1503117;1503118;1503119;</v>
          </cell>
        </row>
        <row r="798">
          <cell r="G798" t="str">
            <v>1503177;1503178;1503179</v>
          </cell>
          <cell r="H798">
            <v>1</v>
          </cell>
          <cell r="I798">
            <v>1</v>
          </cell>
          <cell r="J798" t="b">
            <v>0</v>
          </cell>
          <cell r="K798">
            <v>1002</v>
          </cell>
          <cell r="L798">
            <v>-6.34</v>
          </cell>
          <cell r="M798">
            <v>-7.69</v>
          </cell>
          <cell r="N798">
            <v>0</v>
          </cell>
          <cell r="O798" t="str">
            <v>0</v>
          </cell>
          <cell r="P798" t="str">
            <v>0.362,-5.65;
0.34,-7.68;</v>
          </cell>
          <cell r="Q798">
            <v>12000</v>
          </cell>
          <cell r="R798">
            <v>0</v>
          </cell>
          <cell r="S798" t="str">
            <v>1001+35;1002+40;</v>
          </cell>
          <cell r="T798" t="str">
            <v>11900,1</v>
          </cell>
        </row>
        <row r="799">
          <cell r="A799">
            <v>687</v>
          </cell>
          <cell r="B799" t="str">
            <v>隐月鸣琴</v>
          </cell>
          <cell r="C799" t="str">
            <v>1503120</v>
          </cell>
          <cell r="D799" t="str">
            <v>1503120;</v>
          </cell>
          <cell r="E799" t="str">
            <v>1503120;</v>
          </cell>
        </row>
        <row r="799">
          <cell r="G799">
            <v>0</v>
          </cell>
          <cell r="H799">
            <v>1</v>
          </cell>
          <cell r="I799">
            <v>1</v>
          </cell>
          <cell r="J799" t="b">
            <v>0</v>
          </cell>
          <cell r="K799">
            <v>1002</v>
          </cell>
          <cell r="L799">
            <v>-6.34</v>
          </cell>
          <cell r="M799">
            <v>-7.69</v>
          </cell>
          <cell r="N799">
            <v>0</v>
          </cell>
          <cell r="O799" t="str">
            <v>0</v>
          </cell>
          <cell r="P799" t="str">
            <v>0.362,-5.65;
0.34,-7.68;</v>
          </cell>
          <cell r="Q799">
            <v>12000</v>
          </cell>
          <cell r="R799">
            <v>0</v>
          </cell>
          <cell r="S799" t="str">
            <v>1001+35;1002+40;</v>
          </cell>
          <cell r="T799" t="str">
            <v>11900,1</v>
          </cell>
        </row>
        <row r="800">
          <cell r="A800">
            <v>688</v>
          </cell>
          <cell r="B800" t="str">
            <v>隐月鸣琴</v>
          </cell>
          <cell r="C800" t="str">
            <v>1503121;1503122;1503123;1503124;</v>
          </cell>
          <cell r="D800" t="str">
            <v>1503121;1503122;1503123;1503124;1503125;1503126;</v>
          </cell>
          <cell r="E800" t="str">
            <v>1503121;1503122;1503123;1503124;1503125;1503126;</v>
          </cell>
        </row>
        <row r="800">
          <cell r="G800">
            <v>1503180</v>
          </cell>
          <cell r="H800">
            <v>1</v>
          </cell>
          <cell r="I800">
            <v>1</v>
          </cell>
          <cell r="J800" t="b">
            <v>0</v>
          </cell>
          <cell r="K800">
            <v>1002</v>
          </cell>
          <cell r="L800">
            <v>-6.34</v>
          </cell>
          <cell r="M800">
            <v>-7.69</v>
          </cell>
          <cell r="N800">
            <v>0</v>
          </cell>
          <cell r="O800" t="str">
            <v>0</v>
          </cell>
          <cell r="P800" t="str">
            <v>0.362,-5.65;
0.34,-7.68;</v>
          </cell>
          <cell r="Q800">
            <v>12000</v>
          </cell>
          <cell r="R800">
            <v>0</v>
          </cell>
          <cell r="S800" t="str">
            <v>1001+35;1002+40;</v>
          </cell>
          <cell r="T800" t="str">
            <v>11900,1</v>
          </cell>
        </row>
        <row r="801">
          <cell r="A801">
            <v>689</v>
          </cell>
          <cell r="B801" t="str">
            <v>禁刀贪妄</v>
          </cell>
          <cell r="C801" t="str">
            <v>1503127;1503128;</v>
          </cell>
          <cell r="D801" t="str">
            <v>1503127;1503128;</v>
          </cell>
          <cell r="E801" t="str">
            <v>1503127;1503128;</v>
          </cell>
        </row>
        <row r="801">
          <cell r="G801">
            <v>0</v>
          </cell>
          <cell r="H801">
            <v>1</v>
          </cell>
          <cell r="I801">
            <v>1</v>
          </cell>
          <cell r="J801" t="b">
            <v>0</v>
          </cell>
          <cell r="K801">
            <v>1002</v>
          </cell>
          <cell r="L801">
            <v>-6.34</v>
          </cell>
          <cell r="M801">
            <v>-7.69</v>
          </cell>
          <cell r="N801">
            <v>0</v>
          </cell>
          <cell r="O801" t="str">
            <v>0</v>
          </cell>
          <cell r="P801" t="str">
            <v>0.362,-5.65;
0.34,-7.68;</v>
          </cell>
          <cell r="Q801">
            <v>12000</v>
          </cell>
          <cell r="R801">
            <v>0</v>
          </cell>
          <cell r="S801" t="str">
            <v>1001+35;1002+40;</v>
          </cell>
          <cell r="T801" t="str">
            <v>11900,1</v>
          </cell>
        </row>
        <row r="802">
          <cell r="A802">
            <v>690</v>
          </cell>
          <cell r="B802" t="str">
            <v>鬼门铁岭</v>
          </cell>
          <cell r="C802" t="str">
            <v>1503129;</v>
          </cell>
          <cell r="D802" t="str">
            <v>1503129;</v>
          </cell>
          <cell r="E802" t="str">
            <v>1503129;</v>
          </cell>
        </row>
        <row r="802">
          <cell r="G802">
            <v>0</v>
          </cell>
          <cell r="H802">
            <v>1</v>
          </cell>
          <cell r="I802">
            <v>1</v>
          </cell>
          <cell r="J802" t="b">
            <v>0</v>
          </cell>
          <cell r="K802">
            <v>1002</v>
          </cell>
          <cell r="L802">
            <v>-6.34</v>
          </cell>
          <cell r="M802">
            <v>-7.69</v>
          </cell>
          <cell r="N802">
            <v>0</v>
          </cell>
          <cell r="O802" t="str">
            <v>0</v>
          </cell>
          <cell r="P802" t="str">
            <v>0.362,-5.65;
0.34,-7.68;</v>
          </cell>
          <cell r="Q802">
            <v>12000</v>
          </cell>
          <cell r="R802">
            <v>0</v>
          </cell>
          <cell r="S802" t="str">
            <v>1001+35;1002+40;</v>
          </cell>
          <cell r="T802" t="str">
            <v>11900,1</v>
          </cell>
        </row>
        <row r="803">
          <cell r="A803">
            <v>691</v>
          </cell>
          <cell r="B803" t="str">
            <v>雪冷玉暖</v>
          </cell>
          <cell r="C803" t="str">
            <v>1503130;1503131;1503132;1503133;</v>
          </cell>
          <cell r="D803" t="str">
            <v>1503130;1503131;1503132;1503133;1503134;1503135;</v>
          </cell>
          <cell r="E803" t="str">
            <v>1503130;1503131;1503132;1503133;1503134;1503135;</v>
          </cell>
        </row>
        <row r="803">
          <cell r="G803">
            <v>1503181</v>
          </cell>
          <cell r="H803">
            <v>1</v>
          </cell>
          <cell r="I803">
            <v>1</v>
          </cell>
          <cell r="J803" t="b">
            <v>0</v>
          </cell>
          <cell r="K803">
            <v>1002</v>
          </cell>
          <cell r="L803">
            <v>-6.34</v>
          </cell>
          <cell r="M803">
            <v>-7.69</v>
          </cell>
          <cell r="N803">
            <v>0</v>
          </cell>
          <cell r="O803" t="str">
            <v>0</v>
          </cell>
          <cell r="P803" t="str">
            <v>0.362,-5.65;
0.34,-7.68;</v>
          </cell>
          <cell r="Q803">
            <v>12000</v>
          </cell>
          <cell r="R803">
            <v>0</v>
          </cell>
          <cell r="S803" t="str">
            <v>1001+35;1002+40;</v>
          </cell>
          <cell r="T803" t="str">
            <v>11900,1</v>
          </cell>
        </row>
        <row r="804">
          <cell r="A804">
            <v>692</v>
          </cell>
          <cell r="B804" t="str">
            <v>弃身论武</v>
          </cell>
          <cell r="C804" t="str">
            <v>1503136;</v>
          </cell>
          <cell r="D804" t="str">
            <v>1503136;</v>
          </cell>
          <cell r="E804" t="str">
            <v>1503136;</v>
          </cell>
        </row>
        <row r="804">
          <cell r="G804">
            <v>0</v>
          </cell>
          <cell r="H804">
            <v>1</v>
          </cell>
          <cell r="I804">
            <v>1</v>
          </cell>
          <cell r="J804" t="b">
            <v>0</v>
          </cell>
          <cell r="K804">
            <v>1002</v>
          </cell>
          <cell r="L804">
            <v>-6.34</v>
          </cell>
          <cell r="M804">
            <v>-7.69</v>
          </cell>
          <cell r="N804">
            <v>0</v>
          </cell>
          <cell r="O804" t="str">
            <v>0</v>
          </cell>
          <cell r="P804" t="str">
            <v>0.362,-5.65;
0.34,-7.68;</v>
          </cell>
          <cell r="Q804">
            <v>12000</v>
          </cell>
          <cell r="R804">
            <v>0</v>
          </cell>
          <cell r="S804" t="str">
            <v>1001+35;1002+40;</v>
          </cell>
          <cell r="T804" t="str">
            <v>11900,1</v>
          </cell>
        </row>
        <row r="805">
          <cell r="A805">
            <v>693</v>
          </cell>
          <cell r="B805" t="str">
            <v>天刀大会</v>
          </cell>
          <cell r="C805" t="str">
            <v>1503137;1503138;1503139;1503140;</v>
          </cell>
          <cell r="D805" t="str">
            <v>1503137;1503138;1503139;1503140;1503141;1503142;</v>
          </cell>
          <cell r="E805" t="str">
            <v>1503137;1503138;1503139;1503140;1503141;1503142;</v>
          </cell>
        </row>
        <row r="805">
          <cell r="G805" t="str">
            <v>1503182;1503183</v>
          </cell>
          <cell r="H805">
            <v>1</v>
          </cell>
          <cell r="I805">
            <v>1</v>
          </cell>
          <cell r="J805" t="b">
            <v>0</v>
          </cell>
          <cell r="K805">
            <v>1002</v>
          </cell>
          <cell r="L805">
            <v>-6.34</v>
          </cell>
          <cell r="M805">
            <v>-7.69</v>
          </cell>
          <cell r="N805">
            <v>0</v>
          </cell>
          <cell r="O805" t="str">
            <v>0</v>
          </cell>
          <cell r="P805" t="str">
            <v>0.362,-5.65;
0.34,-7.68;</v>
          </cell>
          <cell r="Q805">
            <v>12000</v>
          </cell>
          <cell r="R805">
            <v>0</v>
          </cell>
          <cell r="S805" t="str">
            <v>1001+35;1002+40;</v>
          </cell>
          <cell r="T805" t="str">
            <v>11900,1</v>
          </cell>
        </row>
        <row r="806">
          <cell r="A806">
            <v>694</v>
          </cell>
          <cell r="B806" t="str">
            <v>天刀大会</v>
          </cell>
          <cell r="C806" t="str">
            <v>1503143;1503144;1503145;1503146;1503147;</v>
          </cell>
          <cell r="D806" t="str">
            <v>1503143;1503144;1503145;1503146;1503147;1503148;</v>
          </cell>
          <cell r="E806" t="str">
            <v>1503143;1503144;1503145;1503146;1503147;1503148;1503149;</v>
          </cell>
        </row>
        <row r="806">
          <cell r="G806">
            <v>1503184</v>
          </cell>
          <cell r="H806">
            <v>1</v>
          </cell>
          <cell r="I806">
            <v>1</v>
          </cell>
          <cell r="J806" t="b">
            <v>0</v>
          </cell>
          <cell r="K806">
            <v>1002</v>
          </cell>
          <cell r="L806">
            <v>-6.34</v>
          </cell>
          <cell r="M806">
            <v>-7.69</v>
          </cell>
          <cell r="N806">
            <v>0</v>
          </cell>
          <cell r="O806" t="str">
            <v>0</v>
          </cell>
          <cell r="P806" t="str">
            <v>0.362,-5.65;
0.34,-7.68;</v>
          </cell>
          <cell r="Q806">
            <v>12000</v>
          </cell>
          <cell r="R806">
            <v>0</v>
          </cell>
          <cell r="S806" t="str">
            <v>1001+35;1002+40;</v>
          </cell>
          <cell r="T806" t="str">
            <v>11900,1</v>
          </cell>
        </row>
        <row r="807">
          <cell r="A807">
            <v>695</v>
          </cell>
          <cell r="B807" t="str">
            <v>天刀大会</v>
          </cell>
          <cell r="C807" t="str">
            <v>1503150;1503151;1503152;1503153;1503154;</v>
          </cell>
          <cell r="D807" t="str">
            <v>1503150;1503151;1503152;1503153;1503154;1503155;</v>
          </cell>
          <cell r="E807" t="str">
            <v>1503150;1503151;1503152;1503153;1503154;1503155;1503156;</v>
          </cell>
        </row>
        <row r="807">
          <cell r="G807">
            <v>1503185</v>
          </cell>
          <cell r="H807">
            <v>1</v>
          </cell>
          <cell r="I807">
            <v>1</v>
          </cell>
          <cell r="J807" t="b">
            <v>0</v>
          </cell>
          <cell r="K807">
            <v>1002</v>
          </cell>
          <cell r="L807">
            <v>-6.34</v>
          </cell>
          <cell r="M807">
            <v>-7.69</v>
          </cell>
          <cell r="N807">
            <v>0</v>
          </cell>
          <cell r="O807" t="str">
            <v>0</v>
          </cell>
          <cell r="P807" t="str">
            <v>0.362,-5.65;
0.34,-7.68;</v>
          </cell>
          <cell r="Q807">
            <v>12000</v>
          </cell>
          <cell r="R807">
            <v>0</v>
          </cell>
          <cell r="S807" t="str">
            <v>1001+35;1002+40;</v>
          </cell>
          <cell r="T807" t="str">
            <v>11900,1</v>
          </cell>
        </row>
        <row r="808">
          <cell r="A808">
            <v>696</v>
          </cell>
          <cell r="B808" t="str">
            <v>天刀大会</v>
          </cell>
          <cell r="C808" t="str">
            <v>1503157;1503158;1503159;1503160;1503161;</v>
          </cell>
          <cell r="D808" t="str">
            <v>1503157;1503158;1503159;1503160;1503161;1503162;</v>
          </cell>
          <cell r="E808" t="str">
            <v>1503157;1503158;1503159;1503160;1503161;1503162;1503163;</v>
          </cell>
        </row>
        <row r="808">
          <cell r="G808">
            <v>1503186</v>
          </cell>
          <cell r="H808">
            <v>1</v>
          </cell>
          <cell r="I808">
            <v>1</v>
          </cell>
          <cell r="J808" t="b">
            <v>0</v>
          </cell>
          <cell r="K808">
            <v>1002</v>
          </cell>
          <cell r="L808">
            <v>-6.34</v>
          </cell>
          <cell r="M808">
            <v>-7.69</v>
          </cell>
          <cell r="N808">
            <v>0</v>
          </cell>
          <cell r="O808" t="str">
            <v>0</v>
          </cell>
          <cell r="P808" t="str">
            <v>0.362,-5.65;
0.34,-7.68;</v>
          </cell>
          <cell r="Q808">
            <v>12000</v>
          </cell>
          <cell r="R808">
            <v>0</v>
          </cell>
          <cell r="S808" t="str">
            <v>1001+35;1002+40;</v>
          </cell>
          <cell r="T808" t="str">
            <v>11900,1</v>
          </cell>
        </row>
        <row r="809">
          <cell r="A809">
            <v>697</v>
          </cell>
          <cell r="B809" t="str">
            <v>雪麓霜刀</v>
          </cell>
          <cell r="C809" t="str">
            <v>1503164;</v>
          </cell>
          <cell r="D809" t="str">
            <v>1503164;</v>
          </cell>
          <cell r="E809" t="str">
            <v>1503164;</v>
          </cell>
        </row>
        <row r="809">
          <cell r="G809">
            <v>0</v>
          </cell>
          <cell r="H809">
            <v>1</v>
          </cell>
          <cell r="I809">
            <v>1</v>
          </cell>
          <cell r="J809" t="b">
            <v>0</v>
          </cell>
          <cell r="K809">
            <v>1002</v>
          </cell>
          <cell r="L809">
            <v>-6.34</v>
          </cell>
          <cell r="M809">
            <v>-7.69</v>
          </cell>
          <cell r="N809">
            <v>0</v>
          </cell>
          <cell r="O809" t="str">
            <v>0</v>
          </cell>
          <cell r="P809" t="str">
            <v>0.362,-5.65;
0.34,-7.68;</v>
          </cell>
          <cell r="Q809">
            <v>12000</v>
          </cell>
          <cell r="R809">
            <v>0</v>
          </cell>
          <cell r="S809" t="str">
            <v>1001+35;1002+40;</v>
          </cell>
          <cell r="T809" t="str">
            <v>11900,1</v>
          </cell>
        </row>
        <row r="810">
          <cell r="A810">
            <v>698</v>
          </cell>
          <cell r="B810" t="str">
            <v>雪麓霜刀</v>
          </cell>
          <cell r="C810" t="str">
            <v>1503165;</v>
          </cell>
          <cell r="D810" t="str">
            <v>1503165;</v>
          </cell>
          <cell r="E810" t="str">
            <v>1503165;</v>
          </cell>
        </row>
        <row r="810">
          <cell r="G810">
            <v>0</v>
          </cell>
          <cell r="H810">
            <v>1</v>
          </cell>
          <cell r="I810">
            <v>1</v>
          </cell>
          <cell r="J810" t="b">
            <v>0</v>
          </cell>
          <cell r="K810">
            <v>1002</v>
          </cell>
          <cell r="L810">
            <v>-6.34</v>
          </cell>
          <cell r="M810">
            <v>-7.69</v>
          </cell>
          <cell r="N810">
            <v>0</v>
          </cell>
          <cell r="O810" t="str">
            <v>0</v>
          </cell>
          <cell r="P810" t="str">
            <v>0.362,-5.65;
0.34,-7.68;</v>
          </cell>
          <cell r="Q810">
            <v>12000</v>
          </cell>
          <cell r="R810">
            <v>0</v>
          </cell>
          <cell r="S810" t="str">
            <v>1001+35;1002+40;</v>
          </cell>
          <cell r="T810" t="str">
            <v>11900,1</v>
          </cell>
        </row>
        <row r="811">
          <cell r="A811">
            <v>699</v>
          </cell>
          <cell r="B811" t="str">
            <v>镇派秘闻</v>
          </cell>
          <cell r="C811" t="str">
            <v>1503166;</v>
          </cell>
          <cell r="D811" t="str">
            <v>1503166;</v>
          </cell>
          <cell r="E811" t="str">
            <v>1503166;</v>
          </cell>
        </row>
        <row r="811">
          <cell r="G811">
            <v>0</v>
          </cell>
          <cell r="H811">
            <v>1</v>
          </cell>
          <cell r="I811">
            <v>1</v>
          </cell>
          <cell r="J811" t="b">
            <v>0</v>
          </cell>
          <cell r="K811">
            <v>1002</v>
          </cell>
          <cell r="L811">
            <v>-6.34</v>
          </cell>
          <cell r="M811">
            <v>-7.69</v>
          </cell>
          <cell r="N811">
            <v>0</v>
          </cell>
          <cell r="O811" t="str">
            <v>0</v>
          </cell>
          <cell r="P811" t="str">
            <v>0.362,-5.65;
0.34,-7.68;</v>
          </cell>
          <cell r="Q811">
            <v>12000</v>
          </cell>
          <cell r="R811">
            <v>0</v>
          </cell>
          <cell r="S811" t="str">
            <v>1001+35;1002+40;</v>
          </cell>
          <cell r="T811" t="str">
            <v>11900,1</v>
          </cell>
        </row>
        <row r="812">
          <cell r="A812">
            <v>700</v>
          </cell>
          <cell r="B812" t="str">
            <v>太和初级门派挑战</v>
          </cell>
          <cell r="C812" t="str">
            <v>1503194;</v>
          </cell>
          <cell r="D812" t="str">
            <v>1503194;</v>
          </cell>
          <cell r="E812" t="str">
            <v>1503194;</v>
          </cell>
        </row>
        <row r="812">
          <cell r="G812">
            <v>0</v>
          </cell>
          <cell r="H812">
            <v>1</v>
          </cell>
          <cell r="I812">
            <v>1</v>
          </cell>
          <cell r="J812" t="b">
            <v>0</v>
          </cell>
          <cell r="K812">
            <v>1002</v>
          </cell>
          <cell r="L812">
            <v>-6.34</v>
          </cell>
          <cell r="M812">
            <v>-7.69</v>
          </cell>
          <cell r="N812">
            <v>0</v>
          </cell>
          <cell r="O812" t="str">
            <v>0</v>
          </cell>
          <cell r="P812" t="str">
            <v>0.362,-5.65;
0.34,-7.68;</v>
          </cell>
          <cell r="Q812">
            <v>12000</v>
          </cell>
          <cell r="R812">
            <v>0</v>
          </cell>
          <cell r="S812" t="str">
            <v>1001+3;1002+5;1005+1360;</v>
          </cell>
        </row>
        <row r="813">
          <cell r="A813">
            <v>701</v>
          </cell>
          <cell r="B813" t="str">
            <v>太和初级门派挑战</v>
          </cell>
          <cell r="C813" t="str">
            <v>1503195;</v>
          </cell>
          <cell r="D813" t="str">
            <v>1503195;</v>
          </cell>
          <cell r="E813" t="str">
            <v>1503195;</v>
          </cell>
        </row>
        <row r="813">
          <cell r="G813">
            <v>0</v>
          </cell>
          <cell r="H813">
            <v>1</v>
          </cell>
          <cell r="I813">
            <v>1</v>
          </cell>
          <cell r="J813" t="b">
            <v>0</v>
          </cell>
          <cell r="K813">
            <v>1002</v>
          </cell>
          <cell r="L813">
            <v>-6.34</v>
          </cell>
          <cell r="M813">
            <v>-7.69</v>
          </cell>
          <cell r="N813">
            <v>0</v>
          </cell>
          <cell r="O813" t="str">
            <v>0</v>
          </cell>
          <cell r="P813" t="str">
            <v>0.362,-5.65;
0.34,-7.68;</v>
          </cell>
          <cell r="Q813">
            <v>12000</v>
          </cell>
          <cell r="R813">
            <v>0</v>
          </cell>
          <cell r="S813" t="str">
            <v>1001+3;1002+5;1005+1360;</v>
          </cell>
        </row>
        <row r="814">
          <cell r="A814">
            <v>702</v>
          </cell>
          <cell r="B814" t="str">
            <v>太和中级门派挑战</v>
          </cell>
          <cell r="C814" t="str">
            <v>1503196;1503197;1503198;</v>
          </cell>
          <cell r="D814" t="str">
            <v>1503196;1503197;1503198;</v>
          </cell>
          <cell r="E814" t="str">
            <v>1503196;1503197;1503198;</v>
          </cell>
        </row>
        <row r="814">
          <cell r="G814">
            <v>0</v>
          </cell>
          <cell r="H814">
            <v>1</v>
          </cell>
          <cell r="I814">
            <v>1</v>
          </cell>
          <cell r="J814" t="b">
            <v>0</v>
          </cell>
          <cell r="K814">
            <v>1002</v>
          </cell>
          <cell r="L814">
            <v>-6.34</v>
          </cell>
          <cell r="M814">
            <v>-7.69</v>
          </cell>
          <cell r="N814">
            <v>0</v>
          </cell>
          <cell r="O814" t="str">
            <v>0</v>
          </cell>
          <cell r="P814" t="str">
            <v>0.362,-5.65;
0.34,-7.68;</v>
          </cell>
          <cell r="Q814">
            <v>12000</v>
          </cell>
          <cell r="R814">
            <v>0</v>
          </cell>
          <cell r="S814" t="str">
            <v>1001+10;1002+15;1005+4080;</v>
          </cell>
        </row>
        <row r="815">
          <cell r="A815">
            <v>703</v>
          </cell>
          <cell r="B815" t="str">
            <v>太和中级门派挑战</v>
          </cell>
          <cell r="C815" t="str">
            <v>1503199;1503200;1503201;</v>
          </cell>
          <cell r="D815" t="str">
            <v>1503199;1503200;1503201;</v>
          </cell>
          <cell r="E815" t="str">
            <v>1503199;1503200;1503201;</v>
          </cell>
        </row>
        <row r="815">
          <cell r="G815">
            <v>0</v>
          </cell>
          <cell r="H815">
            <v>1</v>
          </cell>
          <cell r="I815">
            <v>1</v>
          </cell>
          <cell r="J815" t="b">
            <v>0</v>
          </cell>
          <cell r="K815">
            <v>1002</v>
          </cell>
          <cell r="L815">
            <v>-6.34</v>
          </cell>
          <cell r="M815">
            <v>-7.69</v>
          </cell>
          <cell r="N815">
            <v>0</v>
          </cell>
          <cell r="O815" t="str">
            <v>0</v>
          </cell>
          <cell r="P815" t="str">
            <v>0.362,-5.65;
0.34,-7.68;</v>
          </cell>
          <cell r="Q815">
            <v>12000</v>
          </cell>
          <cell r="R815">
            <v>0</v>
          </cell>
          <cell r="S815" t="str">
            <v>1001+10;1002+15;1005+4080;</v>
          </cell>
        </row>
        <row r="816">
          <cell r="A816">
            <v>704</v>
          </cell>
          <cell r="B816" t="str">
            <v>太和高级门派挑战</v>
          </cell>
          <cell r="C816" t="str">
            <v>1503202;1503203;1503204;</v>
          </cell>
          <cell r="D816" t="str">
            <v>1503202;1503203;1503204;</v>
          </cell>
          <cell r="E816" t="str">
            <v>1503202;1503203;1503204;</v>
          </cell>
        </row>
        <row r="816">
          <cell r="G816">
            <v>0</v>
          </cell>
          <cell r="H816">
            <v>1</v>
          </cell>
          <cell r="I816">
            <v>1</v>
          </cell>
          <cell r="J816" t="b">
            <v>0</v>
          </cell>
          <cell r="K816">
            <v>1002</v>
          </cell>
          <cell r="L816">
            <v>-6.34</v>
          </cell>
          <cell r="M816">
            <v>-7.69</v>
          </cell>
          <cell r="N816">
            <v>0</v>
          </cell>
          <cell r="O816" t="str">
            <v>0</v>
          </cell>
          <cell r="P816" t="str">
            <v>0.362,-5.65;
0.34,-7.68;</v>
          </cell>
          <cell r="Q816">
            <v>12000</v>
          </cell>
          <cell r="R816">
            <v>0</v>
          </cell>
          <cell r="S816" t="str">
            <v>1001+15;1002+20;1005+8160;</v>
          </cell>
        </row>
        <row r="817">
          <cell r="A817">
            <v>705</v>
          </cell>
          <cell r="B817" t="str">
            <v>太和高级门派挑战</v>
          </cell>
          <cell r="C817" t="str">
            <v>1503205;1503206;1503207;</v>
          </cell>
          <cell r="D817" t="str">
            <v>1503205;1503206;1503207;</v>
          </cell>
          <cell r="E817" t="str">
            <v>1503205;1503206;1503207;</v>
          </cell>
        </row>
        <row r="817">
          <cell r="G817">
            <v>0</v>
          </cell>
          <cell r="H817">
            <v>1</v>
          </cell>
          <cell r="I817">
            <v>1</v>
          </cell>
          <cell r="J817" t="b">
            <v>0</v>
          </cell>
          <cell r="K817">
            <v>1002</v>
          </cell>
          <cell r="L817">
            <v>-6.34</v>
          </cell>
          <cell r="M817">
            <v>-7.69</v>
          </cell>
          <cell r="N817">
            <v>0</v>
          </cell>
          <cell r="O817" t="str">
            <v>0</v>
          </cell>
          <cell r="P817" t="str">
            <v>0.362,-5.65;
0.34,-7.68;</v>
          </cell>
          <cell r="Q817">
            <v>12000</v>
          </cell>
          <cell r="R817">
            <v>0</v>
          </cell>
          <cell r="S817" t="str">
            <v>1001+3;1002+5;1005+8160;</v>
          </cell>
        </row>
        <row r="818">
          <cell r="A818">
            <v>706</v>
          </cell>
          <cell r="B818" t="str">
            <v>天涯海阁初级门派挑战</v>
          </cell>
          <cell r="C818" t="str">
            <v>1503208;</v>
          </cell>
          <cell r="D818" t="str">
            <v>1503208;</v>
          </cell>
          <cell r="E818" t="str">
            <v>1503208;</v>
          </cell>
        </row>
        <row r="818">
          <cell r="G818">
            <v>0</v>
          </cell>
          <cell r="H818">
            <v>1</v>
          </cell>
          <cell r="I818">
            <v>1</v>
          </cell>
          <cell r="J818" t="b">
            <v>0</v>
          </cell>
          <cell r="K818">
            <v>1002</v>
          </cell>
          <cell r="L818">
            <v>-6.34</v>
          </cell>
          <cell r="M818">
            <v>-7.69</v>
          </cell>
          <cell r="N818">
            <v>0</v>
          </cell>
          <cell r="O818" t="str">
            <v>0</v>
          </cell>
          <cell r="P818" t="str">
            <v>0.362,-5.65;
0.34,-7.68;</v>
          </cell>
          <cell r="Q818">
            <v>12000</v>
          </cell>
          <cell r="R818">
            <v>0</v>
          </cell>
          <cell r="S818" t="str">
            <v>1001+3;1002+5;1005+1359;</v>
          </cell>
        </row>
        <row r="819">
          <cell r="A819">
            <v>707</v>
          </cell>
          <cell r="B819" t="str">
            <v>天涯海阁初级门派挑战</v>
          </cell>
          <cell r="C819" t="str">
            <v>1503209;</v>
          </cell>
          <cell r="D819" t="str">
            <v>1503209;</v>
          </cell>
          <cell r="E819" t="str">
            <v>1503209;</v>
          </cell>
        </row>
        <row r="819">
          <cell r="G819">
            <v>0</v>
          </cell>
          <cell r="H819">
            <v>1</v>
          </cell>
          <cell r="I819">
            <v>1</v>
          </cell>
          <cell r="J819" t="b">
            <v>0</v>
          </cell>
          <cell r="K819">
            <v>1002</v>
          </cell>
          <cell r="L819">
            <v>-6.34</v>
          </cell>
          <cell r="M819">
            <v>-7.69</v>
          </cell>
          <cell r="N819">
            <v>0</v>
          </cell>
          <cell r="O819" t="str">
            <v>0</v>
          </cell>
          <cell r="P819" t="str">
            <v>0.362,-5.65;
0.34,-7.68;</v>
          </cell>
          <cell r="Q819">
            <v>12000</v>
          </cell>
          <cell r="R819">
            <v>0</v>
          </cell>
          <cell r="S819" t="str">
            <v>1001+10;1002+15;1005+1359;</v>
          </cell>
        </row>
        <row r="820">
          <cell r="A820">
            <v>708</v>
          </cell>
          <cell r="B820" t="str">
            <v>天涯海阁中级门派挑战</v>
          </cell>
          <cell r="C820" t="str">
            <v>1503210;1503211;1503212;</v>
          </cell>
          <cell r="D820" t="str">
            <v>1503210;1503211;1503212;</v>
          </cell>
          <cell r="E820" t="str">
            <v>1503210;1503211;1503212;</v>
          </cell>
        </row>
        <row r="820">
          <cell r="G820">
            <v>0</v>
          </cell>
          <cell r="H820">
            <v>1</v>
          </cell>
          <cell r="I820">
            <v>1</v>
          </cell>
          <cell r="J820" t="b">
            <v>0</v>
          </cell>
          <cell r="K820">
            <v>1002</v>
          </cell>
          <cell r="L820">
            <v>-6.34</v>
          </cell>
          <cell r="M820">
            <v>-7.69</v>
          </cell>
          <cell r="N820">
            <v>0</v>
          </cell>
          <cell r="O820" t="str">
            <v>0</v>
          </cell>
          <cell r="P820" t="str">
            <v>0.362,-5.65;
0.34,-7.68;</v>
          </cell>
          <cell r="Q820">
            <v>12000</v>
          </cell>
          <cell r="R820">
            <v>0</v>
          </cell>
          <cell r="S820" t="str">
            <v>1001+10;1002+15;1005+4076;</v>
          </cell>
        </row>
        <row r="821">
          <cell r="A821">
            <v>709</v>
          </cell>
          <cell r="B821" t="str">
            <v>天涯海阁中级门派挑战</v>
          </cell>
          <cell r="C821" t="str">
            <v>1503213;1503214;1503215;</v>
          </cell>
          <cell r="D821" t="str">
            <v>1503213;1503214;1503215;</v>
          </cell>
          <cell r="E821" t="str">
            <v>1503213;1503214;1503215;</v>
          </cell>
        </row>
        <row r="821">
          <cell r="G821">
            <v>0</v>
          </cell>
          <cell r="H821">
            <v>1</v>
          </cell>
          <cell r="I821">
            <v>1</v>
          </cell>
          <cell r="J821" t="b">
            <v>0</v>
          </cell>
          <cell r="K821">
            <v>1002</v>
          </cell>
          <cell r="L821">
            <v>-6.34</v>
          </cell>
          <cell r="M821">
            <v>-7.69</v>
          </cell>
          <cell r="N821">
            <v>0</v>
          </cell>
          <cell r="O821" t="str">
            <v>0</v>
          </cell>
          <cell r="P821" t="str">
            <v>0.362,-5.65;
0.34,-7.68;</v>
          </cell>
          <cell r="Q821">
            <v>12000</v>
          </cell>
          <cell r="R821">
            <v>0</v>
          </cell>
          <cell r="S821" t="str">
            <v>1001+15;1002+20;1005+4076;</v>
          </cell>
        </row>
        <row r="822">
          <cell r="A822">
            <v>710</v>
          </cell>
          <cell r="B822" t="str">
            <v>天涯海阁高级门派挑战</v>
          </cell>
          <cell r="C822" t="str">
            <v>1503216;1503217;1503218;</v>
          </cell>
          <cell r="D822" t="str">
            <v>1503216;1503217;1503218;</v>
          </cell>
          <cell r="E822" t="str">
            <v>1503216;1503217;1503218;</v>
          </cell>
        </row>
        <row r="822">
          <cell r="G822">
            <v>0</v>
          </cell>
          <cell r="H822">
            <v>1</v>
          </cell>
          <cell r="I822">
            <v>1</v>
          </cell>
          <cell r="J822" t="b">
            <v>0</v>
          </cell>
          <cell r="K822">
            <v>1002</v>
          </cell>
          <cell r="L822">
            <v>-6.34</v>
          </cell>
          <cell r="M822">
            <v>-7.69</v>
          </cell>
          <cell r="N822">
            <v>0</v>
          </cell>
          <cell r="O822" t="str">
            <v>0</v>
          </cell>
          <cell r="P822" t="str">
            <v>0.362,-5.65;
0.34,-7.68;</v>
          </cell>
          <cell r="Q822">
            <v>12000</v>
          </cell>
          <cell r="R822">
            <v>0</v>
          </cell>
          <cell r="S822" t="str">
            <v>1001+3;1002+5;1005+8151;</v>
          </cell>
        </row>
        <row r="823">
          <cell r="A823">
            <v>711</v>
          </cell>
          <cell r="B823" t="str">
            <v>天涯海阁高级门派挑战</v>
          </cell>
          <cell r="C823" t="str">
            <v>1503219;1503220;1503221;</v>
          </cell>
          <cell r="D823" t="str">
            <v>1503219;1503220;1503221;</v>
          </cell>
          <cell r="E823" t="str">
            <v>1503219;1503220;1503221;</v>
          </cell>
        </row>
        <row r="823">
          <cell r="G823">
            <v>0</v>
          </cell>
          <cell r="H823">
            <v>1</v>
          </cell>
          <cell r="I823">
            <v>1</v>
          </cell>
          <cell r="J823" t="b">
            <v>0</v>
          </cell>
          <cell r="K823">
            <v>1002</v>
          </cell>
          <cell r="L823">
            <v>-6.34</v>
          </cell>
          <cell r="M823">
            <v>-7.69</v>
          </cell>
          <cell r="N823">
            <v>0</v>
          </cell>
          <cell r="O823" t="str">
            <v>0</v>
          </cell>
          <cell r="P823" t="str">
            <v>0.362,-5.65;
0.34,-7.68;</v>
          </cell>
          <cell r="Q823">
            <v>12000</v>
          </cell>
          <cell r="R823">
            <v>0</v>
          </cell>
          <cell r="S823" t="str">
            <v>1001+3;1002+5;1005+8151;</v>
          </cell>
        </row>
        <row r="824">
          <cell r="A824">
            <v>712</v>
          </cell>
          <cell r="B824" t="str">
            <v>五圣教初级门派挑战</v>
          </cell>
          <cell r="C824" t="str">
            <v>1503222;</v>
          </cell>
          <cell r="D824" t="str">
            <v>1503222;</v>
          </cell>
          <cell r="E824" t="str">
            <v>1503222;</v>
          </cell>
        </row>
        <row r="824">
          <cell r="G824">
            <v>0</v>
          </cell>
          <cell r="H824">
            <v>1</v>
          </cell>
          <cell r="I824">
            <v>1</v>
          </cell>
          <cell r="J824" t="b">
            <v>0</v>
          </cell>
          <cell r="K824">
            <v>1002</v>
          </cell>
          <cell r="L824">
            <v>-6.34</v>
          </cell>
          <cell r="M824">
            <v>-7.69</v>
          </cell>
          <cell r="N824">
            <v>0</v>
          </cell>
          <cell r="O824" t="str">
            <v>0</v>
          </cell>
          <cell r="P824" t="str">
            <v>0.362,-5.65;
0.34,-7.68;</v>
          </cell>
          <cell r="Q824">
            <v>12000</v>
          </cell>
          <cell r="R824">
            <v>0</v>
          </cell>
          <cell r="S824" t="str">
            <v>1001+10;1002+15;1005+1313;</v>
          </cell>
        </row>
        <row r="825">
          <cell r="A825">
            <v>713</v>
          </cell>
          <cell r="B825" t="str">
            <v>五圣教初级门派挑战</v>
          </cell>
          <cell r="C825" t="str">
            <v>1503223;</v>
          </cell>
          <cell r="D825" t="str">
            <v>1503223;</v>
          </cell>
          <cell r="E825" t="str">
            <v>1503223;</v>
          </cell>
        </row>
        <row r="825">
          <cell r="G825">
            <v>0</v>
          </cell>
          <cell r="H825">
            <v>1</v>
          </cell>
          <cell r="I825">
            <v>1</v>
          </cell>
          <cell r="J825" t="b">
            <v>0</v>
          </cell>
          <cell r="K825">
            <v>1002</v>
          </cell>
          <cell r="L825">
            <v>-6.34</v>
          </cell>
          <cell r="M825">
            <v>-7.69</v>
          </cell>
          <cell r="N825">
            <v>0</v>
          </cell>
          <cell r="O825" t="str">
            <v>0</v>
          </cell>
          <cell r="P825" t="str">
            <v>0.362,-5.65;
0.34,-7.68;</v>
          </cell>
          <cell r="Q825">
            <v>12000</v>
          </cell>
          <cell r="R825">
            <v>0</v>
          </cell>
          <cell r="S825" t="str">
            <v>1001+10;1002+15;1005+1313;</v>
          </cell>
        </row>
        <row r="826">
          <cell r="A826">
            <v>714</v>
          </cell>
          <cell r="B826" t="str">
            <v>五圣教中级门派挑战</v>
          </cell>
          <cell r="C826" t="str">
            <v>1503224;1503225;1503226;</v>
          </cell>
          <cell r="D826" t="str">
            <v>1503224;1503225;1503226;</v>
          </cell>
          <cell r="E826" t="str">
            <v>1503224;1503225;1503226;</v>
          </cell>
        </row>
        <row r="826">
          <cell r="G826">
            <v>0</v>
          </cell>
          <cell r="H826">
            <v>1</v>
          </cell>
          <cell r="I826">
            <v>1</v>
          </cell>
          <cell r="J826" t="b">
            <v>0</v>
          </cell>
          <cell r="K826">
            <v>1002</v>
          </cell>
          <cell r="L826">
            <v>-6.34</v>
          </cell>
          <cell r="M826">
            <v>-7.69</v>
          </cell>
          <cell r="N826">
            <v>0</v>
          </cell>
          <cell r="O826" t="str">
            <v>0</v>
          </cell>
          <cell r="P826" t="str">
            <v>0.362,-5.65;
0.34,-7.68;</v>
          </cell>
          <cell r="Q826">
            <v>12000</v>
          </cell>
          <cell r="R826">
            <v>0</v>
          </cell>
          <cell r="S826" t="str">
            <v>1001+15;1002+20;1005+3939;</v>
          </cell>
        </row>
        <row r="827">
          <cell r="A827">
            <v>715</v>
          </cell>
          <cell r="B827" t="str">
            <v>五圣教中级门派挑战</v>
          </cell>
          <cell r="C827" t="str">
            <v>1503227;1503228;1503229;</v>
          </cell>
          <cell r="D827" t="str">
            <v>1503227;1503228;1503229;</v>
          </cell>
          <cell r="E827" t="str">
            <v>1503227;1503228;1503229;</v>
          </cell>
        </row>
        <row r="827">
          <cell r="G827">
            <v>0</v>
          </cell>
          <cell r="H827">
            <v>1</v>
          </cell>
          <cell r="I827">
            <v>1</v>
          </cell>
          <cell r="J827" t="b">
            <v>0</v>
          </cell>
          <cell r="K827">
            <v>1002</v>
          </cell>
          <cell r="L827">
            <v>-6.34</v>
          </cell>
          <cell r="M827">
            <v>-7.69</v>
          </cell>
          <cell r="N827">
            <v>0</v>
          </cell>
          <cell r="O827" t="str">
            <v>0</v>
          </cell>
          <cell r="P827" t="str">
            <v>0.362,-5.65;
0.34,-7.68;</v>
          </cell>
          <cell r="Q827">
            <v>12000</v>
          </cell>
          <cell r="R827">
            <v>0</v>
          </cell>
          <cell r="S827" t="str">
            <v>1001+3;1002+5;1005+3939;</v>
          </cell>
        </row>
        <row r="828">
          <cell r="A828">
            <v>716</v>
          </cell>
          <cell r="B828" t="str">
            <v>五圣教高级门派挑战</v>
          </cell>
          <cell r="C828" t="str">
            <v>1503230;1503231;1503232;</v>
          </cell>
          <cell r="D828" t="str">
            <v>1503230;1503231;1503232;</v>
          </cell>
          <cell r="E828" t="str">
            <v>1503230;1503231;1503232;</v>
          </cell>
        </row>
        <row r="828">
          <cell r="G828">
            <v>0</v>
          </cell>
          <cell r="H828">
            <v>1</v>
          </cell>
          <cell r="I828">
            <v>1</v>
          </cell>
          <cell r="J828" t="b">
            <v>0</v>
          </cell>
          <cell r="K828">
            <v>1002</v>
          </cell>
          <cell r="L828">
            <v>-6.34</v>
          </cell>
          <cell r="M828">
            <v>-7.69</v>
          </cell>
          <cell r="N828">
            <v>0</v>
          </cell>
          <cell r="O828" t="str">
            <v>0</v>
          </cell>
          <cell r="P828" t="str">
            <v>0.362,-5.65;
0.34,-7.68;</v>
          </cell>
          <cell r="Q828">
            <v>12000</v>
          </cell>
          <cell r="R828">
            <v>0</v>
          </cell>
          <cell r="S828" t="str">
            <v>1001+3;1002+5;1005+7878;</v>
          </cell>
        </row>
        <row r="829">
          <cell r="A829">
            <v>717</v>
          </cell>
          <cell r="B829" t="str">
            <v>五圣教高级门派挑战</v>
          </cell>
          <cell r="C829" t="str">
            <v>1503233;1503234;1503235;</v>
          </cell>
          <cell r="D829" t="str">
            <v>1503233;1503234;1503235;</v>
          </cell>
          <cell r="E829" t="str">
            <v>1503233;1503234;1503235;</v>
          </cell>
        </row>
        <row r="829">
          <cell r="G829">
            <v>0</v>
          </cell>
          <cell r="H829">
            <v>1</v>
          </cell>
          <cell r="I829">
            <v>1</v>
          </cell>
          <cell r="J829" t="b">
            <v>0</v>
          </cell>
          <cell r="K829">
            <v>1002</v>
          </cell>
          <cell r="L829">
            <v>-6.34</v>
          </cell>
          <cell r="M829">
            <v>-7.69</v>
          </cell>
          <cell r="N829">
            <v>0</v>
          </cell>
          <cell r="O829" t="str">
            <v>0</v>
          </cell>
          <cell r="P829" t="str">
            <v>0.362,-5.65;
0.34,-7.68;</v>
          </cell>
          <cell r="Q829">
            <v>12000</v>
          </cell>
          <cell r="R829">
            <v>0</v>
          </cell>
          <cell r="S829" t="str">
            <v>1001+10;1002+15;1005+7878;</v>
          </cell>
        </row>
        <row r="830">
          <cell r="A830">
            <v>718</v>
          </cell>
          <cell r="B830" t="str">
            <v>大旗门初级门派挑战</v>
          </cell>
          <cell r="C830" t="str">
            <v>1503236;</v>
          </cell>
          <cell r="D830" t="str">
            <v>1503236;</v>
          </cell>
          <cell r="E830" t="str">
            <v>1503236;</v>
          </cell>
        </row>
        <row r="830">
          <cell r="G830">
            <v>0</v>
          </cell>
          <cell r="H830">
            <v>1</v>
          </cell>
          <cell r="I830">
            <v>1</v>
          </cell>
          <cell r="J830" t="b">
            <v>0</v>
          </cell>
          <cell r="K830">
            <v>1002</v>
          </cell>
          <cell r="L830">
            <v>-6.34</v>
          </cell>
          <cell r="M830">
            <v>-7.69</v>
          </cell>
          <cell r="N830">
            <v>0</v>
          </cell>
          <cell r="O830" t="str">
            <v>0</v>
          </cell>
          <cell r="P830" t="str">
            <v>0.362,-5.65;
0.34,-7.68;</v>
          </cell>
          <cell r="Q830">
            <v>12000</v>
          </cell>
          <cell r="R830">
            <v>0</v>
          </cell>
          <cell r="S830" t="str">
            <v>1001+10;1002+15;1005+1156;</v>
          </cell>
        </row>
        <row r="831">
          <cell r="A831">
            <v>719</v>
          </cell>
          <cell r="B831" t="str">
            <v>大旗门初级门派挑战</v>
          </cell>
          <cell r="C831" t="str">
            <v>1503237;</v>
          </cell>
          <cell r="D831" t="str">
            <v>1503237;</v>
          </cell>
          <cell r="E831" t="str">
            <v>1503237;</v>
          </cell>
        </row>
        <row r="831">
          <cell r="G831">
            <v>0</v>
          </cell>
          <cell r="H831">
            <v>1</v>
          </cell>
          <cell r="I831">
            <v>1</v>
          </cell>
          <cell r="J831" t="b">
            <v>0</v>
          </cell>
          <cell r="K831">
            <v>1002</v>
          </cell>
          <cell r="L831">
            <v>-6.34</v>
          </cell>
          <cell r="M831">
            <v>-7.69</v>
          </cell>
          <cell r="N831">
            <v>0</v>
          </cell>
          <cell r="O831" t="str">
            <v>0</v>
          </cell>
          <cell r="P831" t="str">
            <v>0.362,-5.65;
0.34,-7.68;</v>
          </cell>
          <cell r="Q831">
            <v>12000</v>
          </cell>
          <cell r="R831">
            <v>0</v>
          </cell>
          <cell r="S831" t="str">
            <v>1001+15;1002+20;1005+1156;</v>
          </cell>
        </row>
        <row r="832">
          <cell r="A832">
            <v>720</v>
          </cell>
          <cell r="B832" t="str">
            <v>大旗门中级门派挑战</v>
          </cell>
          <cell r="C832" t="str">
            <v>1503238;1503239;1503240;</v>
          </cell>
          <cell r="D832" t="str">
            <v>1503238;1503239;1503240;</v>
          </cell>
          <cell r="E832" t="str">
            <v>1503238;1503239;1503240;</v>
          </cell>
        </row>
        <row r="832">
          <cell r="G832">
            <v>0</v>
          </cell>
          <cell r="H832">
            <v>1</v>
          </cell>
          <cell r="I832">
            <v>1</v>
          </cell>
          <cell r="J832" t="b">
            <v>0</v>
          </cell>
          <cell r="K832">
            <v>1002</v>
          </cell>
          <cell r="L832">
            <v>-6.34</v>
          </cell>
          <cell r="M832">
            <v>-7.69</v>
          </cell>
          <cell r="N832">
            <v>0</v>
          </cell>
          <cell r="O832" t="str">
            <v>0</v>
          </cell>
          <cell r="P832" t="str">
            <v>0.362,-5.65;
0.34,-7.68;</v>
          </cell>
          <cell r="Q832">
            <v>12000</v>
          </cell>
          <cell r="R832">
            <v>0</v>
          </cell>
          <cell r="S832" t="str">
            <v>1001+3;1002+5;1005+3468;</v>
          </cell>
        </row>
        <row r="833">
          <cell r="A833">
            <v>721</v>
          </cell>
          <cell r="B833" t="str">
            <v>大旗门中级门派挑战</v>
          </cell>
          <cell r="C833" t="str">
            <v>1503241;1503242;1503243;</v>
          </cell>
          <cell r="D833" t="str">
            <v>1503241;1503242;1503243;</v>
          </cell>
          <cell r="E833" t="str">
            <v>1503241;1503242;1503243;</v>
          </cell>
        </row>
        <row r="833">
          <cell r="G833">
            <v>0</v>
          </cell>
          <cell r="H833">
            <v>1</v>
          </cell>
          <cell r="I833">
            <v>1</v>
          </cell>
          <cell r="J833" t="b">
            <v>0</v>
          </cell>
          <cell r="K833">
            <v>1002</v>
          </cell>
          <cell r="L833">
            <v>-6.34</v>
          </cell>
          <cell r="M833">
            <v>-7.69</v>
          </cell>
          <cell r="N833">
            <v>0</v>
          </cell>
          <cell r="O833" t="str">
            <v>0</v>
          </cell>
          <cell r="P833" t="str">
            <v>0.362,-5.65;
0.34,-7.68;</v>
          </cell>
          <cell r="Q833">
            <v>12000</v>
          </cell>
          <cell r="R833">
            <v>0</v>
          </cell>
          <cell r="S833" t="str">
            <v>1001+3;1002+5;1005+3468;</v>
          </cell>
        </row>
        <row r="834">
          <cell r="A834">
            <v>722</v>
          </cell>
          <cell r="B834" t="str">
            <v>大旗门高级门派挑战</v>
          </cell>
          <cell r="C834" t="str">
            <v>1503244;1503245;1503246;</v>
          </cell>
          <cell r="D834" t="str">
            <v>1503244;1503245;1503246;</v>
          </cell>
          <cell r="E834" t="str">
            <v>1503244;1503245;1503246;</v>
          </cell>
        </row>
        <row r="834">
          <cell r="G834">
            <v>0</v>
          </cell>
          <cell r="H834">
            <v>1</v>
          </cell>
          <cell r="I834">
            <v>1</v>
          </cell>
          <cell r="J834" t="b">
            <v>0</v>
          </cell>
          <cell r="K834">
            <v>1002</v>
          </cell>
          <cell r="L834">
            <v>-6.34</v>
          </cell>
          <cell r="M834">
            <v>-7.69</v>
          </cell>
          <cell r="N834">
            <v>0</v>
          </cell>
          <cell r="O834" t="str">
            <v>0</v>
          </cell>
          <cell r="P834" t="str">
            <v>0.362,-5.65;
0.34,-7.68;</v>
          </cell>
          <cell r="Q834">
            <v>12000</v>
          </cell>
          <cell r="R834">
            <v>0</v>
          </cell>
          <cell r="S834" t="str">
            <v>1001+10;1002+15;1005+6936;</v>
          </cell>
        </row>
        <row r="835">
          <cell r="A835">
            <v>723</v>
          </cell>
          <cell r="B835" t="str">
            <v>大旗门高级门派挑战</v>
          </cell>
          <cell r="C835" t="str">
            <v>1503247;1503248;1503249;</v>
          </cell>
          <cell r="D835" t="str">
            <v>1503247;1503248;1503249;</v>
          </cell>
          <cell r="E835" t="str">
            <v>1503247;1503248;1503249;</v>
          </cell>
        </row>
        <row r="835">
          <cell r="G835">
            <v>0</v>
          </cell>
          <cell r="H835">
            <v>1</v>
          </cell>
          <cell r="I835">
            <v>1</v>
          </cell>
          <cell r="J835" t="b">
            <v>0</v>
          </cell>
          <cell r="K835">
            <v>1002</v>
          </cell>
          <cell r="L835">
            <v>-6.34</v>
          </cell>
          <cell r="M835">
            <v>-7.69</v>
          </cell>
          <cell r="N835">
            <v>0</v>
          </cell>
          <cell r="O835" t="str">
            <v>0</v>
          </cell>
          <cell r="P835" t="str">
            <v>0.362,-5.65;
0.34,-7.68;</v>
          </cell>
          <cell r="Q835">
            <v>12000</v>
          </cell>
          <cell r="R835">
            <v>0</v>
          </cell>
          <cell r="S835" t="str">
            <v>1001+10;1002+15;1005+6936;</v>
          </cell>
        </row>
        <row r="836">
          <cell r="A836">
            <v>724</v>
          </cell>
          <cell r="B836" t="str">
            <v>大雪山初级门派挑战</v>
          </cell>
          <cell r="C836" t="str">
            <v>1503250;</v>
          </cell>
          <cell r="D836" t="str">
            <v>1503250;</v>
          </cell>
          <cell r="E836" t="str">
            <v>1503250;</v>
          </cell>
        </row>
        <row r="836">
          <cell r="G836">
            <v>0</v>
          </cell>
          <cell r="H836">
            <v>1</v>
          </cell>
          <cell r="I836">
            <v>1</v>
          </cell>
          <cell r="J836" t="b">
            <v>0</v>
          </cell>
          <cell r="K836">
            <v>1002</v>
          </cell>
          <cell r="L836">
            <v>-6.34</v>
          </cell>
          <cell r="M836">
            <v>-7.69</v>
          </cell>
          <cell r="N836">
            <v>0</v>
          </cell>
          <cell r="O836" t="str">
            <v>0</v>
          </cell>
          <cell r="P836" t="str">
            <v>0.362,-5.65;
0.34,-7.68;</v>
          </cell>
          <cell r="Q836">
            <v>12000</v>
          </cell>
          <cell r="R836">
            <v>0</v>
          </cell>
          <cell r="S836" t="str">
            <v>1001+15;1002+20;1005+1141;</v>
          </cell>
        </row>
        <row r="837">
          <cell r="A837">
            <v>725</v>
          </cell>
          <cell r="B837" t="str">
            <v>大雪山初级门派挑战</v>
          </cell>
          <cell r="C837" t="str">
            <v>1503251;</v>
          </cell>
          <cell r="D837" t="str">
            <v>1503251;</v>
          </cell>
          <cell r="E837" t="str">
            <v>1503251;</v>
          </cell>
        </row>
        <row r="837">
          <cell r="G837">
            <v>0</v>
          </cell>
          <cell r="H837">
            <v>1</v>
          </cell>
          <cell r="I837">
            <v>1</v>
          </cell>
          <cell r="J837" t="b">
            <v>0</v>
          </cell>
          <cell r="K837">
            <v>1002</v>
          </cell>
          <cell r="L837">
            <v>-6.34</v>
          </cell>
          <cell r="M837">
            <v>-7.69</v>
          </cell>
          <cell r="N837">
            <v>0</v>
          </cell>
          <cell r="O837" t="str">
            <v>0</v>
          </cell>
          <cell r="P837" t="str">
            <v>0.362,-5.65;
0.34,-7.68;</v>
          </cell>
          <cell r="Q837">
            <v>12000</v>
          </cell>
          <cell r="R837">
            <v>0</v>
          </cell>
          <cell r="S837" t="str">
            <v>1001+3;1002+5;1005+1141;</v>
          </cell>
        </row>
        <row r="838">
          <cell r="A838">
            <v>726</v>
          </cell>
          <cell r="B838" t="str">
            <v>大雪山中级门派挑战</v>
          </cell>
          <cell r="C838" t="str">
            <v>1503252;1503253;1503254;</v>
          </cell>
          <cell r="D838" t="str">
            <v>1503252;1503253;1503254;</v>
          </cell>
          <cell r="E838" t="str">
            <v>1503252;1503253;1503254;</v>
          </cell>
        </row>
        <row r="838">
          <cell r="G838">
            <v>0</v>
          </cell>
          <cell r="H838">
            <v>1</v>
          </cell>
          <cell r="I838">
            <v>1</v>
          </cell>
          <cell r="J838" t="b">
            <v>0</v>
          </cell>
          <cell r="K838">
            <v>1002</v>
          </cell>
          <cell r="L838">
            <v>-6.34</v>
          </cell>
          <cell r="M838">
            <v>-7.69</v>
          </cell>
          <cell r="N838">
            <v>0</v>
          </cell>
          <cell r="O838" t="str">
            <v>0</v>
          </cell>
          <cell r="P838" t="str">
            <v>0.362,-5.65;
0.34,-7.68;</v>
          </cell>
          <cell r="Q838">
            <v>12000</v>
          </cell>
          <cell r="R838">
            <v>0</v>
          </cell>
          <cell r="S838" t="str">
            <v>1001+3;1002+5;1005+3423;</v>
          </cell>
        </row>
        <row r="839">
          <cell r="A839">
            <v>727</v>
          </cell>
          <cell r="B839" t="str">
            <v>大雪山中级门派挑战</v>
          </cell>
          <cell r="C839" t="str">
            <v>1503255;1503256;1503257;</v>
          </cell>
          <cell r="D839" t="str">
            <v>1503255;1503256;1503257;</v>
          </cell>
          <cell r="E839" t="str">
            <v>1503255;1503256;1503257;</v>
          </cell>
        </row>
        <row r="839">
          <cell r="G839">
            <v>0</v>
          </cell>
          <cell r="H839">
            <v>1</v>
          </cell>
          <cell r="I839">
            <v>1</v>
          </cell>
          <cell r="J839" t="b">
            <v>0</v>
          </cell>
          <cell r="K839">
            <v>1002</v>
          </cell>
          <cell r="L839">
            <v>-6.34</v>
          </cell>
          <cell r="M839">
            <v>-7.69</v>
          </cell>
          <cell r="N839">
            <v>0</v>
          </cell>
          <cell r="O839" t="str">
            <v>0</v>
          </cell>
          <cell r="P839" t="str">
            <v>0.362,-5.65;
0.34,-7.68;</v>
          </cell>
          <cell r="Q839">
            <v>12000</v>
          </cell>
          <cell r="R839">
            <v>0</v>
          </cell>
          <cell r="S839" t="str">
            <v>1001+10;1002+15;1005+3423;</v>
          </cell>
        </row>
        <row r="840">
          <cell r="A840">
            <v>728</v>
          </cell>
          <cell r="B840" t="str">
            <v>大雪山高级门派挑战</v>
          </cell>
          <cell r="C840" t="str">
            <v>1503258;1503259;1503260;</v>
          </cell>
          <cell r="D840" t="str">
            <v>1503258;1503259;1503260;</v>
          </cell>
          <cell r="E840" t="str">
            <v>1503258;1503259;1503260;</v>
          </cell>
        </row>
        <row r="840">
          <cell r="G840">
            <v>0</v>
          </cell>
          <cell r="H840">
            <v>1</v>
          </cell>
          <cell r="I840">
            <v>1</v>
          </cell>
          <cell r="J840" t="b">
            <v>0</v>
          </cell>
          <cell r="K840">
            <v>1002</v>
          </cell>
          <cell r="L840">
            <v>-6.34</v>
          </cell>
          <cell r="M840">
            <v>-7.69</v>
          </cell>
          <cell r="N840">
            <v>0</v>
          </cell>
          <cell r="O840" t="str">
            <v>0</v>
          </cell>
          <cell r="P840" t="str">
            <v>0.362,-5.65;
0.34,-7.68;</v>
          </cell>
          <cell r="Q840">
            <v>12000</v>
          </cell>
          <cell r="R840">
            <v>0</v>
          </cell>
          <cell r="S840" t="str">
            <v>1001+10;1002+15;1005+6846;</v>
          </cell>
        </row>
        <row r="841">
          <cell r="A841">
            <v>729</v>
          </cell>
          <cell r="B841" t="str">
            <v>大雪山高级门派挑战</v>
          </cell>
          <cell r="C841" t="str">
            <v>1503261;1503262;1503263;</v>
          </cell>
          <cell r="D841" t="str">
            <v>1503261;1503262;1503263;</v>
          </cell>
          <cell r="E841" t="str">
            <v>1503261;1503262;1503263;</v>
          </cell>
        </row>
        <row r="841">
          <cell r="G841">
            <v>0</v>
          </cell>
          <cell r="H841">
            <v>1</v>
          </cell>
          <cell r="I841">
            <v>1</v>
          </cell>
          <cell r="J841" t="b">
            <v>0</v>
          </cell>
          <cell r="K841">
            <v>1002</v>
          </cell>
          <cell r="L841">
            <v>-6.34</v>
          </cell>
          <cell r="M841">
            <v>-7.69</v>
          </cell>
          <cell r="N841">
            <v>0</v>
          </cell>
          <cell r="O841" t="str">
            <v>0</v>
          </cell>
          <cell r="P841" t="str">
            <v>0.362,-5.65;
0.34,-7.68;</v>
          </cell>
          <cell r="Q841">
            <v>12000</v>
          </cell>
          <cell r="R841">
            <v>0</v>
          </cell>
          <cell r="S841" t="str">
            <v>1001+15;1002+20;1005+6846;</v>
          </cell>
        </row>
        <row r="842">
          <cell r="A842">
            <v>730</v>
          </cell>
          <cell r="B842" t="str">
            <v>帮战</v>
          </cell>
        </row>
        <row r="842">
          <cell r="G842">
            <v>0</v>
          </cell>
          <cell r="H842">
            <v>1</v>
          </cell>
          <cell r="I842">
            <v>1</v>
          </cell>
          <cell r="J842" t="b">
            <v>0</v>
          </cell>
          <cell r="K842">
            <v>1002</v>
          </cell>
          <cell r="L842">
            <v>-6.34</v>
          </cell>
          <cell r="M842">
            <v>-7.69</v>
          </cell>
          <cell r="N842">
            <v>0</v>
          </cell>
          <cell r="O842" t="str">
            <v>0</v>
          </cell>
          <cell r="P842" t="str">
            <v>0.362,-5.65;
0.34,-7.68;</v>
          </cell>
          <cell r="Q842">
            <v>12000</v>
          </cell>
          <cell r="R842">
            <v>0</v>
          </cell>
          <cell r="S842">
            <v>0</v>
          </cell>
        </row>
        <row r="843">
          <cell r="A843">
            <v>731</v>
          </cell>
          <cell r="B843" t="str">
            <v>隐月楼</v>
          </cell>
          <cell r="C843" t="str">
            <v>1503422</v>
          </cell>
          <cell r="D843" t="str">
            <v>1503422</v>
          </cell>
          <cell r="E843" t="str">
            <v>1503422</v>
          </cell>
        </row>
        <row r="843">
          <cell r="G843">
            <v>0</v>
          </cell>
          <cell r="H843">
            <v>1</v>
          </cell>
          <cell r="I843">
            <v>1</v>
          </cell>
          <cell r="J843" t="b">
            <v>0</v>
          </cell>
          <cell r="K843">
            <v>1002</v>
          </cell>
          <cell r="L843">
            <v>-6.34</v>
          </cell>
          <cell r="M843">
            <v>-7.69</v>
          </cell>
          <cell r="N843">
            <v>0</v>
          </cell>
          <cell r="O843" t="str">
            <v>0</v>
          </cell>
          <cell r="P843" t="str">
            <v>0.362,-5.65;
0.34,-7.68;</v>
          </cell>
          <cell r="Q843">
            <v>12000</v>
          </cell>
          <cell r="R843">
            <v>0</v>
          </cell>
          <cell r="S843">
            <v>0</v>
          </cell>
        </row>
        <row r="844">
          <cell r="A844">
            <v>732</v>
          </cell>
          <cell r="B844" t="str">
            <v>雪麓霜刀</v>
          </cell>
          <cell r="C844" t="str">
            <v>1503309;</v>
          </cell>
          <cell r="D844" t="str">
            <v>1503309;</v>
          </cell>
          <cell r="E844" t="str">
            <v>1503309;</v>
          </cell>
        </row>
        <row r="844">
          <cell r="G844">
            <v>0</v>
          </cell>
          <cell r="H844">
            <v>1</v>
          </cell>
          <cell r="I844">
            <v>1</v>
          </cell>
          <cell r="J844" t="b">
            <v>0</v>
          </cell>
          <cell r="K844">
            <v>1002</v>
          </cell>
          <cell r="L844">
            <v>-6.34</v>
          </cell>
          <cell r="M844">
            <v>-7.69</v>
          </cell>
          <cell r="N844">
            <v>0</v>
          </cell>
          <cell r="O844" t="str">
            <v>0</v>
          </cell>
          <cell r="P844" t="str">
            <v>0.362,-5.65;
0.34,-7.68;</v>
          </cell>
          <cell r="Q844">
            <v>12000</v>
          </cell>
          <cell r="R844">
            <v>0</v>
          </cell>
          <cell r="S844" t="str">
            <v>1001+35;1002+40;</v>
          </cell>
          <cell r="T844" t="str">
            <v>11900,1</v>
          </cell>
        </row>
        <row r="845">
          <cell r="A845">
            <v>733</v>
          </cell>
          <cell r="B845" t="str">
            <v>富商</v>
          </cell>
          <cell r="C845" t="str">
            <v>1503678;1503679;1503680;</v>
          </cell>
          <cell r="D845" t="str">
            <v>1503678;1503679;1503680;1503681;</v>
          </cell>
          <cell r="E845" t="str">
            <v>1503678;1503679;1503680;1503681;1503682;</v>
          </cell>
        </row>
        <row r="845">
          <cell r="G845">
            <v>0</v>
          </cell>
          <cell r="H845">
            <v>1</v>
          </cell>
          <cell r="I845">
            <v>1</v>
          </cell>
          <cell r="J845" t="b">
            <v>0</v>
          </cell>
          <cell r="K845">
            <v>1002</v>
          </cell>
          <cell r="L845">
            <v>-6.34</v>
          </cell>
          <cell r="M845">
            <v>-7.69</v>
          </cell>
          <cell r="N845">
            <v>0</v>
          </cell>
          <cell r="O845" t="str">
            <v>0</v>
          </cell>
          <cell r="P845" t="str">
            <v>0.362,-5.65;
0.34,-7.68;</v>
          </cell>
          <cell r="Q845">
            <v>12000</v>
          </cell>
          <cell r="R845">
            <v>0</v>
          </cell>
          <cell r="S845" t="str">
            <v>1001+30;1002+35;</v>
          </cell>
          <cell r="T845" t="str">
            <v>11900,1</v>
          </cell>
        </row>
        <row r="846">
          <cell r="A846">
            <v>734</v>
          </cell>
          <cell r="B846" t="str">
            <v>太平妖道</v>
          </cell>
          <cell r="C846" t="str">
            <v>1503683;1503684;1503685</v>
          </cell>
          <cell r="D846" t="str">
            <v>1503683;1503684;1503685;1503686</v>
          </cell>
          <cell r="E846" t="str">
            <v>1503683;1503684;1503685;1503686;1503687;</v>
          </cell>
        </row>
        <row r="846">
          <cell r="G846">
            <v>0</v>
          </cell>
          <cell r="H846">
            <v>1</v>
          </cell>
          <cell r="I846">
            <v>1</v>
          </cell>
          <cell r="J846" t="b">
            <v>0</v>
          </cell>
          <cell r="K846">
            <v>1002</v>
          </cell>
          <cell r="L846">
            <v>-6.34</v>
          </cell>
          <cell r="M846">
            <v>-7.69</v>
          </cell>
          <cell r="N846">
            <v>0</v>
          </cell>
          <cell r="O846" t="str">
            <v>0</v>
          </cell>
          <cell r="P846" t="str">
            <v>0.362,-5.65;
0.34,-7.68;</v>
          </cell>
          <cell r="Q846">
            <v>12000</v>
          </cell>
          <cell r="R846">
            <v>0</v>
          </cell>
          <cell r="S846" t="str">
            <v>1001+35;1002+40;</v>
          </cell>
          <cell r="T846" t="str">
            <v>11900,1</v>
          </cell>
        </row>
        <row r="847">
          <cell r="A847">
            <v>735</v>
          </cell>
          <cell r="B847" t="str">
            <v>厨中乾坤</v>
          </cell>
          <cell r="C847" t="str">
            <v>1501962;1501923;1501924</v>
          </cell>
          <cell r="D847" t="str">
            <v>1501962;1503684;1503685;1503686</v>
          </cell>
          <cell r="E847" t="str">
            <v>1501962;1503684;1503685;1503686;1503687;</v>
          </cell>
        </row>
        <row r="847">
          <cell r="G847">
            <v>1503689</v>
          </cell>
          <cell r="H847">
            <v>1</v>
          </cell>
          <cell r="I847">
            <v>1</v>
          </cell>
          <cell r="J847" t="b">
            <v>0</v>
          </cell>
          <cell r="K847">
            <v>1003</v>
          </cell>
          <cell r="L847">
            <v>-6.34</v>
          </cell>
          <cell r="M847">
            <v>-7.69</v>
          </cell>
          <cell r="N847">
            <v>0</v>
          </cell>
          <cell r="O847" t="str">
            <v>3.2,-7.2;</v>
          </cell>
          <cell r="P847" t="str">
            <v>0.362,-5.65;1.743,-5.48;0.34,-7.68;-0.76,-5.24;-1.76,-5.89;</v>
          </cell>
          <cell r="Q847">
            <v>22000</v>
          </cell>
          <cell r="R847">
            <v>0</v>
          </cell>
          <cell r="S847" t="str">
            <v>1001+35;1002+40;</v>
          </cell>
        </row>
        <row r="848">
          <cell r="A848">
            <v>736</v>
          </cell>
          <cell r="B848" t="str">
            <v>荒城追凶</v>
          </cell>
          <cell r="C848" t="str">
            <v>1503691;1503692;1503693;1503694</v>
          </cell>
          <cell r="D848" t="str">
            <v>1503691;1503692;1503693;1503694;1503530</v>
          </cell>
          <cell r="E848" t="str">
            <v>1503691;1503692;1503693;1503694;1503530;1502949</v>
          </cell>
        </row>
        <row r="848">
          <cell r="G848">
            <v>1503690</v>
          </cell>
          <cell r="H848">
            <v>1</v>
          </cell>
          <cell r="I848">
            <v>1</v>
          </cell>
          <cell r="J848" t="b">
            <v>0</v>
          </cell>
          <cell r="K848">
            <v>1003</v>
          </cell>
          <cell r="L848">
            <v>-6.34</v>
          </cell>
          <cell r="M848">
            <v>-7.69</v>
          </cell>
          <cell r="N848">
            <v>0</v>
          </cell>
          <cell r="O848" t="str">
            <v>3.2,-7.2;</v>
          </cell>
          <cell r="P848" t="str">
            <v>0.362,-5.65;1.743,-5.48;0.34,-7.68;-0.76,-5.24;-1.76,-5.89;</v>
          </cell>
          <cell r="Q848">
            <v>22000</v>
          </cell>
          <cell r="R848">
            <v>0</v>
          </cell>
          <cell r="S848" t="str">
            <v>1001+35;1002+40;</v>
          </cell>
        </row>
        <row r="849">
          <cell r="A849">
            <v>737</v>
          </cell>
          <cell r="B849" t="str">
            <v>家传秘宝</v>
          </cell>
          <cell r="C849" t="str">
            <v>1503699;1503700;1503701;1503702</v>
          </cell>
          <cell r="D849" t="str">
            <v>1503699;1503700;1503701;1503702;1503016</v>
          </cell>
          <cell r="E849" t="str">
            <v>1503699;1503700;1503701;1503702;1503016;1502937</v>
          </cell>
        </row>
        <row r="849">
          <cell r="G849">
            <v>1503698</v>
          </cell>
          <cell r="H849">
            <v>1</v>
          </cell>
          <cell r="I849">
            <v>1</v>
          </cell>
          <cell r="J849" t="b">
            <v>0</v>
          </cell>
          <cell r="K849">
            <v>1003</v>
          </cell>
          <cell r="L849">
            <v>-6.34</v>
          </cell>
          <cell r="M849">
            <v>-7.69</v>
          </cell>
          <cell r="N849">
            <v>0</v>
          </cell>
          <cell r="O849" t="str">
            <v>3.2,-7.2;</v>
          </cell>
          <cell r="P849" t="str">
            <v>0.362,-5.65;1.743,-5.48;0.34,-7.68;-0.76,-5.24;-1.76,-5.89;</v>
          </cell>
          <cell r="Q849">
            <v>22000</v>
          </cell>
          <cell r="R849">
            <v>0</v>
          </cell>
          <cell r="S849" t="str">
            <v>1001+35;1002+40;</v>
          </cell>
        </row>
        <row r="850">
          <cell r="A850">
            <v>738</v>
          </cell>
          <cell r="B850" t="str">
            <v>雾里看花</v>
          </cell>
          <cell r="C850" t="str">
            <v>1503696;1503697</v>
          </cell>
        </row>
        <row r="850">
          <cell r="G850">
            <v>1503695</v>
          </cell>
          <cell r="H850">
            <v>1</v>
          </cell>
          <cell r="I850">
            <v>1</v>
          </cell>
          <cell r="J850" t="b">
            <v>0</v>
          </cell>
          <cell r="K850">
            <v>1002</v>
          </cell>
          <cell r="L850">
            <v>-6.34</v>
          </cell>
          <cell r="M850">
            <v>-7.69</v>
          </cell>
          <cell r="N850">
            <v>0</v>
          </cell>
          <cell r="O850" t="str">
            <v>-10.31,-5.31</v>
          </cell>
          <cell r="P850" t="str">
            <v>0.362,-5.65;
0.34,-7.68;</v>
          </cell>
          <cell r="Q850">
            <v>12000</v>
          </cell>
          <cell r="R850">
            <v>0</v>
          </cell>
          <cell r="S850" t="str">
            <v>1001+35;1002+40;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89"/>
  <sheetViews>
    <sheetView tabSelected="1" zoomScale="85" zoomScaleNormal="85" topLeftCell="A2493" workbookViewId="0">
      <selection activeCell="D2523" sqref="D2523"/>
    </sheetView>
  </sheetViews>
  <sheetFormatPr defaultColWidth="9" defaultRowHeight="14"/>
  <cols>
    <col min="1" max="3" width="9.10833333333333" style="67" customWidth="1"/>
    <col min="4" max="4" width="15" style="67" customWidth="1"/>
    <col min="5" max="6" width="17.3333333333333" style="67" customWidth="1"/>
    <col min="7" max="7" width="9.88333333333333" style="68" customWidth="1"/>
    <col min="8" max="8" width="24" style="67" customWidth="1"/>
    <col min="9" max="9" width="10.8833333333333" style="67" customWidth="1"/>
    <col min="10" max="10" width="9" style="67"/>
    <col min="11" max="11" width="9.10833333333333" style="67" customWidth="1"/>
    <col min="12" max="12" width="14.1083333333333" style="67" customWidth="1"/>
    <col min="13" max="16" width="9" style="67"/>
  </cols>
  <sheetData>
    <row r="1" spans="1:16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8" t="s">
        <v>6</v>
      </c>
      <c r="H1" s="67" t="s">
        <v>7</v>
      </c>
      <c r="J1" s="67" t="s">
        <v>8</v>
      </c>
      <c r="K1" s="67" t="s">
        <v>9</v>
      </c>
    </row>
    <row r="2" spans="1:16">
      <c r="A2" s="67" t="s">
        <v>10</v>
      </c>
      <c r="B2" s="67" t="s">
        <v>11</v>
      </c>
      <c r="C2" s="67" t="s">
        <v>12</v>
      </c>
      <c r="D2" s="67" t="s">
        <v>13</v>
      </c>
      <c r="E2" s="67" t="s">
        <v>14</v>
      </c>
      <c r="F2" s="67" t="s">
        <v>15</v>
      </c>
      <c r="G2" s="68" t="s">
        <v>16</v>
      </c>
      <c r="H2" s="67" t="s">
        <v>17</v>
      </c>
      <c r="J2" s="67" t="s">
        <v>18</v>
      </c>
      <c r="K2" s="67" t="s">
        <v>19</v>
      </c>
    </row>
    <row r="3" spans="1:16">
      <c r="A3" s="69">
        <v>1</v>
      </c>
      <c r="B3" s="70">
        <v>10001</v>
      </c>
      <c r="C3" s="70">
        <v>2</v>
      </c>
      <c r="D3" s="70">
        <v>0</v>
      </c>
      <c r="E3" s="70">
        <v>52</v>
      </c>
      <c r="F3" s="70"/>
      <c r="G3" s="70">
        <v>102000</v>
      </c>
      <c r="H3" s="70" t="s">
        <v>20</v>
      </c>
      <c r="I3" s="70"/>
      <c r="J3" s="70" t="s">
        <v>21</v>
      </c>
      <c r="K3" s="70">
        <v>1</v>
      </c>
      <c r="L3" s="70"/>
      <c r="M3" s="70"/>
      <c r="O3" s="67">
        <f t="shared" ref="O3:O27" si="0">(E3-D3)/$E$27</f>
        <v>0.0469314079422383</v>
      </c>
      <c r="P3" s="67">
        <v>10001</v>
      </c>
    </row>
    <row r="4" spans="1:16">
      <c r="A4" s="69">
        <v>2</v>
      </c>
      <c r="B4" s="70">
        <v>10001</v>
      </c>
      <c r="C4" s="70">
        <v>2</v>
      </c>
      <c r="D4" s="70">
        <f>E3</f>
        <v>52</v>
      </c>
      <c r="E4" s="70">
        <f t="shared" ref="E4:E21" si="1">D4+$E$3</f>
        <v>104</v>
      </c>
      <c r="F4" s="70"/>
      <c r="G4" s="70">
        <v>101001</v>
      </c>
      <c r="H4" s="70" t="s">
        <v>22</v>
      </c>
      <c r="I4" s="70"/>
      <c r="J4" s="70" t="s">
        <v>21</v>
      </c>
      <c r="K4" s="70">
        <v>1</v>
      </c>
      <c r="L4" s="70"/>
      <c r="M4" s="70"/>
      <c r="O4" s="67">
        <f t="shared" si="0"/>
        <v>0.0469314079422383</v>
      </c>
      <c r="P4" s="67">
        <v>10001</v>
      </c>
    </row>
    <row r="5" spans="1:16">
      <c r="A5" s="69">
        <v>3</v>
      </c>
      <c r="B5" s="70">
        <v>10001</v>
      </c>
      <c r="C5" s="70">
        <v>2</v>
      </c>
      <c r="D5" s="70">
        <f t="shared" ref="D5:D22" si="2">E4</f>
        <v>104</v>
      </c>
      <c r="E5" s="70">
        <f t="shared" si="1"/>
        <v>156</v>
      </c>
      <c r="F5" s="70"/>
      <c r="G5" s="70">
        <v>102001</v>
      </c>
      <c r="H5" s="70" t="s">
        <v>23</v>
      </c>
      <c r="I5" s="70"/>
      <c r="J5" s="70" t="s">
        <v>21</v>
      </c>
      <c r="K5" s="70">
        <v>1</v>
      </c>
      <c r="L5" s="70"/>
      <c r="M5" s="70"/>
      <c r="O5" s="67">
        <f t="shared" si="0"/>
        <v>0.0469314079422383</v>
      </c>
      <c r="P5" s="67">
        <v>10001</v>
      </c>
    </row>
    <row r="6" spans="1:16">
      <c r="A6" s="69">
        <v>4</v>
      </c>
      <c r="B6" s="70">
        <v>10001</v>
      </c>
      <c r="C6" s="70">
        <v>2</v>
      </c>
      <c r="D6" s="70">
        <f t="shared" si="2"/>
        <v>156</v>
      </c>
      <c r="E6" s="70">
        <f t="shared" si="1"/>
        <v>208</v>
      </c>
      <c r="F6" s="70"/>
      <c r="G6" s="70">
        <v>102101</v>
      </c>
      <c r="H6" s="70" t="s">
        <v>24</v>
      </c>
      <c r="I6" s="70"/>
      <c r="J6" s="70" t="s">
        <v>21</v>
      </c>
      <c r="K6" s="70">
        <v>1</v>
      </c>
      <c r="L6" s="70"/>
      <c r="M6" s="70"/>
      <c r="O6" s="67">
        <f t="shared" si="0"/>
        <v>0.0469314079422383</v>
      </c>
      <c r="P6" s="67">
        <v>10001</v>
      </c>
    </row>
    <row r="7" spans="1:16">
      <c r="A7" s="69">
        <v>5</v>
      </c>
      <c r="B7" s="70">
        <v>10001</v>
      </c>
      <c r="C7" s="70">
        <v>2</v>
      </c>
      <c r="D7" s="70">
        <f t="shared" si="2"/>
        <v>208</v>
      </c>
      <c r="E7" s="70">
        <f t="shared" si="1"/>
        <v>260</v>
      </c>
      <c r="F7" s="70"/>
      <c r="G7" s="70">
        <v>104001</v>
      </c>
      <c r="H7" s="70" t="s">
        <v>25</v>
      </c>
      <c r="I7" s="70"/>
      <c r="J7" s="70" t="s">
        <v>21</v>
      </c>
      <c r="K7" s="70">
        <v>1</v>
      </c>
      <c r="L7" s="70"/>
      <c r="M7" s="70"/>
      <c r="O7" s="67">
        <f t="shared" si="0"/>
        <v>0.0469314079422383</v>
      </c>
      <c r="P7" s="67">
        <v>10001</v>
      </c>
    </row>
    <row r="8" spans="1:16">
      <c r="A8" s="69">
        <v>6</v>
      </c>
      <c r="B8" s="70">
        <v>10001</v>
      </c>
      <c r="C8" s="70">
        <v>2</v>
      </c>
      <c r="D8" s="70">
        <f t="shared" si="2"/>
        <v>260</v>
      </c>
      <c r="E8" s="70">
        <f t="shared" si="1"/>
        <v>312</v>
      </c>
      <c r="F8" s="70"/>
      <c r="G8" s="70">
        <v>104101</v>
      </c>
      <c r="H8" s="70" t="s">
        <v>26</v>
      </c>
      <c r="I8" s="70"/>
      <c r="J8" s="70" t="s">
        <v>21</v>
      </c>
      <c r="K8" s="70">
        <v>1</v>
      </c>
      <c r="L8" s="70"/>
      <c r="M8" s="70"/>
      <c r="O8" s="67">
        <f t="shared" si="0"/>
        <v>0.0469314079422383</v>
      </c>
      <c r="P8" s="67">
        <v>10001</v>
      </c>
    </row>
    <row r="9" spans="1:16">
      <c r="A9" s="69">
        <v>7</v>
      </c>
      <c r="B9" s="70">
        <v>10001</v>
      </c>
      <c r="C9" s="70">
        <v>2</v>
      </c>
      <c r="D9" s="70">
        <f t="shared" si="2"/>
        <v>312</v>
      </c>
      <c r="E9" s="70">
        <f t="shared" si="1"/>
        <v>364</v>
      </c>
      <c r="F9" s="70"/>
      <c r="G9" s="70">
        <v>105001</v>
      </c>
      <c r="H9" s="70" t="s">
        <v>27</v>
      </c>
      <c r="I9" s="70"/>
      <c r="J9" s="70" t="s">
        <v>21</v>
      </c>
      <c r="K9" s="70">
        <v>1</v>
      </c>
      <c r="L9" s="70"/>
      <c r="M9" s="70"/>
      <c r="O9" s="67">
        <f t="shared" si="0"/>
        <v>0.0469314079422383</v>
      </c>
      <c r="P9" s="67">
        <v>10001</v>
      </c>
    </row>
    <row r="10" spans="1:16">
      <c r="A10" s="69">
        <v>8</v>
      </c>
      <c r="B10" s="70">
        <v>10001</v>
      </c>
      <c r="C10" s="70">
        <v>2</v>
      </c>
      <c r="D10" s="70">
        <f t="shared" si="2"/>
        <v>364</v>
      </c>
      <c r="E10" s="70">
        <f t="shared" si="1"/>
        <v>416</v>
      </c>
      <c r="F10" s="70"/>
      <c r="G10" s="70">
        <v>103001</v>
      </c>
      <c r="H10" s="70" t="s">
        <v>28</v>
      </c>
      <c r="I10" s="70"/>
      <c r="J10" s="70" t="s">
        <v>21</v>
      </c>
      <c r="K10" s="70">
        <v>1</v>
      </c>
      <c r="L10" s="70"/>
      <c r="M10" s="70"/>
      <c r="O10" s="67">
        <f t="shared" si="0"/>
        <v>0.0469314079422383</v>
      </c>
      <c r="P10" s="67">
        <v>10001</v>
      </c>
    </row>
    <row r="11" spans="1:16">
      <c r="A11" s="69">
        <v>9</v>
      </c>
      <c r="B11" s="70">
        <v>10001</v>
      </c>
      <c r="C11" s="70">
        <v>2</v>
      </c>
      <c r="D11" s="70">
        <f t="shared" si="2"/>
        <v>416</v>
      </c>
      <c r="E11" s="70">
        <f t="shared" si="1"/>
        <v>468</v>
      </c>
      <c r="F11" s="70"/>
      <c r="G11" s="70">
        <v>106001</v>
      </c>
      <c r="H11" s="70" t="s">
        <v>29</v>
      </c>
      <c r="I11" s="70"/>
      <c r="J11" s="70" t="s">
        <v>21</v>
      </c>
      <c r="K11" s="70">
        <v>1</v>
      </c>
      <c r="L11" s="70"/>
      <c r="M11" s="70"/>
      <c r="O11" s="67">
        <f t="shared" si="0"/>
        <v>0.0469314079422383</v>
      </c>
      <c r="P11" s="67">
        <v>10001</v>
      </c>
    </row>
    <row r="12" spans="1:16">
      <c r="A12" s="69">
        <v>10</v>
      </c>
      <c r="B12" s="70">
        <v>10001</v>
      </c>
      <c r="C12" s="70">
        <v>2</v>
      </c>
      <c r="D12" s="70">
        <f t="shared" si="2"/>
        <v>468</v>
      </c>
      <c r="E12" s="70">
        <f t="shared" si="1"/>
        <v>520</v>
      </c>
      <c r="F12" s="70"/>
      <c r="G12" s="70">
        <v>109001</v>
      </c>
      <c r="H12" s="70" t="s">
        <v>30</v>
      </c>
      <c r="I12" s="70"/>
      <c r="J12" s="70" t="s">
        <v>21</v>
      </c>
      <c r="K12" s="70">
        <v>1</v>
      </c>
      <c r="L12" s="70"/>
      <c r="M12" s="70"/>
      <c r="O12" s="67">
        <f t="shared" si="0"/>
        <v>0.0469314079422383</v>
      </c>
      <c r="P12" s="67">
        <v>10001</v>
      </c>
    </row>
    <row r="13" spans="1:16">
      <c r="A13" s="69">
        <v>11</v>
      </c>
      <c r="B13" s="70">
        <v>10001</v>
      </c>
      <c r="C13" s="70">
        <v>2</v>
      </c>
      <c r="D13" s="70">
        <f t="shared" si="2"/>
        <v>520</v>
      </c>
      <c r="E13" s="70">
        <f t="shared" si="1"/>
        <v>572</v>
      </c>
      <c r="F13" s="70"/>
      <c r="G13" s="70">
        <v>110001</v>
      </c>
      <c r="H13" s="70" t="s">
        <v>31</v>
      </c>
      <c r="I13" s="70"/>
      <c r="J13" s="70" t="s">
        <v>21</v>
      </c>
      <c r="K13" s="70">
        <v>1</v>
      </c>
      <c r="L13" s="70"/>
      <c r="M13" s="70"/>
      <c r="O13" s="67">
        <f t="shared" si="0"/>
        <v>0.0469314079422383</v>
      </c>
      <c r="P13" s="67">
        <v>10001</v>
      </c>
    </row>
    <row r="14" spans="1:16">
      <c r="A14" s="69">
        <v>12</v>
      </c>
      <c r="B14" s="70">
        <v>10001</v>
      </c>
      <c r="C14" s="70">
        <v>2</v>
      </c>
      <c r="D14" s="70">
        <f t="shared" si="2"/>
        <v>572</v>
      </c>
      <c r="E14" s="70">
        <f t="shared" si="1"/>
        <v>624</v>
      </c>
      <c r="F14" s="70"/>
      <c r="G14" s="70">
        <v>111001</v>
      </c>
      <c r="H14" s="70" t="s">
        <v>32</v>
      </c>
      <c r="I14" s="70"/>
      <c r="J14" s="70" t="s">
        <v>21</v>
      </c>
      <c r="K14" s="70">
        <v>1</v>
      </c>
      <c r="L14" s="70"/>
      <c r="M14" s="70"/>
      <c r="O14" s="67">
        <f t="shared" si="0"/>
        <v>0.0469314079422383</v>
      </c>
      <c r="P14" s="67">
        <v>10001</v>
      </c>
    </row>
    <row r="15" spans="1:16">
      <c r="A15" s="69">
        <v>13</v>
      </c>
      <c r="B15" s="70">
        <v>10001</v>
      </c>
      <c r="C15" s="70">
        <v>2</v>
      </c>
      <c r="D15" s="70">
        <f t="shared" si="2"/>
        <v>624</v>
      </c>
      <c r="E15" s="70">
        <f t="shared" si="1"/>
        <v>676</v>
      </c>
      <c r="F15" s="70"/>
      <c r="G15" s="70">
        <v>200001</v>
      </c>
      <c r="H15" s="70" t="s">
        <v>33</v>
      </c>
      <c r="I15" s="70"/>
      <c r="J15" s="70" t="s">
        <v>34</v>
      </c>
      <c r="K15" s="70">
        <v>1</v>
      </c>
      <c r="L15" s="70"/>
      <c r="M15" s="70"/>
      <c r="O15" s="67">
        <f t="shared" si="0"/>
        <v>0.0469314079422383</v>
      </c>
      <c r="P15" s="67">
        <v>10001</v>
      </c>
    </row>
    <row r="16" spans="1:16">
      <c r="A16" s="69">
        <v>14</v>
      </c>
      <c r="B16" s="70">
        <v>10001</v>
      </c>
      <c r="C16" s="70">
        <v>2</v>
      </c>
      <c r="D16" s="70">
        <f t="shared" si="2"/>
        <v>676</v>
      </c>
      <c r="E16" s="70">
        <f t="shared" si="1"/>
        <v>728</v>
      </c>
      <c r="F16" s="70"/>
      <c r="G16" s="70">
        <v>300001</v>
      </c>
      <c r="H16" s="70" t="s">
        <v>35</v>
      </c>
      <c r="I16" s="70"/>
      <c r="J16" s="70" t="s">
        <v>36</v>
      </c>
      <c r="K16" s="70">
        <v>1</v>
      </c>
      <c r="L16" s="70"/>
      <c r="M16" s="70"/>
      <c r="O16" s="67">
        <f t="shared" si="0"/>
        <v>0.0469314079422383</v>
      </c>
      <c r="P16" s="67">
        <v>10001</v>
      </c>
    </row>
    <row r="17" spans="1:16">
      <c r="A17" s="69">
        <v>15</v>
      </c>
      <c r="B17" s="70">
        <v>10001</v>
      </c>
      <c r="C17" s="70">
        <v>2</v>
      </c>
      <c r="D17" s="70">
        <f t="shared" si="2"/>
        <v>728</v>
      </c>
      <c r="E17" s="70">
        <f t="shared" si="1"/>
        <v>780</v>
      </c>
      <c r="F17" s="70"/>
      <c r="G17" s="70">
        <v>400001</v>
      </c>
      <c r="H17" s="70" t="s">
        <v>37</v>
      </c>
      <c r="I17" s="70"/>
      <c r="J17" s="70" t="s">
        <v>38</v>
      </c>
      <c r="K17" s="70">
        <v>1</v>
      </c>
      <c r="L17" s="70"/>
      <c r="M17" s="70"/>
      <c r="O17" s="67">
        <f t="shared" si="0"/>
        <v>0.0469314079422383</v>
      </c>
      <c r="P17" s="67">
        <v>10001</v>
      </c>
    </row>
    <row r="18" spans="1:16">
      <c r="A18" s="69">
        <v>16</v>
      </c>
      <c r="B18" s="70">
        <v>10001</v>
      </c>
      <c r="C18" s="70">
        <v>2</v>
      </c>
      <c r="D18" s="70">
        <f t="shared" si="2"/>
        <v>780</v>
      </c>
      <c r="E18" s="70">
        <f t="shared" si="1"/>
        <v>832</v>
      </c>
      <c r="F18" s="70"/>
      <c r="G18" s="70">
        <v>500001</v>
      </c>
      <c r="H18" s="70" t="s">
        <v>39</v>
      </c>
      <c r="I18" s="70"/>
      <c r="J18" s="70" t="s">
        <v>40</v>
      </c>
      <c r="K18" s="70">
        <v>1</v>
      </c>
      <c r="L18" s="70"/>
      <c r="M18" s="70"/>
      <c r="O18" s="67">
        <f t="shared" si="0"/>
        <v>0.0469314079422383</v>
      </c>
      <c r="P18" s="67">
        <v>10001</v>
      </c>
    </row>
    <row r="19" spans="1:16">
      <c r="A19" s="69">
        <v>17</v>
      </c>
      <c r="B19" s="70">
        <v>10001</v>
      </c>
      <c r="C19" s="70">
        <v>2</v>
      </c>
      <c r="D19" s="70">
        <f t="shared" si="2"/>
        <v>832</v>
      </c>
      <c r="E19" s="70">
        <f t="shared" si="1"/>
        <v>884</v>
      </c>
      <c r="F19" s="70"/>
      <c r="G19" s="70">
        <v>600001</v>
      </c>
      <c r="H19" s="70" t="s">
        <v>41</v>
      </c>
      <c r="I19" s="70"/>
      <c r="J19" s="70" t="s">
        <v>42</v>
      </c>
      <c r="K19" s="70">
        <v>1</v>
      </c>
      <c r="L19" s="70"/>
      <c r="M19" s="70"/>
      <c r="O19" s="67">
        <f t="shared" si="0"/>
        <v>0.0469314079422383</v>
      </c>
      <c r="P19" s="67">
        <v>10001</v>
      </c>
    </row>
    <row r="20" spans="1:16">
      <c r="A20" s="69">
        <v>18</v>
      </c>
      <c r="B20" s="70">
        <v>10001</v>
      </c>
      <c r="C20" s="70">
        <v>2</v>
      </c>
      <c r="D20" s="70">
        <f t="shared" si="2"/>
        <v>884</v>
      </c>
      <c r="E20" s="70">
        <f t="shared" si="1"/>
        <v>936</v>
      </c>
      <c r="F20" s="70"/>
      <c r="G20" s="70">
        <v>700001</v>
      </c>
      <c r="H20" s="70" t="s">
        <v>43</v>
      </c>
      <c r="I20" s="70"/>
      <c r="J20" s="70" t="s">
        <v>44</v>
      </c>
      <c r="K20" s="70">
        <v>1</v>
      </c>
      <c r="L20" s="70"/>
      <c r="M20" s="70"/>
      <c r="O20" s="67">
        <f t="shared" si="0"/>
        <v>0.0469314079422383</v>
      </c>
      <c r="P20" s="67">
        <v>10001</v>
      </c>
    </row>
    <row r="21" spans="1:16">
      <c r="A21" s="69">
        <v>19</v>
      </c>
      <c r="B21" s="70">
        <v>10001</v>
      </c>
      <c r="C21" s="70">
        <v>2</v>
      </c>
      <c r="D21" s="70">
        <f t="shared" si="2"/>
        <v>936</v>
      </c>
      <c r="E21" s="70">
        <f t="shared" si="1"/>
        <v>988</v>
      </c>
      <c r="F21" s="70"/>
      <c r="G21" s="70">
        <v>800001</v>
      </c>
      <c r="H21" s="70" t="s">
        <v>45</v>
      </c>
      <c r="I21" s="70"/>
      <c r="J21" s="70" t="s">
        <v>46</v>
      </c>
      <c r="K21" s="70">
        <v>1</v>
      </c>
      <c r="L21" s="70"/>
      <c r="M21" s="70"/>
      <c r="O21" s="67">
        <f t="shared" si="0"/>
        <v>0.0469314079422383</v>
      </c>
      <c r="P21" s="67">
        <v>10001</v>
      </c>
    </row>
    <row r="22" spans="1:16">
      <c r="A22" s="69">
        <v>20</v>
      </c>
      <c r="B22" s="70">
        <v>10001</v>
      </c>
      <c r="C22" s="70">
        <v>2</v>
      </c>
      <c r="D22" s="70">
        <f t="shared" si="2"/>
        <v>988</v>
      </c>
      <c r="E22" s="70">
        <f>D22+L23</f>
        <v>1008</v>
      </c>
      <c r="F22" s="70"/>
      <c r="G22" s="70">
        <v>908175</v>
      </c>
      <c r="H22" s="70" t="s">
        <v>47</v>
      </c>
      <c r="I22" s="70"/>
      <c r="J22" s="70" t="s">
        <v>48</v>
      </c>
      <c r="K22" s="70">
        <v>1</v>
      </c>
      <c r="L22" s="70"/>
      <c r="M22" s="70"/>
      <c r="O22" s="67">
        <f t="shared" si="0"/>
        <v>0.0180505415162455</v>
      </c>
      <c r="P22" s="67">
        <v>10001</v>
      </c>
    </row>
    <row r="23" spans="1:16">
      <c r="A23" s="69">
        <v>21</v>
      </c>
      <c r="B23" s="70">
        <v>10001</v>
      </c>
      <c r="C23" s="70">
        <v>4</v>
      </c>
      <c r="D23" s="70">
        <f t="shared" ref="D23:D27" si="3">E22</f>
        <v>1008</v>
      </c>
      <c r="E23" s="70">
        <f>D23+L23</f>
        <v>1028</v>
      </c>
      <c r="F23" s="70"/>
      <c r="G23" s="70">
        <v>104402</v>
      </c>
      <c r="H23" s="70" t="s">
        <v>49</v>
      </c>
      <c r="I23" s="70"/>
      <c r="J23" s="70" t="s">
        <v>50</v>
      </c>
      <c r="K23" s="70">
        <v>1</v>
      </c>
      <c r="L23" s="70">
        <v>20</v>
      </c>
      <c r="M23" s="70"/>
      <c r="O23" s="67">
        <f t="shared" si="0"/>
        <v>0.0180505415162455</v>
      </c>
    </row>
    <row r="24" spans="1:16">
      <c r="A24" s="69">
        <v>22</v>
      </c>
      <c r="B24" s="70">
        <v>10001</v>
      </c>
      <c r="C24" s="70">
        <v>4</v>
      </c>
      <c r="D24" s="70">
        <f t="shared" si="3"/>
        <v>1028</v>
      </c>
      <c r="E24" s="70">
        <f>D24+L24</f>
        <v>1048</v>
      </c>
      <c r="F24" s="70"/>
      <c r="G24" s="70">
        <v>105504</v>
      </c>
      <c r="H24" s="70" t="s">
        <v>51</v>
      </c>
      <c r="I24" s="70"/>
      <c r="J24" s="70" t="s">
        <v>50</v>
      </c>
      <c r="K24" s="70">
        <v>1</v>
      </c>
      <c r="L24" s="70">
        <v>20</v>
      </c>
      <c r="M24" s="70"/>
      <c r="O24" s="67">
        <f t="shared" si="0"/>
        <v>0.0180505415162455</v>
      </c>
    </row>
    <row r="25" spans="1:16">
      <c r="A25" s="69">
        <v>23</v>
      </c>
      <c r="B25" s="70">
        <v>10001</v>
      </c>
      <c r="C25" s="70">
        <v>4</v>
      </c>
      <c r="D25" s="70">
        <f t="shared" si="3"/>
        <v>1048</v>
      </c>
      <c r="E25" s="70">
        <f>D25+L25</f>
        <v>1068</v>
      </c>
      <c r="F25" s="70"/>
      <c r="G25" s="70">
        <v>102905</v>
      </c>
      <c r="H25" s="70" t="s">
        <v>52</v>
      </c>
      <c r="I25" s="70"/>
      <c r="J25" s="70" t="s">
        <v>50</v>
      </c>
      <c r="K25" s="70">
        <v>1</v>
      </c>
      <c r="L25" s="70">
        <v>20</v>
      </c>
      <c r="M25" s="70"/>
      <c r="O25" s="67">
        <f t="shared" si="0"/>
        <v>0.0180505415162455</v>
      </c>
    </row>
    <row r="26" spans="1:16">
      <c r="A26" s="69">
        <v>24</v>
      </c>
      <c r="B26" s="70">
        <v>10001</v>
      </c>
      <c r="C26" s="70">
        <v>4</v>
      </c>
      <c r="D26" s="70">
        <f t="shared" si="3"/>
        <v>1068</v>
      </c>
      <c r="E26" s="70">
        <f>D26+L26</f>
        <v>1088</v>
      </c>
      <c r="F26" s="70"/>
      <c r="G26" s="70">
        <v>105604</v>
      </c>
      <c r="H26" s="70" t="s">
        <v>53</v>
      </c>
      <c r="I26" s="70"/>
      <c r="J26" s="70" t="s">
        <v>50</v>
      </c>
      <c r="K26" s="70">
        <v>1</v>
      </c>
      <c r="L26" s="70">
        <v>20</v>
      </c>
      <c r="M26" s="70"/>
      <c r="O26" s="67">
        <f t="shared" si="0"/>
        <v>0.0180505415162455</v>
      </c>
    </row>
    <row r="27" spans="1:16">
      <c r="A27" s="69">
        <v>25</v>
      </c>
      <c r="B27" s="70">
        <v>10001</v>
      </c>
      <c r="C27" s="70">
        <v>4</v>
      </c>
      <c r="D27" s="70">
        <f t="shared" si="3"/>
        <v>1088</v>
      </c>
      <c r="E27" s="70">
        <f>D27+L27</f>
        <v>1108</v>
      </c>
      <c r="F27" s="70"/>
      <c r="G27" s="70">
        <v>1021005</v>
      </c>
      <c r="H27" s="70" t="s">
        <v>54</v>
      </c>
      <c r="I27" s="70"/>
      <c r="J27" s="70" t="s">
        <v>50</v>
      </c>
      <c r="K27" s="70">
        <v>1</v>
      </c>
      <c r="L27" s="70">
        <v>20</v>
      </c>
      <c r="M27" s="70"/>
      <c r="O27" s="67">
        <f t="shared" si="0"/>
        <v>0.0180505415162455</v>
      </c>
    </row>
    <row r="28" spans="1:16">
      <c r="A28" s="71">
        <v>26</v>
      </c>
      <c r="B28" s="70">
        <v>10002</v>
      </c>
      <c r="C28" s="70">
        <v>3</v>
      </c>
      <c r="D28" s="70">
        <v>0</v>
      </c>
      <c r="E28" s="70">
        <v>55</v>
      </c>
      <c r="F28" s="70"/>
      <c r="G28" s="70">
        <v>101003</v>
      </c>
      <c r="H28" s="70" t="s">
        <v>55</v>
      </c>
      <c r="I28" s="70"/>
      <c r="J28" s="70" t="s">
        <v>21</v>
      </c>
      <c r="K28" s="70">
        <v>1</v>
      </c>
      <c r="L28" s="70"/>
      <c r="M28" s="70"/>
      <c r="O28" s="67">
        <f t="shared" ref="O28:O45" si="4">(E28-D28)/$E$45</f>
        <v>0.0555555555555556</v>
      </c>
      <c r="P28" s="67">
        <v>10002</v>
      </c>
    </row>
    <row r="29" spans="1:16">
      <c r="A29" s="71">
        <v>27</v>
      </c>
      <c r="B29" s="70">
        <v>10002</v>
      </c>
      <c r="C29" s="70">
        <v>3</v>
      </c>
      <c r="D29" s="70">
        <f>E28</f>
        <v>55</v>
      </c>
      <c r="E29" s="70">
        <f>D29+$E$28</f>
        <v>110</v>
      </c>
      <c r="F29" s="70"/>
      <c r="G29" s="70">
        <v>102003</v>
      </c>
      <c r="H29" s="70" t="s">
        <v>56</v>
      </c>
      <c r="I29" s="70"/>
      <c r="J29" s="70" t="s">
        <v>21</v>
      </c>
      <c r="K29" s="70">
        <v>1</v>
      </c>
      <c r="L29" s="70"/>
      <c r="M29" s="70"/>
      <c r="O29" s="67">
        <f t="shared" si="4"/>
        <v>0.0555555555555556</v>
      </c>
      <c r="P29" s="67">
        <v>10002</v>
      </c>
    </row>
    <row r="30" spans="1:16">
      <c r="A30" s="71">
        <v>28</v>
      </c>
      <c r="B30" s="70">
        <v>10002</v>
      </c>
      <c r="C30" s="70">
        <v>3</v>
      </c>
      <c r="D30" s="70">
        <f t="shared" ref="D30:D50" si="5">E29</f>
        <v>110</v>
      </c>
      <c r="E30" s="70">
        <f t="shared" ref="E30:E45" si="6">D30+$E$28</f>
        <v>165</v>
      </c>
      <c r="F30" s="70"/>
      <c r="G30" s="70">
        <v>102103</v>
      </c>
      <c r="H30" s="70" t="s">
        <v>57</v>
      </c>
      <c r="I30" s="70"/>
      <c r="J30" s="70" t="s">
        <v>21</v>
      </c>
      <c r="K30" s="70">
        <v>1</v>
      </c>
      <c r="L30" s="70"/>
      <c r="M30" s="70"/>
      <c r="O30" s="67">
        <f t="shared" si="4"/>
        <v>0.0555555555555556</v>
      </c>
      <c r="P30" s="67">
        <v>10002</v>
      </c>
    </row>
    <row r="31" spans="1:16">
      <c r="A31" s="71">
        <v>29</v>
      </c>
      <c r="B31" s="70">
        <v>10002</v>
      </c>
      <c r="C31" s="70">
        <v>3</v>
      </c>
      <c r="D31" s="70">
        <f t="shared" si="5"/>
        <v>165</v>
      </c>
      <c r="E31" s="70">
        <f t="shared" si="6"/>
        <v>220</v>
      </c>
      <c r="F31" s="70"/>
      <c r="G31" s="70">
        <v>104003</v>
      </c>
      <c r="H31" s="70" t="s">
        <v>58</v>
      </c>
      <c r="I31" s="70"/>
      <c r="J31" s="70" t="s">
        <v>21</v>
      </c>
      <c r="K31" s="70">
        <v>1</v>
      </c>
      <c r="L31" s="70"/>
      <c r="M31" s="70"/>
      <c r="O31" s="67">
        <f t="shared" si="4"/>
        <v>0.0555555555555556</v>
      </c>
      <c r="P31" s="67">
        <v>10002</v>
      </c>
    </row>
    <row r="32" spans="1:16">
      <c r="A32" s="71">
        <v>30</v>
      </c>
      <c r="B32" s="70">
        <v>10002</v>
      </c>
      <c r="C32" s="70">
        <v>3</v>
      </c>
      <c r="D32" s="70">
        <f t="shared" si="5"/>
        <v>220</v>
      </c>
      <c r="E32" s="70">
        <f t="shared" si="6"/>
        <v>275</v>
      </c>
      <c r="F32" s="70"/>
      <c r="G32" s="70">
        <v>104103</v>
      </c>
      <c r="H32" s="70" t="s">
        <v>59</v>
      </c>
      <c r="I32" s="70"/>
      <c r="J32" s="70" t="s">
        <v>21</v>
      </c>
      <c r="K32" s="70">
        <v>1</v>
      </c>
      <c r="L32" s="70"/>
      <c r="M32" s="70"/>
      <c r="O32" s="67">
        <f t="shared" si="4"/>
        <v>0.0555555555555556</v>
      </c>
      <c r="P32" s="67">
        <v>10002</v>
      </c>
    </row>
    <row r="33" spans="1:16">
      <c r="A33" s="71">
        <v>31</v>
      </c>
      <c r="B33" s="70">
        <v>10002</v>
      </c>
      <c r="C33" s="70">
        <v>3</v>
      </c>
      <c r="D33" s="70">
        <f t="shared" si="5"/>
        <v>275</v>
      </c>
      <c r="E33" s="70">
        <f t="shared" si="6"/>
        <v>330</v>
      </c>
      <c r="F33" s="70"/>
      <c r="G33" s="70">
        <v>105003</v>
      </c>
      <c r="H33" s="70" t="s">
        <v>60</v>
      </c>
      <c r="I33" s="70"/>
      <c r="J33" s="70" t="s">
        <v>21</v>
      </c>
      <c r="K33" s="70">
        <v>1</v>
      </c>
      <c r="L33" s="70"/>
      <c r="M33" s="70"/>
      <c r="O33" s="67">
        <f t="shared" si="4"/>
        <v>0.0555555555555556</v>
      </c>
      <c r="P33" s="67">
        <v>10002</v>
      </c>
    </row>
    <row r="34" spans="1:16">
      <c r="A34" s="71">
        <v>32</v>
      </c>
      <c r="B34" s="70">
        <v>10002</v>
      </c>
      <c r="C34" s="70">
        <v>3</v>
      </c>
      <c r="D34" s="70">
        <f t="shared" si="5"/>
        <v>330</v>
      </c>
      <c r="E34" s="70">
        <f t="shared" si="6"/>
        <v>385</v>
      </c>
      <c r="F34" s="70"/>
      <c r="G34" s="70">
        <v>103003</v>
      </c>
      <c r="H34" s="70" t="s">
        <v>61</v>
      </c>
      <c r="I34" s="70"/>
      <c r="J34" s="70" t="s">
        <v>21</v>
      </c>
      <c r="K34" s="70">
        <v>1</v>
      </c>
      <c r="L34" s="70"/>
      <c r="M34" s="70"/>
      <c r="O34" s="67">
        <f t="shared" si="4"/>
        <v>0.0555555555555556</v>
      </c>
      <c r="P34" s="67">
        <v>10002</v>
      </c>
    </row>
    <row r="35" spans="1:16">
      <c r="A35" s="71">
        <v>33</v>
      </c>
      <c r="B35" s="70">
        <v>10002</v>
      </c>
      <c r="C35" s="70">
        <v>3</v>
      </c>
      <c r="D35" s="70">
        <f t="shared" si="5"/>
        <v>385</v>
      </c>
      <c r="E35" s="70">
        <f t="shared" si="6"/>
        <v>440</v>
      </c>
      <c r="F35" s="70"/>
      <c r="G35" s="70">
        <v>106003</v>
      </c>
      <c r="H35" s="70" t="s">
        <v>62</v>
      </c>
      <c r="I35" s="70"/>
      <c r="J35" s="70" t="s">
        <v>21</v>
      </c>
      <c r="K35" s="70">
        <v>1</v>
      </c>
      <c r="L35" s="70"/>
      <c r="M35" s="70"/>
      <c r="O35" s="67">
        <f t="shared" si="4"/>
        <v>0.0555555555555556</v>
      </c>
      <c r="P35" s="67">
        <v>10002</v>
      </c>
    </row>
    <row r="36" spans="1:16">
      <c r="A36" s="71">
        <v>34</v>
      </c>
      <c r="B36" s="70">
        <v>10002</v>
      </c>
      <c r="C36" s="70">
        <v>3</v>
      </c>
      <c r="D36" s="70">
        <f t="shared" si="5"/>
        <v>440</v>
      </c>
      <c r="E36" s="70">
        <f t="shared" si="6"/>
        <v>495</v>
      </c>
      <c r="F36" s="70"/>
      <c r="G36" s="70">
        <v>109003</v>
      </c>
      <c r="H36" s="70" t="s">
        <v>63</v>
      </c>
      <c r="I36" s="70"/>
      <c r="J36" s="70" t="s">
        <v>21</v>
      </c>
      <c r="K36" s="70">
        <v>1</v>
      </c>
      <c r="L36" s="70"/>
      <c r="M36" s="70"/>
      <c r="O36" s="67">
        <f t="shared" si="4"/>
        <v>0.0555555555555556</v>
      </c>
      <c r="P36" s="67">
        <v>10002</v>
      </c>
    </row>
    <row r="37" spans="1:16">
      <c r="A37" s="71">
        <v>35</v>
      </c>
      <c r="B37" s="70">
        <v>10002</v>
      </c>
      <c r="C37" s="70">
        <v>3</v>
      </c>
      <c r="D37" s="70">
        <f t="shared" si="5"/>
        <v>495</v>
      </c>
      <c r="E37" s="70">
        <f t="shared" si="6"/>
        <v>550</v>
      </c>
      <c r="F37" s="70"/>
      <c r="G37" s="70">
        <v>110003</v>
      </c>
      <c r="H37" s="70" t="s">
        <v>64</v>
      </c>
      <c r="I37" s="70"/>
      <c r="J37" s="70" t="s">
        <v>21</v>
      </c>
      <c r="K37" s="70">
        <v>1</v>
      </c>
      <c r="L37" s="70"/>
      <c r="M37" s="70"/>
      <c r="O37" s="67">
        <f t="shared" si="4"/>
        <v>0.0555555555555556</v>
      </c>
      <c r="P37" s="67">
        <v>10002</v>
      </c>
    </row>
    <row r="38" spans="1:16">
      <c r="A38" s="71">
        <v>36</v>
      </c>
      <c r="B38" s="70">
        <v>10002</v>
      </c>
      <c r="C38" s="70">
        <v>3</v>
      </c>
      <c r="D38" s="70">
        <f t="shared" si="5"/>
        <v>550</v>
      </c>
      <c r="E38" s="70">
        <f t="shared" si="6"/>
        <v>605</v>
      </c>
      <c r="F38" s="70"/>
      <c r="G38" s="70">
        <v>111003</v>
      </c>
      <c r="H38" s="70" t="s">
        <v>65</v>
      </c>
      <c r="I38" s="70"/>
      <c r="J38" s="70" t="s">
        <v>21</v>
      </c>
      <c r="K38" s="70">
        <v>1</v>
      </c>
      <c r="L38" s="70"/>
      <c r="M38" s="70"/>
      <c r="O38" s="67">
        <f t="shared" si="4"/>
        <v>0.0555555555555556</v>
      </c>
      <c r="P38" s="67">
        <v>10002</v>
      </c>
    </row>
    <row r="39" spans="1:16">
      <c r="A39" s="71">
        <v>37</v>
      </c>
      <c r="B39" s="70">
        <v>10002</v>
      </c>
      <c r="C39" s="70">
        <v>3</v>
      </c>
      <c r="D39" s="70">
        <f t="shared" si="5"/>
        <v>605</v>
      </c>
      <c r="E39" s="70">
        <f t="shared" si="6"/>
        <v>660</v>
      </c>
      <c r="F39" s="70"/>
      <c r="G39" s="70">
        <v>200003</v>
      </c>
      <c r="H39" s="70" t="s">
        <v>66</v>
      </c>
      <c r="I39" s="70"/>
      <c r="J39" s="70" t="s">
        <v>34</v>
      </c>
      <c r="K39" s="70">
        <v>1</v>
      </c>
      <c r="L39" s="70"/>
      <c r="M39" s="70"/>
      <c r="O39" s="67">
        <f t="shared" si="4"/>
        <v>0.0555555555555556</v>
      </c>
      <c r="P39" s="67">
        <v>10002</v>
      </c>
    </row>
    <row r="40" spans="1:16">
      <c r="A40" s="71">
        <v>38</v>
      </c>
      <c r="B40" s="70">
        <v>10002</v>
      </c>
      <c r="C40" s="70">
        <v>3</v>
      </c>
      <c r="D40" s="70">
        <f t="shared" si="5"/>
        <v>660</v>
      </c>
      <c r="E40" s="70">
        <f t="shared" si="6"/>
        <v>715</v>
      </c>
      <c r="F40" s="70"/>
      <c r="G40" s="70">
        <v>300003</v>
      </c>
      <c r="H40" s="70" t="s">
        <v>67</v>
      </c>
      <c r="I40" s="70"/>
      <c r="J40" s="70" t="s">
        <v>36</v>
      </c>
      <c r="K40" s="70">
        <v>1</v>
      </c>
      <c r="L40" s="70"/>
      <c r="M40" s="70"/>
      <c r="O40" s="67">
        <f t="shared" si="4"/>
        <v>0.0555555555555556</v>
      </c>
      <c r="P40" s="67">
        <v>10002</v>
      </c>
    </row>
    <row r="41" spans="1:16">
      <c r="A41" s="71">
        <v>39</v>
      </c>
      <c r="B41" s="70">
        <v>10002</v>
      </c>
      <c r="C41" s="70">
        <v>3</v>
      </c>
      <c r="D41" s="70">
        <f t="shared" si="5"/>
        <v>715</v>
      </c>
      <c r="E41" s="70">
        <f t="shared" si="6"/>
        <v>770</v>
      </c>
      <c r="F41" s="70"/>
      <c r="G41" s="70">
        <v>400003</v>
      </c>
      <c r="H41" s="70" t="s">
        <v>68</v>
      </c>
      <c r="I41" s="70"/>
      <c r="J41" s="70" t="s">
        <v>38</v>
      </c>
      <c r="K41" s="70">
        <v>1</v>
      </c>
      <c r="L41" s="70"/>
      <c r="M41" s="70"/>
      <c r="O41" s="67">
        <f t="shared" si="4"/>
        <v>0.0555555555555556</v>
      </c>
      <c r="P41" s="67">
        <v>10002</v>
      </c>
    </row>
    <row r="42" spans="1:16">
      <c r="A42" s="71">
        <v>40</v>
      </c>
      <c r="B42" s="70">
        <v>10002</v>
      </c>
      <c r="C42" s="70">
        <v>3</v>
      </c>
      <c r="D42" s="70">
        <f t="shared" si="5"/>
        <v>770</v>
      </c>
      <c r="E42" s="70">
        <f t="shared" si="6"/>
        <v>825</v>
      </c>
      <c r="F42" s="70"/>
      <c r="G42" s="70">
        <v>500003</v>
      </c>
      <c r="H42" s="70" t="s">
        <v>69</v>
      </c>
      <c r="I42" s="70"/>
      <c r="J42" s="70" t="s">
        <v>40</v>
      </c>
      <c r="K42" s="70">
        <v>1</v>
      </c>
      <c r="L42" s="70"/>
      <c r="M42" s="70"/>
      <c r="O42" s="67">
        <f t="shared" si="4"/>
        <v>0.0555555555555556</v>
      </c>
      <c r="P42" s="67">
        <v>10002</v>
      </c>
    </row>
    <row r="43" spans="1:16">
      <c r="A43" s="71">
        <v>41</v>
      </c>
      <c r="B43" s="70">
        <v>10002</v>
      </c>
      <c r="C43" s="70">
        <v>3</v>
      </c>
      <c r="D43" s="70">
        <f t="shared" si="5"/>
        <v>825</v>
      </c>
      <c r="E43" s="70">
        <f t="shared" si="6"/>
        <v>880</v>
      </c>
      <c r="F43" s="70"/>
      <c r="G43" s="70">
        <v>600003</v>
      </c>
      <c r="H43" s="70" t="s">
        <v>70</v>
      </c>
      <c r="I43" s="70"/>
      <c r="J43" s="70" t="s">
        <v>42</v>
      </c>
      <c r="K43" s="70">
        <v>1</v>
      </c>
      <c r="L43" s="70"/>
      <c r="M43" s="70"/>
      <c r="O43" s="67">
        <f t="shared" si="4"/>
        <v>0.0555555555555556</v>
      </c>
      <c r="P43" s="67">
        <v>10002</v>
      </c>
    </row>
    <row r="44" spans="1:16">
      <c r="A44" s="71">
        <v>42</v>
      </c>
      <c r="B44" s="70">
        <v>10002</v>
      </c>
      <c r="C44" s="70">
        <v>3</v>
      </c>
      <c r="D44" s="70">
        <f t="shared" si="5"/>
        <v>880</v>
      </c>
      <c r="E44" s="70">
        <f t="shared" si="6"/>
        <v>935</v>
      </c>
      <c r="F44" s="70"/>
      <c r="G44" s="70">
        <v>700003</v>
      </c>
      <c r="H44" s="70" t="s">
        <v>71</v>
      </c>
      <c r="I44" s="70"/>
      <c r="J44" s="70" t="s">
        <v>44</v>
      </c>
      <c r="K44" s="70">
        <v>1</v>
      </c>
      <c r="L44" s="70"/>
      <c r="M44" s="70"/>
      <c r="O44" s="67">
        <f t="shared" si="4"/>
        <v>0.0555555555555556</v>
      </c>
      <c r="P44" s="67">
        <v>10002</v>
      </c>
    </row>
    <row r="45" spans="1:16">
      <c r="A45" s="71">
        <v>43</v>
      </c>
      <c r="B45" s="70">
        <v>10002</v>
      </c>
      <c r="C45" s="70">
        <v>3</v>
      </c>
      <c r="D45" s="70">
        <f t="shared" si="5"/>
        <v>935</v>
      </c>
      <c r="E45" s="70">
        <f t="shared" si="6"/>
        <v>990</v>
      </c>
      <c r="F45" s="70"/>
      <c r="G45" s="70">
        <v>800003</v>
      </c>
      <c r="H45" s="70" t="s">
        <v>72</v>
      </c>
      <c r="I45" s="70"/>
      <c r="J45" s="70" t="s">
        <v>46</v>
      </c>
      <c r="K45" s="70">
        <v>1</v>
      </c>
      <c r="L45" s="70"/>
      <c r="M45" s="70"/>
      <c r="O45" s="67">
        <f t="shared" si="4"/>
        <v>0.0555555555555556</v>
      </c>
      <c r="P45" s="67">
        <v>10002</v>
      </c>
    </row>
    <row r="46" spans="1:16">
      <c r="A46" s="69">
        <v>44</v>
      </c>
      <c r="B46" s="70">
        <v>10002</v>
      </c>
      <c r="C46" s="70">
        <v>4</v>
      </c>
      <c r="D46" s="70">
        <f t="shared" si="5"/>
        <v>990</v>
      </c>
      <c r="E46" s="70">
        <f>D46+L46</f>
        <v>1010</v>
      </c>
      <c r="F46" s="70"/>
      <c r="G46" s="70">
        <v>104402</v>
      </c>
      <c r="H46" s="70" t="s">
        <v>49</v>
      </c>
      <c r="I46" s="70"/>
      <c r="J46" s="70" t="s">
        <v>50</v>
      </c>
      <c r="K46" s="70">
        <v>1</v>
      </c>
      <c r="L46" s="70">
        <v>20</v>
      </c>
      <c r="M46" s="70"/>
      <c r="O46" s="67">
        <f>(E46-D46)/$E$27</f>
        <v>0.0180505415162455</v>
      </c>
    </row>
    <row r="47" spans="1:16">
      <c r="A47" s="69">
        <v>45</v>
      </c>
      <c r="B47" s="70">
        <v>10002</v>
      </c>
      <c r="C47" s="70">
        <v>4</v>
      </c>
      <c r="D47" s="70">
        <f t="shared" si="5"/>
        <v>1010</v>
      </c>
      <c r="E47" s="70">
        <f>D47+L47</f>
        <v>1030</v>
      </c>
      <c r="F47" s="70"/>
      <c r="G47" s="70">
        <v>105504</v>
      </c>
      <c r="H47" s="70" t="s">
        <v>51</v>
      </c>
      <c r="I47" s="70"/>
      <c r="J47" s="70" t="s">
        <v>50</v>
      </c>
      <c r="K47" s="70">
        <v>1</v>
      </c>
      <c r="L47" s="70">
        <v>20</v>
      </c>
      <c r="M47" s="70"/>
      <c r="O47" s="67">
        <f>(E47-D47)/$E$27</f>
        <v>0.0180505415162455</v>
      </c>
    </row>
    <row r="48" spans="1:16">
      <c r="A48" s="69">
        <v>46</v>
      </c>
      <c r="B48" s="70">
        <v>10002</v>
      </c>
      <c r="C48" s="70">
        <v>4</v>
      </c>
      <c r="D48" s="70">
        <f t="shared" si="5"/>
        <v>1030</v>
      </c>
      <c r="E48" s="70">
        <f>D48+L48</f>
        <v>1050</v>
      </c>
      <c r="F48" s="70"/>
      <c r="G48" s="70">
        <v>102905</v>
      </c>
      <c r="H48" s="70" t="s">
        <v>52</v>
      </c>
      <c r="I48" s="70"/>
      <c r="J48" s="70" t="s">
        <v>50</v>
      </c>
      <c r="K48" s="70">
        <v>1</v>
      </c>
      <c r="L48" s="70">
        <v>20</v>
      </c>
      <c r="M48" s="70"/>
      <c r="O48" s="67">
        <f>(E48-D48)/$E$27</f>
        <v>0.0180505415162455</v>
      </c>
    </row>
    <row r="49" spans="1:16">
      <c r="A49" s="69">
        <v>47</v>
      </c>
      <c r="B49" s="70">
        <v>10002</v>
      </c>
      <c r="C49" s="70">
        <v>4</v>
      </c>
      <c r="D49" s="70">
        <f t="shared" si="5"/>
        <v>1050</v>
      </c>
      <c r="E49" s="70">
        <f>D49+L49</f>
        <v>1070</v>
      </c>
      <c r="F49" s="70"/>
      <c r="G49" s="70">
        <v>105604</v>
      </c>
      <c r="H49" s="70" t="s">
        <v>53</v>
      </c>
      <c r="I49" s="70"/>
      <c r="J49" s="70" t="s">
        <v>50</v>
      </c>
      <c r="K49" s="70">
        <v>1</v>
      </c>
      <c r="L49" s="70">
        <v>20</v>
      </c>
      <c r="M49" s="70"/>
      <c r="O49" s="67">
        <f>(E49-D49)/$E$27</f>
        <v>0.0180505415162455</v>
      </c>
    </row>
    <row r="50" spans="1:16">
      <c r="A50" s="69">
        <v>48</v>
      </c>
      <c r="B50" s="70">
        <v>10002</v>
      </c>
      <c r="C50" s="70">
        <v>4</v>
      </c>
      <c r="D50" s="70">
        <f t="shared" si="5"/>
        <v>1070</v>
      </c>
      <c r="E50" s="70">
        <f>D50+L50</f>
        <v>1090</v>
      </c>
      <c r="F50" s="70"/>
      <c r="G50" s="70">
        <v>1021005</v>
      </c>
      <c r="H50" s="70" t="s">
        <v>54</v>
      </c>
      <c r="I50" s="70"/>
      <c r="J50" s="70" t="s">
        <v>50</v>
      </c>
      <c r="K50" s="70">
        <v>1</v>
      </c>
      <c r="L50" s="70">
        <v>20</v>
      </c>
      <c r="M50" s="70"/>
      <c r="O50" s="67">
        <f>(E50-D50)/$E$27</f>
        <v>0.0180505415162455</v>
      </c>
    </row>
    <row r="51" spans="1:16">
      <c r="A51" s="72">
        <v>49</v>
      </c>
      <c r="B51" s="70">
        <v>10100</v>
      </c>
      <c r="C51" s="70">
        <v>4</v>
      </c>
      <c r="D51" s="70">
        <v>0</v>
      </c>
      <c r="E51" s="70">
        <f>M51</f>
        <v>25</v>
      </c>
      <c r="F51" s="70"/>
      <c r="G51" s="70">
        <v>101002</v>
      </c>
      <c r="H51" s="70" t="s">
        <v>73</v>
      </c>
      <c r="I51" s="70"/>
      <c r="J51" s="70" t="s">
        <v>21</v>
      </c>
      <c r="K51" s="70">
        <v>1</v>
      </c>
      <c r="L51" s="70" t="s">
        <v>74</v>
      </c>
      <c r="M51" s="70">
        <v>25</v>
      </c>
      <c r="O51" s="67">
        <f t="shared" ref="O51:O72" si="7">(E51-D51)/$E$234</f>
        <v>0.0344827586206897</v>
      </c>
      <c r="P51" s="67">
        <v>10100</v>
      </c>
    </row>
    <row r="52" spans="1:16">
      <c r="A52" s="72">
        <v>50</v>
      </c>
      <c r="B52" s="70">
        <v>10100</v>
      </c>
      <c r="C52" s="70">
        <v>4</v>
      </c>
      <c r="D52" s="70">
        <f>E51</f>
        <v>25</v>
      </c>
      <c r="E52" s="70">
        <f t="shared" ref="E52:E72" si="8">D52+M52</f>
        <v>50</v>
      </c>
      <c r="F52" s="70"/>
      <c r="G52" s="70">
        <v>102002</v>
      </c>
      <c r="H52" s="70" t="s">
        <v>75</v>
      </c>
      <c r="I52" s="70"/>
      <c r="J52" s="70" t="s">
        <v>21</v>
      </c>
      <c r="K52" s="70">
        <v>1</v>
      </c>
      <c r="L52" s="70" t="s">
        <v>76</v>
      </c>
      <c r="M52" s="70">
        <v>25</v>
      </c>
      <c r="O52" s="67">
        <f t="shared" si="7"/>
        <v>0.0344827586206897</v>
      </c>
      <c r="P52" s="67">
        <v>10100</v>
      </c>
    </row>
    <row r="53" spans="1:16">
      <c r="A53" s="72">
        <v>51</v>
      </c>
      <c r="B53" s="70">
        <v>10100</v>
      </c>
      <c r="C53" s="70">
        <v>4</v>
      </c>
      <c r="D53" s="70">
        <f t="shared" ref="D53:D77" si="9">E52</f>
        <v>50</v>
      </c>
      <c r="E53" s="70">
        <f t="shared" si="8"/>
        <v>75</v>
      </c>
      <c r="F53" s="70"/>
      <c r="G53" s="70">
        <v>102102</v>
      </c>
      <c r="H53" s="70" t="s">
        <v>77</v>
      </c>
      <c r="I53" s="70"/>
      <c r="J53" s="70" t="s">
        <v>21</v>
      </c>
      <c r="K53" s="70">
        <v>1</v>
      </c>
      <c r="L53" s="70" t="s">
        <v>76</v>
      </c>
      <c r="M53" s="70">
        <v>25</v>
      </c>
      <c r="O53" s="67">
        <f t="shared" si="7"/>
        <v>0.0344827586206897</v>
      </c>
      <c r="P53" s="67">
        <v>10100</v>
      </c>
    </row>
    <row r="54" spans="1:16">
      <c r="A54" s="72">
        <v>52</v>
      </c>
      <c r="B54" s="70">
        <v>10100</v>
      </c>
      <c r="C54" s="70">
        <v>4</v>
      </c>
      <c r="D54" s="70">
        <f t="shared" si="9"/>
        <v>75</v>
      </c>
      <c r="E54" s="70">
        <f t="shared" si="8"/>
        <v>100</v>
      </c>
      <c r="F54" s="70"/>
      <c r="G54" s="70">
        <v>103002</v>
      </c>
      <c r="H54" s="70" t="s">
        <v>78</v>
      </c>
      <c r="I54" s="70"/>
      <c r="J54" s="70" t="s">
        <v>21</v>
      </c>
      <c r="K54" s="70">
        <v>1</v>
      </c>
      <c r="L54" s="70" t="s">
        <v>76</v>
      </c>
      <c r="M54" s="70">
        <v>25</v>
      </c>
      <c r="O54" s="67">
        <f t="shared" si="7"/>
        <v>0.0344827586206897</v>
      </c>
      <c r="P54" s="67">
        <v>10100</v>
      </c>
    </row>
    <row r="55" spans="1:16">
      <c r="A55" s="72">
        <v>53</v>
      </c>
      <c r="B55" s="70">
        <v>10100</v>
      </c>
      <c r="C55" s="70">
        <v>4</v>
      </c>
      <c r="D55" s="70">
        <f t="shared" si="9"/>
        <v>100</v>
      </c>
      <c r="E55" s="70">
        <f t="shared" si="8"/>
        <v>125</v>
      </c>
      <c r="F55" s="70"/>
      <c r="G55" s="70">
        <v>104002</v>
      </c>
      <c r="H55" s="70" t="s">
        <v>25</v>
      </c>
      <c r="I55" s="70"/>
      <c r="J55" s="70" t="s">
        <v>21</v>
      </c>
      <c r="K55" s="70">
        <v>1</v>
      </c>
      <c r="L55" s="70" t="s">
        <v>76</v>
      </c>
      <c r="M55" s="70">
        <v>25</v>
      </c>
      <c r="O55" s="67">
        <f t="shared" si="7"/>
        <v>0.0344827586206897</v>
      </c>
      <c r="P55" s="67">
        <v>10100</v>
      </c>
    </row>
    <row r="56" spans="1:16">
      <c r="A56" s="72">
        <v>54</v>
      </c>
      <c r="B56" s="70">
        <v>10100</v>
      </c>
      <c r="C56" s="70">
        <v>4</v>
      </c>
      <c r="D56" s="70">
        <f t="shared" si="9"/>
        <v>125</v>
      </c>
      <c r="E56" s="70">
        <f t="shared" si="8"/>
        <v>150</v>
      </c>
      <c r="F56" s="70"/>
      <c r="G56" s="70">
        <v>104102</v>
      </c>
      <c r="H56" s="70" t="s">
        <v>79</v>
      </c>
      <c r="I56" s="70"/>
      <c r="J56" s="70" t="s">
        <v>21</v>
      </c>
      <c r="K56" s="70">
        <v>1</v>
      </c>
      <c r="L56" s="70" t="s">
        <v>76</v>
      </c>
      <c r="M56" s="70">
        <v>25</v>
      </c>
      <c r="O56" s="67">
        <f t="shared" si="7"/>
        <v>0.0344827586206897</v>
      </c>
      <c r="P56" s="67">
        <v>10100</v>
      </c>
    </row>
    <row r="57" spans="1:16">
      <c r="A57" s="72">
        <v>55</v>
      </c>
      <c r="B57" s="70">
        <v>10100</v>
      </c>
      <c r="C57" s="70">
        <v>4</v>
      </c>
      <c r="D57" s="70">
        <f t="shared" si="9"/>
        <v>150</v>
      </c>
      <c r="E57" s="70">
        <f t="shared" si="8"/>
        <v>175</v>
      </c>
      <c r="F57" s="70"/>
      <c r="G57" s="70">
        <v>105002</v>
      </c>
      <c r="H57" s="70" t="s">
        <v>80</v>
      </c>
      <c r="I57" s="70"/>
      <c r="J57" s="70" t="s">
        <v>21</v>
      </c>
      <c r="K57" s="70">
        <v>1</v>
      </c>
      <c r="L57" s="70" t="s">
        <v>76</v>
      </c>
      <c r="M57" s="70">
        <v>25</v>
      </c>
      <c r="O57" s="67">
        <f t="shared" si="7"/>
        <v>0.0344827586206897</v>
      </c>
      <c r="P57" s="67">
        <v>10100</v>
      </c>
    </row>
    <row r="58" spans="1:16">
      <c r="A58" s="72">
        <v>56</v>
      </c>
      <c r="B58" s="70">
        <v>10100</v>
      </c>
      <c r="C58" s="70">
        <v>4</v>
      </c>
      <c r="D58" s="70">
        <f t="shared" si="9"/>
        <v>175</v>
      </c>
      <c r="E58" s="70">
        <f t="shared" si="8"/>
        <v>200</v>
      </c>
      <c r="F58" s="70"/>
      <c r="G58" s="70">
        <v>106002</v>
      </c>
      <c r="H58" s="70" t="s">
        <v>81</v>
      </c>
      <c r="I58" s="70"/>
      <c r="J58" s="70" t="s">
        <v>21</v>
      </c>
      <c r="K58" s="70">
        <v>1</v>
      </c>
      <c r="L58" s="70" t="s">
        <v>76</v>
      </c>
      <c r="M58" s="70">
        <v>25</v>
      </c>
      <c r="O58" s="67">
        <f t="shared" si="7"/>
        <v>0.0344827586206897</v>
      </c>
      <c r="P58" s="67">
        <v>10100</v>
      </c>
    </row>
    <row r="59" spans="1:16">
      <c r="A59" s="72">
        <v>57</v>
      </c>
      <c r="B59" s="70">
        <v>10100</v>
      </c>
      <c r="C59" s="70">
        <v>4</v>
      </c>
      <c r="D59" s="70">
        <f t="shared" si="9"/>
        <v>200</v>
      </c>
      <c r="E59" s="70">
        <f t="shared" si="8"/>
        <v>225</v>
      </c>
      <c r="F59" s="70"/>
      <c r="G59" s="70">
        <v>109002</v>
      </c>
      <c r="H59" s="70" t="s">
        <v>30</v>
      </c>
      <c r="I59" s="70"/>
      <c r="J59" s="70" t="s">
        <v>21</v>
      </c>
      <c r="K59" s="70">
        <v>1</v>
      </c>
      <c r="L59" s="70" t="s">
        <v>76</v>
      </c>
      <c r="M59" s="70">
        <v>25</v>
      </c>
      <c r="O59" s="67">
        <f t="shared" si="7"/>
        <v>0.0344827586206897</v>
      </c>
      <c r="P59" s="67">
        <v>10100</v>
      </c>
    </row>
    <row r="60" spans="1:16">
      <c r="A60" s="72">
        <v>58</v>
      </c>
      <c r="B60" s="70">
        <v>10100</v>
      </c>
      <c r="C60" s="70">
        <v>4</v>
      </c>
      <c r="D60" s="70">
        <f t="shared" si="9"/>
        <v>225</v>
      </c>
      <c r="E60" s="70">
        <f t="shared" si="8"/>
        <v>250</v>
      </c>
      <c r="F60" s="70"/>
      <c r="G60" s="70">
        <v>110002</v>
      </c>
      <c r="H60" s="70" t="s">
        <v>82</v>
      </c>
      <c r="I60" s="70"/>
      <c r="J60" s="70" t="s">
        <v>21</v>
      </c>
      <c r="K60" s="70">
        <v>1</v>
      </c>
      <c r="L60" s="70" t="s">
        <v>76</v>
      </c>
      <c r="M60" s="70">
        <v>25</v>
      </c>
      <c r="O60" s="67">
        <f t="shared" si="7"/>
        <v>0.0344827586206897</v>
      </c>
      <c r="P60" s="67">
        <v>10100</v>
      </c>
    </row>
    <row r="61" spans="1:16">
      <c r="A61" s="72">
        <v>59</v>
      </c>
      <c r="B61" s="70">
        <v>10100</v>
      </c>
      <c r="C61" s="70">
        <v>4</v>
      </c>
      <c r="D61" s="70">
        <f t="shared" si="9"/>
        <v>250</v>
      </c>
      <c r="E61" s="70">
        <f t="shared" si="8"/>
        <v>275</v>
      </c>
      <c r="F61" s="70"/>
      <c r="G61" s="70">
        <v>111002</v>
      </c>
      <c r="H61" s="70" t="s">
        <v>83</v>
      </c>
      <c r="I61" s="70"/>
      <c r="J61" s="70" t="s">
        <v>21</v>
      </c>
      <c r="K61" s="70">
        <v>1</v>
      </c>
      <c r="L61" s="70" t="s">
        <v>76</v>
      </c>
      <c r="M61" s="70">
        <v>25</v>
      </c>
      <c r="O61" s="67">
        <f t="shared" si="7"/>
        <v>0.0344827586206897</v>
      </c>
      <c r="P61" s="67">
        <v>10100</v>
      </c>
    </row>
    <row r="62" spans="1:16">
      <c r="A62" s="72">
        <v>60</v>
      </c>
      <c r="B62" s="70">
        <v>10100</v>
      </c>
      <c r="C62" s="70">
        <v>4</v>
      </c>
      <c r="D62" s="70">
        <f t="shared" si="9"/>
        <v>275</v>
      </c>
      <c r="E62" s="70">
        <f t="shared" si="8"/>
        <v>300</v>
      </c>
      <c r="F62" s="70"/>
      <c r="G62" s="70">
        <v>112002</v>
      </c>
      <c r="H62" s="70" t="s">
        <v>84</v>
      </c>
      <c r="I62" s="70"/>
      <c r="J62" s="70" t="s">
        <v>21</v>
      </c>
      <c r="K62" s="70">
        <v>1</v>
      </c>
      <c r="L62" s="70" t="s">
        <v>76</v>
      </c>
      <c r="M62" s="70">
        <v>25</v>
      </c>
      <c r="O62" s="67">
        <f t="shared" si="7"/>
        <v>0.0344827586206897</v>
      </c>
      <c r="P62" s="67">
        <v>10100</v>
      </c>
    </row>
    <row r="63" spans="1:16">
      <c r="A63" s="72">
        <v>61</v>
      </c>
      <c r="B63" s="70">
        <v>10100</v>
      </c>
      <c r="C63" s="70">
        <v>4</v>
      </c>
      <c r="D63" s="70">
        <f t="shared" si="9"/>
        <v>300</v>
      </c>
      <c r="E63" s="70">
        <f t="shared" si="8"/>
        <v>325</v>
      </c>
      <c r="F63" s="70"/>
      <c r="G63" s="70">
        <v>112002</v>
      </c>
      <c r="H63" s="70" t="s">
        <v>84</v>
      </c>
      <c r="I63" s="70"/>
      <c r="J63" s="70" t="s">
        <v>21</v>
      </c>
      <c r="K63" s="70">
        <v>1</v>
      </c>
      <c r="L63" s="70" t="s">
        <v>76</v>
      </c>
      <c r="M63" s="70">
        <v>25</v>
      </c>
      <c r="O63" s="67">
        <f t="shared" si="7"/>
        <v>0.0344827586206897</v>
      </c>
      <c r="P63" s="67">
        <v>10100</v>
      </c>
    </row>
    <row r="64" spans="1:16">
      <c r="A64" s="72">
        <v>62</v>
      </c>
      <c r="B64" s="70">
        <v>10100</v>
      </c>
      <c r="C64" s="70">
        <v>4</v>
      </c>
      <c r="D64" s="70">
        <f t="shared" si="9"/>
        <v>325</v>
      </c>
      <c r="E64" s="70">
        <f t="shared" si="8"/>
        <v>350</v>
      </c>
      <c r="F64" s="70"/>
      <c r="G64" s="70">
        <v>114002</v>
      </c>
      <c r="H64" s="70" t="s">
        <v>85</v>
      </c>
      <c r="I64" s="70"/>
      <c r="J64" s="70" t="s">
        <v>21</v>
      </c>
      <c r="K64" s="70">
        <v>1</v>
      </c>
      <c r="L64" s="70" t="s">
        <v>76</v>
      </c>
      <c r="M64" s="70">
        <v>25</v>
      </c>
      <c r="O64" s="67">
        <f t="shared" si="7"/>
        <v>0.0344827586206897</v>
      </c>
      <c r="P64" s="67">
        <v>10100</v>
      </c>
    </row>
    <row r="65" spans="1:16">
      <c r="A65" s="72">
        <v>63</v>
      </c>
      <c r="B65" s="70">
        <v>10100</v>
      </c>
      <c r="C65" s="70">
        <v>4</v>
      </c>
      <c r="D65" s="70">
        <f t="shared" si="9"/>
        <v>350</v>
      </c>
      <c r="E65" s="70">
        <f t="shared" si="8"/>
        <v>375</v>
      </c>
      <c r="F65" s="70"/>
      <c r="G65" s="70">
        <v>115002</v>
      </c>
      <c r="H65" s="70" t="s">
        <v>86</v>
      </c>
      <c r="I65" s="70"/>
      <c r="J65" s="70" t="s">
        <v>21</v>
      </c>
      <c r="K65" s="70">
        <v>1</v>
      </c>
      <c r="L65" s="70" t="s">
        <v>76</v>
      </c>
      <c r="M65" s="70">
        <v>25</v>
      </c>
      <c r="O65" s="67">
        <f t="shared" si="7"/>
        <v>0.0344827586206897</v>
      </c>
      <c r="P65" s="67">
        <v>10100</v>
      </c>
    </row>
    <row r="66" spans="1:16">
      <c r="A66" s="72">
        <v>64</v>
      </c>
      <c r="B66" s="70">
        <v>10110</v>
      </c>
      <c r="C66" s="70">
        <v>4</v>
      </c>
      <c r="D66" s="70">
        <f t="shared" si="9"/>
        <v>375</v>
      </c>
      <c r="E66" s="70">
        <f t="shared" si="8"/>
        <v>425</v>
      </c>
      <c r="F66" s="70"/>
      <c r="G66" s="70">
        <v>200002</v>
      </c>
      <c r="H66" s="70" t="s">
        <v>87</v>
      </c>
      <c r="I66" s="70"/>
      <c r="J66" s="70" t="s">
        <v>34</v>
      </c>
      <c r="K66" s="70">
        <v>1</v>
      </c>
      <c r="L66" s="70" t="s">
        <v>76</v>
      </c>
      <c r="M66" s="70">
        <v>50</v>
      </c>
      <c r="O66" s="67">
        <f t="shared" si="7"/>
        <v>0.0689655172413793</v>
      </c>
      <c r="P66" s="67">
        <v>10110</v>
      </c>
    </row>
    <row r="67" spans="1:16">
      <c r="A67" s="72">
        <v>65</v>
      </c>
      <c r="B67" s="70">
        <v>10110</v>
      </c>
      <c r="C67" s="70">
        <v>4</v>
      </c>
      <c r="D67" s="70">
        <f t="shared" si="9"/>
        <v>425</v>
      </c>
      <c r="E67" s="70">
        <f t="shared" si="8"/>
        <v>475</v>
      </c>
      <c r="F67" s="70"/>
      <c r="G67" s="70">
        <v>300002</v>
      </c>
      <c r="H67" s="70" t="s">
        <v>35</v>
      </c>
      <c r="I67" s="70"/>
      <c r="J67" s="70" t="s">
        <v>36</v>
      </c>
      <c r="K67" s="70">
        <v>1</v>
      </c>
      <c r="L67" s="70" t="s">
        <v>76</v>
      </c>
      <c r="M67" s="70">
        <v>50</v>
      </c>
      <c r="O67" s="67">
        <f t="shared" si="7"/>
        <v>0.0689655172413793</v>
      </c>
      <c r="P67" s="67">
        <v>10110</v>
      </c>
    </row>
    <row r="68" spans="1:16">
      <c r="A68" s="72">
        <v>66</v>
      </c>
      <c r="B68" s="70">
        <v>10110</v>
      </c>
      <c r="C68" s="70">
        <v>4</v>
      </c>
      <c r="D68" s="70">
        <f t="shared" si="9"/>
        <v>475</v>
      </c>
      <c r="E68" s="70">
        <f t="shared" si="8"/>
        <v>525</v>
      </c>
      <c r="F68" s="70"/>
      <c r="G68" s="70">
        <v>400002</v>
      </c>
      <c r="H68" s="70" t="s">
        <v>88</v>
      </c>
      <c r="I68" s="70"/>
      <c r="J68" s="70" t="s">
        <v>38</v>
      </c>
      <c r="K68" s="70">
        <v>1</v>
      </c>
      <c r="L68" s="70" t="s">
        <v>76</v>
      </c>
      <c r="M68" s="70">
        <v>50</v>
      </c>
      <c r="O68" s="67">
        <f t="shared" si="7"/>
        <v>0.0689655172413793</v>
      </c>
      <c r="P68" s="67">
        <v>10110</v>
      </c>
    </row>
    <row r="69" spans="1:16">
      <c r="A69" s="72">
        <v>67</v>
      </c>
      <c r="B69" s="70">
        <v>10110</v>
      </c>
      <c r="C69" s="70">
        <v>4</v>
      </c>
      <c r="D69" s="70">
        <f t="shared" si="9"/>
        <v>525</v>
      </c>
      <c r="E69" s="70">
        <f t="shared" si="8"/>
        <v>575</v>
      </c>
      <c r="F69" s="70"/>
      <c r="G69" s="70">
        <v>500002</v>
      </c>
      <c r="H69" s="70" t="s">
        <v>89</v>
      </c>
      <c r="I69" s="70"/>
      <c r="J69" s="70" t="s">
        <v>40</v>
      </c>
      <c r="K69" s="70">
        <v>1</v>
      </c>
      <c r="L69" s="70" t="s">
        <v>76</v>
      </c>
      <c r="M69" s="70">
        <v>50</v>
      </c>
      <c r="O69" s="67">
        <f t="shared" si="7"/>
        <v>0.0689655172413793</v>
      </c>
      <c r="P69" s="67">
        <v>10110</v>
      </c>
    </row>
    <row r="70" spans="1:16">
      <c r="A70" s="72">
        <v>68</v>
      </c>
      <c r="B70" s="70">
        <v>10110</v>
      </c>
      <c r="C70" s="70">
        <v>4</v>
      </c>
      <c r="D70" s="70">
        <f t="shared" si="9"/>
        <v>575</v>
      </c>
      <c r="E70" s="70">
        <f t="shared" si="8"/>
        <v>625</v>
      </c>
      <c r="F70" s="70"/>
      <c r="G70" s="70">
        <v>600002</v>
      </c>
      <c r="H70" s="70" t="s">
        <v>90</v>
      </c>
      <c r="I70" s="70"/>
      <c r="J70" s="70" t="s">
        <v>42</v>
      </c>
      <c r="K70" s="70">
        <v>1</v>
      </c>
      <c r="L70" s="70" t="s">
        <v>76</v>
      </c>
      <c r="M70" s="70">
        <v>50</v>
      </c>
      <c r="O70" s="67">
        <f t="shared" si="7"/>
        <v>0.0689655172413793</v>
      </c>
      <c r="P70" s="67">
        <v>10110</v>
      </c>
    </row>
    <row r="71" spans="1:16">
      <c r="A71" s="72">
        <v>69</v>
      </c>
      <c r="B71" s="70">
        <v>10110</v>
      </c>
      <c r="C71" s="70">
        <v>4</v>
      </c>
      <c r="D71" s="70">
        <f t="shared" si="9"/>
        <v>625</v>
      </c>
      <c r="E71" s="70">
        <f t="shared" si="8"/>
        <v>675</v>
      </c>
      <c r="F71" s="70"/>
      <c r="G71" s="70">
        <v>700002</v>
      </c>
      <c r="H71" s="70" t="s">
        <v>91</v>
      </c>
      <c r="I71" s="70"/>
      <c r="J71" s="70" t="s">
        <v>44</v>
      </c>
      <c r="K71" s="70">
        <v>1</v>
      </c>
      <c r="L71" s="70" t="s">
        <v>76</v>
      </c>
      <c r="M71" s="70">
        <v>50</v>
      </c>
      <c r="O71" s="67">
        <f t="shared" si="7"/>
        <v>0.0689655172413793</v>
      </c>
      <c r="P71" s="67">
        <v>10110</v>
      </c>
    </row>
    <row r="72" spans="1:16">
      <c r="A72" s="72">
        <v>70</v>
      </c>
      <c r="B72" s="70">
        <v>10110</v>
      </c>
      <c r="C72" s="70">
        <v>4</v>
      </c>
      <c r="D72" s="70">
        <f t="shared" si="9"/>
        <v>675</v>
      </c>
      <c r="E72" s="70">
        <f t="shared" si="8"/>
        <v>725</v>
      </c>
      <c r="F72" s="70"/>
      <c r="G72" s="70">
        <v>800002</v>
      </c>
      <c r="H72" s="70" t="s">
        <v>92</v>
      </c>
      <c r="I72" s="70"/>
      <c r="J72" s="70" t="s">
        <v>46</v>
      </c>
      <c r="K72" s="70">
        <v>1</v>
      </c>
      <c r="L72" s="70" t="s">
        <v>76</v>
      </c>
      <c r="M72" s="70">
        <v>50</v>
      </c>
      <c r="O72" s="67">
        <f t="shared" si="7"/>
        <v>0.0689655172413793</v>
      </c>
      <c r="P72" s="67">
        <v>10110</v>
      </c>
    </row>
    <row r="73" spans="1:16">
      <c r="A73" s="69">
        <v>71</v>
      </c>
      <c r="B73" s="70">
        <v>10110</v>
      </c>
      <c r="C73" s="70">
        <v>4</v>
      </c>
      <c r="D73" s="70">
        <f t="shared" si="9"/>
        <v>725</v>
      </c>
      <c r="E73" s="70">
        <f>D73+L73</f>
        <v>745</v>
      </c>
      <c r="F73" s="70"/>
      <c r="G73" s="70">
        <v>104402</v>
      </c>
      <c r="H73" s="70" t="s">
        <v>49</v>
      </c>
      <c r="I73" s="70"/>
      <c r="J73" s="70" t="s">
        <v>50</v>
      </c>
      <c r="K73" s="70">
        <v>1</v>
      </c>
      <c r="L73" s="70">
        <v>20</v>
      </c>
      <c r="M73" s="70"/>
      <c r="O73" s="67">
        <f>(E73-D73)/$E$27</f>
        <v>0.0180505415162455</v>
      </c>
    </row>
    <row r="74" spans="1:16">
      <c r="A74" s="69">
        <v>72</v>
      </c>
      <c r="B74" s="70">
        <v>10110</v>
      </c>
      <c r="C74" s="70">
        <v>4</v>
      </c>
      <c r="D74" s="70">
        <f t="shared" si="9"/>
        <v>745</v>
      </c>
      <c r="E74" s="70">
        <f>D74+L74</f>
        <v>765</v>
      </c>
      <c r="F74" s="70"/>
      <c r="G74" s="70">
        <v>105504</v>
      </c>
      <c r="H74" s="70" t="s">
        <v>51</v>
      </c>
      <c r="I74" s="70"/>
      <c r="J74" s="70" t="s">
        <v>50</v>
      </c>
      <c r="K74" s="70">
        <v>1</v>
      </c>
      <c r="L74" s="70">
        <v>20</v>
      </c>
      <c r="M74" s="70"/>
      <c r="O74" s="67">
        <f>(E74-D74)/$E$27</f>
        <v>0.0180505415162455</v>
      </c>
    </row>
    <row r="75" spans="1:16">
      <c r="A75" s="69">
        <v>73</v>
      </c>
      <c r="B75" s="70">
        <v>10110</v>
      </c>
      <c r="C75" s="70">
        <v>4</v>
      </c>
      <c r="D75" s="70">
        <f t="shared" si="9"/>
        <v>765</v>
      </c>
      <c r="E75" s="70">
        <f>D75+L75</f>
        <v>785</v>
      </c>
      <c r="F75" s="70"/>
      <c r="G75" s="70">
        <v>102905</v>
      </c>
      <c r="H75" s="70" t="s">
        <v>52</v>
      </c>
      <c r="I75" s="70"/>
      <c r="J75" s="70" t="s">
        <v>50</v>
      </c>
      <c r="K75" s="70">
        <v>1</v>
      </c>
      <c r="L75" s="70">
        <v>20</v>
      </c>
      <c r="M75" s="70"/>
      <c r="O75" s="67">
        <f>(E75-D75)/$E$27</f>
        <v>0.0180505415162455</v>
      </c>
    </row>
    <row r="76" spans="1:16">
      <c r="A76" s="69">
        <v>74</v>
      </c>
      <c r="B76" s="70">
        <v>10110</v>
      </c>
      <c r="C76" s="70">
        <v>4</v>
      </c>
      <c r="D76" s="70">
        <f t="shared" si="9"/>
        <v>785</v>
      </c>
      <c r="E76" s="70">
        <f>D76+L76</f>
        <v>805</v>
      </c>
      <c r="F76" s="70"/>
      <c r="G76" s="70">
        <v>105604</v>
      </c>
      <c r="H76" s="70" t="s">
        <v>53</v>
      </c>
      <c r="I76" s="70"/>
      <c r="J76" s="70" t="s">
        <v>50</v>
      </c>
      <c r="K76" s="70">
        <v>1</v>
      </c>
      <c r="L76" s="70">
        <v>20</v>
      </c>
      <c r="M76" s="70"/>
      <c r="O76" s="67">
        <f>(E76-D76)/$E$27</f>
        <v>0.0180505415162455</v>
      </c>
    </row>
    <row r="77" spans="1:16">
      <c r="A77" s="69">
        <v>75</v>
      </c>
      <c r="B77" s="70">
        <v>10110</v>
      </c>
      <c r="C77" s="70">
        <v>4</v>
      </c>
      <c r="D77" s="70">
        <f t="shared" si="9"/>
        <v>805</v>
      </c>
      <c r="E77" s="70">
        <f>D77+L77</f>
        <v>825</v>
      </c>
      <c r="F77" s="70"/>
      <c r="G77" s="70">
        <v>1021005</v>
      </c>
      <c r="H77" s="70" t="s">
        <v>54</v>
      </c>
      <c r="I77" s="70"/>
      <c r="J77" s="70" t="s">
        <v>50</v>
      </c>
      <c r="K77" s="70">
        <v>1</v>
      </c>
      <c r="L77" s="70">
        <v>20</v>
      </c>
      <c r="M77" s="70"/>
      <c r="O77" s="67">
        <f>(E77-D77)/$E$27</f>
        <v>0.0180505415162455</v>
      </c>
    </row>
    <row r="78" spans="1:16">
      <c r="A78" s="71">
        <v>76</v>
      </c>
      <c r="B78" s="70">
        <v>10200</v>
      </c>
      <c r="C78" s="70">
        <v>4</v>
      </c>
      <c r="D78" s="70">
        <v>0</v>
      </c>
      <c r="E78" s="70">
        <f>M78</f>
        <v>25</v>
      </c>
      <c r="F78" s="70"/>
      <c r="G78" s="70">
        <v>101003</v>
      </c>
      <c r="H78" s="70" t="s">
        <v>93</v>
      </c>
      <c r="I78" s="70"/>
      <c r="J78" s="70" t="s">
        <v>21</v>
      </c>
      <c r="K78" s="70">
        <v>1</v>
      </c>
      <c r="L78" s="70" t="s">
        <v>94</v>
      </c>
      <c r="M78" s="70">
        <f t="shared" ref="M78:M99" si="10">M51</f>
        <v>25</v>
      </c>
      <c r="O78" s="67">
        <f t="shared" ref="O78:O99" si="11">(E78-D78)/$E$234</f>
        <v>0.0344827586206897</v>
      </c>
      <c r="P78" s="67">
        <v>10200</v>
      </c>
    </row>
    <row r="79" spans="1:16">
      <c r="A79" s="71">
        <v>77</v>
      </c>
      <c r="B79" s="70">
        <v>10200</v>
      </c>
      <c r="C79" s="70">
        <v>4</v>
      </c>
      <c r="D79" s="70">
        <f>E78</f>
        <v>25</v>
      </c>
      <c r="E79" s="70">
        <f t="shared" ref="E79:E99" si="12">D79+M79</f>
        <v>50</v>
      </c>
      <c r="F79" s="70"/>
      <c r="G79" s="70">
        <v>102003</v>
      </c>
      <c r="H79" s="70" t="s">
        <v>95</v>
      </c>
      <c r="I79" s="70"/>
      <c r="J79" s="70" t="s">
        <v>21</v>
      </c>
      <c r="K79" s="70">
        <v>1</v>
      </c>
      <c r="L79" s="70" t="s">
        <v>94</v>
      </c>
      <c r="M79" s="70">
        <f t="shared" si="10"/>
        <v>25</v>
      </c>
      <c r="O79" s="67">
        <f t="shared" si="11"/>
        <v>0.0344827586206897</v>
      </c>
      <c r="P79" s="67">
        <v>10200</v>
      </c>
    </row>
    <row r="80" spans="1:16">
      <c r="A80" s="71">
        <v>78</v>
      </c>
      <c r="B80" s="70">
        <v>10200</v>
      </c>
      <c r="C80" s="70">
        <v>4</v>
      </c>
      <c r="D80" s="70">
        <f t="shared" ref="D80:D104" si="13">E79</f>
        <v>50</v>
      </c>
      <c r="E80" s="70">
        <f t="shared" si="12"/>
        <v>75</v>
      </c>
      <c r="F80" s="70"/>
      <c r="G80" s="70">
        <v>102103</v>
      </c>
      <c r="H80" s="70" t="s">
        <v>96</v>
      </c>
      <c r="I80" s="70"/>
      <c r="J80" s="70" t="s">
        <v>21</v>
      </c>
      <c r="K80" s="70">
        <v>1</v>
      </c>
      <c r="L80" s="70" t="s">
        <v>94</v>
      </c>
      <c r="M80" s="70">
        <f t="shared" si="10"/>
        <v>25</v>
      </c>
      <c r="O80" s="67">
        <f t="shared" si="11"/>
        <v>0.0344827586206897</v>
      </c>
      <c r="P80" s="67">
        <v>10200</v>
      </c>
    </row>
    <row r="81" spans="1:16">
      <c r="A81" s="71">
        <v>79</v>
      </c>
      <c r="B81" s="70">
        <v>10200</v>
      </c>
      <c r="C81" s="70">
        <v>4</v>
      </c>
      <c r="D81" s="70">
        <f t="shared" si="13"/>
        <v>75</v>
      </c>
      <c r="E81" s="70">
        <f t="shared" si="12"/>
        <v>100</v>
      </c>
      <c r="F81" s="70"/>
      <c r="G81" s="70">
        <v>103003</v>
      </c>
      <c r="H81" s="70" t="s">
        <v>28</v>
      </c>
      <c r="I81" s="70"/>
      <c r="J81" s="70" t="s">
        <v>21</v>
      </c>
      <c r="K81" s="70">
        <v>1</v>
      </c>
      <c r="L81" s="70" t="s">
        <v>94</v>
      </c>
      <c r="M81" s="70">
        <f t="shared" si="10"/>
        <v>25</v>
      </c>
      <c r="O81" s="67">
        <f t="shared" si="11"/>
        <v>0.0344827586206897</v>
      </c>
      <c r="P81" s="67">
        <v>10200</v>
      </c>
    </row>
    <row r="82" spans="1:16">
      <c r="A82" s="71">
        <v>80</v>
      </c>
      <c r="B82" s="70">
        <v>10200</v>
      </c>
      <c r="C82" s="70">
        <v>4</v>
      </c>
      <c r="D82" s="70">
        <f t="shared" si="13"/>
        <v>100</v>
      </c>
      <c r="E82" s="70">
        <f t="shared" si="12"/>
        <v>125</v>
      </c>
      <c r="F82" s="70"/>
      <c r="G82" s="70">
        <v>104003</v>
      </c>
      <c r="H82" s="70" t="s">
        <v>97</v>
      </c>
      <c r="I82" s="70"/>
      <c r="J82" s="70" t="s">
        <v>21</v>
      </c>
      <c r="K82" s="70">
        <v>1</v>
      </c>
      <c r="L82" s="70" t="s">
        <v>94</v>
      </c>
      <c r="M82" s="70">
        <f t="shared" si="10"/>
        <v>25</v>
      </c>
      <c r="O82" s="67">
        <f t="shared" si="11"/>
        <v>0.0344827586206897</v>
      </c>
      <c r="P82" s="67">
        <v>10200</v>
      </c>
    </row>
    <row r="83" spans="1:16">
      <c r="A83" s="71">
        <v>81</v>
      </c>
      <c r="B83" s="70">
        <v>10200</v>
      </c>
      <c r="C83" s="70">
        <v>4</v>
      </c>
      <c r="D83" s="70">
        <f t="shared" si="13"/>
        <v>125</v>
      </c>
      <c r="E83" s="70">
        <f t="shared" si="12"/>
        <v>150</v>
      </c>
      <c r="F83" s="70"/>
      <c r="G83" s="70">
        <v>104103</v>
      </c>
      <c r="H83" s="70" t="s">
        <v>98</v>
      </c>
      <c r="I83" s="70"/>
      <c r="J83" s="70" t="s">
        <v>21</v>
      </c>
      <c r="K83" s="70">
        <v>1</v>
      </c>
      <c r="L83" s="70" t="s">
        <v>94</v>
      </c>
      <c r="M83" s="70">
        <f t="shared" si="10"/>
        <v>25</v>
      </c>
      <c r="O83" s="67">
        <f t="shared" si="11"/>
        <v>0.0344827586206897</v>
      </c>
      <c r="P83" s="67">
        <v>10200</v>
      </c>
    </row>
    <row r="84" spans="1:16">
      <c r="A84" s="71">
        <v>82</v>
      </c>
      <c r="B84" s="70">
        <v>10200</v>
      </c>
      <c r="C84" s="70">
        <v>4</v>
      </c>
      <c r="D84" s="70">
        <f t="shared" si="13"/>
        <v>150</v>
      </c>
      <c r="E84" s="70">
        <f t="shared" si="12"/>
        <v>175</v>
      </c>
      <c r="F84" s="70"/>
      <c r="G84" s="70">
        <v>105003</v>
      </c>
      <c r="H84" s="70" t="s">
        <v>99</v>
      </c>
      <c r="I84" s="70"/>
      <c r="J84" s="70" t="s">
        <v>21</v>
      </c>
      <c r="K84" s="70">
        <v>1</v>
      </c>
      <c r="L84" s="70" t="s">
        <v>94</v>
      </c>
      <c r="M84" s="70">
        <f t="shared" si="10"/>
        <v>25</v>
      </c>
      <c r="O84" s="67">
        <f t="shared" si="11"/>
        <v>0.0344827586206897</v>
      </c>
      <c r="P84" s="67">
        <v>10200</v>
      </c>
    </row>
    <row r="85" spans="1:16">
      <c r="A85" s="71">
        <v>83</v>
      </c>
      <c r="B85" s="70">
        <v>10200</v>
      </c>
      <c r="C85" s="70">
        <v>4</v>
      </c>
      <c r="D85" s="70">
        <f t="shared" si="13"/>
        <v>175</v>
      </c>
      <c r="E85" s="70">
        <f t="shared" si="12"/>
        <v>200</v>
      </c>
      <c r="F85" s="70"/>
      <c r="G85" s="70">
        <v>106003</v>
      </c>
      <c r="H85" s="70" t="s">
        <v>100</v>
      </c>
      <c r="I85" s="70"/>
      <c r="J85" s="70" t="s">
        <v>21</v>
      </c>
      <c r="K85" s="70">
        <v>1</v>
      </c>
      <c r="L85" s="70" t="s">
        <v>94</v>
      </c>
      <c r="M85" s="70">
        <f t="shared" si="10"/>
        <v>25</v>
      </c>
      <c r="O85" s="67">
        <f t="shared" si="11"/>
        <v>0.0344827586206897</v>
      </c>
      <c r="P85" s="67">
        <v>10200</v>
      </c>
    </row>
    <row r="86" spans="1:16">
      <c r="A86" s="71">
        <v>84</v>
      </c>
      <c r="B86" s="70">
        <v>10200</v>
      </c>
      <c r="C86" s="70">
        <v>4</v>
      </c>
      <c r="D86" s="70">
        <f t="shared" si="13"/>
        <v>200</v>
      </c>
      <c r="E86" s="70">
        <f t="shared" si="12"/>
        <v>225</v>
      </c>
      <c r="F86" s="70"/>
      <c r="G86" s="70">
        <v>109003</v>
      </c>
      <c r="H86" s="70" t="s">
        <v>101</v>
      </c>
      <c r="I86" s="70"/>
      <c r="J86" s="70" t="s">
        <v>21</v>
      </c>
      <c r="K86" s="70">
        <v>1</v>
      </c>
      <c r="L86" s="70" t="s">
        <v>94</v>
      </c>
      <c r="M86" s="70">
        <f t="shared" si="10"/>
        <v>25</v>
      </c>
      <c r="O86" s="67">
        <f t="shared" si="11"/>
        <v>0.0344827586206897</v>
      </c>
      <c r="P86" s="67">
        <v>10200</v>
      </c>
    </row>
    <row r="87" spans="1:16">
      <c r="A87" s="71">
        <v>85</v>
      </c>
      <c r="B87" s="70">
        <v>10200</v>
      </c>
      <c r="C87" s="70">
        <v>4</v>
      </c>
      <c r="D87" s="70">
        <f t="shared" si="13"/>
        <v>225</v>
      </c>
      <c r="E87" s="70">
        <f t="shared" si="12"/>
        <v>250</v>
      </c>
      <c r="F87" s="70"/>
      <c r="G87" s="70">
        <v>110003</v>
      </c>
      <c r="H87" s="70" t="s">
        <v>64</v>
      </c>
      <c r="I87" s="70"/>
      <c r="J87" s="70" t="s">
        <v>21</v>
      </c>
      <c r="K87" s="70">
        <v>1</v>
      </c>
      <c r="L87" s="70" t="s">
        <v>94</v>
      </c>
      <c r="M87" s="70">
        <f t="shared" si="10"/>
        <v>25</v>
      </c>
      <c r="O87" s="67">
        <f t="shared" si="11"/>
        <v>0.0344827586206897</v>
      </c>
      <c r="P87" s="67">
        <v>10200</v>
      </c>
    </row>
    <row r="88" spans="1:16">
      <c r="A88" s="71">
        <v>86</v>
      </c>
      <c r="B88" s="70">
        <v>10200</v>
      </c>
      <c r="C88" s="70">
        <v>4</v>
      </c>
      <c r="D88" s="70">
        <f t="shared" si="13"/>
        <v>250</v>
      </c>
      <c r="E88" s="70">
        <f t="shared" si="12"/>
        <v>275</v>
      </c>
      <c r="F88" s="70"/>
      <c r="G88" s="70">
        <v>111003</v>
      </c>
      <c r="H88" s="70" t="s">
        <v>32</v>
      </c>
      <c r="I88" s="70"/>
      <c r="J88" s="70" t="s">
        <v>21</v>
      </c>
      <c r="K88" s="70">
        <v>1</v>
      </c>
      <c r="L88" s="70" t="s">
        <v>94</v>
      </c>
      <c r="M88" s="70">
        <f t="shared" si="10"/>
        <v>25</v>
      </c>
      <c r="O88" s="67">
        <f t="shared" si="11"/>
        <v>0.0344827586206897</v>
      </c>
      <c r="P88" s="67">
        <v>10200</v>
      </c>
    </row>
    <row r="89" spans="1:16">
      <c r="A89" s="71">
        <v>87</v>
      </c>
      <c r="B89" s="70">
        <v>10200</v>
      </c>
      <c r="C89" s="70">
        <v>4</v>
      </c>
      <c r="D89" s="70">
        <f t="shared" si="13"/>
        <v>275</v>
      </c>
      <c r="E89" s="70">
        <f t="shared" si="12"/>
        <v>300</v>
      </c>
      <c r="F89" s="70"/>
      <c r="G89" s="70">
        <v>112003</v>
      </c>
      <c r="H89" s="70" t="s">
        <v>102</v>
      </c>
      <c r="I89" s="70"/>
      <c r="J89" s="70" t="s">
        <v>21</v>
      </c>
      <c r="K89" s="70">
        <v>1</v>
      </c>
      <c r="L89" s="70" t="s">
        <v>94</v>
      </c>
      <c r="M89" s="70">
        <f t="shared" si="10"/>
        <v>25</v>
      </c>
      <c r="O89" s="67">
        <f t="shared" si="11"/>
        <v>0.0344827586206897</v>
      </c>
      <c r="P89" s="67">
        <v>10200</v>
      </c>
    </row>
    <row r="90" spans="1:16">
      <c r="A90" s="71">
        <v>88</v>
      </c>
      <c r="B90" s="70">
        <v>10200</v>
      </c>
      <c r="C90" s="70">
        <v>4</v>
      </c>
      <c r="D90" s="70">
        <f t="shared" si="13"/>
        <v>300</v>
      </c>
      <c r="E90" s="70">
        <f t="shared" si="12"/>
        <v>325</v>
      </c>
      <c r="F90" s="70"/>
      <c r="G90" s="70">
        <v>112003</v>
      </c>
      <c r="H90" s="70" t="s">
        <v>102</v>
      </c>
      <c r="I90" s="70"/>
      <c r="J90" s="70" t="s">
        <v>21</v>
      </c>
      <c r="K90" s="70">
        <v>1</v>
      </c>
      <c r="L90" s="70" t="s">
        <v>94</v>
      </c>
      <c r="M90" s="70">
        <f t="shared" si="10"/>
        <v>25</v>
      </c>
      <c r="O90" s="67">
        <f t="shared" si="11"/>
        <v>0.0344827586206897</v>
      </c>
      <c r="P90" s="67">
        <v>10200</v>
      </c>
    </row>
    <row r="91" spans="1:16">
      <c r="A91" s="71">
        <v>89</v>
      </c>
      <c r="B91" s="70">
        <v>10200</v>
      </c>
      <c r="C91" s="70">
        <v>4</v>
      </c>
      <c r="D91" s="70">
        <f t="shared" si="13"/>
        <v>325</v>
      </c>
      <c r="E91" s="70">
        <f t="shared" si="12"/>
        <v>350</v>
      </c>
      <c r="F91" s="70"/>
      <c r="G91" s="70">
        <v>114003</v>
      </c>
      <c r="H91" s="70" t="s">
        <v>103</v>
      </c>
      <c r="I91" s="70"/>
      <c r="J91" s="70" t="s">
        <v>21</v>
      </c>
      <c r="K91" s="70">
        <v>1</v>
      </c>
      <c r="L91" s="70" t="s">
        <v>94</v>
      </c>
      <c r="M91" s="70">
        <f t="shared" si="10"/>
        <v>25</v>
      </c>
      <c r="O91" s="67">
        <f t="shared" si="11"/>
        <v>0.0344827586206897</v>
      </c>
      <c r="P91" s="67">
        <v>10200</v>
      </c>
    </row>
    <row r="92" spans="1:16">
      <c r="A92" s="71">
        <v>90</v>
      </c>
      <c r="B92" s="70">
        <v>10200</v>
      </c>
      <c r="C92" s="70">
        <v>4</v>
      </c>
      <c r="D92" s="70">
        <f t="shared" si="13"/>
        <v>350</v>
      </c>
      <c r="E92" s="70">
        <f t="shared" si="12"/>
        <v>375</v>
      </c>
      <c r="F92" s="70"/>
      <c r="G92" s="70">
        <v>115003</v>
      </c>
      <c r="H92" s="70" t="s">
        <v>104</v>
      </c>
      <c r="I92" s="70"/>
      <c r="J92" s="70" t="s">
        <v>21</v>
      </c>
      <c r="K92" s="70">
        <v>1</v>
      </c>
      <c r="L92" s="70" t="s">
        <v>94</v>
      </c>
      <c r="M92" s="70">
        <f t="shared" si="10"/>
        <v>25</v>
      </c>
      <c r="O92" s="67">
        <f t="shared" si="11"/>
        <v>0.0344827586206897</v>
      </c>
      <c r="P92" s="67">
        <v>10200</v>
      </c>
    </row>
    <row r="93" spans="1:16">
      <c r="A93" s="71">
        <v>91</v>
      </c>
      <c r="B93" s="70">
        <v>10210</v>
      </c>
      <c r="C93" s="70">
        <v>4</v>
      </c>
      <c r="D93" s="70">
        <f t="shared" si="13"/>
        <v>375</v>
      </c>
      <c r="E93" s="70">
        <f t="shared" si="12"/>
        <v>425</v>
      </c>
      <c r="F93" s="70"/>
      <c r="G93" s="70">
        <v>200003</v>
      </c>
      <c r="H93" s="70" t="s">
        <v>105</v>
      </c>
      <c r="I93" s="70"/>
      <c r="J93" s="70" t="s">
        <v>34</v>
      </c>
      <c r="K93" s="70">
        <v>1</v>
      </c>
      <c r="L93" s="70" t="s">
        <v>94</v>
      </c>
      <c r="M93" s="70">
        <f t="shared" si="10"/>
        <v>50</v>
      </c>
      <c r="O93" s="67">
        <f t="shared" si="11"/>
        <v>0.0689655172413793</v>
      </c>
      <c r="P93" s="67">
        <v>10210</v>
      </c>
    </row>
    <row r="94" spans="1:16">
      <c r="A94" s="71">
        <v>92</v>
      </c>
      <c r="B94" s="70">
        <v>10210</v>
      </c>
      <c r="C94" s="70">
        <v>4</v>
      </c>
      <c r="D94" s="70">
        <f t="shared" si="13"/>
        <v>425</v>
      </c>
      <c r="E94" s="70">
        <f t="shared" si="12"/>
        <v>475</v>
      </c>
      <c r="F94" s="70"/>
      <c r="G94" s="70">
        <v>300003</v>
      </c>
      <c r="H94" s="70" t="s">
        <v>106</v>
      </c>
      <c r="I94" s="70"/>
      <c r="J94" s="70" t="s">
        <v>36</v>
      </c>
      <c r="K94" s="70">
        <v>1</v>
      </c>
      <c r="L94" s="70" t="s">
        <v>94</v>
      </c>
      <c r="M94" s="70">
        <f t="shared" si="10"/>
        <v>50</v>
      </c>
      <c r="O94" s="67">
        <f t="shared" si="11"/>
        <v>0.0689655172413793</v>
      </c>
      <c r="P94" s="67">
        <v>10210</v>
      </c>
    </row>
    <row r="95" spans="1:16">
      <c r="A95" s="71">
        <v>93</v>
      </c>
      <c r="B95" s="70">
        <v>10210</v>
      </c>
      <c r="C95" s="70">
        <v>4</v>
      </c>
      <c r="D95" s="70">
        <f t="shared" si="13"/>
        <v>475</v>
      </c>
      <c r="E95" s="70">
        <f t="shared" si="12"/>
        <v>525</v>
      </c>
      <c r="F95" s="70"/>
      <c r="G95" s="70">
        <v>400003</v>
      </c>
      <c r="H95" s="70" t="s">
        <v>107</v>
      </c>
      <c r="I95" s="70"/>
      <c r="J95" s="70" t="s">
        <v>38</v>
      </c>
      <c r="K95" s="70">
        <v>1</v>
      </c>
      <c r="L95" s="70" t="s">
        <v>94</v>
      </c>
      <c r="M95" s="70">
        <f t="shared" si="10"/>
        <v>50</v>
      </c>
      <c r="O95" s="67">
        <f t="shared" si="11"/>
        <v>0.0689655172413793</v>
      </c>
      <c r="P95" s="67">
        <v>10210</v>
      </c>
    </row>
    <row r="96" spans="1:16">
      <c r="A96" s="71">
        <v>94</v>
      </c>
      <c r="B96" s="70">
        <v>10210</v>
      </c>
      <c r="C96" s="70">
        <v>4</v>
      </c>
      <c r="D96" s="70">
        <f t="shared" si="13"/>
        <v>525</v>
      </c>
      <c r="E96" s="70">
        <f t="shared" si="12"/>
        <v>575</v>
      </c>
      <c r="F96" s="70"/>
      <c r="G96" s="70">
        <v>500003</v>
      </c>
      <c r="H96" s="70" t="s">
        <v>108</v>
      </c>
      <c r="I96" s="70"/>
      <c r="J96" s="70" t="s">
        <v>40</v>
      </c>
      <c r="K96" s="70">
        <v>1</v>
      </c>
      <c r="L96" s="70" t="s">
        <v>94</v>
      </c>
      <c r="M96" s="70">
        <f t="shared" si="10"/>
        <v>50</v>
      </c>
      <c r="O96" s="67">
        <f t="shared" si="11"/>
        <v>0.0689655172413793</v>
      </c>
      <c r="P96" s="67">
        <v>10210</v>
      </c>
    </row>
    <row r="97" spans="1:16">
      <c r="A97" s="71">
        <v>95</v>
      </c>
      <c r="B97" s="70">
        <v>10210</v>
      </c>
      <c r="C97" s="70">
        <v>4</v>
      </c>
      <c r="D97" s="70">
        <f t="shared" si="13"/>
        <v>575</v>
      </c>
      <c r="E97" s="70">
        <f t="shared" si="12"/>
        <v>625</v>
      </c>
      <c r="F97" s="70"/>
      <c r="G97" s="70">
        <v>600003</v>
      </c>
      <c r="H97" s="70" t="s">
        <v>70</v>
      </c>
      <c r="I97" s="70"/>
      <c r="J97" s="70" t="s">
        <v>42</v>
      </c>
      <c r="K97" s="70">
        <v>1</v>
      </c>
      <c r="L97" s="70" t="s">
        <v>94</v>
      </c>
      <c r="M97" s="70">
        <f t="shared" si="10"/>
        <v>50</v>
      </c>
      <c r="O97" s="67">
        <f t="shared" si="11"/>
        <v>0.0689655172413793</v>
      </c>
      <c r="P97" s="67">
        <v>10210</v>
      </c>
    </row>
    <row r="98" spans="1:16">
      <c r="A98" s="71">
        <v>96</v>
      </c>
      <c r="B98" s="70">
        <v>10210</v>
      </c>
      <c r="C98" s="70">
        <v>4</v>
      </c>
      <c r="D98" s="70">
        <f t="shared" si="13"/>
        <v>625</v>
      </c>
      <c r="E98" s="70">
        <f t="shared" si="12"/>
        <v>675</v>
      </c>
      <c r="F98" s="70"/>
      <c r="G98" s="70">
        <v>700003</v>
      </c>
      <c r="H98" s="70" t="s">
        <v>109</v>
      </c>
      <c r="I98" s="70"/>
      <c r="J98" s="70" t="s">
        <v>44</v>
      </c>
      <c r="K98" s="70">
        <v>1</v>
      </c>
      <c r="L98" s="70" t="s">
        <v>94</v>
      </c>
      <c r="M98" s="70">
        <f t="shared" si="10"/>
        <v>50</v>
      </c>
      <c r="O98" s="67">
        <f t="shared" si="11"/>
        <v>0.0689655172413793</v>
      </c>
      <c r="P98" s="67">
        <v>10210</v>
      </c>
    </row>
    <row r="99" spans="1:16">
      <c r="A99" s="71">
        <v>97</v>
      </c>
      <c r="B99" s="70">
        <v>10210</v>
      </c>
      <c r="C99" s="70">
        <v>4</v>
      </c>
      <c r="D99" s="70">
        <f t="shared" si="13"/>
        <v>675</v>
      </c>
      <c r="E99" s="70">
        <f t="shared" si="12"/>
        <v>725</v>
      </c>
      <c r="F99" s="70"/>
      <c r="G99" s="70">
        <v>800003</v>
      </c>
      <c r="H99" s="70" t="s">
        <v>45</v>
      </c>
      <c r="I99" s="70"/>
      <c r="J99" s="70" t="s">
        <v>46</v>
      </c>
      <c r="K99" s="70">
        <v>1</v>
      </c>
      <c r="L99" s="70" t="s">
        <v>94</v>
      </c>
      <c r="M99" s="70">
        <f t="shared" si="10"/>
        <v>50</v>
      </c>
      <c r="O99" s="67">
        <f t="shared" si="11"/>
        <v>0.0689655172413793</v>
      </c>
      <c r="P99" s="67">
        <v>10210</v>
      </c>
    </row>
    <row r="100" spans="1:16">
      <c r="A100" s="69">
        <v>98</v>
      </c>
      <c r="B100" s="70">
        <v>10210</v>
      </c>
      <c r="C100" s="70">
        <v>4</v>
      </c>
      <c r="D100" s="70">
        <f t="shared" si="13"/>
        <v>725</v>
      </c>
      <c r="E100" s="70">
        <f>D100+L100</f>
        <v>745</v>
      </c>
      <c r="F100" s="70"/>
      <c r="G100" s="70">
        <v>104402</v>
      </c>
      <c r="H100" s="70" t="s">
        <v>49</v>
      </c>
      <c r="I100" s="70"/>
      <c r="J100" s="70" t="s">
        <v>50</v>
      </c>
      <c r="K100" s="70">
        <v>1</v>
      </c>
      <c r="L100" s="70">
        <v>20</v>
      </c>
      <c r="M100" s="70"/>
      <c r="O100" s="67">
        <f>(E100-D100)/$E$27</f>
        <v>0.0180505415162455</v>
      </c>
    </row>
    <row r="101" spans="1:16">
      <c r="A101" s="69">
        <v>99</v>
      </c>
      <c r="B101" s="70">
        <v>10210</v>
      </c>
      <c r="C101" s="70">
        <v>4</v>
      </c>
      <c r="D101" s="70">
        <f t="shared" si="13"/>
        <v>745</v>
      </c>
      <c r="E101" s="70">
        <f>D101+L101</f>
        <v>765</v>
      </c>
      <c r="F101" s="70"/>
      <c r="G101" s="70">
        <v>105504</v>
      </c>
      <c r="H101" s="70" t="s">
        <v>51</v>
      </c>
      <c r="I101" s="70"/>
      <c r="J101" s="70" t="s">
        <v>50</v>
      </c>
      <c r="K101" s="70">
        <v>1</v>
      </c>
      <c r="L101" s="70">
        <v>20</v>
      </c>
      <c r="M101" s="70"/>
      <c r="O101" s="67">
        <f>(E101-D101)/$E$27</f>
        <v>0.0180505415162455</v>
      </c>
    </row>
    <row r="102" spans="1:16">
      <c r="A102" s="69">
        <v>100</v>
      </c>
      <c r="B102" s="70">
        <v>10210</v>
      </c>
      <c r="C102" s="70">
        <v>4</v>
      </c>
      <c r="D102" s="70">
        <f t="shared" si="13"/>
        <v>765</v>
      </c>
      <c r="E102" s="70">
        <f>D102+L102</f>
        <v>785</v>
      </c>
      <c r="F102" s="70"/>
      <c r="G102" s="70">
        <v>102905</v>
      </c>
      <c r="H102" s="70" t="s">
        <v>52</v>
      </c>
      <c r="I102" s="70"/>
      <c r="J102" s="70" t="s">
        <v>50</v>
      </c>
      <c r="K102" s="70">
        <v>1</v>
      </c>
      <c r="L102" s="70">
        <v>20</v>
      </c>
      <c r="M102" s="70"/>
      <c r="O102" s="67">
        <f>(E102-D102)/$E$27</f>
        <v>0.0180505415162455</v>
      </c>
    </row>
    <row r="103" spans="1:16">
      <c r="A103" s="69">
        <v>101</v>
      </c>
      <c r="B103" s="70">
        <v>10210</v>
      </c>
      <c r="C103" s="70">
        <v>4</v>
      </c>
      <c r="D103" s="70">
        <f t="shared" si="13"/>
        <v>785</v>
      </c>
      <c r="E103" s="70">
        <f>D103+L103</f>
        <v>805</v>
      </c>
      <c r="F103" s="70"/>
      <c r="G103" s="70">
        <v>105604</v>
      </c>
      <c r="H103" s="70" t="s">
        <v>53</v>
      </c>
      <c r="I103" s="70"/>
      <c r="J103" s="70" t="s">
        <v>50</v>
      </c>
      <c r="K103" s="70">
        <v>1</v>
      </c>
      <c r="L103" s="70">
        <v>20</v>
      </c>
      <c r="M103" s="70"/>
      <c r="O103" s="67">
        <f>(E103-D103)/$E$27</f>
        <v>0.0180505415162455</v>
      </c>
    </row>
    <row r="104" spans="1:16">
      <c r="A104" s="69">
        <v>102</v>
      </c>
      <c r="B104" s="70">
        <v>10210</v>
      </c>
      <c r="C104" s="70">
        <v>4</v>
      </c>
      <c r="D104" s="70">
        <f t="shared" si="13"/>
        <v>805</v>
      </c>
      <c r="E104" s="70">
        <f>D104+L104</f>
        <v>825</v>
      </c>
      <c r="F104" s="70"/>
      <c r="G104" s="70">
        <v>1021005</v>
      </c>
      <c r="H104" s="70" t="s">
        <v>54</v>
      </c>
      <c r="I104" s="70"/>
      <c r="J104" s="70" t="s">
        <v>50</v>
      </c>
      <c r="K104" s="70">
        <v>1</v>
      </c>
      <c r="L104" s="70">
        <v>20</v>
      </c>
      <c r="M104" s="70"/>
      <c r="O104" s="67">
        <f>(E104-D104)/$E$27</f>
        <v>0.0180505415162455</v>
      </c>
    </row>
    <row r="105" spans="1:16">
      <c r="A105" s="73">
        <v>103</v>
      </c>
      <c r="B105" s="70">
        <v>10300</v>
      </c>
      <c r="C105" s="70">
        <v>5</v>
      </c>
      <c r="D105" s="70">
        <v>0</v>
      </c>
      <c r="E105" s="70">
        <f>M105</f>
        <v>25</v>
      </c>
      <c r="F105" s="70"/>
      <c r="G105" s="70">
        <v>101004</v>
      </c>
      <c r="H105" s="70" t="s">
        <v>110</v>
      </c>
      <c r="I105" s="70"/>
      <c r="J105" s="70" t="s">
        <v>21</v>
      </c>
      <c r="K105" s="70">
        <v>1</v>
      </c>
      <c r="L105" s="70" t="s">
        <v>111</v>
      </c>
      <c r="M105" s="70">
        <f t="shared" ref="M105:M126" si="14">M78</f>
        <v>25</v>
      </c>
      <c r="O105" s="67">
        <f t="shared" ref="O105:O126" si="15">(E105-D105)/$E$234</f>
        <v>0.0344827586206897</v>
      </c>
      <c r="P105" s="67">
        <v>10300</v>
      </c>
    </row>
    <row r="106" spans="1:16">
      <c r="A106" s="73">
        <v>104</v>
      </c>
      <c r="B106" s="70">
        <v>10300</v>
      </c>
      <c r="C106" s="70">
        <v>5</v>
      </c>
      <c r="D106" s="70">
        <f>E105</f>
        <v>25</v>
      </c>
      <c r="E106" s="70">
        <f t="shared" ref="E106:E126" si="16">D106+M106</f>
        <v>50</v>
      </c>
      <c r="F106" s="70"/>
      <c r="G106" s="70">
        <v>102004</v>
      </c>
      <c r="H106" s="70" t="s">
        <v>56</v>
      </c>
      <c r="I106" s="70"/>
      <c r="J106" s="70" t="s">
        <v>21</v>
      </c>
      <c r="K106" s="70">
        <v>1</v>
      </c>
      <c r="L106" s="70" t="s">
        <v>111</v>
      </c>
      <c r="M106" s="70">
        <f t="shared" si="14"/>
        <v>25</v>
      </c>
      <c r="O106" s="67">
        <f t="shared" si="15"/>
        <v>0.0344827586206897</v>
      </c>
      <c r="P106" s="67">
        <v>10300</v>
      </c>
    </row>
    <row r="107" spans="1:16">
      <c r="A107" s="73">
        <v>105</v>
      </c>
      <c r="B107" s="70">
        <v>10300</v>
      </c>
      <c r="C107" s="70">
        <v>5</v>
      </c>
      <c r="D107" s="70">
        <f t="shared" ref="D107:D131" si="17">E106</f>
        <v>50</v>
      </c>
      <c r="E107" s="70">
        <f t="shared" si="16"/>
        <v>75</v>
      </c>
      <c r="F107" s="70"/>
      <c r="G107" s="70">
        <v>102104</v>
      </c>
      <c r="H107" s="70" t="s">
        <v>112</v>
      </c>
      <c r="I107" s="70"/>
      <c r="J107" s="70" t="s">
        <v>21</v>
      </c>
      <c r="K107" s="70">
        <v>1</v>
      </c>
      <c r="L107" s="70" t="s">
        <v>111</v>
      </c>
      <c r="M107" s="70">
        <f t="shared" si="14"/>
        <v>25</v>
      </c>
      <c r="O107" s="67">
        <f t="shared" si="15"/>
        <v>0.0344827586206897</v>
      </c>
      <c r="P107" s="67">
        <v>10300</v>
      </c>
    </row>
    <row r="108" spans="1:16">
      <c r="A108" s="73">
        <v>106</v>
      </c>
      <c r="B108" s="70">
        <v>10300</v>
      </c>
      <c r="C108" s="70">
        <v>5</v>
      </c>
      <c r="D108" s="70">
        <f t="shared" si="17"/>
        <v>75</v>
      </c>
      <c r="E108" s="70">
        <f t="shared" si="16"/>
        <v>100</v>
      </c>
      <c r="F108" s="70"/>
      <c r="G108" s="70">
        <v>103004</v>
      </c>
      <c r="H108" s="70" t="s">
        <v>113</v>
      </c>
      <c r="I108" s="70"/>
      <c r="J108" s="70" t="s">
        <v>21</v>
      </c>
      <c r="K108" s="70">
        <v>1</v>
      </c>
      <c r="L108" s="70" t="s">
        <v>111</v>
      </c>
      <c r="M108" s="70">
        <f t="shared" si="14"/>
        <v>25</v>
      </c>
      <c r="O108" s="67">
        <f t="shared" si="15"/>
        <v>0.0344827586206897</v>
      </c>
      <c r="P108" s="67">
        <v>10300</v>
      </c>
    </row>
    <row r="109" spans="1:16">
      <c r="A109" s="73">
        <v>107</v>
      </c>
      <c r="B109" s="70">
        <v>10300</v>
      </c>
      <c r="C109" s="70">
        <v>5</v>
      </c>
      <c r="D109" s="70">
        <f t="shared" si="17"/>
        <v>100</v>
      </c>
      <c r="E109" s="70">
        <f t="shared" si="16"/>
        <v>125</v>
      </c>
      <c r="F109" s="70"/>
      <c r="G109" s="70">
        <v>104004</v>
      </c>
      <c r="H109" s="70" t="s">
        <v>114</v>
      </c>
      <c r="I109" s="70"/>
      <c r="J109" s="70" t="s">
        <v>21</v>
      </c>
      <c r="K109" s="70">
        <v>1</v>
      </c>
      <c r="L109" s="70" t="s">
        <v>111</v>
      </c>
      <c r="M109" s="70">
        <f t="shared" si="14"/>
        <v>25</v>
      </c>
      <c r="O109" s="67">
        <f t="shared" si="15"/>
        <v>0.0344827586206897</v>
      </c>
      <c r="P109" s="67">
        <v>10300</v>
      </c>
    </row>
    <row r="110" spans="1:16">
      <c r="A110" s="73">
        <v>108</v>
      </c>
      <c r="B110" s="70">
        <v>10300</v>
      </c>
      <c r="C110" s="70">
        <v>5</v>
      </c>
      <c r="D110" s="70">
        <f t="shared" si="17"/>
        <v>125</v>
      </c>
      <c r="E110" s="70">
        <f t="shared" si="16"/>
        <v>150</v>
      </c>
      <c r="F110" s="70"/>
      <c r="G110" s="70">
        <v>104104</v>
      </c>
      <c r="H110" s="70" t="s">
        <v>115</v>
      </c>
      <c r="I110" s="70"/>
      <c r="J110" s="70" t="s">
        <v>21</v>
      </c>
      <c r="K110" s="70">
        <v>1</v>
      </c>
      <c r="L110" s="70" t="s">
        <v>111</v>
      </c>
      <c r="M110" s="70">
        <f t="shared" si="14"/>
        <v>25</v>
      </c>
      <c r="O110" s="67">
        <f t="shared" si="15"/>
        <v>0.0344827586206897</v>
      </c>
      <c r="P110" s="67">
        <v>10300</v>
      </c>
    </row>
    <row r="111" spans="1:16">
      <c r="A111" s="73">
        <v>109</v>
      </c>
      <c r="B111" s="70">
        <v>10300</v>
      </c>
      <c r="C111" s="70">
        <v>5</v>
      </c>
      <c r="D111" s="70">
        <f t="shared" si="17"/>
        <v>150</v>
      </c>
      <c r="E111" s="70">
        <f t="shared" si="16"/>
        <v>175</v>
      </c>
      <c r="F111" s="70"/>
      <c r="G111" s="70">
        <v>105004</v>
      </c>
      <c r="H111" s="70" t="s">
        <v>116</v>
      </c>
      <c r="I111" s="70"/>
      <c r="J111" s="70" t="s">
        <v>21</v>
      </c>
      <c r="K111" s="70">
        <v>1</v>
      </c>
      <c r="L111" s="70" t="s">
        <v>111</v>
      </c>
      <c r="M111" s="70">
        <f t="shared" si="14"/>
        <v>25</v>
      </c>
      <c r="O111" s="67">
        <f t="shared" si="15"/>
        <v>0.0344827586206897</v>
      </c>
      <c r="P111" s="67">
        <v>10300</v>
      </c>
    </row>
    <row r="112" spans="1:16">
      <c r="A112" s="73">
        <v>110</v>
      </c>
      <c r="B112" s="70">
        <v>10300</v>
      </c>
      <c r="C112" s="70">
        <v>5</v>
      </c>
      <c r="D112" s="70">
        <f t="shared" si="17"/>
        <v>175</v>
      </c>
      <c r="E112" s="70">
        <f t="shared" si="16"/>
        <v>200</v>
      </c>
      <c r="F112" s="70"/>
      <c r="G112" s="70">
        <v>106004</v>
      </c>
      <c r="H112" s="70" t="s">
        <v>117</v>
      </c>
      <c r="I112" s="70"/>
      <c r="J112" s="70" t="s">
        <v>21</v>
      </c>
      <c r="K112" s="70">
        <v>1</v>
      </c>
      <c r="L112" s="70" t="s">
        <v>111</v>
      </c>
      <c r="M112" s="70">
        <f t="shared" si="14"/>
        <v>25</v>
      </c>
      <c r="O112" s="67">
        <f t="shared" si="15"/>
        <v>0.0344827586206897</v>
      </c>
      <c r="P112" s="67">
        <v>10300</v>
      </c>
    </row>
    <row r="113" spans="1:16">
      <c r="A113" s="73">
        <v>111</v>
      </c>
      <c r="B113" s="70">
        <v>10300</v>
      </c>
      <c r="C113" s="70">
        <v>5</v>
      </c>
      <c r="D113" s="70">
        <f t="shared" si="17"/>
        <v>200</v>
      </c>
      <c r="E113" s="70">
        <f t="shared" si="16"/>
        <v>225</v>
      </c>
      <c r="F113" s="70"/>
      <c r="G113" s="70">
        <v>109004</v>
      </c>
      <c r="H113" s="70" t="s">
        <v>118</v>
      </c>
      <c r="I113" s="70"/>
      <c r="J113" s="70" t="s">
        <v>21</v>
      </c>
      <c r="K113" s="70">
        <v>1</v>
      </c>
      <c r="L113" s="70" t="s">
        <v>111</v>
      </c>
      <c r="M113" s="70">
        <f t="shared" si="14"/>
        <v>25</v>
      </c>
      <c r="O113" s="67">
        <f t="shared" si="15"/>
        <v>0.0344827586206897</v>
      </c>
      <c r="P113" s="67">
        <v>10300</v>
      </c>
    </row>
    <row r="114" spans="1:16">
      <c r="A114" s="73">
        <v>112</v>
      </c>
      <c r="B114" s="74">
        <v>10300</v>
      </c>
      <c r="C114" s="74">
        <v>5</v>
      </c>
      <c r="D114" s="74">
        <f t="shared" si="17"/>
        <v>225</v>
      </c>
      <c r="E114" s="74">
        <f t="shared" si="16"/>
        <v>250</v>
      </c>
      <c r="F114" s="74"/>
      <c r="G114" s="74">
        <v>110004</v>
      </c>
      <c r="H114" s="74" t="s">
        <v>119</v>
      </c>
      <c r="I114" s="74"/>
      <c r="J114" s="74" t="s">
        <v>21</v>
      </c>
      <c r="K114" s="74">
        <v>1</v>
      </c>
      <c r="L114" s="74" t="s">
        <v>111</v>
      </c>
      <c r="M114" s="74">
        <f t="shared" si="14"/>
        <v>25</v>
      </c>
      <c r="O114" s="67">
        <f t="shared" si="15"/>
        <v>0.0344827586206897</v>
      </c>
      <c r="P114" s="67">
        <v>10300</v>
      </c>
    </row>
    <row r="115" spans="1:16">
      <c r="A115" s="73">
        <v>113</v>
      </c>
      <c r="B115" s="74">
        <v>10300</v>
      </c>
      <c r="C115" s="74">
        <v>5</v>
      </c>
      <c r="D115" s="74">
        <f t="shared" si="17"/>
        <v>250</v>
      </c>
      <c r="E115" s="74">
        <f t="shared" si="16"/>
        <v>275</v>
      </c>
      <c r="F115" s="74"/>
      <c r="G115" s="74">
        <v>111004</v>
      </c>
      <c r="H115" s="74" t="s">
        <v>120</v>
      </c>
      <c r="I115" s="74"/>
      <c r="J115" s="74" t="s">
        <v>21</v>
      </c>
      <c r="K115" s="74">
        <v>1</v>
      </c>
      <c r="L115" s="74" t="s">
        <v>111</v>
      </c>
      <c r="M115" s="74">
        <f t="shared" si="14"/>
        <v>25</v>
      </c>
      <c r="O115" s="67">
        <f t="shared" si="15"/>
        <v>0.0344827586206897</v>
      </c>
      <c r="P115" s="67">
        <v>10300</v>
      </c>
    </row>
    <row r="116" spans="1:16">
      <c r="A116" s="73">
        <v>114</v>
      </c>
      <c r="B116" s="74">
        <v>10300</v>
      </c>
      <c r="C116" s="74">
        <v>5</v>
      </c>
      <c r="D116" s="74">
        <f t="shared" si="17"/>
        <v>275</v>
      </c>
      <c r="E116" s="74">
        <f t="shared" si="16"/>
        <v>300</v>
      </c>
      <c r="F116" s="74"/>
      <c r="G116" s="74">
        <v>112004</v>
      </c>
      <c r="H116" s="74" t="s">
        <v>121</v>
      </c>
      <c r="I116" s="74"/>
      <c r="J116" s="74" t="s">
        <v>21</v>
      </c>
      <c r="K116" s="74">
        <v>1</v>
      </c>
      <c r="L116" s="74" t="s">
        <v>111</v>
      </c>
      <c r="M116" s="74">
        <f t="shared" si="14"/>
        <v>25</v>
      </c>
      <c r="O116" s="67">
        <f t="shared" si="15"/>
        <v>0.0344827586206897</v>
      </c>
      <c r="P116" s="67">
        <v>10300</v>
      </c>
    </row>
    <row r="117" spans="1:16">
      <c r="A117" s="73">
        <v>115</v>
      </c>
      <c r="B117" s="74">
        <v>10300</v>
      </c>
      <c r="C117" s="74">
        <v>5</v>
      </c>
      <c r="D117" s="74">
        <f t="shared" si="17"/>
        <v>300</v>
      </c>
      <c r="E117" s="74">
        <f t="shared" si="16"/>
        <v>325</v>
      </c>
      <c r="F117" s="74"/>
      <c r="G117" s="74">
        <v>102003</v>
      </c>
      <c r="H117" s="74" t="s">
        <v>95</v>
      </c>
      <c r="I117" s="74"/>
      <c r="J117" s="74" t="s">
        <v>21</v>
      </c>
      <c r="K117" s="74">
        <v>1</v>
      </c>
      <c r="L117" s="74" t="s">
        <v>111</v>
      </c>
      <c r="M117" s="74">
        <f t="shared" si="14"/>
        <v>25</v>
      </c>
      <c r="O117" s="67">
        <f t="shared" si="15"/>
        <v>0.0344827586206897</v>
      </c>
      <c r="P117" s="67">
        <v>10300</v>
      </c>
    </row>
    <row r="118" spans="1:16">
      <c r="A118" s="73">
        <v>116</v>
      </c>
      <c r="B118" s="74">
        <v>10300</v>
      </c>
      <c r="C118" s="74">
        <v>5</v>
      </c>
      <c r="D118" s="74">
        <f t="shared" si="17"/>
        <v>325</v>
      </c>
      <c r="E118" s="74">
        <f t="shared" si="16"/>
        <v>350</v>
      </c>
      <c r="F118" s="74"/>
      <c r="G118" s="74">
        <v>114004</v>
      </c>
      <c r="H118" s="74" t="s">
        <v>122</v>
      </c>
      <c r="I118" s="74"/>
      <c r="J118" s="74" t="s">
        <v>21</v>
      </c>
      <c r="K118" s="74">
        <v>1</v>
      </c>
      <c r="L118" s="74" t="s">
        <v>111</v>
      </c>
      <c r="M118" s="74">
        <f t="shared" si="14"/>
        <v>25</v>
      </c>
      <c r="O118" s="67">
        <f t="shared" si="15"/>
        <v>0.0344827586206897</v>
      </c>
      <c r="P118" s="67">
        <v>10300</v>
      </c>
    </row>
    <row r="119" spans="1:16">
      <c r="A119" s="73">
        <v>117</v>
      </c>
      <c r="B119" s="74">
        <v>10300</v>
      </c>
      <c r="C119" s="74">
        <v>5</v>
      </c>
      <c r="D119" s="74">
        <f t="shared" si="17"/>
        <v>350</v>
      </c>
      <c r="E119" s="74">
        <f t="shared" si="16"/>
        <v>375</v>
      </c>
      <c r="F119" s="74"/>
      <c r="G119" s="74">
        <v>115004</v>
      </c>
      <c r="H119" s="74" t="s">
        <v>123</v>
      </c>
      <c r="I119" s="74"/>
      <c r="J119" s="74" t="s">
        <v>21</v>
      </c>
      <c r="K119" s="74">
        <v>1</v>
      </c>
      <c r="L119" s="74" t="s">
        <v>111</v>
      </c>
      <c r="M119" s="74">
        <f t="shared" si="14"/>
        <v>25</v>
      </c>
      <c r="O119" s="67">
        <f t="shared" si="15"/>
        <v>0.0344827586206897</v>
      </c>
      <c r="P119" s="67">
        <v>10300</v>
      </c>
    </row>
    <row r="120" spans="1:16">
      <c r="A120" s="73">
        <v>118</v>
      </c>
      <c r="B120" s="74">
        <v>10310</v>
      </c>
      <c r="C120" s="74">
        <v>5</v>
      </c>
      <c r="D120" s="74">
        <f t="shared" si="17"/>
        <v>375</v>
      </c>
      <c r="E120" s="74">
        <f t="shared" si="16"/>
        <v>425</v>
      </c>
      <c r="F120" s="74"/>
      <c r="G120" s="74">
        <v>200004</v>
      </c>
      <c r="H120" s="74" t="s">
        <v>124</v>
      </c>
      <c r="I120" s="74"/>
      <c r="J120" s="74" t="s">
        <v>34</v>
      </c>
      <c r="K120" s="74">
        <v>1</v>
      </c>
      <c r="L120" s="74" t="s">
        <v>111</v>
      </c>
      <c r="M120" s="74">
        <f t="shared" si="14"/>
        <v>50</v>
      </c>
      <c r="O120" s="67">
        <f t="shared" si="15"/>
        <v>0.0689655172413793</v>
      </c>
      <c r="P120" s="67">
        <v>10310</v>
      </c>
    </row>
    <row r="121" spans="1:16">
      <c r="A121" s="73">
        <v>119</v>
      </c>
      <c r="B121" s="74">
        <v>10310</v>
      </c>
      <c r="C121" s="74">
        <v>5</v>
      </c>
      <c r="D121" s="74">
        <f t="shared" si="17"/>
        <v>425</v>
      </c>
      <c r="E121" s="74">
        <f t="shared" si="16"/>
        <v>475</v>
      </c>
      <c r="F121" s="74"/>
      <c r="G121" s="74">
        <v>300004</v>
      </c>
      <c r="H121" s="74" t="s">
        <v>67</v>
      </c>
      <c r="I121" s="74"/>
      <c r="J121" s="74" t="s">
        <v>36</v>
      </c>
      <c r="K121" s="74">
        <v>1</v>
      </c>
      <c r="L121" s="74" t="s">
        <v>111</v>
      </c>
      <c r="M121" s="74">
        <f t="shared" si="14"/>
        <v>50</v>
      </c>
      <c r="O121" s="67">
        <f t="shared" si="15"/>
        <v>0.0689655172413793</v>
      </c>
      <c r="P121" s="67">
        <v>10310</v>
      </c>
    </row>
    <row r="122" spans="1:16">
      <c r="A122" s="73">
        <v>120</v>
      </c>
      <c r="B122" s="74">
        <v>10310</v>
      </c>
      <c r="C122" s="74">
        <v>5</v>
      </c>
      <c r="D122" s="74">
        <f t="shared" si="17"/>
        <v>475</v>
      </c>
      <c r="E122" s="74">
        <f t="shared" si="16"/>
        <v>525</v>
      </c>
      <c r="F122" s="74"/>
      <c r="G122" s="74">
        <v>400004</v>
      </c>
      <c r="H122" s="74" t="s">
        <v>125</v>
      </c>
      <c r="I122" s="74"/>
      <c r="J122" s="74" t="s">
        <v>38</v>
      </c>
      <c r="K122" s="74">
        <v>1</v>
      </c>
      <c r="L122" s="74" t="s">
        <v>111</v>
      </c>
      <c r="M122" s="74">
        <f t="shared" si="14"/>
        <v>50</v>
      </c>
      <c r="O122" s="67">
        <f t="shared" si="15"/>
        <v>0.0689655172413793</v>
      </c>
      <c r="P122" s="67">
        <v>10310</v>
      </c>
    </row>
    <row r="123" spans="1:16">
      <c r="A123" s="73">
        <v>121</v>
      </c>
      <c r="B123" s="74">
        <v>10310</v>
      </c>
      <c r="C123" s="74">
        <v>5</v>
      </c>
      <c r="D123" s="74">
        <f t="shared" si="17"/>
        <v>525</v>
      </c>
      <c r="E123" s="74">
        <f t="shared" si="16"/>
        <v>575</v>
      </c>
      <c r="F123" s="74"/>
      <c r="G123" s="74">
        <v>500004</v>
      </c>
      <c r="H123" s="74" t="s">
        <v>126</v>
      </c>
      <c r="I123" s="74"/>
      <c r="J123" s="74" t="s">
        <v>40</v>
      </c>
      <c r="K123" s="74">
        <v>1</v>
      </c>
      <c r="L123" s="74" t="s">
        <v>111</v>
      </c>
      <c r="M123" s="74">
        <f t="shared" si="14"/>
        <v>50</v>
      </c>
      <c r="O123" s="67">
        <f t="shared" si="15"/>
        <v>0.0689655172413793</v>
      </c>
      <c r="P123" s="67">
        <v>10310</v>
      </c>
    </row>
    <row r="124" spans="1:16">
      <c r="A124" s="73">
        <v>122</v>
      </c>
      <c r="B124" s="74">
        <v>10310</v>
      </c>
      <c r="C124" s="74">
        <v>5</v>
      </c>
      <c r="D124" s="74">
        <f t="shared" si="17"/>
        <v>575</v>
      </c>
      <c r="E124" s="74">
        <f t="shared" si="16"/>
        <v>625</v>
      </c>
      <c r="F124" s="74"/>
      <c r="G124" s="74">
        <v>600004</v>
      </c>
      <c r="H124" s="74" t="s">
        <v>127</v>
      </c>
      <c r="I124" s="74"/>
      <c r="J124" s="74" t="s">
        <v>42</v>
      </c>
      <c r="K124" s="74">
        <v>1</v>
      </c>
      <c r="L124" s="74" t="s">
        <v>111</v>
      </c>
      <c r="M124" s="74">
        <f t="shared" si="14"/>
        <v>50</v>
      </c>
      <c r="O124" s="67">
        <f t="shared" si="15"/>
        <v>0.0689655172413793</v>
      </c>
      <c r="P124" s="67">
        <v>10310</v>
      </c>
    </row>
    <row r="125" spans="1:16">
      <c r="A125" s="73">
        <v>123</v>
      </c>
      <c r="B125" s="74">
        <v>10310</v>
      </c>
      <c r="C125" s="74">
        <v>5</v>
      </c>
      <c r="D125" s="74">
        <f t="shared" si="17"/>
        <v>625</v>
      </c>
      <c r="E125" s="74">
        <f t="shared" si="16"/>
        <v>675</v>
      </c>
      <c r="F125" s="74"/>
      <c r="G125" s="74">
        <v>700004</v>
      </c>
      <c r="H125" s="74" t="s">
        <v>71</v>
      </c>
      <c r="I125" s="74"/>
      <c r="J125" s="74" t="s">
        <v>44</v>
      </c>
      <c r="K125" s="74">
        <v>1</v>
      </c>
      <c r="L125" s="74" t="s">
        <v>111</v>
      </c>
      <c r="M125" s="74">
        <f t="shared" si="14"/>
        <v>50</v>
      </c>
      <c r="O125" s="67">
        <f t="shared" si="15"/>
        <v>0.0689655172413793</v>
      </c>
      <c r="P125" s="67">
        <v>10310</v>
      </c>
    </row>
    <row r="126" spans="1:16">
      <c r="A126" s="73">
        <v>124</v>
      </c>
      <c r="B126" s="74">
        <v>10310</v>
      </c>
      <c r="C126" s="74">
        <v>5</v>
      </c>
      <c r="D126" s="74">
        <f t="shared" si="17"/>
        <v>675</v>
      </c>
      <c r="E126" s="74">
        <f t="shared" si="16"/>
        <v>725</v>
      </c>
      <c r="F126" s="74"/>
      <c r="G126" s="74">
        <v>800004</v>
      </c>
      <c r="H126" s="74" t="s">
        <v>128</v>
      </c>
      <c r="I126" s="74"/>
      <c r="J126" s="74" t="s">
        <v>46</v>
      </c>
      <c r="K126" s="74">
        <v>1</v>
      </c>
      <c r="L126" s="74" t="s">
        <v>111</v>
      </c>
      <c r="M126" s="74">
        <f t="shared" si="14"/>
        <v>50</v>
      </c>
      <c r="O126" s="67">
        <f t="shared" si="15"/>
        <v>0.0689655172413793</v>
      </c>
      <c r="P126" s="67">
        <v>10310</v>
      </c>
    </row>
    <row r="127" spans="1:16">
      <c r="A127" s="69">
        <v>125</v>
      </c>
      <c r="B127" s="74">
        <v>10310</v>
      </c>
      <c r="C127" s="74">
        <v>4</v>
      </c>
      <c r="D127" s="74">
        <f t="shared" si="17"/>
        <v>725</v>
      </c>
      <c r="E127" s="74">
        <f>D127+L127</f>
        <v>745</v>
      </c>
      <c r="F127" s="74"/>
      <c r="G127" s="74">
        <v>104402</v>
      </c>
      <c r="H127" s="74" t="s">
        <v>49</v>
      </c>
      <c r="I127" s="74"/>
      <c r="J127" s="74" t="s">
        <v>50</v>
      </c>
      <c r="K127" s="74">
        <v>1</v>
      </c>
      <c r="L127" s="74">
        <v>20</v>
      </c>
      <c r="M127" s="74"/>
      <c r="O127" s="67">
        <f>(E127-D127)/$E$27</f>
        <v>0.0180505415162455</v>
      </c>
    </row>
    <row r="128" spans="1:16">
      <c r="A128" s="69">
        <v>126</v>
      </c>
      <c r="B128" s="74">
        <v>10310</v>
      </c>
      <c r="C128" s="74">
        <v>4</v>
      </c>
      <c r="D128" s="74">
        <f t="shared" si="17"/>
        <v>745</v>
      </c>
      <c r="E128" s="74">
        <f>D128+L128</f>
        <v>765</v>
      </c>
      <c r="F128" s="74"/>
      <c r="G128" s="74">
        <v>105504</v>
      </c>
      <c r="H128" s="74" t="s">
        <v>51</v>
      </c>
      <c r="I128" s="74"/>
      <c r="J128" s="74" t="s">
        <v>50</v>
      </c>
      <c r="K128" s="74">
        <v>1</v>
      </c>
      <c r="L128" s="74">
        <v>20</v>
      </c>
      <c r="M128" s="74"/>
      <c r="O128" s="67">
        <f>(E128-D128)/$E$27</f>
        <v>0.0180505415162455</v>
      </c>
    </row>
    <row r="129" spans="1:16">
      <c r="A129" s="69">
        <v>127</v>
      </c>
      <c r="B129" s="74">
        <v>10310</v>
      </c>
      <c r="C129" s="74">
        <v>4</v>
      </c>
      <c r="D129" s="74">
        <f t="shared" si="17"/>
        <v>765</v>
      </c>
      <c r="E129" s="74">
        <f>D129+L129</f>
        <v>785</v>
      </c>
      <c r="F129" s="74"/>
      <c r="G129" s="74">
        <v>102905</v>
      </c>
      <c r="H129" s="74" t="s">
        <v>52</v>
      </c>
      <c r="I129" s="74"/>
      <c r="J129" s="74" t="s">
        <v>50</v>
      </c>
      <c r="K129" s="74">
        <v>1</v>
      </c>
      <c r="L129" s="74">
        <v>20</v>
      </c>
      <c r="M129" s="74"/>
      <c r="O129" s="67">
        <f>(E129-D129)/$E$27</f>
        <v>0.0180505415162455</v>
      </c>
    </row>
    <row r="130" spans="1:16">
      <c r="A130" s="69">
        <v>128</v>
      </c>
      <c r="B130" s="74">
        <v>10310</v>
      </c>
      <c r="C130" s="74">
        <v>4</v>
      </c>
      <c r="D130" s="74">
        <f t="shared" si="17"/>
        <v>785</v>
      </c>
      <c r="E130" s="74">
        <f>D130+L130</f>
        <v>805</v>
      </c>
      <c r="F130" s="74"/>
      <c r="G130" s="74">
        <v>105604</v>
      </c>
      <c r="H130" s="74" t="s">
        <v>53</v>
      </c>
      <c r="I130" s="74"/>
      <c r="J130" s="74" t="s">
        <v>50</v>
      </c>
      <c r="K130" s="74">
        <v>1</v>
      </c>
      <c r="L130" s="74">
        <v>20</v>
      </c>
      <c r="M130" s="74"/>
      <c r="O130" s="67">
        <f>(E130-D130)/$E$27</f>
        <v>0.0180505415162455</v>
      </c>
    </row>
    <row r="131" spans="1:16">
      <c r="A131" s="69">
        <v>129</v>
      </c>
      <c r="B131" s="74">
        <v>10310</v>
      </c>
      <c r="C131" s="74">
        <v>4</v>
      </c>
      <c r="D131" s="74">
        <f t="shared" si="17"/>
        <v>805</v>
      </c>
      <c r="E131" s="74">
        <f>D131+L131</f>
        <v>825</v>
      </c>
      <c r="F131" s="74"/>
      <c r="G131" s="74">
        <v>1021005</v>
      </c>
      <c r="H131" s="74" t="s">
        <v>54</v>
      </c>
      <c r="I131" s="74"/>
      <c r="J131" s="74" t="s">
        <v>50</v>
      </c>
      <c r="K131" s="74">
        <v>1</v>
      </c>
      <c r="L131" s="74">
        <v>20</v>
      </c>
      <c r="M131" s="74"/>
      <c r="O131" s="67">
        <f>(E131-D131)/$E$27</f>
        <v>0.0180505415162455</v>
      </c>
    </row>
    <row r="132" spans="1:16">
      <c r="A132" s="75">
        <v>130</v>
      </c>
      <c r="B132" s="74">
        <v>10400</v>
      </c>
      <c r="C132" s="74">
        <v>5</v>
      </c>
      <c r="D132" s="74">
        <v>0</v>
      </c>
      <c r="E132" s="74">
        <f>M132</f>
        <v>25</v>
      </c>
      <c r="F132" s="74"/>
      <c r="G132" s="74">
        <v>101004</v>
      </c>
      <c r="H132" s="74" t="s">
        <v>110</v>
      </c>
      <c r="I132" s="74"/>
      <c r="J132" s="74" t="s">
        <v>21</v>
      </c>
      <c r="K132" s="74">
        <v>1</v>
      </c>
      <c r="L132" s="74" t="s">
        <v>129</v>
      </c>
      <c r="M132" s="74">
        <f t="shared" ref="M132:M153" si="18">M105</f>
        <v>25</v>
      </c>
      <c r="O132" s="67">
        <f t="shared" ref="O132:O153" si="19">(E132-D132)/$E$234</f>
        <v>0.0344827586206897</v>
      </c>
      <c r="P132" s="67">
        <v>10400</v>
      </c>
    </row>
    <row r="133" spans="1:16">
      <c r="A133" s="75">
        <v>131</v>
      </c>
      <c r="B133" s="74">
        <v>10400</v>
      </c>
      <c r="C133" s="74">
        <v>5</v>
      </c>
      <c r="D133" s="74">
        <f>E132</f>
        <v>25</v>
      </c>
      <c r="E133" s="74">
        <f t="shared" ref="E133:E153" si="20">D133+M133</f>
        <v>50</v>
      </c>
      <c r="F133" s="74"/>
      <c r="G133" s="74">
        <v>102004</v>
      </c>
      <c r="H133" s="74" t="s">
        <v>56</v>
      </c>
      <c r="I133" s="74"/>
      <c r="J133" s="74" t="s">
        <v>21</v>
      </c>
      <c r="K133" s="74">
        <v>1</v>
      </c>
      <c r="L133" s="74" t="s">
        <v>129</v>
      </c>
      <c r="M133" s="74">
        <f t="shared" si="18"/>
        <v>25</v>
      </c>
      <c r="O133" s="67">
        <f t="shared" si="19"/>
        <v>0.0344827586206897</v>
      </c>
      <c r="P133" s="67">
        <v>10400</v>
      </c>
    </row>
    <row r="134" spans="1:16">
      <c r="A134" s="75">
        <v>132</v>
      </c>
      <c r="B134" s="74">
        <v>10400</v>
      </c>
      <c r="C134" s="74">
        <v>5</v>
      </c>
      <c r="D134" s="74">
        <f t="shared" ref="D134:D158" si="21">E133</f>
        <v>50</v>
      </c>
      <c r="E134" s="74">
        <f t="shared" si="20"/>
        <v>75</v>
      </c>
      <c r="F134" s="74"/>
      <c r="G134" s="74">
        <v>102104</v>
      </c>
      <c r="H134" s="74" t="s">
        <v>112</v>
      </c>
      <c r="I134" s="74"/>
      <c r="J134" s="74" t="s">
        <v>21</v>
      </c>
      <c r="K134" s="74">
        <v>1</v>
      </c>
      <c r="L134" s="74" t="s">
        <v>129</v>
      </c>
      <c r="M134" s="74">
        <f t="shared" si="18"/>
        <v>25</v>
      </c>
      <c r="O134" s="67">
        <f t="shared" si="19"/>
        <v>0.0344827586206897</v>
      </c>
      <c r="P134" s="67">
        <v>10400</v>
      </c>
    </row>
    <row r="135" spans="1:16">
      <c r="A135" s="75">
        <v>133</v>
      </c>
      <c r="B135" s="74">
        <v>10400</v>
      </c>
      <c r="C135" s="74">
        <v>5</v>
      </c>
      <c r="D135" s="74">
        <f t="shared" si="21"/>
        <v>75</v>
      </c>
      <c r="E135" s="74">
        <f t="shared" si="20"/>
        <v>100</v>
      </c>
      <c r="F135" s="74"/>
      <c r="G135" s="74">
        <v>103004</v>
      </c>
      <c r="H135" s="74" t="s">
        <v>113</v>
      </c>
      <c r="I135" s="74"/>
      <c r="J135" s="74" t="s">
        <v>21</v>
      </c>
      <c r="K135" s="74">
        <v>1</v>
      </c>
      <c r="L135" s="74" t="s">
        <v>129</v>
      </c>
      <c r="M135" s="74">
        <f t="shared" si="18"/>
        <v>25</v>
      </c>
      <c r="O135" s="67">
        <f t="shared" si="19"/>
        <v>0.0344827586206897</v>
      </c>
      <c r="P135" s="67">
        <v>10400</v>
      </c>
    </row>
    <row r="136" spans="1:16">
      <c r="A136" s="75">
        <v>134</v>
      </c>
      <c r="B136" s="74">
        <v>10400</v>
      </c>
      <c r="C136" s="74">
        <v>5</v>
      </c>
      <c r="D136" s="74">
        <f t="shared" si="21"/>
        <v>100</v>
      </c>
      <c r="E136" s="74">
        <f t="shared" si="20"/>
        <v>125</v>
      </c>
      <c r="F136" s="74"/>
      <c r="G136" s="74">
        <v>104004</v>
      </c>
      <c r="H136" s="74" t="s">
        <v>114</v>
      </c>
      <c r="I136" s="74"/>
      <c r="J136" s="74" t="s">
        <v>21</v>
      </c>
      <c r="K136" s="74">
        <v>1</v>
      </c>
      <c r="L136" s="74" t="s">
        <v>129</v>
      </c>
      <c r="M136" s="74">
        <f t="shared" si="18"/>
        <v>25</v>
      </c>
      <c r="O136" s="67">
        <f t="shared" si="19"/>
        <v>0.0344827586206897</v>
      </c>
      <c r="P136" s="67">
        <v>10400</v>
      </c>
    </row>
    <row r="137" spans="1:16">
      <c r="A137" s="75">
        <v>135</v>
      </c>
      <c r="B137" s="74">
        <v>10400</v>
      </c>
      <c r="C137" s="74">
        <v>5</v>
      </c>
      <c r="D137" s="74">
        <f t="shared" si="21"/>
        <v>125</v>
      </c>
      <c r="E137" s="74">
        <f t="shared" si="20"/>
        <v>150</v>
      </c>
      <c r="F137" s="74"/>
      <c r="G137" s="74">
        <v>104104</v>
      </c>
      <c r="H137" s="74" t="s">
        <v>115</v>
      </c>
      <c r="I137" s="74"/>
      <c r="J137" s="74" t="s">
        <v>21</v>
      </c>
      <c r="K137" s="74">
        <v>1</v>
      </c>
      <c r="L137" s="74" t="s">
        <v>129</v>
      </c>
      <c r="M137" s="74">
        <f t="shared" si="18"/>
        <v>25</v>
      </c>
      <c r="O137" s="67">
        <f t="shared" si="19"/>
        <v>0.0344827586206897</v>
      </c>
      <c r="P137" s="67">
        <v>10400</v>
      </c>
    </row>
    <row r="138" spans="1:16">
      <c r="A138" s="75">
        <v>136</v>
      </c>
      <c r="B138" s="74">
        <v>10400</v>
      </c>
      <c r="C138" s="74">
        <v>5</v>
      </c>
      <c r="D138" s="74">
        <f t="shared" si="21"/>
        <v>150</v>
      </c>
      <c r="E138" s="74">
        <f t="shared" si="20"/>
        <v>175</v>
      </c>
      <c r="F138" s="74"/>
      <c r="G138" s="74">
        <v>105004</v>
      </c>
      <c r="H138" s="74" t="s">
        <v>116</v>
      </c>
      <c r="I138" s="74"/>
      <c r="J138" s="74" t="s">
        <v>21</v>
      </c>
      <c r="K138" s="74">
        <v>1</v>
      </c>
      <c r="L138" s="74" t="s">
        <v>129</v>
      </c>
      <c r="M138" s="74">
        <f t="shared" si="18"/>
        <v>25</v>
      </c>
      <c r="O138" s="67">
        <f t="shared" si="19"/>
        <v>0.0344827586206897</v>
      </c>
      <c r="P138" s="67">
        <v>10400</v>
      </c>
    </row>
    <row r="139" spans="1:16">
      <c r="A139" s="75">
        <v>137</v>
      </c>
      <c r="B139" s="74">
        <v>10400</v>
      </c>
      <c r="C139" s="74">
        <v>5</v>
      </c>
      <c r="D139" s="74">
        <f t="shared" si="21"/>
        <v>175</v>
      </c>
      <c r="E139" s="74">
        <f t="shared" si="20"/>
        <v>200</v>
      </c>
      <c r="F139" s="74"/>
      <c r="G139" s="74">
        <v>106004</v>
      </c>
      <c r="H139" s="74" t="s">
        <v>117</v>
      </c>
      <c r="I139" s="74"/>
      <c r="J139" s="74" t="s">
        <v>21</v>
      </c>
      <c r="K139" s="74">
        <v>1</v>
      </c>
      <c r="L139" s="74" t="s">
        <v>129</v>
      </c>
      <c r="M139" s="74">
        <f t="shared" si="18"/>
        <v>25</v>
      </c>
      <c r="O139" s="67">
        <f t="shared" si="19"/>
        <v>0.0344827586206897</v>
      </c>
      <c r="P139" s="67">
        <v>10400</v>
      </c>
    </row>
    <row r="140" spans="1:16">
      <c r="A140" s="75">
        <v>138</v>
      </c>
      <c r="B140" s="74">
        <v>10400</v>
      </c>
      <c r="C140" s="74">
        <v>5</v>
      </c>
      <c r="D140" s="74">
        <f t="shared" si="21"/>
        <v>200</v>
      </c>
      <c r="E140" s="74">
        <f t="shared" si="20"/>
        <v>225</v>
      </c>
      <c r="F140" s="74"/>
      <c r="G140" s="74">
        <v>109004</v>
      </c>
      <c r="H140" s="74" t="s">
        <v>118</v>
      </c>
      <c r="I140" s="74"/>
      <c r="J140" s="74" t="s">
        <v>21</v>
      </c>
      <c r="K140" s="74">
        <v>1</v>
      </c>
      <c r="L140" s="74" t="s">
        <v>129</v>
      </c>
      <c r="M140" s="74">
        <f t="shared" si="18"/>
        <v>25</v>
      </c>
      <c r="O140" s="67">
        <f t="shared" si="19"/>
        <v>0.0344827586206897</v>
      </c>
      <c r="P140" s="67">
        <v>10400</v>
      </c>
    </row>
    <row r="141" spans="1:16">
      <c r="A141" s="75">
        <v>139</v>
      </c>
      <c r="B141" s="74">
        <v>10400</v>
      </c>
      <c r="C141" s="74">
        <v>5</v>
      </c>
      <c r="D141" s="74">
        <f t="shared" si="21"/>
        <v>225</v>
      </c>
      <c r="E141" s="74">
        <f t="shared" si="20"/>
        <v>250</v>
      </c>
      <c r="F141" s="74"/>
      <c r="G141" s="74">
        <v>110004</v>
      </c>
      <c r="H141" s="74" t="s">
        <v>119</v>
      </c>
      <c r="I141" s="74"/>
      <c r="J141" s="74" t="s">
        <v>21</v>
      </c>
      <c r="K141" s="74">
        <v>1</v>
      </c>
      <c r="L141" s="74" t="s">
        <v>129</v>
      </c>
      <c r="M141" s="74">
        <f t="shared" si="18"/>
        <v>25</v>
      </c>
      <c r="O141" s="67">
        <f t="shared" si="19"/>
        <v>0.0344827586206897</v>
      </c>
      <c r="P141" s="67">
        <v>10400</v>
      </c>
    </row>
    <row r="142" spans="1:16">
      <c r="A142" s="75">
        <v>140</v>
      </c>
      <c r="B142" s="74">
        <v>10400</v>
      </c>
      <c r="C142" s="74">
        <v>5</v>
      </c>
      <c r="D142" s="74">
        <f t="shared" si="21"/>
        <v>250</v>
      </c>
      <c r="E142" s="74">
        <f t="shared" si="20"/>
        <v>275</v>
      </c>
      <c r="F142" s="74"/>
      <c r="G142" s="74">
        <v>111004</v>
      </c>
      <c r="H142" s="74" t="s">
        <v>120</v>
      </c>
      <c r="I142" s="74"/>
      <c r="J142" s="74" t="s">
        <v>21</v>
      </c>
      <c r="K142" s="74">
        <v>1</v>
      </c>
      <c r="L142" s="74" t="s">
        <v>129</v>
      </c>
      <c r="M142" s="74">
        <f t="shared" si="18"/>
        <v>25</v>
      </c>
      <c r="O142" s="67">
        <f t="shared" si="19"/>
        <v>0.0344827586206897</v>
      </c>
      <c r="P142" s="67">
        <v>10400</v>
      </c>
    </row>
    <row r="143" spans="1:16">
      <c r="A143" s="75">
        <v>141</v>
      </c>
      <c r="B143" s="74">
        <v>10400</v>
      </c>
      <c r="C143" s="74">
        <v>5</v>
      </c>
      <c r="D143" s="74">
        <f t="shared" si="21"/>
        <v>275</v>
      </c>
      <c r="E143" s="74">
        <f t="shared" si="20"/>
        <v>300</v>
      </c>
      <c r="F143" s="74"/>
      <c r="G143" s="74">
        <v>112004</v>
      </c>
      <c r="H143" s="74" t="s">
        <v>121</v>
      </c>
      <c r="I143" s="74"/>
      <c r="J143" s="74" t="s">
        <v>21</v>
      </c>
      <c r="K143" s="74">
        <v>1</v>
      </c>
      <c r="L143" s="74" t="s">
        <v>129</v>
      </c>
      <c r="M143" s="74">
        <f t="shared" si="18"/>
        <v>25</v>
      </c>
      <c r="O143" s="67">
        <f t="shared" si="19"/>
        <v>0.0344827586206897</v>
      </c>
      <c r="P143" s="67">
        <v>10400</v>
      </c>
    </row>
    <row r="144" spans="1:16">
      <c r="A144" s="75">
        <v>142</v>
      </c>
      <c r="B144" s="74">
        <v>10400</v>
      </c>
      <c r="C144" s="74">
        <v>5</v>
      </c>
      <c r="D144" s="74">
        <f t="shared" si="21"/>
        <v>300</v>
      </c>
      <c r="E144" s="74">
        <f t="shared" si="20"/>
        <v>325</v>
      </c>
      <c r="F144" s="74"/>
      <c r="G144" s="74">
        <v>102003</v>
      </c>
      <c r="H144" s="74" t="s">
        <v>95</v>
      </c>
      <c r="I144" s="74"/>
      <c r="J144" s="74" t="s">
        <v>21</v>
      </c>
      <c r="K144" s="74">
        <v>1</v>
      </c>
      <c r="L144" s="74" t="s">
        <v>129</v>
      </c>
      <c r="M144" s="74">
        <f t="shared" si="18"/>
        <v>25</v>
      </c>
      <c r="O144" s="67">
        <f t="shared" si="19"/>
        <v>0.0344827586206897</v>
      </c>
      <c r="P144" s="67">
        <v>10400</v>
      </c>
    </row>
    <row r="145" spans="1:16">
      <c r="A145" s="75">
        <v>143</v>
      </c>
      <c r="B145" s="74">
        <v>10400</v>
      </c>
      <c r="C145" s="74">
        <v>5</v>
      </c>
      <c r="D145" s="74">
        <f t="shared" si="21"/>
        <v>325</v>
      </c>
      <c r="E145" s="74">
        <f t="shared" si="20"/>
        <v>350</v>
      </c>
      <c r="F145" s="74"/>
      <c r="G145" s="74">
        <v>114004</v>
      </c>
      <c r="H145" s="74" t="s">
        <v>122</v>
      </c>
      <c r="I145" s="74"/>
      <c r="J145" s="74" t="s">
        <v>21</v>
      </c>
      <c r="K145" s="74">
        <v>1</v>
      </c>
      <c r="L145" s="74" t="s">
        <v>129</v>
      </c>
      <c r="M145" s="74">
        <f t="shared" si="18"/>
        <v>25</v>
      </c>
      <c r="O145" s="67">
        <f t="shared" si="19"/>
        <v>0.0344827586206897</v>
      </c>
      <c r="P145" s="67">
        <v>10400</v>
      </c>
    </row>
    <row r="146" spans="1:16">
      <c r="A146" s="75">
        <v>144</v>
      </c>
      <c r="B146" s="74">
        <v>10400</v>
      </c>
      <c r="C146" s="74">
        <v>5</v>
      </c>
      <c r="D146" s="74">
        <f t="shared" si="21"/>
        <v>350</v>
      </c>
      <c r="E146" s="74">
        <f t="shared" si="20"/>
        <v>375</v>
      </c>
      <c r="F146" s="74"/>
      <c r="G146" s="74">
        <v>115004</v>
      </c>
      <c r="H146" s="74" t="s">
        <v>123</v>
      </c>
      <c r="I146" s="74"/>
      <c r="J146" s="74" t="s">
        <v>21</v>
      </c>
      <c r="K146" s="74">
        <v>1</v>
      </c>
      <c r="L146" s="74" t="s">
        <v>129</v>
      </c>
      <c r="M146" s="74">
        <f t="shared" si="18"/>
        <v>25</v>
      </c>
      <c r="O146" s="67">
        <f t="shared" si="19"/>
        <v>0.0344827586206897</v>
      </c>
      <c r="P146" s="67">
        <v>10400</v>
      </c>
    </row>
    <row r="147" spans="1:16">
      <c r="A147" s="75">
        <v>145</v>
      </c>
      <c r="B147" s="74">
        <v>10410</v>
      </c>
      <c r="C147" s="74">
        <v>5</v>
      </c>
      <c r="D147" s="74">
        <f t="shared" si="21"/>
        <v>375</v>
      </c>
      <c r="E147" s="74">
        <f t="shared" si="20"/>
        <v>425</v>
      </c>
      <c r="F147" s="74"/>
      <c r="G147" s="74">
        <v>200004</v>
      </c>
      <c r="H147" s="74" t="s">
        <v>124</v>
      </c>
      <c r="I147" s="74"/>
      <c r="J147" s="74" t="s">
        <v>34</v>
      </c>
      <c r="K147" s="74">
        <v>1</v>
      </c>
      <c r="L147" s="74" t="s">
        <v>129</v>
      </c>
      <c r="M147" s="74">
        <f t="shared" si="18"/>
        <v>50</v>
      </c>
      <c r="O147" s="67">
        <f t="shared" si="19"/>
        <v>0.0689655172413793</v>
      </c>
      <c r="P147" s="67">
        <v>10410</v>
      </c>
    </row>
    <row r="148" spans="1:16">
      <c r="A148" s="75">
        <v>146</v>
      </c>
      <c r="B148" s="74">
        <v>10410</v>
      </c>
      <c r="C148" s="74">
        <v>5</v>
      </c>
      <c r="D148" s="74">
        <f t="shared" si="21"/>
        <v>425</v>
      </c>
      <c r="E148" s="74">
        <f t="shared" si="20"/>
        <v>475</v>
      </c>
      <c r="F148" s="74"/>
      <c r="G148" s="74">
        <v>300004</v>
      </c>
      <c r="H148" s="74" t="s">
        <v>67</v>
      </c>
      <c r="I148" s="74"/>
      <c r="J148" s="74" t="s">
        <v>36</v>
      </c>
      <c r="K148" s="74">
        <v>1</v>
      </c>
      <c r="L148" s="74" t="s">
        <v>129</v>
      </c>
      <c r="M148" s="74">
        <f t="shared" si="18"/>
        <v>50</v>
      </c>
      <c r="O148" s="67">
        <f t="shared" si="19"/>
        <v>0.0689655172413793</v>
      </c>
      <c r="P148" s="67">
        <v>10410</v>
      </c>
    </row>
    <row r="149" spans="1:16">
      <c r="A149" s="75">
        <v>147</v>
      </c>
      <c r="B149" s="74">
        <v>10410</v>
      </c>
      <c r="C149" s="74">
        <v>5</v>
      </c>
      <c r="D149" s="74">
        <f t="shared" si="21"/>
        <v>475</v>
      </c>
      <c r="E149" s="74">
        <f t="shared" si="20"/>
        <v>525</v>
      </c>
      <c r="F149" s="74"/>
      <c r="G149" s="74">
        <v>400004</v>
      </c>
      <c r="H149" s="74" t="s">
        <v>125</v>
      </c>
      <c r="I149" s="74"/>
      <c r="J149" s="74" t="s">
        <v>38</v>
      </c>
      <c r="K149" s="74">
        <v>1</v>
      </c>
      <c r="L149" s="74" t="s">
        <v>129</v>
      </c>
      <c r="M149" s="74">
        <f t="shared" si="18"/>
        <v>50</v>
      </c>
      <c r="O149" s="67">
        <f t="shared" si="19"/>
        <v>0.0689655172413793</v>
      </c>
      <c r="P149" s="67">
        <v>10410</v>
      </c>
    </row>
    <row r="150" spans="1:16">
      <c r="A150" s="75">
        <v>148</v>
      </c>
      <c r="B150" s="74">
        <v>10410</v>
      </c>
      <c r="C150" s="74">
        <v>5</v>
      </c>
      <c r="D150" s="74">
        <f t="shared" si="21"/>
        <v>525</v>
      </c>
      <c r="E150" s="74">
        <f t="shared" si="20"/>
        <v>575</v>
      </c>
      <c r="F150" s="74"/>
      <c r="G150" s="74">
        <v>500004</v>
      </c>
      <c r="H150" s="74" t="s">
        <v>126</v>
      </c>
      <c r="I150" s="74"/>
      <c r="J150" s="74" t="s">
        <v>40</v>
      </c>
      <c r="K150" s="74">
        <v>1</v>
      </c>
      <c r="L150" s="74" t="s">
        <v>129</v>
      </c>
      <c r="M150" s="74">
        <f t="shared" si="18"/>
        <v>50</v>
      </c>
      <c r="O150" s="67">
        <f t="shared" si="19"/>
        <v>0.0689655172413793</v>
      </c>
      <c r="P150" s="67">
        <v>10410</v>
      </c>
    </row>
    <row r="151" spans="1:16">
      <c r="A151" s="75">
        <v>149</v>
      </c>
      <c r="B151" s="74">
        <v>10410</v>
      </c>
      <c r="C151" s="74">
        <v>5</v>
      </c>
      <c r="D151" s="74">
        <f t="shared" si="21"/>
        <v>575</v>
      </c>
      <c r="E151" s="74">
        <f t="shared" si="20"/>
        <v>625</v>
      </c>
      <c r="F151" s="74"/>
      <c r="G151" s="74">
        <v>600004</v>
      </c>
      <c r="H151" s="74" t="s">
        <v>127</v>
      </c>
      <c r="I151" s="74"/>
      <c r="J151" s="74" t="s">
        <v>42</v>
      </c>
      <c r="K151" s="74">
        <v>1</v>
      </c>
      <c r="L151" s="74" t="s">
        <v>129</v>
      </c>
      <c r="M151" s="74">
        <f t="shared" si="18"/>
        <v>50</v>
      </c>
      <c r="O151" s="67">
        <f t="shared" si="19"/>
        <v>0.0689655172413793</v>
      </c>
      <c r="P151" s="67">
        <v>10410</v>
      </c>
    </row>
    <row r="152" spans="1:16">
      <c r="A152" s="75">
        <v>150</v>
      </c>
      <c r="B152" s="74">
        <v>10410</v>
      </c>
      <c r="C152" s="74">
        <v>5</v>
      </c>
      <c r="D152" s="74">
        <f t="shared" si="21"/>
        <v>625</v>
      </c>
      <c r="E152" s="74">
        <f t="shared" si="20"/>
        <v>675</v>
      </c>
      <c r="F152" s="74"/>
      <c r="G152" s="74">
        <v>700004</v>
      </c>
      <c r="H152" s="74" t="s">
        <v>71</v>
      </c>
      <c r="I152" s="74"/>
      <c r="J152" s="74" t="s">
        <v>44</v>
      </c>
      <c r="K152" s="74">
        <v>1</v>
      </c>
      <c r="L152" s="74" t="s">
        <v>129</v>
      </c>
      <c r="M152" s="74">
        <f t="shared" si="18"/>
        <v>50</v>
      </c>
      <c r="O152" s="67">
        <f t="shared" si="19"/>
        <v>0.0689655172413793</v>
      </c>
      <c r="P152" s="67">
        <v>10410</v>
      </c>
    </row>
    <row r="153" spans="1:16">
      <c r="A153" s="75">
        <v>151</v>
      </c>
      <c r="B153" s="74">
        <v>10410</v>
      </c>
      <c r="C153" s="74">
        <v>5</v>
      </c>
      <c r="D153" s="74">
        <f t="shared" si="21"/>
        <v>675</v>
      </c>
      <c r="E153" s="74">
        <f t="shared" si="20"/>
        <v>725</v>
      </c>
      <c r="F153" s="74"/>
      <c r="G153" s="74">
        <v>800004</v>
      </c>
      <c r="H153" s="74" t="s">
        <v>128</v>
      </c>
      <c r="I153" s="74"/>
      <c r="J153" s="74" t="s">
        <v>46</v>
      </c>
      <c r="K153" s="74">
        <v>1</v>
      </c>
      <c r="L153" s="74" t="s">
        <v>129</v>
      </c>
      <c r="M153" s="74">
        <f t="shared" si="18"/>
        <v>50</v>
      </c>
      <c r="O153" s="67">
        <f t="shared" si="19"/>
        <v>0.0689655172413793</v>
      </c>
      <c r="P153" s="67">
        <v>10410</v>
      </c>
    </row>
    <row r="154" spans="1:16">
      <c r="A154" s="69">
        <v>152</v>
      </c>
      <c r="B154" s="74">
        <v>10410</v>
      </c>
      <c r="C154" s="74">
        <v>4</v>
      </c>
      <c r="D154" s="74">
        <f t="shared" si="21"/>
        <v>725</v>
      </c>
      <c r="E154" s="74">
        <f>D154+L154</f>
        <v>745</v>
      </c>
      <c r="F154" s="74"/>
      <c r="G154" s="74">
        <v>104402</v>
      </c>
      <c r="H154" s="74" t="s">
        <v>49</v>
      </c>
      <c r="I154" s="74"/>
      <c r="J154" s="74" t="s">
        <v>50</v>
      </c>
      <c r="K154" s="74">
        <v>1</v>
      </c>
      <c r="L154" s="74">
        <v>20</v>
      </c>
      <c r="M154" s="74"/>
      <c r="O154" s="67">
        <f>(E154-D154)/$E$27</f>
        <v>0.0180505415162455</v>
      </c>
    </row>
    <row r="155" spans="1:16">
      <c r="A155" s="69">
        <v>153</v>
      </c>
      <c r="B155" s="74">
        <v>10410</v>
      </c>
      <c r="C155" s="74">
        <v>4</v>
      </c>
      <c r="D155" s="74">
        <f t="shared" si="21"/>
        <v>745</v>
      </c>
      <c r="E155" s="74">
        <f>D155+L155</f>
        <v>765</v>
      </c>
      <c r="F155" s="74"/>
      <c r="G155" s="74">
        <v>105504</v>
      </c>
      <c r="H155" s="74" t="s">
        <v>51</v>
      </c>
      <c r="I155" s="74"/>
      <c r="J155" s="74" t="s">
        <v>50</v>
      </c>
      <c r="K155" s="74">
        <v>1</v>
      </c>
      <c r="L155" s="74">
        <v>20</v>
      </c>
      <c r="M155" s="74"/>
      <c r="O155" s="67">
        <f>(E155-D155)/$E$27</f>
        <v>0.0180505415162455</v>
      </c>
    </row>
    <row r="156" spans="1:16">
      <c r="A156" s="69">
        <v>154</v>
      </c>
      <c r="B156" s="74">
        <v>10410</v>
      </c>
      <c r="C156" s="74">
        <v>4</v>
      </c>
      <c r="D156" s="74">
        <f t="shared" si="21"/>
        <v>765</v>
      </c>
      <c r="E156" s="74">
        <f>D156+L156</f>
        <v>785</v>
      </c>
      <c r="F156" s="74"/>
      <c r="G156" s="74">
        <v>102905</v>
      </c>
      <c r="H156" s="74" t="s">
        <v>52</v>
      </c>
      <c r="I156" s="74"/>
      <c r="J156" s="74" t="s">
        <v>50</v>
      </c>
      <c r="K156" s="74">
        <v>1</v>
      </c>
      <c r="L156" s="74">
        <v>20</v>
      </c>
      <c r="M156" s="74"/>
      <c r="O156" s="67">
        <f>(E156-D156)/$E$27</f>
        <v>0.0180505415162455</v>
      </c>
    </row>
    <row r="157" spans="1:16">
      <c r="A157" s="69">
        <v>155</v>
      </c>
      <c r="B157" s="74">
        <v>10410</v>
      </c>
      <c r="C157" s="74">
        <v>4</v>
      </c>
      <c r="D157" s="74">
        <f t="shared" si="21"/>
        <v>785</v>
      </c>
      <c r="E157" s="74">
        <f>D157+L157</f>
        <v>805</v>
      </c>
      <c r="F157" s="74"/>
      <c r="G157" s="74">
        <v>105604</v>
      </c>
      <c r="H157" s="74" t="s">
        <v>53</v>
      </c>
      <c r="I157" s="74"/>
      <c r="J157" s="74" t="s">
        <v>50</v>
      </c>
      <c r="K157" s="74">
        <v>1</v>
      </c>
      <c r="L157" s="74">
        <v>20</v>
      </c>
      <c r="M157" s="74"/>
      <c r="O157" s="67">
        <f>(E157-D157)/$E$27</f>
        <v>0.0180505415162455</v>
      </c>
    </row>
    <row r="158" spans="1:16">
      <c r="A158" s="69">
        <v>156</v>
      </c>
      <c r="B158" s="74">
        <v>10410</v>
      </c>
      <c r="C158" s="74">
        <v>4</v>
      </c>
      <c r="D158" s="74">
        <f t="shared" si="21"/>
        <v>805</v>
      </c>
      <c r="E158" s="74">
        <f>D158+L158</f>
        <v>825</v>
      </c>
      <c r="F158" s="74"/>
      <c r="G158" s="74">
        <v>1021005</v>
      </c>
      <c r="H158" s="74" t="s">
        <v>54</v>
      </c>
      <c r="I158" s="74"/>
      <c r="J158" s="74" t="s">
        <v>50</v>
      </c>
      <c r="K158" s="74">
        <v>1</v>
      </c>
      <c r="L158" s="74">
        <v>20</v>
      </c>
      <c r="M158" s="74"/>
      <c r="O158" s="67">
        <f>(E158-D158)/$E$27</f>
        <v>0.0180505415162455</v>
      </c>
    </row>
    <row r="159" spans="1:16">
      <c r="A159" s="76">
        <v>157</v>
      </c>
      <c r="B159" s="74">
        <v>10500</v>
      </c>
      <c r="C159" s="74">
        <v>5</v>
      </c>
      <c r="D159" s="74">
        <v>0</v>
      </c>
      <c r="E159" s="74">
        <f>M159</f>
        <v>25</v>
      </c>
      <c r="F159" s="74"/>
      <c r="G159" s="74">
        <v>101005</v>
      </c>
      <c r="H159" s="74" t="s">
        <v>130</v>
      </c>
      <c r="I159" s="74"/>
      <c r="J159" s="74" t="s">
        <v>21</v>
      </c>
      <c r="K159" s="74">
        <v>1</v>
      </c>
      <c r="L159" s="74" t="s">
        <v>131</v>
      </c>
      <c r="M159" s="74">
        <f t="shared" ref="M159:M180" si="22">M132</f>
        <v>25</v>
      </c>
      <c r="O159" s="67">
        <f t="shared" ref="O159:O180" si="23">(E159-D159)/$E$234</f>
        <v>0.0344827586206897</v>
      </c>
      <c r="P159" s="67">
        <v>10500</v>
      </c>
    </row>
    <row r="160" spans="1:16">
      <c r="A160" s="76">
        <v>158</v>
      </c>
      <c r="B160" s="74">
        <v>10500</v>
      </c>
      <c r="C160" s="74">
        <v>5</v>
      </c>
      <c r="D160" s="74">
        <f>E159</f>
        <v>25</v>
      </c>
      <c r="E160" s="74">
        <f t="shared" ref="E160:E180" si="24">D160+M160</f>
        <v>50</v>
      </c>
      <c r="F160" s="74"/>
      <c r="G160" s="74">
        <v>102005</v>
      </c>
      <c r="H160" s="74" t="s">
        <v>132</v>
      </c>
      <c r="I160" s="74"/>
      <c r="J160" s="74" t="s">
        <v>21</v>
      </c>
      <c r="K160" s="74">
        <v>1</v>
      </c>
      <c r="L160" s="74" t="s">
        <v>131</v>
      </c>
      <c r="M160" s="74">
        <f t="shared" si="22"/>
        <v>25</v>
      </c>
      <c r="O160" s="67">
        <f t="shared" si="23"/>
        <v>0.0344827586206897</v>
      </c>
      <c r="P160" s="67">
        <v>10500</v>
      </c>
    </row>
    <row r="161" spans="1:16">
      <c r="A161" s="76">
        <v>159</v>
      </c>
      <c r="B161" s="74">
        <v>10500</v>
      </c>
      <c r="C161" s="74">
        <v>5</v>
      </c>
      <c r="D161" s="74">
        <f t="shared" ref="D161:D185" si="25">E160</f>
        <v>50</v>
      </c>
      <c r="E161" s="74">
        <f t="shared" si="24"/>
        <v>75</v>
      </c>
      <c r="F161" s="74"/>
      <c r="G161" s="74">
        <v>102105</v>
      </c>
      <c r="H161" s="74" t="s">
        <v>133</v>
      </c>
      <c r="I161" s="74"/>
      <c r="J161" s="74" t="s">
        <v>21</v>
      </c>
      <c r="K161" s="74">
        <v>1</v>
      </c>
      <c r="L161" s="74" t="s">
        <v>131</v>
      </c>
      <c r="M161" s="74">
        <f t="shared" si="22"/>
        <v>25</v>
      </c>
      <c r="O161" s="67">
        <f t="shared" si="23"/>
        <v>0.0344827586206897</v>
      </c>
      <c r="P161" s="67">
        <v>10500</v>
      </c>
    </row>
    <row r="162" spans="1:16">
      <c r="A162" s="76">
        <v>160</v>
      </c>
      <c r="B162" s="74">
        <v>10500</v>
      </c>
      <c r="C162" s="74">
        <v>5</v>
      </c>
      <c r="D162" s="74">
        <f t="shared" si="25"/>
        <v>75</v>
      </c>
      <c r="E162" s="74">
        <f t="shared" si="24"/>
        <v>100</v>
      </c>
      <c r="F162" s="74"/>
      <c r="G162" s="74">
        <v>103005</v>
      </c>
      <c r="H162" s="74" t="s">
        <v>134</v>
      </c>
      <c r="I162" s="74"/>
      <c r="J162" s="74" t="s">
        <v>21</v>
      </c>
      <c r="K162" s="74">
        <v>1</v>
      </c>
      <c r="L162" s="74" t="s">
        <v>131</v>
      </c>
      <c r="M162" s="74">
        <f t="shared" si="22"/>
        <v>25</v>
      </c>
      <c r="O162" s="67">
        <f t="shared" si="23"/>
        <v>0.0344827586206897</v>
      </c>
      <c r="P162" s="67">
        <v>10500</v>
      </c>
    </row>
    <row r="163" spans="1:16">
      <c r="A163" s="76">
        <v>161</v>
      </c>
      <c r="B163" s="74">
        <v>10500</v>
      </c>
      <c r="C163" s="74">
        <v>5</v>
      </c>
      <c r="D163" s="74">
        <f t="shared" si="25"/>
        <v>100</v>
      </c>
      <c r="E163" s="74">
        <f t="shared" si="24"/>
        <v>125</v>
      </c>
      <c r="F163" s="74"/>
      <c r="G163" s="74">
        <v>104005</v>
      </c>
      <c r="H163" s="74" t="s">
        <v>135</v>
      </c>
      <c r="I163" s="74"/>
      <c r="J163" s="74" t="s">
        <v>21</v>
      </c>
      <c r="K163" s="74">
        <v>1</v>
      </c>
      <c r="L163" s="74" t="s">
        <v>131</v>
      </c>
      <c r="M163" s="74">
        <f t="shared" si="22"/>
        <v>25</v>
      </c>
      <c r="O163" s="67">
        <f t="shared" si="23"/>
        <v>0.0344827586206897</v>
      </c>
      <c r="P163" s="67">
        <v>10500</v>
      </c>
    </row>
    <row r="164" spans="1:16">
      <c r="A164" s="76">
        <v>162</v>
      </c>
      <c r="B164" s="74">
        <v>10500</v>
      </c>
      <c r="C164" s="74">
        <v>5</v>
      </c>
      <c r="D164" s="74">
        <f t="shared" si="25"/>
        <v>125</v>
      </c>
      <c r="E164" s="74">
        <f t="shared" si="24"/>
        <v>150</v>
      </c>
      <c r="F164" s="74"/>
      <c r="G164" s="74">
        <v>104105</v>
      </c>
      <c r="H164" s="74" t="s">
        <v>136</v>
      </c>
      <c r="I164" s="74"/>
      <c r="J164" s="74" t="s">
        <v>21</v>
      </c>
      <c r="K164" s="74">
        <v>1</v>
      </c>
      <c r="L164" s="74" t="s">
        <v>131</v>
      </c>
      <c r="M164" s="74">
        <f t="shared" si="22"/>
        <v>25</v>
      </c>
      <c r="O164" s="67">
        <f t="shared" si="23"/>
        <v>0.0344827586206897</v>
      </c>
      <c r="P164" s="67">
        <v>10500</v>
      </c>
    </row>
    <row r="165" spans="1:16">
      <c r="A165" s="76">
        <v>163</v>
      </c>
      <c r="B165" s="74">
        <v>10500</v>
      </c>
      <c r="C165" s="74">
        <v>5</v>
      </c>
      <c r="D165" s="74">
        <f t="shared" si="25"/>
        <v>150</v>
      </c>
      <c r="E165" s="74">
        <f t="shared" si="24"/>
        <v>175</v>
      </c>
      <c r="F165" s="74"/>
      <c r="G165" s="74">
        <v>105005</v>
      </c>
      <c r="H165" s="74" t="s">
        <v>137</v>
      </c>
      <c r="I165" s="74"/>
      <c r="J165" s="74" t="s">
        <v>21</v>
      </c>
      <c r="K165" s="74">
        <v>1</v>
      </c>
      <c r="L165" s="74" t="s">
        <v>131</v>
      </c>
      <c r="M165" s="74">
        <f t="shared" si="22"/>
        <v>25</v>
      </c>
      <c r="O165" s="67">
        <f t="shared" si="23"/>
        <v>0.0344827586206897</v>
      </c>
      <c r="P165" s="67">
        <v>10500</v>
      </c>
    </row>
    <row r="166" spans="1:16">
      <c r="A166" s="76">
        <v>164</v>
      </c>
      <c r="B166" s="74">
        <v>10500</v>
      </c>
      <c r="C166" s="74">
        <v>5</v>
      </c>
      <c r="D166" s="74">
        <f t="shared" si="25"/>
        <v>175</v>
      </c>
      <c r="E166" s="74">
        <f t="shared" si="24"/>
        <v>200</v>
      </c>
      <c r="F166" s="74"/>
      <c r="G166" s="74">
        <v>106005</v>
      </c>
      <c r="H166" s="74" t="s">
        <v>138</v>
      </c>
      <c r="I166" s="74"/>
      <c r="J166" s="74" t="s">
        <v>21</v>
      </c>
      <c r="K166" s="74">
        <v>1</v>
      </c>
      <c r="L166" s="74" t="s">
        <v>131</v>
      </c>
      <c r="M166" s="74">
        <f t="shared" si="22"/>
        <v>25</v>
      </c>
      <c r="O166" s="67">
        <f t="shared" si="23"/>
        <v>0.0344827586206897</v>
      </c>
      <c r="P166" s="67">
        <v>10500</v>
      </c>
    </row>
    <row r="167" spans="1:16">
      <c r="A167" s="76">
        <v>165</v>
      </c>
      <c r="B167" s="74">
        <v>10500</v>
      </c>
      <c r="C167" s="74">
        <v>5</v>
      </c>
      <c r="D167" s="74">
        <f t="shared" si="25"/>
        <v>200</v>
      </c>
      <c r="E167" s="74">
        <f t="shared" si="24"/>
        <v>225</v>
      </c>
      <c r="F167" s="74"/>
      <c r="G167" s="74">
        <v>109005</v>
      </c>
      <c r="H167" s="74" t="s">
        <v>139</v>
      </c>
      <c r="I167" s="74"/>
      <c r="J167" s="74" t="s">
        <v>21</v>
      </c>
      <c r="K167" s="74">
        <v>1</v>
      </c>
      <c r="L167" s="74" t="s">
        <v>131</v>
      </c>
      <c r="M167" s="74">
        <f t="shared" si="22"/>
        <v>25</v>
      </c>
      <c r="O167" s="67">
        <f t="shared" si="23"/>
        <v>0.0344827586206897</v>
      </c>
      <c r="P167" s="67">
        <v>10500</v>
      </c>
    </row>
    <row r="168" spans="1:16">
      <c r="A168" s="76">
        <v>166</v>
      </c>
      <c r="B168" s="74">
        <v>10500</v>
      </c>
      <c r="C168" s="74">
        <v>5</v>
      </c>
      <c r="D168" s="74">
        <f t="shared" si="25"/>
        <v>225</v>
      </c>
      <c r="E168" s="74">
        <f t="shared" si="24"/>
        <v>250</v>
      </c>
      <c r="F168" s="74"/>
      <c r="G168" s="74">
        <v>110005</v>
      </c>
      <c r="H168" s="74" t="s">
        <v>140</v>
      </c>
      <c r="I168" s="74"/>
      <c r="J168" s="74" t="s">
        <v>21</v>
      </c>
      <c r="K168" s="74">
        <v>1</v>
      </c>
      <c r="L168" s="74" t="s">
        <v>131</v>
      </c>
      <c r="M168" s="74">
        <f t="shared" si="22"/>
        <v>25</v>
      </c>
      <c r="O168" s="67">
        <f t="shared" si="23"/>
        <v>0.0344827586206897</v>
      </c>
      <c r="P168" s="67">
        <v>10500</v>
      </c>
    </row>
    <row r="169" spans="1:16">
      <c r="A169" s="76">
        <v>167</v>
      </c>
      <c r="B169" s="74">
        <v>10500</v>
      </c>
      <c r="C169" s="74">
        <v>5</v>
      </c>
      <c r="D169" s="74">
        <f t="shared" si="25"/>
        <v>250</v>
      </c>
      <c r="E169" s="74">
        <f t="shared" si="24"/>
        <v>275</v>
      </c>
      <c r="F169" s="74"/>
      <c r="G169" s="74">
        <v>111005</v>
      </c>
      <c r="H169" s="74" t="s">
        <v>141</v>
      </c>
      <c r="I169" s="74"/>
      <c r="J169" s="74" t="s">
        <v>21</v>
      </c>
      <c r="K169" s="74">
        <v>1</v>
      </c>
      <c r="L169" s="74" t="s">
        <v>131</v>
      </c>
      <c r="M169" s="74">
        <f t="shared" si="22"/>
        <v>25</v>
      </c>
      <c r="O169" s="67">
        <f t="shared" si="23"/>
        <v>0.0344827586206897</v>
      </c>
      <c r="P169" s="67">
        <v>10500</v>
      </c>
    </row>
    <row r="170" spans="1:16">
      <c r="A170" s="76">
        <v>168</v>
      </c>
      <c r="B170" s="74">
        <v>10500</v>
      </c>
      <c r="C170" s="74">
        <v>5</v>
      </c>
      <c r="D170" s="74">
        <f t="shared" si="25"/>
        <v>275</v>
      </c>
      <c r="E170" s="74">
        <f t="shared" si="24"/>
        <v>300</v>
      </c>
      <c r="F170" s="74"/>
      <c r="G170" s="74">
        <v>112005</v>
      </c>
      <c r="H170" s="74" t="s">
        <v>142</v>
      </c>
      <c r="I170" s="74"/>
      <c r="J170" s="74" t="s">
        <v>21</v>
      </c>
      <c r="K170" s="74">
        <v>1</v>
      </c>
      <c r="L170" s="74" t="s">
        <v>131</v>
      </c>
      <c r="M170" s="74">
        <f t="shared" si="22"/>
        <v>25</v>
      </c>
      <c r="O170" s="67">
        <f t="shared" si="23"/>
        <v>0.0344827586206897</v>
      </c>
      <c r="P170" s="67">
        <v>10500</v>
      </c>
    </row>
    <row r="171" spans="1:16">
      <c r="A171" s="76">
        <v>169</v>
      </c>
      <c r="B171" s="74">
        <v>10500</v>
      </c>
      <c r="C171" s="74">
        <v>5</v>
      </c>
      <c r="D171" s="74">
        <f t="shared" si="25"/>
        <v>300</v>
      </c>
      <c r="E171" s="74">
        <f t="shared" si="24"/>
        <v>325</v>
      </c>
      <c r="F171" s="74"/>
      <c r="G171" s="74">
        <v>112005</v>
      </c>
      <c r="H171" s="74" t="s">
        <v>142</v>
      </c>
      <c r="I171" s="74"/>
      <c r="J171" s="74" t="s">
        <v>21</v>
      </c>
      <c r="K171" s="74">
        <v>1</v>
      </c>
      <c r="L171" s="74" t="s">
        <v>131</v>
      </c>
      <c r="M171" s="74">
        <f t="shared" si="22"/>
        <v>25</v>
      </c>
      <c r="O171" s="67">
        <f t="shared" si="23"/>
        <v>0.0344827586206897</v>
      </c>
      <c r="P171" s="67">
        <v>10500</v>
      </c>
    </row>
    <row r="172" spans="1:16">
      <c r="A172" s="76">
        <v>170</v>
      </c>
      <c r="B172" s="74">
        <v>10500</v>
      </c>
      <c r="C172" s="74">
        <v>5</v>
      </c>
      <c r="D172" s="74">
        <f t="shared" si="25"/>
        <v>325</v>
      </c>
      <c r="E172" s="74">
        <f t="shared" si="24"/>
        <v>350</v>
      </c>
      <c r="F172" s="74"/>
      <c r="G172" s="74">
        <v>114005</v>
      </c>
      <c r="H172" s="74" t="s">
        <v>143</v>
      </c>
      <c r="I172" s="74"/>
      <c r="J172" s="74" t="s">
        <v>21</v>
      </c>
      <c r="K172" s="74">
        <v>1</v>
      </c>
      <c r="L172" s="74" t="s">
        <v>131</v>
      </c>
      <c r="M172" s="74">
        <f t="shared" si="22"/>
        <v>25</v>
      </c>
      <c r="O172" s="67">
        <f t="shared" si="23"/>
        <v>0.0344827586206897</v>
      </c>
      <c r="P172" s="67">
        <v>10500</v>
      </c>
    </row>
    <row r="173" spans="1:16">
      <c r="A173" s="76">
        <v>171</v>
      </c>
      <c r="B173" s="74">
        <v>10500</v>
      </c>
      <c r="C173" s="74">
        <v>5</v>
      </c>
      <c r="D173" s="74">
        <f t="shared" si="25"/>
        <v>350</v>
      </c>
      <c r="E173" s="74">
        <f t="shared" si="24"/>
        <v>375</v>
      </c>
      <c r="F173" s="74"/>
      <c r="G173" s="74">
        <v>115005</v>
      </c>
      <c r="H173" s="74" t="s">
        <v>144</v>
      </c>
      <c r="I173" s="74"/>
      <c r="J173" s="74" t="s">
        <v>21</v>
      </c>
      <c r="K173" s="74">
        <v>1</v>
      </c>
      <c r="L173" s="74" t="s">
        <v>131</v>
      </c>
      <c r="M173" s="74">
        <f t="shared" si="22"/>
        <v>25</v>
      </c>
      <c r="O173" s="67">
        <f t="shared" si="23"/>
        <v>0.0344827586206897</v>
      </c>
      <c r="P173" s="67">
        <v>10500</v>
      </c>
    </row>
    <row r="174" spans="1:16">
      <c r="A174" s="76">
        <v>172</v>
      </c>
      <c r="B174" s="74">
        <v>10510</v>
      </c>
      <c r="C174" s="74">
        <v>5</v>
      </c>
      <c r="D174" s="74">
        <f t="shared" si="25"/>
        <v>375</v>
      </c>
      <c r="E174" s="74">
        <f t="shared" si="24"/>
        <v>425</v>
      </c>
      <c r="F174" s="74"/>
      <c r="G174" s="74">
        <v>200005</v>
      </c>
      <c r="H174" s="74" t="s">
        <v>145</v>
      </c>
      <c r="I174" s="74"/>
      <c r="J174" s="74" t="s">
        <v>34</v>
      </c>
      <c r="K174" s="74">
        <v>1</v>
      </c>
      <c r="L174" s="74" t="s">
        <v>131</v>
      </c>
      <c r="M174" s="74">
        <f t="shared" si="22"/>
        <v>50</v>
      </c>
      <c r="O174" s="67">
        <f t="shared" si="23"/>
        <v>0.0689655172413793</v>
      </c>
      <c r="P174" s="67">
        <v>10510</v>
      </c>
    </row>
    <row r="175" spans="1:16">
      <c r="A175" s="76">
        <v>173</v>
      </c>
      <c r="B175" s="74">
        <v>10510</v>
      </c>
      <c r="C175" s="74">
        <v>5</v>
      </c>
      <c r="D175" s="74">
        <f t="shared" si="25"/>
        <v>425</v>
      </c>
      <c r="E175" s="74">
        <f t="shared" si="24"/>
        <v>475</v>
      </c>
      <c r="F175" s="74"/>
      <c r="G175" s="74">
        <v>300005</v>
      </c>
      <c r="H175" s="74" t="s">
        <v>146</v>
      </c>
      <c r="I175" s="74"/>
      <c r="J175" s="74" t="s">
        <v>36</v>
      </c>
      <c r="K175" s="74">
        <v>1</v>
      </c>
      <c r="L175" s="74" t="s">
        <v>131</v>
      </c>
      <c r="M175" s="74">
        <f t="shared" si="22"/>
        <v>50</v>
      </c>
      <c r="O175" s="67">
        <f t="shared" si="23"/>
        <v>0.0689655172413793</v>
      </c>
      <c r="P175" s="67">
        <v>10510</v>
      </c>
    </row>
    <row r="176" spans="1:16">
      <c r="A176" s="76">
        <v>174</v>
      </c>
      <c r="B176" s="74">
        <v>10510</v>
      </c>
      <c r="C176" s="74">
        <v>5</v>
      </c>
      <c r="D176" s="74">
        <f t="shared" si="25"/>
        <v>475</v>
      </c>
      <c r="E176" s="74">
        <f t="shared" si="24"/>
        <v>525</v>
      </c>
      <c r="F176" s="74"/>
      <c r="G176" s="74">
        <v>400005</v>
      </c>
      <c r="H176" s="74" t="s">
        <v>147</v>
      </c>
      <c r="I176" s="74"/>
      <c r="J176" s="74" t="s">
        <v>38</v>
      </c>
      <c r="K176" s="74">
        <v>1</v>
      </c>
      <c r="L176" s="74" t="s">
        <v>131</v>
      </c>
      <c r="M176" s="74">
        <f t="shared" si="22"/>
        <v>50</v>
      </c>
      <c r="O176" s="67">
        <f t="shared" si="23"/>
        <v>0.0689655172413793</v>
      </c>
      <c r="P176" s="67">
        <v>10510</v>
      </c>
    </row>
    <row r="177" spans="1:16">
      <c r="A177" s="76">
        <v>175</v>
      </c>
      <c r="B177" s="74">
        <v>10510</v>
      </c>
      <c r="C177" s="74">
        <v>5</v>
      </c>
      <c r="D177" s="74">
        <f t="shared" si="25"/>
        <v>525</v>
      </c>
      <c r="E177" s="74">
        <f t="shared" si="24"/>
        <v>575</v>
      </c>
      <c r="F177" s="74"/>
      <c r="G177" s="74">
        <v>500005</v>
      </c>
      <c r="H177" s="74" t="s">
        <v>148</v>
      </c>
      <c r="I177" s="74"/>
      <c r="J177" s="74" t="s">
        <v>40</v>
      </c>
      <c r="K177" s="74">
        <v>1</v>
      </c>
      <c r="L177" s="74" t="s">
        <v>131</v>
      </c>
      <c r="M177" s="74">
        <f t="shared" si="22"/>
        <v>50</v>
      </c>
      <c r="O177" s="67">
        <f t="shared" si="23"/>
        <v>0.0689655172413793</v>
      </c>
      <c r="P177" s="67">
        <v>10510</v>
      </c>
    </row>
    <row r="178" spans="1:16">
      <c r="A178" s="76">
        <v>176</v>
      </c>
      <c r="B178" s="74">
        <v>10510</v>
      </c>
      <c r="C178" s="74">
        <v>5</v>
      </c>
      <c r="D178" s="74">
        <f t="shared" si="25"/>
        <v>575</v>
      </c>
      <c r="E178" s="74">
        <f t="shared" si="24"/>
        <v>625</v>
      </c>
      <c r="F178" s="74"/>
      <c r="G178" s="74">
        <v>600005</v>
      </c>
      <c r="H178" s="74" t="s">
        <v>149</v>
      </c>
      <c r="I178" s="74"/>
      <c r="J178" s="74" t="s">
        <v>42</v>
      </c>
      <c r="K178" s="74">
        <v>1</v>
      </c>
      <c r="L178" s="74" t="s">
        <v>131</v>
      </c>
      <c r="M178" s="74">
        <f t="shared" si="22"/>
        <v>50</v>
      </c>
      <c r="O178" s="67">
        <f t="shared" si="23"/>
        <v>0.0689655172413793</v>
      </c>
      <c r="P178" s="67">
        <v>10510</v>
      </c>
    </row>
    <row r="179" spans="1:16">
      <c r="A179" s="76">
        <v>177</v>
      </c>
      <c r="B179" s="74">
        <v>10510</v>
      </c>
      <c r="C179" s="74">
        <v>5</v>
      </c>
      <c r="D179" s="74">
        <f t="shared" si="25"/>
        <v>625</v>
      </c>
      <c r="E179" s="74">
        <f t="shared" si="24"/>
        <v>675</v>
      </c>
      <c r="F179" s="74"/>
      <c r="G179" s="74">
        <v>700005</v>
      </c>
      <c r="H179" s="74" t="s">
        <v>150</v>
      </c>
      <c r="I179" s="74"/>
      <c r="J179" s="74" t="s">
        <v>44</v>
      </c>
      <c r="K179" s="74">
        <v>1</v>
      </c>
      <c r="L179" s="74" t="s">
        <v>131</v>
      </c>
      <c r="M179" s="74">
        <f t="shared" si="22"/>
        <v>50</v>
      </c>
      <c r="O179" s="67">
        <f t="shared" si="23"/>
        <v>0.0689655172413793</v>
      </c>
      <c r="P179" s="67">
        <v>10510</v>
      </c>
    </row>
    <row r="180" spans="1:16">
      <c r="A180" s="76">
        <v>178</v>
      </c>
      <c r="B180" s="74">
        <v>10510</v>
      </c>
      <c r="C180" s="74">
        <v>5</v>
      </c>
      <c r="D180" s="74">
        <f t="shared" si="25"/>
        <v>675</v>
      </c>
      <c r="E180" s="74">
        <f t="shared" si="24"/>
        <v>725</v>
      </c>
      <c r="F180" s="74"/>
      <c r="G180" s="74">
        <v>800005</v>
      </c>
      <c r="H180" s="74" t="s">
        <v>151</v>
      </c>
      <c r="I180" s="74"/>
      <c r="J180" s="74" t="s">
        <v>46</v>
      </c>
      <c r="K180" s="74">
        <v>1</v>
      </c>
      <c r="L180" s="74" t="s">
        <v>131</v>
      </c>
      <c r="M180" s="74">
        <f t="shared" si="22"/>
        <v>50</v>
      </c>
      <c r="O180" s="67">
        <f t="shared" si="23"/>
        <v>0.0689655172413793</v>
      </c>
      <c r="P180" s="67">
        <v>10510</v>
      </c>
    </row>
    <row r="181" spans="1:16">
      <c r="A181" s="69">
        <v>179</v>
      </c>
      <c r="B181" s="74">
        <v>10510</v>
      </c>
      <c r="C181" s="74">
        <v>4</v>
      </c>
      <c r="D181" s="74">
        <f t="shared" si="25"/>
        <v>725</v>
      </c>
      <c r="E181" s="74">
        <f>D181+L181</f>
        <v>745</v>
      </c>
      <c r="F181" s="74"/>
      <c r="G181" s="74">
        <v>104402</v>
      </c>
      <c r="H181" s="74" t="s">
        <v>49</v>
      </c>
      <c r="I181" s="74"/>
      <c r="J181" s="74" t="s">
        <v>50</v>
      </c>
      <c r="K181" s="74">
        <v>1</v>
      </c>
      <c r="L181" s="74">
        <v>20</v>
      </c>
      <c r="M181" s="74"/>
      <c r="O181" s="67">
        <f>(E181-D181)/$E$27</f>
        <v>0.0180505415162455</v>
      </c>
    </row>
    <row r="182" spans="1:16">
      <c r="A182" s="69">
        <v>180</v>
      </c>
      <c r="B182" s="74">
        <v>10510</v>
      </c>
      <c r="C182" s="74">
        <v>4</v>
      </c>
      <c r="D182" s="74">
        <f t="shared" si="25"/>
        <v>745</v>
      </c>
      <c r="E182" s="74">
        <f>D182+L182</f>
        <v>765</v>
      </c>
      <c r="F182" s="74"/>
      <c r="G182" s="74">
        <v>105504</v>
      </c>
      <c r="H182" s="74" t="s">
        <v>51</v>
      </c>
      <c r="I182" s="74"/>
      <c r="J182" s="74" t="s">
        <v>50</v>
      </c>
      <c r="K182" s="74">
        <v>1</v>
      </c>
      <c r="L182" s="74">
        <v>20</v>
      </c>
      <c r="M182" s="74"/>
      <c r="O182" s="67">
        <f>(E182-D182)/$E$27</f>
        <v>0.0180505415162455</v>
      </c>
    </row>
    <row r="183" spans="1:16">
      <c r="A183" s="69">
        <v>181</v>
      </c>
      <c r="B183" s="74">
        <v>10510</v>
      </c>
      <c r="C183" s="74">
        <v>4</v>
      </c>
      <c r="D183" s="74">
        <f t="shared" si="25"/>
        <v>765</v>
      </c>
      <c r="E183" s="74">
        <f>D183+L183</f>
        <v>785</v>
      </c>
      <c r="F183" s="74"/>
      <c r="G183" s="74">
        <v>102905</v>
      </c>
      <c r="H183" s="74" t="s">
        <v>52</v>
      </c>
      <c r="I183" s="74"/>
      <c r="J183" s="74" t="s">
        <v>50</v>
      </c>
      <c r="K183" s="74">
        <v>1</v>
      </c>
      <c r="L183" s="74">
        <v>20</v>
      </c>
      <c r="M183" s="74"/>
      <c r="O183" s="67">
        <f>(E183-D183)/$E$27</f>
        <v>0.0180505415162455</v>
      </c>
    </row>
    <row r="184" spans="1:16">
      <c r="A184" s="69">
        <v>182</v>
      </c>
      <c r="B184" s="74">
        <v>10510</v>
      </c>
      <c r="C184" s="74">
        <v>4</v>
      </c>
      <c r="D184" s="74">
        <f t="shared" si="25"/>
        <v>785</v>
      </c>
      <c r="E184" s="74">
        <f>D184+L184</f>
        <v>805</v>
      </c>
      <c r="F184" s="74"/>
      <c r="G184" s="74">
        <v>105604</v>
      </c>
      <c r="H184" s="74" t="s">
        <v>53</v>
      </c>
      <c r="I184" s="74"/>
      <c r="J184" s="74" t="s">
        <v>50</v>
      </c>
      <c r="K184" s="74">
        <v>1</v>
      </c>
      <c r="L184" s="74">
        <v>20</v>
      </c>
      <c r="M184" s="74"/>
      <c r="O184" s="67">
        <f>(E184-D184)/$E$27</f>
        <v>0.0180505415162455</v>
      </c>
    </row>
    <row r="185" spans="1:16">
      <c r="A185" s="69">
        <v>183</v>
      </c>
      <c r="B185" s="74">
        <v>10510</v>
      </c>
      <c r="C185" s="74">
        <v>4</v>
      </c>
      <c r="D185" s="74">
        <f t="shared" si="25"/>
        <v>805</v>
      </c>
      <c r="E185" s="74">
        <f>D185+L185</f>
        <v>825</v>
      </c>
      <c r="F185" s="74"/>
      <c r="G185" s="74">
        <v>1021005</v>
      </c>
      <c r="H185" s="74" t="s">
        <v>54</v>
      </c>
      <c r="I185" s="74"/>
      <c r="J185" s="74" t="s">
        <v>50</v>
      </c>
      <c r="K185" s="74">
        <v>1</v>
      </c>
      <c r="L185" s="74">
        <v>20</v>
      </c>
      <c r="M185" s="74"/>
      <c r="O185" s="67">
        <f>(E185-D185)/$E$27</f>
        <v>0.0180505415162455</v>
      </c>
    </row>
    <row r="186" spans="1:16">
      <c r="A186" s="77">
        <v>184</v>
      </c>
      <c r="B186" s="74">
        <v>10600</v>
      </c>
      <c r="C186" s="74">
        <v>5</v>
      </c>
      <c r="D186" s="74">
        <v>0</v>
      </c>
      <c r="E186" s="74">
        <f>M186</f>
        <v>25</v>
      </c>
      <c r="F186" s="74"/>
      <c r="G186" s="74">
        <v>101006</v>
      </c>
      <c r="H186" s="74" t="s">
        <v>152</v>
      </c>
      <c r="I186" s="74"/>
      <c r="J186" s="74" t="s">
        <v>21</v>
      </c>
      <c r="K186" s="74">
        <v>1</v>
      </c>
      <c r="L186" s="74" t="s">
        <v>153</v>
      </c>
      <c r="M186" s="74">
        <f t="shared" ref="M186:M207" si="26">M159</f>
        <v>25</v>
      </c>
      <c r="O186" s="67">
        <f t="shared" ref="O186:O207" si="27">(E186-D186)/$E$234</f>
        <v>0.0344827586206897</v>
      </c>
      <c r="P186" s="67">
        <v>10600</v>
      </c>
    </row>
    <row r="187" spans="1:16">
      <c r="A187" s="77">
        <v>185</v>
      </c>
      <c r="B187" s="74">
        <v>10600</v>
      </c>
      <c r="C187" s="74">
        <v>5</v>
      </c>
      <c r="D187" s="74">
        <f>E186</f>
        <v>25</v>
      </c>
      <c r="E187" s="74">
        <f t="shared" ref="E187:E207" si="28">D187+M187</f>
        <v>50</v>
      </c>
      <c r="F187" s="74"/>
      <c r="G187" s="74">
        <v>102006</v>
      </c>
      <c r="H187" s="74" t="s">
        <v>154</v>
      </c>
      <c r="I187" s="74"/>
      <c r="J187" s="74" t="s">
        <v>21</v>
      </c>
      <c r="K187" s="74">
        <v>1</v>
      </c>
      <c r="L187" s="74" t="s">
        <v>153</v>
      </c>
      <c r="M187" s="74">
        <f t="shared" si="26"/>
        <v>25</v>
      </c>
      <c r="O187" s="67">
        <f t="shared" si="27"/>
        <v>0.0344827586206897</v>
      </c>
      <c r="P187" s="67">
        <v>10600</v>
      </c>
    </row>
    <row r="188" spans="1:16">
      <c r="A188" s="77">
        <v>186</v>
      </c>
      <c r="B188" s="74">
        <v>10600</v>
      </c>
      <c r="C188" s="74">
        <v>5</v>
      </c>
      <c r="D188" s="74">
        <f t="shared" ref="D188:D212" si="29">E187</f>
        <v>50</v>
      </c>
      <c r="E188" s="74">
        <f t="shared" si="28"/>
        <v>75</v>
      </c>
      <c r="F188" s="74"/>
      <c r="G188" s="74">
        <v>102106</v>
      </c>
      <c r="H188" s="74" t="s">
        <v>155</v>
      </c>
      <c r="I188" s="74"/>
      <c r="J188" s="74" t="s">
        <v>21</v>
      </c>
      <c r="K188" s="74">
        <v>1</v>
      </c>
      <c r="L188" s="74" t="s">
        <v>153</v>
      </c>
      <c r="M188" s="74">
        <f t="shared" si="26"/>
        <v>25</v>
      </c>
      <c r="O188" s="67">
        <f t="shared" si="27"/>
        <v>0.0344827586206897</v>
      </c>
      <c r="P188" s="67">
        <v>10600</v>
      </c>
    </row>
    <row r="189" spans="1:16">
      <c r="A189" s="77">
        <v>187</v>
      </c>
      <c r="B189" s="74">
        <v>10600</v>
      </c>
      <c r="C189" s="74">
        <v>5</v>
      </c>
      <c r="D189" s="74">
        <f t="shared" si="29"/>
        <v>75</v>
      </c>
      <c r="E189" s="74">
        <f t="shared" si="28"/>
        <v>100</v>
      </c>
      <c r="F189" s="74"/>
      <c r="G189" s="74">
        <v>103006</v>
      </c>
      <c r="H189" s="74" t="s">
        <v>156</v>
      </c>
      <c r="I189" s="74"/>
      <c r="J189" s="74" t="s">
        <v>21</v>
      </c>
      <c r="K189" s="74">
        <v>1</v>
      </c>
      <c r="L189" s="74" t="s">
        <v>153</v>
      </c>
      <c r="M189" s="74">
        <f t="shared" si="26"/>
        <v>25</v>
      </c>
      <c r="O189" s="67">
        <f t="shared" si="27"/>
        <v>0.0344827586206897</v>
      </c>
      <c r="P189" s="67">
        <v>10600</v>
      </c>
    </row>
    <row r="190" spans="1:16">
      <c r="A190" s="77">
        <v>188</v>
      </c>
      <c r="B190" s="74">
        <v>10600</v>
      </c>
      <c r="C190" s="74">
        <v>5</v>
      </c>
      <c r="D190" s="74">
        <f t="shared" si="29"/>
        <v>100</v>
      </c>
      <c r="E190" s="74">
        <f t="shared" si="28"/>
        <v>125</v>
      </c>
      <c r="F190" s="74"/>
      <c r="G190" s="74">
        <v>104006</v>
      </c>
      <c r="H190" s="74" t="s">
        <v>157</v>
      </c>
      <c r="I190" s="74"/>
      <c r="J190" s="74" t="s">
        <v>21</v>
      </c>
      <c r="K190" s="74">
        <v>1</v>
      </c>
      <c r="L190" s="74" t="s">
        <v>153</v>
      </c>
      <c r="M190" s="74">
        <f t="shared" si="26"/>
        <v>25</v>
      </c>
      <c r="O190" s="67">
        <f t="shared" si="27"/>
        <v>0.0344827586206897</v>
      </c>
      <c r="P190" s="67">
        <v>10600</v>
      </c>
    </row>
    <row r="191" spans="1:16">
      <c r="A191" s="77">
        <v>189</v>
      </c>
      <c r="B191" s="74">
        <v>10600</v>
      </c>
      <c r="C191" s="74">
        <v>5</v>
      </c>
      <c r="D191" s="74">
        <f t="shared" si="29"/>
        <v>125</v>
      </c>
      <c r="E191" s="74">
        <f t="shared" si="28"/>
        <v>150</v>
      </c>
      <c r="F191" s="74"/>
      <c r="G191" s="74">
        <v>104106</v>
      </c>
      <c r="H191" s="74" t="s">
        <v>158</v>
      </c>
      <c r="I191" s="74"/>
      <c r="J191" s="74" t="s">
        <v>21</v>
      </c>
      <c r="K191" s="74">
        <v>1</v>
      </c>
      <c r="L191" s="74" t="s">
        <v>153</v>
      </c>
      <c r="M191" s="74">
        <f t="shared" si="26"/>
        <v>25</v>
      </c>
      <c r="O191" s="67">
        <f t="shared" si="27"/>
        <v>0.0344827586206897</v>
      </c>
      <c r="P191" s="67">
        <v>10600</v>
      </c>
    </row>
    <row r="192" spans="1:16">
      <c r="A192" s="77">
        <v>190</v>
      </c>
      <c r="B192" s="74">
        <v>10600</v>
      </c>
      <c r="C192" s="74">
        <v>5</v>
      </c>
      <c r="D192" s="74">
        <f t="shared" si="29"/>
        <v>150</v>
      </c>
      <c r="E192" s="74">
        <f t="shared" si="28"/>
        <v>175</v>
      </c>
      <c r="F192" s="74"/>
      <c r="G192" s="74">
        <v>105006</v>
      </c>
      <c r="H192" s="74" t="s">
        <v>159</v>
      </c>
      <c r="I192" s="74"/>
      <c r="J192" s="74" t="s">
        <v>21</v>
      </c>
      <c r="K192" s="74">
        <v>1</v>
      </c>
      <c r="L192" s="74" t="s">
        <v>153</v>
      </c>
      <c r="M192" s="74">
        <f t="shared" si="26"/>
        <v>25</v>
      </c>
      <c r="O192" s="67">
        <f t="shared" si="27"/>
        <v>0.0344827586206897</v>
      </c>
      <c r="P192" s="67">
        <v>10600</v>
      </c>
    </row>
    <row r="193" spans="1:16">
      <c r="A193" s="77">
        <v>191</v>
      </c>
      <c r="B193" s="74">
        <v>10600</v>
      </c>
      <c r="C193" s="74">
        <v>5</v>
      </c>
      <c r="D193" s="74">
        <f t="shared" si="29"/>
        <v>175</v>
      </c>
      <c r="E193" s="74">
        <f t="shared" si="28"/>
        <v>200</v>
      </c>
      <c r="F193" s="74"/>
      <c r="G193" s="74">
        <v>106006</v>
      </c>
      <c r="H193" s="74" t="s">
        <v>160</v>
      </c>
      <c r="I193" s="74"/>
      <c r="J193" s="74" t="s">
        <v>21</v>
      </c>
      <c r="K193" s="74">
        <v>1</v>
      </c>
      <c r="L193" s="74" t="s">
        <v>153</v>
      </c>
      <c r="M193" s="74">
        <f t="shared" si="26"/>
        <v>25</v>
      </c>
      <c r="O193" s="67">
        <f t="shared" si="27"/>
        <v>0.0344827586206897</v>
      </c>
      <c r="P193" s="67">
        <v>10600</v>
      </c>
    </row>
    <row r="194" spans="1:16">
      <c r="A194" s="77">
        <v>192</v>
      </c>
      <c r="B194" s="74">
        <v>10600</v>
      </c>
      <c r="C194" s="74">
        <v>5</v>
      </c>
      <c r="D194" s="74">
        <f t="shared" si="29"/>
        <v>200</v>
      </c>
      <c r="E194" s="74">
        <f t="shared" si="28"/>
        <v>225</v>
      </c>
      <c r="F194" s="74"/>
      <c r="G194" s="74">
        <v>109006</v>
      </c>
      <c r="H194" s="74" t="s">
        <v>161</v>
      </c>
      <c r="I194" s="74"/>
      <c r="J194" s="74" t="s">
        <v>21</v>
      </c>
      <c r="K194" s="74">
        <v>1</v>
      </c>
      <c r="L194" s="74" t="s">
        <v>153</v>
      </c>
      <c r="M194" s="74">
        <f t="shared" si="26"/>
        <v>25</v>
      </c>
      <c r="O194" s="67">
        <f t="shared" si="27"/>
        <v>0.0344827586206897</v>
      </c>
      <c r="P194" s="67">
        <v>10600</v>
      </c>
    </row>
    <row r="195" spans="1:16">
      <c r="A195" s="77">
        <v>193</v>
      </c>
      <c r="B195" s="74">
        <v>10600</v>
      </c>
      <c r="C195" s="74">
        <v>5</v>
      </c>
      <c r="D195" s="74">
        <f t="shared" si="29"/>
        <v>225</v>
      </c>
      <c r="E195" s="74">
        <f t="shared" si="28"/>
        <v>250</v>
      </c>
      <c r="F195" s="74"/>
      <c r="G195" s="74">
        <v>110006</v>
      </c>
      <c r="H195" s="74" t="s">
        <v>162</v>
      </c>
      <c r="I195" s="74"/>
      <c r="J195" s="74" t="s">
        <v>21</v>
      </c>
      <c r="K195" s="74">
        <v>1</v>
      </c>
      <c r="L195" s="74" t="s">
        <v>153</v>
      </c>
      <c r="M195" s="74">
        <f t="shared" si="26"/>
        <v>25</v>
      </c>
      <c r="O195" s="67">
        <f t="shared" si="27"/>
        <v>0.0344827586206897</v>
      </c>
      <c r="P195" s="67">
        <v>10600</v>
      </c>
    </row>
    <row r="196" spans="1:16">
      <c r="A196" s="77">
        <v>194</v>
      </c>
      <c r="B196" s="74">
        <v>10600</v>
      </c>
      <c r="C196" s="74">
        <v>5</v>
      </c>
      <c r="D196" s="74">
        <f t="shared" si="29"/>
        <v>250</v>
      </c>
      <c r="E196" s="74">
        <f t="shared" si="28"/>
        <v>275</v>
      </c>
      <c r="F196" s="74"/>
      <c r="G196" s="74">
        <v>111006</v>
      </c>
      <c r="H196" s="74" t="s">
        <v>163</v>
      </c>
      <c r="I196" s="74"/>
      <c r="J196" s="74" t="s">
        <v>21</v>
      </c>
      <c r="K196" s="74">
        <v>1</v>
      </c>
      <c r="L196" s="74" t="s">
        <v>153</v>
      </c>
      <c r="M196" s="74">
        <f t="shared" si="26"/>
        <v>25</v>
      </c>
      <c r="O196" s="67">
        <f t="shared" si="27"/>
        <v>0.0344827586206897</v>
      </c>
      <c r="P196" s="67">
        <v>10600</v>
      </c>
    </row>
    <row r="197" spans="1:16">
      <c r="A197" s="77">
        <v>195</v>
      </c>
      <c r="B197" s="74">
        <v>10600</v>
      </c>
      <c r="C197" s="74">
        <v>5</v>
      </c>
      <c r="D197" s="74">
        <f t="shared" si="29"/>
        <v>275</v>
      </c>
      <c r="E197" s="74">
        <f t="shared" si="28"/>
        <v>300</v>
      </c>
      <c r="F197" s="74"/>
      <c r="G197" s="74">
        <v>112006</v>
      </c>
      <c r="H197" s="74" t="s">
        <v>164</v>
      </c>
      <c r="I197" s="74"/>
      <c r="J197" s="74" t="s">
        <v>21</v>
      </c>
      <c r="K197" s="74">
        <v>1</v>
      </c>
      <c r="L197" s="74" t="s">
        <v>153</v>
      </c>
      <c r="M197" s="74">
        <f t="shared" si="26"/>
        <v>25</v>
      </c>
      <c r="O197" s="67">
        <f t="shared" si="27"/>
        <v>0.0344827586206897</v>
      </c>
      <c r="P197" s="67">
        <v>10600</v>
      </c>
    </row>
    <row r="198" spans="1:16">
      <c r="A198" s="77">
        <v>196</v>
      </c>
      <c r="B198" s="74">
        <v>10600</v>
      </c>
      <c r="C198" s="74">
        <v>5</v>
      </c>
      <c r="D198" s="74">
        <f t="shared" si="29"/>
        <v>300</v>
      </c>
      <c r="E198" s="74">
        <f t="shared" si="28"/>
        <v>325</v>
      </c>
      <c r="F198" s="74"/>
      <c r="G198" s="74">
        <v>112006</v>
      </c>
      <c r="H198" s="74" t="s">
        <v>164</v>
      </c>
      <c r="I198" s="74"/>
      <c r="J198" s="74" t="s">
        <v>21</v>
      </c>
      <c r="K198" s="74">
        <v>1</v>
      </c>
      <c r="L198" s="74" t="s">
        <v>153</v>
      </c>
      <c r="M198" s="74">
        <f t="shared" si="26"/>
        <v>25</v>
      </c>
      <c r="O198" s="67">
        <f t="shared" si="27"/>
        <v>0.0344827586206897</v>
      </c>
      <c r="P198" s="67">
        <v>10600</v>
      </c>
    </row>
    <row r="199" spans="1:16">
      <c r="A199" s="77">
        <v>197</v>
      </c>
      <c r="B199" s="74">
        <v>10600</v>
      </c>
      <c r="C199" s="74">
        <v>5</v>
      </c>
      <c r="D199" s="74">
        <f t="shared" si="29"/>
        <v>325</v>
      </c>
      <c r="E199" s="74">
        <f t="shared" si="28"/>
        <v>350</v>
      </c>
      <c r="F199" s="74"/>
      <c r="G199" s="74">
        <v>114006</v>
      </c>
      <c r="H199" s="74" t="s">
        <v>165</v>
      </c>
      <c r="I199" s="74"/>
      <c r="J199" s="74" t="s">
        <v>21</v>
      </c>
      <c r="K199" s="74">
        <v>1</v>
      </c>
      <c r="L199" s="74" t="s">
        <v>153</v>
      </c>
      <c r="M199" s="74">
        <f t="shared" si="26"/>
        <v>25</v>
      </c>
      <c r="O199" s="67">
        <f t="shared" si="27"/>
        <v>0.0344827586206897</v>
      </c>
      <c r="P199" s="67">
        <v>10600</v>
      </c>
    </row>
    <row r="200" spans="1:16">
      <c r="A200" s="77">
        <v>198</v>
      </c>
      <c r="B200" s="74">
        <v>10600</v>
      </c>
      <c r="C200" s="74">
        <v>5</v>
      </c>
      <c r="D200" s="74">
        <f t="shared" si="29"/>
        <v>350</v>
      </c>
      <c r="E200" s="74">
        <f t="shared" si="28"/>
        <v>375</v>
      </c>
      <c r="F200" s="74"/>
      <c r="G200" s="74">
        <v>115006</v>
      </c>
      <c r="H200" s="74" t="s">
        <v>166</v>
      </c>
      <c r="I200" s="74"/>
      <c r="J200" s="74" t="s">
        <v>21</v>
      </c>
      <c r="K200" s="74">
        <v>1</v>
      </c>
      <c r="L200" s="74" t="s">
        <v>153</v>
      </c>
      <c r="M200" s="74">
        <f t="shared" si="26"/>
        <v>25</v>
      </c>
      <c r="O200" s="67">
        <f t="shared" si="27"/>
        <v>0.0344827586206897</v>
      </c>
      <c r="P200" s="67">
        <v>10600</v>
      </c>
    </row>
    <row r="201" spans="1:16">
      <c r="A201" s="77">
        <v>199</v>
      </c>
      <c r="B201" s="74">
        <v>10610</v>
      </c>
      <c r="C201" s="74">
        <v>5</v>
      </c>
      <c r="D201" s="74">
        <f t="shared" si="29"/>
        <v>375</v>
      </c>
      <c r="E201" s="74">
        <f t="shared" si="28"/>
        <v>425</v>
      </c>
      <c r="F201" s="74"/>
      <c r="G201" s="74">
        <v>200006</v>
      </c>
      <c r="H201" s="74" t="s">
        <v>167</v>
      </c>
      <c r="I201" s="74"/>
      <c r="J201" s="74" t="s">
        <v>34</v>
      </c>
      <c r="K201" s="74">
        <v>1</v>
      </c>
      <c r="L201" s="74" t="s">
        <v>153</v>
      </c>
      <c r="M201" s="74">
        <f t="shared" si="26"/>
        <v>50</v>
      </c>
      <c r="O201" s="67">
        <f t="shared" si="27"/>
        <v>0.0689655172413793</v>
      </c>
      <c r="P201" s="67">
        <v>10610</v>
      </c>
    </row>
    <row r="202" spans="1:16">
      <c r="A202" s="77">
        <v>200</v>
      </c>
      <c r="B202" s="74">
        <v>10610</v>
      </c>
      <c r="C202" s="74">
        <v>5</v>
      </c>
      <c r="D202" s="74">
        <f t="shared" si="29"/>
        <v>425</v>
      </c>
      <c r="E202" s="74">
        <f t="shared" si="28"/>
        <v>475</v>
      </c>
      <c r="F202" s="74"/>
      <c r="G202" s="74">
        <v>300006</v>
      </c>
      <c r="H202" s="74" t="s">
        <v>168</v>
      </c>
      <c r="I202" s="74"/>
      <c r="J202" s="74" t="s">
        <v>36</v>
      </c>
      <c r="K202" s="74">
        <v>1</v>
      </c>
      <c r="L202" s="74" t="s">
        <v>153</v>
      </c>
      <c r="M202" s="74">
        <f t="shared" si="26"/>
        <v>50</v>
      </c>
      <c r="O202" s="67">
        <f t="shared" si="27"/>
        <v>0.0689655172413793</v>
      </c>
      <c r="P202" s="67">
        <v>10610</v>
      </c>
    </row>
    <row r="203" spans="1:16">
      <c r="A203" s="77">
        <v>201</v>
      </c>
      <c r="B203" s="74">
        <v>10610</v>
      </c>
      <c r="C203" s="74">
        <v>5</v>
      </c>
      <c r="D203" s="74">
        <f t="shared" si="29"/>
        <v>475</v>
      </c>
      <c r="E203" s="74">
        <f t="shared" si="28"/>
        <v>525</v>
      </c>
      <c r="F203" s="74"/>
      <c r="G203" s="74">
        <v>400006</v>
      </c>
      <c r="H203" s="74" t="s">
        <v>169</v>
      </c>
      <c r="I203" s="74"/>
      <c r="J203" s="74" t="s">
        <v>38</v>
      </c>
      <c r="K203" s="74">
        <v>1</v>
      </c>
      <c r="L203" s="74" t="s">
        <v>153</v>
      </c>
      <c r="M203" s="74">
        <f t="shared" si="26"/>
        <v>50</v>
      </c>
      <c r="O203" s="67">
        <f t="shared" si="27"/>
        <v>0.0689655172413793</v>
      </c>
      <c r="P203" s="67">
        <v>10610</v>
      </c>
    </row>
    <row r="204" spans="1:16">
      <c r="A204" s="77">
        <v>202</v>
      </c>
      <c r="B204" s="74">
        <v>10610</v>
      </c>
      <c r="C204" s="74">
        <v>5</v>
      </c>
      <c r="D204" s="74">
        <f t="shared" si="29"/>
        <v>525</v>
      </c>
      <c r="E204" s="74">
        <f t="shared" si="28"/>
        <v>575</v>
      </c>
      <c r="F204" s="74"/>
      <c r="G204" s="74">
        <v>500006</v>
      </c>
      <c r="H204" s="74" t="s">
        <v>170</v>
      </c>
      <c r="I204" s="74"/>
      <c r="J204" s="74" t="s">
        <v>40</v>
      </c>
      <c r="K204" s="74">
        <v>1</v>
      </c>
      <c r="L204" s="74" t="s">
        <v>153</v>
      </c>
      <c r="M204" s="74">
        <f t="shared" si="26"/>
        <v>50</v>
      </c>
      <c r="O204" s="67">
        <f t="shared" si="27"/>
        <v>0.0689655172413793</v>
      </c>
      <c r="P204" s="67">
        <v>10610</v>
      </c>
    </row>
    <row r="205" spans="1:16">
      <c r="A205" s="77">
        <v>203</v>
      </c>
      <c r="B205" s="74">
        <v>10610</v>
      </c>
      <c r="C205" s="74">
        <v>5</v>
      </c>
      <c r="D205" s="74">
        <f t="shared" si="29"/>
        <v>575</v>
      </c>
      <c r="E205" s="74">
        <f t="shared" si="28"/>
        <v>625</v>
      </c>
      <c r="F205" s="74"/>
      <c r="G205" s="74">
        <v>600006</v>
      </c>
      <c r="H205" s="74" t="s">
        <v>171</v>
      </c>
      <c r="I205" s="74"/>
      <c r="J205" s="74" t="s">
        <v>42</v>
      </c>
      <c r="K205" s="74">
        <v>1</v>
      </c>
      <c r="L205" s="74" t="s">
        <v>153</v>
      </c>
      <c r="M205" s="74">
        <f t="shared" si="26"/>
        <v>50</v>
      </c>
      <c r="O205" s="67">
        <f t="shared" si="27"/>
        <v>0.0689655172413793</v>
      </c>
      <c r="P205" s="67">
        <v>10610</v>
      </c>
    </row>
    <row r="206" spans="1:16">
      <c r="A206" s="77">
        <v>204</v>
      </c>
      <c r="B206" s="74">
        <v>10610</v>
      </c>
      <c r="C206" s="74">
        <v>5</v>
      </c>
      <c r="D206" s="74">
        <f t="shared" si="29"/>
        <v>625</v>
      </c>
      <c r="E206" s="74">
        <f t="shared" si="28"/>
        <v>675</v>
      </c>
      <c r="F206" s="74"/>
      <c r="G206" s="74">
        <v>700006</v>
      </c>
      <c r="H206" s="74" t="s">
        <v>172</v>
      </c>
      <c r="I206" s="74"/>
      <c r="J206" s="74" t="s">
        <v>44</v>
      </c>
      <c r="K206" s="74">
        <v>1</v>
      </c>
      <c r="L206" s="74" t="s">
        <v>153</v>
      </c>
      <c r="M206" s="74">
        <f t="shared" si="26"/>
        <v>50</v>
      </c>
      <c r="O206" s="67">
        <f t="shared" si="27"/>
        <v>0.0689655172413793</v>
      </c>
      <c r="P206" s="67">
        <v>10610</v>
      </c>
    </row>
    <row r="207" spans="1:16">
      <c r="A207" s="77">
        <v>205</v>
      </c>
      <c r="B207" s="74">
        <v>10610</v>
      </c>
      <c r="C207" s="74">
        <v>5</v>
      </c>
      <c r="D207" s="74">
        <f t="shared" si="29"/>
        <v>675</v>
      </c>
      <c r="E207" s="74">
        <f t="shared" si="28"/>
        <v>725</v>
      </c>
      <c r="F207" s="74"/>
      <c r="G207" s="74">
        <v>800006</v>
      </c>
      <c r="H207" s="74" t="s">
        <v>173</v>
      </c>
      <c r="I207" s="74"/>
      <c r="J207" s="74" t="s">
        <v>46</v>
      </c>
      <c r="K207" s="74">
        <v>1</v>
      </c>
      <c r="L207" s="74" t="s">
        <v>153</v>
      </c>
      <c r="M207" s="74">
        <f t="shared" si="26"/>
        <v>50</v>
      </c>
      <c r="O207" s="67">
        <f t="shared" si="27"/>
        <v>0.0689655172413793</v>
      </c>
      <c r="P207" s="67">
        <v>10610</v>
      </c>
    </row>
    <row r="208" spans="1:16">
      <c r="A208" s="69">
        <v>206</v>
      </c>
      <c r="B208" s="74">
        <v>10610</v>
      </c>
      <c r="C208" s="74">
        <v>4</v>
      </c>
      <c r="D208" s="74">
        <f t="shared" si="29"/>
        <v>725</v>
      </c>
      <c r="E208" s="74">
        <f>D208+L208</f>
        <v>745</v>
      </c>
      <c r="F208" s="74"/>
      <c r="G208" s="74">
        <v>104402</v>
      </c>
      <c r="H208" s="74" t="s">
        <v>49</v>
      </c>
      <c r="I208" s="74"/>
      <c r="J208" s="74" t="s">
        <v>50</v>
      </c>
      <c r="K208" s="74">
        <v>1</v>
      </c>
      <c r="L208" s="74">
        <v>20</v>
      </c>
      <c r="M208" s="74"/>
      <c r="O208" s="67">
        <f>(E208-D208)/$E$27</f>
        <v>0.0180505415162455</v>
      </c>
    </row>
    <row r="209" spans="1:16">
      <c r="A209" s="69">
        <v>207</v>
      </c>
      <c r="B209" s="74">
        <v>10610</v>
      </c>
      <c r="C209" s="74">
        <v>4</v>
      </c>
      <c r="D209" s="74">
        <f t="shared" si="29"/>
        <v>745</v>
      </c>
      <c r="E209" s="74">
        <f>D209+L209</f>
        <v>765</v>
      </c>
      <c r="F209" s="74"/>
      <c r="G209" s="74">
        <v>105504</v>
      </c>
      <c r="H209" s="74" t="s">
        <v>51</v>
      </c>
      <c r="I209" s="74"/>
      <c r="J209" s="74" t="s">
        <v>50</v>
      </c>
      <c r="K209" s="74">
        <v>1</v>
      </c>
      <c r="L209" s="74">
        <v>20</v>
      </c>
      <c r="M209" s="74"/>
      <c r="O209" s="67">
        <f>(E209-D209)/$E$27</f>
        <v>0.0180505415162455</v>
      </c>
    </row>
    <row r="210" spans="1:16">
      <c r="A210" s="69">
        <v>208</v>
      </c>
      <c r="B210" s="74">
        <v>10610</v>
      </c>
      <c r="C210" s="74">
        <v>4</v>
      </c>
      <c r="D210" s="74">
        <f t="shared" si="29"/>
        <v>765</v>
      </c>
      <c r="E210" s="74">
        <f>D210+L210</f>
        <v>785</v>
      </c>
      <c r="F210" s="74"/>
      <c r="G210" s="74">
        <v>102905</v>
      </c>
      <c r="H210" s="74" t="s">
        <v>52</v>
      </c>
      <c r="I210" s="74"/>
      <c r="J210" s="74" t="s">
        <v>50</v>
      </c>
      <c r="K210" s="74">
        <v>1</v>
      </c>
      <c r="L210" s="74">
        <v>20</v>
      </c>
      <c r="M210" s="74"/>
      <c r="O210" s="67">
        <f>(E210-D210)/$E$27</f>
        <v>0.0180505415162455</v>
      </c>
    </row>
    <row r="211" spans="1:16">
      <c r="A211" s="69">
        <v>209</v>
      </c>
      <c r="B211" s="74">
        <v>10610</v>
      </c>
      <c r="C211" s="74">
        <v>4</v>
      </c>
      <c r="D211" s="74">
        <f t="shared" si="29"/>
        <v>785</v>
      </c>
      <c r="E211" s="74">
        <f>D211+L211</f>
        <v>805</v>
      </c>
      <c r="F211" s="74"/>
      <c r="G211" s="74">
        <v>105604</v>
      </c>
      <c r="H211" s="74" t="s">
        <v>53</v>
      </c>
      <c r="I211" s="74"/>
      <c r="J211" s="74" t="s">
        <v>50</v>
      </c>
      <c r="K211" s="74">
        <v>1</v>
      </c>
      <c r="L211" s="74">
        <v>20</v>
      </c>
      <c r="M211" s="74"/>
      <c r="O211" s="67">
        <f>(E211-D211)/$E$27</f>
        <v>0.0180505415162455</v>
      </c>
    </row>
    <row r="212" spans="1:16">
      <c r="A212" s="69">
        <v>210</v>
      </c>
      <c r="B212" s="74">
        <v>10610</v>
      </c>
      <c r="C212" s="74">
        <v>4</v>
      </c>
      <c r="D212" s="74">
        <f t="shared" si="29"/>
        <v>805</v>
      </c>
      <c r="E212" s="74">
        <f>D212+L212</f>
        <v>825</v>
      </c>
      <c r="F212" s="74"/>
      <c r="G212" s="74">
        <v>1021005</v>
      </c>
      <c r="H212" s="74" t="s">
        <v>54</v>
      </c>
      <c r="I212" s="74"/>
      <c r="J212" s="74" t="s">
        <v>50</v>
      </c>
      <c r="K212" s="74">
        <v>1</v>
      </c>
      <c r="L212" s="74">
        <v>20</v>
      </c>
      <c r="M212" s="74"/>
      <c r="O212" s="67">
        <f>(E212-D212)/$E$27</f>
        <v>0.0180505415162455</v>
      </c>
    </row>
    <row r="213" spans="1:16">
      <c r="A213" s="71">
        <v>211</v>
      </c>
      <c r="B213" s="74">
        <v>10700</v>
      </c>
      <c r="C213" s="74">
        <v>5</v>
      </c>
      <c r="D213" s="74">
        <v>0</v>
      </c>
      <c r="E213" s="74">
        <f>M213</f>
        <v>25</v>
      </c>
      <c r="F213" s="74"/>
      <c r="G213" s="74">
        <v>101005</v>
      </c>
      <c r="H213" s="74" t="s">
        <v>130</v>
      </c>
      <c r="I213" s="74"/>
      <c r="J213" s="74" t="s">
        <v>21</v>
      </c>
      <c r="K213" s="74">
        <v>1</v>
      </c>
      <c r="L213" s="74" t="s">
        <v>174</v>
      </c>
      <c r="M213" s="74">
        <f t="shared" ref="M213:M234" si="30">M186</f>
        <v>25</v>
      </c>
      <c r="O213" s="67">
        <f t="shared" ref="O213:O234" si="31">(E213-D213)/$E$234</f>
        <v>0.0344827586206897</v>
      </c>
      <c r="P213" s="67">
        <v>10700</v>
      </c>
    </row>
    <row r="214" spans="1:16">
      <c r="A214" s="71">
        <v>212</v>
      </c>
      <c r="B214" s="74">
        <v>10700</v>
      </c>
      <c r="C214" s="74">
        <v>5</v>
      </c>
      <c r="D214" s="74">
        <f>E213</f>
        <v>25</v>
      </c>
      <c r="E214" s="74">
        <f t="shared" ref="E214:E234" si="32">D214+M214</f>
        <v>50</v>
      </c>
      <c r="F214" s="74"/>
      <c r="G214" s="74">
        <v>102005</v>
      </c>
      <c r="H214" s="74" t="s">
        <v>132</v>
      </c>
      <c r="I214" s="74"/>
      <c r="J214" s="74" t="s">
        <v>21</v>
      </c>
      <c r="K214" s="74">
        <v>1</v>
      </c>
      <c r="L214" s="74" t="s">
        <v>174</v>
      </c>
      <c r="M214" s="74">
        <f t="shared" si="30"/>
        <v>25</v>
      </c>
      <c r="O214" s="67">
        <f t="shared" si="31"/>
        <v>0.0344827586206897</v>
      </c>
      <c r="P214" s="67">
        <v>10700</v>
      </c>
    </row>
    <row r="215" spans="1:16">
      <c r="A215" s="71">
        <v>213</v>
      </c>
      <c r="B215" s="74">
        <v>10700</v>
      </c>
      <c r="C215" s="74">
        <v>5</v>
      </c>
      <c r="D215" s="74">
        <f t="shared" ref="D215:D239" si="33">E214</f>
        <v>50</v>
      </c>
      <c r="E215" s="74">
        <f t="shared" si="32"/>
        <v>75</v>
      </c>
      <c r="F215" s="74"/>
      <c r="G215" s="74">
        <v>102105</v>
      </c>
      <c r="H215" s="74" t="s">
        <v>133</v>
      </c>
      <c r="I215" s="74"/>
      <c r="J215" s="74" t="s">
        <v>21</v>
      </c>
      <c r="K215" s="74">
        <v>1</v>
      </c>
      <c r="L215" s="74" t="s">
        <v>174</v>
      </c>
      <c r="M215" s="74">
        <f t="shared" si="30"/>
        <v>25</v>
      </c>
      <c r="O215" s="67">
        <f t="shared" si="31"/>
        <v>0.0344827586206897</v>
      </c>
      <c r="P215" s="67">
        <v>10700</v>
      </c>
    </row>
    <row r="216" spans="1:16">
      <c r="A216" s="71">
        <v>214</v>
      </c>
      <c r="B216" s="74">
        <v>10700</v>
      </c>
      <c r="C216" s="74">
        <v>5</v>
      </c>
      <c r="D216" s="74">
        <f t="shared" si="33"/>
        <v>75</v>
      </c>
      <c r="E216" s="74">
        <f t="shared" si="32"/>
        <v>100</v>
      </c>
      <c r="F216" s="74"/>
      <c r="G216" s="74">
        <v>103005</v>
      </c>
      <c r="H216" s="74" t="s">
        <v>134</v>
      </c>
      <c r="I216" s="74"/>
      <c r="J216" s="74" t="s">
        <v>21</v>
      </c>
      <c r="K216" s="74">
        <v>1</v>
      </c>
      <c r="L216" s="74" t="s">
        <v>174</v>
      </c>
      <c r="M216" s="74">
        <f t="shared" si="30"/>
        <v>25</v>
      </c>
      <c r="O216" s="67">
        <f t="shared" si="31"/>
        <v>0.0344827586206897</v>
      </c>
      <c r="P216" s="67">
        <v>10700</v>
      </c>
    </row>
    <row r="217" spans="1:16">
      <c r="A217" s="71">
        <v>215</v>
      </c>
      <c r="B217" s="74">
        <v>10700</v>
      </c>
      <c r="C217" s="74">
        <v>5</v>
      </c>
      <c r="D217" s="74">
        <f t="shared" si="33"/>
        <v>100</v>
      </c>
      <c r="E217" s="74">
        <f t="shared" si="32"/>
        <v>125</v>
      </c>
      <c r="F217" s="74"/>
      <c r="G217" s="74">
        <v>104005</v>
      </c>
      <c r="H217" s="74" t="s">
        <v>135</v>
      </c>
      <c r="I217" s="74"/>
      <c r="J217" s="74" t="s">
        <v>21</v>
      </c>
      <c r="K217" s="74">
        <v>1</v>
      </c>
      <c r="L217" s="74" t="s">
        <v>174</v>
      </c>
      <c r="M217" s="74">
        <f t="shared" si="30"/>
        <v>25</v>
      </c>
      <c r="O217" s="67">
        <f t="shared" si="31"/>
        <v>0.0344827586206897</v>
      </c>
      <c r="P217" s="67">
        <v>10700</v>
      </c>
    </row>
    <row r="218" spans="1:16">
      <c r="A218" s="71">
        <v>216</v>
      </c>
      <c r="B218" s="74">
        <v>10700</v>
      </c>
      <c r="C218" s="74">
        <v>5</v>
      </c>
      <c r="D218" s="74">
        <f t="shared" si="33"/>
        <v>125</v>
      </c>
      <c r="E218" s="74">
        <f t="shared" si="32"/>
        <v>150</v>
      </c>
      <c r="F218" s="74"/>
      <c r="G218" s="74">
        <v>104105</v>
      </c>
      <c r="H218" s="74" t="s">
        <v>136</v>
      </c>
      <c r="I218" s="74"/>
      <c r="J218" s="74" t="s">
        <v>21</v>
      </c>
      <c r="K218" s="74">
        <v>1</v>
      </c>
      <c r="L218" s="74" t="s">
        <v>174</v>
      </c>
      <c r="M218" s="74">
        <f t="shared" si="30"/>
        <v>25</v>
      </c>
      <c r="O218" s="67">
        <f t="shared" si="31"/>
        <v>0.0344827586206897</v>
      </c>
      <c r="P218" s="67">
        <v>10700</v>
      </c>
    </row>
    <row r="219" spans="1:16">
      <c r="A219" s="71">
        <v>217</v>
      </c>
      <c r="B219" s="74">
        <v>10700</v>
      </c>
      <c r="C219" s="74">
        <v>5</v>
      </c>
      <c r="D219" s="74">
        <f t="shared" si="33"/>
        <v>150</v>
      </c>
      <c r="E219" s="74">
        <f t="shared" si="32"/>
        <v>175</v>
      </c>
      <c r="F219" s="74"/>
      <c r="G219" s="74">
        <v>105005</v>
      </c>
      <c r="H219" s="74" t="s">
        <v>137</v>
      </c>
      <c r="I219" s="74"/>
      <c r="J219" s="74" t="s">
        <v>21</v>
      </c>
      <c r="K219" s="74">
        <v>1</v>
      </c>
      <c r="L219" s="74" t="s">
        <v>174</v>
      </c>
      <c r="M219" s="74">
        <f t="shared" si="30"/>
        <v>25</v>
      </c>
      <c r="O219" s="67">
        <f t="shared" si="31"/>
        <v>0.0344827586206897</v>
      </c>
      <c r="P219" s="67">
        <v>10700</v>
      </c>
    </row>
    <row r="220" spans="1:16">
      <c r="A220" s="71">
        <v>218</v>
      </c>
      <c r="B220" s="74">
        <v>10700</v>
      </c>
      <c r="C220" s="74">
        <v>5</v>
      </c>
      <c r="D220" s="74">
        <f t="shared" si="33"/>
        <v>175</v>
      </c>
      <c r="E220" s="74">
        <f t="shared" si="32"/>
        <v>200</v>
      </c>
      <c r="F220" s="74"/>
      <c r="G220" s="74">
        <v>106005</v>
      </c>
      <c r="H220" s="74" t="s">
        <v>138</v>
      </c>
      <c r="I220" s="74"/>
      <c r="J220" s="74" t="s">
        <v>21</v>
      </c>
      <c r="K220" s="74">
        <v>1</v>
      </c>
      <c r="L220" s="74" t="s">
        <v>174</v>
      </c>
      <c r="M220" s="74">
        <f t="shared" si="30"/>
        <v>25</v>
      </c>
      <c r="O220" s="67">
        <f t="shared" si="31"/>
        <v>0.0344827586206897</v>
      </c>
      <c r="P220" s="67">
        <v>10700</v>
      </c>
    </row>
    <row r="221" spans="1:16">
      <c r="A221" s="71">
        <v>219</v>
      </c>
      <c r="B221" s="74">
        <v>10700</v>
      </c>
      <c r="C221" s="74">
        <v>5</v>
      </c>
      <c r="D221" s="74">
        <f t="shared" si="33"/>
        <v>200</v>
      </c>
      <c r="E221" s="74">
        <f t="shared" si="32"/>
        <v>225</v>
      </c>
      <c r="F221" s="74"/>
      <c r="G221" s="74">
        <v>109005</v>
      </c>
      <c r="H221" s="74" t="s">
        <v>139</v>
      </c>
      <c r="I221" s="74"/>
      <c r="J221" s="74" t="s">
        <v>21</v>
      </c>
      <c r="K221" s="74">
        <v>1</v>
      </c>
      <c r="L221" s="74" t="s">
        <v>174</v>
      </c>
      <c r="M221" s="74">
        <f t="shared" si="30"/>
        <v>25</v>
      </c>
      <c r="O221" s="67">
        <f t="shared" si="31"/>
        <v>0.0344827586206897</v>
      </c>
      <c r="P221" s="67">
        <v>10700</v>
      </c>
    </row>
    <row r="222" spans="1:16">
      <c r="A222" s="71">
        <v>220</v>
      </c>
      <c r="B222" s="74">
        <v>10700</v>
      </c>
      <c r="C222" s="74">
        <v>5</v>
      </c>
      <c r="D222" s="74">
        <f t="shared" si="33"/>
        <v>225</v>
      </c>
      <c r="E222" s="74">
        <f t="shared" si="32"/>
        <v>250</v>
      </c>
      <c r="F222" s="74"/>
      <c r="G222" s="74">
        <v>110005</v>
      </c>
      <c r="H222" s="74" t="s">
        <v>140</v>
      </c>
      <c r="I222" s="74"/>
      <c r="J222" s="74" t="s">
        <v>21</v>
      </c>
      <c r="K222" s="74">
        <v>1</v>
      </c>
      <c r="L222" s="74" t="s">
        <v>174</v>
      </c>
      <c r="M222" s="74">
        <f t="shared" si="30"/>
        <v>25</v>
      </c>
      <c r="O222" s="67">
        <f t="shared" si="31"/>
        <v>0.0344827586206897</v>
      </c>
      <c r="P222" s="67">
        <v>10700</v>
      </c>
    </row>
    <row r="223" spans="1:16">
      <c r="A223" s="71">
        <v>221</v>
      </c>
      <c r="B223" s="74">
        <v>10700</v>
      </c>
      <c r="C223" s="74">
        <v>5</v>
      </c>
      <c r="D223" s="74">
        <f t="shared" si="33"/>
        <v>250</v>
      </c>
      <c r="E223" s="74">
        <f t="shared" si="32"/>
        <v>275</v>
      </c>
      <c r="F223" s="74"/>
      <c r="G223" s="74">
        <v>111005</v>
      </c>
      <c r="H223" s="74" t="s">
        <v>141</v>
      </c>
      <c r="I223" s="74"/>
      <c r="J223" s="74" t="s">
        <v>21</v>
      </c>
      <c r="K223" s="74">
        <v>1</v>
      </c>
      <c r="L223" s="74" t="s">
        <v>174</v>
      </c>
      <c r="M223" s="74">
        <f t="shared" si="30"/>
        <v>25</v>
      </c>
      <c r="O223" s="67">
        <f t="shared" si="31"/>
        <v>0.0344827586206897</v>
      </c>
      <c r="P223" s="67">
        <v>10700</v>
      </c>
    </row>
    <row r="224" spans="1:16">
      <c r="A224" s="71">
        <v>222</v>
      </c>
      <c r="B224" s="74">
        <v>10700</v>
      </c>
      <c r="C224" s="74">
        <v>5</v>
      </c>
      <c r="D224" s="74">
        <f t="shared" si="33"/>
        <v>275</v>
      </c>
      <c r="E224" s="74">
        <f t="shared" si="32"/>
        <v>300</v>
      </c>
      <c r="F224" s="74"/>
      <c r="G224" s="74">
        <v>112005</v>
      </c>
      <c r="H224" s="74" t="s">
        <v>142</v>
      </c>
      <c r="I224" s="74"/>
      <c r="J224" s="74" t="s">
        <v>21</v>
      </c>
      <c r="K224" s="74">
        <v>1</v>
      </c>
      <c r="L224" s="74" t="s">
        <v>174</v>
      </c>
      <c r="M224" s="74">
        <f t="shared" si="30"/>
        <v>25</v>
      </c>
      <c r="O224" s="67">
        <f t="shared" si="31"/>
        <v>0.0344827586206897</v>
      </c>
      <c r="P224" s="67">
        <v>10700</v>
      </c>
    </row>
    <row r="225" spans="1:16">
      <c r="A225" s="71">
        <v>223</v>
      </c>
      <c r="B225" s="74">
        <v>10700</v>
      </c>
      <c r="C225" s="74">
        <v>5</v>
      </c>
      <c r="D225" s="74">
        <f t="shared" si="33"/>
        <v>300</v>
      </c>
      <c r="E225" s="74">
        <f t="shared" si="32"/>
        <v>325</v>
      </c>
      <c r="F225" s="74"/>
      <c r="G225" s="74">
        <v>112005</v>
      </c>
      <c r="H225" s="74" t="s">
        <v>142</v>
      </c>
      <c r="I225" s="74"/>
      <c r="J225" s="74" t="s">
        <v>21</v>
      </c>
      <c r="K225" s="74">
        <v>1</v>
      </c>
      <c r="L225" s="74" t="s">
        <v>174</v>
      </c>
      <c r="M225" s="74">
        <f t="shared" si="30"/>
        <v>25</v>
      </c>
      <c r="O225" s="67">
        <f t="shared" si="31"/>
        <v>0.0344827586206897</v>
      </c>
      <c r="P225" s="67">
        <v>10700</v>
      </c>
    </row>
    <row r="226" spans="1:16">
      <c r="A226" s="71">
        <v>224</v>
      </c>
      <c r="B226" s="74">
        <v>10700</v>
      </c>
      <c r="C226" s="74">
        <v>5</v>
      </c>
      <c r="D226" s="74">
        <f t="shared" si="33"/>
        <v>325</v>
      </c>
      <c r="E226" s="74">
        <f t="shared" si="32"/>
        <v>350</v>
      </c>
      <c r="F226" s="74"/>
      <c r="G226" s="74">
        <v>114005</v>
      </c>
      <c r="H226" s="74" t="s">
        <v>143</v>
      </c>
      <c r="I226" s="74"/>
      <c r="J226" s="74" t="s">
        <v>21</v>
      </c>
      <c r="K226" s="74">
        <v>1</v>
      </c>
      <c r="L226" s="74" t="s">
        <v>174</v>
      </c>
      <c r="M226" s="74">
        <f t="shared" si="30"/>
        <v>25</v>
      </c>
      <c r="O226" s="67">
        <f t="shared" si="31"/>
        <v>0.0344827586206897</v>
      </c>
      <c r="P226" s="67">
        <v>10700</v>
      </c>
    </row>
    <row r="227" spans="1:16">
      <c r="A227" s="71">
        <v>225</v>
      </c>
      <c r="B227" s="74">
        <v>10700</v>
      </c>
      <c r="C227" s="74">
        <v>5</v>
      </c>
      <c r="D227" s="74">
        <f t="shared" si="33"/>
        <v>350</v>
      </c>
      <c r="E227" s="74">
        <f t="shared" si="32"/>
        <v>375</v>
      </c>
      <c r="F227" s="74"/>
      <c r="G227" s="74">
        <v>115005</v>
      </c>
      <c r="H227" s="74" t="s">
        <v>144</v>
      </c>
      <c r="I227" s="74"/>
      <c r="J227" s="74" t="s">
        <v>21</v>
      </c>
      <c r="K227" s="74">
        <v>1</v>
      </c>
      <c r="L227" s="74" t="s">
        <v>174</v>
      </c>
      <c r="M227" s="74">
        <f t="shared" si="30"/>
        <v>25</v>
      </c>
      <c r="O227" s="67">
        <f t="shared" si="31"/>
        <v>0.0344827586206897</v>
      </c>
      <c r="P227" s="67">
        <v>10700</v>
      </c>
    </row>
    <row r="228" spans="1:16">
      <c r="A228" s="71">
        <v>226</v>
      </c>
      <c r="B228" s="74">
        <v>10710</v>
      </c>
      <c r="C228" s="74">
        <v>5</v>
      </c>
      <c r="D228" s="74">
        <f t="shared" si="33"/>
        <v>375</v>
      </c>
      <c r="E228" s="74">
        <f t="shared" si="32"/>
        <v>425</v>
      </c>
      <c r="F228" s="74"/>
      <c r="G228" s="74">
        <v>200005</v>
      </c>
      <c r="H228" s="74" t="s">
        <v>145</v>
      </c>
      <c r="I228" s="74"/>
      <c r="J228" s="74" t="s">
        <v>34</v>
      </c>
      <c r="K228" s="74">
        <v>1</v>
      </c>
      <c r="L228" s="74" t="s">
        <v>174</v>
      </c>
      <c r="M228" s="74">
        <f t="shared" si="30"/>
        <v>50</v>
      </c>
      <c r="O228" s="67">
        <f t="shared" si="31"/>
        <v>0.0689655172413793</v>
      </c>
      <c r="P228" s="67">
        <v>10710</v>
      </c>
    </row>
    <row r="229" spans="1:16">
      <c r="A229" s="71">
        <v>227</v>
      </c>
      <c r="B229" s="74">
        <v>10710</v>
      </c>
      <c r="C229" s="74">
        <v>5</v>
      </c>
      <c r="D229" s="74">
        <f t="shared" si="33"/>
        <v>425</v>
      </c>
      <c r="E229" s="74">
        <f t="shared" si="32"/>
        <v>475</v>
      </c>
      <c r="F229" s="74"/>
      <c r="G229" s="74">
        <v>300005</v>
      </c>
      <c r="H229" s="74" t="s">
        <v>146</v>
      </c>
      <c r="I229" s="74"/>
      <c r="J229" s="74" t="s">
        <v>36</v>
      </c>
      <c r="K229" s="74">
        <v>1</v>
      </c>
      <c r="L229" s="74" t="s">
        <v>174</v>
      </c>
      <c r="M229" s="74">
        <f t="shared" si="30"/>
        <v>50</v>
      </c>
      <c r="O229" s="67">
        <f t="shared" si="31"/>
        <v>0.0689655172413793</v>
      </c>
      <c r="P229" s="67">
        <v>10710</v>
      </c>
    </row>
    <row r="230" spans="1:16">
      <c r="A230" s="71">
        <v>228</v>
      </c>
      <c r="B230" s="74">
        <v>10710</v>
      </c>
      <c r="C230" s="74">
        <v>5</v>
      </c>
      <c r="D230" s="74">
        <f t="shared" si="33"/>
        <v>475</v>
      </c>
      <c r="E230" s="74">
        <f t="shared" si="32"/>
        <v>525</v>
      </c>
      <c r="F230" s="74"/>
      <c r="G230" s="74">
        <v>400005</v>
      </c>
      <c r="H230" s="74" t="s">
        <v>147</v>
      </c>
      <c r="I230" s="74"/>
      <c r="J230" s="74" t="s">
        <v>38</v>
      </c>
      <c r="K230" s="74">
        <v>1</v>
      </c>
      <c r="L230" s="74" t="s">
        <v>174</v>
      </c>
      <c r="M230" s="74">
        <f t="shared" si="30"/>
        <v>50</v>
      </c>
      <c r="O230" s="67">
        <f t="shared" si="31"/>
        <v>0.0689655172413793</v>
      </c>
      <c r="P230" s="67">
        <v>10710</v>
      </c>
    </row>
    <row r="231" spans="1:16">
      <c r="A231" s="71">
        <v>229</v>
      </c>
      <c r="B231" s="74">
        <v>10710</v>
      </c>
      <c r="C231" s="74">
        <v>5</v>
      </c>
      <c r="D231" s="74">
        <f t="shared" si="33"/>
        <v>525</v>
      </c>
      <c r="E231" s="74">
        <f t="shared" si="32"/>
        <v>575</v>
      </c>
      <c r="F231" s="74"/>
      <c r="G231" s="74">
        <v>500005</v>
      </c>
      <c r="H231" s="74" t="s">
        <v>148</v>
      </c>
      <c r="I231" s="74"/>
      <c r="J231" s="74" t="s">
        <v>40</v>
      </c>
      <c r="K231" s="74">
        <v>1</v>
      </c>
      <c r="L231" s="74" t="s">
        <v>174</v>
      </c>
      <c r="M231" s="74">
        <f t="shared" si="30"/>
        <v>50</v>
      </c>
      <c r="O231" s="67">
        <f t="shared" si="31"/>
        <v>0.0689655172413793</v>
      </c>
      <c r="P231" s="67">
        <v>10710</v>
      </c>
    </row>
    <row r="232" spans="1:16">
      <c r="A232" s="71">
        <v>230</v>
      </c>
      <c r="B232" s="74">
        <v>10710</v>
      </c>
      <c r="C232" s="74">
        <v>5</v>
      </c>
      <c r="D232" s="74">
        <f t="shared" si="33"/>
        <v>575</v>
      </c>
      <c r="E232" s="74">
        <f t="shared" si="32"/>
        <v>625</v>
      </c>
      <c r="F232" s="74"/>
      <c r="G232" s="74">
        <v>600005</v>
      </c>
      <c r="H232" s="74" t="s">
        <v>149</v>
      </c>
      <c r="I232" s="74"/>
      <c r="J232" s="74" t="s">
        <v>42</v>
      </c>
      <c r="K232" s="74">
        <v>1</v>
      </c>
      <c r="L232" s="74" t="s">
        <v>174</v>
      </c>
      <c r="M232" s="74">
        <f t="shared" si="30"/>
        <v>50</v>
      </c>
      <c r="O232" s="67">
        <f t="shared" si="31"/>
        <v>0.0689655172413793</v>
      </c>
      <c r="P232" s="67">
        <v>10710</v>
      </c>
    </row>
    <row r="233" spans="1:16">
      <c r="A233" s="71">
        <v>231</v>
      </c>
      <c r="B233" s="74">
        <v>10710</v>
      </c>
      <c r="C233" s="74">
        <v>5</v>
      </c>
      <c r="D233" s="74">
        <f t="shared" si="33"/>
        <v>625</v>
      </c>
      <c r="E233" s="74">
        <f t="shared" si="32"/>
        <v>675</v>
      </c>
      <c r="F233" s="74"/>
      <c r="G233" s="74">
        <v>700005</v>
      </c>
      <c r="H233" s="74" t="s">
        <v>150</v>
      </c>
      <c r="I233" s="74"/>
      <c r="J233" s="74" t="s">
        <v>44</v>
      </c>
      <c r="K233" s="74">
        <v>1</v>
      </c>
      <c r="L233" s="74" t="s">
        <v>174</v>
      </c>
      <c r="M233" s="74">
        <f t="shared" si="30"/>
        <v>50</v>
      </c>
      <c r="O233" s="67">
        <f t="shared" si="31"/>
        <v>0.0689655172413793</v>
      </c>
      <c r="P233" s="67">
        <v>10710</v>
      </c>
    </row>
    <row r="234" spans="1:16">
      <c r="A234" s="71">
        <v>232</v>
      </c>
      <c r="B234" s="74">
        <v>10710</v>
      </c>
      <c r="C234" s="74">
        <v>5</v>
      </c>
      <c r="D234" s="74">
        <f t="shared" si="33"/>
        <v>675</v>
      </c>
      <c r="E234" s="74">
        <f t="shared" si="32"/>
        <v>725</v>
      </c>
      <c r="F234" s="74"/>
      <c r="G234" s="74">
        <v>800005</v>
      </c>
      <c r="H234" s="74" t="s">
        <v>151</v>
      </c>
      <c r="I234" s="74"/>
      <c r="J234" s="74" t="s">
        <v>46</v>
      </c>
      <c r="K234" s="74">
        <v>1</v>
      </c>
      <c r="L234" s="74" t="s">
        <v>174</v>
      </c>
      <c r="M234" s="74">
        <f t="shared" si="30"/>
        <v>50</v>
      </c>
      <c r="O234" s="67">
        <f t="shared" si="31"/>
        <v>0.0689655172413793</v>
      </c>
      <c r="P234" s="67">
        <v>10710</v>
      </c>
    </row>
    <row r="235" spans="1:16">
      <c r="A235" s="69">
        <v>233</v>
      </c>
      <c r="B235" s="74">
        <v>10710</v>
      </c>
      <c r="C235" s="74">
        <v>4</v>
      </c>
      <c r="D235" s="74">
        <f t="shared" si="33"/>
        <v>725</v>
      </c>
      <c r="E235" s="74">
        <f>D235+L235</f>
        <v>745</v>
      </c>
      <c r="F235" s="74"/>
      <c r="G235" s="74">
        <v>104402</v>
      </c>
      <c r="H235" s="74" t="s">
        <v>49</v>
      </c>
      <c r="I235" s="74"/>
      <c r="J235" s="74" t="s">
        <v>50</v>
      </c>
      <c r="K235" s="74">
        <v>1</v>
      </c>
      <c r="L235" s="74">
        <v>20</v>
      </c>
      <c r="M235" s="74"/>
      <c r="O235" s="67">
        <f>(E235-D235)/$E$27</f>
        <v>0.0180505415162455</v>
      </c>
    </row>
    <row r="236" spans="1:16">
      <c r="A236" s="69">
        <v>234</v>
      </c>
      <c r="B236" s="74">
        <v>10710</v>
      </c>
      <c r="C236" s="74">
        <v>4</v>
      </c>
      <c r="D236" s="74">
        <f t="shared" si="33"/>
        <v>745</v>
      </c>
      <c r="E236" s="74">
        <f>D236+L236</f>
        <v>765</v>
      </c>
      <c r="F236" s="74"/>
      <c r="G236" s="74">
        <v>105504</v>
      </c>
      <c r="H236" s="74" t="s">
        <v>51</v>
      </c>
      <c r="I236" s="74"/>
      <c r="J236" s="74" t="s">
        <v>50</v>
      </c>
      <c r="K236" s="74">
        <v>1</v>
      </c>
      <c r="L236" s="74">
        <v>20</v>
      </c>
      <c r="M236" s="74"/>
      <c r="O236" s="67">
        <f>(E236-D236)/$E$27</f>
        <v>0.0180505415162455</v>
      </c>
    </row>
    <row r="237" spans="1:16">
      <c r="A237" s="69">
        <v>235</v>
      </c>
      <c r="B237" s="74">
        <v>10710</v>
      </c>
      <c r="C237" s="74">
        <v>4</v>
      </c>
      <c r="D237" s="74">
        <f t="shared" si="33"/>
        <v>765</v>
      </c>
      <c r="E237" s="74">
        <f>D237+L237</f>
        <v>785</v>
      </c>
      <c r="F237" s="74"/>
      <c r="G237" s="74">
        <v>102905</v>
      </c>
      <c r="H237" s="74" t="s">
        <v>52</v>
      </c>
      <c r="I237" s="74"/>
      <c r="J237" s="74" t="s">
        <v>50</v>
      </c>
      <c r="K237" s="74">
        <v>1</v>
      </c>
      <c r="L237" s="74">
        <v>20</v>
      </c>
      <c r="M237" s="74"/>
      <c r="O237" s="67">
        <f>(E237-D237)/$E$27</f>
        <v>0.0180505415162455</v>
      </c>
    </row>
    <row r="238" spans="1:16">
      <c r="A238" s="69">
        <v>236</v>
      </c>
      <c r="B238" s="74">
        <v>10710</v>
      </c>
      <c r="C238" s="74">
        <v>4</v>
      </c>
      <c r="D238" s="74">
        <f t="shared" si="33"/>
        <v>785</v>
      </c>
      <c r="E238" s="74">
        <f>D238+L238</f>
        <v>805</v>
      </c>
      <c r="F238" s="74"/>
      <c r="G238" s="74">
        <v>105604</v>
      </c>
      <c r="H238" s="74" t="s">
        <v>53</v>
      </c>
      <c r="I238" s="74"/>
      <c r="J238" s="74" t="s">
        <v>50</v>
      </c>
      <c r="K238" s="74">
        <v>1</v>
      </c>
      <c r="L238" s="74">
        <v>20</v>
      </c>
      <c r="M238" s="74"/>
      <c r="O238" s="67">
        <f>(E238-D238)/$E$27</f>
        <v>0.0180505415162455</v>
      </c>
    </row>
    <row r="239" spans="1:16">
      <c r="A239" s="69">
        <v>237</v>
      </c>
      <c r="B239" s="74">
        <v>10710</v>
      </c>
      <c r="C239" s="74">
        <v>4</v>
      </c>
      <c r="D239" s="74">
        <f t="shared" si="33"/>
        <v>805</v>
      </c>
      <c r="E239" s="74">
        <f>D239+L239</f>
        <v>825</v>
      </c>
      <c r="F239" s="74"/>
      <c r="G239" s="74">
        <v>1021005</v>
      </c>
      <c r="H239" s="74" t="s">
        <v>54</v>
      </c>
      <c r="I239" s="74"/>
      <c r="J239" s="74" t="s">
        <v>50</v>
      </c>
      <c r="K239" s="74">
        <v>1</v>
      </c>
      <c r="L239" s="74">
        <v>20</v>
      </c>
      <c r="M239" s="74"/>
      <c r="O239" s="67">
        <f>(E239-D239)/$E$27</f>
        <v>0.0180505415162455</v>
      </c>
    </row>
    <row r="240" spans="1:16">
      <c r="A240" s="78">
        <v>238</v>
      </c>
      <c r="B240" s="74">
        <v>10800</v>
      </c>
      <c r="C240" s="74">
        <v>5</v>
      </c>
      <c r="D240" s="74">
        <v>0</v>
      </c>
      <c r="E240" s="74">
        <f>M240</f>
        <v>25</v>
      </c>
      <c r="F240" s="74"/>
      <c r="G240" s="74">
        <v>101006</v>
      </c>
      <c r="H240" s="74" t="s">
        <v>152</v>
      </c>
      <c r="I240" s="74"/>
      <c r="J240" s="74" t="s">
        <v>21</v>
      </c>
      <c r="K240" s="74">
        <v>1</v>
      </c>
      <c r="L240" s="74" t="s">
        <v>175</v>
      </c>
      <c r="M240" s="74">
        <f t="shared" ref="M240:M261" si="34">M213</f>
        <v>25</v>
      </c>
      <c r="O240" s="67">
        <f t="shared" ref="O240:O261" si="35">(E240-D240)/$E$288</f>
        <v>0.0344827586206897</v>
      </c>
      <c r="P240" s="67">
        <v>10800</v>
      </c>
    </row>
    <row r="241" spans="1:16">
      <c r="A241" s="78">
        <v>239</v>
      </c>
      <c r="B241" s="74">
        <v>10800</v>
      </c>
      <c r="C241" s="74">
        <v>5</v>
      </c>
      <c r="D241" s="74">
        <f>E240</f>
        <v>25</v>
      </c>
      <c r="E241" s="74">
        <f t="shared" ref="E241:E261" si="36">D241+M241</f>
        <v>50</v>
      </c>
      <c r="F241" s="74"/>
      <c r="G241" s="74">
        <v>102006</v>
      </c>
      <c r="H241" s="74" t="s">
        <v>154</v>
      </c>
      <c r="I241" s="74"/>
      <c r="J241" s="74" t="s">
        <v>21</v>
      </c>
      <c r="K241" s="74">
        <v>1</v>
      </c>
      <c r="L241" s="74" t="s">
        <v>175</v>
      </c>
      <c r="M241" s="74">
        <f t="shared" si="34"/>
        <v>25</v>
      </c>
      <c r="O241" s="67">
        <f t="shared" si="35"/>
        <v>0.0344827586206897</v>
      </c>
      <c r="P241" s="67">
        <v>10800</v>
      </c>
    </row>
    <row r="242" spans="1:16">
      <c r="A242" s="78">
        <v>240</v>
      </c>
      <c r="B242" s="74">
        <v>10800</v>
      </c>
      <c r="C242" s="74">
        <v>5</v>
      </c>
      <c r="D242" s="74">
        <f t="shared" ref="D242:D266" si="37">E241</f>
        <v>50</v>
      </c>
      <c r="E242" s="74">
        <f t="shared" si="36"/>
        <v>75</v>
      </c>
      <c r="F242" s="74"/>
      <c r="G242" s="74">
        <v>102106</v>
      </c>
      <c r="H242" s="74" t="s">
        <v>155</v>
      </c>
      <c r="I242" s="74"/>
      <c r="J242" s="74" t="s">
        <v>21</v>
      </c>
      <c r="K242" s="74">
        <v>1</v>
      </c>
      <c r="L242" s="74" t="s">
        <v>175</v>
      </c>
      <c r="M242" s="74">
        <f t="shared" si="34"/>
        <v>25</v>
      </c>
      <c r="O242" s="67">
        <f t="shared" si="35"/>
        <v>0.0344827586206897</v>
      </c>
      <c r="P242" s="67">
        <v>10800</v>
      </c>
    </row>
    <row r="243" spans="1:16">
      <c r="A243" s="78">
        <v>241</v>
      </c>
      <c r="B243" s="74">
        <v>10800</v>
      </c>
      <c r="C243" s="74">
        <v>5</v>
      </c>
      <c r="D243" s="74">
        <f t="shared" si="37"/>
        <v>75</v>
      </c>
      <c r="E243" s="74">
        <f t="shared" si="36"/>
        <v>100</v>
      </c>
      <c r="F243" s="74"/>
      <c r="G243" s="74">
        <v>103006</v>
      </c>
      <c r="H243" s="74" t="s">
        <v>156</v>
      </c>
      <c r="I243" s="74"/>
      <c r="J243" s="74" t="s">
        <v>21</v>
      </c>
      <c r="K243" s="74">
        <v>1</v>
      </c>
      <c r="L243" s="74" t="s">
        <v>175</v>
      </c>
      <c r="M243" s="74">
        <f t="shared" si="34"/>
        <v>25</v>
      </c>
      <c r="O243" s="67">
        <f t="shared" si="35"/>
        <v>0.0344827586206897</v>
      </c>
      <c r="P243" s="67">
        <v>10800</v>
      </c>
    </row>
    <row r="244" spans="1:16">
      <c r="A244" s="78">
        <v>242</v>
      </c>
      <c r="B244" s="74">
        <v>10800</v>
      </c>
      <c r="C244" s="74">
        <v>5</v>
      </c>
      <c r="D244" s="74">
        <f t="shared" si="37"/>
        <v>100</v>
      </c>
      <c r="E244" s="74">
        <f t="shared" si="36"/>
        <v>125</v>
      </c>
      <c r="F244" s="74"/>
      <c r="G244" s="74">
        <v>104006</v>
      </c>
      <c r="H244" s="74" t="s">
        <v>157</v>
      </c>
      <c r="I244" s="74"/>
      <c r="J244" s="74" t="s">
        <v>21</v>
      </c>
      <c r="K244" s="74">
        <v>1</v>
      </c>
      <c r="L244" s="74" t="s">
        <v>175</v>
      </c>
      <c r="M244" s="74">
        <f t="shared" si="34"/>
        <v>25</v>
      </c>
      <c r="O244" s="67">
        <f t="shared" si="35"/>
        <v>0.0344827586206897</v>
      </c>
      <c r="P244" s="67">
        <v>10800</v>
      </c>
    </row>
    <row r="245" spans="1:16">
      <c r="A245" s="78">
        <v>243</v>
      </c>
      <c r="B245" s="74">
        <v>10800</v>
      </c>
      <c r="C245" s="74">
        <v>5</v>
      </c>
      <c r="D245" s="74">
        <f t="shared" si="37"/>
        <v>125</v>
      </c>
      <c r="E245" s="74">
        <f t="shared" si="36"/>
        <v>150</v>
      </c>
      <c r="F245" s="74"/>
      <c r="G245" s="74">
        <v>104106</v>
      </c>
      <c r="H245" s="74" t="s">
        <v>158</v>
      </c>
      <c r="I245" s="74"/>
      <c r="J245" s="74" t="s">
        <v>21</v>
      </c>
      <c r="K245" s="74">
        <v>1</v>
      </c>
      <c r="L245" s="74" t="s">
        <v>175</v>
      </c>
      <c r="M245" s="74">
        <f t="shared" si="34"/>
        <v>25</v>
      </c>
      <c r="O245" s="67">
        <f t="shared" si="35"/>
        <v>0.0344827586206897</v>
      </c>
      <c r="P245" s="67">
        <v>10800</v>
      </c>
    </row>
    <row r="246" spans="1:16">
      <c r="A246" s="78">
        <v>244</v>
      </c>
      <c r="B246" s="74">
        <v>10800</v>
      </c>
      <c r="C246" s="74">
        <v>5</v>
      </c>
      <c r="D246" s="74">
        <f t="shared" si="37"/>
        <v>150</v>
      </c>
      <c r="E246" s="74">
        <f t="shared" si="36"/>
        <v>175</v>
      </c>
      <c r="F246" s="74"/>
      <c r="G246" s="74">
        <v>105006</v>
      </c>
      <c r="H246" s="74" t="s">
        <v>159</v>
      </c>
      <c r="I246" s="74"/>
      <c r="J246" s="74" t="s">
        <v>21</v>
      </c>
      <c r="K246" s="74">
        <v>1</v>
      </c>
      <c r="L246" s="74" t="s">
        <v>175</v>
      </c>
      <c r="M246" s="74">
        <f t="shared" si="34"/>
        <v>25</v>
      </c>
      <c r="O246" s="67">
        <f t="shared" si="35"/>
        <v>0.0344827586206897</v>
      </c>
      <c r="P246" s="67">
        <v>10800</v>
      </c>
    </row>
    <row r="247" spans="1:16">
      <c r="A247" s="78">
        <v>245</v>
      </c>
      <c r="B247" s="74">
        <v>10800</v>
      </c>
      <c r="C247" s="74">
        <v>5</v>
      </c>
      <c r="D247" s="74">
        <f t="shared" si="37"/>
        <v>175</v>
      </c>
      <c r="E247" s="74">
        <f t="shared" si="36"/>
        <v>200</v>
      </c>
      <c r="F247" s="74"/>
      <c r="G247" s="74">
        <v>106006</v>
      </c>
      <c r="H247" s="74" t="s">
        <v>160</v>
      </c>
      <c r="I247" s="74"/>
      <c r="J247" s="74" t="s">
        <v>21</v>
      </c>
      <c r="K247" s="74">
        <v>1</v>
      </c>
      <c r="L247" s="74" t="s">
        <v>175</v>
      </c>
      <c r="M247" s="74">
        <f t="shared" si="34"/>
        <v>25</v>
      </c>
      <c r="O247" s="67">
        <f t="shared" si="35"/>
        <v>0.0344827586206897</v>
      </c>
      <c r="P247" s="67">
        <v>10800</v>
      </c>
    </row>
    <row r="248" spans="1:16">
      <c r="A248" s="78">
        <v>246</v>
      </c>
      <c r="B248" s="74">
        <v>10800</v>
      </c>
      <c r="C248" s="74">
        <v>5</v>
      </c>
      <c r="D248" s="74">
        <f t="shared" si="37"/>
        <v>200</v>
      </c>
      <c r="E248" s="74">
        <f t="shared" si="36"/>
        <v>225</v>
      </c>
      <c r="F248" s="74"/>
      <c r="G248" s="74">
        <v>109006</v>
      </c>
      <c r="H248" s="74" t="s">
        <v>161</v>
      </c>
      <c r="I248" s="74"/>
      <c r="J248" s="74" t="s">
        <v>21</v>
      </c>
      <c r="K248" s="74">
        <v>1</v>
      </c>
      <c r="L248" s="74" t="s">
        <v>175</v>
      </c>
      <c r="M248" s="74">
        <f t="shared" si="34"/>
        <v>25</v>
      </c>
      <c r="O248" s="67">
        <f t="shared" si="35"/>
        <v>0.0344827586206897</v>
      </c>
      <c r="P248" s="67">
        <v>10800</v>
      </c>
    </row>
    <row r="249" spans="1:16">
      <c r="A249" s="78">
        <v>247</v>
      </c>
      <c r="B249" s="74">
        <v>10800</v>
      </c>
      <c r="C249" s="74">
        <v>5</v>
      </c>
      <c r="D249" s="74">
        <f t="shared" si="37"/>
        <v>225</v>
      </c>
      <c r="E249" s="74">
        <f t="shared" si="36"/>
        <v>250</v>
      </c>
      <c r="F249" s="74"/>
      <c r="G249" s="74">
        <v>110006</v>
      </c>
      <c r="H249" s="74" t="s">
        <v>162</v>
      </c>
      <c r="I249" s="74"/>
      <c r="J249" s="74" t="s">
        <v>21</v>
      </c>
      <c r="K249" s="74">
        <v>1</v>
      </c>
      <c r="L249" s="74" t="s">
        <v>175</v>
      </c>
      <c r="M249" s="74">
        <f t="shared" si="34"/>
        <v>25</v>
      </c>
      <c r="O249" s="67">
        <f t="shared" si="35"/>
        <v>0.0344827586206897</v>
      </c>
      <c r="P249" s="67">
        <v>10800</v>
      </c>
    </row>
    <row r="250" spans="1:16">
      <c r="A250" s="78">
        <v>248</v>
      </c>
      <c r="B250" s="74">
        <v>10800</v>
      </c>
      <c r="C250" s="74">
        <v>5</v>
      </c>
      <c r="D250" s="74">
        <f t="shared" si="37"/>
        <v>250</v>
      </c>
      <c r="E250" s="74">
        <f t="shared" si="36"/>
        <v>275</v>
      </c>
      <c r="F250" s="74"/>
      <c r="G250" s="74">
        <v>111006</v>
      </c>
      <c r="H250" s="74" t="s">
        <v>163</v>
      </c>
      <c r="I250" s="74"/>
      <c r="J250" s="74" t="s">
        <v>21</v>
      </c>
      <c r="K250" s="74">
        <v>1</v>
      </c>
      <c r="L250" s="74" t="s">
        <v>175</v>
      </c>
      <c r="M250" s="74">
        <f t="shared" si="34"/>
        <v>25</v>
      </c>
      <c r="O250" s="67">
        <f t="shared" si="35"/>
        <v>0.0344827586206897</v>
      </c>
      <c r="P250" s="67">
        <v>10800</v>
      </c>
    </row>
    <row r="251" spans="1:16">
      <c r="A251" s="78">
        <v>249</v>
      </c>
      <c r="B251" s="74">
        <v>10800</v>
      </c>
      <c r="C251" s="74">
        <v>5</v>
      </c>
      <c r="D251" s="74">
        <f t="shared" si="37"/>
        <v>275</v>
      </c>
      <c r="E251" s="74">
        <f t="shared" si="36"/>
        <v>300</v>
      </c>
      <c r="F251" s="74"/>
      <c r="G251" s="74">
        <v>112006</v>
      </c>
      <c r="H251" s="74" t="s">
        <v>164</v>
      </c>
      <c r="I251" s="74"/>
      <c r="J251" s="74" t="s">
        <v>21</v>
      </c>
      <c r="K251" s="74">
        <v>1</v>
      </c>
      <c r="L251" s="74" t="s">
        <v>175</v>
      </c>
      <c r="M251" s="74">
        <f t="shared" si="34"/>
        <v>25</v>
      </c>
      <c r="O251" s="67">
        <f t="shared" si="35"/>
        <v>0.0344827586206897</v>
      </c>
      <c r="P251" s="67">
        <v>10800</v>
      </c>
    </row>
    <row r="252" spans="1:16">
      <c r="A252" s="78">
        <v>250</v>
      </c>
      <c r="B252" s="74">
        <v>10800</v>
      </c>
      <c r="C252" s="74">
        <v>5</v>
      </c>
      <c r="D252" s="74">
        <f t="shared" si="37"/>
        <v>300</v>
      </c>
      <c r="E252" s="74">
        <f t="shared" si="36"/>
        <v>325</v>
      </c>
      <c r="F252" s="74"/>
      <c r="G252" s="74">
        <v>112006</v>
      </c>
      <c r="H252" s="74" t="s">
        <v>164</v>
      </c>
      <c r="I252" s="74"/>
      <c r="J252" s="74" t="s">
        <v>21</v>
      </c>
      <c r="K252" s="74">
        <v>1</v>
      </c>
      <c r="L252" s="74" t="s">
        <v>175</v>
      </c>
      <c r="M252" s="74">
        <f t="shared" si="34"/>
        <v>25</v>
      </c>
      <c r="O252" s="67">
        <f t="shared" si="35"/>
        <v>0.0344827586206897</v>
      </c>
      <c r="P252" s="67">
        <v>10800</v>
      </c>
    </row>
    <row r="253" spans="1:16">
      <c r="A253" s="78">
        <v>251</v>
      </c>
      <c r="B253" s="74">
        <v>10800</v>
      </c>
      <c r="C253" s="74">
        <v>5</v>
      </c>
      <c r="D253" s="74">
        <f t="shared" si="37"/>
        <v>325</v>
      </c>
      <c r="E253" s="74">
        <f t="shared" si="36"/>
        <v>350</v>
      </c>
      <c r="F253" s="74"/>
      <c r="G253" s="74">
        <v>114006</v>
      </c>
      <c r="H253" s="74" t="s">
        <v>165</v>
      </c>
      <c r="I253" s="74"/>
      <c r="J253" s="74" t="s">
        <v>21</v>
      </c>
      <c r="K253" s="74">
        <v>1</v>
      </c>
      <c r="L253" s="74" t="s">
        <v>175</v>
      </c>
      <c r="M253" s="74">
        <f t="shared" si="34"/>
        <v>25</v>
      </c>
      <c r="O253" s="67">
        <f t="shared" si="35"/>
        <v>0.0344827586206897</v>
      </c>
      <c r="P253" s="67">
        <v>10800</v>
      </c>
    </row>
    <row r="254" spans="1:16">
      <c r="A254" s="78">
        <v>252</v>
      </c>
      <c r="B254" s="74">
        <v>10800</v>
      </c>
      <c r="C254" s="74">
        <v>5</v>
      </c>
      <c r="D254" s="74">
        <f t="shared" si="37"/>
        <v>350</v>
      </c>
      <c r="E254" s="74">
        <f t="shared" si="36"/>
        <v>375</v>
      </c>
      <c r="F254" s="74"/>
      <c r="G254" s="74">
        <v>115006</v>
      </c>
      <c r="H254" s="74" t="s">
        <v>166</v>
      </c>
      <c r="I254" s="74"/>
      <c r="J254" s="74" t="s">
        <v>21</v>
      </c>
      <c r="K254" s="74">
        <v>1</v>
      </c>
      <c r="L254" s="74" t="s">
        <v>175</v>
      </c>
      <c r="M254" s="74">
        <f t="shared" si="34"/>
        <v>25</v>
      </c>
      <c r="O254" s="67">
        <f t="shared" si="35"/>
        <v>0.0344827586206897</v>
      </c>
      <c r="P254" s="67">
        <v>10800</v>
      </c>
    </row>
    <row r="255" spans="1:16">
      <c r="A255" s="78">
        <v>253</v>
      </c>
      <c r="B255" s="74">
        <v>10810</v>
      </c>
      <c r="C255" s="74">
        <v>5</v>
      </c>
      <c r="D255" s="74">
        <f t="shared" si="37"/>
        <v>375</v>
      </c>
      <c r="E255" s="74">
        <f t="shared" si="36"/>
        <v>425</v>
      </c>
      <c r="F255" s="74"/>
      <c r="G255" s="74">
        <v>200006</v>
      </c>
      <c r="H255" s="74" t="s">
        <v>167</v>
      </c>
      <c r="I255" s="74"/>
      <c r="J255" s="74" t="s">
        <v>34</v>
      </c>
      <c r="K255" s="74">
        <v>1</v>
      </c>
      <c r="L255" s="74" t="s">
        <v>175</v>
      </c>
      <c r="M255" s="74">
        <f t="shared" si="34"/>
        <v>50</v>
      </c>
      <c r="O255" s="67">
        <f t="shared" si="35"/>
        <v>0.0689655172413793</v>
      </c>
      <c r="P255" s="67">
        <v>10810</v>
      </c>
    </row>
    <row r="256" spans="1:16">
      <c r="A256" s="78">
        <v>254</v>
      </c>
      <c r="B256" s="74">
        <v>10810</v>
      </c>
      <c r="C256" s="74">
        <v>5</v>
      </c>
      <c r="D256" s="74">
        <f t="shared" si="37"/>
        <v>425</v>
      </c>
      <c r="E256" s="74">
        <f t="shared" si="36"/>
        <v>475</v>
      </c>
      <c r="F256" s="74"/>
      <c r="G256" s="74">
        <v>300006</v>
      </c>
      <c r="H256" s="74" t="s">
        <v>168</v>
      </c>
      <c r="I256" s="74"/>
      <c r="J256" s="74" t="s">
        <v>36</v>
      </c>
      <c r="K256" s="74">
        <v>1</v>
      </c>
      <c r="L256" s="74" t="s">
        <v>175</v>
      </c>
      <c r="M256" s="74">
        <f t="shared" si="34"/>
        <v>50</v>
      </c>
      <c r="O256" s="67">
        <f t="shared" si="35"/>
        <v>0.0689655172413793</v>
      </c>
      <c r="P256" s="67">
        <v>10810</v>
      </c>
    </row>
    <row r="257" spans="1:16">
      <c r="A257" s="78">
        <v>255</v>
      </c>
      <c r="B257" s="74">
        <v>10810</v>
      </c>
      <c r="C257" s="74">
        <v>5</v>
      </c>
      <c r="D257" s="74">
        <f t="shared" si="37"/>
        <v>475</v>
      </c>
      <c r="E257" s="74">
        <f t="shared" si="36"/>
        <v>525</v>
      </c>
      <c r="F257" s="74"/>
      <c r="G257" s="74">
        <v>400006</v>
      </c>
      <c r="H257" s="74" t="s">
        <v>169</v>
      </c>
      <c r="I257" s="74"/>
      <c r="J257" s="74" t="s">
        <v>38</v>
      </c>
      <c r="K257" s="74">
        <v>1</v>
      </c>
      <c r="L257" s="74" t="s">
        <v>175</v>
      </c>
      <c r="M257" s="74">
        <f t="shared" si="34"/>
        <v>50</v>
      </c>
      <c r="O257" s="67">
        <f t="shared" si="35"/>
        <v>0.0689655172413793</v>
      </c>
      <c r="P257" s="67">
        <v>10810</v>
      </c>
    </row>
    <row r="258" spans="1:16">
      <c r="A258" s="78">
        <v>256</v>
      </c>
      <c r="B258" s="74">
        <v>10810</v>
      </c>
      <c r="C258" s="74">
        <v>5</v>
      </c>
      <c r="D258" s="74">
        <f t="shared" si="37"/>
        <v>525</v>
      </c>
      <c r="E258" s="74">
        <f t="shared" si="36"/>
        <v>575</v>
      </c>
      <c r="F258" s="74"/>
      <c r="G258" s="74">
        <v>500006</v>
      </c>
      <c r="H258" s="74" t="s">
        <v>170</v>
      </c>
      <c r="I258" s="74"/>
      <c r="J258" s="74" t="s">
        <v>40</v>
      </c>
      <c r="K258" s="74">
        <v>1</v>
      </c>
      <c r="L258" s="74" t="s">
        <v>175</v>
      </c>
      <c r="M258" s="74">
        <f t="shared" si="34"/>
        <v>50</v>
      </c>
      <c r="O258" s="67">
        <f t="shared" si="35"/>
        <v>0.0689655172413793</v>
      </c>
      <c r="P258" s="67">
        <v>10810</v>
      </c>
    </row>
    <row r="259" spans="1:16">
      <c r="A259" s="78">
        <v>257</v>
      </c>
      <c r="B259" s="74">
        <v>10810</v>
      </c>
      <c r="C259" s="74">
        <v>5</v>
      </c>
      <c r="D259" s="74">
        <f t="shared" si="37"/>
        <v>575</v>
      </c>
      <c r="E259" s="74">
        <f t="shared" si="36"/>
        <v>625</v>
      </c>
      <c r="F259" s="74"/>
      <c r="G259" s="74">
        <v>600006</v>
      </c>
      <c r="H259" s="74" t="s">
        <v>171</v>
      </c>
      <c r="I259" s="74"/>
      <c r="J259" s="74" t="s">
        <v>42</v>
      </c>
      <c r="K259" s="74">
        <v>1</v>
      </c>
      <c r="L259" s="74" t="s">
        <v>175</v>
      </c>
      <c r="M259" s="74">
        <f t="shared" si="34"/>
        <v>50</v>
      </c>
      <c r="O259" s="67">
        <f t="shared" si="35"/>
        <v>0.0689655172413793</v>
      </c>
      <c r="P259" s="67">
        <v>10810</v>
      </c>
    </row>
    <row r="260" spans="1:16">
      <c r="A260" s="78">
        <v>258</v>
      </c>
      <c r="B260" s="74">
        <v>10810</v>
      </c>
      <c r="C260" s="74">
        <v>5</v>
      </c>
      <c r="D260" s="74">
        <f t="shared" si="37"/>
        <v>625</v>
      </c>
      <c r="E260" s="74">
        <f t="shared" si="36"/>
        <v>675</v>
      </c>
      <c r="F260" s="74"/>
      <c r="G260" s="74">
        <v>700006</v>
      </c>
      <c r="H260" s="74" t="s">
        <v>172</v>
      </c>
      <c r="I260" s="74"/>
      <c r="J260" s="74" t="s">
        <v>44</v>
      </c>
      <c r="K260" s="74">
        <v>1</v>
      </c>
      <c r="L260" s="74" t="s">
        <v>175</v>
      </c>
      <c r="M260" s="74">
        <f t="shared" si="34"/>
        <v>50</v>
      </c>
      <c r="O260" s="67">
        <f t="shared" si="35"/>
        <v>0.0689655172413793</v>
      </c>
      <c r="P260" s="67">
        <v>10810</v>
      </c>
    </row>
    <row r="261" spans="1:16">
      <c r="A261" s="78">
        <v>259</v>
      </c>
      <c r="B261" s="74">
        <v>10810</v>
      </c>
      <c r="C261" s="74">
        <v>5</v>
      </c>
      <c r="D261" s="74">
        <f t="shared" si="37"/>
        <v>675</v>
      </c>
      <c r="E261" s="74">
        <f t="shared" si="36"/>
        <v>725</v>
      </c>
      <c r="F261" s="74"/>
      <c r="G261" s="74">
        <v>800006</v>
      </c>
      <c r="H261" s="74" t="s">
        <v>173</v>
      </c>
      <c r="I261" s="74"/>
      <c r="J261" s="74" t="s">
        <v>46</v>
      </c>
      <c r="K261" s="74">
        <v>1</v>
      </c>
      <c r="L261" s="74" t="s">
        <v>175</v>
      </c>
      <c r="M261" s="74">
        <f t="shared" si="34"/>
        <v>50</v>
      </c>
      <c r="O261" s="67">
        <f t="shared" si="35"/>
        <v>0.0689655172413793</v>
      </c>
      <c r="P261" s="67">
        <v>10810</v>
      </c>
    </row>
    <row r="262" spans="1:16">
      <c r="A262" s="69">
        <v>260</v>
      </c>
      <c r="B262" s="74">
        <v>10810</v>
      </c>
      <c r="C262" s="74">
        <v>4</v>
      </c>
      <c r="D262" s="74">
        <f t="shared" si="37"/>
        <v>725</v>
      </c>
      <c r="E262" s="74">
        <f>D262+L262</f>
        <v>745</v>
      </c>
      <c r="F262" s="74"/>
      <c r="G262" s="74">
        <v>104402</v>
      </c>
      <c r="H262" s="74" t="s">
        <v>49</v>
      </c>
      <c r="I262" s="74"/>
      <c r="J262" s="74" t="s">
        <v>50</v>
      </c>
      <c r="K262" s="74">
        <v>1</v>
      </c>
      <c r="L262" s="74">
        <v>20</v>
      </c>
      <c r="M262" s="74"/>
      <c r="O262" s="67">
        <f>(E262-D262)/$E$27</f>
        <v>0.0180505415162455</v>
      </c>
    </row>
    <row r="263" spans="1:16">
      <c r="A263" s="69">
        <v>261</v>
      </c>
      <c r="B263" s="74">
        <v>10810</v>
      </c>
      <c r="C263" s="74">
        <v>4</v>
      </c>
      <c r="D263" s="74">
        <f t="shared" si="37"/>
        <v>745</v>
      </c>
      <c r="E263" s="74">
        <f>D263+L263</f>
        <v>765</v>
      </c>
      <c r="F263" s="74"/>
      <c r="G263" s="74">
        <v>105504</v>
      </c>
      <c r="H263" s="74" t="s">
        <v>51</v>
      </c>
      <c r="I263" s="74"/>
      <c r="J263" s="74" t="s">
        <v>50</v>
      </c>
      <c r="K263" s="74">
        <v>1</v>
      </c>
      <c r="L263" s="74">
        <v>20</v>
      </c>
      <c r="M263" s="74"/>
      <c r="O263" s="67">
        <f>(E263-D263)/$E$27</f>
        <v>0.0180505415162455</v>
      </c>
    </row>
    <row r="264" spans="1:16">
      <c r="A264" s="69">
        <v>262</v>
      </c>
      <c r="B264" s="74">
        <v>10810</v>
      </c>
      <c r="C264" s="74">
        <v>4</v>
      </c>
      <c r="D264" s="74">
        <f t="shared" si="37"/>
        <v>765</v>
      </c>
      <c r="E264" s="74">
        <f>D264+L264</f>
        <v>785</v>
      </c>
      <c r="F264" s="74"/>
      <c r="G264" s="74">
        <v>102905</v>
      </c>
      <c r="H264" s="74" t="s">
        <v>52</v>
      </c>
      <c r="I264" s="74"/>
      <c r="J264" s="74" t="s">
        <v>50</v>
      </c>
      <c r="K264" s="74">
        <v>1</v>
      </c>
      <c r="L264" s="74">
        <v>20</v>
      </c>
      <c r="M264" s="74"/>
      <c r="O264" s="67">
        <f>(E264-D264)/$E$27</f>
        <v>0.0180505415162455</v>
      </c>
    </row>
    <row r="265" spans="1:16">
      <c r="A265" s="69">
        <v>263</v>
      </c>
      <c r="B265" s="74">
        <v>10810</v>
      </c>
      <c r="C265" s="74">
        <v>4</v>
      </c>
      <c r="D265" s="74">
        <f t="shared" si="37"/>
        <v>785</v>
      </c>
      <c r="E265" s="74">
        <f>D265+L265</f>
        <v>805</v>
      </c>
      <c r="F265" s="74"/>
      <c r="G265" s="74">
        <v>105604</v>
      </c>
      <c r="H265" s="74" t="s">
        <v>53</v>
      </c>
      <c r="I265" s="74"/>
      <c r="J265" s="74" t="s">
        <v>50</v>
      </c>
      <c r="K265" s="74">
        <v>1</v>
      </c>
      <c r="L265" s="74">
        <v>20</v>
      </c>
      <c r="M265" s="74"/>
      <c r="O265" s="67">
        <f>(E265-D265)/$E$27</f>
        <v>0.0180505415162455</v>
      </c>
    </row>
    <row r="266" spans="1:16">
      <c r="A266" s="69">
        <v>264</v>
      </c>
      <c r="B266" s="74">
        <v>10810</v>
      </c>
      <c r="C266" s="74">
        <v>4</v>
      </c>
      <c r="D266" s="74">
        <f t="shared" si="37"/>
        <v>805</v>
      </c>
      <c r="E266" s="74">
        <f>D266+L266</f>
        <v>825</v>
      </c>
      <c r="F266" s="74"/>
      <c r="G266" s="74">
        <v>1021005</v>
      </c>
      <c r="H266" s="74" t="s">
        <v>54</v>
      </c>
      <c r="I266" s="74"/>
      <c r="J266" s="74" t="s">
        <v>50</v>
      </c>
      <c r="K266" s="74">
        <v>1</v>
      </c>
      <c r="L266" s="74">
        <v>20</v>
      </c>
      <c r="M266" s="74"/>
      <c r="O266" s="67">
        <f>(E266-D266)/$E$27</f>
        <v>0.0180505415162455</v>
      </c>
    </row>
    <row r="267" spans="1:16">
      <c r="A267" s="79">
        <v>265</v>
      </c>
      <c r="B267" s="74">
        <v>10900</v>
      </c>
      <c r="C267" s="74">
        <v>5</v>
      </c>
      <c r="D267" s="74">
        <v>0</v>
      </c>
      <c r="E267" s="74">
        <f>M267</f>
        <v>25</v>
      </c>
      <c r="F267" s="74"/>
      <c r="G267" s="74">
        <v>101007</v>
      </c>
      <c r="H267" s="74" t="s">
        <v>176</v>
      </c>
      <c r="I267" s="74"/>
      <c r="J267" s="74" t="s">
        <v>21</v>
      </c>
      <c r="K267" s="74">
        <v>1</v>
      </c>
      <c r="L267" s="74" t="s">
        <v>177</v>
      </c>
      <c r="M267" s="74">
        <v>25</v>
      </c>
      <c r="O267" s="67">
        <f t="shared" ref="O267:O288" si="38">(E267-D267)/$E$288</f>
        <v>0.0344827586206897</v>
      </c>
      <c r="P267" s="67">
        <v>10900</v>
      </c>
    </row>
    <row r="268" spans="1:16">
      <c r="A268" s="79">
        <v>266</v>
      </c>
      <c r="B268" s="74">
        <v>10900</v>
      </c>
      <c r="C268" s="74">
        <v>5</v>
      </c>
      <c r="D268" s="74">
        <f>E267</f>
        <v>25</v>
      </c>
      <c r="E268" s="74">
        <f t="shared" ref="E268:E288" si="39">D268+M268</f>
        <v>50</v>
      </c>
      <c r="F268" s="74"/>
      <c r="G268" s="74">
        <v>102007</v>
      </c>
      <c r="H268" s="74" t="s">
        <v>178</v>
      </c>
      <c r="I268" s="74"/>
      <c r="J268" s="74" t="s">
        <v>21</v>
      </c>
      <c r="K268" s="74">
        <v>1</v>
      </c>
      <c r="L268" s="74" t="s">
        <v>177</v>
      </c>
      <c r="M268" s="74">
        <v>25</v>
      </c>
      <c r="O268" s="67">
        <f t="shared" si="38"/>
        <v>0.0344827586206897</v>
      </c>
      <c r="P268" s="67">
        <v>10900</v>
      </c>
    </row>
    <row r="269" spans="1:16">
      <c r="A269" s="79">
        <v>267</v>
      </c>
      <c r="B269" s="74">
        <v>10900</v>
      </c>
      <c r="C269" s="74">
        <v>5</v>
      </c>
      <c r="D269" s="74">
        <f t="shared" ref="D269:D293" si="40">E268</f>
        <v>50</v>
      </c>
      <c r="E269" s="74">
        <f t="shared" si="39"/>
        <v>75</v>
      </c>
      <c r="F269" s="74"/>
      <c r="G269" s="74">
        <v>102107</v>
      </c>
      <c r="H269" s="74" t="s">
        <v>179</v>
      </c>
      <c r="I269" s="74"/>
      <c r="J269" s="74" t="s">
        <v>21</v>
      </c>
      <c r="K269" s="74">
        <v>1</v>
      </c>
      <c r="L269" s="74" t="s">
        <v>177</v>
      </c>
      <c r="M269" s="74">
        <v>25</v>
      </c>
      <c r="O269" s="67">
        <f t="shared" si="38"/>
        <v>0.0344827586206897</v>
      </c>
      <c r="P269" s="67">
        <v>10900</v>
      </c>
    </row>
    <row r="270" spans="1:16">
      <c r="A270" s="79">
        <v>268</v>
      </c>
      <c r="B270" s="74">
        <v>10900</v>
      </c>
      <c r="C270" s="74">
        <v>5</v>
      </c>
      <c r="D270" s="74">
        <f t="shared" si="40"/>
        <v>75</v>
      </c>
      <c r="E270" s="74">
        <f t="shared" si="39"/>
        <v>100</v>
      </c>
      <c r="F270" s="74"/>
      <c r="G270" s="74">
        <v>103007</v>
      </c>
      <c r="H270" s="74" t="s">
        <v>180</v>
      </c>
      <c r="I270" s="74"/>
      <c r="J270" s="74" t="s">
        <v>21</v>
      </c>
      <c r="K270" s="74">
        <v>1</v>
      </c>
      <c r="L270" s="74" t="s">
        <v>177</v>
      </c>
      <c r="M270" s="74">
        <v>25</v>
      </c>
      <c r="O270" s="67">
        <f t="shared" si="38"/>
        <v>0.0344827586206897</v>
      </c>
      <c r="P270" s="67">
        <v>10900</v>
      </c>
    </row>
    <row r="271" spans="1:16">
      <c r="A271" s="79">
        <v>269</v>
      </c>
      <c r="B271" s="74">
        <v>10900</v>
      </c>
      <c r="C271" s="74">
        <v>5</v>
      </c>
      <c r="D271" s="74">
        <f t="shared" si="40"/>
        <v>100</v>
      </c>
      <c r="E271" s="74">
        <f t="shared" si="39"/>
        <v>125</v>
      </c>
      <c r="F271" s="74"/>
      <c r="G271" s="74">
        <v>104007</v>
      </c>
      <c r="H271" s="74" t="s">
        <v>181</v>
      </c>
      <c r="I271" s="74"/>
      <c r="J271" s="74" t="s">
        <v>21</v>
      </c>
      <c r="K271" s="74">
        <v>1</v>
      </c>
      <c r="L271" s="74" t="s">
        <v>177</v>
      </c>
      <c r="M271" s="74">
        <v>25</v>
      </c>
      <c r="O271" s="67">
        <f t="shared" si="38"/>
        <v>0.0344827586206897</v>
      </c>
      <c r="P271" s="67">
        <v>10900</v>
      </c>
    </row>
    <row r="272" spans="1:16">
      <c r="A272" s="79">
        <v>270</v>
      </c>
      <c r="B272" s="74">
        <v>10900</v>
      </c>
      <c r="C272" s="74">
        <v>5</v>
      </c>
      <c r="D272" s="74">
        <f t="shared" si="40"/>
        <v>125</v>
      </c>
      <c r="E272" s="74">
        <f t="shared" si="39"/>
        <v>150</v>
      </c>
      <c r="F272" s="74"/>
      <c r="G272" s="74">
        <v>104107</v>
      </c>
      <c r="H272" s="74" t="s">
        <v>182</v>
      </c>
      <c r="I272" s="74"/>
      <c r="J272" s="74" t="s">
        <v>21</v>
      </c>
      <c r="K272" s="74">
        <v>1</v>
      </c>
      <c r="L272" s="74" t="s">
        <v>177</v>
      </c>
      <c r="M272" s="74">
        <v>25</v>
      </c>
      <c r="O272" s="67">
        <f t="shared" si="38"/>
        <v>0.0344827586206897</v>
      </c>
      <c r="P272" s="67">
        <v>10900</v>
      </c>
    </row>
    <row r="273" spans="1:16">
      <c r="A273" s="79">
        <v>271</v>
      </c>
      <c r="B273" s="74">
        <v>10900</v>
      </c>
      <c r="C273" s="74">
        <v>5</v>
      </c>
      <c r="D273" s="74">
        <f t="shared" si="40"/>
        <v>150</v>
      </c>
      <c r="E273" s="74">
        <f t="shared" si="39"/>
        <v>175</v>
      </c>
      <c r="F273" s="74"/>
      <c r="G273" s="74">
        <v>105007</v>
      </c>
      <c r="H273" s="74" t="s">
        <v>183</v>
      </c>
      <c r="I273" s="74"/>
      <c r="J273" s="74" t="s">
        <v>21</v>
      </c>
      <c r="K273" s="74">
        <v>1</v>
      </c>
      <c r="L273" s="74" t="s">
        <v>177</v>
      </c>
      <c r="M273" s="74">
        <v>25</v>
      </c>
      <c r="O273" s="67">
        <f t="shared" si="38"/>
        <v>0.0344827586206897</v>
      </c>
      <c r="P273" s="67">
        <v>10900</v>
      </c>
    </row>
    <row r="274" spans="1:16">
      <c r="A274" s="79">
        <v>272</v>
      </c>
      <c r="B274" s="74">
        <v>10900</v>
      </c>
      <c r="C274" s="74">
        <v>5</v>
      </c>
      <c r="D274" s="74">
        <f t="shared" si="40"/>
        <v>175</v>
      </c>
      <c r="E274" s="74">
        <f t="shared" si="39"/>
        <v>200</v>
      </c>
      <c r="F274" s="74"/>
      <c r="G274" s="74">
        <v>106007</v>
      </c>
      <c r="H274" s="74" t="s">
        <v>184</v>
      </c>
      <c r="I274" s="74"/>
      <c r="J274" s="74" t="s">
        <v>21</v>
      </c>
      <c r="K274" s="74">
        <v>1</v>
      </c>
      <c r="L274" s="74" t="s">
        <v>177</v>
      </c>
      <c r="M274" s="74">
        <v>25</v>
      </c>
      <c r="O274" s="67">
        <f t="shared" si="38"/>
        <v>0.0344827586206897</v>
      </c>
      <c r="P274" s="67">
        <v>10900</v>
      </c>
    </row>
    <row r="275" spans="1:16">
      <c r="A275" s="79">
        <v>273</v>
      </c>
      <c r="B275" s="74">
        <v>10900</v>
      </c>
      <c r="C275" s="74">
        <v>5</v>
      </c>
      <c r="D275" s="74">
        <f t="shared" si="40"/>
        <v>200</v>
      </c>
      <c r="E275" s="74">
        <f t="shared" si="39"/>
        <v>225</v>
      </c>
      <c r="F275" s="74"/>
      <c r="G275" s="74">
        <v>109007</v>
      </c>
      <c r="H275" s="74" t="s">
        <v>185</v>
      </c>
      <c r="I275" s="74"/>
      <c r="J275" s="74" t="s">
        <v>21</v>
      </c>
      <c r="K275" s="74">
        <v>1</v>
      </c>
      <c r="L275" s="74" t="s">
        <v>177</v>
      </c>
      <c r="M275" s="74">
        <v>25</v>
      </c>
      <c r="O275" s="67">
        <f t="shared" si="38"/>
        <v>0.0344827586206897</v>
      </c>
      <c r="P275" s="67">
        <v>10900</v>
      </c>
    </row>
    <row r="276" spans="1:16">
      <c r="A276" s="79">
        <v>274</v>
      </c>
      <c r="B276" s="74">
        <v>10900</v>
      </c>
      <c r="C276" s="74">
        <v>5</v>
      </c>
      <c r="D276" s="74">
        <f t="shared" si="40"/>
        <v>225</v>
      </c>
      <c r="E276" s="74">
        <f t="shared" si="39"/>
        <v>250</v>
      </c>
      <c r="F276" s="74"/>
      <c r="G276" s="74">
        <v>110007</v>
      </c>
      <c r="H276" s="74" t="s">
        <v>186</v>
      </c>
      <c r="I276" s="74"/>
      <c r="J276" s="74" t="s">
        <v>21</v>
      </c>
      <c r="K276" s="74">
        <v>1</v>
      </c>
      <c r="L276" s="74" t="s">
        <v>177</v>
      </c>
      <c r="M276" s="74">
        <v>25</v>
      </c>
      <c r="O276" s="67">
        <f t="shared" si="38"/>
        <v>0.0344827586206897</v>
      </c>
      <c r="P276" s="67">
        <v>10900</v>
      </c>
    </row>
    <row r="277" spans="1:16">
      <c r="A277" s="79">
        <v>275</v>
      </c>
      <c r="B277" s="74">
        <v>10900</v>
      </c>
      <c r="C277" s="74">
        <v>5</v>
      </c>
      <c r="D277" s="74">
        <f t="shared" si="40"/>
        <v>250</v>
      </c>
      <c r="E277" s="74">
        <f t="shared" si="39"/>
        <v>275</v>
      </c>
      <c r="F277" s="74"/>
      <c r="G277" s="74">
        <v>111007</v>
      </c>
      <c r="H277" s="74" t="s">
        <v>187</v>
      </c>
      <c r="I277" s="74"/>
      <c r="J277" s="74" t="s">
        <v>21</v>
      </c>
      <c r="K277" s="74">
        <v>1</v>
      </c>
      <c r="L277" s="74" t="s">
        <v>177</v>
      </c>
      <c r="M277" s="74">
        <v>25</v>
      </c>
      <c r="O277" s="67">
        <f t="shared" si="38"/>
        <v>0.0344827586206897</v>
      </c>
      <c r="P277" s="67">
        <v>10900</v>
      </c>
    </row>
    <row r="278" spans="1:16">
      <c r="A278" s="79">
        <v>276</v>
      </c>
      <c r="B278" s="74">
        <v>10900</v>
      </c>
      <c r="C278" s="74">
        <v>5</v>
      </c>
      <c r="D278" s="74">
        <f t="shared" si="40"/>
        <v>275</v>
      </c>
      <c r="E278" s="74">
        <f t="shared" si="39"/>
        <v>300</v>
      </c>
      <c r="F278" s="74"/>
      <c r="G278" s="74">
        <v>112007</v>
      </c>
      <c r="H278" s="74" t="s">
        <v>188</v>
      </c>
      <c r="I278" s="74"/>
      <c r="J278" s="74" t="s">
        <v>21</v>
      </c>
      <c r="K278" s="74">
        <v>1</v>
      </c>
      <c r="L278" s="74" t="s">
        <v>177</v>
      </c>
      <c r="M278" s="74">
        <v>25</v>
      </c>
      <c r="O278" s="67">
        <f t="shared" si="38"/>
        <v>0.0344827586206897</v>
      </c>
      <c r="P278" s="67">
        <v>10900</v>
      </c>
    </row>
    <row r="279" spans="1:16">
      <c r="A279" s="79">
        <v>277</v>
      </c>
      <c r="B279" s="74">
        <v>10900</v>
      </c>
      <c r="C279" s="74">
        <v>5</v>
      </c>
      <c r="D279" s="74">
        <f t="shared" si="40"/>
        <v>300</v>
      </c>
      <c r="E279" s="74">
        <f t="shared" si="39"/>
        <v>325</v>
      </c>
      <c r="F279" s="74"/>
      <c r="G279" s="74">
        <v>112007</v>
      </c>
      <c r="H279" s="74" t="s">
        <v>188</v>
      </c>
      <c r="I279" s="74"/>
      <c r="J279" s="74" t="s">
        <v>21</v>
      </c>
      <c r="K279" s="74">
        <v>1</v>
      </c>
      <c r="L279" s="74" t="s">
        <v>177</v>
      </c>
      <c r="M279" s="74">
        <v>25</v>
      </c>
      <c r="O279" s="67">
        <f t="shared" si="38"/>
        <v>0.0344827586206897</v>
      </c>
      <c r="P279" s="67">
        <v>10900</v>
      </c>
    </row>
    <row r="280" spans="1:16">
      <c r="A280" s="79">
        <v>278</v>
      </c>
      <c r="B280" s="74">
        <v>10900</v>
      </c>
      <c r="C280" s="74">
        <v>5</v>
      </c>
      <c r="D280" s="74">
        <f t="shared" si="40"/>
        <v>325</v>
      </c>
      <c r="E280" s="74">
        <f t="shared" si="39"/>
        <v>350</v>
      </c>
      <c r="F280" s="74"/>
      <c r="G280" s="74">
        <v>114007</v>
      </c>
      <c r="H280" s="74" t="s">
        <v>189</v>
      </c>
      <c r="I280" s="74"/>
      <c r="J280" s="74" t="s">
        <v>21</v>
      </c>
      <c r="K280" s="74">
        <v>1</v>
      </c>
      <c r="L280" s="74" t="s">
        <v>177</v>
      </c>
      <c r="M280" s="74">
        <v>25</v>
      </c>
      <c r="O280" s="67">
        <f t="shared" si="38"/>
        <v>0.0344827586206897</v>
      </c>
      <c r="P280" s="67">
        <v>10900</v>
      </c>
    </row>
    <row r="281" spans="1:16">
      <c r="A281" s="79">
        <v>279</v>
      </c>
      <c r="B281" s="74">
        <v>10900</v>
      </c>
      <c r="C281" s="74">
        <v>5</v>
      </c>
      <c r="D281" s="74">
        <f t="shared" si="40"/>
        <v>350</v>
      </c>
      <c r="E281" s="74">
        <f t="shared" si="39"/>
        <v>375</v>
      </c>
      <c r="F281" s="74"/>
      <c r="G281" s="74">
        <v>115007</v>
      </c>
      <c r="H281" s="74" t="s">
        <v>190</v>
      </c>
      <c r="I281" s="74"/>
      <c r="J281" s="74" t="s">
        <v>21</v>
      </c>
      <c r="K281" s="74">
        <v>1</v>
      </c>
      <c r="L281" s="74" t="s">
        <v>177</v>
      </c>
      <c r="M281" s="74">
        <v>25</v>
      </c>
      <c r="O281" s="67">
        <f t="shared" si="38"/>
        <v>0.0344827586206897</v>
      </c>
      <c r="P281" s="67">
        <v>10900</v>
      </c>
    </row>
    <row r="282" spans="1:16">
      <c r="A282" s="79">
        <v>280</v>
      </c>
      <c r="B282" s="74">
        <v>10910</v>
      </c>
      <c r="C282" s="74">
        <v>5</v>
      </c>
      <c r="D282" s="74">
        <f t="shared" si="40"/>
        <v>375</v>
      </c>
      <c r="E282" s="74">
        <f t="shared" si="39"/>
        <v>425</v>
      </c>
      <c r="F282" s="74"/>
      <c r="G282" s="74">
        <v>200007</v>
      </c>
      <c r="H282" s="74" t="s">
        <v>191</v>
      </c>
      <c r="I282" s="74"/>
      <c r="J282" s="74" t="s">
        <v>34</v>
      </c>
      <c r="K282" s="74">
        <v>1</v>
      </c>
      <c r="L282" s="74" t="s">
        <v>177</v>
      </c>
      <c r="M282" s="74">
        <v>50</v>
      </c>
      <c r="O282" s="67">
        <f t="shared" si="38"/>
        <v>0.0689655172413793</v>
      </c>
      <c r="P282" s="67">
        <v>10910</v>
      </c>
    </row>
    <row r="283" spans="1:16">
      <c r="A283" s="79">
        <v>281</v>
      </c>
      <c r="B283" s="74">
        <v>10910</v>
      </c>
      <c r="C283" s="74">
        <v>5</v>
      </c>
      <c r="D283" s="74">
        <f t="shared" si="40"/>
        <v>425</v>
      </c>
      <c r="E283" s="74">
        <f t="shared" si="39"/>
        <v>475</v>
      </c>
      <c r="F283" s="74"/>
      <c r="G283" s="74">
        <v>300007</v>
      </c>
      <c r="H283" s="74" t="s">
        <v>192</v>
      </c>
      <c r="I283" s="74"/>
      <c r="J283" s="74" t="s">
        <v>36</v>
      </c>
      <c r="K283" s="74">
        <v>1</v>
      </c>
      <c r="L283" s="74" t="s">
        <v>177</v>
      </c>
      <c r="M283" s="74">
        <v>50</v>
      </c>
      <c r="O283" s="67">
        <f t="shared" si="38"/>
        <v>0.0689655172413793</v>
      </c>
      <c r="P283" s="67">
        <v>10910</v>
      </c>
    </row>
    <row r="284" spans="1:16">
      <c r="A284" s="79">
        <v>282</v>
      </c>
      <c r="B284" s="74">
        <v>10910</v>
      </c>
      <c r="C284" s="74">
        <v>5</v>
      </c>
      <c r="D284" s="74">
        <f t="shared" si="40"/>
        <v>475</v>
      </c>
      <c r="E284" s="74">
        <f t="shared" si="39"/>
        <v>525</v>
      </c>
      <c r="F284" s="74"/>
      <c r="G284" s="74">
        <v>400007</v>
      </c>
      <c r="H284" s="74" t="s">
        <v>193</v>
      </c>
      <c r="I284" s="74"/>
      <c r="J284" s="74" t="s">
        <v>38</v>
      </c>
      <c r="K284" s="74">
        <v>1</v>
      </c>
      <c r="L284" s="74" t="s">
        <v>177</v>
      </c>
      <c r="M284" s="74">
        <v>50</v>
      </c>
      <c r="O284" s="67">
        <f t="shared" si="38"/>
        <v>0.0689655172413793</v>
      </c>
      <c r="P284" s="67">
        <v>10910</v>
      </c>
    </row>
    <row r="285" spans="1:16">
      <c r="A285" s="79">
        <v>283</v>
      </c>
      <c r="B285" s="74">
        <v>10910</v>
      </c>
      <c r="C285" s="74">
        <v>5</v>
      </c>
      <c r="D285" s="74">
        <f t="shared" si="40"/>
        <v>525</v>
      </c>
      <c r="E285" s="74">
        <f t="shared" si="39"/>
        <v>575</v>
      </c>
      <c r="F285" s="74"/>
      <c r="G285" s="74">
        <v>500007</v>
      </c>
      <c r="H285" s="74" t="s">
        <v>194</v>
      </c>
      <c r="I285" s="74"/>
      <c r="J285" s="74" t="s">
        <v>40</v>
      </c>
      <c r="K285" s="74">
        <v>1</v>
      </c>
      <c r="L285" s="74" t="s">
        <v>177</v>
      </c>
      <c r="M285" s="74">
        <v>50</v>
      </c>
      <c r="O285" s="67">
        <f t="shared" si="38"/>
        <v>0.0689655172413793</v>
      </c>
      <c r="P285" s="67">
        <v>10910</v>
      </c>
    </row>
    <row r="286" spans="1:16">
      <c r="A286" s="79">
        <v>284</v>
      </c>
      <c r="B286" s="74">
        <v>10910</v>
      </c>
      <c r="C286" s="74">
        <v>5</v>
      </c>
      <c r="D286" s="74">
        <f t="shared" si="40"/>
        <v>575</v>
      </c>
      <c r="E286" s="74">
        <f t="shared" si="39"/>
        <v>625</v>
      </c>
      <c r="F286" s="74"/>
      <c r="G286" s="74">
        <v>600007</v>
      </c>
      <c r="H286" s="74" t="s">
        <v>195</v>
      </c>
      <c r="I286" s="74"/>
      <c r="J286" s="74" t="s">
        <v>42</v>
      </c>
      <c r="K286" s="74">
        <v>1</v>
      </c>
      <c r="L286" s="74" t="s">
        <v>177</v>
      </c>
      <c r="M286" s="74">
        <v>50</v>
      </c>
      <c r="O286" s="67">
        <f t="shared" si="38"/>
        <v>0.0689655172413793</v>
      </c>
      <c r="P286" s="67">
        <v>10910</v>
      </c>
    </row>
    <row r="287" spans="1:16">
      <c r="A287" s="79">
        <v>285</v>
      </c>
      <c r="B287" s="74">
        <v>10910</v>
      </c>
      <c r="C287" s="74">
        <v>5</v>
      </c>
      <c r="D287" s="74">
        <f t="shared" si="40"/>
        <v>625</v>
      </c>
      <c r="E287" s="74">
        <f t="shared" si="39"/>
        <v>675</v>
      </c>
      <c r="F287" s="74"/>
      <c r="G287" s="74">
        <v>700007</v>
      </c>
      <c r="H287" s="74" t="s">
        <v>196</v>
      </c>
      <c r="I287" s="74"/>
      <c r="J287" s="74" t="s">
        <v>44</v>
      </c>
      <c r="K287" s="74">
        <v>1</v>
      </c>
      <c r="L287" s="74" t="s">
        <v>177</v>
      </c>
      <c r="M287" s="74">
        <v>50</v>
      </c>
      <c r="O287" s="67">
        <f t="shared" si="38"/>
        <v>0.0689655172413793</v>
      </c>
      <c r="P287" s="67">
        <v>10910</v>
      </c>
    </row>
    <row r="288" spans="1:16">
      <c r="A288" s="79">
        <v>286</v>
      </c>
      <c r="B288" s="74">
        <v>10910</v>
      </c>
      <c r="C288" s="74">
        <v>5</v>
      </c>
      <c r="D288" s="74">
        <f t="shared" si="40"/>
        <v>675</v>
      </c>
      <c r="E288" s="74">
        <f t="shared" si="39"/>
        <v>725</v>
      </c>
      <c r="F288" s="74"/>
      <c r="G288" s="74">
        <v>800007</v>
      </c>
      <c r="H288" s="74" t="s">
        <v>197</v>
      </c>
      <c r="I288" s="74"/>
      <c r="J288" s="74" t="s">
        <v>46</v>
      </c>
      <c r="K288" s="74">
        <v>1</v>
      </c>
      <c r="L288" s="74" t="s">
        <v>177</v>
      </c>
      <c r="M288" s="74">
        <v>50</v>
      </c>
      <c r="O288" s="67">
        <f t="shared" si="38"/>
        <v>0.0689655172413793</v>
      </c>
      <c r="P288" s="67">
        <v>10910</v>
      </c>
    </row>
    <row r="289" spans="1:16">
      <c r="A289" s="69">
        <v>287</v>
      </c>
      <c r="B289" s="74">
        <v>10910</v>
      </c>
      <c r="C289" s="74">
        <v>4</v>
      </c>
      <c r="D289" s="74">
        <f t="shared" si="40"/>
        <v>725</v>
      </c>
      <c r="E289" s="74">
        <f>D289+L289</f>
        <v>745</v>
      </c>
      <c r="F289" s="74"/>
      <c r="G289" s="74">
        <v>104402</v>
      </c>
      <c r="H289" s="74" t="s">
        <v>49</v>
      </c>
      <c r="I289" s="74"/>
      <c r="J289" s="74" t="s">
        <v>50</v>
      </c>
      <c r="K289" s="74">
        <v>1</v>
      </c>
      <c r="L289" s="74">
        <v>20</v>
      </c>
      <c r="M289" s="74"/>
      <c r="O289" s="67">
        <f>(E289-D289)/$E$27</f>
        <v>0.0180505415162455</v>
      </c>
    </row>
    <row r="290" spans="1:16">
      <c r="A290" s="69">
        <v>288</v>
      </c>
      <c r="B290" s="74">
        <v>10910</v>
      </c>
      <c r="C290" s="74">
        <v>4</v>
      </c>
      <c r="D290" s="74">
        <f t="shared" si="40"/>
        <v>745</v>
      </c>
      <c r="E290" s="74">
        <f>D290+L290</f>
        <v>765</v>
      </c>
      <c r="F290" s="74"/>
      <c r="G290" s="74">
        <v>105504</v>
      </c>
      <c r="H290" s="74" t="s">
        <v>51</v>
      </c>
      <c r="I290" s="74"/>
      <c r="J290" s="74" t="s">
        <v>50</v>
      </c>
      <c r="K290" s="74">
        <v>1</v>
      </c>
      <c r="L290" s="74">
        <v>20</v>
      </c>
      <c r="M290" s="74"/>
      <c r="O290" s="67">
        <f>(E290-D290)/$E$27</f>
        <v>0.0180505415162455</v>
      </c>
    </row>
    <row r="291" spans="1:16">
      <c r="A291" s="69">
        <v>289</v>
      </c>
      <c r="B291" s="74">
        <v>10910</v>
      </c>
      <c r="C291" s="74">
        <v>4</v>
      </c>
      <c r="D291" s="74">
        <f t="shared" si="40"/>
        <v>765</v>
      </c>
      <c r="E291" s="74">
        <f>D291+L291</f>
        <v>785</v>
      </c>
      <c r="F291" s="74"/>
      <c r="G291" s="74">
        <v>102905</v>
      </c>
      <c r="H291" s="74" t="s">
        <v>52</v>
      </c>
      <c r="I291" s="74"/>
      <c r="J291" s="74" t="s">
        <v>50</v>
      </c>
      <c r="K291" s="74">
        <v>1</v>
      </c>
      <c r="L291" s="74">
        <v>20</v>
      </c>
      <c r="M291" s="74"/>
      <c r="O291" s="67">
        <f>(E291-D291)/$E$27</f>
        <v>0.0180505415162455</v>
      </c>
    </row>
    <row r="292" spans="1:16">
      <c r="A292" s="69">
        <v>290</v>
      </c>
      <c r="B292" s="74">
        <v>10910</v>
      </c>
      <c r="C292" s="74">
        <v>4</v>
      </c>
      <c r="D292" s="74">
        <f t="shared" si="40"/>
        <v>785</v>
      </c>
      <c r="E292" s="74">
        <f>D292+L292</f>
        <v>805</v>
      </c>
      <c r="F292" s="74"/>
      <c r="G292" s="74">
        <v>105604</v>
      </c>
      <c r="H292" s="74" t="s">
        <v>53</v>
      </c>
      <c r="I292" s="74"/>
      <c r="J292" s="74" t="s">
        <v>50</v>
      </c>
      <c r="K292" s="74">
        <v>1</v>
      </c>
      <c r="L292" s="74">
        <v>20</v>
      </c>
      <c r="M292" s="74"/>
      <c r="O292" s="67">
        <f>(E292-D292)/$E$27</f>
        <v>0.0180505415162455</v>
      </c>
    </row>
    <row r="293" spans="1:16">
      <c r="A293" s="69">
        <v>291</v>
      </c>
      <c r="B293" s="74">
        <v>10910</v>
      </c>
      <c r="C293" s="74">
        <v>4</v>
      </c>
      <c r="D293" s="74">
        <f t="shared" si="40"/>
        <v>805</v>
      </c>
      <c r="E293" s="74">
        <f>D293+L293</f>
        <v>825</v>
      </c>
      <c r="F293" s="74"/>
      <c r="G293" s="74">
        <v>1021005</v>
      </c>
      <c r="H293" s="74" t="s">
        <v>54</v>
      </c>
      <c r="I293" s="74"/>
      <c r="J293" s="74" t="s">
        <v>50</v>
      </c>
      <c r="K293" s="74">
        <v>1</v>
      </c>
      <c r="L293" s="74">
        <v>20</v>
      </c>
      <c r="M293" s="74"/>
      <c r="O293" s="67">
        <f>(E293-D293)/$E$27</f>
        <v>0.0180505415162455</v>
      </c>
    </row>
    <row r="294" spans="1:16">
      <c r="A294" s="72">
        <v>292</v>
      </c>
      <c r="B294" s="72">
        <v>11000</v>
      </c>
      <c r="C294" s="72">
        <v>6</v>
      </c>
      <c r="D294" s="72">
        <v>0</v>
      </c>
      <c r="E294" s="72">
        <f>M294</f>
        <v>150</v>
      </c>
      <c r="F294" s="72"/>
      <c r="G294" s="72">
        <f>VLOOKUP(H294&amp;I294,Sheet2!$J:$K,2,0)</f>
        <v>95101018</v>
      </c>
      <c r="H294" s="72" t="s">
        <v>198</v>
      </c>
      <c r="I294" s="72" t="s">
        <v>199</v>
      </c>
      <c r="J294" s="72" t="s">
        <v>200</v>
      </c>
      <c r="K294" s="72">
        <v>1</v>
      </c>
      <c r="L294" s="72" t="s">
        <v>76</v>
      </c>
      <c r="M294" s="72">
        <f>ROUNDDOWN(VLOOKUP(J294,Sheet1!$N$32:$O$37,2,0)*1000,0)-100</f>
        <v>150</v>
      </c>
      <c r="N294" s="67">
        <f>SUM(O294:O359)</f>
        <v>0.0988717633229702</v>
      </c>
      <c r="O294" s="67">
        <f t="shared" ref="O294:O323" si="41">(E294-D294)/$E$438</f>
        <v>0.0016478627220495</v>
      </c>
      <c r="P294" s="67">
        <v>11000</v>
      </c>
    </row>
    <row r="295" spans="1:16">
      <c r="A295" s="72">
        <v>293</v>
      </c>
      <c r="B295" s="72">
        <v>11000</v>
      </c>
      <c r="C295" s="72">
        <v>6</v>
      </c>
      <c r="D295" s="72">
        <f>E294</f>
        <v>150</v>
      </c>
      <c r="E295" s="72">
        <f t="shared" ref="E295:E329" si="42">D295+M295</f>
        <v>300</v>
      </c>
      <c r="F295" s="72"/>
      <c r="G295" s="72">
        <f>VLOOKUP(H295&amp;I295,Sheet2!$J:$K,2,0)</f>
        <v>95101028</v>
      </c>
      <c r="H295" s="72" t="s">
        <v>201</v>
      </c>
      <c r="I295" s="72" t="s">
        <v>199</v>
      </c>
      <c r="J295" s="72" t="s">
        <v>200</v>
      </c>
      <c r="K295" s="72">
        <v>1</v>
      </c>
      <c r="L295" s="72" t="s">
        <v>76</v>
      </c>
      <c r="M295" s="72">
        <f>ROUNDDOWN(VLOOKUP(J295,Sheet1!$N$32:$O$37,2,0)*1000,0)-100</f>
        <v>150</v>
      </c>
      <c r="O295" s="67">
        <f t="shared" si="41"/>
        <v>0.0016478627220495</v>
      </c>
      <c r="P295" s="67">
        <v>11000</v>
      </c>
    </row>
    <row r="296" spans="1:16">
      <c r="A296" s="72">
        <v>294</v>
      </c>
      <c r="B296" s="72">
        <v>11000</v>
      </c>
      <c r="C296" s="72">
        <v>6</v>
      </c>
      <c r="D296" s="72">
        <f t="shared" ref="D296:D367" si="43">E295</f>
        <v>300</v>
      </c>
      <c r="E296" s="72">
        <f t="shared" si="42"/>
        <v>450</v>
      </c>
      <c r="F296" s="72"/>
      <c r="G296" s="72">
        <f>VLOOKUP(H296&amp;I296,Sheet2!$J:$K,2,0)</f>
        <v>95102018</v>
      </c>
      <c r="H296" s="72" t="s">
        <v>202</v>
      </c>
      <c r="I296" s="72" t="s">
        <v>199</v>
      </c>
      <c r="J296" s="72" t="s">
        <v>200</v>
      </c>
      <c r="K296" s="72">
        <v>1</v>
      </c>
      <c r="L296" s="72" t="s">
        <v>76</v>
      </c>
      <c r="M296" s="72">
        <f>ROUNDDOWN(VLOOKUP(J296,Sheet1!$N$32:$O$37,2,0)*1000,0)-100</f>
        <v>150</v>
      </c>
      <c r="O296" s="67">
        <f t="shared" si="41"/>
        <v>0.0016478627220495</v>
      </c>
      <c r="P296" s="67">
        <v>11000</v>
      </c>
    </row>
    <row r="297" spans="1:16">
      <c r="A297" s="72">
        <v>295</v>
      </c>
      <c r="B297" s="72">
        <v>11000</v>
      </c>
      <c r="C297" s="72">
        <v>6</v>
      </c>
      <c r="D297" s="72">
        <f t="shared" si="43"/>
        <v>450</v>
      </c>
      <c r="E297" s="72">
        <f t="shared" si="42"/>
        <v>600</v>
      </c>
      <c r="F297" s="72"/>
      <c r="G297" s="72">
        <f>VLOOKUP(H297&amp;I297,Sheet2!$J:$K,2,0)</f>
        <v>95102028</v>
      </c>
      <c r="H297" s="72" t="s">
        <v>203</v>
      </c>
      <c r="I297" s="72" t="s">
        <v>199</v>
      </c>
      <c r="J297" s="72" t="s">
        <v>200</v>
      </c>
      <c r="K297" s="72">
        <v>1</v>
      </c>
      <c r="L297" s="72" t="s">
        <v>76</v>
      </c>
      <c r="M297" s="72">
        <f>ROUNDDOWN(VLOOKUP(J297,Sheet1!$N$32:$O$37,2,0)*1000,0)-100</f>
        <v>150</v>
      </c>
      <c r="O297" s="67">
        <f t="shared" si="41"/>
        <v>0.0016478627220495</v>
      </c>
      <c r="P297" s="67">
        <v>11000</v>
      </c>
    </row>
    <row r="298" spans="1:16">
      <c r="A298" s="72">
        <v>296</v>
      </c>
      <c r="B298" s="72">
        <v>11000</v>
      </c>
      <c r="C298" s="72">
        <v>6</v>
      </c>
      <c r="D298" s="72">
        <f t="shared" si="43"/>
        <v>600</v>
      </c>
      <c r="E298" s="72">
        <f t="shared" si="42"/>
        <v>750</v>
      </c>
      <c r="F298" s="72"/>
      <c r="G298" s="72">
        <f>VLOOKUP(H298&amp;I298,Sheet2!$J:$K,2,0)</f>
        <v>95103018</v>
      </c>
      <c r="H298" s="72" t="s">
        <v>204</v>
      </c>
      <c r="I298" s="72" t="s">
        <v>199</v>
      </c>
      <c r="J298" s="72" t="s">
        <v>200</v>
      </c>
      <c r="K298" s="72">
        <v>1</v>
      </c>
      <c r="L298" s="72" t="s">
        <v>76</v>
      </c>
      <c r="M298" s="72">
        <f>ROUNDDOWN(VLOOKUP(J298,Sheet1!$N$32:$O$37,2,0)*1000,0)-100</f>
        <v>150</v>
      </c>
      <c r="O298" s="67">
        <f t="shared" si="41"/>
        <v>0.0016478627220495</v>
      </c>
      <c r="P298" s="67">
        <v>11000</v>
      </c>
    </row>
    <row r="299" spans="1:16">
      <c r="A299" s="72">
        <v>297</v>
      </c>
      <c r="B299" s="72">
        <v>11000</v>
      </c>
      <c r="C299" s="72">
        <v>6</v>
      </c>
      <c r="D299" s="72">
        <f t="shared" si="43"/>
        <v>750</v>
      </c>
      <c r="E299" s="72">
        <f t="shared" si="42"/>
        <v>900</v>
      </c>
      <c r="F299" s="72"/>
      <c r="G299" s="72">
        <f>VLOOKUP(H299&amp;I299,Sheet2!$J:$K,2,0)</f>
        <v>95104018</v>
      </c>
      <c r="H299" s="72" t="s">
        <v>205</v>
      </c>
      <c r="I299" s="72" t="s">
        <v>199</v>
      </c>
      <c r="J299" s="72" t="s">
        <v>200</v>
      </c>
      <c r="K299" s="72">
        <v>1</v>
      </c>
      <c r="L299" s="72" t="s">
        <v>76</v>
      </c>
      <c r="M299" s="72">
        <f>ROUNDDOWN(VLOOKUP(J299,Sheet1!$N$32:$O$37,2,0)*1000,0)-100</f>
        <v>150</v>
      </c>
      <c r="O299" s="67">
        <f t="shared" si="41"/>
        <v>0.0016478627220495</v>
      </c>
      <c r="P299" s="67">
        <v>11000</v>
      </c>
    </row>
    <row r="300" spans="1:16">
      <c r="A300" s="72">
        <v>298</v>
      </c>
      <c r="B300" s="72">
        <v>11000</v>
      </c>
      <c r="C300" s="72">
        <v>6</v>
      </c>
      <c r="D300" s="72">
        <f t="shared" si="43"/>
        <v>900</v>
      </c>
      <c r="E300" s="72">
        <f t="shared" si="42"/>
        <v>1050</v>
      </c>
      <c r="F300" s="72"/>
      <c r="G300" s="72">
        <f>VLOOKUP(H300&amp;I300,Sheet2!$J:$K,2,0)</f>
        <v>95104028</v>
      </c>
      <c r="H300" s="72" t="s">
        <v>206</v>
      </c>
      <c r="I300" s="72" t="s">
        <v>199</v>
      </c>
      <c r="J300" s="72" t="s">
        <v>200</v>
      </c>
      <c r="K300" s="72">
        <v>1</v>
      </c>
      <c r="L300" s="72" t="s">
        <v>76</v>
      </c>
      <c r="M300" s="72">
        <f>ROUNDDOWN(VLOOKUP(J300,Sheet1!$N$32:$O$37,2,0)*1000,0)-100</f>
        <v>150</v>
      </c>
      <c r="O300" s="67">
        <f t="shared" si="41"/>
        <v>0.0016478627220495</v>
      </c>
      <c r="P300" s="67">
        <v>11000</v>
      </c>
    </row>
    <row r="301" spans="1:16">
      <c r="A301" s="72">
        <v>299</v>
      </c>
      <c r="B301" s="72">
        <v>11000</v>
      </c>
      <c r="C301" s="72">
        <v>6</v>
      </c>
      <c r="D301" s="72">
        <f t="shared" si="43"/>
        <v>1050</v>
      </c>
      <c r="E301" s="72">
        <f t="shared" si="42"/>
        <v>1200</v>
      </c>
      <c r="F301" s="72"/>
      <c r="G301" s="72">
        <f>VLOOKUP(H301&amp;I301,Sheet2!$J:$K,2,0)</f>
        <v>95104038</v>
      </c>
      <c r="H301" s="72" t="s">
        <v>207</v>
      </c>
      <c r="I301" s="72" t="s">
        <v>199</v>
      </c>
      <c r="J301" s="72" t="s">
        <v>200</v>
      </c>
      <c r="K301" s="72">
        <v>1</v>
      </c>
      <c r="L301" s="72" t="s">
        <v>76</v>
      </c>
      <c r="M301" s="72">
        <f>ROUNDDOWN(VLOOKUP(J301,Sheet1!$N$32:$O$37,2,0)*1000,0)-100</f>
        <v>150</v>
      </c>
      <c r="O301" s="67">
        <f t="shared" si="41"/>
        <v>0.0016478627220495</v>
      </c>
      <c r="P301" s="67">
        <v>11000</v>
      </c>
    </row>
    <row r="302" spans="1:16">
      <c r="A302" s="72">
        <v>300</v>
      </c>
      <c r="B302" s="72">
        <v>11000</v>
      </c>
      <c r="C302" s="72">
        <v>6</v>
      </c>
      <c r="D302" s="72">
        <f t="shared" si="43"/>
        <v>1200</v>
      </c>
      <c r="E302" s="72">
        <f t="shared" si="42"/>
        <v>1350</v>
      </c>
      <c r="F302" s="72"/>
      <c r="G302" s="72">
        <f>VLOOKUP(H302&amp;I302,Sheet2!$J:$K,2,0)</f>
        <v>95106018</v>
      </c>
      <c r="H302" s="72" t="s">
        <v>208</v>
      </c>
      <c r="I302" s="72" t="s">
        <v>199</v>
      </c>
      <c r="J302" s="72" t="s">
        <v>200</v>
      </c>
      <c r="K302" s="72">
        <v>1</v>
      </c>
      <c r="L302" s="72" t="s">
        <v>76</v>
      </c>
      <c r="M302" s="72">
        <f>ROUNDDOWN(VLOOKUP(J302,Sheet1!$N$32:$O$37,2,0)*1000,0)-100</f>
        <v>150</v>
      </c>
      <c r="O302" s="67">
        <f t="shared" si="41"/>
        <v>0.0016478627220495</v>
      </c>
      <c r="P302" s="67">
        <v>11000</v>
      </c>
    </row>
    <row r="303" spans="1:16">
      <c r="A303" s="72">
        <v>301</v>
      </c>
      <c r="B303" s="72">
        <v>11000</v>
      </c>
      <c r="C303" s="72">
        <v>6</v>
      </c>
      <c r="D303" s="72">
        <f t="shared" si="43"/>
        <v>1350</v>
      </c>
      <c r="E303" s="72">
        <f t="shared" si="42"/>
        <v>1500</v>
      </c>
      <c r="F303" s="72"/>
      <c r="G303" s="72">
        <f>VLOOKUP(H303&amp;I303,Sheet2!$J:$K,2,0)</f>
        <v>95109018</v>
      </c>
      <c r="H303" s="72" t="s">
        <v>209</v>
      </c>
      <c r="I303" s="72" t="s">
        <v>199</v>
      </c>
      <c r="J303" s="72" t="s">
        <v>200</v>
      </c>
      <c r="K303" s="72">
        <v>1</v>
      </c>
      <c r="L303" s="72" t="s">
        <v>76</v>
      </c>
      <c r="M303" s="72">
        <f>ROUNDDOWN(VLOOKUP(J303,Sheet1!$N$32:$O$37,2,0)*1000,0)-100</f>
        <v>150</v>
      </c>
      <c r="O303" s="67">
        <f t="shared" si="41"/>
        <v>0.0016478627220495</v>
      </c>
      <c r="P303" s="67">
        <v>11000</v>
      </c>
    </row>
    <row r="304" spans="1:16">
      <c r="A304" s="72">
        <v>302</v>
      </c>
      <c r="B304" s="72">
        <v>11000</v>
      </c>
      <c r="C304" s="72">
        <v>6</v>
      </c>
      <c r="D304" s="72">
        <f t="shared" si="43"/>
        <v>1500</v>
      </c>
      <c r="E304" s="72">
        <f t="shared" si="42"/>
        <v>1650</v>
      </c>
      <c r="F304" s="72"/>
      <c r="G304" s="72">
        <f>VLOOKUP(H304&amp;I304,Sheet2!$J:$K,2,0)</f>
        <v>95110018</v>
      </c>
      <c r="H304" s="72" t="s">
        <v>210</v>
      </c>
      <c r="I304" s="72" t="s">
        <v>199</v>
      </c>
      <c r="J304" s="72" t="s">
        <v>200</v>
      </c>
      <c r="K304" s="72">
        <v>1</v>
      </c>
      <c r="L304" s="72" t="s">
        <v>76</v>
      </c>
      <c r="M304" s="72">
        <f>ROUNDDOWN(VLOOKUP(J304,Sheet1!$N$32:$O$37,2,0)*1000,0)-100</f>
        <v>150</v>
      </c>
      <c r="O304" s="67">
        <f t="shared" si="41"/>
        <v>0.0016478627220495</v>
      </c>
      <c r="P304" s="67">
        <v>11000</v>
      </c>
    </row>
    <row r="305" spans="1:16">
      <c r="A305" s="72">
        <v>303</v>
      </c>
      <c r="B305" s="72">
        <v>11000</v>
      </c>
      <c r="C305" s="72">
        <v>6</v>
      </c>
      <c r="D305" s="72">
        <f t="shared" si="43"/>
        <v>1650</v>
      </c>
      <c r="E305" s="72">
        <f t="shared" si="42"/>
        <v>1800</v>
      </c>
      <c r="F305" s="72"/>
      <c r="G305" s="72">
        <f>VLOOKUP(H305&amp;I305,Sheet2!$J:$K,2,0)</f>
        <v>95111018</v>
      </c>
      <c r="H305" s="72" t="s">
        <v>211</v>
      </c>
      <c r="I305" s="72" t="s">
        <v>199</v>
      </c>
      <c r="J305" s="72" t="s">
        <v>200</v>
      </c>
      <c r="K305" s="72">
        <v>1</v>
      </c>
      <c r="L305" s="72" t="s">
        <v>76</v>
      </c>
      <c r="M305" s="72">
        <f>ROUNDDOWN(VLOOKUP(J305,Sheet1!$N$32:$O$37,2,0)*1000,0)-100</f>
        <v>150</v>
      </c>
      <c r="O305" s="67">
        <f t="shared" si="41"/>
        <v>0.0016478627220495</v>
      </c>
      <c r="P305" s="67">
        <v>11000</v>
      </c>
    </row>
    <row r="306" spans="1:16">
      <c r="A306" s="72">
        <v>304</v>
      </c>
      <c r="B306" s="72">
        <v>11000</v>
      </c>
      <c r="C306" s="72">
        <v>6</v>
      </c>
      <c r="D306" s="72">
        <f t="shared" si="43"/>
        <v>1800</v>
      </c>
      <c r="E306" s="72">
        <f t="shared" si="42"/>
        <v>1950</v>
      </c>
      <c r="F306" s="72"/>
      <c r="G306" s="72">
        <f>VLOOKUP(H306&amp;I306,Sheet2!$J:$K,2,0)</f>
        <v>95120018</v>
      </c>
      <c r="H306" s="72" t="s">
        <v>212</v>
      </c>
      <c r="I306" s="72" t="s">
        <v>199</v>
      </c>
      <c r="J306" s="72" t="s">
        <v>200</v>
      </c>
      <c r="K306" s="72">
        <v>1</v>
      </c>
      <c r="L306" s="72" t="s">
        <v>76</v>
      </c>
      <c r="M306" s="72">
        <f>ROUNDDOWN(VLOOKUP(J306,Sheet1!$N$32:$O$37,2,0)*1000,0)-100</f>
        <v>150</v>
      </c>
      <c r="O306" s="67">
        <f t="shared" si="41"/>
        <v>0.0016478627220495</v>
      </c>
      <c r="P306" s="67">
        <v>11000</v>
      </c>
    </row>
    <row r="307" spans="1:16">
      <c r="A307" s="72">
        <v>305</v>
      </c>
      <c r="B307" s="72">
        <v>11000</v>
      </c>
      <c r="C307" s="72">
        <v>6</v>
      </c>
      <c r="D307" s="72">
        <f t="shared" si="43"/>
        <v>1950</v>
      </c>
      <c r="E307" s="72">
        <f t="shared" si="42"/>
        <v>2100</v>
      </c>
      <c r="F307" s="72"/>
      <c r="G307" s="72">
        <f>VLOOKUP(H307&amp;I307,Sheet2!$J:$K,2,0)</f>
        <v>95140018</v>
      </c>
      <c r="H307" s="72" t="s">
        <v>213</v>
      </c>
      <c r="I307" s="72" t="s">
        <v>199</v>
      </c>
      <c r="J307" s="72" t="s">
        <v>200</v>
      </c>
      <c r="K307" s="72">
        <v>1</v>
      </c>
      <c r="L307" s="72" t="s">
        <v>76</v>
      </c>
      <c r="M307" s="72">
        <f>ROUNDDOWN(VLOOKUP(J307,Sheet1!$N$32:$O$37,2,0)*1000,0)-100</f>
        <v>150</v>
      </c>
      <c r="O307" s="67">
        <f t="shared" si="41"/>
        <v>0.0016478627220495</v>
      </c>
      <c r="P307" s="67">
        <v>11000</v>
      </c>
    </row>
    <row r="308" spans="1:16">
      <c r="A308" s="72">
        <v>306</v>
      </c>
      <c r="B308" s="72">
        <v>11000</v>
      </c>
      <c r="C308" s="72">
        <v>6</v>
      </c>
      <c r="D308" s="72">
        <f t="shared" si="43"/>
        <v>2100</v>
      </c>
      <c r="E308" s="72">
        <f t="shared" si="42"/>
        <v>2250</v>
      </c>
      <c r="F308" s="72"/>
      <c r="G308" s="72">
        <f>VLOOKUP(H308&amp;I308,Sheet2!$J:$K,2,0)</f>
        <v>95105028</v>
      </c>
      <c r="H308" s="72" t="s">
        <v>214</v>
      </c>
      <c r="I308" s="72" t="s">
        <v>199</v>
      </c>
      <c r="J308" s="72" t="s">
        <v>200</v>
      </c>
      <c r="K308" s="72">
        <v>1</v>
      </c>
      <c r="L308" s="72" t="s">
        <v>76</v>
      </c>
      <c r="M308" s="72">
        <f>ROUNDDOWN(VLOOKUP(J308,Sheet1!$N$32:$O$37,2,0)*1000,0)-100</f>
        <v>150</v>
      </c>
      <c r="O308" s="67">
        <f t="shared" si="41"/>
        <v>0.0016478627220495</v>
      </c>
    </row>
    <row r="309" spans="1:16">
      <c r="A309" s="72">
        <v>307</v>
      </c>
      <c r="B309" s="72">
        <v>11000</v>
      </c>
      <c r="C309" s="72">
        <v>6</v>
      </c>
      <c r="D309" s="72">
        <f t="shared" si="43"/>
        <v>2250</v>
      </c>
      <c r="E309" s="72">
        <f t="shared" si="42"/>
        <v>2400</v>
      </c>
      <c r="F309" s="72"/>
      <c r="G309" s="72">
        <f>VLOOKUP(H309&amp;I309,Sheet2!$J:$K,2,0)</f>
        <v>95109028</v>
      </c>
      <c r="H309" s="72" t="s">
        <v>215</v>
      </c>
      <c r="I309" s="72" t="s">
        <v>199</v>
      </c>
      <c r="J309" s="72" t="s">
        <v>200</v>
      </c>
      <c r="K309" s="72">
        <v>1</v>
      </c>
      <c r="L309" s="72" t="s">
        <v>76</v>
      </c>
      <c r="M309" s="72">
        <f>ROUNDDOWN(VLOOKUP(J309,Sheet1!$N$32:$O$37,2,0)*1000,0)-100</f>
        <v>150</v>
      </c>
      <c r="O309" s="67">
        <f t="shared" si="41"/>
        <v>0.0016478627220495</v>
      </c>
    </row>
    <row r="310" spans="1:16">
      <c r="A310" s="72">
        <v>308</v>
      </c>
      <c r="B310" s="72">
        <v>11000</v>
      </c>
      <c r="C310" s="72">
        <v>6</v>
      </c>
      <c r="D310" s="72">
        <f t="shared" si="43"/>
        <v>2400</v>
      </c>
      <c r="E310" s="72">
        <f t="shared" si="42"/>
        <v>2550</v>
      </c>
      <c r="F310" s="72"/>
      <c r="G310" s="72">
        <f>VLOOKUP(H310&amp;I310,Sheet2!$J:$K,2,0)</f>
        <v>95110028</v>
      </c>
      <c r="H310" s="72" t="s">
        <v>216</v>
      </c>
      <c r="I310" s="72" t="s">
        <v>199</v>
      </c>
      <c r="J310" s="72" t="s">
        <v>200</v>
      </c>
      <c r="K310" s="72">
        <v>1</v>
      </c>
      <c r="L310" s="72" t="s">
        <v>76</v>
      </c>
      <c r="M310" s="72">
        <f>ROUNDDOWN(VLOOKUP(J310,Sheet1!$N$32:$O$37,2,0)*1000,0)-100</f>
        <v>150</v>
      </c>
      <c r="O310" s="67">
        <f t="shared" si="41"/>
        <v>0.0016478627220495</v>
      </c>
    </row>
    <row r="311" spans="1:16">
      <c r="A311" s="72">
        <v>309</v>
      </c>
      <c r="B311" s="72">
        <v>11000</v>
      </c>
      <c r="C311" s="72">
        <v>6</v>
      </c>
      <c r="D311" s="72">
        <f t="shared" si="43"/>
        <v>2550</v>
      </c>
      <c r="E311" s="72">
        <f t="shared" si="42"/>
        <v>2700</v>
      </c>
      <c r="F311" s="72"/>
      <c r="G311" s="72">
        <f>VLOOKUP(H311&amp;I311,Sheet2!$J:$K,2,0)</f>
        <v>95150028</v>
      </c>
      <c r="H311" s="72" t="s">
        <v>217</v>
      </c>
      <c r="I311" s="72" t="s">
        <v>199</v>
      </c>
      <c r="J311" s="72" t="s">
        <v>200</v>
      </c>
      <c r="K311" s="72">
        <v>1</v>
      </c>
      <c r="L311" s="72" t="s">
        <v>76</v>
      </c>
      <c r="M311" s="72">
        <f>ROUNDDOWN(VLOOKUP(J311,Sheet1!$N$32:$O$37,2,0)*1000,0)-100</f>
        <v>150</v>
      </c>
      <c r="O311" s="67">
        <f t="shared" si="41"/>
        <v>0.0016478627220495</v>
      </c>
    </row>
    <row r="312" spans="1:16">
      <c r="A312" s="72">
        <v>310</v>
      </c>
      <c r="B312" s="72">
        <v>11000</v>
      </c>
      <c r="C312" s="72">
        <v>6</v>
      </c>
      <c r="D312" s="72">
        <f t="shared" si="43"/>
        <v>2700</v>
      </c>
      <c r="E312" s="72">
        <f t="shared" si="42"/>
        <v>2850</v>
      </c>
      <c r="F312" s="72"/>
      <c r="G312" s="72">
        <f>VLOOKUP(H312&amp;I312,Sheet2!$J:$K,2,0)</f>
        <v>95201038</v>
      </c>
      <c r="H312" s="72" t="s">
        <v>218</v>
      </c>
      <c r="I312" s="72" t="s">
        <v>199</v>
      </c>
      <c r="J312" s="72" t="s">
        <v>200</v>
      </c>
      <c r="K312" s="72">
        <v>1</v>
      </c>
      <c r="L312" s="72" t="s">
        <v>76</v>
      </c>
      <c r="M312" s="72">
        <f>ROUNDDOWN(VLOOKUP(J312,Sheet1!$N$32:$O$37,2,0)*1000,0)-100</f>
        <v>150</v>
      </c>
      <c r="O312" s="67">
        <f t="shared" si="41"/>
        <v>0.0016478627220495</v>
      </c>
      <c r="P312" s="67">
        <v>11000</v>
      </c>
    </row>
    <row r="313" spans="1:16">
      <c r="A313" s="72">
        <v>311</v>
      </c>
      <c r="B313" s="72">
        <v>11000</v>
      </c>
      <c r="C313" s="72">
        <v>6</v>
      </c>
      <c r="D313" s="72">
        <f t="shared" si="43"/>
        <v>2850</v>
      </c>
      <c r="E313" s="72">
        <f t="shared" si="42"/>
        <v>3000</v>
      </c>
      <c r="F313" s="72"/>
      <c r="G313" s="72">
        <f>VLOOKUP(H313&amp;I313,Sheet2!$J:$K,2,0)</f>
        <v>95201118</v>
      </c>
      <c r="H313" s="72" t="s">
        <v>219</v>
      </c>
      <c r="I313" s="72" t="s">
        <v>199</v>
      </c>
      <c r="J313" s="72" t="s">
        <v>200</v>
      </c>
      <c r="K313" s="72">
        <v>1</v>
      </c>
      <c r="L313" s="72" t="s">
        <v>76</v>
      </c>
      <c r="M313" s="72">
        <f>ROUNDDOWN(VLOOKUP(J313,Sheet1!$N$32:$O$37,2,0)*1000,0)-100</f>
        <v>150</v>
      </c>
      <c r="O313" s="67">
        <f t="shared" si="41"/>
        <v>0.0016478627220495</v>
      </c>
      <c r="P313" s="67">
        <v>11000</v>
      </c>
    </row>
    <row r="314" spans="1:16">
      <c r="A314" s="72">
        <v>312</v>
      </c>
      <c r="B314" s="72">
        <v>11000</v>
      </c>
      <c r="C314" s="72">
        <v>6</v>
      </c>
      <c r="D314" s="72">
        <f t="shared" si="43"/>
        <v>3000</v>
      </c>
      <c r="E314" s="72">
        <f t="shared" si="42"/>
        <v>3150</v>
      </c>
      <c r="F314" s="72"/>
      <c r="G314" s="72">
        <f>VLOOKUP(H314&amp;I314,Sheet2!$J:$K,2,0)</f>
        <v>95201158</v>
      </c>
      <c r="H314" s="72" t="s">
        <v>220</v>
      </c>
      <c r="I314" s="72" t="s">
        <v>199</v>
      </c>
      <c r="J314" s="72" t="s">
        <v>200</v>
      </c>
      <c r="K314" s="72">
        <v>1</v>
      </c>
      <c r="L314" s="72" t="s">
        <v>76</v>
      </c>
      <c r="M314" s="72">
        <f>ROUNDDOWN(VLOOKUP(J314,Sheet1!$N$32:$O$37,2,0)*1000,0)-100</f>
        <v>150</v>
      </c>
      <c r="O314" s="67">
        <f t="shared" si="41"/>
        <v>0.0016478627220495</v>
      </c>
      <c r="P314" s="67">
        <v>11000</v>
      </c>
    </row>
    <row r="315" spans="1:16">
      <c r="A315" s="72">
        <v>313</v>
      </c>
      <c r="B315" s="72">
        <v>11000</v>
      </c>
      <c r="C315" s="72">
        <v>6</v>
      </c>
      <c r="D315" s="72">
        <f t="shared" si="43"/>
        <v>3150</v>
      </c>
      <c r="E315" s="72">
        <f t="shared" si="42"/>
        <v>3300</v>
      </c>
      <c r="F315" s="72"/>
      <c r="G315" s="72">
        <f>VLOOKUP(H315&amp;I315,Sheet2!$J:$K,2,0)</f>
        <v>95201168</v>
      </c>
      <c r="H315" s="72" t="s">
        <v>221</v>
      </c>
      <c r="I315" s="72" t="s">
        <v>199</v>
      </c>
      <c r="J315" s="72" t="s">
        <v>200</v>
      </c>
      <c r="K315" s="72">
        <v>1</v>
      </c>
      <c r="L315" s="72" t="s">
        <v>76</v>
      </c>
      <c r="M315" s="72">
        <f>ROUNDDOWN(VLOOKUP(J315,Sheet1!$N$32:$O$37,2,0)*1000,0)-100</f>
        <v>150</v>
      </c>
      <c r="O315" s="67">
        <f t="shared" si="41"/>
        <v>0.0016478627220495</v>
      </c>
      <c r="P315" s="67">
        <v>11000</v>
      </c>
    </row>
    <row r="316" spans="1:16">
      <c r="A316" s="72">
        <v>314</v>
      </c>
      <c r="B316" s="72">
        <v>11000</v>
      </c>
      <c r="C316" s="72">
        <v>6</v>
      </c>
      <c r="D316" s="72">
        <f t="shared" si="43"/>
        <v>3300</v>
      </c>
      <c r="E316" s="72">
        <f t="shared" si="42"/>
        <v>3450</v>
      </c>
      <c r="F316" s="72"/>
      <c r="G316" s="72">
        <f>VLOOKUP(H316&amp;I316,Sheet2!$J:$K,2,0)</f>
        <v>95301028</v>
      </c>
      <c r="H316" s="72" t="s">
        <v>222</v>
      </c>
      <c r="I316" s="72" t="s">
        <v>199</v>
      </c>
      <c r="J316" s="72" t="s">
        <v>200</v>
      </c>
      <c r="K316" s="72">
        <v>1</v>
      </c>
      <c r="L316" s="72" t="s">
        <v>76</v>
      </c>
      <c r="M316" s="72">
        <f>ROUNDDOWN(VLOOKUP(J316,Sheet1!$N$32:$O$37,2,0)*1000,0)-100</f>
        <v>150</v>
      </c>
      <c r="O316" s="67">
        <f t="shared" si="41"/>
        <v>0.0016478627220495</v>
      </c>
      <c r="P316" s="67">
        <v>11000</v>
      </c>
    </row>
    <row r="317" spans="1:16">
      <c r="A317" s="72">
        <v>315</v>
      </c>
      <c r="B317" s="72">
        <v>11000</v>
      </c>
      <c r="C317" s="72">
        <v>6</v>
      </c>
      <c r="D317" s="72">
        <f t="shared" si="43"/>
        <v>3450</v>
      </c>
      <c r="E317" s="72">
        <f t="shared" si="42"/>
        <v>3600</v>
      </c>
      <c r="F317" s="72"/>
      <c r="G317" s="72">
        <f>VLOOKUP(H317&amp;I317,Sheet2!$J:$K,2,0)</f>
        <v>95301048</v>
      </c>
      <c r="H317" s="72" t="s">
        <v>223</v>
      </c>
      <c r="I317" s="72" t="s">
        <v>199</v>
      </c>
      <c r="J317" s="72" t="s">
        <v>200</v>
      </c>
      <c r="K317" s="72">
        <v>1</v>
      </c>
      <c r="L317" s="72" t="s">
        <v>76</v>
      </c>
      <c r="M317" s="72">
        <f>ROUNDDOWN(VLOOKUP(J317,Sheet1!$N$32:$O$37,2,0)*1000,0)-100</f>
        <v>150</v>
      </c>
      <c r="O317" s="67">
        <f t="shared" si="41"/>
        <v>0.0016478627220495</v>
      </c>
      <c r="P317" s="67">
        <v>11000</v>
      </c>
    </row>
    <row r="318" spans="1:16">
      <c r="A318" s="72">
        <v>316</v>
      </c>
      <c r="B318" s="72">
        <v>11000</v>
      </c>
      <c r="C318" s="72">
        <v>6</v>
      </c>
      <c r="D318" s="72">
        <f t="shared" si="43"/>
        <v>3600</v>
      </c>
      <c r="E318" s="72">
        <f t="shared" si="42"/>
        <v>3750</v>
      </c>
      <c r="F318" s="72"/>
      <c r="G318" s="72">
        <f>VLOOKUP(H318&amp;I318,Sheet2!$J:$K,2,0)</f>
        <v>95301058</v>
      </c>
      <c r="H318" s="72" t="s">
        <v>224</v>
      </c>
      <c r="I318" s="72" t="s">
        <v>199</v>
      </c>
      <c r="J318" s="72" t="s">
        <v>200</v>
      </c>
      <c r="K318" s="72">
        <v>1</v>
      </c>
      <c r="L318" s="72" t="s">
        <v>76</v>
      </c>
      <c r="M318" s="72">
        <f>ROUNDDOWN(VLOOKUP(J318,Sheet1!$N$32:$O$37,2,0)*1000,0)-100</f>
        <v>150</v>
      </c>
      <c r="O318" s="67">
        <f t="shared" si="41"/>
        <v>0.0016478627220495</v>
      </c>
      <c r="P318" s="67">
        <v>11000</v>
      </c>
    </row>
    <row r="319" spans="1:16">
      <c r="A319" s="72">
        <v>317</v>
      </c>
      <c r="B319" s="72">
        <v>11000</v>
      </c>
      <c r="C319" s="72">
        <v>6</v>
      </c>
      <c r="D319" s="72">
        <f t="shared" si="43"/>
        <v>3750</v>
      </c>
      <c r="E319" s="72">
        <f t="shared" si="42"/>
        <v>3900</v>
      </c>
      <c r="F319" s="72"/>
      <c r="G319" s="72">
        <f>VLOOKUP(H319&amp;I319,Sheet2!$J:$K,2,0)</f>
        <v>95301138</v>
      </c>
      <c r="H319" s="72" t="s">
        <v>225</v>
      </c>
      <c r="I319" s="72" t="s">
        <v>199</v>
      </c>
      <c r="J319" s="72" t="s">
        <v>200</v>
      </c>
      <c r="K319" s="72">
        <v>1</v>
      </c>
      <c r="L319" s="72" t="s">
        <v>76</v>
      </c>
      <c r="M319" s="72">
        <f>ROUNDDOWN(VLOOKUP(J319,Sheet1!$N$32:$O$37,2,0)*1000,0)-100</f>
        <v>150</v>
      </c>
      <c r="O319" s="67">
        <f t="shared" si="41"/>
        <v>0.0016478627220495</v>
      </c>
      <c r="P319" s="67">
        <v>11000</v>
      </c>
    </row>
    <row r="320" spans="1:16">
      <c r="A320" s="72">
        <v>318</v>
      </c>
      <c r="B320" s="72">
        <v>11000</v>
      </c>
      <c r="C320" s="72">
        <v>6</v>
      </c>
      <c r="D320" s="72">
        <f t="shared" si="43"/>
        <v>3900</v>
      </c>
      <c r="E320" s="72">
        <f t="shared" si="42"/>
        <v>4050</v>
      </c>
      <c r="F320" s="72"/>
      <c r="G320" s="72">
        <f>VLOOKUP(H320&amp;I320,Sheet2!$J:$K,2,0)</f>
        <v>95301098</v>
      </c>
      <c r="H320" s="72" t="s">
        <v>226</v>
      </c>
      <c r="I320" s="72" t="s">
        <v>199</v>
      </c>
      <c r="J320" s="72" t="s">
        <v>200</v>
      </c>
      <c r="K320" s="72">
        <v>1</v>
      </c>
      <c r="L320" s="72" t="s">
        <v>76</v>
      </c>
      <c r="M320" s="72">
        <f>ROUNDDOWN(VLOOKUP(J320,Sheet1!$N$32:$O$37,2,0)*1000,0)-100</f>
        <v>150</v>
      </c>
      <c r="O320" s="67">
        <f t="shared" si="41"/>
        <v>0.0016478627220495</v>
      </c>
      <c r="P320" s="67">
        <v>11000</v>
      </c>
    </row>
    <row r="321" spans="1:16">
      <c r="A321" s="72">
        <v>319</v>
      </c>
      <c r="B321" s="72">
        <v>11000</v>
      </c>
      <c r="C321" s="72">
        <v>6</v>
      </c>
      <c r="D321" s="72">
        <f t="shared" si="43"/>
        <v>4050</v>
      </c>
      <c r="E321" s="72">
        <f t="shared" si="42"/>
        <v>4200</v>
      </c>
      <c r="F321" s="72"/>
      <c r="G321" s="72">
        <f>VLOOKUP(H321&amp;I321,Sheet2!$J:$K,2,0)</f>
        <v>95201188</v>
      </c>
      <c r="H321" s="72" t="s">
        <v>227</v>
      </c>
      <c r="I321" s="72" t="s">
        <v>199</v>
      </c>
      <c r="J321" s="72" t="s">
        <v>200</v>
      </c>
      <c r="K321" s="72">
        <v>1</v>
      </c>
      <c r="L321" s="72" t="s">
        <v>76</v>
      </c>
      <c r="M321" s="72">
        <f>ROUNDDOWN(VLOOKUP(J321,Sheet1!$N$32:$O$37,2,0)*1000,0)-100</f>
        <v>150</v>
      </c>
      <c r="O321" s="67">
        <f t="shared" si="41"/>
        <v>0.0016478627220495</v>
      </c>
      <c r="P321" s="67">
        <v>11000</v>
      </c>
    </row>
    <row r="322" spans="1:16">
      <c r="A322" s="72">
        <v>320</v>
      </c>
      <c r="B322" s="72">
        <v>11000</v>
      </c>
      <c r="C322" s="72">
        <v>6</v>
      </c>
      <c r="D322" s="72">
        <f t="shared" si="43"/>
        <v>4200</v>
      </c>
      <c r="E322" s="72">
        <f t="shared" si="42"/>
        <v>4350</v>
      </c>
      <c r="F322" s="72"/>
      <c r="G322" s="72">
        <f>VLOOKUP(H322&amp;I322,Sheet2!$J:$K,2,0)</f>
        <v>95301148</v>
      </c>
      <c r="H322" s="72" t="s">
        <v>228</v>
      </c>
      <c r="I322" s="72" t="s">
        <v>199</v>
      </c>
      <c r="J322" s="72" t="s">
        <v>200</v>
      </c>
      <c r="K322" s="72">
        <v>1</v>
      </c>
      <c r="L322" s="72" t="s">
        <v>76</v>
      </c>
      <c r="M322" s="72">
        <f>ROUNDDOWN(VLOOKUP(J322,Sheet1!$N$32:$O$37,2,0)*1000,0)-100</f>
        <v>150</v>
      </c>
      <c r="O322" s="67">
        <f t="shared" si="41"/>
        <v>0.0016478627220495</v>
      </c>
      <c r="P322" s="67">
        <v>11000</v>
      </c>
    </row>
    <row r="323" spans="1:16">
      <c r="A323" s="72">
        <v>321</v>
      </c>
      <c r="B323" s="72">
        <v>11000</v>
      </c>
      <c r="C323" s="72">
        <v>6</v>
      </c>
      <c r="D323" s="72">
        <f t="shared" ref="D323:D324" si="44">E322</f>
        <v>4350</v>
      </c>
      <c r="E323" s="72">
        <f t="shared" si="42"/>
        <v>4500</v>
      </c>
      <c r="F323" s="72"/>
      <c r="G323" s="72">
        <f>VLOOKUP(H323&amp;I323,Sheet2!$J:$K,2,0)</f>
        <v>95301158</v>
      </c>
      <c r="H323" s="72" t="s">
        <v>229</v>
      </c>
      <c r="I323" s="72" t="s">
        <v>199</v>
      </c>
      <c r="J323" s="72" t="s">
        <v>200</v>
      </c>
      <c r="K323" s="72">
        <v>1</v>
      </c>
      <c r="L323" s="72" t="s">
        <v>76</v>
      </c>
      <c r="M323" s="72">
        <f>ROUNDDOWN(VLOOKUP(J323,Sheet1!$N$32:$O$37,2,0)*1000,0)-100</f>
        <v>150</v>
      </c>
      <c r="O323" s="67">
        <f t="shared" si="41"/>
        <v>0.0016478627220495</v>
      </c>
      <c r="P323" s="67">
        <v>11000</v>
      </c>
    </row>
    <row r="324" spans="1:16">
      <c r="A324" s="72">
        <v>322</v>
      </c>
      <c r="B324" s="72">
        <v>11000</v>
      </c>
      <c r="C324" s="72">
        <v>6</v>
      </c>
      <c r="D324" s="72">
        <f t="shared" si="44"/>
        <v>4500</v>
      </c>
      <c r="E324" s="72">
        <f t="shared" ref="E324:E326" si="45">D324+M324</f>
        <v>4650</v>
      </c>
      <c r="F324" s="72"/>
      <c r="G324" s="72">
        <f>VLOOKUP(H324&amp;I324,Sheet2!$J:$K,2,0)</f>
        <v>95110038</v>
      </c>
      <c r="H324" s="72" t="s">
        <v>230</v>
      </c>
      <c r="I324" s="72" t="s">
        <v>199</v>
      </c>
      <c r="J324" s="72" t="s">
        <v>200</v>
      </c>
      <c r="K324" s="72">
        <v>1</v>
      </c>
      <c r="L324" s="72" t="s">
        <v>76</v>
      </c>
      <c r="M324" s="72">
        <f>ROUNDDOWN(VLOOKUP(J324,Sheet1!$N$32:$O$37,2,0)*1000,0)-100</f>
        <v>150</v>
      </c>
    </row>
    <row r="325" spans="1:16">
      <c r="A325" s="72">
        <v>323</v>
      </c>
      <c r="B325" s="72">
        <v>11000</v>
      </c>
      <c r="C325" s="72">
        <v>6</v>
      </c>
      <c r="D325" s="72">
        <f t="shared" ref="D325:D326" si="46">E324</f>
        <v>4650</v>
      </c>
      <c r="E325" s="72">
        <f t="shared" si="45"/>
        <v>4800</v>
      </c>
      <c r="F325" s="72"/>
      <c r="G325" s="72">
        <f>VLOOKUP(H325&amp;I325,Sheet2!$J:$K,2,0)</f>
        <v>95110048</v>
      </c>
      <c r="H325" s="72" t="s">
        <v>231</v>
      </c>
      <c r="I325" s="72" t="s">
        <v>199</v>
      </c>
      <c r="J325" s="72" t="s">
        <v>200</v>
      </c>
      <c r="K325" s="72">
        <v>1</v>
      </c>
      <c r="L325" s="72" t="s">
        <v>76</v>
      </c>
      <c r="M325" s="72">
        <f>ROUNDDOWN(VLOOKUP(J325,Sheet1!$N$32:$O$37,2,0)*1000,0)-100</f>
        <v>150</v>
      </c>
    </row>
    <row r="326" spans="1:16">
      <c r="A326" s="72">
        <v>324</v>
      </c>
      <c r="B326" s="72">
        <v>11000</v>
      </c>
      <c r="C326" s="72">
        <v>6</v>
      </c>
      <c r="D326" s="72">
        <f t="shared" si="46"/>
        <v>4800</v>
      </c>
      <c r="E326" s="72">
        <f t="shared" si="45"/>
        <v>4950</v>
      </c>
      <c r="F326" s="72"/>
      <c r="G326" s="72">
        <f>VLOOKUP(H326&amp;I326,Sheet2!$J:$K,2,0)</f>
        <v>95130028</v>
      </c>
      <c r="H326" s="72" t="s">
        <v>232</v>
      </c>
      <c r="I326" s="72" t="s">
        <v>199</v>
      </c>
      <c r="J326" s="72" t="s">
        <v>200</v>
      </c>
      <c r="K326" s="72">
        <v>1</v>
      </c>
      <c r="L326" s="72" t="s">
        <v>76</v>
      </c>
      <c r="M326" s="72">
        <f>ROUNDDOWN(VLOOKUP(J326,Sheet1!$N$32:$O$37,2,0)*1000,0)-100</f>
        <v>150</v>
      </c>
    </row>
    <row r="327" spans="1:16">
      <c r="A327" s="72">
        <v>325</v>
      </c>
      <c r="B327" s="72">
        <v>11000</v>
      </c>
      <c r="C327" s="72">
        <v>6</v>
      </c>
      <c r="D327" s="72">
        <f>E322</f>
        <v>4350</v>
      </c>
      <c r="E327" s="72">
        <f t="shared" si="42"/>
        <v>4500</v>
      </c>
      <c r="F327" s="72"/>
      <c r="G327" s="72">
        <f>VLOOKUP(H327&amp;I327,Sheet2!$J:$K,2,0)</f>
        <v>95101019</v>
      </c>
      <c r="H327" s="72" t="s">
        <v>198</v>
      </c>
      <c r="I327" s="72" t="s">
        <v>233</v>
      </c>
      <c r="J327" s="72" t="s">
        <v>200</v>
      </c>
      <c r="K327" s="72">
        <v>1</v>
      </c>
      <c r="L327" s="72" t="s">
        <v>76</v>
      </c>
      <c r="M327" s="72">
        <f>ROUNDDOWN(VLOOKUP(J327,Sheet1!$N$32:$O$37,2,0)*1000,0)-100</f>
        <v>150</v>
      </c>
      <c r="O327" s="67">
        <f t="shared" ref="O327:O356" si="47">(E327-D327)/$E$438</f>
        <v>0.0016478627220495</v>
      </c>
      <c r="P327" s="67">
        <v>11000</v>
      </c>
    </row>
    <row r="328" spans="1:16">
      <c r="A328" s="72">
        <v>326</v>
      </c>
      <c r="B328" s="72">
        <v>11000</v>
      </c>
      <c r="C328" s="72">
        <v>6</v>
      </c>
      <c r="D328" s="72">
        <f t="shared" si="43"/>
        <v>4500</v>
      </c>
      <c r="E328" s="72">
        <f t="shared" si="42"/>
        <v>4650</v>
      </c>
      <c r="F328" s="72"/>
      <c r="G328" s="72">
        <f>VLOOKUP(H328&amp;I328,Sheet2!$J:$K,2,0)</f>
        <v>95101029</v>
      </c>
      <c r="H328" s="72" t="s">
        <v>201</v>
      </c>
      <c r="I328" s="72" t="s">
        <v>233</v>
      </c>
      <c r="J328" s="72" t="s">
        <v>200</v>
      </c>
      <c r="K328" s="72">
        <v>1</v>
      </c>
      <c r="L328" s="72" t="s">
        <v>76</v>
      </c>
      <c r="M328" s="72">
        <f>ROUNDDOWN(VLOOKUP(J328,Sheet1!$N$32:$O$37,2,0)*1000,0)-100</f>
        <v>150</v>
      </c>
      <c r="O328" s="67">
        <f t="shared" si="47"/>
        <v>0.0016478627220495</v>
      </c>
      <c r="P328" s="67">
        <v>11000</v>
      </c>
    </row>
    <row r="329" spans="1:16">
      <c r="A329" s="72">
        <v>327</v>
      </c>
      <c r="B329" s="72">
        <v>11000</v>
      </c>
      <c r="C329" s="72">
        <v>6</v>
      </c>
      <c r="D329" s="72">
        <f t="shared" si="43"/>
        <v>4650</v>
      </c>
      <c r="E329" s="72">
        <f t="shared" si="42"/>
        <v>4800</v>
      </c>
      <c r="F329" s="72"/>
      <c r="G329" s="72">
        <f>VLOOKUP(H329&amp;I329,Sheet2!$J:$K,2,0)</f>
        <v>95102019</v>
      </c>
      <c r="H329" s="72" t="s">
        <v>202</v>
      </c>
      <c r="I329" s="72" t="s">
        <v>233</v>
      </c>
      <c r="J329" s="72" t="s">
        <v>200</v>
      </c>
      <c r="K329" s="72">
        <v>1</v>
      </c>
      <c r="L329" s="72" t="s">
        <v>76</v>
      </c>
      <c r="M329" s="72">
        <f>ROUNDDOWN(VLOOKUP(J329,Sheet1!$N$32:$O$37,2,0)*1000,0)-100</f>
        <v>150</v>
      </c>
      <c r="O329" s="67">
        <f t="shared" si="47"/>
        <v>0.0016478627220495</v>
      </c>
      <c r="P329" s="67">
        <v>11000</v>
      </c>
    </row>
    <row r="330" spans="1:16">
      <c r="A330" s="72">
        <v>328</v>
      </c>
      <c r="B330" s="72">
        <v>11000</v>
      </c>
      <c r="C330" s="72">
        <v>6</v>
      </c>
      <c r="D330" s="72">
        <f t="shared" si="43"/>
        <v>4800</v>
      </c>
      <c r="E330" s="72">
        <f t="shared" ref="E330:E364" si="48">D330+M330</f>
        <v>4950</v>
      </c>
      <c r="F330" s="72"/>
      <c r="G330" s="72">
        <f>VLOOKUP(H330&amp;I330,Sheet2!$J:$K,2,0)</f>
        <v>95102029</v>
      </c>
      <c r="H330" s="72" t="s">
        <v>203</v>
      </c>
      <c r="I330" s="72" t="s">
        <v>233</v>
      </c>
      <c r="J330" s="72" t="s">
        <v>200</v>
      </c>
      <c r="K330" s="72">
        <v>1</v>
      </c>
      <c r="L330" s="72" t="s">
        <v>76</v>
      </c>
      <c r="M330" s="72">
        <f>ROUNDDOWN(VLOOKUP(J330,Sheet1!$N$32:$O$37,2,0)*1000,0)-100</f>
        <v>150</v>
      </c>
      <c r="O330" s="67">
        <f t="shared" si="47"/>
        <v>0.0016478627220495</v>
      </c>
      <c r="P330" s="67">
        <v>11000</v>
      </c>
    </row>
    <row r="331" spans="1:16">
      <c r="A331" s="72">
        <v>329</v>
      </c>
      <c r="B331" s="72">
        <v>11000</v>
      </c>
      <c r="C331" s="72">
        <v>6</v>
      </c>
      <c r="D331" s="72">
        <f t="shared" si="43"/>
        <v>4950</v>
      </c>
      <c r="E331" s="72">
        <f t="shared" si="48"/>
        <v>5100</v>
      </c>
      <c r="F331" s="72"/>
      <c r="G331" s="72">
        <f>VLOOKUP(H331&amp;I331,Sheet2!$J:$K,2,0)</f>
        <v>95103019</v>
      </c>
      <c r="H331" s="72" t="s">
        <v>204</v>
      </c>
      <c r="I331" s="72" t="s">
        <v>233</v>
      </c>
      <c r="J331" s="72" t="s">
        <v>200</v>
      </c>
      <c r="K331" s="72">
        <v>1</v>
      </c>
      <c r="L331" s="72" t="s">
        <v>76</v>
      </c>
      <c r="M331" s="72">
        <f>ROUNDDOWN(VLOOKUP(J331,Sheet1!$N$32:$O$37,2,0)*1000,0)-100</f>
        <v>150</v>
      </c>
      <c r="O331" s="67">
        <f t="shared" si="47"/>
        <v>0.0016478627220495</v>
      </c>
      <c r="P331" s="67">
        <v>11000</v>
      </c>
    </row>
    <row r="332" spans="1:16">
      <c r="A332" s="72">
        <v>330</v>
      </c>
      <c r="B332" s="72">
        <v>11000</v>
      </c>
      <c r="C332" s="72">
        <v>6</v>
      </c>
      <c r="D332" s="72">
        <f t="shared" si="43"/>
        <v>5100</v>
      </c>
      <c r="E332" s="72">
        <f t="shared" si="48"/>
        <v>5250</v>
      </c>
      <c r="F332" s="72"/>
      <c r="G332" s="72">
        <f>VLOOKUP(H332&amp;I332,Sheet2!$J:$K,2,0)</f>
        <v>95104019</v>
      </c>
      <c r="H332" s="72" t="s">
        <v>205</v>
      </c>
      <c r="I332" s="72" t="s">
        <v>233</v>
      </c>
      <c r="J332" s="72" t="s">
        <v>200</v>
      </c>
      <c r="K332" s="72">
        <v>1</v>
      </c>
      <c r="L332" s="72" t="s">
        <v>76</v>
      </c>
      <c r="M332" s="72">
        <f>ROUNDDOWN(VLOOKUP(J332,Sheet1!$N$32:$O$37,2,0)*1000,0)-100</f>
        <v>150</v>
      </c>
      <c r="O332" s="67">
        <f t="shared" si="47"/>
        <v>0.0016478627220495</v>
      </c>
      <c r="P332" s="67">
        <v>11000</v>
      </c>
    </row>
    <row r="333" spans="1:16">
      <c r="A333" s="72">
        <v>331</v>
      </c>
      <c r="B333" s="72">
        <v>11000</v>
      </c>
      <c r="C333" s="72">
        <v>6</v>
      </c>
      <c r="D333" s="72">
        <f t="shared" si="43"/>
        <v>5250</v>
      </c>
      <c r="E333" s="72">
        <f t="shared" si="48"/>
        <v>5400</v>
      </c>
      <c r="F333" s="72"/>
      <c r="G333" s="72">
        <f>VLOOKUP(H333&amp;I333,Sheet2!$J:$K,2,0)</f>
        <v>95104029</v>
      </c>
      <c r="H333" s="72" t="s">
        <v>206</v>
      </c>
      <c r="I333" s="72" t="s">
        <v>233</v>
      </c>
      <c r="J333" s="72" t="s">
        <v>200</v>
      </c>
      <c r="K333" s="72">
        <v>1</v>
      </c>
      <c r="L333" s="72" t="s">
        <v>76</v>
      </c>
      <c r="M333" s="72">
        <f>ROUNDDOWN(VLOOKUP(J333,Sheet1!$N$32:$O$37,2,0)*1000,0)-100</f>
        <v>150</v>
      </c>
      <c r="O333" s="67">
        <f t="shared" si="47"/>
        <v>0.0016478627220495</v>
      </c>
      <c r="P333" s="67">
        <v>11000</v>
      </c>
    </row>
    <row r="334" spans="1:16">
      <c r="A334" s="72">
        <v>332</v>
      </c>
      <c r="B334" s="72">
        <v>11000</v>
      </c>
      <c r="C334" s="72">
        <v>6</v>
      </c>
      <c r="D334" s="72">
        <f t="shared" si="43"/>
        <v>5400</v>
      </c>
      <c r="E334" s="72">
        <f t="shared" si="48"/>
        <v>5550</v>
      </c>
      <c r="F334" s="72"/>
      <c r="G334" s="72">
        <f>VLOOKUP(H334&amp;I334,Sheet2!$J:$K,2,0)</f>
        <v>95104039</v>
      </c>
      <c r="H334" s="72" t="s">
        <v>207</v>
      </c>
      <c r="I334" s="72" t="s">
        <v>233</v>
      </c>
      <c r="J334" s="72" t="s">
        <v>200</v>
      </c>
      <c r="K334" s="72">
        <v>1</v>
      </c>
      <c r="L334" s="72" t="s">
        <v>76</v>
      </c>
      <c r="M334" s="72">
        <f>ROUNDDOWN(VLOOKUP(J334,Sheet1!$N$32:$O$37,2,0)*1000,0)-100</f>
        <v>150</v>
      </c>
      <c r="O334" s="67">
        <f t="shared" si="47"/>
        <v>0.0016478627220495</v>
      </c>
      <c r="P334" s="67">
        <v>11000</v>
      </c>
    </row>
    <row r="335" spans="1:16">
      <c r="A335" s="72">
        <v>333</v>
      </c>
      <c r="B335" s="72">
        <v>11000</v>
      </c>
      <c r="C335" s="72">
        <v>6</v>
      </c>
      <c r="D335" s="72">
        <f t="shared" si="43"/>
        <v>5550</v>
      </c>
      <c r="E335" s="72">
        <f t="shared" si="48"/>
        <v>5700</v>
      </c>
      <c r="F335" s="72"/>
      <c r="G335" s="72">
        <f>VLOOKUP(H335&amp;I335,Sheet2!$J:$K,2,0)</f>
        <v>95106019</v>
      </c>
      <c r="H335" s="72" t="s">
        <v>208</v>
      </c>
      <c r="I335" s="72" t="s">
        <v>233</v>
      </c>
      <c r="J335" s="72" t="s">
        <v>200</v>
      </c>
      <c r="K335" s="72">
        <v>1</v>
      </c>
      <c r="L335" s="72" t="s">
        <v>76</v>
      </c>
      <c r="M335" s="72">
        <f>ROUNDDOWN(VLOOKUP(J335,Sheet1!$N$32:$O$37,2,0)*1000,0)-100</f>
        <v>150</v>
      </c>
      <c r="O335" s="67">
        <f t="shared" si="47"/>
        <v>0.0016478627220495</v>
      </c>
      <c r="P335" s="67">
        <v>11000</v>
      </c>
    </row>
    <row r="336" spans="1:16">
      <c r="A336" s="72">
        <v>334</v>
      </c>
      <c r="B336" s="72">
        <v>11000</v>
      </c>
      <c r="C336" s="72">
        <v>6</v>
      </c>
      <c r="D336" s="72">
        <f t="shared" si="43"/>
        <v>5700</v>
      </c>
      <c r="E336" s="72">
        <f t="shared" si="48"/>
        <v>5850</v>
      </c>
      <c r="F336" s="72"/>
      <c r="G336" s="72">
        <f>VLOOKUP(H336&amp;I336,Sheet2!$J:$K,2,0)</f>
        <v>95109019</v>
      </c>
      <c r="H336" s="72" t="s">
        <v>209</v>
      </c>
      <c r="I336" s="72" t="s">
        <v>233</v>
      </c>
      <c r="J336" s="72" t="s">
        <v>200</v>
      </c>
      <c r="K336" s="72">
        <v>1</v>
      </c>
      <c r="L336" s="72" t="s">
        <v>76</v>
      </c>
      <c r="M336" s="72">
        <f>ROUNDDOWN(VLOOKUP(J336,Sheet1!$N$32:$O$37,2,0)*1000,0)-100</f>
        <v>150</v>
      </c>
      <c r="O336" s="67">
        <f t="shared" si="47"/>
        <v>0.0016478627220495</v>
      </c>
      <c r="P336" s="67">
        <v>11000</v>
      </c>
    </row>
    <row r="337" spans="1:16">
      <c r="A337" s="72">
        <v>335</v>
      </c>
      <c r="B337" s="72">
        <v>11000</v>
      </c>
      <c r="C337" s="72">
        <v>6</v>
      </c>
      <c r="D337" s="72">
        <f t="shared" si="43"/>
        <v>5850</v>
      </c>
      <c r="E337" s="72">
        <f t="shared" si="48"/>
        <v>6000</v>
      </c>
      <c r="F337" s="72"/>
      <c r="G337" s="72">
        <f>VLOOKUP(H337&amp;I337,Sheet2!$J:$K,2,0)</f>
        <v>95110019</v>
      </c>
      <c r="H337" s="72" t="s">
        <v>210</v>
      </c>
      <c r="I337" s="72" t="s">
        <v>233</v>
      </c>
      <c r="J337" s="72" t="s">
        <v>200</v>
      </c>
      <c r="K337" s="72">
        <v>1</v>
      </c>
      <c r="L337" s="72" t="s">
        <v>76</v>
      </c>
      <c r="M337" s="72">
        <f>ROUNDDOWN(VLOOKUP(J337,Sheet1!$N$32:$O$37,2,0)*1000,0)-100</f>
        <v>150</v>
      </c>
      <c r="O337" s="67">
        <f t="shared" si="47"/>
        <v>0.0016478627220495</v>
      </c>
      <c r="P337" s="67">
        <v>11000</v>
      </c>
    </row>
    <row r="338" spans="1:16">
      <c r="A338" s="72">
        <v>336</v>
      </c>
      <c r="B338" s="72">
        <v>11000</v>
      </c>
      <c r="C338" s="72">
        <v>6</v>
      </c>
      <c r="D338" s="72">
        <f t="shared" si="43"/>
        <v>6000</v>
      </c>
      <c r="E338" s="72">
        <f t="shared" si="48"/>
        <v>6150</v>
      </c>
      <c r="F338" s="72"/>
      <c r="G338" s="72">
        <f>VLOOKUP(H338&amp;I338,Sheet2!$J:$K,2,0)</f>
        <v>95111019</v>
      </c>
      <c r="H338" s="72" t="s">
        <v>211</v>
      </c>
      <c r="I338" s="72" t="s">
        <v>233</v>
      </c>
      <c r="J338" s="72" t="s">
        <v>200</v>
      </c>
      <c r="K338" s="72">
        <v>1</v>
      </c>
      <c r="L338" s="72" t="s">
        <v>76</v>
      </c>
      <c r="M338" s="72">
        <f>ROUNDDOWN(VLOOKUP(J338,Sheet1!$N$32:$O$37,2,0)*1000,0)-100</f>
        <v>150</v>
      </c>
      <c r="O338" s="67">
        <f t="shared" si="47"/>
        <v>0.0016478627220495</v>
      </c>
      <c r="P338" s="67">
        <v>11000</v>
      </c>
    </row>
    <row r="339" spans="1:16">
      <c r="A339" s="72">
        <v>337</v>
      </c>
      <c r="B339" s="72">
        <v>11000</v>
      </c>
      <c r="C339" s="72">
        <v>6</v>
      </c>
      <c r="D339" s="72">
        <f t="shared" si="43"/>
        <v>6150</v>
      </c>
      <c r="E339" s="72">
        <f t="shared" si="48"/>
        <v>6300</v>
      </c>
      <c r="F339" s="72"/>
      <c r="G339" s="72">
        <f>VLOOKUP(H339&amp;I339,Sheet2!$J:$K,2,0)</f>
        <v>95120019</v>
      </c>
      <c r="H339" s="72" t="s">
        <v>212</v>
      </c>
      <c r="I339" s="72" t="s">
        <v>233</v>
      </c>
      <c r="J339" s="72" t="s">
        <v>200</v>
      </c>
      <c r="K339" s="72">
        <v>1</v>
      </c>
      <c r="L339" s="72" t="s">
        <v>76</v>
      </c>
      <c r="M339" s="72">
        <f>ROUNDDOWN(VLOOKUP(J339,Sheet1!$N$32:$O$37,2,0)*1000,0)-100</f>
        <v>150</v>
      </c>
      <c r="O339" s="67">
        <f t="shared" si="47"/>
        <v>0.0016478627220495</v>
      </c>
      <c r="P339" s="67">
        <v>11000</v>
      </c>
    </row>
    <row r="340" spans="1:16">
      <c r="A340" s="72">
        <v>338</v>
      </c>
      <c r="B340" s="72">
        <v>11000</v>
      </c>
      <c r="C340" s="72">
        <v>6</v>
      </c>
      <c r="D340" s="72">
        <f t="shared" si="43"/>
        <v>6300</v>
      </c>
      <c r="E340" s="72">
        <f t="shared" si="48"/>
        <v>6450</v>
      </c>
      <c r="F340" s="72"/>
      <c r="G340" s="72">
        <f>VLOOKUP(H340&amp;I340,Sheet2!$J:$K,2,0)</f>
        <v>95140019</v>
      </c>
      <c r="H340" s="72" t="s">
        <v>213</v>
      </c>
      <c r="I340" s="72" t="s">
        <v>233</v>
      </c>
      <c r="J340" s="72" t="s">
        <v>200</v>
      </c>
      <c r="K340" s="72">
        <v>1</v>
      </c>
      <c r="L340" s="72" t="s">
        <v>76</v>
      </c>
      <c r="M340" s="72">
        <f>ROUNDDOWN(VLOOKUP(J340,Sheet1!$N$32:$O$37,2,0)*1000,0)-100</f>
        <v>150</v>
      </c>
      <c r="O340" s="67">
        <f t="shared" si="47"/>
        <v>0.0016478627220495</v>
      </c>
      <c r="P340" s="67">
        <v>11000</v>
      </c>
    </row>
    <row r="341" spans="1:16">
      <c r="A341" s="72">
        <v>339</v>
      </c>
      <c r="B341" s="72">
        <v>11000</v>
      </c>
      <c r="C341" s="72">
        <v>6</v>
      </c>
      <c r="D341" s="72">
        <f t="shared" si="43"/>
        <v>6450</v>
      </c>
      <c r="E341" s="72">
        <f t="shared" si="48"/>
        <v>6600</v>
      </c>
      <c r="F341" s="72"/>
      <c r="G341" s="72">
        <f>VLOOKUP(H341&amp;I341,Sheet2!$J:$K,2,0)</f>
        <v>95105029</v>
      </c>
      <c r="H341" s="72" t="s">
        <v>214</v>
      </c>
      <c r="I341" s="72" t="s">
        <v>233</v>
      </c>
      <c r="J341" s="72" t="s">
        <v>200</v>
      </c>
      <c r="K341" s="72">
        <v>1</v>
      </c>
      <c r="L341" s="72" t="s">
        <v>76</v>
      </c>
      <c r="M341" s="72">
        <f>ROUNDDOWN(VLOOKUP(J341,Sheet1!$N$32:$O$37,2,0)*1000,0)-100</f>
        <v>150</v>
      </c>
      <c r="O341" s="67">
        <f t="shared" si="47"/>
        <v>0.0016478627220495</v>
      </c>
    </row>
    <row r="342" spans="1:16">
      <c r="A342" s="72">
        <v>340</v>
      </c>
      <c r="B342" s="72">
        <v>11000</v>
      </c>
      <c r="C342" s="72">
        <v>6</v>
      </c>
      <c r="D342" s="72">
        <f t="shared" si="43"/>
        <v>6600</v>
      </c>
      <c r="E342" s="72">
        <f t="shared" si="48"/>
        <v>6750</v>
      </c>
      <c r="F342" s="72"/>
      <c r="G342" s="72">
        <f>VLOOKUP(H342&amp;I342,Sheet2!$J:$K,2,0)</f>
        <v>95109029</v>
      </c>
      <c r="H342" s="72" t="s">
        <v>215</v>
      </c>
      <c r="I342" s="72" t="s">
        <v>233</v>
      </c>
      <c r="J342" s="72" t="s">
        <v>200</v>
      </c>
      <c r="K342" s="72">
        <v>1</v>
      </c>
      <c r="L342" s="72" t="s">
        <v>76</v>
      </c>
      <c r="M342" s="72">
        <f>ROUNDDOWN(VLOOKUP(J342,Sheet1!$N$32:$O$37,2,0)*1000,0)-100</f>
        <v>150</v>
      </c>
      <c r="O342" s="67">
        <f t="shared" si="47"/>
        <v>0.0016478627220495</v>
      </c>
    </row>
    <row r="343" spans="1:16">
      <c r="A343" s="72">
        <v>341</v>
      </c>
      <c r="B343" s="72">
        <v>11000</v>
      </c>
      <c r="C343" s="72">
        <v>6</v>
      </c>
      <c r="D343" s="72">
        <f t="shared" si="43"/>
        <v>6750</v>
      </c>
      <c r="E343" s="72">
        <f t="shared" si="48"/>
        <v>6900</v>
      </c>
      <c r="F343" s="72"/>
      <c r="G343" s="72">
        <f>VLOOKUP(H343&amp;I343,Sheet2!$J:$K,2,0)</f>
        <v>95110029</v>
      </c>
      <c r="H343" s="72" t="s">
        <v>216</v>
      </c>
      <c r="I343" s="72" t="s">
        <v>233</v>
      </c>
      <c r="J343" s="72" t="s">
        <v>200</v>
      </c>
      <c r="K343" s="72">
        <v>1</v>
      </c>
      <c r="L343" s="72" t="s">
        <v>76</v>
      </c>
      <c r="M343" s="72">
        <f>ROUNDDOWN(VLOOKUP(J343,Sheet1!$N$32:$O$37,2,0)*1000,0)-100</f>
        <v>150</v>
      </c>
      <c r="O343" s="67">
        <f t="shared" si="47"/>
        <v>0.0016478627220495</v>
      </c>
    </row>
    <row r="344" spans="1:16">
      <c r="A344" s="72">
        <v>342</v>
      </c>
      <c r="B344" s="72">
        <v>11000</v>
      </c>
      <c r="C344" s="72">
        <v>6</v>
      </c>
      <c r="D344" s="72">
        <f t="shared" si="43"/>
        <v>6900</v>
      </c>
      <c r="E344" s="72">
        <f t="shared" si="48"/>
        <v>7050</v>
      </c>
      <c r="F344" s="72"/>
      <c r="G344" s="72">
        <f>VLOOKUP(H344&amp;I344,Sheet2!$J:$K,2,0)</f>
        <v>95150029</v>
      </c>
      <c r="H344" s="72" t="s">
        <v>217</v>
      </c>
      <c r="I344" s="72" t="s">
        <v>233</v>
      </c>
      <c r="J344" s="72" t="s">
        <v>200</v>
      </c>
      <c r="K344" s="72">
        <v>1</v>
      </c>
      <c r="L344" s="72" t="s">
        <v>76</v>
      </c>
      <c r="M344" s="72">
        <f>ROUNDDOWN(VLOOKUP(J344,Sheet1!$N$32:$O$37,2,0)*1000,0)-100</f>
        <v>150</v>
      </c>
      <c r="O344" s="67">
        <f t="shared" si="47"/>
        <v>0.0016478627220495</v>
      </c>
    </row>
    <row r="345" spans="1:16">
      <c r="A345" s="72">
        <v>343</v>
      </c>
      <c r="B345" s="72">
        <v>11000</v>
      </c>
      <c r="C345" s="72">
        <v>6</v>
      </c>
      <c r="D345" s="72">
        <f t="shared" si="43"/>
        <v>7050</v>
      </c>
      <c r="E345" s="72">
        <f t="shared" si="48"/>
        <v>7200</v>
      </c>
      <c r="F345" s="72"/>
      <c r="G345" s="72">
        <f>VLOOKUP(H345&amp;I345,Sheet2!$J:$K,2,0)</f>
        <v>95201039</v>
      </c>
      <c r="H345" s="72" t="s">
        <v>218</v>
      </c>
      <c r="I345" s="72" t="s">
        <v>233</v>
      </c>
      <c r="J345" s="72" t="s">
        <v>200</v>
      </c>
      <c r="K345" s="72">
        <v>1</v>
      </c>
      <c r="L345" s="72" t="s">
        <v>76</v>
      </c>
      <c r="M345" s="72">
        <f>ROUNDDOWN(VLOOKUP(J345,Sheet1!$N$32:$O$37,2,0)*1000,0)-100</f>
        <v>150</v>
      </c>
      <c r="O345" s="67">
        <f t="shared" si="47"/>
        <v>0.0016478627220495</v>
      </c>
      <c r="P345" s="67">
        <v>11000</v>
      </c>
    </row>
    <row r="346" spans="1:16">
      <c r="A346" s="72">
        <v>344</v>
      </c>
      <c r="B346" s="72">
        <v>11000</v>
      </c>
      <c r="C346" s="72">
        <v>6</v>
      </c>
      <c r="D346" s="72">
        <f t="shared" si="43"/>
        <v>7200</v>
      </c>
      <c r="E346" s="72">
        <f t="shared" si="48"/>
        <v>7350</v>
      </c>
      <c r="F346" s="72"/>
      <c r="G346" s="72">
        <f>VLOOKUP(H346&amp;I346,Sheet2!$J:$K,2,0)</f>
        <v>95201119</v>
      </c>
      <c r="H346" s="72" t="s">
        <v>219</v>
      </c>
      <c r="I346" s="72" t="s">
        <v>233</v>
      </c>
      <c r="J346" s="72" t="s">
        <v>200</v>
      </c>
      <c r="K346" s="72">
        <v>1</v>
      </c>
      <c r="L346" s="72" t="s">
        <v>76</v>
      </c>
      <c r="M346" s="72">
        <f>ROUNDDOWN(VLOOKUP(J346,Sheet1!$N$32:$O$37,2,0)*1000,0)-100</f>
        <v>150</v>
      </c>
      <c r="O346" s="67">
        <f t="shared" si="47"/>
        <v>0.0016478627220495</v>
      </c>
      <c r="P346" s="67">
        <v>11000</v>
      </c>
    </row>
    <row r="347" spans="1:16">
      <c r="A347" s="72">
        <v>345</v>
      </c>
      <c r="B347" s="72">
        <v>11000</v>
      </c>
      <c r="C347" s="72">
        <v>6</v>
      </c>
      <c r="D347" s="72">
        <f t="shared" si="43"/>
        <v>7350</v>
      </c>
      <c r="E347" s="72">
        <f t="shared" si="48"/>
        <v>7500</v>
      </c>
      <c r="F347" s="72"/>
      <c r="G347" s="72">
        <f>VLOOKUP(H347&amp;I347,Sheet2!$J:$K,2,0)</f>
        <v>95201159</v>
      </c>
      <c r="H347" s="72" t="s">
        <v>220</v>
      </c>
      <c r="I347" s="72" t="s">
        <v>233</v>
      </c>
      <c r="J347" s="72" t="s">
        <v>200</v>
      </c>
      <c r="K347" s="72">
        <v>1</v>
      </c>
      <c r="L347" s="72" t="s">
        <v>76</v>
      </c>
      <c r="M347" s="72">
        <f>ROUNDDOWN(VLOOKUP(J347,Sheet1!$N$32:$O$37,2,0)*1000,0)-100</f>
        <v>150</v>
      </c>
      <c r="O347" s="67">
        <f t="shared" si="47"/>
        <v>0.0016478627220495</v>
      </c>
      <c r="P347" s="67">
        <v>11000</v>
      </c>
    </row>
    <row r="348" spans="1:16">
      <c r="A348" s="72">
        <v>346</v>
      </c>
      <c r="B348" s="72">
        <v>11000</v>
      </c>
      <c r="C348" s="72">
        <v>6</v>
      </c>
      <c r="D348" s="72">
        <f t="shared" si="43"/>
        <v>7500</v>
      </c>
      <c r="E348" s="72">
        <f t="shared" si="48"/>
        <v>7650</v>
      </c>
      <c r="F348" s="72"/>
      <c r="G348" s="72">
        <f>VLOOKUP(H348&amp;I348,Sheet2!$J:$K,2,0)</f>
        <v>95201169</v>
      </c>
      <c r="H348" s="72" t="s">
        <v>221</v>
      </c>
      <c r="I348" s="72" t="s">
        <v>233</v>
      </c>
      <c r="J348" s="72" t="s">
        <v>200</v>
      </c>
      <c r="K348" s="72">
        <v>1</v>
      </c>
      <c r="L348" s="72" t="s">
        <v>76</v>
      </c>
      <c r="M348" s="72">
        <f>ROUNDDOWN(VLOOKUP(J348,Sheet1!$N$32:$O$37,2,0)*1000,0)-100</f>
        <v>150</v>
      </c>
      <c r="O348" s="67">
        <f t="shared" si="47"/>
        <v>0.0016478627220495</v>
      </c>
      <c r="P348" s="67">
        <v>11000</v>
      </c>
    </row>
    <row r="349" spans="1:16">
      <c r="A349" s="72">
        <v>347</v>
      </c>
      <c r="B349" s="72">
        <v>11000</v>
      </c>
      <c r="C349" s="72">
        <v>6</v>
      </c>
      <c r="D349" s="72">
        <f t="shared" si="43"/>
        <v>7650</v>
      </c>
      <c r="E349" s="72">
        <f t="shared" si="48"/>
        <v>7800</v>
      </c>
      <c r="F349" s="72"/>
      <c r="G349" s="72">
        <f>VLOOKUP(H349&amp;I349,Sheet2!$J:$K,2,0)</f>
        <v>95301029</v>
      </c>
      <c r="H349" s="72" t="s">
        <v>222</v>
      </c>
      <c r="I349" s="72" t="s">
        <v>233</v>
      </c>
      <c r="J349" s="72" t="s">
        <v>200</v>
      </c>
      <c r="K349" s="72">
        <v>1</v>
      </c>
      <c r="L349" s="72" t="s">
        <v>76</v>
      </c>
      <c r="M349" s="72">
        <f>ROUNDDOWN(VLOOKUP(J349,Sheet1!$N$32:$O$37,2,0)*1000,0)-100</f>
        <v>150</v>
      </c>
      <c r="O349" s="67">
        <f t="shared" si="47"/>
        <v>0.0016478627220495</v>
      </c>
      <c r="P349" s="67">
        <v>11000</v>
      </c>
    </row>
    <row r="350" spans="1:16">
      <c r="A350" s="72">
        <v>348</v>
      </c>
      <c r="B350" s="72">
        <v>11000</v>
      </c>
      <c r="C350" s="72">
        <v>6</v>
      </c>
      <c r="D350" s="72">
        <f t="shared" si="43"/>
        <v>7800</v>
      </c>
      <c r="E350" s="72">
        <f t="shared" si="48"/>
        <v>7950</v>
      </c>
      <c r="F350" s="72"/>
      <c r="G350" s="72">
        <f>VLOOKUP(H350&amp;I350,Sheet2!$J:$K,2,0)</f>
        <v>95301049</v>
      </c>
      <c r="H350" s="72" t="s">
        <v>223</v>
      </c>
      <c r="I350" s="72" t="s">
        <v>233</v>
      </c>
      <c r="J350" s="72" t="s">
        <v>200</v>
      </c>
      <c r="K350" s="72">
        <v>1</v>
      </c>
      <c r="L350" s="72" t="s">
        <v>76</v>
      </c>
      <c r="M350" s="72">
        <f>ROUNDDOWN(VLOOKUP(J350,Sheet1!$N$32:$O$37,2,0)*1000,0)-100</f>
        <v>150</v>
      </c>
      <c r="O350" s="67">
        <f t="shared" si="47"/>
        <v>0.0016478627220495</v>
      </c>
      <c r="P350" s="67">
        <v>11000</v>
      </c>
    </row>
    <row r="351" spans="1:16">
      <c r="A351" s="72">
        <v>349</v>
      </c>
      <c r="B351" s="72">
        <v>11000</v>
      </c>
      <c r="C351" s="72">
        <v>6</v>
      </c>
      <c r="D351" s="72">
        <f t="shared" si="43"/>
        <v>7950</v>
      </c>
      <c r="E351" s="72">
        <f t="shared" si="48"/>
        <v>8100</v>
      </c>
      <c r="F351" s="72"/>
      <c r="G351" s="72">
        <f>VLOOKUP(H351&amp;I351,Sheet2!$J:$K,2,0)</f>
        <v>95301059</v>
      </c>
      <c r="H351" s="72" t="s">
        <v>224</v>
      </c>
      <c r="I351" s="72" t="s">
        <v>233</v>
      </c>
      <c r="J351" s="72" t="s">
        <v>200</v>
      </c>
      <c r="K351" s="72">
        <v>1</v>
      </c>
      <c r="L351" s="72" t="s">
        <v>76</v>
      </c>
      <c r="M351" s="72">
        <f>ROUNDDOWN(VLOOKUP(J351,Sheet1!$N$32:$O$37,2,0)*1000,0)-100</f>
        <v>150</v>
      </c>
      <c r="O351" s="67">
        <f t="shared" si="47"/>
        <v>0.0016478627220495</v>
      </c>
      <c r="P351" s="67">
        <v>11000</v>
      </c>
    </row>
    <row r="352" spans="1:16">
      <c r="A352" s="72">
        <v>350</v>
      </c>
      <c r="B352" s="72">
        <v>11000</v>
      </c>
      <c r="C352" s="72">
        <v>6</v>
      </c>
      <c r="D352" s="72">
        <f t="shared" si="43"/>
        <v>8100</v>
      </c>
      <c r="E352" s="72">
        <f t="shared" si="48"/>
        <v>8250</v>
      </c>
      <c r="F352" s="72"/>
      <c r="G352" s="72">
        <f>VLOOKUP(H352&amp;I352,Sheet2!$J:$K,2,0)</f>
        <v>95301139</v>
      </c>
      <c r="H352" s="72" t="s">
        <v>225</v>
      </c>
      <c r="I352" s="72" t="s">
        <v>233</v>
      </c>
      <c r="J352" s="72" t="s">
        <v>200</v>
      </c>
      <c r="K352" s="72">
        <v>1</v>
      </c>
      <c r="L352" s="72" t="s">
        <v>76</v>
      </c>
      <c r="M352" s="72">
        <f>ROUNDDOWN(VLOOKUP(J352,Sheet1!$N$32:$O$37,2,0)*1000,0)-100</f>
        <v>150</v>
      </c>
      <c r="O352" s="67">
        <f t="shared" si="47"/>
        <v>0.0016478627220495</v>
      </c>
      <c r="P352" s="67">
        <v>11000</v>
      </c>
    </row>
    <row r="353" spans="1:16">
      <c r="A353" s="72">
        <v>351</v>
      </c>
      <c r="B353" s="72">
        <v>11000</v>
      </c>
      <c r="C353" s="72">
        <v>6</v>
      </c>
      <c r="D353" s="72">
        <f t="shared" si="43"/>
        <v>8250</v>
      </c>
      <c r="E353" s="72">
        <f t="shared" si="48"/>
        <v>8400</v>
      </c>
      <c r="F353" s="72"/>
      <c r="G353" s="72">
        <f>VLOOKUP(H353&amp;I353,Sheet2!$J:$K,2,0)</f>
        <v>95301099</v>
      </c>
      <c r="H353" s="72" t="s">
        <v>226</v>
      </c>
      <c r="I353" s="72" t="s">
        <v>233</v>
      </c>
      <c r="J353" s="72" t="s">
        <v>200</v>
      </c>
      <c r="K353" s="72">
        <v>1</v>
      </c>
      <c r="L353" s="72" t="s">
        <v>76</v>
      </c>
      <c r="M353" s="72">
        <f>ROUNDDOWN(VLOOKUP(J353,Sheet1!$N$32:$O$37,2,0)*1000,0)-100</f>
        <v>150</v>
      </c>
      <c r="O353" s="67">
        <f t="shared" si="47"/>
        <v>0.0016478627220495</v>
      </c>
      <c r="P353" s="67">
        <v>11000</v>
      </c>
    </row>
    <row r="354" spans="1:16">
      <c r="A354" s="72">
        <v>352</v>
      </c>
      <c r="B354" s="72">
        <v>11000</v>
      </c>
      <c r="C354" s="72">
        <v>6</v>
      </c>
      <c r="D354" s="72">
        <f t="shared" si="43"/>
        <v>8400</v>
      </c>
      <c r="E354" s="72">
        <f t="shared" si="48"/>
        <v>8550</v>
      </c>
      <c r="F354" s="72"/>
      <c r="G354" s="72">
        <f>VLOOKUP(H354&amp;I354,Sheet2!$J:$K,2,0)</f>
        <v>95201189</v>
      </c>
      <c r="H354" s="72" t="s">
        <v>227</v>
      </c>
      <c r="I354" s="72" t="s">
        <v>233</v>
      </c>
      <c r="J354" s="72" t="s">
        <v>200</v>
      </c>
      <c r="K354" s="72">
        <v>1</v>
      </c>
      <c r="L354" s="72" t="s">
        <v>76</v>
      </c>
      <c r="M354" s="72">
        <f>ROUNDDOWN(VLOOKUP(J354,Sheet1!$N$32:$O$37,2,0)*1000,0)-100</f>
        <v>150</v>
      </c>
      <c r="O354" s="67">
        <f t="shared" si="47"/>
        <v>0.0016478627220495</v>
      </c>
      <c r="P354" s="67">
        <v>11000</v>
      </c>
    </row>
    <row r="355" spans="1:16">
      <c r="A355" s="72">
        <v>353</v>
      </c>
      <c r="B355" s="72">
        <v>11000</v>
      </c>
      <c r="C355" s="72">
        <v>6</v>
      </c>
      <c r="D355" s="72">
        <f t="shared" si="43"/>
        <v>8550</v>
      </c>
      <c r="E355" s="72">
        <f t="shared" si="48"/>
        <v>8700</v>
      </c>
      <c r="F355" s="72"/>
      <c r="G355" s="72">
        <f>VLOOKUP(H355&amp;I355,Sheet2!$J:$K,2,0)</f>
        <v>95301149</v>
      </c>
      <c r="H355" s="72" t="s">
        <v>228</v>
      </c>
      <c r="I355" s="72" t="s">
        <v>233</v>
      </c>
      <c r="J355" s="72" t="s">
        <v>200</v>
      </c>
      <c r="K355" s="72">
        <v>1</v>
      </c>
      <c r="L355" s="72" t="s">
        <v>76</v>
      </c>
      <c r="M355" s="72">
        <f>ROUNDDOWN(VLOOKUP(J355,Sheet1!$N$32:$O$37,2,0)*1000,0)-100</f>
        <v>150</v>
      </c>
      <c r="O355" s="67">
        <f t="shared" si="47"/>
        <v>0.0016478627220495</v>
      </c>
      <c r="P355" s="67">
        <v>11000</v>
      </c>
    </row>
    <row r="356" spans="1:16">
      <c r="A356" s="72">
        <v>354</v>
      </c>
      <c r="B356" s="72">
        <v>11000</v>
      </c>
      <c r="C356" s="72">
        <v>6</v>
      </c>
      <c r="D356" s="72">
        <f t="shared" ref="D356:D359" si="49">E355</f>
        <v>8700</v>
      </c>
      <c r="E356" s="72">
        <f t="shared" si="48"/>
        <v>8850</v>
      </c>
      <c r="F356" s="72"/>
      <c r="G356" s="72">
        <f>VLOOKUP(H356&amp;I356,Sheet2!$J:$K,2,0)</f>
        <v>95301159</v>
      </c>
      <c r="H356" s="72" t="s">
        <v>229</v>
      </c>
      <c r="I356" s="72" t="s">
        <v>233</v>
      </c>
      <c r="J356" s="72" t="s">
        <v>200</v>
      </c>
      <c r="K356" s="72">
        <v>1</v>
      </c>
      <c r="L356" s="72" t="s">
        <v>76</v>
      </c>
      <c r="M356" s="72">
        <f>ROUNDDOWN(VLOOKUP(J356,Sheet1!$N$32:$O$37,2,0)*1000,0)-100</f>
        <v>150</v>
      </c>
      <c r="O356" s="67">
        <f t="shared" si="47"/>
        <v>0.0016478627220495</v>
      </c>
      <c r="P356" s="67">
        <v>11000</v>
      </c>
    </row>
    <row r="357" spans="1:16">
      <c r="A357" s="72">
        <v>355</v>
      </c>
      <c r="B357" s="72">
        <v>11000</v>
      </c>
      <c r="C357" s="72">
        <v>6</v>
      </c>
      <c r="D357" s="72">
        <f t="shared" si="49"/>
        <v>8850</v>
      </c>
      <c r="E357" s="72">
        <f t="shared" si="48"/>
        <v>9000</v>
      </c>
      <c r="F357" s="72"/>
      <c r="G357" s="72">
        <f>VLOOKUP(H357&amp;I357,Sheet2!$J:$K,2,0)</f>
        <v>95110039</v>
      </c>
      <c r="H357" s="72" t="s">
        <v>230</v>
      </c>
      <c r="I357" s="72" t="s">
        <v>233</v>
      </c>
      <c r="J357" s="72" t="s">
        <v>200</v>
      </c>
      <c r="K357" s="72">
        <v>1</v>
      </c>
      <c r="L357" s="72" t="s">
        <v>76</v>
      </c>
      <c r="M357" s="72">
        <f>ROUNDDOWN(VLOOKUP(J357,Sheet1!$N$32:$O$37,2,0)*1000,0)-100</f>
        <v>150</v>
      </c>
    </row>
    <row r="358" spans="1:16">
      <c r="A358" s="72">
        <v>356</v>
      </c>
      <c r="B358" s="72">
        <v>11000</v>
      </c>
      <c r="C358" s="72">
        <v>6</v>
      </c>
      <c r="D358" s="72">
        <f t="shared" si="49"/>
        <v>9000</v>
      </c>
      <c r="E358" s="72">
        <f t="shared" si="48"/>
        <v>9150</v>
      </c>
      <c r="F358" s="72"/>
      <c r="G358" s="72">
        <f>VLOOKUP(H358&amp;I358,Sheet2!$J:$K,2,0)</f>
        <v>95110049</v>
      </c>
      <c r="H358" s="72" t="s">
        <v>231</v>
      </c>
      <c r="I358" s="72" t="s">
        <v>233</v>
      </c>
      <c r="J358" s="72" t="s">
        <v>200</v>
      </c>
      <c r="K358" s="72">
        <v>1</v>
      </c>
      <c r="L358" s="72" t="s">
        <v>76</v>
      </c>
      <c r="M358" s="72">
        <f>ROUNDDOWN(VLOOKUP(J358,Sheet1!$N$32:$O$37,2,0)*1000,0)-100</f>
        <v>150</v>
      </c>
    </row>
    <row r="359" spans="1:16">
      <c r="A359" s="72">
        <v>357</v>
      </c>
      <c r="B359" s="72">
        <v>11000</v>
      </c>
      <c r="C359" s="72">
        <v>6</v>
      </c>
      <c r="D359" s="72">
        <f t="shared" si="49"/>
        <v>9150</v>
      </c>
      <c r="E359" s="72">
        <f t="shared" si="48"/>
        <v>9300</v>
      </c>
      <c r="F359" s="72"/>
      <c r="G359" s="72">
        <f>VLOOKUP(H359&amp;I359,Sheet2!$J:$K,2,0)</f>
        <v>95130029</v>
      </c>
      <c r="H359" s="72" t="s">
        <v>232</v>
      </c>
      <c r="I359" s="72" t="s">
        <v>233</v>
      </c>
      <c r="J359" s="72" t="s">
        <v>200</v>
      </c>
      <c r="K359" s="72">
        <v>1</v>
      </c>
      <c r="L359" s="72" t="s">
        <v>76</v>
      </c>
      <c r="M359" s="72">
        <f>ROUNDDOWN(VLOOKUP(J359,Sheet1!$N$32:$O$37,2,0)*1000,0)-100</f>
        <v>150</v>
      </c>
    </row>
    <row r="360" spans="1:16">
      <c r="A360" s="80">
        <v>358</v>
      </c>
      <c r="B360" s="80">
        <v>11000</v>
      </c>
      <c r="C360" s="80">
        <f>VLOOKUP(H360,[1]药品!$B:$E,4,0)</f>
        <v>1</v>
      </c>
      <c r="D360" s="80">
        <f>E355</f>
        <v>8700</v>
      </c>
      <c r="E360" s="80">
        <f t="shared" si="48"/>
        <v>13075</v>
      </c>
      <c r="F360" s="80"/>
      <c r="G360" s="80">
        <v>901000</v>
      </c>
      <c r="H360" s="80" t="s">
        <v>234</v>
      </c>
      <c r="I360" s="80"/>
      <c r="J360" s="80" t="s">
        <v>235</v>
      </c>
      <c r="K360" s="80">
        <v>1</v>
      </c>
      <c r="L360" s="80" t="s">
        <v>76</v>
      </c>
      <c r="M360" s="80">
        <f>ROUNDDOWN(VLOOKUP(J360,Sheet1!$N$32:$O$37,2,0)*1000,0)</f>
        <v>4375</v>
      </c>
      <c r="N360" s="67">
        <f>SUM(O360:O367)</f>
        <v>0.38450130181155</v>
      </c>
      <c r="O360" s="67">
        <f>(E360-D360)/$E$438</f>
        <v>0.0480626627264438</v>
      </c>
      <c r="P360" s="67">
        <v>11000</v>
      </c>
    </row>
    <row r="361" spans="1:16">
      <c r="A361" s="80">
        <v>359</v>
      </c>
      <c r="B361" s="80">
        <v>11000</v>
      </c>
      <c r="C361" s="80">
        <f>VLOOKUP(H361,[1]药品!$B:$E,4,0)</f>
        <v>2</v>
      </c>
      <c r="D361" s="80">
        <f t="shared" si="43"/>
        <v>13075</v>
      </c>
      <c r="E361" s="80">
        <f t="shared" si="48"/>
        <v>17450</v>
      </c>
      <c r="F361" s="80"/>
      <c r="G361" s="80">
        <v>901001</v>
      </c>
      <c r="H361" s="80" t="s">
        <v>236</v>
      </c>
      <c r="I361" s="80"/>
      <c r="J361" s="80" t="s">
        <v>235</v>
      </c>
      <c r="K361" s="80">
        <v>1</v>
      </c>
      <c r="L361" s="80" t="s">
        <v>76</v>
      </c>
      <c r="M361" s="80">
        <f>ROUNDDOWN(VLOOKUP(J361,Sheet1!$N$32:$O$37,2,0)*1000,0)</f>
        <v>4375</v>
      </c>
      <c r="O361" s="67">
        <f>(E361-D361)/$E$438</f>
        <v>0.0480626627264438</v>
      </c>
      <c r="P361" s="67">
        <v>11000</v>
      </c>
    </row>
    <row r="362" spans="1:16">
      <c r="A362" s="80">
        <v>360</v>
      </c>
      <c r="B362" s="80">
        <v>11000</v>
      </c>
      <c r="C362" s="80">
        <f>VLOOKUP(H362,[1]药品!$B:$E,4,0)</f>
        <v>3</v>
      </c>
      <c r="D362" s="80">
        <f t="shared" si="43"/>
        <v>17450</v>
      </c>
      <c r="E362" s="80">
        <f t="shared" si="48"/>
        <v>21825</v>
      </c>
      <c r="F362" s="80"/>
      <c r="G362" s="80">
        <v>901002</v>
      </c>
      <c r="H362" s="80" t="s">
        <v>237</v>
      </c>
      <c r="I362" s="80"/>
      <c r="J362" s="80" t="s">
        <v>235</v>
      </c>
      <c r="K362" s="80">
        <v>1</v>
      </c>
      <c r="L362" s="80" t="s">
        <v>76</v>
      </c>
      <c r="M362" s="80">
        <f>ROUNDDOWN(VLOOKUP(J362,Sheet1!$N$32:$O$37,2,0)*1000,0)</f>
        <v>4375</v>
      </c>
      <c r="O362" s="67">
        <f>(E362-D362)/$E$438</f>
        <v>0.0480626627264438</v>
      </c>
      <c r="P362" s="67">
        <v>11000</v>
      </c>
    </row>
    <row r="363" spans="1:16">
      <c r="A363" s="80">
        <v>361</v>
      </c>
      <c r="B363" s="80">
        <v>11000</v>
      </c>
      <c r="C363" s="80">
        <f>VLOOKUP(H363,[1]药品!$B:$E,4,0)</f>
        <v>4</v>
      </c>
      <c r="D363" s="80">
        <f t="shared" si="43"/>
        <v>21825</v>
      </c>
      <c r="E363" s="80">
        <f t="shared" si="48"/>
        <v>26200</v>
      </c>
      <c r="F363" s="80"/>
      <c r="G363" s="80">
        <v>901003</v>
      </c>
      <c r="H363" s="80" t="s">
        <v>238</v>
      </c>
      <c r="I363" s="80"/>
      <c r="J363" s="80" t="s">
        <v>235</v>
      </c>
      <c r="K363" s="80">
        <v>1</v>
      </c>
      <c r="L363" s="80" t="s">
        <v>76</v>
      </c>
      <c r="M363" s="80">
        <f>ROUNDDOWN(VLOOKUP(J363,Sheet1!$N$32:$O$37,2,0)*1000,0)</f>
        <v>4375</v>
      </c>
      <c r="O363" s="67">
        <f>(E363-D363)/$E$438</f>
        <v>0.0480626627264438</v>
      </c>
      <c r="P363" s="67">
        <v>11000</v>
      </c>
    </row>
    <row r="364" spans="1:16">
      <c r="A364" s="80">
        <v>362</v>
      </c>
      <c r="B364" s="80">
        <v>11000</v>
      </c>
      <c r="C364" s="80">
        <f>VLOOKUP(H364,[1]药品!$B:$E,4,0)</f>
        <v>1</v>
      </c>
      <c r="D364" s="80">
        <f t="shared" si="43"/>
        <v>26200</v>
      </c>
      <c r="E364" s="80">
        <f t="shared" si="48"/>
        <v>30575</v>
      </c>
      <c r="F364" s="80"/>
      <c r="G364" s="80">
        <v>901100</v>
      </c>
      <c r="H364" s="80" t="s">
        <v>239</v>
      </c>
      <c r="I364" s="80"/>
      <c r="J364" s="80" t="s">
        <v>235</v>
      </c>
      <c r="K364" s="80">
        <v>1</v>
      </c>
      <c r="L364" s="80" t="s">
        <v>76</v>
      </c>
      <c r="M364" s="80">
        <f>ROUNDDOWN(VLOOKUP(J364,Sheet1!$N$32:$O$37,2,0)*1000,0)</f>
        <v>4375</v>
      </c>
      <c r="O364" s="67">
        <f t="shared" ref="O364:O395" si="50">(E364-D364)/$E$438</f>
        <v>0.0480626627264438</v>
      </c>
      <c r="P364" s="67">
        <v>11000</v>
      </c>
    </row>
    <row r="365" spans="1:16">
      <c r="A365" s="80">
        <v>363</v>
      </c>
      <c r="B365" s="80">
        <v>11000</v>
      </c>
      <c r="C365" s="80">
        <f>VLOOKUP(H365,[1]药品!$B:$E,4,0)</f>
        <v>2</v>
      </c>
      <c r="D365" s="80">
        <f t="shared" si="43"/>
        <v>30575</v>
      </c>
      <c r="E365" s="80">
        <f t="shared" ref="E365:E396" si="51">D365+M365</f>
        <v>34950</v>
      </c>
      <c r="F365" s="80"/>
      <c r="G365" s="80">
        <v>901101</v>
      </c>
      <c r="H365" s="80" t="s">
        <v>240</v>
      </c>
      <c r="I365" s="80"/>
      <c r="J365" s="80" t="s">
        <v>235</v>
      </c>
      <c r="K365" s="80">
        <v>1</v>
      </c>
      <c r="L365" s="80" t="s">
        <v>76</v>
      </c>
      <c r="M365" s="80">
        <f>ROUNDDOWN(VLOOKUP(J365,Sheet1!$N$32:$O$37,2,0)*1000,0)</f>
        <v>4375</v>
      </c>
      <c r="O365" s="67">
        <f t="shared" si="50"/>
        <v>0.0480626627264438</v>
      </c>
      <c r="P365" s="67">
        <v>11000</v>
      </c>
    </row>
    <row r="366" spans="1:16">
      <c r="A366" s="80">
        <v>364</v>
      </c>
      <c r="B366" s="80">
        <v>11000</v>
      </c>
      <c r="C366" s="80">
        <f>VLOOKUP(H366,[1]药品!$B:$E,4,0)</f>
        <v>3</v>
      </c>
      <c r="D366" s="80">
        <f t="shared" si="43"/>
        <v>34950</v>
      </c>
      <c r="E366" s="80">
        <f t="shared" si="51"/>
        <v>39325</v>
      </c>
      <c r="F366" s="80"/>
      <c r="G366" s="80">
        <v>901102</v>
      </c>
      <c r="H366" s="80" t="s">
        <v>241</v>
      </c>
      <c r="I366" s="80"/>
      <c r="J366" s="80" t="s">
        <v>235</v>
      </c>
      <c r="K366" s="80">
        <v>1</v>
      </c>
      <c r="L366" s="80" t="s">
        <v>76</v>
      </c>
      <c r="M366" s="80">
        <f>ROUNDDOWN(VLOOKUP(J366,Sheet1!$N$32:$O$37,2,0)*1000,0)</f>
        <v>4375</v>
      </c>
      <c r="O366" s="67">
        <f t="shared" si="50"/>
        <v>0.0480626627264438</v>
      </c>
      <c r="P366" s="67">
        <v>11000</v>
      </c>
    </row>
    <row r="367" spans="1:16">
      <c r="A367" s="80">
        <v>365</v>
      </c>
      <c r="B367" s="80">
        <v>11000</v>
      </c>
      <c r="C367" s="80">
        <f>VLOOKUP(H367,[1]药品!$B:$E,4,0)</f>
        <v>4</v>
      </c>
      <c r="D367" s="80">
        <f t="shared" si="43"/>
        <v>39325</v>
      </c>
      <c r="E367" s="80">
        <f t="shared" si="51"/>
        <v>43700</v>
      </c>
      <c r="F367" s="80"/>
      <c r="G367" s="80">
        <v>901103</v>
      </c>
      <c r="H367" s="80" t="s">
        <v>242</v>
      </c>
      <c r="I367" s="80"/>
      <c r="J367" s="80" t="s">
        <v>235</v>
      </c>
      <c r="K367" s="80">
        <v>1</v>
      </c>
      <c r="L367" s="80" t="s">
        <v>76</v>
      </c>
      <c r="M367" s="80">
        <f>ROUNDDOWN(VLOOKUP(J367,Sheet1!$N$32:$O$37,2,0)*1000,0)</f>
        <v>4375</v>
      </c>
      <c r="O367" s="67">
        <f t="shared" si="50"/>
        <v>0.0480626627264438</v>
      </c>
      <c r="P367" s="67">
        <v>11000</v>
      </c>
    </row>
    <row r="368" spans="1:16">
      <c r="A368" s="78">
        <v>366</v>
      </c>
      <c r="B368" s="78">
        <v>11000</v>
      </c>
      <c r="C368" s="78">
        <v>7</v>
      </c>
      <c r="D368" s="78">
        <f t="shared" ref="D368:D431" si="52">E367</f>
        <v>43700</v>
      </c>
      <c r="E368" s="78">
        <f t="shared" si="51"/>
        <v>44176</v>
      </c>
      <c r="F368" s="78"/>
      <c r="G368" s="78">
        <v>100101</v>
      </c>
      <c r="H368" s="78" t="s">
        <v>243</v>
      </c>
      <c r="I368" s="78"/>
      <c r="J368" s="78" t="s">
        <v>244</v>
      </c>
      <c r="K368" s="78">
        <v>1</v>
      </c>
      <c r="L368" s="78" t="s">
        <v>76</v>
      </c>
      <c r="M368" s="78">
        <f>ROUNDDOWN(VLOOKUP(J368,Sheet1!$N$32:$O$37,2,0)*1000,0)</f>
        <v>476</v>
      </c>
      <c r="N368" s="67">
        <f>SUM(O368:O388)</f>
        <v>0.109813571797379</v>
      </c>
      <c r="O368" s="67">
        <f t="shared" si="50"/>
        <v>0.00522921770463709</v>
      </c>
      <c r="P368" s="67">
        <v>11000</v>
      </c>
    </row>
    <row r="369" spans="1:16">
      <c r="A369" s="78">
        <v>367</v>
      </c>
      <c r="B369" s="78">
        <v>11000</v>
      </c>
      <c r="C369" s="78">
        <v>7</v>
      </c>
      <c r="D369" s="78">
        <f t="shared" si="52"/>
        <v>44176</v>
      </c>
      <c r="E369" s="78">
        <f t="shared" si="51"/>
        <v>44652</v>
      </c>
      <c r="F369" s="78"/>
      <c r="G369" s="78">
        <v>100103</v>
      </c>
      <c r="H369" s="78" t="s">
        <v>245</v>
      </c>
      <c r="I369" s="78"/>
      <c r="J369" s="78" t="s">
        <v>244</v>
      </c>
      <c r="K369" s="78">
        <v>1</v>
      </c>
      <c r="L369" s="78" t="s">
        <v>76</v>
      </c>
      <c r="M369" s="78">
        <f>ROUNDDOWN(VLOOKUP(J369,Sheet1!$N$32:$O$37,2,0)*1000,0)</f>
        <v>476</v>
      </c>
      <c r="O369" s="67">
        <f t="shared" si="50"/>
        <v>0.00522921770463709</v>
      </c>
      <c r="P369" s="67">
        <v>11000</v>
      </c>
    </row>
    <row r="370" spans="1:16">
      <c r="A370" s="78">
        <v>368</v>
      </c>
      <c r="B370" s="78">
        <v>11000</v>
      </c>
      <c r="C370" s="78">
        <v>7</v>
      </c>
      <c r="D370" s="78">
        <f t="shared" si="52"/>
        <v>44652</v>
      </c>
      <c r="E370" s="78">
        <f t="shared" si="51"/>
        <v>45128</v>
      </c>
      <c r="F370" s="78"/>
      <c r="G370" s="78">
        <v>100107</v>
      </c>
      <c r="H370" s="78" t="s">
        <v>246</v>
      </c>
      <c r="I370" s="78"/>
      <c r="J370" s="78" t="s">
        <v>244</v>
      </c>
      <c r="K370" s="78">
        <v>1</v>
      </c>
      <c r="L370" s="78" t="s">
        <v>76</v>
      </c>
      <c r="M370" s="78">
        <f>ROUNDDOWN(VLOOKUP(J370,Sheet1!$N$32:$O$37,2,0)*1000,0)</f>
        <v>476</v>
      </c>
      <c r="O370" s="67">
        <f t="shared" si="50"/>
        <v>0.00522921770463709</v>
      </c>
      <c r="P370" s="67">
        <v>11000</v>
      </c>
    </row>
    <row r="371" spans="1:16">
      <c r="A371" s="78">
        <v>369</v>
      </c>
      <c r="B371" s="78">
        <v>11000</v>
      </c>
      <c r="C371" s="78">
        <v>7</v>
      </c>
      <c r="D371" s="78">
        <f t="shared" si="52"/>
        <v>45128</v>
      </c>
      <c r="E371" s="78">
        <f t="shared" si="51"/>
        <v>45604</v>
      </c>
      <c r="F371" s="78"/>
      <c r="G371" s="78">
        <v>100108</v>
      </c>
      <c r="H371" s="78" t="s">
        <v>247</v>
      </c>
      <c r="I371" s="78"/>
      <c r="J371" s="78" t="s">
        <v>244</v>
      </c>
      <c r="K371" s="78">
        <v>1</v>
      </c>
      <c r="L371" s="78" t="s">
        <v>76</v>
      </c>
      <c r="M371" s="78">
        <f>ROUNDDOWN(VLOOKUP(J371,Sheet1!$N$32:$O$37,2,0)*1000,0)</f>
        <v>476</v>
      </c>
      <c r="O371" s="67">
        <f t="shared" si="50"/>
        <v>0.00522921770463709</v>
      </c>
      <c r="P371" s="67">
        <v>11000</v>
      </c>
    </row>
    <row r="372" spans="1:16">
      <c r="A372" s="78">
        <v>370</v>
      </c>
      <c r="B372" s="78">
        <v>11000</v>
      </c>
      <c r="C372" s="78">
        <v>7</v>
      </c>
      <c r="D372" s="78">
        <f t="shared" si="52"/>
        <v>45604</v>
      </c>
      <c r="E372" s="78">
        <f t="shared" si="51"/>
        <v>46080</v>
      </c>
      <c r="F372" s="78"/>
      <c r="G372" s="78">
        <v>100113</v>
      </c>
      <c r="H372" s="78" t="s">
        <v>248</v>
      </c>
      <c r="I372" s="78"/>
      <c r="J372" s="78" t="s">
        <v>244</v>
      </c>
      <c r="K372" s="78">
        <v>1</v>
      </c>
      <c r="L372" s="78" t="s">
        <v>76</v>
      </c>
      <c r="M372" s="78">
        <f>ROUNDDOWN(VLOOKUP(J372,Sheet1!$N$32:$O$37,2,0)*1000,0)</f>
        <v>476</v>
      </c>
      <c r="O372" s="67">
        <f t="shared" si="50"/>
        <v>0.00522921770463709</v>
      </c>
      <c r="P372" s="67">
        <v>11000</v>
      </c>
    </row>
    <row r="373" spans="1:16">
      <c r="A373" s="78">
        <v>371</v>
      </c>
      <c r="B373" s="78">
        <v>11000</v>
      </c>
      <c r="C373" s="78">
        <v>7</v>
      </c>
      <c r="D373" s="78">
        <f t="shared" si="52"/>
        <v>46080</v>
      </c>
      <c r="E373" s="78">
        <f t="shared" si="51"/>
        <v>46556</v>
      </c>
      <c r="F373" s="78"/>
      <c r="G373" s="78">
        <v>100114</v>
      </c>
      <c r="H373" s="78" t="s">
        <v>249</v>
      </c>
      <c r="I373" s="78"/>
      <c r="J373" s="78" t="s">
        <v>244</v>
      </c>
      <c r="K373" s="78">
        <v>1</v>
      </c>
      <c r="L373" s="78" t="s">
        <v>76</v>
      </c>
      <c r="M373" s="78">
        <f>ROUNDDOWN(VLOOKUP(J373,Sheet1!$N$32:$O$37,2,0)*1000,0)</f>
        <v>476</v>
      </c>
      <c r="O373" s="67">
        <f t="shared" si="50"/>
        <v>0.00522921770463709</v>
      </c>
      <c r="P373" s="67">
        <v>11000</v>
      </c>
    </row>
    <row r="374" spans="1:16">
      <c r="A374" s="78">
        <v>372</v>
      </c>
      <c r="B374" s="78">
        <v>11000</v>
      </c>
      <c r="C374" s="78">
        <v>7</v>
      </c>
      <c r="D374" s="78">
        <f t="shared" si="52"/>
        <v>46556</v>
      </c>
      <c r="E374" s="78">
        <f t="shared" si="51"/>
        <v>47032</v>
      </c>
      <c r="F374" s="78"/>
      <c r="G374" s="78">
        <v>100116</v>
      </c>
      <c r="H374" s="78" t="s">
        <v>250</v>
      </c>
      <c r="I374" s="78"/>
      <c r="J374" s="78" t="s">
        <v>244</v>
      </c>
      <c r="K374" s="78">
        <v>1</v>
      </c>
      <c r="L374" s="78" t="s">
        <v>76</v>
      </c>
      <c r="M374" s="78">
        <f>ROUNDDOWN(VLOOKUP(J374,Sheet1!$N$32:$O$37,2,0)*1000,0)</f>
        <v>476</v>
      </c>
      <c r="O374" s="67">
        <f t="shared" si="50"/>
        <v>0.00522921770463709</v>
      </c>
      <c r="P374" s="67">
        <v>11000</v>
      </c>
    </row>
    <row r="375" spans="1:16">
      <c r="A375" s="78">
        <v>373</v>
      </c>
      <c r="B375" s="78">
        <v>11000</v>
      </c>
      <c r="C375" s="78">
        <v>7</v>
      </c>
      <c r="D375" s="78">
        <f t="shared" si="52"/>
        <v>47032</v>
      </c>
      <c r="E375" s="78">
        <f t="shared" si="51"/>
        <v>47508</v>
      </c>
      <c r="F375" s="78"/>
      <c r="G375" s="78">
        <v>100120</v>
      </c>
      <c r="H375" s="78" t="s">
        <v>251</v>
      </c>
      <c r="I375" s="78"/>
      <c r="J375" s="78" t="s">
        <v>244</v>
      </c>
      <c r="K375" s="78">
        <v>1</v>
      </c>
      <c r="L375" s="78" t="s">
        <v>76</v>
      </c>
      <c r="M375" s="78">
        <f>ROUNDDOWN(VLOOKUP(J375,Sheet1!$N$32:$O$37,2,0)*1000,0)</f>
        <v>476</v>
      </c>
      <c r="O375" s="67">
        <f t="shared" si="50"/>
        <v>0.00522921770463709</v>
      </c>
      <c r="P375" s="67">
        <v>11000</v>
      </c>
    </row>
    <row r="376" spans="1:16">
      <c r="A376" s="78">
        <v>374</v>
      </c>
      <c r="B376" s="78">
        <v>11000</v>
      </c>
      <c r="C376" s="78">
        <v>7</v>
      </c>
      <c r="D376" s="78">
        <f t="shared" si="52"/>
        <v>47508</v>
      </c>
      <c r="E376" s="78">
        <f t="shared" si="51"/>
        <v>47984</v>
      </c>
      <c r="F376" s="78"/>
      <c r="G376" s="78">
        <v>100125</v>
      </c>
      <c r="H376" s="78" t="s">
        <v>252</v>
      </c>
      <c r="I376" s="78"/>
      <c r="J376" s="78" t="s">
        <v>244</v>
      </c>
      <c r="K376" s="78">
        <v>1</v>
      </c>
      <c r="L376" s="78" t="s">
        <v>76</v>
      </c>
      <c r="M376" s="78">
        <f>ROUNDDOWN(VLOOKUP(J376,Sheet1!$N$32:$O$37,2,0)*1000,0)</f>
        <v>476</v>
      </c>
      <c r="O376" s="67">
        <f t="shared" si="50"/>
        <v>0.00522921770463709</v>
      </c>
      <c r="P376" s="67">
        <v>11000</v>
      </c>
    </row>
    <row r="377" spans="1:16">
      <c r="A377" s="78">
        <v>375</v>
      </c>
      <c r="B377" s="78">
        <v>11000</v>
      </c>
      <c r="C377" s="78">
        <v>7</v>
      </c>
      <c r="D377" s="78">
        <f t="shared" si="52"/>
        <v>47984</v>
      </c>
      <c r="E377" s="78">
        <f t="shared" si="51"/>
        <v>48460</v>
      </c>
      <c r="F377" s="78"/>
      <c r="G377" s="78">
        <v>100126</v>
      </c>
      <c r="H377" s="78" t="s">
        <v>253</v>
      </c>
      <c r="I377" s="78"/>
      <c r="J377" s="78" t="s">
        <v>244</v>
      </c>
      <c r="K377" s="78">
        <v>1</v>
      </c>
      <c r="L377" s="78" t="s">
        <v>76</v>
      </c>
      <c r="M377" s="78">
        <f>ROUNDDOWN(VLOOKUP(J377,Sheet1!$N$32:$O$37,2,0)*1000,0)</f>
        <v>476</v>
      </c>
      <c r="O377" s="67">
        <f t="shared" si="50"/>
        <v>0.00522921770463709</v>
      </c>
      <c r="P377" s="67">
        <v>11000</v>
      </c>
    </row>
    <row r="378" spans="1:16">
      <c r="A378" s="78">
        <v>376</v>
      </c>
      <c r="B378" s="78">
        <v>11000</v>
      </c>
      <c r="C378" s="78">
        <v>7</v>
      </c>
      <c r="D378" s="78">
        <f t="shared" si="52"/>
        <v>48460</v>
      </c>
      <c r="E378" s="78">
        <f t="shared" si="51"/>
        <v>48936</v>
      </c>
      <c r="F378" s="78"/>
      <c r="G378" s="78">
        <v>100127</v>
      </c>
      <c r="H378" s="78" t="s">
        <v>254</v>
      </c>
      <c r="I378" s="78"/>
      <c r="J378" s="78" t="s">
        <v>244</v>
      </c>
      <c r="K378" s="78">
        <v>1</v>
      </c>
      <c r="L378" s="78" t="s">
        <v>76</v>
      </c>
      <c r="M378" s="78">
        <f>ROUNDDOWN(VLOOKUP(J378,Sheet1!$N$32:$O$37,2,0)*1000,0)</f>
        <v>476</v>
      </c>
      <c r="O378" s="67">
        <f t="shared" si="50"/>
        <v>0.00522921770463709</v>
      </c>
      <c r="P378" s="67">
        <v>11000</v>
      </c>
    </row>
    <row r="379" spans="1:16">
      <c r="A379" s="78">
        <v>377</v>
      </c>
      <c r="B379" s="78">
        <v>11000</v>
      </c>
      <c r="C379" s="78">
        <v>7</v>
      </c>
      <c r="D379" s="78">
        <f t="shared" si="52"/>
        <v>48936</v>
      </c>
      <c r="E379" s="78">
        <f t="shared" si="51"/>
        <v>49412</v>
      </c>
      <c r="F379" s="78"/>
      <c r="G379" s="78">
        <v>100132</v>
      </c>
      <c r="H379" s="78" t="s">
        <v>255</v>
      </c>
      <c r="I379" s="78"/>
      <c r="J379" s="78" t="s">
        <v>244</v>
      </c>
      <c r="K379" s="78">
        <v>1</v>
      </c>
      <c r="L379" s="78" t="s">
        <v>76</v>
      </c>
      <c r="M379" s="78">
        <f>ROUNDDOWN(VLOOKUP(J379,Sheet1!$N$32:$O$37,2,0)*1000,0)</f>
        <v>476</v>
      </c>
      <c r="O379" s="67">
        <f t="shared" si="50"/>
        <v>0.00522921770463709</v>
      </c>
      <c r="P379" s="67">
        <v>11000</v>
      </c>
    </row>
    <row r="380" spans="1:16">
      <c r="A380" s="78">
        <v>378</v>
      </c>
      <c r="B380" s="78">
        <v>11000</v>
      </c>
      <c r="C380" s="78">
        <v>7</v>
      </c>
      <c r="D380" s="78">
        <f t="shared" si="52"/>
        <v>49412</v>
      </c>
      <c r="E380" s="78">
        <f t="shared" si="51"/>
        <v>49888</v>
      </c>
      <c r="F380" s="78"/>
      <c r="G380" s="78">
        <v>100133</v>
      </c>
      <c r="H380" s="78" t="s">
        <v>256</v>
      </c>
      <c r="I380" s="78"/>
      <c r="J380" s="78" t="s">
        <v>244</v>
      </c>
      <c r="K380" s="78">
        <v>1</v>
      </c>
      <c r="L380" s="78" t="s">
        <v>76</v>
      </c>
      <c r="M380" s="78">
        <f>ROUNDDOWN(VLOOKUP(J380,Sheet1!$N$32:$O$37,2,0)*1000,0)</f>
        <v>476</v>
      </c>
      <c r="O380" s="67">
        <f t="shared" si="50"/>
        <v>0.00522921770463709</v>
      </c>
      <c r="P380" s="67">
        <v>11000</v>
      </c>
    </row>
    <row r="381" spans="1:16">
      <c r="A381" s="78">
        <v>379</v>
      </c>
      <c r="B381" s="78">
        <v>11000</v>
      </c>
      <c r="C381" s="78">
        <v>7</v>
      </c>
      <c r="D381" s="78">
        <f t="shared" si="52"/>
        <v>49888</v>
      </c>
      <c r="E381" s="78">
        <f t="shared" si="51"/>
        <v>50364</v>
      </c>
      <c r="F381" s="78"/>
      <c r="G381" s="78">
        <v>100134</v>
      </c>
      <c r="H381" s="78" t="s">
        <v>257</v>
      </c>
      <c r="I381" s="78"/>
      <c r="J381" s="78" t="s">
        <v>244</v>
      </c>
      <c r="K381" s="78">
        <v>1</v>
      </c>
      <c r="L381" s="78" t="s">
        <v>76</v>
      </c>
      <c r="M381" s="78">
        <f>ROUNDDOWN(VLOOKUP(J381,Sheet1!$N$32:$O$37,2,0)*1000,0)</f>
        <v>476</v>
      </c>
      <c r="O381" s="67">
        <f t="shared" si="50"/>
        <v>0.00522921770463709</v>
      </c>
      <c r="P381" s="67">
        <v>11000</v>
      </c>
    </row>
    <row r="382" spans="1:16">
      <c r="A382" s="78">
        <v>380</v>
      </c>
      <c r="B382" s="78">
        <v>11000</v>
      </c>
      <c r="C382" s="78">
        <v>7</v>
      </c>
      <c r="D382" s="78">
        <f t="shared" si="52"/>
        <v>50364</v>
      </c>
      <c r="E382" s="78">
        <f t="shared" si="51"/>
        <v>50840</v>
      </c>
      <c r="F382" s="78"/>
      <c r="G382" s="78">
        <v>100135</v>
      </c>
      <c r="H382" s="78" t="s">
        <v>258</v>
      </c>
      <c r="I382" s="78"/>
      <c r="J382" s="78" t="s">
        <v>244</v>
      </c>
      <c r="K382" s="78">
        <v>1</v>
      </c>
      <c r="L382" s="78" t="s">
        <v>76</v>
      </c>
      <c r="M382" s="78">
        <f>ROUNDDOWN(VLOOKUP(J382,Sheet1!$N$32:$O$37,2,0)*1000,0)</f>
        <v>476</v>
      </c>
      <c r="O382" s="67">
        <f t="shared" si="50"/>
        <v>0.00522921770463709</v>
      </c>
      <c r="P382" s="67">
        <v>11000</v>
      </c>
    </row>
    <row r="383" spans="1:16">
      <c r="A383" s="78">
        <v>381</v>
      </c>
      <c r="B383" s="78">
        <v>11000</v>
      </c>
      <c r="C383" s="78">
        <v>7</v>
      </c>
      <c r="D383" s="78">
        <f t="shared" si="52"/>
        <v>50840</v>
      </c>
      <c r="E383" s="78">
        <f t="shared" si="51"/>
        <v>51316</v>
      </c>
      <c r="F383" s="78"/>
      <c r="G383" s="78">
        <v>100136</v>
      </c>
      <c r="H383" s="78" t="s">
        <v>259</v>
      </c>
      <c r="I383" s="78"/>
      <c r="J383" s="78" t="s">
        <v>244</v>
      </c>
      <c r="K383" s="78">
        <v>1</v>
      </c>
      <c r="L383" s="78" t="s">
        <v>76</v>
      </c>
      <c r="M383" s="78">
        <f>ROUNDDOWN(VLOOKUP(J383,Sheet1!$N$32:$O$37,2,0)*1000,0)</f>
        <v>476</v>
      </c>
      <c r="O383" s="67">
        <f t="shared" si="50"/>
        <v>0.00522921770463709</v>
      </c>
      <c r="P383" s="67">
        <v>11000</v>
      </c>
    </row>
    <row r="384" spans="1:16">
      <c r="A384" s="78">
        <v>382</v>
      </c>
      <c r="B384" s="78">
        <v>11000</v>
      </c>
      <c r="C384" s="78">
        <v>7</v>
      </c>
      <c r="D384" s="78">
        <f t="shared" si="52"/>
        <v>51316</v>
      </c>
      <c r="E384" s="78">
        <f t="shared" si="51"/>
        <v>51792</v>
      </c>
      <c r="F384" s="78"/>
      <c r="G384" s="78">
        <v>100137</v>
      </c>
      <c r="H384" s="78" t="s">
        <v>260</v>
      </c>
      <c r="I384" s="78"/>
      <c r="J384" s="78" t="s">
        <v>244</v>
      </c>
      <c r="K384" s="78">
        <v>1</v>
      </c>
      <c r="L384" s="78" t="s">
        <v>76</v>
      </c>
      <c r="M384" s="78">
        <f>ROUNDDOWN(VLOOKUP(J384,Sheet1!$N$32:$O$37,2,0)*1000,0)</f>
        <v>476</v>
      </c>
      <c r="O384" s="67">
        <f t="shared" si="50"/>
        <v>0.00522921770463709</v>
      </c>
      <c r="P384" s="67">
        <v>11000</v>
      </c>
    </row>
    <row r="385" spans="1:20">
      <c r="A385" s="78">
        <v>383</v>
      </c>
      <c r="B385" s="78">
        <v>11000</v>
      </c>
      <c r="C385" s="78">
        <v>7</v>
      </c>
      <c r="D385" s="78">
        <f t="shared" si="52"/>
        <v>51792</v>
      </c>
      <c r="E385" s="78">
        <f t="shared" si="51"/>
        <v>52268</v>
      </c>
      <c r="F385" s="78"/>
      <c r="G385" s="78">
        <v>100138</v>
      </c>
      <c r="H385" s="78" t="s">
        <v>261</v>
      </c>
      <c r="I385" s="78"/>
      <c r="J385" s="78" t="s">
        <v>244</v>
      </c>
      <c r="K385" s="78">
        <v>1</v>
      </c>
      <c r="L385" s="78" t="s">
        <v>76</v>
      </c>
      <c r="M385" s="78">
        <f>ROUNDDOWN(VLOOKUP(J385,Sheet1!$N$32:$O$37,2,0)*1000,0)</f>
        <v>476</v>
      </c>
      <c r="O385" s="67">
        <f t="shared" si="50"/>
        <v>0.00522921770463709</v>
      </c>
      <c r="P385" s="67">
        <v>11000</v>
      </c>
    </row>
    <row r="386" spans="1:20">
      <c r="A386" s="78">
        <v>384</v>
      </c>
      <c r="B386" s="78">
        <v>11000</v>
      </c>
      <c r="C386" s="78">
        <v>7</v>
      </c>
      <c r="D386" s="78">
        <f t="shared" si="52"/>
        <v>52268</v>
      </c>
      <c r="E386" s="78">
        <f t="shared" si="51"/>
        <v>52744</v>
      </c>
      <c r="F386" s="78"/>
      <c r="G386" s="78">
        <v>100144</v>
      </c>
      <c r="H386" s="78" t="s">
        <v>262</v>
      </c>
      <c r="I386" s="78"/>
      <c r="J386" s="78" t="s">
        <v>244</v>
      </c>
      <c r="K386" s="78">
        <v>1</v>
      </c>
      <c r="L386" s="78" t="s">
        <v>76</v>
      </c>
      <c r="M386" s="78">
        <f>ROUNDDOWN(VLOOKUP(J386,Sheet1!$N$32:$O$37,2,0)*1000,0)</f>
        <v>476</v>
      </c>
      <c r="O386" s="67">
        <f t="shared" si="50"/>
        <v>0.00522921770463709</v>
      </c>
      <c r="P386" s="67">
        <v>11000</v>
      </c>
    </row>
    <row r="387" spans="1:20">
      <c r="A387" s="78">
        <v>385</v>
      </c>
      <c r="B387" s="78">
        <v>11000</v>
      </c>
      <c r="C387" s="78">
        <v>7</v>
      </c>
      <c r="D387" s="78">
        <f t="shared" si="52"/>
        <v>52744</v>
      </c>
      <c r="E387" s="78">
        <f t="shared" si="51"/>
        <v>53220</v>
      </c>
      <c r="F387" s="78"/>
      <c r="G387" s="78">
        <v>100148</v>
      </c>
      <c r="H387" s="78" t="s">
        <v>263</v>
      </c>
      <c r="I387" s="78"/>
      <c r="J387" s="78" t="s">
        <v>244</v>
      </c>
      <c r="K387" s="78">
        <v>1</v>
      </c>
      <c r="L387" s="78" t="s">
        <v>76</v>
      </c>
      <c r="M387" s="78">
        <f>ROUNDDOWN(VLOOKUP(J387,Sheet1!$N$32:$O$37,2,0)*1000,0)</f>
        <v>476</v>
      </c>
      <c r="O387" s="67">
        <f t="shared" si="50"/>
        <v>0.00522921770463709</v>
      </c>
      <c r="P387" s="67">
        <v>11000</v>
      </c>
    </row>
    <row r="388" spans="1:20">
      <c r="A388" s="78">
        <v>386</v>
      </c>
      <c r="B388" s="78">
        <v>11000</v>
      </c>
      <c r="C388" s="78">
        <v>7</v>
      </c>
      <c r="D388" s="78">
        <f t="shared" si="52"/>
        <v>53220</v>
      </c>
      <c r="E388" s="78">
        <f t="shared" si="51"/>
        <v>53696</v>
      </c>
      <c r="F388" s="78"/>
      <c r="G388" s="78">
        <v>100139</v>
      </c>
      <c r="H388" s="78" t="s">
        <v>264</v>
      </c>
      <c r="I388" s="78"/>
      <c r="J388" s="78" t="s">
        <v>244</v>
      </c>
      <c r="K388" s="78">
        <v>1</v>
      </c>
      <c r="L388" s="78" t="s">
        <v>76</v>
      </c>
      <c r="M388" s="78">
        <f>ROUNDDOWN(VLOOKUP(J388,Sheet1!$N$32:$O$37,2,0)*1000,0)</f>
        <v>476</v>
      </c>
      <c r="O388" s="67">
        <f t="shared" si="50"/>
        <v>0.00522921770463709</v>
      </c>
      <c r="P388" s="67">
        <v>11000</v>
      </c>
    </row>
    <row r="389" spans="1:20">
      <c r="A389" s="80">
        <v>387</v>
      </c>
      <c r="B389" s="80">
        <v>11000</v>
      </c>
      <c r="C389" s="80">
        <v>2</v>
      </c>
      <c r="D389" s="80">
        <f t="shared" si="52"/>
        <v>53696</v>
      </c>
      <c r="E389" s="80">
        <f t="shared" si="51"/>
        <v>56877</v>
      </c>
      <c r="F389" s="80"/>
      <c r="G389" s="80">
        <v>907009</v>
      </c>
      <c r="H389" s="80" t="s">
        <v>265</v>
      </c>
      <c r="I389" s="80"/>
      <c r="J389" s="80" t="s">
        <v>266</v>
      </c>
      <c r="K389" s="80">
        <v>1</v>
      </c>
      <c r="L389" s="80" t="s">
        <v>76</v>
      </c>
      <c r="M389" s="80">
        <f>ROUNDDOWN(VLOOKUP(J389,Sheet1!$N$32:$O$37,2,0)*1000,0)</f>
        <v>3181</v>
      </c>
      <c r="N389" s="67">
        <f>SUM(O389:O399)</f>
        <v>0.384402430048227</v>
      </c>
      <c r="O389" s="67">
        <f t="shared" si="50"/>
        <v>0.0349456754589298</v>
      </c>
      <c r="P389" s="67">
        <v>11000</v>
      </c>
    </row>
    <row r="390" spans="1:20">
      <c r="A390" s="80">
        <v>388</v>
      </c>
      <c r="B390" s="80">
        <v>11000</v>
      </c>
      <c r="C390" s="80">
        <v>2</v>
      </c>
      <c r="D390" s="80">
        <f t="shared" si="52"/>
        <v>56877</v>
      </c>
      <c r="E390" s="80">
        <f t="shared" si="51"/>
        <v>60058</v>
      </c>
      <c r="F390" s="80"/>
      <c r="G390" s="80">
        <v>907010</v>
      </c>
      <c r="H390" s="80" t="s">
        <v>267</v>
      </c>
      <c r="I390" s="80"/>
      <c r="J390" s="80" t="s">
        <v>266</v>
      </c>
      <c r="K390" s="80">
        <v>1</v>
      </c>
      <c r="L390" s="80" t="s">
        <v>76</v>
      </c>
      <c r="M390" s="80">
        <f>ROUNDDOWN(VLOOKUP(J390,Sheet1!$N$32:$O$37,2,0)*1000,0)</f>
        <v>3181</v>
      </c>
      <c r="O390" s="67">
        <f t="shared" si="50"/>
        <v>0.0349456754589298</v>
      </c>
      <c r="P390" s="67">
        <v>11000</v>
      </c>
    </row>
    <row r="391" spans="1:20">
      <c r="A391" s="80">
        <v>389</v>
      </c>
      <c r="B391" s="80">
        <v>11000</v>
      </c>
      <c r="C391" s="80">
        <v>2</v>
      </c>
      <c r="D391" s="80">
        <f t="shared" si="52"/>
        <v>60058</v>
      </c>
      <c r="E391" s="80">
        <f t="shared" si="51"/>
        <v>63239</v>
      </c>
      <c r="F391" s="80"/>
      <c r="G391" s="80">
        <v>907011</v>
      </c>
      <c r="H391" s="80" t="s">
        <v>268</v>
      </c>
      <c r="I391" s="80"/>
      <c r="J391" s="80" t="s">
        <v>266</v>
      </c>
      <c r="K391" s="80">
        <v>1</v>
      </c>
      <c r="L391" s="80" t="s">
        <v>76</v>
      </c>
      <c r="M391" s="80">
        <f>ROUNDDOWN(VLOOKUP(J391,Sheet1!$N$32:$O$37,2,0)*1000,0)</f>
        <v>3181</v>
      </c>
      <c r="O391" s="67">
        <f t="shared" si="50"/>
        <v>0.0349456754589298</v>
      </c>
      <c r="P391" s="67">
        <v>11000</v>
      </c>
    </row>
    <row r="392" spans="1:20">
      <c r="A392" s="80">
        <v>390</v>
      </c>
      <c r="B392" s="80">
        <v>11000</v>
      </c>
      <c r="C392" s="80">
        <v>2</v>
      </c>
      <c r="D392" s="80">
        <f t="shared" si="52"/>
        <v>63239</v>
      </c>
      <c r="E392" s="80">
        <f t="shared" si="51"/>
        <v>66420</v>
      </c>
      <c r="F392" s="80"/>
      <c r="G392" s="80">
        <v>907012</v>
      </c>
      <c r="H392" s="80" t="s">
        <v>269</v>
      </c>
      <c r="I392" s="80"/>
      <c r="J392" s="80" t="s">
        <v>266</v>
      </c>
      <c r="K392" s="80">
        <v>1</v>
      </c>
      <c r="L392" s="80" t="s">
        <v>76</v>
      </c>
      <c r="M392" s="80">
        <f>ROUNDDOWN(VLOOKUP(J392,Sheet1!$N$32:$O$37,2,0)*1000,0)</f>
        <v>3181</v>
      </c>
      <c r="O392" s="67">
        <f t="shared" si="50"/>
        <v>0.0349456754589298</v>
      </c>
      <c r="P392" s="67">
        <v>11000</v>
      </c>
    </row>
    <row r="393" spans="1:20">
      <c r="A393" s="80">
        <v>391</v>
      </c>
      <c r="B393" s="80">
        <v>11000</v>
      </c>
      <c r="C393" s="80">
        <v>2</v>
      </c>
      <c r="D393" s="80">
        <f t="shared" si="52"/>
        <v>66420</v>
      </c>
      <c r="E393" s="80">
        <f t="shared" si="51"/>
        <v>69601</v>
      </c>
      <c r="F393" s="80"/>
      <c r="G393" s="80">
        <v>907014</v>
      </c>
      <c r="H393" s="80" t="s">
        <v>270</v>
      </c>
      <c r="I393" s="80"/>
      <c r="J393" s="80" t="s">
        <v>266</v>
      </c>
      <c r="K393" s="80">
        <v>1</v>
      </c>
      <c r="L393" s="80" t="s">
        <v>76</v>
      </c>
      <c r="M393" s="80">
        <f>ROUNDDOWN(VLOOKUP(J393,Sheet1!$N$32:$O$37,2,0)*1000,0)</f>
        <v>3181</v>
      </c>
      <c r="O393" s="67">
        <f t="shared" si="50"/>
        <v>0.0349456754589298</v>
      </c>
      <c r="P393" s="67">
        <v>11000</v>
      </c>
    </row>
    <row r="394" spans="1:20">
      <c r="A394" s="80">
        <v>392</v>
      </c>
      <c r="B394" s="80">
        <v>11000</v>
      </c>
      <c r="C394" s="80">
        <v>2</v>
      </c>
      <c r="D394" s="80">
        <f t="shared" si="52"/>
        <v>69601</v>
      </c>
      <c r="E394" s="80">
        <f t="shared" si="51"/>
        <v>72782</v>
      </c>
      <c r="F394" s="80"/>
      <c r="G394" s="80">
        <v>907017</v>
      </c>
      <c r="H394" s="80" t="s">
        <v>271</v>
      </c>
      <c r="I394" s="80"/>
      <c r="J394" s="80" t="s">
        <v>266</v>
      </c>
      <c r="K394" s="80">
        <v>1</v>
      </c>
      <c r="L394" s="80" t="s">
        <v>76</v>
      </c>
      <c r="M394" s="80">
        <f>ROUNDDOWN(VLOOKUP(J394,Sheet1!$N$32:$O$37,2,0)*1000,0)</f>
        <v>3181</v>
      </c>
      <c r="O394" s="67">
        <f t="shared" si="50"/>
        <v>0.0349456754589298</v>
      </c>
      <c r="P394" s="67">
        <v>11000</v>
      </c>
    </row>
    <row r="395" spans="1:20">
      <c r="A395" s="80">
        <v>393</v>
      </c>
      <c r="B395" s="80">
        <v>11000</v>
      </c>
      <c r="C395" s="80">
        <v>2</v>
      </c>
      <c r="D395" s="80">
        <f t="shared" si="52"/>
        <v>72782</v>
      </c>
      <c r="E395" s="80">
        <f t="shared" si="51"/>
        <v>75963</v>
      </c>
      <c r="F395" s="80"/>
      <c r="G395" s="80">
        <v>907018</v>
      </c>
      <c r="H395" s="80" t="s">
        <v>272</v>
      </c>
      <c r="I395" s="80"/>
      <c r="J395" s="80" t="s">
        <v>266</v>
      </c>
      <c r="K395" s="80">
        <v>1</v>
      </c>
      <c r="L395" s="80" t="s">
        <v>76</v>
      </c>
      <c r="M395" s="80">
        <f>ROUNDDOWN(VLOOKUP(J395,Sheet1!$N$32:$O$37,2,0)*1000,0)</f>
        <v>3181</v>
      </c>
      <c r="O395" s="67">
        <f t="shared" si="50"/>
        <v>0.0349456754589298</v>
      </c>
      <c r="P395" s="67">
        <v>11000</v>
      </c>
    </row>
    <row r="396" spans="1:20">
      <c r="A396" s="80">
        <v>394</v>
      </c>
      <c r="B396" s="80">
        <v>11000</v>
      </c>
      <c r="C396" s="80">
        <v>2</v>
      </c>
      <c r="D396" s="80">
        <f t="shared" si="52"/>
        <v>75963</v>
      </c>
      <c r="E396" s="80">
        <f t="shared" si="51"/>
        <v>79144</v>
      </c>
      <c r="F396" s="80"/>
      <c r="G396" s="80">
        <v>907033</v>
      </c>
      <c r="H396" s="80" t="s">
        <v>273</v>
      </c>
      <c r="I396" s="80"/>
      <c r="J396" s="80" t="s">
        <v>266</v>
      </c>
      <c r="K396" s="80">
        <v>1</v>
      </c>
      <c r="L396" s="80" t="s">
        <v>76</v>
      </c>
      <c r="M396" s="80">
        <f>ROUNDDOWN(VLOOKUP(J396,Sheet1!$N$32:$O$37,2,0)*1000,0)</f>
        <v>3181</v>
      </c>
      <c r="O396" s="67">
        <f t="shared" ref="O396:O427" si="53">(E396-D396)/$E$438</f>
        <v>0.0349456754589298</v>
      </c>
      <c r="P396" s="67">
        <v>11000</v>
      </c>
    </row>
    <row r="397" spans="1:20">
      <c r="A397" s="80">
        <v>395</v>
      </c>
      <c r="B397" s="80">
        <v>11000</v>
      </c>
      <c r="C397" s="80">
        <v>2</v>
      </c>
      <c r="D397" s="80">
        <f t="shared" si="52"/>
        <v>79144</v>
      </c>
      <c r="E397" s="80">
        <f t="shared" ref="E397:E428" si="54">D397+M397</f>
        <v>82325</v>
      </c>
      <c r="F397" s="80"/>
      <c r="G397" s="80">
        <v>907035</v>
      </c>
      <c r="H397" s="80" t="s">
        <v>274</v>
      </c>
      <c r="I397" s="80"/>
      <c r="J397" s="80" t="s">
        <v>266</v>
      </c>
      <c r="K397" s="80">
        <v>1</v>
      </c>
      <c r="L397" s="80" t="s">
        <v>76</v>
      </c>
      <c r="M397" s="80">
        <f>ROUNDDOWN(VLOOKUP(J397,Sheet1!$N$32:$O$37,2,0)*1000,0)</f>
        <v>3181</v>
      </c>
      <c r="O397" s="67">
        <f t="shared" si="53"/>
        <v>0.0349456754589298</v>
      </c>
      <c r="P397" s="67">
        <v>11000</v>
      </c>
    </row>
    <row r="398" spans="1:20">
      <c r="A398" s="80">
        <v>396</v>
      </c>
      <c r="B398" s="80">
        <v>11000</v>
      </c>
      <c r="C398" s="80">
        <v>2</v>
      </c>
      <c r="D398" s="80">
        <f t="shared" si="52"/>
        <v>82325</v>
      </c>
      <c r="E398" s="80">
        <f t="shared" si="54"/>
        <v>85506</v>
      </c>
      <c r="F398" s="80"/>
      <c r="G398" s="80">
        <v>907036</v>
      </c>
      <c r="H398" s="80" t="s">
        <v>275</v>
      </c>
      <c r="I398" s="80"/>
      <c r="J398" s="80" t="s">
        <v>266</v>
      </c>
      <c r="K398" s="80">
        <v>1</v>
      </c>
      <c r="L398" s="80" t="s">
        <v>76</v>
      </c>
      <c r="M398" s="80">
        <f>ROUNDDOWN(VLOOKUP(J398,Sheet1!$N$32:$O$37,2,0)*1000,0)</f>
        <v>3181</v>
      </c>
      <c r="O398" s="67">
        <f t="shared" si="53"/>
        <v>0.0349456754589298</v>
      </c>
      <c r="P398" s="67">
        <v>11000</v>
      </c>
    </row>
    <row r="399" spans="1:20">
      <c r="A399" s="80">
        <v>397</v>
      </c>
      <c r="B399" s="80">
        <v>11000</v>
      </c>
      <c r="C399" s="80">
        <v>2</v>
      </c>
      <c r="D399" s="80">
        <f t="shared" si="52"/>
        <v>85506</v>
      </c>
      <c r="E399" s="80">
        <f t="shared" si="54"/>
        <v>88687</v>
      </c>
      <c r="F399" s="80"/>
      <c r="G399" s="80">
        <v>907038</v>
      </c>
      <c r="H399" s="80" t="s">
        <v>276</v>
      </c>
      <c r="I399" s="80"/>
      <c r="J399" s="80" t="s">
        <v>266</v>
      </c>
      <c r="K399" s="80">
        <v>1</v>
      </c>
      <c r="L399" s="80" t="s">
        <v>76</v>
      </c>
      <c r="M399" s="80">
        <f>ROUNDDOWN(VLOOKUP(J399,Sheet1!$N$32:$O$37,2,0)*1000,0)</f>
        <v>3181</v>
      </c>
      <c r="O399" s="67">
        <f t="shared" si="53"/>
        <v>0.0349456754589298</v>
      </c>
      <c r="P399" s="67">
        <v>11000</v>
      </c>
    </row>
    <row r="400" spans="1:20">
      <c r="A400" s="78">
        <v>398</v>
      </c>
      <c r="B400" s="78">
        <v>11000</v>
      </c>
      <c r="C400" s="78">
        <v>6</v>
      </c>
      <c r="D400" s="78">
        <f t="shared" si="52"/>
        <v>88687</v>
      </c>
      <c r="E400" s="78">
        <f t="shared" si="54"/>
        <v>88747</v>
      </c>
      <c r="F400" s="78"/>
      <c r="G400" s="78" t="s">
        <v>277</v>
      </c>
      <c r="H400" s="78" t="s">
        <v>278</v>
      </c>
      <c r="I400" s="78"/>
      <c r="J400" s="78" t="s">
        <v>279</v>
      </c>
      <c r="K400" s="78">
        <v>1</v>
      </c>
      <c r="L400" s="78" t="s">
        <v>76</v>
      </c>
      <c r="M400" s="78">
        <f>ROUNDDOWN(VLOOKUP(J400,Sheet1!$N$32:$O$37,2,0)*1000,0)</f>
        <v>60</v>
      </c>
      <c r="N400" s="67">
        <f>SUM(O400:O513)</f>
        <v>0.0751425401254572</v>
      </c>
      <c r="O400" s="67">
        <f t="shared" si="53"/>
        <v>0.000659145088819801</v>
      </c>
      <c r="P400" s="67">
        <v>11000</v>
      </c>
      <c r="R400">
        <v>4992</v>
      </c>
      <c r="S400">
        <f>39+44</f>
        <v>83</v>
      </c>
      <c r="T400">
        <f>R400/S400</f>
        <v>60.144578313253</v>
      </c>
    </row>
    <row r="401" spans="1:16">
      <c r="A401" s="78">
        <v>399</v>
      </c>
      <c r="B401" s="78">
        <v>11000</v>
      </c>
      <c r="C401" s="78">
        <v>6</v>
      </c>
      <c r="D401" s="78">
        <f t="shared" si="52"/>
        <v>88747</v>
      </c>
      <c r="E401" s="78">
        <f t="shared" si="54"/>
        <v>88807</v>
      </c>
      <c r="F401" s="78"/>
      <c r="G401" s="78" t="s">
        <v>280</v>
      </c>
      <c r="H401" s="78" t="s">
        <v>281</v>
      </c>
      <c r="I401" s="78"/>
      <c r="J401" s="78" t="s">
        <v>279</v>
      </c>
      <c r="K401" s="78">
        <v>1</v>
      </c>
      <c r="L401" s="78" t="s">
        <v>76</v>
      </c>
      <c r="M401" s="78">
        <f>ROUNDDOWN(VLOOKUP(J401,Sheet1!$N$32:$O$37,2,0)*1000,0)</f>
        <v>60</v>
      </c>
      <c r="O401" s="67">
        <f t="shared" si="53"/>
        <v>0.000659145088819801</v>
      </c>
      <c r="P401" s="67">
        <v>11001</v>
      </c>
    </row>
    <row r="402" spans="1:16">
      <c r="A402" s="78">
        <v>400</v>
      </c>
      <c r="B402" s="78">
        <v>11000</v>
      </c>
      <c r="C402" s="78">
        <v>6</v>
      </c>
      <c r="D402" s="78">
        <f t="shared" si="52"/>
        <v>88807</v>
      </c>
      <c r="E402" s="78">
        <f t="shared" si="54"/>
        <v>88867</v>
      </c>
      <c r="F402" s="78"/>
      <c r="G402" s="78" t="s">
        <v>282</v>
      </c>
      <c r="H402" s="78" t="s">
        <v>283</v>
      </c>
      <c r="I402" s="78"/>
      <c r="J402" s="78" t="s">
        <v>279</v>
      </c>
      <c r="K402" s="78">
        <v>1</v>
      </c>
      <c r="L402" s="78" t="s">
        <v>76</v>
      </c>
      <c r="M402" s="78">
        <f>ROUNDDOWN(VLOOKUP(J402,Sheet1!$N$32:$O$37,2,0)*1000,0)</f>
        <v>60</v>
      </c>
      <c r="O402" s="67">
        <f t="shared" si="53"/>
        <v>0.000659145088819801</v>
      </c>
      <c r="P402" s="67">
        <v>11002</v>
      </c>
    </row>
    <row r="403" spans="1:16">
      <c r="A403" s="78">
        <v>401</v>
      </c>
      <c r="B403" s="78">
        <v>11000</v>
      </c>
      <c r="C403" s="78">
        <v>6</v>
      </c>
      <c r="D403" s="78">
        <f t="shared" si="52"/>
        <v>88867</v>
      </c>
      <c r="E403" s="78">
        <f t="shared" si="54"/>
        <v>88927</v>
      </c>
      <c r="F403" s="78"/>
      <c r="G403" s="78" t="s">
        <v>284</v>
      </c>
      <c r="H403" s="78" t="s">
        <v>285</v>
      </c>
      <c r="I403" s="78"/>
      <c r="J403" s="78" t="s">
        <v>279</v>
      </c>
      <c r="K403" s="78">
        <v>1</v>
      </c>
      <c r="L403" s="78" t="s">
        <v>76</v>
      </c>
      <c r="M403" s="78">
        <f>ROUNDDOWN(VLOOKUP(J403,Sheet1!$N$32:$O$37,2,0)*1000,0)</f>
        <v>60</v>
      </c>
      <c r="O403" s="67">
        <f t="shared" si="53"/>
        <v>0.000659145088819801</v>
      </c>
      <c r="P403" s="67">
        <v>11003</v>
      </c>
    </row>
    <row r="404" spans="1:16">
      <c r="A404" s="78">
        <v>402</v>
      </c>
      <c r="B404" s="78">
        <v>11000</v>
      </c>
      <c r="C404" s="78">
        <v>6</v>
      </c>
      <c r="D404" s="78">
        <f t="shared" si="52"/>
        <v>88927</v>
      </c>
      <c r="E404" s="78">
        <f t="shared" si="54"/>
        <v>88987</v>
      </c>
      <c r="F404" s="78"/>
      <c r="G404" s="78" t="s">
        <v>286</v>
      </c>
      <c r="H404" s="78" t="s">
        <v>287</v>
      </c>
      <c r="I404" s="78"/>
      <c r="J404" s="78" t="s">
        <v>279</v>
      </c>
      <c r="K404" s="78">
        <v>1</v>
      </c>
      <c r="L404" s="78" t="s">
        <v>76</v>
      </c>
      <c r="M404" s="78">
        <f>ROUNDDOWN(VLOOKUP(J404,Sheet1!$N$32:$O$37,2,0)*1000,0)</f>
        <v>60</v>
      </c>
      <c r="O404" s="67">
        <f t="shared" si="53"/>
        <v>0.000659145088819801</v>
      </c>
      <c r="P404" s="67">
        <v>11004</v>
      </c>
    </row>
    <row r="405" spans="1:16">
      <c r="A405" s="78">
        <v>403</v>
      </c>
      <c r="B405" s="78">
        <v>11000</v>
      </c>
      <c r="C405" s="78">
        <v>6</v>
      </c>
      <c r="D405" s="78">
        <f t="shared" si="52"/>
        <v>88987</v>
      </c>
      <c r="E405" s="78">
        <f t="shared" si="54"/>
        <v>89047</v>
      </c>
      <c r="F405" s="78"/>
      <c r="G405" s="78" t="s">
        <v>288</v>
      </c>
      <c r="H405" s="78" t="s">
        <v>289</v>
      </c>
      <c r="I405" s="78"/>
      <c r="J405" s="78" t="s">
        <v>279</v>
      </c>
      <c r="K405" s="78">
        <v>1</v>
      </c>
      <c r="L405" s="78" t="s">
        <v>76</v>
      </c>
      <c r="M405" s="78">
        <f>ROUNDDOWN(VLOOKUP(J405,Sheet1!$N$32:$O$37,2,0)*1000,0)</f>
        <v>60</v>
      </c>
      <c r="O405" s="67">
        <f t="shared" si="53"/>
        <v>0.000659145088819801</v>
      </c>
      <c r="P405" s="67">
        <v>11005</v>
      </c>
    </row>
    <row r="406" spans="1:16">
      <c r="A406" s="78">
        <v>404</v>
      </c>
      <c r="B406" s="78">
        <v>11000</v>
      </c>
      <c r="C406" s="78">
        <v>6</v>
      </c>
      <c r="D406" s="78">
        <f t="shared" si="52"/>
        <v>89047</v>
      </c>
      <c r="E406" s="78">
        <f t="shared" si="54"/>
        <v>89107</v>
      </c>
      <c r="F406" s="78"/>
      <c r="G406" s="78" t="s">
        <v>290</v>
      </c>
      <c r="H406" s="78" t="s">
        <v>291</v>
      </c>
      <c r="I406" s="78"/>
      <c r="J406" s="78" t="s">
        <v>279</v>
      </c>
      <c r="K406" s="78">
        <v>1</v>
      </c>
      <c r="L406" s="78" t="s">
        <v>76</v>
      </c>
      <c r="M406" s="78">
        <f>ROUNDDOWN(VLOOKUP(J406,Sheet1!$N$32:$O$37,2,0)*1000,0)</f>
        <v>60</v>
      </c>
      <c r="O406" s="67">
        <f t="shared" si="53"/>
        <v>0.000659145088819801</v>
      </c>
      <c r="P406" s="67">
        <v>11006</v>
      </c>
    </row>
    <row r="407" spans="1:16">
      <c r="A407" s="78">
        <v>405</v>
      </c>
      <c r="B407" s="78">
        <v>11000</v>
      </c>
      <c r="C407" s="78">
        <v>6</v>
      </c>
      <c r="D407" s="78">
        <f t="shared" si="52"/>
        <v>89107</v>
      </c>
      <c r="E407" s="78">
        <f t="shared" si="54"/>
        <v>89167</v>
      </c>
      <c r="F407" s="78"/>
      <c r="G407" s="78" t="s">
        <v>292</v>
      </c>
      <c r="H407" s="78" t="s">
        <v>293</v>
      </c>
      <c r="I407" s="78"/>
      <c r="J407" s="78" t="s">
        <v>279</v>
      </c>
      <c r="K407" s="78">
        <v>1</v>
      </c>
      <c r="L407" s="78" t="s">
        <v>76</v>
      </c>
      <c r="M407" s="78">
        <f>ROUNDDOWN(VLOOKUP(J407,Sheet1!$N$32:$O$37,2,0)*1000,0)</f>
        <v>60</v>
      </c>
      <c r="O407" s="67">
        <f t="shared" si="53"/>
        <v>0.000659145088819801</v>
      </c>
      <c r="P407" s="67">
        <v>11007</v>
      </c>
    </row>
    <row r="408" spans="1:16">
      <c r="A408" s="78">
        <v>406</v>
      </c>
      <c r="B408" s="78">
        <v>11000</v>
      </c>
      <c r="C408" s="78">
        <v>6</v>
      </c>
      <c r="D408" s="78">
        <f t="shared" si="52"/>
        <v>89167</v>
      </c>
      <c r="E408" s="78">
        <f t="shared" si="54"/>
        <v>89227</v>
      </c>
      <c r="F408" s="78"/>
      <c r="G408" s="78" t="s">
        <v>294</v>
      </c>
      <c r="H408" s="78" t="s">
        <v>295</v>
      </c>
      <c r="I408" s="78"/>
      <c r="J408" s="78" t="s">
        <v>279</v>
      </c>
      <c r="K408" s="78">
        <v>1</v>
      </c>
      <c r="L408" s="78" t="s">
        <v>76</v>
      </c>
      <c r="M408" s="78">
        <f>ROUNDDOWN(VLOOKUP(J408,Sheet1!$N$32:$O$37,2,0)*1000,0)</f>
        <v>60</v>
      </c>
      <c r="O408" s="67">
        <f t="shared" si="53"/>
        <v>0.000659145088819801</v>
      </c>
      <c r="P408" s="67">
        <v>11008</v>
      </c>
    </row>
    <row r="409" spans="1:16">
      <c r="A409" s="78">
        <v>407</v>
      </c>
      <c r="B409" s="78">
        <v>11000</v>
      </c>
      <c r="C409" s="78">
        <v>6</v>
      </c>
      <c r="D409" s="78">
        <f t="shared" si="52"/>
        <v>89227</v>
      </c>
      <c r="E409" s="78">
        <f t="shared" si="54"/>
        <v>89287</v>
      </c>
      <c r="F409" s="78"/>
      <c r="G409" s="78" t="s">
        <v>296</v>
      </c>
      <c r="H409" s="78" t="s">
        <v>297</v>
      </c>
      <c r="I409" s="78"/>
      <c r="J409" s="78" t="s">
        <v>279</v>
      </c>
      <c r="K409" s="78">
        <v>1</v>
      </c>
      <c r="L409" s="78" t="s">
        <v>76</v>
      </c>
      <c r="M409" s="78">
        <f>ROUNDDOWN(VLOOKUP(J409,Sheet1!$N$32:$O$37,2,0)*1000,0)</f>
        <v>60</v>
      </c>
      <c r="O409" s="67">
        <f t="shared" si="53"/>
        <v>0.000659145088819801</v>
      </c>
      <c r="P409" s="67">
        <v>11009</v>
      </c>
    </row>
    <row r="410" spans="1:16">
      <c r="A410" s="78">
        <v>408</v>
      </c>
      <c r="B410" s="78">
        <v>11000</v>
      </c>
      <c r="C410" s="78">
        <v>6</v>
      </c>
      <c r="D410" s="78">
        <f t="shared" si="52"/>
        <v>89287</v>
      </c>
      <c r="E410" s="78">
        <f t="shared" si="54"/>
        <v>89347</v>
      </c>
      <c r="F410" s="78"/>
      <c r="G410" s="78" t="s">
        <v>298</v>
      </c>
      <c r="H410" s="78" t="s">
        <v>299</v>
      </c>
      <c r="I410" s="78"/>
      <c r="J410" s="78" t="s">
        <v>279</v>
      </c>
      <c r="K410" s="78">
        <v>1</v>
      </c>
      <c r="L410" s="78" t="s">
        <v>76</v>
      </c>
      <c r="M410" s="78">
        <f>ROUNDDOWN(VLOOKUP(J410,Sheet1!$N$32:$O$37,2,0)*1000,0)</f>
        <v>60</v>
      </c>
      <c r="O410" s="67">
        <f t="shared" si="53"/>
        <v>0.000659145088819801</v>
      </c>
      <c r="P410" s="67">
        <v>11010</v>
      </c>
    </row>
    <row r="411" spans="1:16">
      <c r="A411" s="78">
        <v>409</v>
      </c>
      <c r="B411" s="78">
        <v>11000</v>
      </c>
      <c r="C411" s="78">
        <v>6</v>
      </c>
      <c r="D411" s="78">
        <f t="shared" si="52"/>
        <v>89347</v>
      </c>
      <c r="E411" s="78">
        <f t="shared" si="54"/>
        <v>89407</v>
      </c>
      <c r="F411" s="78"/>
      <c r="G411" s="78" t="s">
        <v>300</v>
      </c>
      <c r="H411" s="78" t="s">
        <v>301</v>
      </c>
      <c r="I411" s="78"/>
      <c r="J411" s="78" t="s">
        <v>279</v>
      </c>
      <c r="K411" s="78">
        <v>1</v>
      </c>
      <c r="L411" s="78" t="s">
        <v>76</v>
      </c>
      <c r="M411" s="78">
        <f>ROUNDDOWN(VLOOKUP(J411,Sheet1!$N$32:$O$37,2,0)*1000,0)</f>
        <v>60</v>
      </c>
      <c r="O411" s="67">
        <f t="shared" si="53"/>
        <v>0.000659145088819801</v>
      </c>
      <c r="P411" s="67">
        <v>11011</v>
      </c>
    </row>
    <row r="412" spans="1:16">
      <c r="A412" s="78">
        <v>410</v>
      </c>
      <c r="B412" s="78">
        <v>11000</v>
      </c>
      <c r="C412" s="78">
        <v>6</v>
      </c>
      <c r="D412" s="78">
        <f t="shared" si="52"/>
        <v>89407</v>
      </c>
      <c r="E412" s="78">
        <f t="shared" si="54"/>
        <v>89467</v>
      </c>
      <c r="F412" s="78"/>
      <c r="G412" s="78" t="s">
        <v>302</v>
      </c>
      <c r="H412" s="78" t="s">
        <v>303</v>
      </c>
      <c r="I412" s="78"/>
      <c r="J412" s="78" t="s">
        <v>279</v>
      </c>
      <c r="K412" s="78">
        <v>1</v>
      </c>
      <c r="L412" s="78" t="s">
        <v>76</v>
      </c>
      <c r="M412" s="78">
        <f>ROUNDDOWN(VLOOKUP(J412,Sheet1!$N$32:$O$37,2,0)*1000,0)</f>
        <v>60</v>
      </c>
      <c r="O412" s="67">
        <f t="shared" si="53"/>
        <v>0.000659145088819801</v>
      </c>
      <c r="P412" s="67">
        <v>11012</v>
      </c>
    </row>
    <row r="413" spans="1:16">
      <c r="A413" s="78">
        <v>411</v>
      </c>
      <c r="B413" s="78">
        <v>11000</v>
      </c>
      <c r="C413" s="78">
        <v>6</v>
      </c>
      <c r="D413" s="78">
        <f t="shared" si="52"/>
        <v>89467</v>
      </c>
      <c r="E413" s="78">
        <f t="shared" si="54"/>
        <v>89527</v>
      </c>
      <c r="F413" s="78"/>
      <c r="G413" s="78" t="s">
        <v>304</v>
      </c>
      <c r="H413" s="78" t="s">
        <v>305</v>
      </c>
      <c r="I413" s="78"/>
      <c r="J413" s="78" t="s">
        <v>279</v>
      </c>
      <c r="K413" s="78">
        <v>1</v>
      </c>
      <c r="L413" s="78" t="s">
        <v>76</v>
      </c>
      <c r="M413" s="78">
        <f>ROUNDDOWN(VLOOKUP(J413,Sheet1!$N$32:$O$37,2,0)*1000,0)</f>
        <v>60</v>
      </c>
      <c r="O413" s="67">
        <f t="shared" si="53"/>
        <v>0.000659145088819801</v>
      </c>
      <c r="P413" s="67">
        <v>11013</v>
      </c>
    </row>
    <row r="414" spans="1:16">
      <c r="A414" s="78">
        <v>412</v>
      </c>
      <c r="B414" s="78">
        <v>11000</v>
      </c>
      <c r="C414" s="78">
        <v>6</v>
      </c>
      <c r="D414" s="78">
        <f t="shared" si="52"/>
        <v>89527</v>
      </c>
      <c r="E414" s="78">
        <f t="shared" si="54"/>
        <v>89587</v>
      </c>
      <c r="F414" s="78"/>
      <c r="G414" s="78" t="s">
        <v>306</v>
      </c>
      <c r="H414" s="78" t="s">
        <v>307</v>
      </c>
      <c r="I414" s="78"/>
      <c r="J414" s="78" t="s">
        <v>279</v>
      </c>
      <c r="K414" s="78">
        <v>1</v>
      </c>
      <c r="L414" s="78" t="s">
        <v>76</v>
      </c>
      <c r="M414" s="78">
        <f>ROUNDDOWN(VLOOKUP(J414,Sheet1!$N$32:$O$37,2,0)*1000,0)</f>
        <v>60</v>
      </c>
      <c r="O414" s="67">
        <f t="shared" si="53"/>
        <v>0.000659145088819801</v>
      </c>
      <c r="P414" s="67">
        <v>11014</v>
      </c>
    </row>
    <row r="415" spans="1:16">
      <c r="A415" s="78">
        <v>413</v>
      </c>
      <c r="B415" s="78">
        <v>11000</v>
      </c>
      <c r="C415" s="78">
        <v>6</v>
      </c>
      <c r="D415" s="78">
        <f t="shared" si="52"/>
        <v>89587</v>
      </c>
      <c r="E415" s="78">
        <f t="shared" si="54"/>
        <v>89647</v>
      </c>
      <c r="F415" s="78"/>
      <c r="G415" s="78" t="s">
        <v>308</v>
      </c>
      <c r="H415" s="78" t="s">
        <v>309</v>
      </c>
      <c r="I415" s="78"/>
      <c r="J415" s="78" t="s">
        <v>279</v>
      </c>
      <c r="K415" s="78">
        <v>1</v>
      </c>
      <c r="L415" s="78" t="s">
        <v>76</v>
      </c>
      <c r="M415" s="78">
        <f>ROUNDDOWN(VLOOKUP(J415,Sheet1!$N$32:$O$37,2,0)*1000,0)</f>
        <v>60</v>
      </c>
      <c r="O415" s="67">
        <f t="shared" si="53"/>
        <v>0.000659145088819801</v>
      </c>
      <c r="P415" s="67">
        <v>11015</v>
      </c>
    </row>
    <row r="416" spans="1:16">
      <c r="A416" s="78">
        <v>414</v>
      </c>
      <c r="B416" s="78">
        <v>11000</v>
      </c>
      <c r="C416" s="78">
        <v>6</v>
      </c>
      <c r="D416" s="78">
        <f t="shared" si="52"/>
        <v>89647</v>
      </c>
      <c r="E416" s="78">
        <f t="shared" si="54"/>
        <v>89707</v>
      </c>
      <c r="F416" s="78"/>
      <c r="G416" s="78" t="s">
        <v>310</v>
      </c>
      <c r="H416" s="78" t="s">
        <v>311</v>
      </c>
      <c r="I416" s="78"/>
      <c r="J416" s="78" t="s">
        <v>279</v>
      </c>
      <c r="K416" s="78">
        <v>1</v>
      </c>
      <c r="L416" s="78" t="s">
        <v>76</v>
      </c>
      <c r="M416" s="78">
        <f>ROUNDDOWN(VLOOKUP(J416,Sheet1!$N$32:$O$37,2,0)*1000,0)</f>
        <v>60</v>
      </c>
      <c r="O416" s="67">
        <f t="shared" si="53"/>
        <v>0.000659145088819801</v>
      </c>
      <c r="P416" s="67">
        <v>11016</v>
      </c>
    </row>
    <row r="417" spans="1:16">
      <c r="A417" s="78">
        <v>415</v>
      </c>
      <c r="B417" s="78">
        <v>11000</v>
      </c>
      <c r="C417" s="78">
        <v>6</v>
      </c>
      <c r="D417" s="78">
        <f t="shared" si="52"/>
        <v>89707</v>
      </c>
      <c r="E417" s="78">
        <f t="shared" si="54"/>
        <v>89767</v>
      </c>
      <c r="F417" s="78"/>
      <c r="G417" s="78" t="s">
        <v>312</v>
      </c>
      <c r="H417" s="78" t="s">
        <v>313</v>
      </c>
      <c r="I417" s="78"/>
      <c r="J417" s="78" t="s">
        <v>279</v>
      </c>
      <c r="K417" s="78">
        <v>1</v>
      </c>
      <c r="L417" s="78" t="s">
        <v>76</v>
      </c>
      <c r="M417" s="78">
        <f>ROUNDDOWN(VLOOKUP(J417,Sheet1!$N$32:$O$37,2,0)*1000,0)</f>
        <v>60</v>
      </c>
      <c r="O417" s="67">
        <f t="shared" si="53"/>
        <v>0.000659145088819801</v>
      </c>
      <c r="P417" s="67">
        <v>11017</v>
      </c>
    </row>
    <row r="418" spans="1:16">
      <c r="A418" s="78">
        <v>416</v>
      </c>
      <c r="B418" s="78">
        <v>11000</v>
      </c>
      <c r="C418" s="78">
        <v>6</v>
      </c>
      <c r="D418" s="78">
        <f t="shared" si="52"/>
        <v>89767</v>
      </c>
      <c r="E418" s="78">
        <f t="shared" si="54"/>
        <v>89827</v>
      </c>
      <c r="F418" s="78"/>
      <c r="G418" s="78" t="s">
        <v>314</v>
      </c>
      <c r="H418" s="78" t="s">
        <v>315</v>
      </c>
      <c r="I418" s="78"/>
      <c r="J418" s="78" t="s">
        <v>279</v>
      </c>
      <c r="K418" s="78">
        <v>1</v>
      </c>
      <c r="L418" s="78" t="s">
        <v>76</v>
      </c>
      <c r="M418" s="78">
        <f>ROUNDDOWN(VLOOKUP(J418,Sheet1!$N$32:$O$37,2,0)*1000,0)</f>
        <v>60</v>
      </c>
      <c r="O418" s="67">
        <f t="shared" si="53"/>
        <v>0.000659145088819801</v>
      </c>
      <c r="P418" s="67">
        <v>11018</v>
      </c>
    </row>
    <row r="419" spans="1:16">
      <c r="A419" s="78">
        <v>417</v>
      </c>
      <c r="B419" s="78">
        <v>11000</v>
      </c>
      <c r="C419" s="78">
        <v>6</v>
      </c>
      <c r="D419" s="78">
        <f t="shared" si="52"/>
        <v>89827</v>
      </c>
      <c r="E419" s="78">
        <f t="shared" si="54"/>
        <v>89887</v>
      </c>
      <c r="F419" s="78"/>
      <c r="G419" s="78" t="s">
        <v>316</v>
      </c>
      <c r="H419" s="78" t="s">
        <v>317</v>
      </c>
      <c r="I419" s="78"/>
      <c r="J419" s="78" t="s">
        <v>279</v>
      </c>
      <c r="K419" s="78">
        <v>1</v>
      </c>
      <c r="L419" s="78" t="s">
        <v>76</v>
      </c>
      <c r="M419" s="78">
        <f>ROUNDDOWN(VLOOKUP(J419,Sheet1!$N$32:$O$37,2,0)*1000,0)</f>
        <v>60</v>
      </c>
      <c r="O419" s="67">
        <f t="shared" si="53"/>
        <v>0.000659145088819801</v>
      </c>
      <c r="P419" s="67">
        <v>11019</v>
      </c>
    </row>
    <row r="420" spans="1:16">
      <c r="A420" s="78">
        <v>418</v>
      </c>
      <c r="B420" s="78">
        <v>11000</v>
      </c>
      <c r="C420" s="78">
        <v>6</v>
      </c>
      <c r="D420" s="78">
        <f t="shared" si="52"/>
        <v>89887</v>
      </c>
      <c r="E420" s="78">
        <f t="shared" si="54"/>
        <v>89947</v>
      </c>
      <c r="F420" s="78"/>
      <c r="G420" s="78" t="s">
        <v>318</v>
      </c>
      <c r="H420" s="78" t="s">
        <v>319</v>
      </c>
      <c r="I420" s="78"/>
      <c r="J420" s="78" t="s">
        <v>279</v>
      </c>
      <c r="K420" s="78">
        <v>1</v>
      </c>
      <c r="L420" s="78" t="s">
        <v>76</v>
      </c>
      <c r="M420" s="78">
        <f>ROUNDDOWN(VLOOKUP(J420,Sheet1!$N$32:$O$37,2,0)*1000,0)</f>
        <v>60</v>
      </c>
      <c r="O420" s="67">
        <f t="shared" si="53"/>
        <v>0.000659145088819801</v>
      </c>
      <c r="P420" s="67">
        <v>11020</v>
      </c>
    </row>
    <row r="421" spans="1:16">
      <c r="A421" s="78">
        <v>419</v>
      </c>
      <c r="B421" s="78">
        <v>11000</v>
      </c>
      <c r="C421" s="78">
        <v>6</v>
      </c>
      <c r="D421" s="78">
        <f t="shared" si="52"/>
        <v>89947</v>
      </c>
      <c r="E421" s="78">
        <f t="shared" si="54"/>
        <v>90007</v>
      </c>
      <c r="F421" s="78"/>
      <c r="G421" s="78" t="s">
        <v>320</v>
      </c>
      <c r="H421" s="78" t="s">
        <v>321</v>
      </c>
      <c r="I421" s="78"/>
      <c r="J421" s="78" t="s">
        <v>279</v>
      </c>
      <c r="K421" s="78">
        <v>1</v>
      </c>
      <c r="L421" s="78" t="s">
        <v>76</v>
      </c>
      <c r="M421" s="78">
        <f>ROUNDDOWN(VLOOKUP(J421,Sheet1!$N$32:$O$37,2,0)*1000,0)</f>
        <v>60</v>
      </c>
      <c r="O421" s="67">
        <f t="shared" si="53"/>
        <v>0.000659145088819801</v>
      </c>
      <c r="P421" s="67">
        <v>11021</v>
      </c>
    </row>
    <row r="422" spans="1:16">
      <c r="A422" s="78">
        <v>420</v>
      </c>
      <c r="B422" s="78">
        <v>11000</v>
      </c>
      <c r="C422" s="78">
        <v>6</v>
      </c>
      <c r="D422" s="78">
        <f t="shared" si="52"/>
        <v>90007</v>
      </c>
      <c r="E422" s="78">
        <f t="shared" si="54"/>
        <v>90067</v>
      </c>
      <c r="F422" s="78"/>
      <c r="G422" s="78" t="s">
        <v>322</v>
      </c>
      <c r="H422" s="78" t="s">
        <v>323</v>
      </c>
      <c r="I422" s="78"/>
      <c r="J422" s="78" t="s">
        <v>279</v>
      </c>
      <c r="K422" s="78">
        <v>1</v>
      </c>
      <c r="L422" s="78" t="s">
        <v>76</v>
      </c>
      <c r="M422" s="78">
        <f>ROUNDDOWN(VLOOKUP(J422,Sheet1!$N$32:$O$37,2,0)*1000,0)</f>
        <v>60</v>
      </c>
      <c r="O422" s="67">
        <f t="shared" si="53"/>
        <v>0.000659145088819801</v>
      </c>
      <c r="P422" s="67">
        <v>11022</v>
      </c>
    </row>
    <row r="423" spans="1:16">
      <c r="A423" s="78">
        <v>421</v>
      </c>
      <c r="B423" s="78">
        <v>11000</v>
      </c>
      <c r="C423" s="78">
        <v>6</v>
      </c>
      <c r="D423" s="78">
        <f t="shared" si="52"/>
        <v>90067</v>
      </c>
      <c r="E423" s="78">
        <f t="shared" si="54"/>
        <v>90127</v>
      </c>
      <c r="F423" s="78"/>
      <c r="G423" s="78" t="s">
        <v>324</v>
      </c>
      <c r="H423" s="78" t="s">
        <v>325</v>
      </c>
      <c r="I423" s="78"/>
      <c r="J423" s="78" t="s">
        <v>279</v>
      </c>
      <c r="K423" s="78">
        <v>1</v>
      </c>
      <c r="L423" s="78" t="s">
        <v>76</v>
      </c>
      <c r="M423" s="78">
        <f>ROUNDDOWN(VLOOKUP(J423,Sheet1!$N$32:$O$37,2,0)*1000,0)</f>
        <v>60</v>
      </c>
      <c r="O423" s="67">
        <f t="shared" si="53"/>
        <v>0.000659145088819801</v>
      </c>
      <c r="P423" s="67">
        <v>11023</v>
      </c>
    </row>
    <row r="424" spans="1:16">
      <c r="A424" s="78">
        <v>422</v>
      </c>
      <c r="B424" s="78">
        <v>11000</v>
      </c>
      <c r="C424" s="78">
        <v>6</v>
      </c>
      <c r="D424" s="78">
        <f t="shared" si="52"/>
        <v>90127</v>
      </c>
      <c r="E424" s="78">
        <f t="shared" si="54"/>
        <v>90187</v>
      </c>
      <c r="F424" s="78"/>
      <c r="G424" s="78" t="s">
        <v>326</v>
      </c>
      <c r="H424" s="78" t="s">
        <v>327</v>
      </c>
      <c r="I424" s="78"/>
      <c r="J424" s="78" t="s">
        <v>279</v>
      </c>
      <c r="K424" s="78">
        <v>1</v>
      </c>
      <c r="L424" s="78" t="s">
        <v>76</v>
      </c>
      <c r="M424" s="78">
        <f>ROUNDDOWN(VLOOKUP(J424,Sheet1!$N$32:$O$37,2,0)*1000,0)</f>
        <v>60</v>
      </c>
      <c r="O424" s="67">
        <f t="shared" si="53"/>
        <v>0.000659145088819801</v>
      </c>
      <c r="P424" s="67">
        <v>11024</v>
      </c>
    </row>
    <row r="425" spans="1:16">
      <c r="A425" s="78">
        <v>423</v>
      </c>
      <c r="B425" s="78">
        <v>11000</v>
      </c>
      <c r="C425" s="78">
        <v>6</v>
      </c>
      <c r="D425" s="78">
        <f t="shared" si="52"/>
        <v>90187</v>
      </c>
      <c r="E425" s="78">
        <f t="shared" si="54"/>
        <v>90247</v>
      </c>
      <c r="F425" s="78"/>
      <c r="G425" s="78" t="s">
        <v>328</v>
      </c>
      <c r="H425" s="78" t="s">
        <v>329</v>
      </c>
      <c r="I425" s="78"/>
      <c r="J425" s="78" t="s">
        <v>279</v>
      </c>
      <c r="K425" s="78">
        <v>1</v>
      </c>
      <c r="L425" s="78" t="s">
        <v>76</v>
      </c>
      <c r="M425" s="78">
        <f>ROUNDDOWN(VLOOKUP(J425,Sheet1!$N$32:$O$37,2,0)*1000,0)</f>
        <v>60</v>
      </c>
      <c r="O425" s="67">
        <f t="shared" si="53"/>
        <v>0.000659145088819801</v>
      </c>
      <c r="P425" s="67">
        <v>11025</v>
      </c>
    </row>
    <row r="426" spans="1:16">
      <c r="A426" s="78">
        <v>424</v>
      </c>
      <c r="B426" s="78">
        <v>11000</v>
      </c>
      <c r="C426" s="78">
        <v>6</v>
      </c>
      <c r="D426" s="78">
        <f t="shared" si="52"/>
        <v>90247</v>
      </c>
      <c r="E426" s="78">
        <f t="shared" si="54"/>
        <v>90307</v>
      </c>
      <c r="F426" s="78"/>
      <c r="G426" s="78" t="s">
        <v>330</v>
      </c>
      <c r="H426" s="78" t="s">
        <v>331</v>
      </c>
      <c r="I426" s="78"/>
      <c r="J426" s="78" t="s">
        <v>279</v>
      </c>
      <c r="K426" s="78">
        <v>1</v>
      </c>
      <c r="L426" s="78" t="s">
        <v>76</v>
      </c>
      <c r="M426" s="78">
        <f>ROUNDDOWN(VLOOKUP(J426,Sheet1!$N$32:$O$37,2,0)*1000,0)</f>
        <v>60</v>
      </c>
      <c r="O426" s="67">
        <f t="shared" si="53"/>
        <v>0.000659145088819801</v>
      </c>
      <c r="P426" s="67">
        <v>11026</v>
      </c>
    </row>
    <row r="427" spans="1:16">
      <c r="A427" s="78">
        <v>425</v>
      </c>
      <c r="B427" s="78">
        <v>11000</v>
      </c>
      <c r="C427" s="78">
        <v>6</v>
      </c>
      <c r="D427" s="78">
        <f t="shared" si="52"/>
        <v>90307</v>
      </c>
      <c r="E427" s="78">
        <f t="shared" si="54"/>
        <v>90367</v>
      </c>
      <c r="F427" s="78"/>
      <c r="G427" s="78" t="s">
        <v>332</v>
      </c>
      <c r="H427" s="78" t="s">
        <v>333</v>
      </c>
      <c r="I427" s="78"/>
      <c r="J427" s="78" t="s">
        <v>279</v>
      </c>
      <c r="K427" s="78">
        <v>1</v>
      </c>
      <c r="L427" s="78" t="s">
        <v>76</v>
      </c>
      <c r="M427" s="78">
        <f>ROUNDDOWN(VLOOKUP(J427,Sheet1!$N$32:$O$37,2,0)*1000,0)</f>
        <v>60</v>
      </c>
      <c r="O427" s="67">
        <f t="shared" si="53"/>
        <v>0.000659145088819801</v>
      </c>
      <c r="P427" s="67">
        <v>11027</v>
      </c>
    </row>
    <row r="428" spans="1:16">
      <c r="A428" s="78">
        <v>426</v>
      </c>
      <c r="B428" s="78">
        <v>11000</v>
      </c>
      <c r="C428" s="78">
        <v>6</v>
      </c>
      <c r="D428" s="78">
        <f t="shared" si="52"/>
        <v>90367</v>
      </c>
      <c r="E428" s="78">
        <f t="shared" si="54"/>
        <v>90427</v>
      </c>
      <c r="F428" s="78"/>
      <c r="G428" s="78" t="s">
        <v>334</v>
      </c>
      <c r="H428" s="78" t="s">
        <v>335</v>
      </c>
      <c r="I428" s="78"/>
      <c r="J428" s="78" t="s">
        <v>279</v>
      </c>
      <c r="K428" s="78">
        <v>1</v>
      </c>
      <c r="L428" s="78" t="s">
        <v>76</v>
      </c>
      <c r="M428" s="78">
        <f>ROUNDDOWN(VLOOKUP(J428,Sheet1!$N$32:$O$37,2,0)*1000,0)</f>
        <v>60</v>
      </c>
      <c r="O428" s="67">
        <f t="shared" ref="O428:O466" si="55">(E428-D428)/$E$438</f>
        <v>0.000659145088819801</v>
      </c>
      <c r="P428" s="67">
        <v>11028</v>
      </c>
    </row>
    <row r="429" spans="1:16">
      <c r="A429" s="78">
        <v>427</v>
      </c>
      <c r="B429" s="78">
        <v>11000</v>
      </c>
      <c r="C429" s="78">
        <v>6</v>
      </c>
      <c r="D429" s="78">
        <f t="shared" si="52"/>
        <v>90427</v>
      </c>
      <c r="E429" s="78">
        <f t="shared" ref="E429:E467" si="56">D429+M429</f>
        <v>90487</v>
      </c>
      <c r="F429" s="78"/>
      <c r="G429" s="78" t="s">
        <v>336</v>
      </c>
      <c r="H429" s="78" t="s">
        <v>337</v>
      </c>
      <c r="I429" s="78"/>
      <c r="J429" s="78" t="s">
        <v>279</v>
      </c>
      <c r="K429" s="78">
        <v>1</v>
      </c>
      <c r="L429" s="78" t="s">
        <v>76</v>
      </c>
      <c r="M429" s="78">
        <f>ROUNDDOWN(VLOOKUP(J429,Sheet1!$N$32:$O$37,2,0)*1000,0)</f>
        <v>60</v>
      </c>
      <c r="O429" s="67">
        <f t="shared" si="55"/>
        <v>0.000659145088819801</v>
      </c>
      <c r="P429" s="67">
        <v>11029</v>
      </c>
    </row>
    <row r="430" spans="1:16">
      <c r="A430" s="78">
        <v>428</v>
      </c>
      <c r="B430" s="78">
        <v>11000</v>
      </c>
      <c r="C430" s="78">
        <v>6</v>
      </c>
      <c r="D430" s="78">
        <f t="shared" si="52"/>
        <v>90487</v>
      </c>
      <c r="E430" s="78">
        <f t="shared" si="56"/>
        <v>90547</v>
      </c>
      <c r="F430" s="78"/>
      <c r="G430" s="78" t="s">
        <v>338</v>
      </c>
      <c r="H430" s="78" t="s">
        <v>339</v>
      </c>
      <c r="I430" s="78"/>
      <c r="J430" s="78" t="s">
        <v>279</v>
      </c>
      <c r="K430" s="78">
        <v>1</v>
      </c>
      <c r="L430" s="78" t="s">
        <v>76</v>
      </c>
      <c r="M430" s="78">
        <f>ROUNDDOWN(VLOOKUP(J430,Sheet1!$N$32:$O$37,2,0)*1000,0)</f>
        <v>60</v>
      </c>
      <c r="O430" s="67">
        <f t="shared" si="55"/>
        <v>0.000659145088819801</v>
      </c>
      <c r="P430" s="67">
        <v>11030</v>
      </c>
    </row>
    <row r="431" spans="1:16">
      <c r="A431" s="78">
        <v>429</v>
      </c>
      <c r="B431" s="78">
        <v>11000</v>
      </c>
      <c r="C431" s="78">
        <v>6</v>
      </c>
      <c r="D431" s="78">
        <f t="shared" si="52"/>
        <v>90547</v>
      </c>
      <c r="E431" s="78">
        <f t="shared" si="56"/>
        <v>90607</v>
      </c>
      <c r="F431" s="78"/>
      <c r="G431" s="78" t="s">
        <v>340</v>
      </c>
      <c r="H431" s="78" t="s">
        <v>341</v>
      </c>
      <c r="I431" s="78"/>
      <c r="J431" s="78" t="s">
        <v>279</v>
      </c>
      <c r="K431" s="78">
        <v>1</v>
      </c>
      <c r="L431" s="78" t="s">
        <v>76</v>
      </c>
      <c r="M431" s="78">
        <f>ROUNDDOWN(VLOOKUP(J431,Sheet1!$N$32:$O$37,2,0)*1000,0)</f>
        <v>60</v>
      </c>
      <c r="O431" s="67">
        <f t="shared" si="55"/>
        <v>0.000659145088819801</v>
      </c>
      <c r="P431" s="67">
        <v>11031</v>
      </c>
    </row>
    <row r="432" spans="1:16">
      <c r="A432" s="78">
        <v>430</v>
      </c>
      <c r="B432" s="78">
        <v>11000</v>
      </c>
      <c r="C432" s="78">
        <v>6</v>
      </c>
      <c r="D432" s="78">
        <f t="shared" ref="D432:D470" si="57">E431</f>
        <v>90607</v>
      </c>
      <c r="E432" s="78">
        <f t="shared" si="56"/>
        <v>90667</v>
      </c>
      <c r="F432" s="78"/>
      <c r="G432" s="78" t="s">
        <v>342</v>
      </c>
      <c r="H432" s="78" t="s">
        <v>343</v>
      </c>
      <c r="I432" s="78"/>
      <c r="J432" s="78" t="s">
        <v>279</v>
      </c>
      <c r="K432" s="78">
        <v>1</v>
      </c>
      <c r="L432" s="78" t="s">
        <v>76</v>
      </c>
      <c r="M432" s="78">
        <f>ROUNDDOWN(VLOOKUP(J432,Sheet1!$N$32:$O$37,2,0)*1000,0)</f>
        <v>60</v>
      </c>
      <c r="O432" s="67">
        <f t="shared" si="55"/>
        <v>0.000659145088819801</v>
      </c>
      <c r="P432" s="67">
        <v>11032</v>
      </c>
    </row>
    <row r="433" spans="1:16">
      <c r="A433" s="78">
        <v>431</v>
      </c>
      <c r="B433" s="78">
        <v>11000</v>
      </c>
      <c r="C433" s="78">
        <v>6</v>
      </c>
      <c r="D433" s="78">
        <f t="shared" si="57"/>
        <v>90667</v>
      </c>
      <c r="E433" s="78">
        <f t="shared" si="56"/>
        <v>90727</v>
      </c>
      <c r="F433" s="78"/>
      <c r="G433" s="78" t="s">
        <v>344</v>
      </c>
      <c r="H433" s="78" t="s">
        <v>345</v>
      </c>
      <c r="I433" s="78"/>
      <c r="J433" s="78" t="s">
        <v>279</v>
      </c>
      <c r="K433" s="78">
        <v>1</v>
      </c>
      <c r="L433" s="78" t="s">
        <v>76</v>
      </c>
      <c r="M433" s="78">
        <f>ROUNDDOWN(VLOOKUP(J433,Sheet1!$N$32:$O$37,2,0)*1000,0)</f>
        <v>60</v>
      </c>
      <c r="O433" s="67">
        <f t="shared" si="55"/>
        <v>0.000659145088819801</v>
      </c>
      <c r="P433" s="67">
        <v>11033</v>
      </c>
    </row>
    <row r="434" spans="1:16">
      <c r="A434" s="78">
        <v>432</v>
      </c>
      <c r="B434" s="78">
        <v>11000</v>
      </c>
      <c r="C434" s="78">
        <v>6</v>
      </c>
      <c r="D434" s="78">
        <f t="shared" si="57"/>
        <v>90727</v>
      </c>
      <c r="E434" s="78">
        <f t="shared" si="56"/>
        <v>90787</v>
      </c>
      <c r="F434" s="78"/>
      <c r="G434" s="78" t="s">
        <v>346</v>
      </c>
      <c r="H434" s="78" t="s">
        <v>347</v>
      </c>
      <c r="I434" s="78"/>
      <c r="J434" s="78" t="s">
        <v>279</v>
      </c>
      <c r="K434" s="78">
        <v>1</v>
      </c>
      <c r="L434" s="78" t="s">
        <v>76</v>
      </c>
      <c r="M434" s="78">
        <f>ROUNDDOWN(VLOOKUP(J434,Sheet1!$N$32:$O$37,2,0)*1000,0)</f>
        <v>60</v>
      </c>
      <c r="O434" s="67">
        <f t="shared" si="55"/>
        <v>0.000659145088819801</v>
      </c>
      <c r="P434" s="67">
        <v>11034</v>
      </c>
    </row>
    <row r="435" spans="1:16">
      <c r="A435" s="78">
        <v>433</v>
      </c>
      <c r="B435" s="78">
        <v>11000</v>
      </c>
      <c r="C435" s="78">
        <v>6</v>
      </c>
      <c r="D435" s="78">
        <f t="shared" si="57"/>
        <v>90787</v>
      </c>
      <c r="E435" s="78">
        <f t="shared" si="56"/>
        <v>90847</v>
      </c>
      <c r="F435" s="78"/>
      <c r="G435" s="78" t="s">
        <v>348</v>
      </c>
      <c r="H435" s="78" t="s">
        <v>349</v>
      </c>
      <c r="I435" s="78"/>
      <c r="J435" s="78" t="s">
        <v>279</v>
      </c>
      <c r="K435" s="78">
        <v>1</v>
      </c>
      <c r="L435" s="78" t="s">
        <v>76</v>
      </c>
      <c r="M435" s="78">
        <f>ROUNDDOWN(VLOOKUP(J435,Sheet1!$N$32:$O$37,2,0)*1000,0)</f>
        <v>60</v>
      </c>
      <c r="O435" s="67">
        <f t="shared" si="55"/>
        <v>0.000659145088819801</v>
      </c>
      <c r="P435" s="67">
        <v>11035</v>
      </c>
    </row>
    <row r="436" spans="1:16">
      <c r="A436" s="78">
        <v>434</v>
      </c>
      <c r="B436" s="78">
        <v>11000</v>
      </c>
      <c r="C436" s="78">
        <v>6</v>
      </c>
      <c r="D436" s="78">
        <f t="shared" si="57"/>
        <v>90847</v>
      </c>
      <c r="E436" s="78">
        <f t="shared" si="56"/>
        <v>90907</v>
      </c>
      <c r="F436" s="78"/>
      <c r="G436" s="78" t="s">
        <v>350</v>
      </c>
      <c r="H436" s="78" t="s">
        <v>351</v>
      </c>
      <c r="I436" s="78"/>
      <c r="J436" s="78" t="s">
        <v>279</v>
      </c>
      <c r="K436" s="78">
        <v>1</v>
      </c>
      <c r="L436" s="78" t="s">
        <v>76</v>
      </c>
      <c r="M436" s="78">
        <f>ROUNDDOWN(VLOOKUP(J436,Sheet1!$N$32:$O$37,2,0)*1000,0)</f>
        <v>60</v>
      </c>
      <c r="O436" s="67">
        <f t="shared" si="55"/>
        <v>0.000659145088819801</v>
      </c>
      <c r="P436" s="67">
        <v>11036</v>
      </c>
    </row>
    <row r="437" spans="1:16">
      <c r="A437" s="78">
        <v>435</v>
      </c>
      <c r="B437" s="78">
        <v>11000</v>
      </c>
      <c r="C437" s="78">
        <v>6</v>
      </c>
      <c r="D437" s="78">
        <f t="shared" si="57"/>
        <v>90907</v>
      </c>
      <c r="E437" s="78">
        <f t="shared" si="56"/>
        <v>90967</v>
      </c>
      <c r="F437" s="78"/>
      <c r="G437" s="78" t="s">
        <v>352</v>
      </c>
      <c r="H437" s="78" t="s">
        <v>353</v>
      </c>
      <c r="I437" s="78"/>
      <c r="J437" s="78" t="s">
        <v>279</v>
      </c>
      <c r="K437" s="78">
        <v>1</v>
      </c>
      <c r="L437" s="78" t="s">
        <v>76</v>
      </c>
      <c r="M437" s="78">
        <f>ROUNDDOWN(VLOOKUP(J437,Sheet1!$N$32:$O$37,2,0)*1000,0)</f>
        <v>60</v>
      </c>
      <c r="O437" s="67">
        <f t="shared" si="55"/>
        <v>0.000659145088819801</v>
      </c>
      <c r="P437" s="67">
        <v>11037</v>
      </c>
    </row>
    <row r="438" spans="1:16">
      <c r="A438" s="78">
        <v>436</v>
      </c>
      <c r="B438" s="78">
        <v>11000</v>
      </c>
      <c r="C438" s="78">
        <v>6</v>
      </c>
      <c r="D438" s="78">
        <f t="shared" si="57"/>
        <v>90967</v>
      </c>
      <c r="E438" s="78">
        <f t="shared" si="56"/>
        <v>91027</v>
      </c>
      <c r="F438" s="78"/>
      <c r="G438" s="78" t="s">
        <v>354</v>
      </c>
      <c r="H438" s="78" t="s">
        <v>355</v>
      </c>
      <c r="I438" s="78"/>
      <c r="J438" s="78" t="s">
        <v>279</v>
      </c>
      <c r="K438" s="78">
        <v>1</v>
      </c>
      <c r="L438" s="78" t="s">
        <v>76</v>
      </c>
      <c r="M438" s="78">
        <f>ROUNDDOWN(VLOOKUP(J438,Sheet1!$N$32:$O$37,2,0)*1000,0)</f>
        <v>60</v>
      </c>
      <c r="O438" s="67">
        <f t="shared" si="55"/>
        <v>0.000659145088819801</v>
      </c>
      <c r="P438" s="67">
        <v>11038</v>
      </c>
    </row>
    <row r="439" spans="1:16">
      <c r="A439" s="78">
        <v>437</v>
      </c>
      <c r="B439" s="78">
        <v>11000</v>
      </c>
      <c r="C439" s="78">
        <v>6</v>
      </c>
      <c r="D439" s="78">
        <f t="shared" si="57"/>
        <v>91027</v>
      </c>
      <c r="E439" s="78">
        <f t="shared" si="56"/>
        <v>91087</v>
      </c>
      <c r="F439" s="78"/>
      <c r="G439" s="78" t="s">
        <v>277</v>
      </c>
      <c r="H439" s="78" t="s">
        <v>356</v>
      </c>
      <c r="I439" s="78"/>
      <c r="J439" s="78" t="s">
        <v>279</v>
      </c>
      <c r="K439" s="78">
        <v>1</v>
      </c>
      <c r="L439" s="78" t="s">
        <v>76</v>
      </c>
      <c r="M439" s="78">
        <f>ROUNDDOWN(VLOOKUP(J439,Sheet1!$N$32:$O$37,2,0)*1000,0)</f>
        <v>60</v>
      </c>
      <c r="O439" s="67">
        <f t="shared" si="55"/>
        <v>0.000659145088819801</v>
      </c>
      <c r="P439" s="67">
        <v>11000</v>
      </c>
    </row>
    <row r="440" spans="1:16">
      <c r="A440" s="78">
        <v>438</v>
      </c>
      <c r="B440" s="78">
        <v>11000</v>
      </c>
      <c r="C440" s="78">
        <v>6</v>
      </c>
      <c r="D440" s="78">
        <f t="shared" si="57"/>
        <v>91087</v>
      </c>
      <c r="E440" s="78">
        <f t="shared" si="56"/>
        <v>91147</v>
      </c>
      <c r="F440" s="78"/>
      <c r="G440" s="78" t="s">
        <v>280</v>
      </c>
      <c r="H440" s="78" t="s">
        <v>357</v>
      </c>
      <c r="I440" s="78"/>
      <c r="J440" s="78" t="s">
        <v>279</v>
      </c>
      <c r="K440" s="78">
        <v>1</v>
      </c>
      <c r="L440" s="78" t="s">
        <v>76</v>
      </c>
      <c r="M440" s="78">
        <f>ROUNDDOWN(VLOOKUP(J440,Sheet1!$N$32:$O$37,2,0)*1000,0)</f>
        <v>60</v>
      </c>
      <c r="O440" s="67">
        <f t="shared" si="55"/>
        <v>0.000659145088819801</v>
      </c>
      <c r="P440" s="67">
        <v>11001</v>
      </c>
    </row>
    <row r="441" spans="1:16">
      <c r="A441" s="78">
        <v>439</v>
      </c>
      <c r="B441" s="78">
        <v>11000</v>
      </c>
      <c r="C441" s="78">
        <v>6</v>
      </c>
      <c r="D441" s="78">
        <f t="shared" si="57"/>
        <v>91147</v>
      </c>
      <c r="E441" s="78">
        <f t="shared" si="56"/>
        <v>91207</v>
      </c>
      <c r="F441" s="78"/>
      <c r="G441" s="78" t="s">
        <v>282</v>
      </c>
      <c r="H441" s="78" t="s">
        <v>358</v>
      </c>
      <c r="I441" s="78"/>
      <c r="J441" s="78" t="s">
        <v>279</v>
      </c>
      <c r="K441" s="78">
        <v>1</v>
      </c>
      <c r="L441" s="78" t="s">
        <v>76</v>
      </c>
      <c r="M441" s="78">
        <f>ROUNDDOWN(VLOOKUP(J441,Sheet1!$N$32:$O$37,2,0)*1000,0)</f>
        <v>60</v>
      </c>
      <c r="O441" s="67">
        <f t="shared" si="55"/>
        <v>0.000659145088819801</v>
      </c>
      <c r="P441" s="67">
        <v>11002</v>
      </c>
    </row>
    <row r="442" spans="1:16">
      <c r="A442" s="78">
        <v>440</v>
      </c>
      <c r="B442" s="78">
        <v>11000</v>
      </c>
      <c r="C442" s="78">
        <v>6</v>
      </c>
      <c r="D442" s="78">
        <f t="shared" si="57"/>
        <v>91207</v>
      </c>
      <c r="E442" s="78">
        <f t="shared" si="56"/>
        <v>91267</v>
      </c>
      <c r="F442" s="78"/>
      <c r="G442" s="78" t="s">
        <v>284</v>
      </c>
      <c r="H442" s="78" t="s">
        <v>359</v>
      </c>
      <c r="I442" s="78"/>
      <c r="J442" s="78" t="s">
        <v>279</v>
      </c>
      <c r="K442" s="78">
        <v>1</v>
      </c>
      <c r="L442" s="78" t="s">
        <v>76</v>
      </c>
      <c r="M442" s="78">
        <f>ROUNDDOWN(VLOOKUP(J442,Sheet1!$N$32:$O$37,2,0)*1000,0)</f>
        <v>60</v>
      </c>
      <c r="O442" s="67">
        <f t="shared" si="55"/>
        <v>0.000659145088819801</v>
      </c>
      <c r="P442" s="67">
        <v>11003</v>
      </c>
    </row>
    <row r="443" spans="1:16">
      <c r="A443" s="78">
        <v>441</v>
      </c>
      <c r="B443" s="78">
        <v>11000</v>
      </c>
      <c r="C443" s="78">
        <v>6</v>
      </c>
      <c r="D443" s="78">
        <f t="shared" si="57"/>
        <v>91267</v>
      </c>
      <c r="E443" s="78">
        <f t="shared" si="56"/>
        <v>91327</v>
      </c>
      <c r="F443" s="78"/>
      <c r="G443" s="78" t="s">
        <v>286</v>
      </c>
      <c r="H443" s="78" t="s">
        <v>360</v>
      </c>
      <c r="I443" s="78"/>
      <c r="J443" s="78" t="s">
        <v>279</v>
      </c>
      <c r="K443" s="78">
        <v>1</v>
      </c>
      <c r="L443" s="78" t="s">
        <v>76</v>
      </c>
      <c r="M443" s="78">
        <f>ROUNDDOWN(VLOOKUP(J443,Sheet1!$N$32:$O$37,2,0)*1000,0)</f>
        <v>60</v>
      </c>
      <c r="O443" s="67">
        <f t="shared" si="55"/>
        <v>0.000659145088819801</v>
      </c>
      <c r="P443" s="67">
        <v>11004</v>
      </c>
    </row>
    <row r="444" spans="1:16">
      <c r="A444" s="78">
        <v>442</v>
      </c>
      <c r="B444" s="78">
        <v>11000</v>
      </c>
      <c r="C444" s="78">
        <v>6</v>
      </c>
      <c r="D444" s="78">
        <f t="shared" si="57"/>
        <v>91327</v>
      </c>
      <c r="E444" s="78">
        <f t="shared" si="56"/>
        <v>91387</v>
      </c>
      <c r="F444" s="78"/>
      <c r="G444" s="78" t="s">
        <v>288</v>
      </c>
      <c r="H444" s="78" t="s">
        <v>361</v>
      </c>
      <c r="I444" s="78"/>
      <c r="J444" s="78" t="s">
        <v>279</v>
      </c>
      <c r="K444" s="78">
        <v>1</v>
      </c>
      <c r="L444" s="78" t="s">
        <v>76</v>
      </c>
      <c r="M444" s="78">
        <f>ROUNDDOWN(VLOOKUP(J444,Sheet1!$N$32:$O$37,2,0)*1000,0)</f>
        <v>60</v>
      </c>
      <c r="O444" s="67">
        <f t="shared" si="55"/>
        <v>0.000659145088819801</v>
      </c>
      <c r="P444" s="67">
        <v>11005</v>
      </c>
    </row>
    <row r="445" spans="1:16">
      <c r="A445" s="78">
        <v>443</v>
      </c>
      <c r="B445" s="78">
        <v>11000</v>
      </c>
      <c r="C445" s="78">
        <v>6</v>
      </c>
      <c r="D445" s="78">
        <f t="shared" si="57"/>
        <v>91387</v>
      </c>
      <c r="E445" s="78">
        <f t="shared" si="56"/>
        <v>91447</v>
      </c>
      <c r="F445" s="78"/>
      <c r="G445" s="78" t="s">
        <v>290</v>
      </c>
      <c r="H445" s="78" t="s">
        <v>362</v>
      </c>
      <c r="I445" s="78"/>
      <c r="J445" s="78" t="s">
        <v>279</v>
      </c>
      <c r="K445" s="78">
        <v>1</v>
      </c>
      <c r="L445" s="78" t="s">
        <v>76</v>
      </c>
      <c r="M445" s="78">
        <f>ROUNDDOWN(VLOOKUP(J445,Sheet1!$N$32:$O$37,2,0)*1000,0)</f>
        <v>60</v>
      </c>
      <c r="O445" s="67">
        <f t="shared" si="55"/>
        <v>0.000659145088819801</v>
      </c>
      <c r="P445" s="67">
        <v>11006</v>
      </c>
    </row>
    <row r="446" spans="1:16">
      <c r="A446" s="78">
        <v>444</v>
      </c>
      <c r="B446" s="78">
        <v>11000</v>
      </c>
      <c r="C446" s="78">
        <v>6</v>
      </c>
      <c r="D446" s="78">
        <f t="shared" si="57"/>
        <v>91447</v>
      </c>
      <c r="E446" s="78">
        <f t="shared" si="56"/>
        <v>91507</v>
      </c>
      <c r="F446" s="78"/>
      <c r="G446" s="78" t="s">
        <v>292</v>
      </c>
      <c r="H446" s="78" t="s">
        <v>363</v>
      </c>
      <c r="I446" s="78"/>
      <c r="J446" s="78" t="s">
        <v>279</v>
      </c>
      <c r="K446" s="78">
        <v>1</v>
      </c>
      <c r="L446" s="78" t="s">
        <v>76</v>
      </c>
      <c r="M446" s="78">
        <f>ROUNDDOWN(VLOOKUP(J446,Sheet1!$N$32:$O$37,2,0)*1000,0)</f>
        <v>60</v>
      </c>
      <c r="O446" s="67">
        <f t="shared" si="55"/>
        <v>0.000659145088819801</v>
      </c>
      <c r="P446" s="67">
        <v>11007</v>
      </c>
    </row>
    <row r="447" spans="1:16">
      <c r="A447" s="78">
        <v>445</v>
      </c>
      <c r="B447" s="78">
        <v>11000</v>
      </c>
      <c r="C447" s="78">
        <v>6</v>
      </c>
      <c r="D447" s="78">
        <f t="shared" si="57"/>
        <v>91507</v>
      </c>
      <c r="E447" s="78">
        <f t="shared" si="56"/>
        <v>91567</v>
      </c>
      <c r="F447" s="78"/>
      <c r="G447" s="78" t="s">
        <v>294</v>
      </c>
      <c r="H447" s="78" t="s">
        <v>364</v>
      </c>
      <c r="I447" s="78"/>
      <c r="J447" s="78" t="s">
        <v>279</v>
      </c>
      <c r="K447" s="78">
        <v>1</v>
      </c>
      <c r="L447" s="78" t="s">
        <v>76</v>
      </c>
      <c r="M447" s="78">
        <f>ROUNDDOWN(VLOOKUP(J447,Sheet1!$N$32:$O$37,2,0)*1000,0)</f>
        <v>60</v>
      </c>
      <c r="O447" s="67">
        <f t="shared" si="55"/>
        <v>0.000659145088819801</v>
      </c>
      <c r="P447" s="67">
        <v>11008</v>
      </c>
    </row>
    <row r="448" spans="1:16">
      <c r="A448" s="78">
        <v>446</v>
      </c>
      <c r="B448" s="78">
        <v>11000</v>
      </c>
      <c r="C448" s="78">
        <v>6</v>
      </c>
      <c r="D448" s="78">
        <f t="shared" si="57"/>
        <v>91567</v>
      </c>
      <c r="E448" s="78">
        <f t="shared" si="56"/>
        <v>91627</v>
      </c>
      <c r="F448" s="78"/>
      <c r="G448" s="78" t="s">
        <v>296</v>
      </c>
      <c r="H448" s="78" t="s">
        <v>365</v>
      </c>
      <c r="I448" s="78"/>
      <c r="J448" s="78" t="s">
        <v>279</v>
      </c>
      <c r="K448" s="78">
        <v>1</v>
      </c>
      <c r="L448" s="78" t="s">
        <v>76</v>
      </c>
      <c r="M448" s="78">
        <f>ROUNDDOWN(VLOOKUP(J448,Sheet1!$N$32:$O$37,2,0)*1000,0)</f>
        <v>60</v>
      </c>
      <c r="O448" s="67">
        <f t="shared" si="55"/>
        <v>0.000659145088819801</v>
      </c>
      <c r="P448" s="67">
        <v>11009</v>
      </c>
    </row>
    <row r="449" spans="1:16">
      <c r="A449" s="78">
        <v>447</v>
      </c>
      <c r="B449" s="78">
        <v>11000</v>
      </c>
      <c r="C449" s="78">
        <v>6</v>
      </c>
      <c r="D449" s="78">
        <f t="shared" si="57"/>
        <v>91627</v>
      </c>
      <c r="E449" s="78">
        <f t="shared" si="56"/>
        <v>91687</v>
      </c>
      <c r="F449" s="78"/>
      <c r="G449" s="78" t="s">
        <v>298</v>
      </c>
      <c r="H449" s="78" t="s">
        <v>366</v>
      </c>
      <c r="I449" s="78"/>
      <c r="J449" s="78" t="s">
        <v>279</v>
      </c>
      <c r="K449" s="78">
        <v>1</v>
      </c>
      <c r="L449" s="78" t="s">
        <v>76</v>
      </c>
      <c r="M449" s="78">
        <f>ROUNDDOWN(VLOOKUP(J449,Sheet1!$N$32:$O$37,2,0)*1000,0)</f>
        <v>60</v>
      </c>
      <c r="O449" s="67">
        <f t="shared" si="55"/>
        <v>0.000659145088819801</v>
      </c>
      <c r="P449" s="67">
        <v>11010</v>
      </c>
    </row>
    <row r="450" spans="1:16">
      <c r="A450" s="78">
        <v>448</v>
      </c>
      <c r="B450" s="78">
        <v>11000</v>
      </c>
      <c r="C450" s="78">
        <v>6</v>
      </c>
      <c r="D450" s="78">
        <f t="shared" si="57"/>
        <v>91687</v>
      </c>
      <c r="E450" s="78">
        <f t="shared" si="56"/>
        <v>91747</v>
      </c>
      <c r="F450" s="78"/>
      <c r="G450" s="78" t="s">
        <v>300</v>
      </c>
      <c r="H450" s="78" t="s">
        <v>367</v>
      </c>
      <c r="I450" s="78"/>
      <c r="J450" s="78" t="s">
        <v>279</v>
      </c>
      <c r="K450" s="78">
        <v>1</v>
      </c>
      <c r="L450" s="78" t="s">
        <v>76</v>
      </c>
      <c r="M450" s="78">
        <f>ROUNDDOWN(VLOOKUP(J450,Sheet1!$N$32:$O$37,2,0)*1000,0)</f>
        <v>60</v>
      </c>
      <c r="O450" s="67">
        <f t="shared" si="55"/>
        <v>0.000659145088819801</v>
      </c>
      <c r="P450" s="67">
        <v>11011</v>
      </c>
    </row>
    <row r="451" spans="1:16">
      <c r="A451" s="78">
        <v>449</v>
      </c>
      <c r="B451" s="78">
        <v>11000</v>
      </c>
      <c r="C451" s="78">
        <v>6</v>
      </c>
      <c r="D451" s="78">
        <f t="shared" si="57"/>
        <v>91747</v>
      </c>
      <c r="E451" s="78">
        <f t="shared" si="56"/>
        <v>91807</v>
      </c>
      <c r="F451" s="78"/>
      <c r="G451" s="78" t="s">
        <v>302</v>
      </c>
      <c r="H451" s="78" t="s">
        <v>368</v>
      </c>
      <c r="I451" s="78"/>
      <c r="J451" s="78" t="s">
        <v>279</v>
      </c>
      <c r="K451" s="78">
        <v>1</v>
      </c>
      <c r="L451" s="78" t="s">
        <v>76</v>
      </c>
      <c r="M451" s="78">
        <f>ROUNDDOWN(VLOOKUP(J451,Sheet1!$N$32:$O$37,2,0)*1000,0)</f>
        <v>60</v>
      </c>
      <c r="O451" s="67">
        <f t="shared" si="55"/>
        <v>0.000659145088819801</v>
      </c>
      <c r="P451" s="67">
        <v>11012</v>
      </c>
    </row>
    <row r="452" spans="1:16">
      <c r="A452" s="78">
        <v>450</v>
      </c>
      <c r="B452" s="78">
        <v>11000</v>
      </c>
      <c r="C452" s="78">
        <v>6</v>
      </c>
      <c r="D452" s="78">
        <f t="shared" si="57"/>
        <v>91807</v>
      </c>
      <c r="E452" s="78">
        <f t="shared" si="56"/>
        <v>91867</v>
      </c>
      <c r="F452" s="78"/>
      <c r="G452" s="78" t="s">
        <v>304</v>
      </c>
      <c r="H452" s="78" t="s">
        <v>369</v>
      </c>
      <c r="I452" s="78"/>
      <c r="J452" s="78" t="s">
        <v>279</v>
      </c>
      <c r="K452" s="78">
        <v>1</v>
      </c>
      <c r="L452" s="78" t="s">
        <v>76</v>
      </c>
      <c r="M452" s="78">
        <f>ROUNDDOWN(VLOOKUP(J452,Sheet1!$N$32:$O$37,2,0)*1000,0)</f>
        <v>60</v>
      </c>
      <c r="O452" s="67">
        <f t="shared" si="55"/>
        <v>0.000659145088819801</v>
      </c>
      <c r="P452" s="67">
        <v>11013</v>
      </c>
    </row>
    <row r="453" spans="1:16">
      <c r="A453" s="78">
        <v>451</v>
      </c>
      <c r="B453" s="78">
        <v>11000</v>
      </c>
      <c r="C453" s="78">
        <v>6</v>
      </c>
      <c r="D453" s="78">
        <f t="shared" si="57"/>
        <v>91867</v>
      </c>
      <c r="E453" s="78">
        <f t="shared" si="56"/>
        <v>91927</v>
      </c>
      <c r="F453" s="78"/>
      <c r="G453" s="78" t="s">
        <v>306</v>
      </c>
      <c r="H453" s="78" t="s">
        <v>370</v>
      </c>
      <c r="I453" s="78"/>
      <c r="J453" s="78" t="s">
        <v>279</v>
      </c>
      <c r="K453" s="78">
        <v>1</v>
      </c>
      <c r="L453" s="78" t="s">
        <v>76</v>
      </c>
      <c r="M453" s="78">
        <f>ROUNDDOWN(VLOOKUP(J453,Sheet1!$N$32:$O$37,2,0)*1000,0)</f>
        <v>60</v>
      </c>
      <c r="O453" s="67">
        <f t="shared" si="55"/>
        <v>0.000659145088819801</v>
      </c>
      <c r="P453" s="67">
        <v>11014</v>
      </c>
    </row>
    <row r="454" spans="1:16">
      <c r="A454" s="78">
        <v>452</v>
      </c>
      <c r="B454" s="78">
        <v>11000</v>
      </c>
      <c r="C454" s="78">
        <v>6</v>
      </c>
      <c r="D454" s="78">
        <f t="shared" si="57"/>
        <v>91927</v>
      </c>
      <c r="E454" s="78">
        <f t="shared" si="56"/>
        <v>91987</v>
      </c>
      <c r="F454" s="78"/>
      <c r="G454" s="78" t="s">
        <v>308</v>
      </c>
      <c r="H454" s="78" t="s">
        <v>371</v>
      </c>
      <c r="I454" s="78"/>
      <c r="J454" s="78" t="s">
        <v>279</v>
      </c>
      <c r="K454" s="78">
        <v>1</v>
      </c>
      <c r="L454" s="78" t="s">
        <v>76</v>
      </c>
      <c r="M454" s="78">
        <f>ROUNDDOWN(VLOOKUP(J454,Sheet1!$N$32:$O$37,2,0)*1000,0)</f>
        <v>60</v>
      </c>
      <c r="O454" s="67">
        <f t="shared" si="55"/>
        <v>0.000659145088819801</v>
      </c>
      <c r="P454" s="67">
        <v>11015</v>
      </c>
    </row>
    <row r="455" spans="1:16">
      <c r="A455" s="78">
        <v>453</v>
      </c>
      <c r="B455" s="78">
        <v>11000</v>
      </c>
      <c r="C455" s="78">
        <v>6</v>
      </c>
      <c r="D455" s="78">
        <f t="shared" si="57"/>
        <v>91987</v>
      </c>
      <c r="E455" s="78">
        <f t="shared" si="56"/>
        <v>92047</v>
      </c>
      <c r="F455" s="78"/>
      <c r="G455" s="78" t="s">
        <v>310</v>
      </c>
      <c r="H455" s="78" t="s">
        <v>372</v>
      </c>
      <c r="I455" s="78"/>
      <c r="J455" s="78" t="s">
        <v>279</v>
      </c>
      <c r="K455" s="78">
        <v>1</v>
      </c>
      <c r="L455" s="78" t="s">
        <v>76</v>
      </c>
      <c r="M455" s="78">
        <f>ROUNDDOWN(VLOOKUP(J455,Sheet1!$N$32:$O$37,2,0)*1000,0)</f>
        <v>60</v>
      </c>
      <c r="O455" s="67">
        <f t="shared" si="55"/>
        <v>0.000659145088819801</v>
      </c>
      <c r="P455" s="67">
        <v>11016</v>
      </c>
    </row>
    <row r="456" spans="1:16">
      <c r="A456" s="78">
        <v>454</v>
      </c>
      <c r="B456" s="78">
        <v>11000</v>
      </c>
      <c r="C456" s="78">
        <v>6</v>
      </c>
      <c r="D456" s="78">
        <f t="shared" si="57"/>
        <v>92047</v>
      </c>
      <c r="E456" s="78">
        <f t="shared" si="56"/>
        <v>92107</v>
      </c>
      <c r="F456" s="78"/>
      <c r="G456" s="78" t="s">
        <v>312</v>
      </c>
      <c r="H456" s="78" t="s">
        <v>373</v>
      </c>
      <c r="I456" s="78"/>
      <c r="J456" s="78" t="s">
        <v>279</v>
      </c>
      <c r="K456" s="78">
        <v>1</v>
      </c>
      <c r="L456" s="78" t="s">
        <v>76</v>
      </c>
      <c r="M456" s="78">
        <f>ROUNDDOWN(VLOOKUP(J456,Sheet1!$N$32:$O$37,2,0)*1000,0)</f>
        <v>60</v>
      </c>
      <c r="O456" s="67">
        <f t="shared" si="55"/>
        <v>0.000659145088819801</v>
      </c>
      <c r="P456" s="67">
        <v>11017</v>
      </c>
    </row>
    <row r="457" spans="1:16">
      <c r="A457" s="78">
        <v>455</v>
      </c>
      <c r="B457" s="78">
        <v>11000</v>
      </c>
      <c r="C457" s="78">
        <v>6</v>
      </c>
      <c r="D457" s="78">
        <f t="shared" si="57"/>
        <v>92107</v>
      </c>
      <c r="E457" s="78">
        <f t="shared" si="56"/>
        <v>92167</v>
      </c>
      <c r="F457" s="78"/>
      <c r="G457" s="78" t="s">
        <v>314</v>
      </c>
      <c r="H457" s="78" t="s">
        <v>374</v>
      </c>
      <c r="I457" s="78"/>
      <c r="J457" s="78" t="s">
        <v>279</v>
      </c>
      <c r="K457" s="78">
        <v>1</v>
      </c>
      <c r="L457" s="78" t="s">
        <v>76</v>
      </c>
      <c r="M457" s="78">
        <f>ROUNDDOWN(VLOOKUP(J457,Sheet1!$N$32:$O$37,2,0)*1000,0)</f>
        <v>60</v>
      </c>
      <c r="O457" s="67">
        <f t="shared" si="55"/>
        <v>0.000659145088819801</v>
      </c>
      <c r="P457" s="67">
        <v>11018</v>
      </c>
    </row>
    <row r="458" spans="1:16">
      <c r="A458" s="78">
        <v>456</v>
      </c>
      <c r="B458" s="78">
        <v>11000</v>
      </c>
      <c r="C458" s="78">
        <v>6</v>
      </c>
      <c r="D458" s="78">
        <f t="shared" si="57"/>
        <v>92167</v>
      </c>
      <c r="E458" s="78">
        <f t="shared" si="56"/>
        <v>92227</v>
      </c>
      <c r="F458" s="78"/>
      <c r="G458" s="78" t="s">
        <v>316</v>
      </c>
      <c r="H458" s="78" t="s">
        <v>375</v>
      </c>
      <c r="I458" s="78"/>
      <c r="J458" s="78" t="s">
        <v>279</v>
      </c>
      <c r="K458" s="78">
        <v>1</v>
      </c>
      <c r="L458" s="78" t="s">
        <v>76</v>
      </c>
      <c r="M458" s="78">
        <f>ROUNDDOWN(VLOOKUP(J458,Sheet1!$N$32:$O$37,2,0)*1000,0)</f>
        <v>60</v>
      </c>
      <c r="O458" s="67">
        <f t="shared" si="55"/>
        <v>0.000659145088819801</v>
      </c>
      <c r="P458" s="67">
        <v>11019</v>
      </c>
    </row>
    <row r="459" spans="1:16">
      <c r="A459" s="78">
        <v>457</v>
      </c>
      <c r="B459" s="78">
        <v>11000</v>
      </c>
      <c r="C459" s="78">
        <v>6</v>
      </c>
      <c r="D459" s="78">
        <f t="shared" si="57"/>
        <v>92227</v>
      </c>
      <c r="E459" s="78">
        <f t="shared" si="56"/>
        <v>92287</v>
      </c>
      <c r="F459" s="78"/>
      <c r="G459" s="78" t="s">
        <v>318</v>
      </c>
      <c r="H459" s="78" t="s">
        <v>376</v>
      </c>
      <c r="I459" s="78"/>
      <c r="J459" s="78" t="s">
        <v>279</v>
      </c>
      <c r="K459" s="78">
        <v>1</v>
      </c>
      <c r="L459" s="78" t="s">
        <v>76</v>
      </c>
      <c r="M459" s="78">
        <f>ROUNDDOWN(VLOOKUP(J459,Sheet1!$N$32:$O$37,2,0)*1000,0)</f>
        <v>60</v>
      </c>
      <c r="O459" s="67">
        <f t="shared" si="55"/>
        <v>0.000659145088819801</v>
      </c>
      <c r="P459" s="67">
        <v>11020</v>
      </c>
    </row>
    <row r="460" spans="1:16">
      <c r="A460" s="78">
        <v>458</v>
      </c>
      <c r="B460" s="78">
        <v>11000</v>
      </c>
      <c r="C460" s="78">
        <v>6</v>
      </c>
      <c r="D460" s="78">
        <f t="shared" si="57"/>
        <v>92287</v>
      </c>
      <c r="E460" s="78">
        <f t="shared" si="56"/>
        <v>92347</v>
      </c>
      <c r="F460" s="78"/>
      <c r="G460" s="78" t="s">
        <v>320</v>
      </c>
      <c r="H460" s="78" t="s">
        <v>377</v>
      </c>
      <c r="I460" s="78"/>
      <c r="J460" s="78" t="s">
        <v>279</v>
      </c>
      <c r="K460" s="78">
        <v>1</v>
      </c>
      <c r="L460" s="78" t="s">
        <v>76</v>
      </c>
      <c r="M460" s="78">
        <f>ROUNDDOWN(VLOOKUP(J460,Sheet1!$N$32:$O$37,2,0)*1000,0)</f>
        <v>60</v>
      </c>
      <c r="O460" s="67">
        <f t="shared" si="55"/>
        <v>0.000659145088819801</v>
      </c>
      <c r="P460" s="67">
        <v>11021</v>
      </c>
    </row>
    <row r="461" spans="1:16">
      <c r="A461" s="78">
        <v>459</v>
      </c>
      <c r="B461" s="78">
        <v>11000</v>
      </c>
      <c r="C461" s="78">
        <v>6</v>
      </c>
      <c r="D461" s="78">
        <f t="shared" si="57"/>
        <v>92347</v>
      </c>
      <c r="E461" s="78">
        <f t="shared" si="56"/>
        <v>92407</v>
      </c>
      <c r="F461" s="78"/>
      <c r="G461" s="78" t="s">
        <v>322</v>
      </c>
      <c r="H461" s="78" t="s">
        <v>378</v>
      </c>
      <c r="I461" s="78"/>
      <c r="J461" s="78" t="s">
        <v>279</v>
      </c>
      <c r="K461" s="78">
        <v>1</v>
      </c>
      <c r="L461" s="78" t="s">
        <v>76</v>
      </c>
      <c r="M461" s="78">
        <f>ROUNDDOWN(VLOOKUP(J461,Sheet1!$N$32:$O$37,2,0)*1000,0)</f>
        <v>60</v>
      </c>
      <c r="O461" s="67">
        <f t="shared" si="55"/>
        <v>0.000659145088819801</v>
      </c>
      <c r="P461" s="67">
        <v>11022</v>
      </c>
    </row>
    <row r="462" spans="1:16">
      <c r="A462" s="78">
        <v>460</v>
      </c>
      <c r="B462" s="78">
        <v>11000</v>
      </c>
      <c r="C462" s="78">
        <v>6</v>
      </c>
      <c r="D462" s="78">
        <f t="shared" si="57"/>
        <v>92407</v>
      </c>
      <c r="E462" s="78">
        <f t="shared" si="56"/>
        <v>92467</v>
      </c>
      <c r="F462" s="78"/>
      <c r="G462" s="78" t="s">
        <v>324</v>
      </c>
      <c r="H462" s="78" t="s">
        <v>379</v>
      </c>
      <c r="I462" s="78"/>
      <c r="J462" s="78" t="s">
        <v>279</v>
      </c>
      <c r="K462" s="78">
        <v>1</v>
      </c>
      <c r="L462" s="78" t="s">
        <v>76</v>
      </c>
      <c r="M462" s="78">
        <f>ROUNDDOWN(VLOOKUP(J462,Sheet1!$N$32:$O$37,2,0)*1000,0)</f>
        <v>60</v>
      </c>
      <c r="O462" s="67">
        <f t="shared" si="55"/>
        <v>0.000659145088819801</v>
      </c>
      <c r="P462" s="67">
        <v>11023</v>
      </c>
    </row>
    <row r="463" spans="1:16">
      <c r="A463" s="78">
        <v>461</v>
      </c>
      <c r="B463" s="78">
        <v>11000</v>
      </c>
      <c r="C463" s="78">
        <v>6</v>
      </c>
      <c r="D463" s="78">
        <f t="shared" si="57"/>
        <v>92467</v>
      </c>
      <c r="E463" s="78">
        <f t="shared" si="56"/>
        <v>92527</v>
      </c>
      <c r="F463" s="78"/>
      <c r="G463" s="78" t="s">
        <v>326</v>
      </c>
      <c r="H463" s="78" t="s">
        <v>380</v>
      </c>
      <c r="I463" s="78"/>
      <c r="J463" s="78" t="s">
        <v>279</v>
      </c>
      <c r="K463" s="78">
        <v>1</v>
      </c>
      <c r="L463" s="78" t="s">
        <v>76</v>
      </c>
      <c r="M463" s="78">
        <f>ROUNDDOWN(VLOOKUP(J463,Sheet1!$N$32:$O$37,2,0)*1000,0)</f>
        <v>60</v>
      </c>
      <c r="O463" s="67">
        <f t="shared" si="55"/>
        <v>0.000659145088819801</v>
      </c>
      <c r="P463" s="67">
        <v>11024</v>
      </c>
    </row>
    <row r="464" spans="1:16">
      <c r="A464" s="78">
        <v>462</v>
      </c>
      <c r="B464" s="78">
        <v>11000</v>
      </c>
      <c r="C464" s="78">
        <v>6</v>
      </c>
      <c r="D464" s="78">
        <f t="shared" si="57"/>
        <v>92527</v>
      </c>
      <c r="E464" s="78">
        <f t="shared" si="56"/>
        <v>92587</v>
      </c>
      <c r="F464" s="78"/>
      <c r="G464" s="78" t="s">
        <v>328</v>
      </c>
      <c r="H464" s="78" t="s">
        <v>381</v>
      </c>
      <c r="I464" s="78"/>
      <c r="J464" s="78" t="s">
        <v>279</v>
      </c>
      <c r="K464" s="78">
        <v>1</v>
      </c>
      <c r="L464" s="78" t="s">
        <v>76</v>
      </c>
      <c r="M464" s="78">
        <f>ROUNDDOWN(VLOOKUP(J464,Sheet1!$N$32:$O$37,2,0)*1000,0)</f>
        <v>60</v>
      </c>
      <c r="O464" s="67">
        <f t="shared" si="55"/>
        <v>0.000659145088819801</v>
      </c>
      <c r="P464" s="67">
        <v>11025</v>
      </c>
    </row>
    <row r="465" spans="1:16">
      <c r="A465" s="78">
        <v>463</v>
      </c>
      <c r="B465" s="78">
        <v>11000</v>
      </c>
      <c r="C465" s="78">
        <v>6</v>
      </c>
      <c r="D465" s="78">
        <f t="shared" si="57"/>
        <v>92587</v>
      </c>
      <c r="E465" s="78">
        <f t="shared" si="56"/>
        <v>92647</v>
      </c>
      <c r="F465" s="78"/>
      <c r="G465" s="78" t="s">
        <v>330</v>
      </c>
      <c r="H465" s="78" t="s">
        <v>382</v>
      </c>
      <c r="I465" s="78"/>
      <c r="J465" s="78" t="s">
        <v>279</v>
      </c>
      <c r="K465" s="78">
        <v>1</v>
      </c>
      <c r="L465" s="78" t="s">
        <v>76</v>
      </c>
      <c r="M465" s="78">
        <f>ROUNDDOWN(VLOOKUP(J465,Sheet1!$N$32:$O$37,2,0)*1000,0)</f>
        <v>60</v>
      </c>
      <c r="O465" s="67">
        <f t="shared" si="55"/>
        <v>0.000659145088819801</v>
      </c>
      <c r="P465" s="67">
        <v>11026</v>
      </c>
    </row>
    <row r="466" spans="1:16">
      <c r="A466" s="78">
        <v>464</v>
      </c>
      <c r="B466" s="78">
        <v>11000</v>
      </c>
      <c r="C466" s="78">
        <v>6</v>
      </c>
      <c r="D466" s="78">
        <f t="shared" si="57"/>
        <v>92647</v>
      </c>
      <c r="E466" s="78">
        <f t="shared" si="56"/>
        <v>92707</v>
      </c>
      <c r="F466" s="78"/>
      <c r="G466" s="78" t="s">
        <v>332</v>
      </c>
      <c r="H466" s="78" t="s">
        <v>383</v>
      </c>
      <c r="I466" s="78"/>
      <c r="J466" s="78" t="s">
        <v>279</v>
      </c>
      <c r="K466" s="78">
        <v>1</v>
      </c>
      <c r="L466" s="78" t="s">
        <v>76</v>
      </c>
      <c r="M466" s="78">
        <f>ROUNDDOWN(VLOOKUP(J466,Sheet1!$N$32:$O$37,2,0)*1000,0)</f>
        <v>60</v>
      </c>
      <c r="O466" s="67">
        <f t="shared" si="55"/>
        <v>0.000659145088819801</v>
      </c>
      <c r="P466" s="67">
        <v>11027</v>
      </c>
    </row>
    <row r="467" spans="1:16">
      <c r="A467" s="78">
        <v>465</v>
      </c>
      <c r="B467" s="78">
        <v>11000</v>
      </c>
      <c r="C467" s="78">
        <v>6</v>
      </c>
      <c r="D467" s="78">
        <f t="shared" si="57"/>
        <v>92707</v>
      </c>
      <c r="E467" s="78">
        <f t="shared" si="56"/>
        <v>92767</v>
      </c>
      <c r="F467" s="78"/>
      <c r="G467" s="78" t="s">
        <v>334</v>
      </c>
      <c r="H467" s="78" t="s">
        <v>384</v>
      </c>
      <c r="I467" s="78"/>
      <c r="J467" s="78" t="s">
        <v>279</v>
      </c>
      <c r="K467" s="78">
        <v>1</v>
      </c>
      <c r="L467" s="78" t="s">
        <v>76</v>
      </c>
      <c r="M467" s="78">
        <f>ROUNDDOWN(VLOOKUP(J467,Sheet1!$N$32:$O$37,2,0)*1000,0)</f>
        <v>60</v>
      </c>
      <c r="O467" s="67">
        <f t="shared" ref="O467:O477" si="58">(E467-D467)/$E$438</f>
        <v>0.000659145088819801</v>
      </c>
      <c r="P467" s="67">
        <v>11028</v>
      </c>
    </row>
    <row r="468" spans="1:16">
      <c r="A468" s="78">
        <v>466</v>
      </c>
      <c r="B468" s="78">
        <v>11000</v>
      </c>
      <c r="C468" s="78">
        <v>6</v>
      </c>
      <c r="D468" s="78">
        <f t="shared" si="57"/>
        <v>92767</v>
      </c>
      <c r="E468" s="78">
        <f t="shared" ref="E468:E477" si="59">D468+M468</f>
        <v>92827</v>
      </c>
      <c r="F468" s="78"/>
      <c r="G468" s="78" t="s">
        <v>336</v>
      </c>
      <c r="H468" s="78" t="s">
        <v>385</v>
      </c>
      <c r="I468" s="78"/>
      <c r="J468" s="78" t="s">
        <v>279</v>
      </c>
      <c r="K468" s="78">
        <v>1</v>
      </c>
      <c r="L468" s="78" t="s">
        <v>76</v>
      </c>
      <c r="M468" s="78">
        <f>ROUNDDOWN(VLOOKUP(J468,Sheet1!$N$32:$O$37,2,0)*1000,0)</f>
        <v>60</v>
      </c>
      <c r="O468" s="67">
        <f t="shared" si="58"/>
        <v>0.000659145088819801</v>
      </c>
      <c r="P468" s="67">
        <v>11029</v>
      </c>
    </row>
    <row r="469" spans="1:16">
      <c r="A469" s="78">
        <v>467</v>
      </c>
      <c r="B469" s="78">
        <v>11000</v>
      </c>
      <c r="C469" s="78">
        <v>6</v>
      </c>
      <c r="D469" s="78">
        <f t="shared" si="57"/>
        <v>92827</v>
      </c>
      <c r="E469" s="78">
        <f t="shared" si="59"/>
        <v>92887</v>
      </c>
      <c r="F469" s="78"/>
      <c r="G469" s="78" t="s">
        <v>338</v>
      </c>
      <c r="H469" s="78" t="s">
        <v>386</v>
      </c>
      <c r="I469" s="78"/>
      <c r="J469" s="78" t="s">
        <v>279</v>
      </c>
      <c r="K469" s="78">
        <v>1</v>
      </c>
      <c r="L469" s="78" t="s">
        <v>76</v>
      </c>
      <c r="M469" s="78">
        <f>ROUNDDOWN(VLOOKUP(J469,Sheet1!$N$32:$O$37,2,0)*1000,0)</f>
        <v>60</v>
      </c>
      <c r="O469" s="67">
        <f t="shared" si="58"/>
        <v>0.000659145088819801</v>
      </c>
      <c r="P469" s="67">
        <v>11030</v>
      </c>
    </row>
    <row r="470" spans="1:16">
      <c r="A470" s="78">
        <v>468</v>
      </c>
      <c r="B470" s="78">
        <v>11000</v>
      </c>
      <c r="C470" s="78">
        <v>6</v>
      </c>
      <c r="D470" s="78">
        <f t="shared" si="57"/>
        <v>92887</v>
      </c>
      <c r="E470" s="78">
        <f t="shared" si="59"/>
        <v>92947</v>
      </c>
      <c r="F470" s="78"/>
      <c r="G470" s="78" t="s">
        <v>340</v>
      </c>
      <c r="H470" s="78" t="s">
        <v>387</v>
      </c>
      <c r="I470" s="78"/>
      <c r="J470" s="78" t="s">
        <v>279</v>
      </c>
      <c r="K470" s="78">
        <v>1</v>
      </c>
      <c r="L470" s="78" t="s">
        <v>76</v>
      </c>
      <c r="M470" s="78">
        <f>ROUNDDOWN(VLOOKUP(J470,Sheet1!$N$32:$O$37,2,0)*1000,0)</f>
        <v>60</v>
      </c>
      <c r="O470" s="67">
        <f t="shared" si="58"/>
        <v>0.000659145088819801</v>
      </c>
      <c r="P470" s="67">
        <v>11031</v>
      </c>
    </row>
    <row r="471" spans="1:16">
      <c r="A471" s="78">
        <v>469</v>
      </c>
      <c r="B471" s="78">
        <v>11000</v>
      </c>
      <c r="C471" s="78">
        <v>6</v>
      </c>
      <c r="D471" s="78">
        <f t="shared" ref="D471:D477" si="60">E470</f>
        <v>92947</v>
      </c>
      <c r="E471" s="78">
        <f t="shared" si="59"/>
        <v>93007</v>
      </c>
      <c r="F471" s="78"/>
      <c r="G471" s="78" t="s">
        <v>342</v>
      </c>
      <c r="H471" s="78" t="s">
        <v>388</v>
      </c>
      <c r="I471" s="78"/>
      <c r="J471" s="78" t="s">
        <v>279</v>
      </c>
      <c r="K471" s="78">
        <v>1</v>
      </c>
      <c r="L471" s="78" t="s">
        <v>76</v>
      </c>
      <c r="M471" s="78">
        <f>ROUNDDOWN(VLOOKUP(J471,Sheet1!$N$32:$O$37,2,0)*1000,0)</f>
        <v>60</v>
      </c>
      <c r="O471" s="67">
        <f t="shared" si="58"/>
        <v>0.000659145088819801</v>
      </c>
      <c r="P471" s="67">
        <v>11032</v>
      </c>
    </row>
    <row r="472" spans="1:16">
      <c r="A472" s="78">
        <v>470</v>
      </c>
      <c r="B472" s="78">
        <v>11000</v>
      </c>
      <c r="C472" s="78">
        <v>6</v>
      </c>
      <c r="D472" s="78">
        <f t="shared" si="60"/>
        <v>93007</v>
      </c>
      <c r="E472" s="78">
        <f t="shared" si="59"/>
        <v>93067</v>
      </c>
      <c r="F472" s="78"/>
      <c r="G472" s="78" t="s">
        <v>344</v>
      </c>
      <c r="H472" s="78" t="s">
        <v>389</v>
      </c>
      <c r="I472" s="78"/>
      <c r="J472" s="78" t="s">
        <v>279</v>
      </c>
      <c r="K472" s="78">
        <v>1</v>
      </c>
      <c r="L472" s="78" t="s">
        <v>76</v>
      </c>
      <c r="M472" s="78">
        <f>ROUNDDOWN(VLOOKUP(J472,Sheet1!$N$32:$O$37,2,0)*1000,0)</f>
        <v>60</v>
      </c>
      <c r="O472" s="67">
        <f t="shared" si="58"/>
        <v>0.000659145088819801</v>
      </c>
      <c r="P472" s="67">
        <v>11033</v>
      </c>
    </row>
    <row r="473" spans="1:16">
      <c r="A473" s="78">
        <v>471</v>
      </c>
      <c r="B473" s="78">
        <v>11000</v>
      </c>
      <c r="C473" s="78">
        <v>6</v>
      </c>
      <c r="D473" s="78">
        <f t="shared" si="60"/>
        <v>93067</v>
      </c>
      <c r="E473" s="78">
        <f t="shared" si="59"/>
        <v>93127</v>
      </c>
      <c r="F473" s="78"/>
      <c r="G473" s="78" t="s">
        <v>346</v>
      </c>
      <c r="H473" s="78" t="s">
        <v>390</v>
      </c>
      <c r="I473" s="78"/>
      <c r="J473" s="78" t="s">
        <v>279</v>
      </c>
      <c r="K473" s="78">
        <v>1</v>
      </c>
      <c r="L473" s="78" t="s">
        <v>76</v>
      </c>
      <c r="M473" s="78">
        <f>ROUNDDOWN(VLOOKUP(J473,Sheet1!$N$32:$O$37,2,0)*1000,0)</f>
        <v>60</v>
      </c>
      <c r="O473" s="67">
        <f t="shared" si="58"/>
        <v>0.000659145088819801</v>
      </c>
      <c r="P473" s="67">
        <v>11034</v>
      </c>
    </row>
    <row r="474" spans="1:16">
      <c r="A474" s="78">
        <v>472</v>
      </c>
      <c r="B474" s="78">
        <v>11000</v>
      </c>
      <c r="C474" s="78">
        <v>6</v>
      </c>
      <c r="D474" s="78">
        <f t="shared" si="60"/>
        <v>93127</v>
      </c>
      <c r="E474" s="78">
        <f t="shared" si="59"/>
        <v>93187</v>
      </c>
      <c r="F474" s="78"/>
      <c r="G474" s="78" t="s">
        <v>348</v>
      </c>
      <c r="H474" s="78" t="s">
        <v>391</v>
      </c>
      <c r="I474" s="78"/>
      <c r="J474" s="78" t="s">
        <v>279</v>
      </c>
      <c r="K474" s="78">
        <v>1</v>
      </c>
      <c r="L474" s="78" t="s">
        <v>76</v>
      </c>
      <c r="M474" s="78">
        <f>ROUNDDOWN(VLOOKUP(J474,Sheet1!$N$32:$O$37,2,0)*1000,0)</f>
        <v>60</v>
      </c>
      <c r="O474" s="67">
        <f t="shared" si="58"/>
        <v>0.000659145088819801</v>
      </c>
      <c r="P474" s="67">
        <v>11035</v>
      </c>
    </row>
    <row r="475" spans="1:16">
      <c r="A475" s="78">
        <v>473</v>
      </c>
      <c r="B475" s="78">
        <v>11000</v>
      </c>
      <c r="C475" s="78">
        <v>6</v>
      </c>
      <c r="D475" s="78">
        <f t="shared" si="60"/>
        <v>93187</v>
      </c>
      <c r="E475" s="78">
        <f t="shared" si="59"/>
        <v>93247</v>
      </c>
      <c r="F475" s="78"/>
      <c r="G475" s="78" t="s">
        <v>350</v>
      </c>
      <c r="H475" s="78" t="s">
        <v>392</v>
      </c>
      <c r="I475" s="78"/>
      <c r="J475" s="78" t="s">
        <v>279</v>
      </c>
      <c r="K475" s="78">
        <v>1</v>
      </c>
      <c r="L475" s="78" t="s">
        <v>76</v>
      </c>
      <c r="M475" s="78">
        <f>ROUNDDOWN(VLOOKUP(J475,Sheet1!$N$32:$O$37,2,0)*1000,0)</f>
        <v>60</v>
      </c>
      <c r="O475" s="67">
        <f t="shared" si="58"/>
        <v>0.000659145088819801</v>
      </c>
      <c r="P475" s="67">
        <v>11036</v>
      </c>
    </row>
    <row r="476" spans="1:16">
      <c r="A476" s="78">
        <v>474</v>
      </c>
      <c r="B476" s="78">
        <v>11000</v>
      </c>
      <c r="C476" s="78">
        <v>6</v>
      </c>
      <c r="D476" s="78">
        <f t="shared" si="60"/>
        <v>93247</v>
      </c>
      <c r="E476" s="78">
        <f t="shared" si="59"/>
        <v>93307</v>
      </c>
      <c r="F476" s="78"/>
      <c r="G476" s="78" t="s">
        <v>352</v>
      </c>
      <c r="H476" s="78" t="s">
        <v>393</v>
      </c>
      <c r="I476" s="78"/>
      <c r="J476" s="78" t="s">
        <v>279</v>
      </c>
      <c r="K476" s="78">
        <v>1</v>
      </c>
      <c r="L476" s="78" t="s">
        <v>76</v>
      </c>
      <c r="M476" s="78">
        <f>ROUNDDOWN(VLOOKUP(J476,Sheet1!$N$32:$O$37,2,0)*1000,0)</f>
        <v>60</v>
      </c>
      <c r="O476" s="67">
        <f t="shared" si="58"/>
        <v>0.000659145088819801</v>
      </c>
      <c r="P476" s="67">
        <v>11037</v>
      </c>
    </row>
    <row r="477" spans="1:16">
      <c r="A477" s="78">
        <v>475</v>
      </c>
      <c r="B477" s="78">
        <v>11000</v>
      </c>
      <c r="C477" s="78">
        <v>6</v>
      </c>
      <c r="D477" s="78">
        <f t="shared" si="60"/>
        <v>93307</v>
      </c>
      <c r="E477" s="78">
        <f t="shared" si="59"/>
        <v>93367</v>
      </c>
      <c r="F477" s="78"/>
      <c r="G477" s="78" t="s">
        <v>354</v>
      </c>
      <c r="H477" s="78" t="s">
        <v>394</v>
      </c>
      <c r="I477" s="78"/>
      <c r="J477" s="78" t="s">
        <v>279</v>
      </c>
      <c r="K477" s="78">
        <v>1</v>
      </c>
      <c r="L477" s="78" t="s">
        <v>76</v>
      </c>
      <c r="M477" s="78">
        <f>ROUNDDOWN(VLOOKUP(J477,Sheet1!$N$32:$O$37,2,0)*1000,0)</f>
        <v>60</v>
      </c>
      <c r="O477" s="67">
        <f t="shared" si="58"/>
        <v>0.000659145088819801</v>
      </c>
      <c r="P477" s="67">
        <v>11038</v>
      </c>
    </row>
    <row r="478" spans="1:16">
      <c r="A478" s="78">
        <v>476</v>
      </c>
      <c r="B478" s="78">
        <v>11000</v>
      </c>
      <c r="C478" s="78">
        <v>6</v>
      </c>
      <c r="D478" s="78">
        <f t="shared" ref="D478:D513" si="61">E477</f>
        <v>93367</v>
      </c>
      <c r="E478" s="78">
        <f t="shared" ref="E478:E513" si="62">D478+M478</f>
        <v>93427</v>
      </c>
      <c r="F478" s="78"/>
      <c r="G478" s="78" t="s">
        <v>346</v>
      </c>
      <c r="H478" s="78" t="s">
        <v>395</v>
      </c>
      <c r="I478" s="78"/>
      <c r="J478" s="78" t="s">
        <v>279</v>
      </c>
      <c r="K478" s="78">
        <v>1</v>
      </c>
      <c r="L478" s="78" t="s">
        <v>76</v>
      </c>
      <c r="M478" s="78">
        <f>ROUNDDOWN(VLOOKUP(J478,Sheet1!$N$32:$O$37,2,0)*1000,0)</f>
        <v>60</v>
      </c>
      <c r="O478" s="67">
        <f t="shared" ref="O478:O513" si="63">(E478-D478)/$E$438</f>
        <v>0.000659145088819801</v>
      </c>
      <c r="P478" s="67">
        <v>11034</v>
      </c>
    </row>
    <row r="479" spans="1:16">
      <c r="A479" s="78">
        <v>477</v>
      </c>
      <c r="B479" s="78">
        <v>11000</v>
      </c>
      <c r="C479" s="78">
        <v>6</v>
      </c>
      <c r="D479" s="78">
        <f t="shared" si="61"/>
        <v>93427</v>
      </c>
      <c r="E479" s="78">
        <f t="shared" si="62"/>
        <v>93487</v>
      </c>
      <c r="F479" s="78"/>
      <c r="G479" s="78" t="s">
        <v>348</v>
      </c>
      <c r="H479" s="78" t="s">
        <v>396</v>
      </c>
      <c r="I479" s="78"/>
      <c r="J479" s="78" t="s">
        <v>279</v>
      </c>
      <c r="K479" s="78">
        <v>1</v>
      </c>
      <c r="L479" s="78" t="s">
        <v>76</v>
      </c>
      <c r="M479" s="78">
        <f>ROUNDDOWN(VLOOKUP(J479,Sheet1!$N$32:$O$37,2,0)*1000,0)</f>
        <v>60</v>
      </c>
      <c r="O479" s="67">
        <f t="shared" si="63"/>
        <v>0.000659145088819801</v>
      </c>
      <c r="P479" s="67">
        <v>11035</v>
      </c>
    </row>
    <row r="480" spans="1:16">
      <c r="A480" s="78">
        <v>478</v>
      </c>
      <c r="B480" s="78">
        <v>11000</v>
      </c>
      <c r="C480" s="78">
        <v>6</v>
      </c>
      <c r="D480" s="78">
        <f t="shared" si="61"/>
        <v>93487</v>
      </c>
      <c r="E480" s="78">
        <f t="shared" si="62"/>
        <v>93547</v>
      </c>
      <c r="F480" s="78"/>
      <c r="G480" s="78" t="s">
        <v>350</v>
      </c>
      <c r="H480" s="78" t="s">
        <v>397</v>
      </c>
      <c r="I480" s="78"/>
      <c r="J480" s="78" t="s">
        <v>279</v>
      </c>
      <c r="K480" s="78">
        <v>1</v>
      </c>
      <c r="L480" s="78" t="s">
        <v>76</v>
      </c>
      <c r="M480" s="78">
        <f>ROUNDDOWN(VLOOKUP(J480,Sheet1!$N$32:$O$37,2,0)*1000,0)</f>
        <v>60</v>
      </c>
      <c r="O480" s="67">
        <f t="shared" si="63"/>
        <v>0.000659145088819801</v>
      </c>
      <c r="P480" s="67">
        <v>11036</v>
      </c>
    </row>
    <row r="481" spans="1:20">
      <c r="A481" s="78">
        <v>479</v>
      </c>
      <c r="B481" s="78">
        <v>11000</v>
      </c>
      <c r="C481" s="78">
        <v>6</v>
      </c>
      <c r="D481" s="78">
        <f t="shared" si="61"/>
        <v>93547</v>
      </c>
      <c r="E481" s="78">
        <f t="shared" si="62"/>
        <v>93607</v>
      </c>
      <c r="F481" s="78"/>
      <c r="G481" s="78" t="s">
        <v>352</v>
      </c>
      <c r="H481" s="78" t="s">
        <v>398</v>
      </c>
      <c r="I481" s="78"/>
      <c r="J481" s="78" t="s">
        <v>279</v>
      </c>
      <c r="K481" s="78">
        <v>1</v>
      </c>
      <c r="L481" s="78" t="s">
        <v>76</v>
      </c>
      <c r="M481" s="78">
        <f>ROUNDDOWN(VLOOKUP(J481,Sheet1!$N$32:$O$37,2,0)*1000,0)</f>
        <v>60</v>
      </c>
      <c r="O481" s="67">
        <f t="shared" si="63"/>
        <v>0.000659145088819801</v>
      </c>
      <c r="P481" s="67">
        <v>11037</v>
      </c>
    </row>
    <row r="482" spans="1:20">
      <c r="A482" s="78">
        <v>480</v>
      </c>
      <c r="B482" s="78">
        <v>11000</v>
      </c>
      <c r="C482" s="78">
        <v>6</v>
      </c>
      <c r="D482" s="78">
        <f t="shared" si="61"/>
        <v>93607</v>
      </c>
      <c r="E482" s="78">
        <f t="shared" si="62"/>
        <v>93667</v>
      </c>
      <c r="F482" s="78"/>
      <c r="G482" s="78" t="s">
        <v>354</v>
      </c>
      <c r="H482" s="78" t="s">
        <v>399</v>
      </c>
      <c r="I482" s="78"/>
      <c r="J482" s="78" t="s">
        <v>279</v>
      </c>
      <c r="K482" s="78">
        <v>1</v>
      </c>
      <c r="L482" s="78" t="s">
        <v>76</v>
      </c>
      <c r="M482" s="78">
        <f>ROUNDDOWN(VLOOKUP(J482,Sheet1!$N$32:$O$37,2,0)*1000,0)</f>
        <v>60</v>
      </c>
      <c r="O482" s="67">
        <f t="shared" si="63"/>
        <v>0.000659145088819801</v>
      </c>
      <c r="P482" s="67">
        <v>11038</v>
      </c>
    </row>
    <row r="483" spans="1:20">
      <c r="A483" s="78">
        <v>481</v>
      </c>
      <c r="B483" s="78">
        <v>11000</v>
      </c>
      <c r="C483" s="78">
        <v>6</v>
      </c>
      <c r="D483" s="78">
        <f t="shared" si="61"/>
        <v>93667</v>
      </c>
      <c r="E483" s="78">
        <f t="shared" si="62"/>
        <v>93727</v>
      </c>
      <c r="F483" s="78"/>
      <c r="G483" s="78">
        <f>VLOOKUP(H483&amp;I483,Sheet2!$J:$K,2,0)</f>
        <v>98020701</v>
      </c>
      <c r="H483" s="70" t="s">
        <v>400</v>
      </c>
      <c r="I483" s="78"/>
      <c r="J483" s="78" t="s">
        <v>279</v>
      </c>
      <c r="K483" s="78">
        <v>1</v>
      </c>
      <c r="L483" s="78" t="s">
        <v>76</v>
      </c>
      <c r="M483" s="78">
        <f>ROUNDDOWN(VLOOKUP(J483,Sheet1!$N$32:$O$37,2,0)*1000,0)</f>
        <v>60</v>
      </c>
      <c r="N483" s="67">
        <f>SUM(O483:O565)</f>
        <v>0.865261083960311</v>
      </c>
      <c r="O483" s="67">
        <f t="shared" si="63"/>
        <v>0.000659145088819801</v>
      </c>
      <c r="P483" s="67">
        <v>11000</v>
      </c>
      <c r="R483">
        <v>4992</v>
      </c>
      <c r="S483">
        <f>39+44</f>
        <v>83</v>
      </c>
      <c r="T483">
        <f>R483/S483</f>
        <v>60.144578313253</v>
      </c>
    </row>
    <row r="484" spans="1:20">
      <c r="A484" s="78">
        <v>482</v>
      </c>
      <c r="B484" s="78">
        <v>11000</v>
      </c>
      <c r="C484" s="78">
        <v>6</v>
      </c>
      <c r="D484" s="78">
        <f t="shared" si="61"/>
        <v>93727</v>
      </c>
      <c r="E484" s="78">
        <f t="shared" si="62"/>
        <v>93787</v>
      </c>
      <c r="F484" s="78"/>
      <c r="G484" s="78">
        <f>VLOOKUP(H484&amp;I484,Sheet2!$J:$K,2,0)</f>
        <v>98020702</v>
      </c>
      <c r="H484" s="78" t="s">
        <v>401</v>
      </c>
      <c r="I484" s="78"/>
      <c r="J484" s="78" t="s">
        <v>279</v>
      </c>
      <c r="K484" s="78">
        <v>1</v>
      </c>
      <c r="L484" s="78" t="s">
        <v>76</v>
      </c>
      <c r="M484" s="78">
        <f>ROUNDDOWN(VLOOKUP(J484,Sheet1!$N$32:$O$37,2,0)*1000,0)</f>
        <v>60</v>
      </c>
      <c r="O484" s="67">
        <f t="shared" si="63"/>
        <v>0.000659145088819801</v>
      </c>
      <c r="P484" s="67">
        <v>11001</v>
      </c>
    </row>
    <row r="485" spans="1:20">
      <c r="A485" s="78">
        <v>483</v>
      </c>
      <c r="B485" s="78">
        <v>11000</v>
      </c>
      <c r="C485" s="78">
        <v>6</v>
      </c>
      <c r="D485" s="78">
        <f t="shared" si="61"/>
        <v>93787</v>
      </c>
      <c r="E485" s="78">
        <f t="shared" si="62"/>
        <v>93847</v>
      </c>
      <c r="F485" s="78"/>
      <c r="G485" s="78">
        <f>VLOOKUP(H485&amp;I485,Sheet2!$J:$K,2,0)</f>
        <v>98050101</v>
      </c>
      <c r="H485" s="78" t="s">
        <v>402</v>
      </c>
      <c r="I485" s="78"/>
      <c r="J485" s="78" t="s">
        <v>279</v>
      </c>
      <c r="K485" s="78">
        <v>1</v>
      </c>
      <c r="L485" s="78" t="s">
        <v>76</v>
      </c>
      <c r="M485" s="78">
        <f>ROUNDDOWN(VLOOKUP(J485,Sheet1!$N$32:$O$37,2,0)*1000,0)</f>
        <v>60</v>
      </c>
      <c r="O485" s="67">
        <f t="shared" si="63"/>
        <v>0.000659145088819801</v>
      </c>
      <c r="P485" s="67">
        <v>11002</v>
      </c>
    </row>
    <row r="486" spans="1:20">
      <c r="A486" s="78">
        <v>484</v>
      </c>
      <c r="B486" s="78">
        <v>11000</v>
      </c>
      <c r="C486" s="78">
        <v>6</v>
      </c>
      <c r="D486" s="78">
        <f t="shared" si="61"/>
        <v>93847</v>
      </c>
      <c r="E486" s="78">
        <f t="shared" si="62"/>
        <v>93907</v>
      </c>
      <c r="F486" s="78"/>
      <c r="G486" s="78">
        <f>VLOOKUP(H486&amp;I486,Sheet2!$J:$K,2,0)</f>
        <v>98050102</v>
      </c>
      <c r="H486" s="78" t="s">
        <v>403</v>
      </c>
      <c r="I486" s="78"/>
      <c r="J486" s="78" t="s">
        <v>279</v>
      </c>
      <c r="K486" s="78">
        <v>1</v>
      </c>
      <c r="L486" s="78" t="s">
        <v>76</v>
      </c>
      <c r="M486" s="78">
        <f>ROUNDDOWN(VLOOKUP(J486,Sheet1!$N$32:$O$37,2,0)*1000,0)</f>
        <v>60</v>
      </c>
      <c r="O486" s="67">
        <f t="shared" si="63"/>
        <v>0.000659145088819801</v>
      </c>
      <c r="P486" s="67">
        <v>11003</v>
      </c>
    </row>
    <row r="487" spans="1:20">
      <c r="A487" s="78">
        <v>485</v>
      </c>
      <c r="B487" s="78">
        <v>11000</v>
      </c>
      <c r="C487" s="78">
        <v>6</v>
      </c>
      <c r="D487" s="78">
        <f t="shared" si="61"/>
        <v>93907</v>
      </c>
      <c r="E487" s="78">
        <f t="shared" si="62"/>
        <v>93967</v>
      </c>
      <c r="F487" s="78"/>
      <c r="G487" s="78">
        <f>VLOOKUP(H487&amp;I487,Sheet2!$J:$K,2,0)</f>
        <v>98050103</v>
      </c>
      <c r="H487" s="78" t="s">
        <v>404</v>
      </c>
      <c r="I487" s="78"/>
      <c r="J487" s="78" t="s">
        <v>279</v>
      </c>
      <c r="K487" s="78">
        <v>1</v>
      </c>
      <c r="L487" s="78" t="s">
        <v>76</v>
      </c>
      <c r="M487" s="78">
        <f>ROUNDDOWN(VLOOKUP(J487,Sheet1!$N$32:$O$37,2,0)*1000,0)</f>
        <v>60</v>
      </c>
      <c r="O487" s="67">
        <f t="shared" si="63"/>
        <v>0.000659145088819801</v>
      </c>
      <c r="P487" s="67">
        <v>11004</v>
      </c>
    </row>
    <row r="488" spans="1:20">
      <c r="A488" s="78">
        <v>486</v>
      </c>
      <c r="B488" s="78">
        <v>11000</v>
      </c>
      <c r="C488" s="78">
        <v>6</v>
      </c>
      <c r="D488" s="78">
        <f t="shared" si="61"/>
        <v>93967</v>
      </c>
      <c r="E488" s="78">
        <f t="shared" si="62"/>
        <v>94027</v>
      </c>
      <c r="F488" s="78"/>
      <c r="G488" s="78">
        <f>VLOOKUP(H488&amp;I488,Sheet2!$J:$K,2,0)</f>
        <v>98050104</v>
      </c>
      <c r="H488" s="78" t="s">
        <v>405</v>
      </c>
      <c r="I488" s="78"/>
      <c r="J488" s="78" t="s">
        <v>279</v>
      </c>
      <c r="K488" s="78">
        <v>1</v>
      </c>
      <c r="L488" s="78" t="s">
        <v>76</v>
      </c>
      <c r="M488" s="78">
        <f>ROUNDDOWN(VLOOKUP(J488,Sheet1!$N$32:$O$37,2,0)*1000,0)</f>
        <v>60</v>
      </c>
      <c r="O488" s="67">
        <f t="shared" si="63"/>
        <v>0.000659145088819801</v>
      </c>
      <c r="P488" s="67">
        <v>11005</v>
      </c>
    </row>
    <row r="489" spans="1:20">
      <c r="A489" s="78">
        <v>487</v>
      </c>
      <c r="B489" s="78">
        <v>11000</v>
      </c>
      <c r="C489" s="78">
        <v>6</v>
      </c>
      <c r="D489" s="78">
        <f t="shared" si="61"/>
        <v>94027</v>
      </c>
      <c r="E489" s="78">
        <f t="shared" si="62"/>
        <v>94087</v>
      </c>
      <c r="F489" s="78"/>
      <c r="G489" s="78">
        <f>VLOOKUP(H489&amp;I489,Sheet2!$J:$K,2,0)</f>
        <v>98050105</v>
      </c>
      <c r="H489" s="78" t="s">
        <v>406</v>
      </c>
      <c r="I489" s="78"/>
      <c r="J489" s="78" t="s">
        <v>279</v>
      </c>
      <c r="K489" s="78">
        <v>1</v>
      </c>
      <c r="L489" s="78" t="s">
        <v>76</v>
      </c>
      <c r="M489" s="78">
        <f>ROUNDDOWN(VLOOKUP(J489,Sheet1!$N$32:$O$37,2,0)*1000,0)</f>
        <v>60</v>
      </c>
      <c r="O489" s="67">
        <f t="shared" si="63"/>
        <v>0.000659145088819801</v>
      </c>
      <c r="P489" s="67">
        <v>11006</v>
      </c>
    </row>
    <row r="490" spans="1:20">
      <c r="A490" s="78">
        <v>488</v>
      </c>
      <c r="B490" s="78">
        <v>11000</v>
      </c>
      <c r="C490" s="78">
        <v>6</v>
      </c>
      <c r="D490" s="78">
        <f t="shared" si="61"/>
        <v>94087</v>
      </c>
      <c r="E490" s="78">
        <f t="shared" si="62"/>
        <v>94147</v>
      </c>
      <c r="F490" s="78"/>
      <c r="G490" s="78">
        <f>VLOOKUP(H490&amp;I490,Sheet2!$J:$K,2,0)</f>
        <v>98060201</v>
      </c>
      <c r="H490" s="78" t="s">
        <v>407</v>
      </c>
      <c r="I490" s="78"/>
      <c r="J490" s="78" t="s">
        <v>279</v>
      </c>
      <c r="K490" s="78">
        <v>1</v>
      </c>
      <c r="L490" s="78" t="s">
        <v>76</v>
      </c>
      <c r="M490" s="78">
        <f>ROUNDDOWN(VLOOKUP(J490,Sheet1!$N$32:$O$37,2,0)*1000,0)</f>
        <v>60</v>
      </c>
      <c r="O490" s="67">
        <f t="shared" si="63"/>
        <v>0.000659145088819801</v>
      </c>
      <c r="P490" s="67">
        <v>11007</v>
      </c>
    </row>
    <row r="491" spans="1:20">
      <c r="A491" s="78">
        <v>489</v>
      </c>
      <c r="B491" s="78">
        <v>11000</v>
      </c>
      <c r="C491" s="78">
        <v>6</v>
      </c>
      <c r="D491" s="78">
        <f t="shared" si="61"/>
        <v>94147</v>
      </c>
      <c r="E491" s="78">
        <f t="shared" si="62"/>
        <v>94207</v>
      </c>
      <c r="F491" s="78"/>
      <c r="G491" s="78">
        <f>VLOOKUP(H491&amp;I491,Sheet2!$J:$K,2,0)</f>
        <v>98060202</v>
      </c>
      <c r="H491" s="78" t="s">
        <v>408</v>
      </c>
      <c r="I491" s="78"/>
      <c r="J491" s="78" t="s">
        <v>279</v>
      </c>
      <c r="K491" s="78">
        <v>1</v>
      </c>
      <c r="L491" s="78" t="s">
        <v>76</v>
      </c>
      <c r="M491" s="78">
        <f>ROUNDDOWN(VLOOKUP(J491,Sheet1!$N$32:$O$37,2,0)*1000,0)</f>
        <v>60</v>
      </c>
      <c r="O491" s="67">
        <f t="shared" si="63"/>
        <v>0.000659145088819801</v>
      </c>
      <c r="P491" s="67">
        <v>11008</v>
      </c>
    </row>
    <row r="492" spans="1:20">
      <c r="A492" s="78">
        <v>490</v>
      </c>
      <c r="B492" s="78">
        <v>11000</v>
      </c>
      <c r="C492" s="78">
        <v>6</v>
      </c>
      <c r="D492" s="78">
        <f t="shared" si="61"/>
        <v>94207</v>
      </c>
      <c r="E492" s="78">
        <f t="shared" si="62"/>
        <v>94267</v>
      </c>
      <c r="F492" s="78"/>
      <c r="G492" s="78">
        <f>VLOOKUP(H492&amp;I492,Sheet2!$J:$K,2,0)</f>
        <v>98010301</v>
      </c>
      <c r="H492" s="78" t="s">
        <v>409</v>
      </c>
      <c r="I492" s="78"/>
      <c r="J492" s="78" t="s">
        <v>279</v>
      </c>
      <c r="K492" s="78">
        <v>1</v>
      </c>
      <c r="L492" s="78" t="s">
        <v>76</v>
      </c>
      <c r="M492" s="78">
        <f>ROUNDDOWN(VLOOKUP(J492,Sheet1!$N$32:$O$37,2,0)*1000,0)</f>
        <v>60</v>
      </c>
      <c r="O492" s="67">
        <f t="shared" si="63"/>
        <v>0.000659145088819801</v>
      </c>
      <c r="P492" s="67">
        <v>11009</v>
      </c>
    </row>
    <row r="493" spans="1:20">
      <c r="A493" s="78">
        <v>491</v>
      </c>
      <c r="B493" s="78">
        <v>11000</v>
      </c>
      <c r="C493" s="78">
        <v>6</v>
      </c>
      <c r="D493" s="78">
        <f t="shared" si="61"/>
        <v>94267</v>
      </c>
      <c r="E493" s="78">
        <f t="shared" si="62"/>
        <v>94327</v>
      </c>
      <c r="F493" s="78"/>
      <c r="G493" s="78">
        <f>VLOOKUP(H493&amp;I493,Sheet2!$J:$K,2,0)</f>
        <v>98010306</v>
      </c>
      <c r="H493" s="78" t="s">
        <v>410</v>
      </c>
      <c r="I493" s="78"/>
      <c r="J493" s="78" t="s">
        <v>279</v>
      </c>
      <c r="K493" s="78">
        <v>1</v>
      </c>
      <c r="L493" s="78" t="s">
        <v>76</v>
      </c>
      <c r="M493" s="78">
        <f>ROUNDDOWN(VLOOKUP(J493,Sheet1!$N$32:$O$37,2,0)*1000,0)</f>
        <v>60</v>
      </c>
      <c r="O493" s="67">
        <f t="shared" si="63"/>
        <v>0.000659145088819801</v>
      </c>
      <c r="P493" s="67">
        <v>11010</v>
      </c>
    </row>
    <row r="494" spans="1:20">
      <c r="A494" s="78">
        <v>492</v>
      </c>
      <c r="B494" s="78">
        <v>11000</v>
      </c>
      <c r="C494" s="78">
        <v>6</v>
      </c>
      <c r="D494" s="78">
        <f t="shared" si="61"/>
        <v>94327</v>
      </c>
      <c r="E494" s="78">
        <f t="shared" si="62"/>
        <v>94387</v>
      </c>
      <c r="F494" s="78"/>
      <c r="G494" s="78">
        <f>VLOOKUP(H494&amp;I494,Sheet2!$J:$K,2,0)</f>
        <v>98010401</v>
      </c>
      <c r="H494" s="78" t="s">
        <v>411</v>
      </c>
      <c r="I494" s="78"/>
      <c r="J494" s="78" t="s">
        <v>279</v>
      </c>
      <c r="K494" s="78">
        <v>1</v>
      </c>
      <c r="L494" s="78" t="s">
        <v>76</v>
      </c>
      <c r="M494" s="78">
        <f>ROUNDDOWN(VLOOKUP(J494,Sheet1!$N$32:$O$37,2,0)*1000,0)</f>
        <v>60</v>
      </c>
      <c r="O494" s="67">
        <f t="shared" si="63"/>
        <v>0.000659145088819801</v>
      </c>
      <c r="P494" s="67">
        <v>11011</v>
      </c>
    </row>
    <row r="495" spans="1:20">
      <c r="A495" s="78">
        <v>493</v>
      </c>
      <c r="B495" s="78">
        <v>11000</v>
      </c>
      <c r="C495" s="78">
        <v>6</v>
      </c>
      <c r="D495" s="78">
        <f t="shared" si="61"/>
        <v>94387</v>
      </c>
      <c r="E495" s="78">
        <f t="shared" si="62"/>
        <v>94447</v>
      </c>
      <c r="F495" s="78"/>
      <c r="G495" s="78">
        <f>VLOOKUP(H495&amp;I495,Sheet2!$J:$K,2,0)</f>
        <v>98010402</v>
      </c>
      <c r="H495" s="78" t="s">
        <v>412</v>
      </c>
      <c r="I495" s="78"/>
      <c r="J495" s="78" t="s">
        <v>279</v>
      </c>
      <c r="K495" s="78">
        <v>1</v>
      </c>
      <c r="L495" s="78" t="s">
        <v>76</v>
      </c>
      <c r="M495" s="78">
        <f>ROUNDDOWN(VLOOKUP(J495,Sheet1!$N$32:$O$37,2,0)*1000,0)</f>
        <v>60</v>
      </c>
      <c r="O495" s="67">
        <f t="shared" si="63"/>
        <v>0.000659145088819801</v>
      </c>
      <c r="P495" s="67">
        <v>11012</v>
      </c>
    </row>
    <row r="496" spans="1:20">
      <c r="A496" s="78">
        <v>494</v>
      </c>
      <c r="B496" s="78">
        <v>11000</v>
      </c>
      <c r="C496" s="78">
        <v>6</v>
      </c>
      <c r="D496" s="78">
        <f t="shared" si="61"/>
        <v>94447</v>
      </c>
      <c r="E496" s="78">
        <f t="shared" si="62"/>
        <v>94507</v>
      </c>
      <c r="F496" s="78"/>
      <c r="G496" s="78">
        <f>VLOOKUP(H496&amp;I496,Sheet2!$J:$K,2,0)</f>
        <v>98130101</v>
      </c>
      <c r="H496" s="78" t="s">
        <v>413</v>
      </c>
      <c r="I496" s="78"/>
      <c r="J496" s="78" t="s">
        <v>279</v>
      </c>
      <c r="K496" s="78">
        <v>1</v>
      </c>
      <c r="L496" s="78" t="s">
        <v>76</v>
      </c>
      <c r="M496" s="78">
        <f>ROUNDDOWN(VLOOKUP(J496,Sheet1!$N$32:$O$37,2,0)*1000,0)</f>
        <v>60</v>
      </c>
      <c r="O496" s="67">
        <f t="shared" si="63"/>
        <v>0.000659145088819801</v>
      </c>
      <c r="P496" s="67">
        <v>11013</v>
      </c>
    </row>
    <row r="497" spans="1:16">
      <c r="A497" s="78">
        <v>495</v>
      </c>
      <c r="B497" s="78">
        <v>11000</v>
      </c>
      <c r="C497" s="78">
        <v>6</v>
      </c>
      <c r="D497" s="78">
        <f t="shared" si="61"/>
        <v>94507</v>
      </c>
      <c r="E497" s="78">
        <f t="shared" si="62"/>
        <v>94567</v>
      </c>
      <c r="F497" s="78"/>
      <c r="G497" s="78">
        <f>VLOOKUP(H497&amp;I497,Sheet2!$J:$K,2,0)</f>
        <v>98130102</v>
      </c>
      <c r="H497" s="78" t="s">
        <v>414</v>
      </c>
      <c r="I497" s="78"/>
      <c r="J497" s="78" t="s">
        <v>279</v>
      </c>
      <c r="K497" s="78">
        <v>1</v>
      </c>
      <c r="L497" s="78" t="s">
        <v>76</v>
      </c>
      <c r="M497" s="78">
        <f>ROUNDDOWN(VLOOKUP(J497,Sheet1!$N$32:$O$37,2,0)*1000,0)</f>
        <v>60</v>
      </c>
      <c r="O497" s="67">
        <f t="shared" si="63"/>
        <v>0.000659145088819801</v>
      </c>
      <c r="P497" s="67">
        <v>11014</v>
      </c>
    </row>
    <row r="498" spans="1:16">
      <c r="A498" s="78">
        <v>496</v>
      </c>
      <c r="B498" s="78">
        <v>11000</v>
      </c>
      <c r="C498" s="78">
        <v>6</v>
      </c>
      <c r="D498" s="78">
        <f t="shared" si="61"/>
        <v>94567</v>
      </c>
      <c r="E498" s="78">
        <f t="shared" si="62"/>
        <v>94627</v>
      </c>
      <c r="F498" s="78"/>
      <c r="G498" s="78">
        <f>VLOOKUP(H498&amp;I498,Sheet2!$J:$K,2,0)</f>
        <v>98130103</v>
      </c>
      <c r="H498" s="78" t="s">
        <v>415</v>
      </c>
      <c r="I498" s="78"/>
      <c r="J498" s="78" t="s">
        <v>279</v>
      </c>
      <c r="K498" s="78">
        <v>1</v>
      </c>
      <c r="L498" s="78" t="s">
        <v>76</v>
      </c>
      <c r="M498" s="78">
        <f>ROUNDDOWN(VLOOKUP(J498,Sheet1!$N$32:$O$37,2,0)*1000,0)</f>
        <v>60</v>
      </c>
      <c r="O498" s="67">
        <f t="shared" si="63"/>
        <v>0.000659145088819801</v>
      </c>
      <c r="P498" s="67">
        <v>11015</v>
      </c>
    </row>
    <row r="499" spans="1:16">
      <c r="A499" s="78">
        <v>497</v>
      </c>
      <c r="B499" s="78">
        <v>11000</v>
      </c>
      <c r="C499" s="78">
        <v>6</v>
      </c>
      <c r="D499" s="78">
        <f t="shared" si="61"/>
        <v>94627</v>
      </c>
      <c r="E499" s="78">
        <f t="shared" si="62"/>
        <v>94687</v>
      </c>
      <c r="F499" s="78"/>
      <c r="G499" s="78">
        <f>VLOOKUP(H499&amp;I499,Sheet2!$J:$K,2,0)</f>
        <v>98130201</v>
      </c>
      <c r="H499" s="78" t="s">
        <v>416</v>
      </c>
      <c r="I499" s="78"/>
      <c r="J499" s="78" t="s">
        <v>279</v>
      </c>
      <c r="K499" s="78">
        <v>1</v>
      </c>
      <c r="L499" s="78" t="s">
        <v>76</v>
      </c>
      <c r="M499" s="78">
        <f>ROUNDDOWN(VLOOKUP(J499,Sheet1!$N$32:$O$37,2,0)*1000,0)</f>
        <v>60</v>
      </c>
      <c r="O499" s="67">
        <f t="shared" si="63"/>
        <v>0.000659145088819801</v>
      </c>
      <c r="P499" s="67">
        <v>11016</v>
      </c>
    </row>
    <row r="500" spans="1:16">
      <c r="A500" s="78">
        <v>498</v>
      </c>
      <c r="B500" s="78">
        <v>11000</v>
      </c>
      <c r="C500" s="78">
        <v>6</v>
      </c>
      <c r="D500" s="78">
        <f t="shared" si="61"/>
        <v>94687</v>
      </c>
      <c r="E500" s="78">
        <f t="shared" si="62"/>
        <v>94747</v>
      </c>
      <c r="F500" s="78"/>
      <c r="G500" s="78">
        <f>VLOOKUP(H500&amp;I500,Sheet2!$J:$K,2,0)</f>
        <v>98130202</v>
      </c>
      <c r="H500" s="78" t="s">
        <v>417</v>
      </c>
      <c r="I500" s="78"/>
      <c r="J500" s="78" t="s">
        <v>279</v>
      </c>
      <c r="K500" s="78">
        <v>1</v>
      </c>
      <c r="L500" s="78" t="s">
        <v>76</v>
      </c>
      <c r="M500" s="78">
        <f>ROUNDDOWN(VLOOKUP(J500,Sheet1!$N$32:$O$37,2,0)*1000,0)</f>
        <v>60</v>
      </c>
      <c r="O500" s="67">
        <f t="shared" si="63"/>
        <v>0.000659145088819801</v>
      </c>
      <c r="P500" s="67">
        <v>11017</v>
      </c>
    </row>
    <row r="501" spans="1:16">
      <c r="A501" s="78">
        <v>499</v>
      </c>
      <c r="B501" s="78">
        <v>11000</v>
      </c>
      <c r="C501" s="78">
        <v>6</v>
      </c>
      <c r="D501" s="78">
        <f t="shared" si="61"/>
        <v>94747</v>
      </c>
      <c r="E501" s="78">
        <f t="shared" si="62"/>
        <v>94807</v>
      </c>
      <c r="F501" s="78"/>
      <c r="G501" s="78">
        <f>VLOOKUP(H501&amp;I501,Sheet2!$J:$K,2,0)</f>
        <v>98150101</v>
      </c>
      <c r="H501" s="78" t="s">
        <v>418</v>
      </c>
      <c r="I501" s="78"/>
      <c r="J501" s="78" t="s">
        <v>279</v>
      </c>
      <c r="K501" s="78">
        <v>1</v>
      </c>
      <c r="L501" s="78" t="s">
        <v>76</v>
      </c>
      <c r="M501" s="78">
        <f>ROUNDDOWN(VLOOKUP(J501,Sheet1!$N$32:$O$37,2,0)*1000,0)</f>
        <v>60</v>
      </c>
      <c r="O501" s="67">
        <f t="shared" si="63"/>
        <v>0.000659145088819801</v>
      </c>
      <c r="P501" s="67">
        <v>11018</v>
      </c>
    </row>
    <row r="502" spans="1:16">
      <c r="A502" s="78">
        <v>500</v>
      </c>
      <c r="B502" s="78">
        <v>11000</v>
      </c>
      <c r="C502" s="78">
        <v>6</v>
      </c>
      <c r="D502" s="78">
        <f t="shared" si="61"/>
        <v>94807</v>
      </c>
      <c r="E502" s="78">
        <f t="shared" si="62"/>
        <v>94867</v>
      </c>
      <c r="F502" s="78"/>
      <c r="G502" s="78">
        <f>VLOOKUP(H502&amp;I502,Sheet2!$J:$K,2,0)</f>
        <v>98150102</v>
      </c>
      <c r="H502" s="78" t="s">
        <v>419</v>
      </c>
      <c r="I502" s="78"/>
      <c r="J502" s="78" t="s">
        <v>279</v>
      </c>
      <c r="K502" s="78">
        <v>1</v>
      </c>
      <c r="L502" s="78" t="s">
        <v>76</v>
      </c>
      <c r="M502" s="78">
        <f>ROUNDDOWN(VLOOKUP(J502,Sheet1!$N$32:$O$37,2,0)*1000,0)</f>
        <v>60</v>
      </c>
      <c r="O502" s="67">
        <f t="shared" si="63"/>
        <v>0.000659145088819801</v>
      </c>
      <c r="P502" s="67">
        <v>11019</v>
      </c>
    </row>
    <row r="503" spans="1:16">
      <c r="A503" s="78">
        <v>501</v>
      </c>
      <c r="B503" s="78">
        <v>11000</v>
      </c>
      <c r="C503" s="78">
        <v>6</v>
      </c>
      <c r="D503" s="78">
        <f t="shared" si="61"/>
        <v>94867</v>
      </c>
      <c r="E503" s="78">
        <f t="shared" si="62"/>
        <v>94927</v>
      </c>
      <c r="F503" s="78"/>
      <c r="G503" s="78">
        <f>VLOOKUP(H503&amp;I503,Sheet2!$J:$K,2,0)</f>
        <v>98150103</v>
      </c>
      <c r="H503" s="78" t="s">
        <v>420</v>
      </c>
      <c r="I503" s="78"/>
      <c r="J503" s="78" t="s">
        <v>279</v>
      </c>
      <c r="K503" s="78">
        <v>1</v>
      </c>
      <c r="L503" s="78" t="s">
        <v>76</v>
      </c>
      <c r="M503" s="78">
        <f>ROUNDDOWN(VLOOKUP(J503,Sheet1!$N$32:$O$37,2,0)*1000,0)</f>
        <v>60</v>
      </c>
      <c r="O503" s="67">
        <f t="shared" si="63"/>
        <v>0.000659145088819801</v>
      </c>
      <c r="P503" s="67">
        <v>11020</v>
      </c>
    </row>
    <row r="504" spans="1:16">
      <c r="A504" s="78">
        <v>502</v>
      </c>
      <c r="B504" s="78">
        <v>11000</v>
      </c>
      <c r="C504" s="78">
        <v>6</v>
      </c>
      <c r="D504" s="78">
        <f t="shared" si="61"/>
        <v>94927</v>
      </c>
      <c r="E504" s="78">
        <f t="shared" si="62"/>
        <v>94987</v>
      </c>
      <c r="F504" s="78"/>
      <c r="G504" s="78">
        <f>VLOOKUP(H504&amp;I504,Sheet2!$J:$K,2,0)</f>
        <v>98100301</v>
      </c>
      <c r="H504" s="78" t="s">
        <v>421</v>
      </c>
      <c r="I504" s="78"/>
      <c r="J504" s="78" t="s">
        <v>279</v>
      </c>
      <c r="K504" s="78">
        <v>1</v>
      </c>
      <c r="L504" s="78" t="s">
        <v>76</v>
      </c>
      <c r="M504" s="78">
        <f>ROUNDDOWN(VLOOKUP(J504,Sheet1!$N$32:$O$37,2,0)*1000,0)</f>
        <v>60</v>
      </c>
      <c r="O504" s="67">
        <f t="shared" si="63"/>
        <v>0.000659145088819801</v>
      </c>
      <c r="P504" s="67">
        <v>11021</v>
      </c>
    </row>
    <row r="505" spans="1:16">
      <c r="A505" s="78">
        <v>503</v>
      </c>
      <c r="B505" s="78">
        <v>11000</v>
      </c>
      <c r="C505" s="78">
        <v>6</v>
      </c>
      <c r="D505" s="78">
        <f t="shared" si="61"/>
        <v>94987</v>
      </c>
      <c r="E505" s="78">
        <f t="shared" si="62"/>
        <v>95047</v>
      </c>
      <c r="F505" s="78"/>
      <c r="G505" s="78" t="str">
        <f>VLOOKUP(H505&amp;I505,Sheet2!$J:$K,2,0)</f>
        <v>98100302</v>
      </c>
      <c r="H505" s="78" t="s">
        <v>422</v>
      </c>
      <c r="I505" s="78"/>
      <c r="J505" s="78" t="s">
        <v>279</v>
      </c>
      <c r="K505" s="78">
        <v>1</v>
      </c>
      <c r="L505" s="78" t="s">
        <v>76</v>
      </c>
      <c r="M505" s="78">
        <f>ROUNDDOWN(VLOOKUP(J505,Sheet1!$N$32:$O$37,2,0)*1000,0)</f>
        <v>60</v>
      </c>
      <c r="O505" s="67">
        <f t="shared" si="63"/>
        <v>0.000659145088819801</v>
      </c>
      <c r="P505" s="67">
        <v>11022</v>
      </c>
    </row>
    <row r="506" spans="1:16">
      <c r="A506" s="78">
        <v>504</v>
      </c>
      <c r="B506" s="78">
        <v>11000</v>
      </c>
      <c r="C506" s="78">
        <v>6</v>
      </c>
      <c r="D506" s="78">
        <f t="shared" si="61"/>
        <v>95047</v>
      </c>
      <c r="E506" s="78">
        <f t="shared" si="62"/>
        <v>95107</v>
      </c>
      <c r="F506" s="78"/>
      <c r="G506" s="78">
        <f>VLOOKUP(H506&amp;I506,Sheet2!$J:$K,2,0)</f>
        <v>98100401</v>
      </c>
      <c r="H506" s="78" t="s">
        <v>423</v>
      </c>
      <c r="I506" s="78"/>
      <c r="J506" s="78" t="s">
        <v>279</v>
      </c>
      <c r="K506" s="78">
        <v>1</v>
      </c>
      <c r="L506" s="78" t="s">
        <v>76</v>
      </c>
      <c r="M506" s="78">
        <f>ROUNDDOWN(VLOOKUP(J506,Sheet1!$N$32:$O$37,2,0)*1000,0)</f>
        <v>60</v>
      </c>
      <c r="O506" s="67">
        <f t="shared" si="63"/>
        <v>0.000659145088819801</v>
      </c>
      <c r="P506" s="67">
        <v>11023</v>
      </c>
    </row>
    <row r="507" spans="1:16">
      <c r="A507" s="78">
        <v>505</v>
      </c>
      <c r="B507" s="78">
        <v>11000</v>
      </c>
      <c r="C507" s="78">
        <v>6</v>
      </c>
      <c r="D507" s="78">
        <f t="shared" si="61"/>
        <v>95107</v>
      </c>
      <c r="E507" s="78">
        <f t="shared" si="62"/>
        <v>95167</v>
      </c>
      <c r="F507" s="78"/>
      <c r="G507" s="78" t="str">
        <f>VLOOKUP(H507&amp;I507,Sheet2!$J:$K,2,0)</f>
        <v>98100402</v>
      </c>
      <c r="H507" s="78" t="s">
        <v>424</v>
      </c>
      <c r="I507" s="78"/>
      <c r="J507" s="78" t="s">
        <v>279</v>
      </c>
      <c r="K507" s="78">
        <v>1</v>
      </c>
      <c r="L507" s="78" t="s">
        <v>76</v>
      </c>
      <c r="M507" s="78">
        <f>ROUNDDOWN(VLOOKUP(J507,Sheet1!$N$32:$O$37,2,0)*1000,0)</f>
        <v>60</v>
      </c>
      <c r="O507" s="67">
        <f t="shared" si="63"/>
        <v>0.000659145088819801</v>
      </c>
      <c r="P507" s="67">
        <v>11024</v>
      </c>
    </row>
    <row r="508" spans="1:16">
      <c r="A508" s="78">
        <v>506</v>
      </c>
      <c r="B508" s="78">
        <v>11000</v>
      </c>
      <c r="C508" s="78">
        <v>6</v>
      </c>
      <c r="D508" s="78">
        <f t="shared" si="61"/>
        <v>95167</v>
      </c>
      <c r="E508" s="78">
        <f t="shared" si="62"/>
        <v>95227</v>
      </c>
      <c r="F508" s="78"/>
      <c r="G508" s="78">
        <f>VLOOKUP(H508&amp;I508,Sheet2!$J:$K,2,0)</f>
        <v>98040401</v>
      </c>
      <c r="H508" s="78" t="s">
        <v>425</v>
      </c>
      <c r="I508" s="78"/>
      <c r="J508" s="78" t="s">
        <v>279</v>
      </c>
      <c r="K508" s="78">
        <v>1</v>
      </c>
      <c r="L508" s="78" t="s">
        <v>76</v>
      </c>
      <c r="M508" s="78">
        <f>ROUNDDOWN(VLOOKUP(J508,Sheet1!$N$32:$O$37,2,0)*1000,0)</f>
        <v>60</v>
      </c>
      <c r="O508" s="67">
        <f t="shared" si="63"/>
        <v>0.000659145088819801</v>
      </c>
      <c r="P508" s="67">
        <v>11025</v>
      </c>
    </row>
    <row r="509" spans="1:16">
      <c r="A509" s="78">
        <v>507</v>
      </c>
      <c r="B509" s="78">
        <v>11000</v>
      </c>
      <c r="C509" s="78">
        <v>6</v>
      </c>
      <c r="D509" s="78">
        <f t="shared" si="61"/>
        <v>95227</v>
      </c>
      <c r="E509" s="78">
        <f t="shared" si="62"/>
        <v>95287</v>
      </c>
      <c r="F509" s="78"/>
      <c r="G509" s="78">
        <f>VLOOKUP(H509&amp;I509,Sheet2!$J:$K,2,0)</f>
        <v>98040402</v>
      </c>
      <c r="H509" s="78" t="s">
        <v>426</v>
      </c>
      <c r="I509" s="78"/>
      <c r="J509" s="78" t="s">
        <v>279</v>
      </c>
      <c r="K509" s="78">
        <v>1</v>
      </c>
      <c r="L509" s="78" t="s">
        <v>76</v>
      </c>
      <c r="M509" s="78">
        <f>ROUNDDOWN(VLOOKUP(J509,Sheet1!$N$32:$O$37,2,0)*1000,0)</f>
        <v>60</v>
      </c>
      <c r="O509" s="67">
        <f t="shared" si="63"/>
        <v>0.000659145088819801</v>
      </c>
      <c r="P509" s="67">
        <v>11026</v>
      </c>
    </row>
    <row r="510" spans="1:16">
      <c r="A510" s="78">
        <v>508</v>
      </c>
      <c r="B510" s="78">
        <v>11000</v>
      </c>
      <c r="C510" s="78">
        <v>6</v>
      </c>
      <c r="D510" s="78">
        <f t="shared" si="61"/>
        <v>95287</v>
      </c>
      <c r="E510" s="78">
        <f t="shared" si="62"/>
        <v>95347</v>
      </c>
      <c r="F510" s="78"/>
      <c r="G510" s="78">
        <f>VLOOKUP(H510&amp;I510,Sheet2!$J:$K,2,0)</f>
        <v>98040403</v>
      </c>
      <c r="H510" s="78" t="s">
        <v>427</v>
      </c>
      <c r="I510" s="78"/>
      <c r="J510" s="78" t="s">
        <v>279</v>
      </c>
      <c r="K510" s="78">
        <v>1</v>
      </c>
      <c r="L510" s="78" t="s">
        <v>76</v>
      </c>
      <c r="M510" s="78">
        <f>ROUNDDOWN(VLOOKUP(J510,Sheet1!$N$32:$O$37,2,0)*1000,0)</f>
        <v>60</v>
      </c>
      <c r="O510" s="67">
        <f t="shared" si="63"/>
        <v>0.000659145088819801</v>
      </c>
      <c r="P510" s="67">
        <v>11027</v>
      </c>
    </row>
    <row r="511" spans="1:16">
      <c r="A511" s="78">
        <v>509</v>
      </c>
      <c r="B511" s="78">
        <v>11000</v>
      </c>
      <c r="C511" s="78">
        <v>6</v>
      </c>
      <c r="D511" s="78">
        <f t="shared" si="61"/>
        <v>95347</v>
      </c>
      <c r="E511" s="78">
        <f t="shared" si="62"/>
        <v>95407</v>
      </c>
      <c r="F511" s="78"/>
      <c r="G511" s="78">
        <f>VLOOKUP(H511&amp;I511,Sheet2!$J:$K,2,0)</f>
        <v>98030201</v>
      </c>
      <c r="H511" s="78" t="s">
        <v>428</v>
      </c>
      <c r="I511" s="78"/>
      <c r="J511" s="78" t="s">
        <v>279</v>
      </c>
      <c r="K511" s="78">
        <v>1</v>
      </c>
      <c r="L511" s="78" t="s">
        <v>76</v>
      </c>
      <c r="M511" s="78">
        <f>ROUNDDOWN(VLOOKUP(J511,Sheet1!$N$32:$O$37,2,0)*1000,0)</f>
        <v>60</v>
      </c>
      <c r="O511" s="67">
        <f t="shared" si="63"/>
        <v>0.000659145088819801</v>
      </c>
      <c r="P511" s="67">
        <v>11028</v>
      </c>
    </row>
    <row r="512" spans="1:16">
      <c r="A512" s="78">
        <v>510</v>
      </c>
      <c r="B512" s="78">
        <v>11000</v>
      </c>
      <c r="C512" s="78">
        <v>6</v>
      </c>
      <c r="D512" s="78">
        <f t="shared" si="61"/>
        <v>95407</v>
      </c>
      <c r="E512" s="78">
        <f t="shared" si="62"/>
        <v>95467</v>
      </c>
      <c r="F512" s="78"/>
      <c r="G512" s="78">
        <f>VLOOKUP(H512&amp;I512,Sheet2!$J:$K,2,0)</f>
        <v>98030202</v>
      </c>
      <c r="H512" s="78" t="s">
        <v>429</v>
      </c>
      <c r="I512" s="78"/>
      <c r="J512" s="78" t="s">
        <v>279</v>
      </c>
      <c r="K512" s="78">
        <v>1</v>
      </c>
      <c r="L512" s="78" t="s">
        <v>76</v>
      </c>
      <c r="M512" s="78">
        <f>ROUNDDOWN(VLOOKUP(J512,Sheet1!$N$32:$O$37,2,0)*1000,0)</f>
        <v>60</v>
      </c>
      <c r="O512" s="67">
        <f t="shared" si="63"/>
        <v>0.000659145088819801</v>
      </c>
      <c r="P512" s="67">
        <v>11029</v>
      </c>
    </row>
    <row r="513" spans="1:16">
      <c r="A513" s="78">
        <v>511</v>
      </c>
      <c r="B513" s="78">
        <v>11000</v>
      </c>
      <c r="C513" s="78">
        <v>6</v>
      </c>
      <c r="D513" s="78">
        <f t="shared" si="61"/>
        <v>95467</v>
      </c>
      <c r="E513" s="78">
        <f t="shared" si="62"/>
        <v>95527</v>
      </c>
      <c r="F513" s="78"/>
      <c r="G513" s="78">
        <f>VLOOKUP(H513&amp;I513,Sheet2!$J:$K,2,0)</f>
        <v>98030203</v>
      </c>
      <c r="H513" s="78" t="s">
        <v>430</v>
      </c>
      <c r="I513" s="78"/>
      <c r="J513" s="78" t="s">
        <v>279</v>
      </c>
      <c r="K513" s="78">
        <v>1</v>
      </c>
      <c r="L513" s="78" t="s">
        <v>76</v>
      </c>
      <c r="M513" s="78">
        <f>ROUNDDOWN(VLOOKUP(J513,Sheet1!$N$32:$O$37,2,0)*1000,0)</f>
        <v>60</v>
      </c>
      <c r="O513" s="67">
        <f t="shared" si="63"/>
        <v>0.000659145088819801</v>
      </c>
      <c r="P513" s="67">
        <v>11030</v>
      </c>
    </row>
    <row r="514" spans="1:16">
      <c r="A514" s="5">
        <v>512</v>
      </c>
      <c r="B514" s="5">
        <v>11100</v>
      </c>
      <c r="C514" s="5">
        <v>6</v>
      </c>
      <c r="D514" s="5">
        <v>0</v>
      </c>
      <c r="E514" s="5">
        <f>M514</f>
        <v>250</v>
      </c>
      <c r="F514" s="5"/>
      <c r="G514" s="5">
        <f>VLOOKUP(H514&amp;I514,Sheet2!$J:$K,2,0)</f>
        <v>95101018</v>
      </c>
      <c r="H514" s="5" t="s">
        <v>198</v>
      </c>
      <c r="I514" s="5" t="s">
        <v>199</v>
      </c>
      <c r="J514" s="5" t="s">
        <v>200</v>
      </c>
      <c r="K514" s="5">
        <v>1</v>
      </c>
      <c r="L514" s="5" t="s">
        <v>94</v>
      </c>
      <c r="M514" s="5">
        <f>ROUNDDOWN(VLOOKUP(J514,Sheet1!$N$32:$O$37,2,0)*1000,0)</f>
        <v>250</v>
      </c>
      <c r="N514" s="67">
        <f>SUM(O514:O576)</f>
        <v>1.01998781718043</v>
      </c>
      <c r="O514" s="67">
        <f t="shared" ref="O514:O543" si="64">(E514-D514)/$E$575</f>
        <v>0.0172413793103448</v>
      </c>
      <c r="P514" s="67">
        <v>11100</v>
      </c>
    </row>
    <row r="515" spans="1:16">
      <c r="A515" s="5">
        <v>513</v>
      </c>
      <c r="B515" s="5">
        <v>11100</v>
      </c>
      <c r="C515" s="5">
        <v>6</v>
      </c>
      <c r="D515" s="5">
        <f>E514</f>
        <v>250</v>
      </c>
      <c r="E515" s="5">
        <f t="shared" ref="E515:E549" si="65">D515+M515</f>
        <v>500</v>
      </c>
      <c r="F515" s="5"/>
      <c r="G515" s="5">
        <f>VLOOKUP(H515&amp;I515,Sheet2!$J:$K,2,0)</f>
        <v>95101028</v>
      </c>
      <c r="H515" s="5" t="s">
        <v>201</v>
      </c>
      <c r="I515" s="5" t="s">
        <v>199</v>
      </c>
      <c r="J515" s="5" t="s">
        <v>200</v>
      </c>
      <c r="K515" s="5">
        <v>1</v>
      </c>
      <c r="L515" s="5" t="s">
        <v>94</v>
      </c>
      <c r="M515" s="5">
        <f>ROUNDDOWN(VLOOKUP(J515,Sheet1!$N$32:$O$37,2,0)*1000,0)</f>
        <v>250</v>
      </c>
      <c r="O515" s="67">
        <f t="shared" si="64"/>
        <v>0.0172413793103448</v>
      </c>
      <c r="P515" s="67">
        <v>11100</v>
      </c>
    </row>
    <row r="516" spans="1:16">
      <c r="A516" s="5">
        <v>514</v>
      </c>
      <c r="B516" s="5">
        <v>11100</v>
      </c>
      <c r="C516" s="5">
        <v>6</v>
      </c>
      <c r="D516" s="5">
        <f t="shared" ref="D516:D546" si="66">E515</f>
        <v>500</v>
      </c>
      <c r="E516" s="5">
        <f t="shared" si="65"/>
        <v>750</v>
      </c>
      <c r="F516" s="5"/>
      <c r="G516" s="5">
        <f>VLOOKUP(H516&amp;I516,Sheet2!$J:$K,2,0)</f>
        <v>95102018</v>
      </c>
      <c r="H516" s="5" t="s">
        <v>202</v>
      </c>
      <c r="I516" s="5" t="s">
        <v>199</v>
      </c>
      <c r="J516" s="5" t="s">
        <v>200</v>
      </c>
      <c r="K516" s="5">
        <v>1</v>
      </c>
      <c r="L516" s="5" t="s">
        <v>94</v>
      </c>
      <c r="M516" s="5">
        <f>ROUNDDOWN(VLOOKUP(J516,Sheet1!$N$32:$O$37,2,0)*1000,0)</f>
        <v>250</v>
      </c>
      <c r="O516" s="67">
        <f t="shared" si="64"/>
        <v>0.0172413793103448</v>
      </c>
      <c r="P516" s="67">
        <v>11100</v>
      </c>
    </row>
    <row r="517" spans="1:16">
      <c r="A517" s="5">
        <v>515</v>
      </c>
      <c r="B517" s="5">
        <v>11100</v>
      </c>
      <c r="C517" s="5">
        <v>6</v>
      </c>
      <c r="D517" s="5">
        <f t="shared" si="66"/>
        <v>750</v>
      </c>
      <c r="E517" s="5">
        <f t="shared" si="65"/>
        <v>1000</v>
      </c>
      <c r="F517" s="5"/>
      <c r="G517" s="5">
        <f>VLOOKUP(H517&amp;I517,Sheet2!$J:$K,2,0)</f>
        <v>95102028</v>
      </c>
      <c r="H517" s="5" t="s">
        <v>203</v>
      </c>
      <c r="I517" s="5" t="s">
        <v>199</v>
      </c>
      <c r="J517" s="5" t="s">
        <v>200</v>
      </c>
      <c r="K517" s="5">
        <v>1</v>
      </c>
      <c r="L517" s="5" t="s">
        <v>94</v>
      </c>
      <c r="M517" s="5">
        <f>ROUNDDOWN(VLOOKUP(J517,Sheet1!$N$32:$O$37,2,0)*1000,0)</f>
        <v>250</v>
      </c>
      <c r="O517" s="67">
        <f t="shared" si="64"/>
        <v>0.0172413793103448</v>
      </c>
      <c r="P517" s="67">
        <v>11100</v>
      </c>
    </row>
    <row r="518" spans="1:16">
      <c r="A518" s="5">
        <v>516</v>
      </c>
      <c r="B518" s="5">
        <v>11100</v>
      </c>
      <c r="C518" s="5">
        <v>6</v>
      </c>
      <c r="D518" s="5">
        <f t="shared" si="66"/>
        <v>1000</v>
      </c>
      <c r="E518" s="5">
        <f t="shared" si="65"/>
        <v>1250</v>
      </c>
      <c r="F518" s="5"/>
      <c r="G518" s="5">
        <f>VLOOKUP(H518&amp;I518,Sheet2!$J:$K,2,0)</f>
        <v>95103018</v>
      </c>
      <c r="H518" s="5" t="s">
        <v>204</v>
      </c>
      <c r="I518" s="5" t="s">
        <v>199</v>
      </c>
      <c r="J518" s="5" t="s">
        <v>200</v>
      </c>
      <c r="K518" s="5">
        <v>1</v>
      </c>
      <c r="L518" s="5" t="s">
        <v>94</v>
      </c>
      <c r="M518" s="5">
        <f>ROUNDDOWN(VLOOKUP(J518,Sheet1!$N$32:$O$37,2,0)*1000,0)</f>
        <v>250</v>
      </c>
      <c r="O518" s="67">
        <f t="shared" si="64"/>
        <v>0.0172413793103448</v>
      </c>
      <c r="P518" s="67">
        <v>11100</v>
      </c>
    </row>
    <row r="519" spans="1:16">
      <c r="A519" s="5">
        <v>517</v>
      </c>
      <c r="B519" s="5">
        <v>11100</v>
      </c>
      <c r="C519" s="5">
        <v>6</v>
      </c>
      <c r="D519" s="5">
        <f t="shared" si="66"/>
        <v>1250</v>
      </c>
      <c r="E519" s="5">
        <f t="shared" si="65"/>
        <v>1500</v>
      </c>
      <c r="F519" s="5"/>
      <c r="G519" s="5">
        <f>VLOOKUP(H519&amp;I519,Sheet2!$J:$K,2,0)</f>
        <v>95104018</v>
      </c>
      <c r="H519" s="5" t="s">
        <v>205</v>
      </c>
      <c r="I519" s="5" t="s">
        <v>199</v>
      </c>
      <c r="J519" s="5" t="s">
        <v>200</v>
      </c>
      <c r="K519" s="5">
        <v>1</v>
      </c>
      <c r="L519" s="5" t="s">
        <v>94</v>
      </c>
      <c r="M519" s="5">
        <f>ROUNDDOWN(VLOOKUP(J519,Sheet1!$N$32:$O$37,2,0)*1000,0)</f>
        <v>250</v>
      </c>
      <c r="O519" s="67">
        <f t="shared" si="64"/>
        <v>0.0172413793103448</v>
      </c>
      <c r="P519" s="67">
        <v>11100</v>
      </c>
    </row>
    <row r="520" spans="1:16">
      <c r="A520" s="5">
        <v>518</v>
      </c>
      <c r="B520" s="5">
        <v>11100</v>
      </c>
      <c r="C520" s="5">
        <v>6</v>
      </c>
      <c r="D520" s="5">
        <f t="shared" si="66"/>
        <v>1500</v>
      </c>
      <c r="E520" s="5">
        <f t="shared" si="65"/>
        <v>1750</v>
      </c>
      <c r="F520" s="5"/>
      <c r="G520" s="5">
        <f>VLOOKUP(H520&amp;I520,Sheet2!$J:$K,2,0)</f>
        <v>95104028</v>
      </c>
      <c r="H520" s="5" t="s">
        <v>206</v>
      </c>
      <c r="I520" s="5" t="s">
        <v>199</v>
      </c>
      <c r="J520" s="5" t="s">
        <v>200</v>
      </c>
      <c r="K520" s="5">
        <v>1</v>
      </c>
      <c r="L520" s="5" t="s">
        <v>94</v>
      </c>
      <c r="M520" s="5">
        <f>ROUNDDOWN(VLOOKUP(J520,Sheet1!$N$32:$O$37,2,0)*1000,0)</f>
        <v>250</v>
      </c>
      <c r="O520" s="67">
        <f t="shared" si="64"/>
        <v>0.0172413793103448</v>
      </c>
      <c r="P520" s="67">
        <v>11100</v>
      </c>
    </row>
    <row r="521" spans="1:16">
      <c r="A521" s="5">
        <v>519</v>
      </c>
      <c r="B521" s="5">
        <v>11100</v>
      </c>
      <c r="C521" s="5">
        <v>6</v>
      </c>
      <c r="D521" s="5">
        <f t="shared" si="66"/>
        <v>1750</v>
      </c>
      <c r="E521" s="5">
        <f t="shared" si="65"/>
        <v>2000</v>
      </c>
      <c r="F521" s="5"/>
      <c r="G521" s="5">
        <f>VLOOKUP(H521&amp;I521,Sheet2!$J:$K,2,0)</f>
        <v>95104038</v>
      </c>
      <c r="H521" s="5" t="s">
        <v>207</v>
      </c>
      <c r="I521" s="5" t="s">
        <v>199</v>
      </c>
      <c r="J521" s="5" t="s">
        <v>200</v>
      </c>
      <c r="K521" s="5">
        <v>1</v>
      </c>
      <c r="L521" s="5" t="s">
        <v>94</v>
      </c>
      <c r="M521" s="5">
        <f>ROUNDDOWN(VLOOKUP(J521,Sheet1!$N$32:$O$37,2,0)*1000,0)</f>
        <v>250</v>
      </c>
      <c r="O521" s="67">
        <f t="shared" si="64"/>
        <v>0.0172413793103448</v>
      </c>
      <c r="P521" s="67">
        <v>11100</v>
      </c>
    </row>
    <row r="522" spans="1:16">
      <c r="A522" s="5">
        <v>520</v>
      </c>
      <c r="B522" s="5">
        <v>11100</v>
      </c>
      <c r="C522" s="5">
        <v>6</v>
      </c>
      <c r="D522" s="5">
        <f t="shared" si="66"/>
        <v>2000</v>
      </c>
      <c r="E522" s="5">
        <f t="shared" si="65"/>
        <v>2250</v>
      </c>
      <c r="F522" s="5"/>
      <c r="G522" s="5">
        <f>VLOOKUP(H522&amp;I522,Sheet2!$J:$K,2,0)</f>
        <v>95106018</v>
      </c>
      <c r="H522" s="5" t="s">
        <v>208</v>
      </c>
      <c r="I522" s="5" t="s">
        <v>199</v>
      </c>
      <c r="J522" s="5" t="s">
        <v>200</v>
      </c>
      <c r="K522" s="5">
        <v>1</v>
      </c>
      <c r="L522" s="5" t="s">
        <v>94</v>
      </c>
      <c r="M522" s="5">
        <f>ROUNDDOWN(VLOOKUP(J522,Sheet1!$N$32:$O$37,2,0)*1000,0)</f>
        <v>250</v>
      </c>
      <c r="O522" s="67">
        <f t="shared" si="64"/>
        <v>0.0172413793103448</v>
      </c>
      <c r="P522" s="67">
        <v>11100</v>
      </c>
    </row>
    <row r="523" spans="1:16">
      <c r="A523" s="5">
        <v>521</v>
      </c>
      <c r="B523" s="5">
        <v>11100</v>
      </c>
      <c r="C523" s="5">
        <v>6</v>
      </c>
      <c r="D523" s="5">
        <f t="shared" si="66"/>
        <v>2250</v>
      </c>
      <c r="E523" s="5">
        <f t="shared" si="65"/>
        <v>2500</v>
      </c>
      <c r="F523" s="5"/>
      <c r="G523" s="5">
        <f>VLOOKUP(H523&amp;I523,Sheet2!$J:$K,2,0)</f>
        <v>95109018</v>
      </c>
      <c r="H523" s="5" t="s">
        <v>209</v>
      </c>
      <c r="I523" s="5" t="s">
        <v>199</v>
      </c>
      <c r="J523" s="5" t="s">
        <v>200</v>
      </c>
      <c r="K523" s="5">
        <v>1</v>
      </c>
      <c r="L523" s="5" t="s">
        <v>94</v>
      </c>
      <c r="M523" s="5">
        <f>ROUNDDOWN(VLOOKUP(J523,Sheet1!$N$32:$O$37,2,0)*1000,0)</f>
        <v>250</v>
      </c>
      <c r="O523" s="67">
        <f t="shared" si="64"/>
        <v>0.0172413793103448</v>
      </c>
      <c r="P523" s="67">
        <v>11100</v>
      </c>
    </row>
    <row r="524" spans="1:16">
      <c r="A524" s="5">
        <v>522</v>
      </c>
      <c r="B524" s="5">
        <v>11100</v>
      </c>
      <c r="C524" s="5">
        <v>6</v>
      </c>
      <c r="D524" s="5">
        <f t="shared" si="66"/>
        <v>2500</v>
      </c>
      <c r="E524" s="5">
        <f t="shared" si="65"/>
        <v>2750</v>
      </c>
      <c r="F524" s="5"/>
      <c r="G524" s="5">
        <f>VLOOKUP(H524&amp;I524,Sheet2!$J:$K,2,0)</f>
        <v>95110018</v>
      </c>
      <c r="H524" s="5" t="s">
        <v>210</v>
      </c>
      <c r="I524" s="5" t="s">
        <v>199</v>
      </c>
      <c r="J524" s="5" t="s">
        <v>200</v>
      </c>
      <c r="K524" s="5">
        <v>1</v>
      </c>
      <c r="L524" s="5" t="s">
        <v>94</v>
      </c>
      <c r="M524" s="5">
        <f>ROUNDDOWN(VLOOKUP(J524,Sheet1!$N$32:$O$37,2,0)*1000,0)</f>
        <v>250</v>
      </c>
      <c r="O524" s="67">
        <f t="shared" si="64"/>
        <v>0.0172413793103448</v>
      </c>
      <c r="P524" s="67">
        <v>11100</v>
      </c>
    </row>
    <row r="525" spans="1:16">
      <c r="A525" s="5">
        <v>523</v>
      </c>
      <c r="B525" s="5">
        <v>11100</v>
      </c>
      <c r="C525" s="5">
        <v>6</v>
      </c>
      <c r="D525" s="5">
        <f t="shared" si="66"/>
        <v>2750</v>
      </c>
      <c r="E525" s="5">
        <f t="shared" si="65"/>
        <v>3000</v>
      </c>
      <c r="F525" s="5"/>
      <c r="G525" s="5">
        <f>VLOOKUP(H525&amp;I525,Sheet2!$J:$K,2,0)</f>
        <v>95111018</v>
      </c>
      <c r="H525" s="5" t="s">
        <v>211</v>
      </c>
      <c r="I525" s="5" t="s">
        <v>199</v>
      </c>
      <c r="J525" s="5" t="s">
        <v>200</v>
      </c>
      <c r="K525" s="5">
        <v>1</v>
      </c>
      <c r="L525" s="5" t="s">
        <v>94</v>
      </c>
      <c r="M525" s="5">
        <f>ROUNDDOWN(VLOOKUP(J525,Sheet1!$N$32:$O$37,2,0)*1000,0)</f>
        <v>250</v>
      </c>
      <c r="O525" s="67">
        <f t="shared" si="64"/>
        <v>0.0172413793103448</v>
      </c>
      <c r="P525" s="67">
        <v>11100</v>
      </c>
    </row>
    <row r="526" spans="1:16">
      <c r="A526" s="5">
        <v>524</v>
      </c>
      <c r="B526" s="5">
        <v>11100</v>
      </c>
      <c r="C526" s="5">
        <v>6</v>
      </c>
      <c r="D526" s="5">
        <f t="shared" si="66"/>
        <v>3000</v>
      </c>
      <c r="E526" s="5">
        <f t="shared" si="65"/>
        <v>3250</v>
      </c>
      <c r="F526" s="5"/>
      <c r="G526" s="5">
        <f>VLOOKUP(H526&amp;I526,Sheet2!$J:$K,2,0)</f>
        <v>95120018</v>
      </c>
      <c r="H526" s="5" t="s">
        <v>212</v>
      </c>
      <c r="I526" s="5" t="s">
        <v>199</v>
      </c>
      <c r="J526" s="5" t="s">
        <v>200</v>
      </c>
      <c r="K526" s="5">
        <v>1</v>
      </c>
      <c r="L526" s="5" t="s">
        <v>94</v>
      </c>
      <c r="M526" s="5">
        <f>ROUNDDOWN(VLOOKUP(J526,Sheet1!$N$32:$O$37,2,0)*1000,0)</f>
        <v>250</v>
      </c>
      <c r="O526" s="67">
        <f t="shared" si="64"/>
        <v>0.0172413793103448</v>
      </c>
      <c r="P526" s="67">
        <v>11100</v>
      </c>
    </row>
    <row r="527" spans="1:16">
      <c r="A527" s="5">
        <v>525</v>
      </c>
      <c r="B527" s="5">
        <v>11100</v>
      </c>
      <c r="C527" s="5">
        <v>6</v>
      </c>
      <c r="D527" s="5">
        <f t="shared" si="66"/>
        <v>3250</v>
      </c>
      <c r="E527" s="5">
        <f t="shared" si="65"/>
        <v>3500</v>
      </c>
      <c r="F527" s="5"/>
      <c r="G527" s="5">
        <f>VLOOKUP(H527&amp;I527,Sheet2!$J:$K,2,0)</f>
        <v>95140018</v>
      </c>
      <c r="H527" s="5" t="s">
        <v>213</v>
      </c>
      <c r="I527" s="5" t="s">
        <v>199</v>
      </c>
      <c r="J527" s="5" t="s">
        <v>200</v>
      </c>
      <c r="K527" s="5">
        <v>1</v>
      </c>
      <c r="L527" s="5" t="s">
        <v>94</v>
      </c>
      <c r="M527" s="5">
        <f>ROUNDDOWN(VLOOKUP(J527,Sheet1!$N$32:$O$37,2,0)*1000,0)</f>
        <v>250</v>
      </c>
      <c r="O527" s="67">
        <f t="shared" si="64"/>
        <v>0.0172413793103448</v>
      </c>
      <c r="P527" s="67">
        <v>11100</v>
      </c>
    </row>
    <row r="528" spans="1:16">
      <c r="A528" s="5">
        <v>526</v>
      </c>
      <c r="B528" s="5">
        <v>11100</v>
      </c>
      <c r="C528" s="5">
        <v>6</v>
      </c>
      <c r="D528" s="5">
        <f t="shared" si="66"/>
        <v>3500</v>
      </c>
      <c r="E528" s="5">
        <f t="shared" si="65"/>
        <v>3750</v>
      </c>
      <c r="F528" s="5"/>
      <c r="G528" s="5">
        <f>VLOOKUP(H528&amp;I528,Sheet2!$J:$K,2,0)</f>
        <v>95105028</v>
      </c>
      <c r="H528" s="5" t="s">
        <v>214</v>
      </c>
      <c r="I528" s="5" t="s">
        <v>199</v>
      </c>
      <c r="J528" s="5" t="s">
        <v>200</v>
      </c>
      <c r="K528" s="5">
        <v>1</v>
      </c>
      <c r="L528" s="5" t="s">
        <v>94</v>
      </c>
      <c r="M528" s="5">
        <f>ROUNDDOWN(VLOOKUP(J528,Sheet1!$N$32:$O$37,2,0)*1000,0)</f>
        <v>250</v>
      </c>
      <c r="O528" s="67">
        <f t="shared" si="64"/>
        <v>0.0172413793103448</v>
      </c>
    </row>
    <row r="529" spans="1:16">
      <c r="A529" s="5">
        <v>527</v>
      </c>
      <c r="B529" s="5">
        <v>11100</v>
      </c>
      <c r="C529" s="5">
        <v>6</v>
      </c>
      <c r="D529" s="5">
        <f t="shared" si="66"/>
        <v>3750</v>
      </c>
      <c r="E529" s="5">
        <f t="shared" si="65"/>
        <v>4000</v>
      </c>
      <c r="F529" s="5"/>
      <c r="G529" s="5">
        <f>VLOOKUP(H529&amp;I529,Sheet2!$J:$K,2,0)</f>
        <v>95109028</v>
      </c>
      <c r="H529" s="5" t="s">
        <v>215</v>
      </c>
      <c r="I529" s="5" t="s">
        <v>199</v>
      </c>
      <c r="J529" s="5" t="s">
        <v>200</v>
      </c>
      <c r="K529" s="5">
        <v>1</v>
      </c>
      <c r="L529" s="5" t="s">
        <v>94</v>
      </c>
      <c r="M529" s="5">
        <f>ROUNDDOWN(VLOOKUP(J529,Sheet1!$N$32:$O$37,2,0)*1000,0)</f>
        <v>250</v>
      </c>
      <c r="O529" s="67">
        <f t="shared" si="64"/>
        <v>0.0172413793103448</v>
      </c>
    </row>
    <row r="530" spans="1:16">
      <c r="A530" s="5">
        <v>528</v>
      </c>
      <c r="B530" s="5">
        <v>11100</v>
      </c>
      <c r="C530" s="5">
        <v>6</v>
      </c>
      <c r="D530" s="5">
        <f t="shared" si="66"/>
        <v>4000</v>
      </c>
      <c r="E530" s="5">
        <f t="shared" si="65"/>
        <v>4250</v>
      </c>
      <c r="F530" s="5"/>
      <c r="G530" s="5">
        <f>VLOOKUP(H530&amp;I530,Sheet2!$J:$K,2,0)</f>
        <v>95110028</v>
      </c>
      <c r="H530" s="5" t="s">
        <v>216</v>
      </c>
      <c r="I530" s="5" t="s">
        <v>199</v>
      </c>
      <c r="J530" s="5" t="s">
        <v>200</v>
      </c>
      <c r="K530" s="5">
        <v>1</v>
      </c>
      <c r="L530" s="5" t="s">
        <v>94</v>
      </c>
      <c r="M530" s="5">
        <f>ROUNDDOWN(VLOOKUP(J530,Sheet1!$N$32:$O$37,2,0)*1000,0)</f>
        <v>250</v>
      </c>
      <c r="O530" s="67">
        <f t="shared" si="64"/>
        <v>0.0172413793103448</v>
      </c>
    </row>
    <row r="531" spans="1:16">
      <c r="A531" s="5">
        <v>529</v>
      </c>
      <c r="B531" s="5">
        <v>11100</v>
      </c>
      <c r="C531" s="5">
        <v>6</v>
      </c>
      <c r="D531" s="5">
        <f t="shared" si="66"/>
        <v>4250</v>
      </c>
      <c r="E531" s="5">
        <f t="shared" si="65"/>
        <v>4500</v>
      </c>
      <c r="F531" s="5"/>
      <c r="G531" s="5">
        <f>VLOOKUP(H531&amp;I531,Sheet2!$J:$K,2,0)</f>
        <v>95150028</v>
      </c>
      <c r="H531" s="5" t="s">
        <v>217</v>
      </c>
      <c r="I531" s="5" t="s">
        <v>199</v>
      </c>
      <c r="J531" s="5" t="s">
        <v>200</v>
      </c>
      <c r="K531" s="5">
        <v>1</v>
      </c>
      <c r="L531" s="5" t="s">
        <v>94</v>
      </c>
      <c r="M531" s="5">
        <f>ROUNDDOWN(VLOOKUP(J531,Sheet1!$N$32:$O$37,2,0)*1000,0)</f>
        <v>250</v>
      </c>
      <c r="O531" s="67">
        <f t="shared" si="64"/>
        <v>0.0172413793103448</v>
      </c>
    </row>
    <row r="532" spans="1:16">
      <c r="A532" s="5">
        <v>530</v>
      </c>
      <c r="B532" s="5">
        <v>11100</v>
      </c>
      <c r="C532" s="5">
        <v>6</v>
      </c>
      <c r="D532" s="5">
        <f t="shared" si="66"/>
        <v>4500</v>
      </c>
      <c r="E532" s="5">
        <f t="shared" si="65"/>
        <v>4750</v>
      </c>
      <c r="F532" s="5"/>
      <c r="G532" s="5">
        <f>VLOOKUP(H532&amp;I532,Sheet2!$J:$K,2,0)</f>
        <v>95201038</v>
      </c>
      <c r="H532" s="5" t="s">
        <v>218</v>
      </c>
      <c r="I532" s="5" t="s">
        <v>199</v>
      </c>
      <c r="J532" s="5" t="s">
        <v>200</v>
      </c>
      <c r="K532" s="5">
        <v>1</v>
      </c>
      <c r="L532" s="5" t="s">
        <v>94</v>
      </c>
      <c r="M532" s="5">
        <f>ROUNDDOWN(VLOOKUP(J532,Sheet1!$N$32:$O$37,2,0)*1000,0)</f>
        <v>250</v>
      </c>
      <c r="O532" s="67">
        <f t="shared" si="64"/>
        <v>0.0172413793103448</v>
      </c>
      <c r="P532" s="67">
        <v>11100</v>
      </c>
    </row>
    <row r="533" spans="1:16">
      <c r="A533" s="5">
        <v>531</v>
      </c>
      <c r="B533" s="5">
        <v>11100</v>
      </c>
      <c r="C533" s="5">
        <v>6</v>
      </c>
      <c r="D533" s="5">
        <f t="shared" si="66"/>
        <v>4750</v>
      </c>
      <c r="E533" s="5">
        <f t="shared" si="65"/>
        <v>5000</v>
      </c>
      <c r="F533" s="5"/>
      <c r="G533" s="5">
        <f>VLOOKUP(H533&amp;I533,Sheet2!$J:$K,2,0)</f>
        <v>95201118</v>
      </c>
      <c r="H533" s="5" t="s">
        <v>219</v>
      </c>
      <c r="I533" s="5" t="s">
        <v>199</v>
      </c>
      <c r="J533" s="5" t="s">
        <v>200</v>
      </c>
      <c r="K533" s="5">
        <v>1</v>
      </c>
      <c r="L533" s="5" t="s">
        <v>94</v>
      </c>
      <c r="M533" s="5">
        <f>ROUNDDOWN(VLOOKUP(J533,Sheet1!$N$32:$O$37,2,0)*1000,0)</f>
        <v>250</v>
      </c>
      <c r="O533" s="67">
        <f t="shared" si="64"/>
        <v>0.0172413793103448</v>
      </c>
      <c r="P533" s="67">
        <v>11100</v>
      </c>
    </row>
    <row r="534" spans="1:16">
      <c r="A534" s="5">
        <v>532</v>
      </c>
      <c r="B534" s="5">
        <v>11100</v>
      </c>
      <c r="C534" s="5">
        <v>6</v>
      </c>
      <c r="D534" s="5">
        <f t="shared" si="66"/>
        <v>5000</v>
      </c>
      <c r="E534" s="5">
        <f t="shared" si="65"/>
        <v>5250</v>
      </c>
      <c r="F534" s="5"/>
      <c r="G534" s="5">
        <f>VLOOKUP(H534&amp;I534,Sheet2!$J:$K,2,0)</f>
        <v>95201158</v>
      </c>
      <c r="H534" s="5" t="s">
        <v>220</v>
      </c>
      <c r="I534" s="5" t="s">
        <v>199</v>
      </c>
      <c r="J534" s="5" t="s">
        <v>200</v>
      </c>
      <c r="K534" s="5">
        <v>1</v>
      </c>
      <c r="L534" s="5" t="s">
        <v>94</v>
      </c>
      <c r="M534" s="5">
        <f>ROUNDDOWN(VLOOKUP(J534,Sheet1!$N$32:$O$37,2,0)*1000,0)</f>
        <v>250</v>
      </c>
      <c r="O534" s="67">
        <f t="shared" si="64"/>
        <v>0.0172413793103448</v>
      </c>
      <c r="P534" s="67">
        <v>11100</v>
      </c>
    </row>
    <row r="535" spans="1:16">
      <c r="A535" s="5">
        <v>533</v>
      </c>
      <c r="B535" s="5">
        <v>11100</v>
      </c>
      <c r="C535" s="5">
        <v>6</v>
      </c>
      <c r="D535" s="5">
        <f t="shared" si="66"/>
        <v>5250</v>
      </c>
      <c r="E535" s="5">
        <f t="shared" si="65"/>
        <v>5500</v>
      </c>
      <c r="F535" s="5"/>
      <c r="G535" s="5">
        <f>VLOOKUP(H535&amp;I535,Sheet2!$J:$K,2,0)</f>
        <v>95201168</v>
      </c>
      <c r="H535" s="5" t="s">
        <v>221</v>
      </c>
      <c r="I535" s="5" t="s">
        <v>199</v>
      </c>
      <c r="J535" s="5" t="s">
        <v>200</v>
      </c>
      <c r="K535" s="5">
        <v>1</v>
      </c>
      <c r="L535" s="5" t="s">
        <v>94</v>
      </c>
      <c r="M535" s="5">
        <f>ROUNDDOWN(VLOOKUP(J535,Sheet1!$N$32:$O$37,2,0)*1000,0)</f>
        <v>250</v>
      </c>
      <c r="O535" s="67">
        <f t="shared" si="64"/>
        <v>0.0172413793103448</v>
      </c>
      <c r="P535" s="67">
        <v>11100</v>
      </c>
    </row>
    <row r="536" spans="1:16">
      <c r="A536" s="5">
        <v>534</v>
      </c>
      <c r="B536" s="5">
        <v>11100</v>
      </c>
      <c r="C536" s="5">
        <v>6</v>
      </c>
      <c r="D536" s="5">
        <f t="shared" si="66"/>
        <v>5500</v>
      </c>
      <c r="E536" s="5">
        <f t="shared" si="65"/>
        <v>5750</v>
      </c>
      <c r="F536" s="5"/>
      <c r="G536" s="5">
        <f>VLOOKUP(H536&amp;I536,Sheet2!$J:$K,2,0)</f>
        <v>95301028</v>
      </c>
      <c r="H536" s="5" t="s">
        <v>222</v>
      </c>
      <c r="I536" s="5" t="s">
        <v>199</v>
      </c>
      <c r="J536" s="5" t="s">
        <v>200</v>
      </c>
      <c r="K536" s="5">
        <v>1</v>
      </c>
      <c r="L536" s="5" t="s">
        <v>94</v>
      </c>
      <c r="M536" s="5">
        <f>ROUNDDOWN(VLOOKUP(J536,Sheet1!$N$32:$O$37,2,0)*1000,0)</f>
        <v>250</v>
      </c>
      <c r="O536" s="67">
        <f t="shared" si="64"/>
        <v>0.0172413793103448</v>
      </c>
      <c r="P536" s="67">
        <v>11100</v>
      </c>
    </row>
    <row r="537" spans="1:16">
      <c r="A537" s="5">
        <v>535</v>
      </c>
      <c r="B537" s="5">
        <v>11100</v>
      </c>
      <c r="C537" s="5">
        <v>6</v>
      </c>
      <c r="D537" s="5">
        <f t="shared" si="66"/>
        <v>5750</v>
      </c>
      <c r="E537" s="5">
        <f t="shared" si="65"/>
        <v>6000</v>
      </c>
      <c r="F537" s="5"/>
      <c r="G537" s="5">
        <f>VLOOKUP(H537&amp;I537,Sheet2!$J:$K,2,0)</f>
        <v>95301048</v>
      </c>
      <c r="H537" s="5" t="s">
        <v>223</v>
      </c>
      <c r="I537" s="5" t="s">
        <v>199</v>
      </c>
      <c r="J537" s="5" t="s">
        <v>200</v>
      </c>
      <c r="K537" s="5">
        <v>1</v>
      </c>
      <c r="L537" s="5" t="s">
        <v>94</v>
      </c>
      <c r="M537" s="5">
        <f>ROUNDDOWN(VLOOKUP(J537,Sheet1!$N$32:$O$37,2,0)*1000,0)</f>
        <v>250</v>
      </c>
      <c r="O537" s="67">
        <f t="shared" si="64"/>
        <v>0.0172413793103448</v>
      </c>
      <c r="P537" s="67">
        <v>11100</v>
      </c>
    </row>
    <row r="538" spans="1:16">
      <c r="A538" s="5">
        <v>536</v>
      </c>
      <c r="B538" s="5">
        <v>11100</v>
      </c>
      <c r="C538" s="5">
        <v>6</v>
      </c>
      <c r="D538" s="5">
        <f t="shared" si="66"/>
        <v>6000</v>
      </c>
      <c r="E538" s="5">
        <f t="shared" si="65"/>
        <v>6250</v>
      </c>
      <c r="F538" s="5"/>
      <c r="G538" s="5">
        <f>VLOOKUP(H538&amp;I538,Sheet2!$J:$K,2,0)</f>
        <v>95301058</v>
      </c>
      <c r="H538" s="5" t="s">
        <v>224</v>
      </c>
      <c r="I538" s="5" t="s">
        <v>199</v>
      </c>
      <c r="J538" s="5" t="s">
        <v>200</v>
      </c>
      <c r="K538" s="5">
        <v>1</v>
      </c>
      <c r="L538" s="5" t="s">
        <v>94</v>
      </c>
      <c r="M538" s="5">
        <f>ROUNDDOWN(VLOOKUP(J538,Sheet1!$N$32:$O$37,2,0)*1000,0)</f>
        <v>250</v>
      </c>
      <c r="O538" s="67">
        <f t="shared" si="64"/>
        <v>0.0172413793103448</v>
      </c>
      <c r="P538" s="67">
        <v>11100</v>
      </c>
    </row>
    <row r="539" spans="1:16">
      <c r="A539" s="5">
        <v>537</v>
      </c>
      <c r="B539" s="5">
        <v>11100</v>
      </c>
      <c r="C539" s="5">
        <v>6</v>
      </c>
      <c r="D539" s="5">
        <f t="shared" si="66"/>
        <v>6250</v>
      </c>
      <c r="E539" s="5">
        <f t="shared" si="65"/>
        <v>6500</v>
      </c>
      <c r="F539" s="5"/>
      <c r="G539" s="5">
        <f>VLOOKUP(H539&amp;I539,Sheet2!$J:$K,2,0)</f>
        <v>95301138</v>
      </c>
      <c r="H539" s="5" t="s">
        <v>225</v>
      </c>
      <c r="I539" s="5" t="s">
        <v>199</v>
      </c>
      <c r="J539" s="5" t="s">
        <v>200</v>
      </c>
      <c r="K539" s="5">
        <v>1</v>
      </c>
      <c r="L539" s="5" t="s">
        <v>94</v>
      </c>
      <c r="M539" s="5">
        <f>ROUNDDOWN(VLOOKUP(J539,Sheet1!$N$32:$O$37,2,0)*1000,0)</f>
        <v>250</v>
      </c>
      <c r="O539" s="67">
        <f t="shared" si="64"/>
        <v>0.0172413793103448</v>
      </c>
      <c r="P539" s="67">
        <v>11100</v>
      </c>
    </row>
    <row r="540" spans="1:16">
      <c r="A540" s="5">
        <v>538</v>
      </c>
      <c r="B540" s="5">
        <v>11100</v>
      </c>
      <c r="C540" s="5">
        <v>6</v>
      </c>
      <c r="D540" s="5">
        <f t="shared" si="66"/>
        <v>6500</v>
      </c>
      <c r="E540" s="5">
        <f t="shared" si="65"/>
        <v>6750</v>
      </c>
      <c r="F540" s="5"/>
      <c r="G540" s="5">
        <f>VLOOKUP(H540&amp;I540,Sheet2!$J:$K,2,0)</f>
        <v>95301098</v>
      </c>
      <c r="H540" s="5" t="s">
        <v>226</v>
      </c>
      <c r="I540" s="5" t="s">
        <v>199</v>
      </c>
      <c r="J540" s="5" t="s">
        <v>200</v>
      </c>
      <c r="K540" s="5">
        <v>1</v>
      </c>
      <c r="L540" s="5" t="s">
        <v>94</v>
      </c>
      <c r="M540" s="5">
        <f>ROUNDDOWN(VLOOKUP(J540,Sheet1!$N$32:$O$37,2,0)*1000,0)</f>
        <v>250</v>
      </c>
      <c r="O540" s="67">
        <f t="shared" si="64"/>
        <v>0.0172413793103448</v>
      </c>
      <c r="P540" s="67">
        <v>11100</v>
      </c>
    </row>
    <row r="541" spans="1:16">
      <c r="A541" s="5">
        <v>539</v>
      </c>
      <c r="B541" s="5">
        <v>11100</v>
      </c>
      <c r="C541" s="5">
        <v>6</v>
      </c>
      <c r="D541" s="5">
        <f t="shared" si="66"/>
        <v>6750</v>
      </c>
      <c r="E541" s="5">
        <f t="shared" si="65"/>
        <v>7000</v>
      </c>
      <c r="F541" s="5"/>
      <c r="G541" s="5">
        <f>VLOOKUP(H541&amp;I541,Sheet2!$J:$K,2,0)</f>
        <v>95201188</v>
      </c>
      <c r="H541" s="5" t="s">
        <v>227</v>
      </c>
      <c r="I541" s="5" t="s">
        <v>199</v>
      </c>
      <c r="J541" s="5" t="s">
        <v>200</v>
      </c>
      <c r="K541" s="5">
        <v>1</v>
      </c>
      <c r="L541" s="5" t="s">
        <v>94</v>
      </c>
      <c r="M541" s="5">
        <f>ROUNDDOWN(VLOOKUP(J541,Sheet1!$N$32:$O$37,2,0)*1000,0)</f>
        <v>250</v>
      </c>
      <c r="O541" s="67">
        <f t="shared" si="64"/>
        <v>0.0172413793103448</v>
      </c>
      <c r="P541" s="67">
        <v>11100</v>
      </c>
    </row>
    <row r="542" spans="1:16">
      <c r="A542" s="5">
        <v>540</v>
      </c>
      <c r="B542" s="5">
        <v>11100</v>
      </c>
      <c r="C542" s="5">
        <v>6</v>
      </c>
      <c r="D542" s="5">
        <f t="shared" si="66"/>
        <v>7000</v>
      </c>
      <c r="E542" s="5">
        <f t="shared" si="65"/>
        <v>7250</v>
      </c>
      <c r="F542" s="5"/>
      <c r="G542" s="5">
        <f>VLOOKUP(H542&amp;I542,Sheet2!$J:$K,2,0)</f>
        <v>95301148</v>
      </c>
      <c r="H542" s="5" t="s">
        <v>228</v>
      </c>
      <c r="I542" s="5" t="s">
        <v>199</v>
      </c>
      <c r="J542" s="5" t="s">
        <v>200</v>
      </c>
      <c r="K542" s="5">
        <v>1</v>
      </c>
      <c r="L542" s="5" t="s">
        <v>94</v>
      </c>
      <c r="M542" s="5">
        <f>ROUNDDOWN(VLOOKUP(J542,Sheet1!$N$32:$O$37,2,0)*1000,0)</f>
        <v>250</v>
      </c>
      <c r="O542" s="67">
        <f t="shared" si="64"/>
        <v>0.0172413793103448</v>
      </c>
      <c r="P542" s="67">
        <v>11100</v>
      </c>
    </row>
    <row r="543" spans="1:16">
      <c r="A543" s="5">
        <v>541</v>
      </c>
      <c r="B543" s="5">
        <v>11100</v>
      </c>
      <c r="C543" s="5">
        <v>6</v>
      </c>
      <c r="D543" s="5">
        <f t="shared" si="66"/>
        <v>7250</v>
      </c>
      <c r="E543" s="5">
        <f t="shared" si="65"/>
        <v>7500</v>
      </c>
      <c r="F543" s="5"/>
      <c r="G543" s="5">
        <f>VLOOKUP(H543&amp;I543,Sheet2!$J:$K,2,0)</f>
        <v>95301158</v>
      </c>
      <c r="H543" s="5" t="s">
        <v>229</v>
      </c>
      <c r="I543" s="5" t="s">
        <v>199</v>
      </c>
      <c r="J543" s="5" t="s">
        <v>200</v>
      </c>
      <c r="K543" s="5">
        <v>1</v>
      </c>
      <c r="L543" s="5" t="s">
        <v>94</v>
      </c>
      <c r="M543" s="5">
        <f>ROUNDDOWN(VLOOKUP(J543,Sheet1!$N$32:$O$37,2,0)*1000,0)</f>
        <v>250</v>
      </c>
      <c r="O543" s="67">
        <f t="shared" si="64"/>
        <v>0.0172413793103448</v>
      </c>
      <c r="P543" s="67">
        <v>11000</v>
      </c>
    </row>
    <row r="544" spans="1:16">
      <c r="A544" s="5">
        <v>542</v>
      </c>
      <c r="B544" s="5">
        <v>11000</v>
      </c>
      <c r="C544" s="5">
        <v>6</v>
      </c>
      <c r="D544" s="5">
        <f t="shared" si="66"/>
        <v>7500</v>
      </c>
      <c r="E544" s="5">
        <f t="shared" si="65"/>
        <v>7750</v>
      </c>
      <c r="F544" s="5"/>
      <c r="G544" s="5">
        <f>VLOOKUP(H544&amp;I544,Sheet2!$J:$K,2,0)</f>
        <v>95110038</v>
      </c>
      <c r="H544" s="5" t="s">
        <v>230</v>
      </c>
      <c r="I544" s="5" t="s">
        <v>199</v>
      </c>
      <c r="J544" s="5" t="s">
        <v>200</v>
      </c>
      <c r="K544" s="5">
        <v>1</v>
      </c>
      <c r="L544" s="5" t="s">
        <v>76</v>
      </c>
      <c r="M544" s="5">
        <f>ROUNDDOWN(VLOOKUP(J544,Sheet1!$N$32:$O$37,2,0)*1000,0)</f>
        <v>250</v>
      </c>
    </row>
    <row r="545" spans="1:16">
      <c r="A545" s="5">
        <v>543</v>
      </c>
      <c r="B545" s="5">
        <v>11000</v>
      </c>
      <c r="C545" s="5">
        <v>6</v>
      </c>
      <c r="D545" s="5">
        <f t="shared" si="66"/>
        <v>7750</v>
      </c>
      <c r="E545" s="5">
        <f t="shared" si="65"/>
        <v>8000</v>
      </c>
      <c r="F545" s="5"/>
      <c r="G545" s="5">
        <f>VLOOKUP(H545&amp;I545,Sheet2!$J:$K,2,0)</f>
        <v>95110048</v>
      </c>
      <c r="H545" s="5" t="s">
        <v>231</v>
      </c>
      <c r="I545" s="5" t="s">
        <v>199</v>
      </c>
      <c r="J545" s="5" t="s">
        <v>200</v>
      </c>
      <c r="K545" s="5">
        <v>1</v>
      </c>
      <c r="L545" s="5" t="s">
        <v>76</v>
      </c>
      <c r="M545" s="5">
        <f>ROUNDDOWN(VLOOKUP(J545,Sheet1!$N$32:$O$37,2,0)*1000,0)</f>
        <v>250</v>
      </c>
    </row>
    <row r="546" spans="1:16">
      <c r="A546" s="5">
        <v>544</v>
      </c>
      <c r="B546" s="5">
        <v>11000</v>
      </c>
      <c r="C546" s="5">
        <v>6</v>
      </c>
      <c r="D546" s="5">
        <f t="shared" si="66"/>
        <v>8000</v>
      </c>
      <c r="E546" s="5">
        <f t="shared" si="65"/>
        <v>8250</v>
      </c>
      <c r="F546" s="5"/>
      <c r="G546" s="5">
        <f>VLOOKUP(H546&amp;I546,Sheet2!$J:$K,2,0)</f>
        <v>95130028</v>
      </c>
      <c r="H546" s="5" t="s">
        <v>232</v>
      </c>
      <c r="I546" s="5" t="s">
        <v>199</v>
      </c>
      <c r="J546" s="5" t="s">
        <v>200</v>
      </c>
      <c r="K546" s="5">
        <v>1</v>
      </c>
      <c r="L546" s="5" t="s">
        <v>76</v>
      </c>
      <c r="M546" s="5">
        <f>ROUNDDOWN(VLOOKUP(J546,Sheet1!$N$32:$O$37,2,0)*1000,0)</f>
        <v>250</v>
      </c>
    </row>
    <row r="547" spans="1:16">
      <c r="A547" s="5">
        <v>545</v>
      </c>
      <c r="B547" s="5">
        <v>11100</v>
      </c>
      <c r="C547" s="5">
        <v>6</v>
      </c>
      <c r="D547" s="5">
        <f>E542</f>
        <v>7250</v>
      </c>
      <c r="E547" s="5">
        <f t="shared" si="65"/>
        <v>7500</v>
      </c>
      <c r="F547" s="5"/>
      <c r="G547" s="5">
        <f>VLOOKUP(H547&amp;I547,Sheet2!$J:$K,2,0)</f>
        <v>95101019</v>
      </c>
      <c r="H547" s="5" t="s">
        <v>198</v>
      </c>
      <c r="I547" s="5" t="s">
        <v>233</v>
      </c>
      <c r="J547" s="5" t="s">
        <v>200</v>
      </c>
      <c r="K547" s="5">
        <v>1</v>
      </c>
      <c r="L547" s="5" t="s">
        <v>94</v>
      </c>
      <c r="M547" s="5">
        <f>ROUNDDOWN(VLOOKUP(J547,Sheet1!$N$32:$O$37,2,0)*1000,0)</f>
        <v>250</v>
      </c>
      <c r="O547" s="67">
        <f t="shared" ref="O547:O575" si="67">(E547-D547)/$E$575</f>
        <v>0.0172413793103448</v>
      </c>
      <c r="P547" s="67">
        <v>11100</v>
      </c>
    </row>
    <row r="548" spans="1:16">
      <c r="A548" s="5">
        <v>546</v>
      </c>
      <c r="B548" s="5">
        <v>11100</v>
      </c>
      <c r="C548" s="5">
        <v>6</v>
      </c>
      <c r="D548" s="5">
        <f t="shared" ref="D548:D579" si="68">E547</f>
        <v>7500</v>
      </c>
      <c r="E548" s="5">
        <f t="shared" si="65"/>
        <v>7750</v>
      </c>
      <c r="F548" s="5"/>
      <c r="G548" s="5">
        <f>VLOOKUP(H548&amp;I548,Sheet2!$J:$K,2,0)</f>
        <v>95101029</v>
      </c>
      <c r="H548" s="5" t="s">
        <v>201</v>
      </c>
      <c r="I548" s="5" t="s">
        <v>233</v>
      </c>
      <c r="J548" s="5" t="s">
        <v>200</v>
      </c>
      <c r="K548" s="5">
        <v>1</v>
      </c>
      <c r="L548" s="5" t="s">
        <v>94</v>
      </c>
      <c r="M548" s="5">
        <f>ROUNDDOWN(VLOOKUP(J548,Sheet1!$N$32:$O$37,2,0)*1000,0)</f>
        <v>250</v>
      </c>
      <c r="O548" s="67">
        <f t="shared" si="67"/>
        <v>0.0172413793103448</v>
      </c>
      <c r="P548" s="67">
        <v>11100</v>
      </c>
    </row>
    <row r="549" spans="1:16">
      <c r="A549" s="5">
        <v>547</v>
      </c>
      <c r="B549" s="5">
        <v>11100</v>
      </c>
      <c r="C549" s="5">
        <v>6</v>
      </c>
      <c r="D549" s="5">
        <f t="shared" si="68"/>
        <v>7750</v>
      </c>
      <c r="E549" s="5">
        <f t="shared" si="65"/>
        <v>8000</v>
      </c>
      <c r="F549" s="5"/>
      <c r="G549" s="5">
        <f>VLOOKUP(H549&amp;I549,Sheet2!$J:$K,2,0)</f>
        <v>95102019</v>
      </c>
      <c r="H549" s="5" t="s">
        <v>202</v>
      </c>
      <c r="I549" s="5" t="s">
        <v>233</v>
      </c>
      <c r="J549" s="5" t="s">
        <v>200</v>
      </c>
      <c r="K549" s="5">
        <v>1</v>
      </c>
      <c r="L549" s="5" t="s">
        <v>94</v>
      </c>
      <c r="M549" s="5">
        <f>ROUNDDOWN(VLOOKUP(J549,Sheet1!$N$32:$O$37,2,0)*1000,0)</f>
        <v>250</v>
      </c>
      <c r="O549" s="67">
        <f t="shared" si="67"/>
        <v>0.0172413793103448</v>
      </c>
      <c r="P549" s="67">
        <v>11100</v>
      </c>
    </row>
    <row r="550" spans="1:16">
      <c r="A550" s="5">
        <v>548</v>
      </c>
      <c r="B550" s="5">
        <v>11100</v>
      </c>
      <c r="C550" s="5">
        <v>6</v>
      </c>
      <c r="D550" s="5">
        <f t="shared" si="68"/>
        <v>8000</v>
      </c>
      <c r="E550" s="5">
        <f t="shared" ref="E550:E579" si="69">D550+M550</f>
        <v>8250</v>
      </c>
      <c r="F550" s="5"/>
      <c r="G550" s="5">
        <f>VLOOKUP(H550&amp;I550,Sheet2!$J:$K,2,0)</f>
        <v>95102029</v>
      </c>
      <c r="H550" s="5" t="s">
        <v>203</v>
      </c>
      <c r="I550" s="5" t="s">
        <v>233</v>
      </c>
      <c r="J550" s="5" t="s">
        <v>200</v>
      </c>
      <c r="K550" s="5">
        <v>1</v>
      </c>
      <c r="L550" s="5" t="s">
        <v>94</v>
      </c>
      <c r="M550" s="5">
        <f>ROUNDDOWN(VLOOKUP(J550,Sheet1!$N$32:$O$37,2,0)*1000,0)</f>
        <v>250</v>
      </c>
      <c r="O550" s="67">
        <f t="shared" si="67"/>
        <v>0.0172413793103448</v>
      </c>
      <c r="P550" s="67">
        <v>11100</v>
      </c>
    </row>
    <row r="551" spans="1:16">
      <c r="A551" s="5">
        <v>549</v>
      </c>
      <c r="B551" s="5">
        <v>11100</v>
      </c>
      <c r="C551" s="5">
        <v>6</v>
      </c>
      <c r="D551" s="5">
        <f t="shared" si="68"/>
        <v>8250</v>
      </c>
      <c r="E551" s="5">
        <f t="shared" si="69"/>
        <v>8500</v>
      </c>
      <c r="F551" s="5"/>
      <c r="G551" s="5">
        <f>VLOOKUP(H551&amp;I551,Sheet2!$J:$K,2,0)</f>
        <v>95103019</v>
      </c>
      <c r="H551" s="5" t="s">
        <v>204</v>
      </c>
      <c r="I551" s="5" t="s">
        <v>233</v>
      </c>
      <c r="J551" s="5" t="s">
        <v>200</v>
      </c>
      <c r="K551" s="5">
        <v>1</v>
      </c>
      <c r="L551" s="5" t="s">
        <v>94</v>
      </c>
      <c r="M551" s="5">
        <f>ROUNDDOWN(VLOOKUP(J551,Sheet1!$N$32:$O$37,2,0)*1000,0)</f>
        <v>250</v>
      </c>
      <c r="O551" s="67">
        <f t="shared" si="67"/>
        <v>0.0172413793103448</v>
      </c>
      <c r="P551" s="67">
        <v>11100</v>
      </c>
    </row>
    <row r="552" spans="1:16">
      <c r="A552" s="5">
        <v>550</v>
      </c>
      <c r="B552" s="5">
        <v>11100</v>
      </c>
      <c r="C552" s="5">
        <v>6</v>
      </c>
      <c r="D552" s="5">
        <f t="shared" si="68"/>
        <v>8500</v>
      </c>
      <c r="E552" s="5">
        <f t="shared" si="69"/>
        <v>8750</v>
      </c>
      <c r="F552" s="5"/>
      <c r="G552" s="5">
        <f>VLOOKUP(H552&amp;I552,Sheet2!$J:$K,2,0)</f>
        <v>95104019</v>
      </c>
      <c r="H552" s="5" t="s">
        <v>205</v>
      </c>
      <c r="I552" s="5" t="s">
        <v>233</v>
      </c>
      <c r="J552" s="5" t="s">
        <v>200</v>
      </c>
      <c r="K552" s="5">
        <v>1</v>
      </c>
      <c r="L552" s="5" t="s">
        <v>94</v>
      </c>
      <c r="M552" s="5">
        <f>ROUNDDOWN(VLOOKUP(J552,Sheet1!$N$32:$O$37,2,0)*1000,0)</f>
        <v>250</v>
      </c>
      <c r="O552" s="67">
        <f t="shared" si="67"/>
        <v>0.0172413793103448</v>
      </c>
      <c r="P552" s="67">
        <v>11100</v>
      </c>
    </row>
    <row r="553" spans="1:16">
      <c r="A553" s="5">
        <v>551</v>
      </c>
      <c r="B553" s="5">
        <v>11100</v>
      </c>
      <c r="C553" s="5">
        <v>6</v>
      </c>
      <c r="D553" s="5">
        <f t="shared" si="68"/>
        <v>8750</v>
      </c>
      <c r="E553" s="5">
        <f t="shared" si="69"/>
        <v>9000</v>
      </c>
      <c r="F553" s="5"/>
      <c r="G553" s="5">
        <f>VLOOKUP(H553&amp;I553,Sheet2!$J:$K,2,0)</f>
        <v>95104029</v>
      </c>
      <c r="H553" s="5" t="s">
        <v>206</v>
      </c>
      <c r="I553" s="5" t="s">
        <v>233</v>
      </c>
      <c r="J553" s="5" t="s">
        <v>200</v>
      </c>
      <c r="K553" s="5">
        <v>1</v>
      </c>
      <c r="L553" s="5" t="s">
        <v>94</v>
      </c>
      <c r="M553" s="5">
        <f>ROUNDDOWN(VLOOKUP(J553,Sheet1!$N$32:$O$37,2,0)*1000,0)</f>
        <v>250</v>
      </c>
      <c r="O553" s="67">
        <f t="shared" si="67"/>
        <v>0.0172413793103448</v>
      </c>
      <c r="P553" s="67">
        <v>11100</v>
      </c>
    </row>
    <row r="554" spans="1:16">
      <c r="A554" s="5">
        <v>552</v>
      </c>
      <c r="B554" s="5">
        <v>11100</v>
      </c>
      <c r="C554" s="5">
        <v>6</v>
      </c>
      <c r="D554" s="5">
        <f t="shared" si="68"/>
        <v>9000</v>
      </c>
      <c r="E554" s="5">
        <f t="shared" si="69"/>
        <v>9250</v>
      </c>
      <c r="F554" s="5"/>
      <c r="G554" s="5">
        <f>VLOOKUP(H554&amp;I554,Sheet2!$J:$K,2,0)</f>
        <v>95104039</v>
      </c>
      <c r="H554" s="5" t="s">
        <v>207</v>
      </c>
      <c r="I554" s="5" t="s">
        <v>233</v>
      </c>
      <c r="J554" s="5" t="s">
        <v>200</v>
      </c>
      <c r="K554" s="5">
        <v>1</v>
      </c>
      <c r="L554" s="5" t="s">
        <v>94</v>
      </c>
      <c r="M554" s="5">
        <f>ROUNDDOWN(VLOOKUP(J554,Sheet1!$N$32:$O$37,2,0)*1000,0)</f>
        <v>250</v>
      </c>
      <c r="O554" s="67">
        <f t="shared" si="67"/>
        <v>0.0172413793103448</v>
      </c>
      <c r="P554" s="67">
        <v>11100</v>
      </c>
    </row>
    <row r="555" spans="1:16">
      <c r="A555" s="5">
        <v>553</v>
      </c>
      <c r="B555" s="5">
        <v>11100</v>
      </c>
      <c r="C555" s="5">
        <v>6</v>
      </c>
      <c r="D555" s="5">
        <f t="shared" si="68"/>
        <v>9250</v>
      </c>
      <c r="E555" s="5">
        <f t="shared" si="69"/>
        <v>9500</v>
      </c>
      <c r="F555" s="5"/>
      <c r="G555" s="5">
        <f>VLOOKUP(H555&amp;I555,Sheet2!$J:$K,2,0)</f>
        <v>95106019</v>
      </c>
      <c r="H555" s="5" t="s">
        <v>208</v>
      </c>
      <c r="I555" s="5" t="s">
        <v>233</v>
      </c>
      <c r="J555" s="5" t="s">
        <v>200</v>
      </c>
      <c r="K555" s="5">
        <v>1</v>
      </c>
      <c r="L555" s="5" t="s">
        <v>94</v>
      </c>
      <c r="M555" s="5">
        <f>ROUNDDOWN(VLOOKUP(J555,Sheet1!$N$32:$O$37,2,0)*1000,0)</f>
        <v>250</v>
      </c>
      <c r="O555" s="67">
        <f t="shared" si="67"/>
        <v>0.0172413793103448</v>
      </c>
      <c r="P555" s="67">
        <v>11100</v>
      </c>
    </row>
    <row r="556" spans="1:16">
      <c r="A556" s="5">
        <v>554</v>
      </c>
      <c r="B556" s="5">
        <v>11100</v>
      </c>
      <c r="C556" s="5">
        <v>6</v>
      </c>
      <c r="D556" s="5">
        <f t="shared" si="68"/>
        <v>9500</v>
      </c>
      <c r="E556" s="5">
        <f t="shared" si="69"/>
        <v>9750</v>
      </c>
      <c r="F556" s="5"/>
      <c r="G556" s="5">
        <f>VLOOKUP(H556&amp;I556,Sheet2!$J:$K,2,0)</f>
        <v>95109019</v>
      </c>
      <c r="H556" s="5" t="s">
        <v>209</v>
      </c>
      <c r="I556" s="5" t="s">
        <v>233</v>
      </c>
      <c r="J556" s="5" t="s">
        <v>200</v>
      </c>
      <c r="K556" s="5">
        <v>1</v>
      </c>
      <c r="L556" s="5" t="s">
        <v>94</v>
      </c>
      <c r="M556" s="5">
        <f>ROUNDDOWN(VLOOKUP(J556,Sheet1!$N$32:$O$37,2,0)*1000,0)</f>
        <v>250</v>
      </c>
      <c r="O556" s="67">
        <f t="shared" si="67"/>
        <v>0.0172413793103448</v>
      </c>
      <c r="P556" s="67">
        <v>11100</v>
      </c>
    </row>
    <row r="557" spans="1:16">
      <c r="A557" s="5">
        <v>555</v>
      </c>
      <c r="B557" s="5">
        <v>11100</v>
      </c>
      <c r="C557" s="5">
        <v>6</v>
      </c>
      <c r="D557" s="5">
        <f t="shared" si="68"/>
        <v>9750</v>
      </c>
      <c r="E557" s="5">
        <f t="shared" si="69"/>
        <v>10000</v>
      </c>
      <c r="F557" s="5"/>
      <c r="G557" s="5">
        <f>VLOOKUP(H557&amp;I557,Sheet2!$J:$K,2,0)</f>
        <v>95110019</v>
      </c>
      <c r="H557" s="5" t="s">
        <v>210</v>
      </c>
      <c r="I557" s="5" t="s">
        <v>233</v>
      </c>
      <c r="J557" s="5" t="s">
        <v>200</v>
      </c>
      <c r="K557" s="5">
        <v>1</v>
      </c>
      <c r="L557" s="5" t="s">
        <v>94</v>
      </c>
      <c r="M557" s="5">
        <f>ROUNDDOWN(VLOOKUP(J557,Sheet1!$N$32:$O$37,2,0)*1000,0)</f>
        <v>250</v>
      </c>
      <c r="O557" s="67">
        <f t="shared" si="67"/>
        <v>0.0172413793103448</v>
      </c>
      <c r="P557" s="67">
        <v>11100</v>
      </c>
    </row>
    <row r="558" spans="1:16">
      <c r="A558" s="5">
        <v>556</v>
      </c>
      <c r="B558" s="5">
        <v>11100</v>
      </c>
      <c r="C558" s="5">
        <v>6</v>
      </c>
      <c r="D558" s="5">
        <f t="shared" si="68"/>
        <v>10000</v>
      </c>
      <c r="E558" s="5">
        <f t="shared" si="69"/>
        <v>10250</v>
      </c>
      <c r="F558" s="5"/>
      <c r="G558" s="5">
        <f>VLOOKUP(H558&amp;I558,Sheet2!$J:$K,2,0)</f>
        <v>95111019</v>
      </c>
      <c r="H558" s="5" t="s">
        <v>211</v>
      </c>
      <c r="I558" s="5" t="s">
        <v>233</v>
      </c>
      <c r="J558" s="5" t="s">
        <v>200</v>
      </c>
      <c r="K558" s="5">
        <v>1</v>
      </c>
      <c r="L558" s="5" t="s">
        <v>94</v>
      </c>
      <c r="M558" s="5">
        <f>ROUNDDOWN(VLOOKUP(J558,Sheet1!$N$32:$O$37,2,0)*1000,0)</f>
        <v>250</v>
      </c>
      <c r="O558" s="67">
        <f t="shared" si="67"/>
        <v>0.0172413793103448</v>
      </c>
      <c r="P558" s="67">
        <v>11100</v>
      </c>
    </row>
    <row r="559" spans="1:16">
      <c r="A559" s="5">
        <v>557</v>
      </c>
      <c r="B559" s="5">
        <v>11100</v>
      </c>
      <c r="C559" s="5">
        <v>6</v>
      </c>
      <c r="D559" s="5">
        <f t="shared" si="68"/>
        <v>10250</v>
      </c>
      <c r="E559" s="5">
        <f t="shared" si="69"/>
        <v>10500</v>
      </c>
      <c r="F559" s="5"/>
      <c r="G559" s="5">
        <f>VLOOKUP(H559&amp;I559,Sheet2!$J:$K,2,0)</f>
        <v>95120019</v>
      </c>
      <c r="H559" s="5" t="s">
        <v>212</v>
      </c>
      <c r="I559" s="5" t="s">
        <v>233</v>
      </c>
      <c r="J559" s="5" t="s">
        <v>200</v>
      </c>
      <c r="K559" s="5">
        <v>1</v>
      </c>
      <c r="L559" s="5" t="s">
        <v>94</v>
      </c>
      <c r="M559" s="5">
        <f>ROUNDDOWN(VLOOKUP(J559,Sheet1!$N$32:$O$37,2,0)*1000,0)</f>
        <v>250</v>
      </c>
      <c r="O559" s="67">
        <f t="shared" si="67"/>
        <v>0.0172413793103448</v>
      </c>
      <c r="P559" s="67">
        <v>11100</v>
      </c>
    </row>
    <row r="560" spans="1:16">
      <c r="A560" s="5">
        <v>558</v>
      </c>
      <c r="B560" s="5">
        <v>11100</v>
      </c>
      <c r="C560" s="5">
        <v>6</v>
      </c>
      <c r="D560" s="5">
        <f t="shared" si="68"/>
        <v>10500</v>
      </c>
      <c r="E560" s="5">
        <f t="shared" si="69"/>
        <v>10750</v>
      </c>
      <c r="F560" s="5"/>
      <c r="G560" s="5">
        <f>VLOOKUP(H560&amp;I560,Sheet2!$J:$K,2,0)</f>
        <v>95140019</v>
      </c>
      <c r="H560" s="5" t="s">
        <v>213</v>
      </c>
      <c r="I560" s="5" t="s">
        <v>233</v>
      </c>
      <c r="J560" s="5" t="s">
        <v>200</v>
      </c>
      <c r="K560" s="5">
        <v>1</v>
      </c>
      <c r="L560" s="5" t="s">
        <v>94</v>
      </c>
      <c r="M560" s="5">
        <f>ROUNDDOWN(VLOOKUP(J560,Sheet1!$N$32:$O$37,2,0)*1000,0)</f>
        <v>250</v>
      </c>
      <c r="O560" s="67">
        <f t="shared" si="67"/>
        <v>0.0172413793103448</v>
      </c>
      <c r="P560" s="67">
        <v>11100</v>
      </c>
    </row>
    <row r="561" spans="1:16">
      <c r="A561" s="5">
        <v>559</v>
      </c>
      <c r="B561" s="5">
        <v>11100</v>
      </c>
      <c r="C561" s="5">
        <v>6</v>
      </c>
      <c r="D561" s="5">
        <f t="shared" si="68"/>
        <v>10750</v>
      </c>
      <c r="E561" s="5">
        <f t="shared" si="69"/>
        <v>11000</v>
      </c>
      <c r="F561" s="5"/>
      <c r="G561" s="5">
        <f>VLOOKUP(H561&amp;I561,Sheet2!$J:$K,2,0)</f>
        <v>95105029</v>
      </c>
      <c r="H561" s="5" t="s">
        <v>214</v>
      </c>
      <c r="I561" s="5" t="s">
        <v>233</v>
      </c>
      <c r="J561" s="5" t="s">
        <v>200</v>
      </c>
      <c r="K561" s="5">
        <v>1</v>
      </c>
      <c r="L561" s="5" t="s">
        <v>94</v>
      </c>
      <c r="M561" s="5">
        <f>ROUNDDOWN(VLOOKUP(J561,Sheet1!$N$32:$O$37,2,0)*1000,0)</f>
        <v>250</v>
      </c>
      <c r="O561" s="67">
        <f t="shared" si="67"/>
        <v>0.0172413793103448</v>
      </c>
    </row>
    <row r="562" spans="1:16">
      <c r="A562" s="5">
        <v>560</v>
      </c>
      <c r="B562" s="5">
        <v>11100</v>
      </c>
      <c r="C562" s="5">
        <v>6</v>
      </c>
      <c r="D562" s="5">
        <f t="shared" si="68"/>
        <v>11000</v>
      </c>
      <c r="E562" s="5">
        <f t="shared" si="69"/>
        <v>11250</v>
      </c>
      <c r="F562" s="5"/>
      <c r="G562" s="5">
        <f>VLOOKUP(H562&amp;I562,Sheet2!$J:$K,2,0)</f>
        <v>95109029</v>
      </c>
      <c r="H562" s="5" t="s">
        <v>215</v>
      </c>
      <c r="I562" s="5" t="s">
        <v>233</v>
      </c>
      <c r="J562" s="5" t="s">
        <v>200</v>
      </c>
      <c r="K562" s="5">
        <v>1</v>
      </c>
      <c r="L562" s="5" t="s">
        <v>94</v>
      </c>
      <c r="M562" s="5">
        <f>ROUNDDOWN(VLOOKUP(J562,Sheet1!$N$32:$O$37,2,0)*1000,0)</f>
        <v>250</v>
      </c>
      <c r="O562" s="67">
        <f t="shared" si="67"/>
        <v>0.0172413793103448</v>
      </c>
    </row>
    <row r="563" spans="1:16">
      <c r="A563" s="5">
        <v>561</v>
      </c>
      <c r="B563" s="5">
        <v>11100</v>
      </c>
      <c r="C563" s="5">
        <v>6</v>
      </c>
      <c r="D563" s="5">
        <f t="shared" si="68"/>
        <v>11250</v>
      </c>
      <c r="E563" s="5">
        <f t="shared" si="69"/>
        <v>11500</v>
      </c>
      <c r="F563" s="5"/>
      <c r="G563" s="5">
        <f>VLOOKUP(H563&amp;I563,Sheet2!$J:$K,2,0)</f>
        <v>95110029</v>
      </c>
      <c r="H563" s="5" t="s">
        <v>216</v>
      </c>
      <c r="I563" s="5" t="s">
        <v>233</v>
      </c>
      <c r="J563" s="5" t="s">
        <v>200</v>
      </c>
      <c r="K563" s="5">
        <v>1</v>
      </c>
      <c r="L563" s="5" t="s">
        <v>94</v>
      </c>
      <c r="M563" s="5">
        <f>ROUNDDOWN(VLOOKUP(J563,Sheet1!$N$32:$O$37,2,0)*1000,0)</f>
        <v>250</v>
      </c>
      <c r="O563" s="67">
        <f t="shared" si="67"/>
        <v>0.0172413793103448</v>
      </c>
    </row>
    <row r="564" spans="1:16">
      <c r="A564" s="5">
        <v>562</v>
      </c>
      <c r="B564" s="5">
        <v>11100</v>
      </c>
      <c r="C564" s="5">
        <v>6</v>
      </c>
      <c r="D564" s="5">
        <f t="shared" si="68"/>
        <v>11500</v>
      </c>
      <c r="E564" s="5">
        <f t="shared" si="69"/>
        <v>11750</v>
      </c>
      <c r="F564" s="5"/>
      <c r="G564" s="5">
        <f>VLOOKUP(H564&amp;I564,Sheet2!$J:$K,2,0)</f>
        <v>95150029</v>
      </c>
      <c r="H564" s="5" t="s">
        <v>217</v>
      </c>
      <c r="I564" s="5" t="s">
        <v>233</v>
      </c>
      <c r="J564" s="5" t="s">
        <v>200</v>
      </c>
      <c r="K564" s="5">
        <v>1</v>
      </c>
      <c r="L564" s="5" t="s">
        <v>94</v>
      </c>
      <c r="M564" s="5">
        <f>ROUNDDOWN(VLOOKUP(J564,Sheet1!$N$32:$O$37,2,0)*1000,0)</f>
        <v>250</v>
      </c>
      <c r="O564" s="67">
        <f t="shared" si="67"/>
        <v>0.0172413793103448</v>
      </c>
    </row>
    <row r="565" spans="1:16">
      <c r="A565" s="5">
        <v>563</v>
      </c>
      <c r="B565" s="5">
        <v>11100</v>
      </c>
      <c r="C565" s="5">
        <v>6</v>
      </c>
      <c r="D565" s="5">
        <f t="shared" si="68"/>
        <v>11750</v>
      </c>
      <c r="E565" s="5">
        <f t="shared" si="69"/>
        <v>12000</v>
      </c>
      <c r="F565" s="5"/>
      <c r="G565" s="5">
        <f>VLOOKUP(H565&amp;I565,Sheet2!$J:$K,2,0)</f>
        <v>95201039</v>
      </c>
      <c r="H565" s="5" t="s">
        <v>218</v>
      </c>
      <c r="I565" s="5" t="s">
        <v>233</v>
      </c>
      <c r="J565" s="5" t="s">
        <v>200</v>
      </c>
      <c r="K565" s="5">
        <v>1</v>
      </c>
      <c r="L565" s="5" t="s">
        <v>94</v>
      </c>
      <c r="M565" s="5">
        <f>ROUNDDOWN(VLOOKUP(J565,Sheet1!$N$32:$O$37,2,0)*1000,0)</f>
        <v>250</v>
      </c>
      <c r="O565" s="67">
        <f t="shared" si="67"/>
        <v>0.0172413793103448</v>
      </c>
      <c r="P565" s="67">
        <v>11100</v>
      </c>
    </row>
    <row r="566" spans="1:16">
      <c r="A566" s="5">
        <v>564</v>
      </c>
      <c r="B566" s="5">
        <v>11100</v>
      </c>
      <c r="C566" s="5">
        <v>6</v>
      </c>
      <c r="D566" s="5">
        <f t="shared" si="68"/>
        <v>12000</v>
      </c>
      <c r="E566" s="5">
        <f t="shared" si="69"/>
        <v>12250</v>
      </c>
      <c r="F566" s="5"/>
      <c r="G566" s="5">
        <f>VLOOKUP(H566&amp;I566,Sheet2!$J:$K,2,0)</f>
        <v>95201119</v>
      </c>
      <c r="H566" s="5" t="s">
        <v>219</v>
      </c>
      <c r="I566" s="5" t="s">
        <v>233</v>
      </c>
      <c r="J566" s="5" t="s">
        <v>200</v>
      </c>
      <c r="K566" s="5">
        <v>1</v>
      </c>
      <c r="L566" s="5" t="s">
        <v>94</v>
      </c>
      <c r="M566" s="5">
        <f>ROUNDDOWN(VLOOKUP(J566,Sheet1!$N$32:$O$37,2,0)*1000,0)</f>
        <v>250</v>
      </c>
      <c r="O566" s="67">
        <f t="shared" si="67"/>
        <v>0.0172413793103448</v>
      </c>
      <c r="P566" s="67">
        <v>11100</v>
      </c>
    </row>
    <row r="567" spans="1:16">
      <c r="A567" s="5">
        <v>565</v>
      </c>
      <c r="B567" s="5">
        <v>11100</v>
      </c>
      <c r="C567" s="5">
        <v>6</v>
      </c>
      <c r="D567" s="5">
        <f t="shared" si="68"/>
        <v>12250</v>
      </c>
      <c r="E567" s="5">
        <f t="shared" si="69"/>
        <v>12500</v>
      </c>
      <c r="F567" s="5"/>
      <c r="G567" s="5">
        <f>VLOOKUP(H567&amp;I567,Sheet2!$J:$K,2,0)</f>
        <v>95201159</v>
      </c>
      <c r="H567" s="5" t="s">
        <v>220</v>
      </c>
      <c r="I567" s="5" t="s">
        <v>233</v>
      </c>
      <c r="J567" s="5" t="s">
        <v>200</v>
      </c>
      <c r="K567" s="5">
        <v>1</v>
      </c>
      <c r="L567" s="5" t="s">
        <v>94</v>
      </c>
      <c r="M567" s="5">
        <f>ROUNDDOWN(VLOOKUP(J567,Sheet1!$N$32:$O$37,2,0)*1000,0)</f>
        <v>250</v>
      </c>
      <c r="O567" s="67">
        <f t="shared" si="67"/>
        <v>0.0172413793103448</v>
      </c>
      <c r="P567" s="67">
        <v>11100</v>
      </c>
    </row>
    <row r="568" spans="1:16">
      <c r="A568" s="5">
        <v>566</v>
      </c>
      <c r="B568" s="5">
        <v>11100</v>
      </c>
      <c r="C568" s="5">
        <v>6</v>
      </c>
      <c r="D568" s="5">
        <f t="shared" si="68"/>
        <v>12500</v>
      </c>
      <c r="E568" s="5">
        <f t="shared" si="69"/>
        <v>12750</v>
      </c>
      <c r="F568" s="5"/>
      <c r="G568" s="5">
        <f>VLOOKUP(H568&amp;I568,Sheet2!$J:$K,2,0)</f>
        <v>95201169</v>
      </c>
      <c r="H568" s="5" t="s">
        <v>221</v>
      </c>
      <c r="I568" s="5" t="s">
        <v>233</v>
      </c>
      <c r="J568" s="5" t="s">
        <v>200</v>
      </c>
      <c r="K568" s="5">
        <v>1</v>
      </c>
      <c r="L568" s="5" t="s">
        <v>94</v>
      </c>
      <c r="M568" s="5">
        <f>ROUNDDOWN(VLOOKUP(J568,Sheet1!$N$32:$O$37,2,0)*1000,0)</f>
        <v>250</v>
      </c>
      <c r="O568" s="67">
        <f t="shared" si="67"/>
        <v>0.0172413793103448</v>
      </c>
      <c r="P568" s="67">
        <v>11100</v>
      </c>
    </row>
    <row r="569" spans="1:16">
      <c r="A569" s="5">
        <v>567</v>
      </c>
      <c r="B569" s="5">
        <v>11100</v>
      </c>
      <c r="C569" s="5">
        <v>6</v>
      </c>
      <c r="D569" s="5">
        <f t="shared" si="68"/>
        <v>12750</v>
      </c>
      <c r="E569" s="5">
        <f t="shared" si="69"/>
        <v>13000</v>
      </c>
      <c r="F569" s="5"/>
      <c r="G569" s="5">
        <f>VLOOKUP(H569&amp;I569,Sheet2!$J:$K,2,0)</f>
        <v>95301029</v>
      </c>
      <c r="H569" s="5" t="s">
        <v>222</v>
      </c>
      <c r="I569" s="5" t="s">
        <v>233</v>
      </c>
      <c r="J569" s="5" t="s">
        <v>200</v>
      </c>
      <c r="K569" s="5">
        <v>1</v>
      </c>
      <c r="L569" s="5" t="s">
        <v>94</v>
      </c>
      <c r="M569" s="5">
        <f>ROUNDDOWN(VLOOKUP(J569,Sheet1!$N$32:$O$37,2,0)*1000,0)</f>
        <v>250</v>
      </c>
      <c r="O569" s="67">
        <f t="shared" si="67"/>
        <v>0.0172413793103448</v>
      </c>
      <c r="P569" s="67">
        <v>11100</v>
      </c>
    </row>
    <row r="570" spans="1:16">
      <c r="A570" s="5">
        <v>568</v>
      </c>
      <c r="B570" s="5">
        <v>11100</v>
      </c>
      <c r="C570" s="5">
        <v>6</v>
      </c>
      <c r="D570" s="5">
        <f t="shared" si="68"/>
        <v>13000</v>
      </c>
      <c r="E570" s="5">
        <f t="shared" si="69"/>
        <v>13250</v>
      </c>
      <c r="F570" s="5"/>
      <c r="G570" s="5">
        <f>VLOOKUP(H570&amp;I570,Sheet2!$J:$K,2,0)</f>
        <v>95301049</v>
      </c>
      <c r="H570" s="5" t="s">
        <v>223</v>
      </c>
      <c r="I570" s="5" t="s">
        <v>233</v>
      </c>
      <c r="J570" s="5" t="s">
        <v>200</v>
      </c>
      <c r="K570" s="5">
        <v>1</v>
      </c>
      <c r="L570" s="5" t="s">
        <v>94</v>
      </c>
      <c r="M570" s="5">
        <f>ROUNDDOWN(VLOOKUP(J570,Sheet1!$N$32:$O$37,2,0)*1000,0)</f>
        <v>250</v>
      </c>
      <c r="O570" s="67">
        <f t="shared" si="67"/>
        <v>0.0172413793103448</v>
      </c>
      <c r="P570" s="67">
        <v>11100</v>
      </c>
    </row>
    <row r="571" spans="1:16">
      <c r="A571" s="5">
        <v>569</v>
      </c>
      <c r="B571" s="5">
        <v>11100</v>
      </c>
      <c r="C571" s="5">
        <v>6</v>
      </c>
      <c r="D571" s="5">
        <f t="shared" si="68"/>
        <v>13250</v>
      </c>
      <c r="E571" s="5">
        <f t="shared" si="69"/>
        <v>13500</v>
      </c>
      <c r="F571" s="5"/>
      <c r="G571" s="5">
        <f>VLOOKUP(H571&amp;I571,Sheet2!$J:$K,2,0)</f>
        <v>95301059</v>
      </c>
      <c r="H571" s="5" t="s">
        <v>224</v>
      </c>
      <c r="I571" s="5" t="s">
        <v>233</v>
      </c>
      <c r="J571" s="5" t="s">
        <v>200</v>
      </c>
      <c r="K571" s="5">
        <v>1</v>
      </c>
      <c r="L571" s="5" t="s">
        <v>94</v>
      </c>
      <c r="M571" s="5">
        <f>ROUNDDOWN(VLOOKUP(J571,Sheet1!$N$32:$O$37,2,0)*1000,0)</f>
        <v>250</v>
      </c>
      <c r="O571" s="67">
        <f t="shared" si="67"/>
        <v>0.0172413793103448</v>
      </c>
      <c r="P571" s="67">
        <v>11100</v>
      </c>
    </row>
    <row r="572" spans="1:16">
      <c r="A572" s="5">
        <v>570</v>
      </c>
      <c r="B572" s="5">
        <v>11100</v>
      </c>
      <c r="C572" s="5">
        <v>6</v>
      </c>
      <c r="D572" s="5">
        <f t="shared" si="68"/>
        <v>13500</v>
      </c>
      <c r="E572" s="5">
        <f t="shared" si="69"/>
        <v>13750</v>
      </c>
      <c r="F572" s="5"/>
      <c r="G572" s="5">
        <f>VLOOKUP(H572&amp;I572,Sheet2!$J:$K,2,0)</f>
        <v>95301139</v>
      </c>
      <c r="H572" s="5" t="s">
        <v>225</v>
      </c>
      <c r="I572" s="5" t="s">
        <v>233</v>
      </c>
      <c r="J572" s="5" t="s">
        <v>200</v>
      </c>
      <c r="K572" s="5">
        <v>1</v>
      </c>
      <c r="L572" s="5" t="s">
        <v>94</v>
      </c>
      <c r="M572" s="5">
        <f>ROUNDDOWN(VLOOKUP(J572,Sheet1!$N$32:$O$37,2,0)*1000,0)</f>
        <v>250</v>
      </c>
      <c r="O572" s="67">
        <f t="shared" si="67"/>
        <v>0.0172413793103448</v>
      </c>
      <c r="P572" s="67">
        <v>11100</v>
      </c>
    </row>
    <row r="573" spans="1:16">
      <c r="A573" s="5">
        <v>571</v>
      </c>
      <c r="B573" s="5">
        <v>11100</v>
      </c>
      <c r="C573" s="5">
        <v>6</v>
      </c>
      <c r="D573" s="5">
        <f t="shared" si="68"/>
        <v>13750</v>
      </c>
      <c r="E573" s="5">
        <f t="shared" si="69"/>
        <v>14000</v>
      </c>
      <c r="F573" s="5"/>
      <c r="G573" s="5">
        <f>VLOOKUP(H573&amp;I573,Sheet2!$J:$K,2,0)</f>
        <v>95301099</v>
      </c>
      <c r="H573" s="5" t="s">
        <v>226</v>
      </c>
      <c r="I573" s="5" t="s">
        <v>233</v>
      </c>
      <c r="J573" s="5" t="s">
        <v>200</v>
      </c>
      <c r="K573" s="5">
        <v>1</v>
      </c>
      <c r="L573" s="5" t="s">
        <v>94</v>
      </c>
      <c r="M573" s="5">
        <f>ROUNDDOWN(VLOOKUP(J573,Sheet1!$N$32:$O$37,2,0)*1000,0)</f>
        <v>250</v>
      </c>
      <c r="O573" s="67">
        <f t="shared" si="67"/>
        <v>0.0172413793103448</v>
      </c>
      <c r="P573" s="67">
        <v>11100</v>
      </c>
    </row>
    <row r="574" spans="1:16">
      <c r="A574" s="5">
        <v>572</v>
      </c>
      <c r="B574" s="5">
        <v>11100</v>
      </c>
      <c r="C574" s="5">
        <v>6</v>
      </c>
      <c r="D574" s="5">
        <f t="shared" si="68"/>
        <v>14000</v>
      </c>
      <c r="E574" s="5">
        <f t="shared" si="69"/>
        <v>14250</v>
      </c>
      <c r="F574" s="5"/>
      <c r="G574" s="5">
        <f>VLOOKUP(H574&amp;I574,Sheet2!$J:$K,2,0)</f>
        <v>95201189</v>
      </c>
      <c r="H574" s="5" t="s">
        <v>227</v>
      </c>
      <c r="I574" s="5" t="s">
        <v>233</v>
      </c>
      <c r="J574" s="5" t="s">
        <v>200</v>
      </c>
      <c r="K574" s="5">
        <v>1</v>
      </c>
      <c r="L574" s="5" t="s">
        <v>94</v>
      </c>
      <c r="M574" s="5">
        <f>ROUNDDOWN(VLOOKUP(J574,Sheet1!$N$32:$O$37,2,0)*1000,0)</f>
        <v>250</v>
      </c>
      <c r="O574" s="67">
        <f t="shared" si="67"/>
        <v>0.0172413793103448</v>
      </c>
      <c r="P574" s="67">
        <v>11100</v>
      </c>
    </row>
    <row r="575" spans="1:16">
      <c r="A575" s="5">
        <v>573</v>
      </c>
      <c r="B575" s="5">
        <v>11100</v>
      </c>
      <c r="C575" s="5">
        <v>6</v>
      </c>
      <c r="D575" s="5">
        <f t="shared" si="68"/>
        <v>14250</v>
      </c>
      <c r="E575" s="5">
        <f t="shared" si="69"/>
        <v>14500</v>
      </c>
      <c r="F575" s="5"/>
      <c r="G575" s="5">
        <f>VLOOKUP(H575&amp;I575,Sheet2!$J:$K,2,0)</f>
        <v>95301149</v>
      </c>
      <c r="H575" s="5" t="s">
        <v>228</v>
      </c>
      <c r="I575" s="5" t="s">
        <v>233</v>
      </c>
      <c r="J575" s="5" t="s">
        <v>200</v>
      </c>
      <c r="K575" s="5">
        <v>1</v>
      </c>
      <c r="L575" s="5" t="s">
        <v>94</v>
      </c>
      <c r="M575" s="5">
        <f>ROUNDDOWN(VLOOKUP(J575,Sheet1!$N$32:$O$37,2,0)*1000,0)</f>
        <v>250</v>
      </c>
      <c r="O575" s="67">
        <f t="shared" si="67"/>
        <v>0.0172413793103448</v>
      </c>
      <c r="P575" s="67">
        <v>11100</v>
      </c>
    </row>
    <row r="576" spans="1:16">
      <c r="A576" s="5">
        <v>574</v>
      </c>
      <c r="B576" s="5">
        <v>11100</v>
      </c>
      <c r="C576" s="5">
        <v>6</v>
      </c>
      <c r="D576" s="5">
        <f t="shared" si="68"/>
        <v>14500</v>
      </c>
      <c r="E576" s="5">
        <f t="shared" si="69"/>
        <v>14750</v>
      </c>
      <c r="F576" s="5"/>
      <c r="G576" s="5">
        <f>VLOOKUP(H576&amp;I576,Sheet2!$J:$K,2,0)</f>
        <v>95301159</v>
      </c>
      <c r="H576" s="5" t="s">
        <v>229</v>
      </c>
      <c r="I576" s="5" t="s">
        <v>233</v>
      </c>
      <c r="J576" s="5" t="s">
        <v>200</v>
      </c>
      <c r="K576" s="5">
        <v>1</v>
      </c>
      <c r="L576" s="5" t="s">
        <v>94</v>
      </c>
      <c r="M576" s="5">
        <f>ROUNDDOWN(VLOOKUP(J576,Sheet1!$N$32:$O$37,2,0)*1000,0)</f>
        <v>250</v>
      </c>
      <c r="O576" s="67">
        <f>(E576-D576)/$E$438</f>
        <v>0.0027464378700825</v>
      </c>
      <c r="P576" s="67">
        <v>11000</v>
      </c>
    </row>
    <row r="577" spans="1:16">
      <c r="A577" s="5">
        <v>575</v>
      </c>
      <c r="B577" s="5">
        <v>11000</v>
      </c>
      <c r="C577" s="5">
        <v>6</v>
      </c>
      <c r="D577" s="5">
        <f t="shared" si="68"/>
        <v>14750</v>
      </c>
      <c r="E577" s="5">
        <f t="shared" si="69"/>
        <v>15000</v>
      </c>
      <c r="F577" s="5"/>
      <c r="G577" s="5">
        <f>VLOOKUP(H577&amp;I577,Sheet2!$J:$K,2,0)</f>
        <v>95110039</v>
      </c>
      <c r="H577" s="5" t="s">
        <v>230</v>
      </c>
      <c r="I577" s="5" t="s">
        <v>233</v>
      </c>
      <c r="J577" s="5" t="s">
        <v>200</v>
      </c>
      <c r="K577" s="5">
        <v>1</v>
      </c>
      <c r="L577" s="5" t="s">
        <v>76</v>
      </c>
      <c r="M577" s="5">
        <f>ROUNDDOWN(VLOOKUP(J577,Sheet1!$N$32:$O$37,2,0)*1000,0)</f>
        <v>250</v>
      </c>
    </row>
    <row r="578" spans="1:16">
      <c r="A578" s="5">
        <v>576</v>
      </c>
      <c r="B578" s="5">
        <v>11000</v>
      </c>
      <c r="C578" s="5">
        <v>6</v>
      </c>
      <c r="D578" s="5">
        <f t="shared" si="68"/>
        <v>15000</v>
      </c>
      <c r="E578" s="5">
        <f t="shared" si="69"/>
        <v>15250</v>
      </c>
      <c r="F578" s="5"/>
      <c r="G578" s="5">
        <f>VLOOKUP(H578&amp;I578,Sheet2!$J:$K,2,0)</f>
        <v>95110049</v>
      </c>
      <c r="H578" s="5" t="s">
        <v>231</v>
      </c>
      <c r="I578" s="5" t="s">
        <v>233</v>
      </c>
      <c r="J578" s="5" t="s">
        <v>200</v>
      </c>
      <c r="K578" s="5">
        <v>1</v>
      </c>
      <c r="L578" s="5" t="s">
        <v>76</v>
      </c>
      <c r="M578" s="5">
        <f>ROUNDDOWN(VLOOKUP(J578,Sheet1!$N$32:$O$37,2,0)*1000,0)</f>
        <v>250</v>
      </c>
    </row>
    <row r="579" spans="1:16">
      <c r="A579" s="5">
        <v>577</v>
      </c>
      <c r="B579" s="5">
        <v>11000</v>
      </c>
      <c r="C579" s="5">
        <v>6</v>
      </c>
      <c r="D579" s="5">
        <f t="shared" si="68"/>
        <v>15250</v>
      </c>
      <c r="E579" s="5">
        <f t="shared" si="69"/>
        <v>15500</v>
      </c>
      <c r="F579" s="5"/>
      <c r="G579" s="5">
        <f>VLOOKUP(H579&amp;I579,Sheet2!$J:$K,2,0)</f>
        <v>95130029</v>
      </c>
      <c r="H579" s="5" t="s">
        <v>232</v>
      </c>
      <c r="I579" s="5" t="s">
        <v>233</v>
      </c>
      <c r="J579" s="5" t="s">
        <v>200</v>
      </c>
      <c r="K579" s="5">
        <v>1</v>
      </c>
      <c r="L579" s="5" t="s">
        <v>76</v>
      </c>
      <c r="M579" s="5">
        <f>ROUNDDOWN(VLOOKUP(J579,Sheet1!$N$32:$O$37,2,0)*1000,0)</f>
        <v>250</v>
      </c>
    </row>
    <row r="580" spans="1:16">
      <c r="A580" s="81">
        <v>578</v>
      </c>
      <c r="B580" s="81">
        <v>11100</v>
      </c>
      <c r="C580" s="81">
        <v>1</v>
      </c>
      <c r="D580" s="81">
        <f>E576</f>
        <v>14750</v>
      </c>
      <c r="E580" s="81">
        <f t="shared" ref="E580:E643" si="70">D580+M580</f>
        <v>19125</v>
      </c>
      <c r="F580" s="81"/>
      <c r="G580" s="81">
        <v>901000</v>
      </c>
      <c r="H580" s="81" t="s">
        <v>234</v>
      </c>
      <c r="I580" s="81"/>
      <c r="J580" s="81" t="s">
        <v>235</v>
      </c>
      <c r="K580" s="81">
        <v>1</v>
      </c>
      <c r="L580" s="81" t="s">
        <v>94</v>
      </c>
      <c r="M580" s="81">
        <f>ROUNDDOWN(VLOOKUP(J580,Sheet1!$N$32:$O$37,2,0)*1000,0)</f>
        <v>4375</v>
      </c>
      <c r="N580" s="67">
        <f>SUM(O580:O587)</f>
        <v>0.360538541570094</v>
      </c>
      <c r="O580" s="67">
        <f>(E580-D580)/$E$658</f>
        <v>0.0450673176962617</v>
      </c>
      <c r="P580" s="67">
        <v>11000</v>
      </c>
    </row>
    <row r="581" spans="1:16">
      <c r="A581" s="81">
        <v>579</v>
      </c>
      <c r="B581" s="81">
        <v>11100</v>
      </c>
      <c r="C581" s="81">
        <v>2</v>
      </c>
      <c r="D581" s="81">
        <f t="shared" ref="D581:D643" si="71">E580</f>
        <v>19125</v>
      </c>
      <c r="E581" s="81">
        <f t="shared" si="70"/>
        <v>23500</v>
      </c>
      <c r="F581" s="81"/>
      <c r="G581" s="81">
        <v>901001</v>
      </c>
      <c r="H581" s="81" t="s">
        <v>236</v>
      </c>
      <c r="I581" s="81"/>
      <c r="J581" s="81" t="s">
        <v>235</v>
      </c>
      <c r="K581" s="81">
        <v>1</v>
      </c>
      <c r="L581" s="81" t="s">
        <v>94</v>
      </c>
      <c r="M581" s="81">
        <f>ROUNDDOWN(VLOOKUP(J581,Sheet1!$N$32:$O$37,2,0)*1000,0)</f>
        <v>4375</v>
      </c>
      <c r="O581" s="67">
        <f t="shared" ref="O581:O588" si="72">(E581-D581)/$E$658</f>
        <v>0.0450673176962617</v>
      </c>
      <c r="P581" s="67">
        <v>11000</v>
      </c>
    </row>
    <row r="582" spans="1:16">
      <c r="A582" s="81">
        <v>580</v>
      </c>
      <c r="B582" s="81">
        <v>11100</v>
      </c>
      <c r="C582" s="81">
        <v>3</v>
      </c>
      <c r="D582" s="81">
        <f t="shared" si="71"/>
        <v>23500</v>
      </c>
      <c r="E582" s="81">
        <f t="shared" si="70"/>
        <v>27875</v>
      </c>
      <c r="F582" s="81"/>
      <c r="G582" s="81">
        <v>901002</v>
      </c>
      <c r="H582" s="81" t="s">
        <v>237</v>
      </c>
      <c r="I582" s="81"/>
      <c r="J582" s="81" t="s">
        <v>235</v>
      </c>
      <c r="K582" s="81">
        <v>1</v>
      </c>
      <c r="L582" s="81" t="s">
        <v>94</v>
      </c>
      <c r="M582" s="81">
        <f>ROUNDDOWN(VLOOKUP(J582,Sheet1!$N$32:$O$37,2,0)*1000,0)</f>
        <v>4375</v>
      </c>
      <c r="O582" s="67">
        <f t="shared" si="72"/>
        <v>0.0450673176962617</v>
      </c>
      <c r="P582" s="67">
        <v>11000</v>
      </c>
    </row>
    <row r="583" spans="1:16">
      <c r="A583" s="81">
        <v>581</v>
      </c>
      <c r="B583" s="81">
        <v>11100</v>
      </c>
      <c r="C583" s="81">
        <v>4</v>
      </c>
      <c r="D583" s="81">
        <f t="shared" si="71"/>
        <v>27875</v>
      </c>
      <c r="E583" s="81">
        <f t="shared" si="70"/>
        <v>32250</v>
      </c>
      <c r="F583" s="81"/>
      <c r="G583" s="81">
        <v>901003</v>
      </c>
      <c r="H583" s="81" t="s">
        <v>238</v>
      </c>
      <c r="I583" s="81"/>
      <c r="J583" s="81" t="s">
        <v>235</v>
      </c>
      <c r="K583" s="81">
        <v>1</v>
      </c>
      <c r="L583" s="81" t="s">
        <v>94</v>
      </c>
      <c r="M583" s="81">
        <f>ROUNDDOWN(VLOOKUP(J583,Sheet1!$N$32:$O$37,2,0)*1000,0)</f>
        <v>4375</v>
      </c>
      <c r="O583" s="67">
        <f t="shared" si="72"/>
        <v>0.0450673176962617</v>
      </c>
      <c r="P583" s="67">
        <v>11000</v>
      </c>
    </row>
    <row r="584" spans="1:16">
      <c r="A584" s="81">
        <v>582</v>
      </c>
      <c r="B584" s="81">
        <v>11100</v>
      </c>
      <c r="C584" s="81">
        <v>1</v>
      </c>
      <c r="D584" s="81">
        <f t="shared" si="71"/>
        <v>32250</v>
      </c>
      <c r="E584" s="81">
        <f t="shared" si="70"/>
        <v>36625</v>
      </c>
      <c r="F584" s="81"/>
      <c r="G584" s="81">
        <v>901100</v>
      </c>
      <c r="H584" s="81" t="s">
        <v>239</v>
      </c>
      <c r="I584" s="81"/>
      <c r="J584" s="81" t="s">
        <v>235</v>
      </c>
      <c r="K584" s="81">
        <v>1</v>
      </c>
      <c r="L584" s="81" t="s">
        <v>94</v>
      </c>
      <c r="M584" s="81">
        <f>ROUNDDOWN(VLOOKUP(J584,Sheet1!$N$32:$O$37,2,0)*1000,0)</f>
        <v>4375</v>
      </c>
      <c r="O584" s="67">
        <f t="shared" si="72"/>
        <v>0.0450673176962617</v>
      </c>
      <c r="P584" s="67">
        <v>11000</v>
      </c>
    </row>
    <row r="585" spans="1:16">
      <c r="A585" s="81">
        <v>583</v>
      </c>
      <c r="B585" s="81">
        <v>11100</v>
      </c>
      <c r="C585" s="81">
        <v>2</v>
      </c>
      <c r="D585" s="81">
        <f t="shared" si="71"/>
        <v>36625</v>
      </c>
      <c r="E585" s="81">
        <f t="shared" si="70"/>
        <v>41000</v>
      </c>
      <c r="F585" s="81"/>
      <c r="G585" s="81">
        <v>901101</v>
      </c>
      <c r="H585" s="81" t="s">
        <v>240</v>
      </c>
      <c r="I585" s="81"/>
      <c r="J585" s="81" t="s">
        <v>235</v>
      </c>
      <c r="K585" s="81">
        <v>1</v>
      </c>
      <c r="L585" s="81" t="s">
        <v>94</v>
      </c>
      <c r="M585" s="81">
        <f>ROUNDDOWN(VLOOKUP(J585,Sheet1!$N$32:$O$37,2,0)*1000,0)</f>
        <v>4375</v>
      </c>
      <c r="O585" s="67">
        <f t="shared" si="72"/>
        <v>0.0450673176962617</v>
      </c>
      <c r="P585" s="67">
        <v>11000</v>
      </c>
    </row>
    <row r="586" spans="1:16">
      <c r="A586" s="81">
        <v>584</v>
      </c>
      <c r="B586" s="81">
        <v>11100</v>
      </c>
      <c r="C586" s="81">
        <v>3</v>
      </c>
      <c r="D586" s="81">
        <f t="shared" si="71"/>
        <v>41000</v>
      </c>
      <c r="E586" s="81">
        <f t="shared" si="70"/>
        <v>45375</v>
      </c>
      <c r="F586" s="81"/>
      <c r="G586" s="81">
        <v>901102</v>
      </c>
      <c r="H586" s="81" t="s">
        <v>241</v>
      </c>
      <c r="I586" s="81"/>
      <c r="J586" s="81" t="s">
        <v>235</v>
      </c>
      <c r="K586" s="81">
        <v>1</v>
      </c>
      <c r="L586" s="81" t="s">
        <v>94</v>
      </c>
      <c r="M586" s="81">
        <f>ROUNDDOWN(VLOOKUP(J586,Sheet1!$N$32:$O$37,2,0)*1000,0)</f>
        <v>4375</v>
      </c>
      <c r="O586" s="67">
        <f t="shared" si="72"/>
        <v>0.0450673176962617</v>
      </c>
      <c r="P586" s="67">
        <v>11000</v>
      </c>
    </row>
    <row r="587" spans="1:16">
      <c r="A587" s="81">
        <v>585</v>
      </c>
      <c r="B587" s="81">
        <v>11100</v>
      </c>
      <c r="C587" s="81">
        <v>4</v>
      </c>
      <c r="D587" s="81">
        <f t="shared" si="71"/>
        <v>45375</v>
      </c>
      <c r="E587" s="81">
        <f t="shared" si="70"/>
        <v>49750</v>
      </c>
      <c r="F587" s="81"/>
      <c r="G587" s="81">
        <v>901103</v>
      </c>
      <c r="H587" s="81" t="s">
        <v>242</v>
      </c>
      <c r="I587" s="81"/>
      <c r="J587" s="81" t="s">
        <v>235</v>
      </c>
      <c r="K587" s="81">
        <v>1</v>
      </c>
      <c r="L587" s="81" t="s">
        <v>94</v>
      </c>
      <c r="M587" s="81">
        <f>ROUNDDOWN(VLOOKUP(J587,Sheet1!$N$32:$O$37,2,0)*1000,0)</f>
        <v>4375</v>
      </c>
      <c r="O587" s="67">
        <f t="shared" si="72"/>
        <v>0.0450673176962617</v>
      </c>
      <c r="P587" s="67">
        <v>11000</v>
      </c>
    </row>
    <row r="588" spans="1:16">
      <c r="A588" s="71">
        <v>586</v>
      </c>
      <c r="B588" s="71">
        <v>11100</v>
      </c>
      <c r="C588" s="71">
        <v>7</v>
      </c>
      <c r="D588" s="71">
        <f t="shared" si="71"/>
        <v>49750</v>
      </c>
      <c r="E588" s="71">
        <f t="shared" si="70"/>
        <v>50226</v>
      </c>
      <c r="F588" s="71"/>
      <c r="G588" s="71">
        <v>100101</v>
      </c>
      <c r="H588" s="71" t="s">
        <v>243</v>
      </c>
      <c r="I588" s="71"/>
      <c r="J588" s="71" t="s">
        <v>244</v>
      </c>
      <c r="K588" s="71">
        <v>1</v>
      </c>
      <c r="L588" s="71" t="s">
        <v>94</v>
      </c>
      <c r="M588" s="71">
        <f>ROUNDDOWN(VLOOKUP(J588,Sheet1!$N$32:$O$37,2,0)*1000,0)</f>
        <v>476</v>
      </c>
      <c r="N588" s="67">
        <f>SUM(O588:O608)</f>
        <v>0.102969807472419</v>
      </c>
      <c r="O588" s="67">
        <f t="shared" si="72"/>
        <v>0.00490332416535328</v>
      </c>
      <c r="P588" s="67">
        <v>11000</v>
      </c>
    </row>
    <row r="589" spans="1:16">
      <c r="A589" s="71">
        <v>587</v>
      </c>
      <c r="B589" s="71">
        <v>11100</v>
      </c>
      <c r="C589" s="71">
        <v>7</v>
      </c>
      <c r="D589" s="71">
        <f t="shared" si="71"/>
        <v>50226</v>
      </c>
      <c r="E589" s="71">
        <f t="shared" si="70"/>
        <v>50702</v>
      </c>
      <c r="F589" s="71"/>
      <c r="G589" s="71">
        <v>100103</v>
      </c>
      <c r="H589" s="71" t="s">
        <v>245</v>
      </c>
      <c r="I589" s="71"/>
      <c r="J589" s="71" t="s">
        <v>244</v>
      </c>
      <c r="K589" s="71">
        <v>1</v>
      </c>
      <c r="L589" s="71" t="s">
        <v>94</v>
      </c>
      <c r="M589" s="71">
        <f>ROUNDDOWN(VLOOKUP(J589,Sheet1!$N$32:$O$37,2,0)*1000,0)</f>
        <v>476</v>
      </c>
      <c r="O589" s="67">
        <f t="shared" ref="O589:O609" si="73">(E589-D589)/$E$658</f>
        <v>0.00490332416535328</v>
      </c>
      <c r="P589" s="67">
        <v>11000</v>
      </c>
    </row>
    <row r="590" spans="1:16">
      <c r="A590" s="71">
        <v>588</v>
      </c>
      <c r="B590" s="71">
        <v>11100</v>
      </c>
      <c r="C590" s="71">
        <v>7</v>
      </c>
      <c r="D590" s="71">
        <f t="shared" si="71"/>
        <v>50702</v>
      </c>
      <c r="E590" s="71">
        <f t="shared" si="70"/>
        <v>51178</v>
      </c>
      <c r="F590" s="71"/>
      <c r="G590" s="71">
        <v>100107</v>
      </c>
      <c r="H590" s="71" t="s">
        <v>246</v>
      </c>
      <c r="I590" s="71"/>
      <c r="J590" s="71" t="s">
        <v>244</v>
      </c>
      <c r="K590" s="71">
        <v>1</v>
      </c>
      <c r="L590" s="71" t="s">
        <v>94</v>
      </c>
      <c r="M590" s="71">
        <f>ROUNDDOWN(VLOOKUP(J590,Sheet1!$N$32:$O$37,2,0)*1000,0)</f>
        <v>476</v>
      </c>
      <c r="O590" s="67">
        <f t="shared" si="73"/>
        <v>0.00490332416535328</v>
      </c>
      <c r="P590" s="67">
        <v>11000</v>
      </c>
    </row>
    <row r="591" spans="1:16">
      <c r="A591" s="71">
        <v>589</v>
      </c>
      <c r="B591" s="71">
        <v>11100</v>
      </c>
      <c r="C591" s="71">
        <v>7</v>
      </c>
      <c r="D591" s="71">
        <f t="shared" si="71"/>
        <v>51178</v>
      </c>
      <c r="E591" s="71">
        <f t="shared" si="70"/>
        <v>51654</v>
      </c>
      <c r="F591" s="71"/>
      <c r="G591" s="71">
        <v>100108</v>
      </c>
      <c r="H591" s="71" t="s">
        <v>247</v>
      </c>
      <c r="I591" s="71"/>
      <c r="J591" s="71" t="s">
        <v>244</v>
      </c>
      <c r="K591" s="71">
        <v>1</v>
      </c>
      <c r="L591" s="71" t="s">
        <v>94</v>
      </c>
      <c r="M591" s="71">
        <f>ROUNDDOWN(VLOOKUP(J591,Sheet1!$N$32:$O$37,2,0)*1000,0)</f>
        <v>476</v>
      </c>
      <c r="O591" s="67">
        <f t="shared" si="73"/>
        <v>0.00490332416535328</v>
      </c>
      <c r="P591" s="67">
        <v>11000</v>
      </c>
    </row>
    <row r="592" spans="1:16">
      <c r="A592" s="71">
        <v>590</v>
      </c>
      <c r="B592" s="71">
        <v>11100</v>
      </c>
      <c r="C592" s="71">
        <v>7</v>
      </c>
      <c r="D592" s="71">
        <f t="shared" si="71"/>
        <v>51654</v>
      </c>
      <c r="E592" s="71">
        <f t="shared" si="70"/>
        <v>52130</v>
      </c>
      <c r="F592" s="71"/>
      <c r="G592" s="71">
        <v>100113</v>
      </c>
      <c r="H592" s="71" t="s">
        <v>248</v>
      </c>
      <c r="I592" s="71"/>
      <c r="J592" s="71" t="s">
        <v>244</v>
      </c>
      <c r="K592" s="71">
        <v>1</v>
      </c>
      <c r="L592" s="71" t="s">
        <v>94</v>
      </c>
      <c r="M592" s="71">
        <f>ROUNDDOWN(VLOOKUP(J592,Sheet1!$N$32:$O$37,2,0)*1000,0)</f>
        <v>476</v>
      </c>
      <c r="O592" s="67">
        <f t="shared" si="73"/>
        <v>0.00490332416535328</v>
      </c>
      <c r="P592" s="67">
        <v>11000</v>
      </c>
    </row>
    <row r="593" spans="1:16">
      <c r="A593" s="71">
        <v>591</v>
      </c>
      <c r="B593" s="71">
        <v>11100</v>
      </c>
      <c r="C593" s="71">
        <v>7</v>
      </c>
      <c r="D593" s="71">
        <f t="shared" si="71"/>
        <v>52130</v>
      </c>
      <c r="E593" s="71">
        <f t="shared" si="70"/>
        <v>52606</v>
      </c>
      <c r="F593" s="71"/>
      <c r="G593" s="71">
        <v>100114</v>
      </c>
      <c r="H593" s="71" t="s">
        <v>249</v>
      </c>
      <c r="I593" s="71"/>
      <c r="J593" s="71" t="s">
        <v>244</v>
      </c>
      <c r="K593" s="71">
        <v>1</v>
      </c>
      <c r="L593" s="71" t="s">
        <v>94</v>
      </c>
      <c r="M593" s="71">
        <f>ROUNDDOWN(VLOOKUP(J593,Sheet1!$N$32:$O$37,2,0)*1000,0)</f>
        <v>476</v>
      </c>
      <c r="O593" s="67">
        <f t="shared" si="73"/>
        <v>0.00490332416535328</v>
      </c>
      <c r="P593" s="67">
        <v>11000</v>
      </c>
    </row>
    <row r="594" spans="1:16">
      <c r="A594" s="71">
        <v>592</v>
      </c>
      <c r="B594" s="71">
        <v>11100</v>
      </c>
      <c r="C594" s="71">
        <v>7</v>
      </c>
      <c r="D594" s="71">
        <f t="shared" si="71"/>
        <v>52606</v>
      </c>
      <c r="E594" s="71">
        <f t="shared" si="70"/>
        <v>53082</v>
      </c>
      <c r="F594" s="71"/>
      <c r="G594" s="71">
        <v>100116</v>
      </c>
      <c r="H594" s="71" t="s">
        <v>250</v>
      </c>
      <c r="I594" s="71"/>
      <c r="J594" s="71" t="s">
        <v>244</v>
      </c>
      <c r="K594" s="71">
        <v>1</v>
      </c>
      <c r="L594" s="71" t="s">
        <v>94</v>
      </c>
      <c r="M594" s="71">
        <f>ROUNDDOWN(VLOOKUP(J594,Sheet1!$N$32:$O$37,2,0)*1000,0)</f>
        <v>476</v>
      </c>
      <c r="O594" s="67">
        <f t="shared" si="73"/>
        <v>0.00490332416535328</v>
      </c>
      <c r="P594" s="67">
        <v>11000</v>
      </c>
    </row>
    <row r="595" spans="1:16">
      <c r="A595" s="71">
        <v>593</v>
      </c>
      <c r="B595" s="71">
        <v>11100</v>
      </c>
      <c r="C595" s="71">
        <v>7</v>
      </c>
      <c r="D595" s="71">
        <f t="shared" si="71"/>
        <v>53082</v>
      </c>
      <c r="E595" s="71">
        <f t="shared" si="70"/>
        <v>53558</v>
      </c>
      <c r="F595" s="71"/>
      <c r="G595" s="71">
        <v>100120</v>
      </c>
      <c r="H595" s="71" t="s">
        <v>251</v>
      </c>
      <c r="I595" s="71"/>
      <c r="J595" s="71" t="s">
        <v>244</v>
      </c>
      <c r="K595" s="71">
        <v>1</v>
      </c>
      <c r="L595" s="71" t="s">
        <v>94</v>
      </c>
      <c r="M595" s="71">
        <f>ROUNDDOWN(VLOOKUP(J595,Sheet1!$N$32:$O$37,2,0)*1000,0)</f>
        <v>476</v>
      </c>
      <c r="O595" s="67">
        <f t="shared" si="73"/>
        <v>0.00490332416535328</v>
      </c>
      <c r="P595" s="67">
        <v>11000</v>
      </c>
    </row>
    <row r="596" spans="1:16">
      <c r="A596" s="71">
        <v>594</v>
      </c>
      <c r="B596" s="71">
        <v>11100</v>
      </c>
      <c r="C596" s="71">
        <v>7</v>
      </c>
      <c r="D596" s="71">
        <f t="shared" si="71"/>
        <v>53558</v>
      </c>
      <c r="E596" s="71">
        <f t="shared" si="70"/>
        <v>54034</v>
      </c>
      <c r="F596" s="71"/>
      <c r="G596" s="71">
        <v>100125</v>
      </c>
      <c r="H596" s="71" t="s">
        <v>252</v>
      </c>
      <c r="I596" s="71"/>
      <c r="J596" s="71" t="s">
        <v>244</v>
      </c>
      <c r="K596" s="71">
        <v>1</v>
      </c>
      <c r="L596" s="71" t="s">
        <v>94</v>
      </c>
      <c r="M596" s="71">
        <f>ROUNDDOWN(VLOOKUP(J596,Sheet1!$N$32:$O$37,2,0)*1000,0)</f>
        <v>476</v>
      </c>
      <c r="O596" s="67">
        <f t="shared" si="73"/>
        <v>0.00490332416535328</v>
      </c>
      <c r="P596" s="67">
        <v>11000</v>
      </c>
    </row>
    <row r="597" spans="1:16">
      <c r="A597" s="71">
        <v>595</v>
      </c>
      <c r="B597" s="71">
        <v>11100</v>
      </c>
      <c r="C597" s="71">
        <v>7</v>
      </c>
      <c r="D597" s="71">
        <f t="shared" si="71"/>
        <v>54034</v>
      </c>
      <c r="E597" s="71">
        <f t="shared" si="70"/>
        <v>54510</v>
      </c>
      <c r="F597" s="71"/>
      <c r="G597" s="71">
        <v>100126</v>
      </c>
      <c r="H597" s="71" t="s">
        <v>253</v>
      </c>
      <c r="I597" s="71"/>
      <c r="J597" s="71" t="s">
        <v>244</v>
      </c>
      <c r="K597" s="71">
        <v>1</v>
      </c>
      <c r="L597" s="71" t="s">
        <v>94</v>
      </c>
      <c r="M597" s="71">
        <f>ROUNDDOWN(VLOOKUP(J597,Sheet1!$N$32:$O$37,2,0)*1000,0)</f>
        <v>476</v>
      </c>
      <c r="O597" s="67">
        <f t="shared" si="73"/>
        <v>0.00490332416535328</v>
      </c>
      <c r="P597" s="67">
        <v>11000</v>
      </c>
    </row>
    <row r="598" spans="1:16">
      <c r="A598" s="71">
        <v>596</v>
      </c>
      <c r="B598" s="71">
        <v>11100</v>
      </c>
      <c r="C598" s="71">
        <v>7</v>
      </c>
      <c r="D598" s="71">
        <f t="shared" si="71"/>
        <v>54510</v>
      </c>
      <c r="E598" s="71">
        <f t="shared" si="70"/>
        <v>54986</v>
      </c>
      <c r="F598" s="71"/>
      <c r="G598" s="71">
        <v>100127</v>
      </c>
      <c r="H598" s="71" t="s">
        <v>254</v>
      </c>
      <c r="I598" s="71"/>
      <c r="J598" s="71" t="s">
        <v>244</v>
      </c>
      <c r="K598" s="71">
        <v>1</v>
      </c>
      <c r="L598" s="71" t="s">
        <v>94</v>
      </c>
      <c r="M598" s="71">
        <f>ROUNDDOWN(VLOOKUP(J598,Sheet1!$N$32:$O$37,2,0)*1000,0)</f>
        <v>476</v>
      </c>
      <c r="O598" s="67">
        <f t="shared" si="73"/>
        <v>0.00490332416535328</v>
      </c>
      <c r="P598" s="67">
        <v>11000</v>
      </c>
    </row>
    <row r="599" spans="1:16">
      <c r="A599" s="71">
        <v>597</v>
      </c>
      <c r="B599" s="71">
        <v>11100</v>
      </c>
      <c r="C599" s="71">
        <v>7</v>
      </c>
      <c r="D599" s="71">
        <f t="shared" si="71"/>
        <v>54986</v>
      </c>
      <c r="E599" s="71">
        <f t="shared" si="70"/>
        <v>55462</v>
      </c>
      <c r="F599" s="71"/>
      <c r="G599" s="71">
        <v>100132</v>
      </c>
      <c r="H599" s="71" t="s">
        <v>255</v>
      </c>
      <c r="I599" s="71"/>
      <c r="J599" s="71" t="s">
        <v>244</v>
      </c>
      <c r="K599" s="71">
        <v>1</v>
      </c>
      <c r="L599" s="71" t="s">
        <v>94</v>
      </c>
      <c r="M599" s="71">
        <f>ROUNDDOWN(VLOOKUP(J599,Sheet1!$N$32:$O$37,2,0)*1000,0)</f>
        <v>476</v>
      </c>
      <c r="O599" s="67">
        <f t="shared" si="73"/>
        <v>0.00490332416535328</v>
      </c>
      <c r="P599" s="67">
        <v>11000</v>
      </c>
    </row>
    <row r="600" spans="1:16">
      <c r="A600" s="71">
        <v>598</v>
      </c>
      <c r="B600" s="71">
        <v>11100</v>
      </c>
      <c r="C600" s="71">
        <v>7</v>
      </c>
      <c r="D600" s="71">
        <f t="shared" si="71"/>
        <v>55462</v>
      </c>
      <c r="E600" s="71">
        <f t="shared" si="70"/>
        <v>55938</v>
      </c>
      <c r="F600" s="71"/>
      <c r="G600" s="71">
        <v>100133</v>
      </c>
      <c r="H600" s="71" t="s">
        <v>256</v>
      </c>
      <c r="I600" s="71"/>
      <c r="J600" s="71" t="s">
        <v>244</v>
      </c>
      <c r="K600" s="71">
        <v>1</v>
      </c>
      <c r="L600" s="71" t="s">
        <v>94</v>
      </c>
      <c r="M600" s="71">
        <f>ROUNDDOWN(VLOOKUP(J600,Sheet1!$N$32:$O$37,2,0)*1000,0)</f>
        <v>476</v>
      </c>
      <c r="O600" s="67">
        <f t="shared" si="73"/>
        <v>0.00490332416535328</v>
      </c>
      <c r="P600" s="67">
        <v>11000</v>
      </c>
    </row>
    <row r="601" spans="1:16">
      <c r="A601" s="71">
        <v>599</v>
      </c>
      <c r="B601" s="71">
        <v>11100</v>
      </c>
      <c r="C601" s="71">
        <v>7</v>
      </c>
      <c r="D601" s="71">
        <f t="shared" si="71"/>
        <v>55938</v>
      </c>
      <c r="E601" s="71">
        <f t="shared" si="70"/>
        <v>56414</v>
      </c>
      <c r="F601" s="71"/>
      <c r="G601" s="71">
        <v>100134</v>
      </c>
      <c r="H601" s="71" t="s">
        <v>257</v>
      </c>
      <c r="I601" s="71"/>
      <c r="J601" s="71" t="s">
        <v>244</v>
      </c>
      <c r="K601" s="71">
        <v>1</v>
      </c>
      <c r="L601" s="71" t="s">
        <v>94</v>
      </c>
      <c r="M601" s="71">
        <f>ROUNDDOWN(VLOOKUP(J601,Sheet1!$N$32:$O$37,2,0)*1000,0)</f>
        <v>476</v>
      </c>
      <c r="O601" s="67">
        <f t="shared" si="73"/>
        <v>0.00490332416535328</v>
      </c>
      <c r="P601" s="67">
        <v>11000</v>
      </c>
    </row>
    <row r="602" spans="1:16">
      <c r="A602" s="71">
        <v>600</v>
      </c>
      <c r="B602" s="71">
        <v>11100</v>
      </c>
      <c r="C602" s="71">
        <v>7</v>
      </c>
      <c r="D602" s="71">
        <f t="shared" si="71"/>
        <v>56414</v>
      </c>
      <c r="E602" s="71">
        <f t="shared" si="70"/>
        <v>56890</v>
      </c>
      <c r="F602" s="71"/>
      <c r="G602" s="71">
        <v>100135</v>
      </c>
      <c r="H602" s="71" t="s">
        <v>258</v>
      </c>
      <c r="I602" s="71"/>
      <c r="J602" s="71" t="s">
        <v>244</v>
      </c>
      <c r="K602" s="71">
        <v>1</v>
      </c>
      <c r="L602" s="71" t="s">
        <v>94</v>
      </c>
      <c r="M602" s="71">
        <f>ROUNDDOWN(VLOOKUP(J602,Sheet1!$N$32:$O$37,2,0)*1000,0)</f>
        <v>476</v>
      </c>
      <c r="O602" s="67">
        <f t="shared" si="73"/>
        <v>0.00490332416535328</v>
      </c>
      <c r="P602" s="67">
        <v>11000</v>
      </c>
    </row>
    <row r="603" spans="1:16">
      <c r="A603" s="71">
        <v>601</v>
      </c>
      <c r="B603" s="71">
        <v>11100</v>
      </c>
      <c r="C603" s="71">
        <v>7</v>
      </c>
      <c r="D603" s="71">
        <f t="shared" si="71"/>
        <v>56890</v>
      </c>
      <c r="E603" s="71">
        <f t="shared" si="70"/>
        <v>57366</v>
      </c>
      <c r="F603" s="71"/>
      <c r="G603" s="71">
        <v>100136</v>
      </c>
      <c r="H603" s="71" t="s">
        <v>259</v>
      </c>
      <c r="I603" s="71"/>
      <c r="J603" s="71" t="s">
        <v>244</v>
      </c>
      <c r="K603" s="71">
        <v>1</v>
      </c>
      <c r="L603" s="71" t="s">
        <v>94</v>
      </c>
      <c r="M603" s="71">
        <f>ROUNDDOWN(VLOOKUP(J603,Sheet1!$N$32:$O$37,2,0)*1000,0)</f>
        <v>476</v>
      </c>
      <c r="O603" s="67">
        <f t="shared" si="73"/>
        <v>0.00490332416535328</v>
      </c>
      <c r="P603" s="67">
        <v>11000</v>
      </c>
    </row>
    <row r="604" spans="1:16">
      <c r="A604" s="71">
        <v>602</v>
      </c>
      <c r="B604" s="71">
        <v>11100</v>
      </c>
      <c r="C604" s="71">
        <v>7</v>
      </c>
      <c r="D604" s="71">
        <f t="shared" si="71"/>
        <v>57366</v>
      </c>
      <c r="E604" s="71">
        <f t="shared" si="70"/>
        <v>57842</v>
      </c>
      <c r="F604" s="71"/>
      <c r="G604" s="71">
        <v>100137</v>
      </c>
      <c r="H604" s="71" t="s">
        <v>260</v>
      </c>
      <c r="I604" s="71"/>
      <c r="J604" s="71" t="s">
        <v>244</v>
      </c>
      <c r="K604" s="71">
        <v>1</v>
      </c>
      <c r="L604" s="71" t="s">
        <v>94</v>
      </c>
      <c r="M604" s="71">
        <f>ROUNDDOWN(VLOOKUP(J604,Sheet1!$N$32:$O$37,2,0)*1000,0)</f>
        <v>476</v>
      </c>
      <c r="O604" s="67">
        <f t="shared" si="73"/>
        <v>0.00490332416535328</v>
      </c>
      <c r="P604" s="67">
        <v>11000</v>
      </c>
    </row>
    <row r="605" spans="1:16">
      <c r="A605" s="71">
        <v>603</v>
      </c>
      <c r="B605" s="71">
        <v>11100</v>
      </c>
      <c r="C605" s="71">
        <v>7</v>
      </c>
      <c r="D605" s="71">
        <f t="shared" si="71"/>
        <v>57842</v>
      </c>
      <c r="E605" s="71">
        <f t="shared" si="70"/>
        <v>58318</v>
      </c>
      <c r="F605" s="71"/>
      <c r="G605" s="71">
        <v>100138</v>
      </c>
      <c r="H605" s="71" t="s">
        <v>261</v>
      </c>
      <c r="I605" s="71"/>
      <c r="J605" s="71" t="s">
        <v>244</v>
      </c>
      <c r="K605" s="71">
        <v>1</v>
      </c>
      <c r="L605" s="71" t="s">
        <v>94</v>
      </c>
      <c r="M605" s="71">
        <f>ROUNDDOWN(VLOOKUP(J605,Sheet1!$N$32:$O$37,2,0)*1000,0)</f>
        <v>476</v>
      </c>
      <c r="O605" s="67">
        <f t="shared" si="73"/>
        <v>0.00490332416535328</v>
      </c>
      <c r="P605" s="67">
        <v>11000</v>
      </c>
    </row>
    <row r="606" spans="1:16">
      <c r="A606" s="71">
        <v>604</v>
      </c>
      <c r="B606" s="71">
        <v>11100</v>
      </c>
      <c r="C606" s="71">
        <v>7</v>
      </c>
      <c r="D606" s="71">
        <f t="shared" si="71"/>
        <v>58318</v>
      </c>
      <c r="E606" s="71">
        <f t="shared" si="70"/>
        <v>58794</v>
      </c>
      <c r="F606" s="71"/>
      <c r="G606" s="71">
        <v>100144</v>
      </c>
      <c r="H606" s="71" t="s">
        <v>262</v>
      </c>
      <c r="I606" s="71"/>
      <c r="J606" s="71" t="s">
        <v>244</v>
      </c>
      <c r="K606" s="71">
        <v>1</v>
      </c>
      <c r="L606" s="71" t="s">
        <v>94</v>
      </c>
      <c r="M606" s="71">
        <f>ROUNDDOWN(VLOOKUP(J606,Sheet1!$N$32:$O$37,2,0)*1000,0)</f>
        <v>476</v>
      </c>
      <c r="O606" s="67">
        <f t="shared" si="73"/>
        <v>0.00490332416535328</v>
      </c>
      <c r="P606" s="67">
        <v>11000</v>
      </c>
    </row>
    <row r="607" spans="1:16">
      <c r="A607" s="71">
        <v>605</v>
      </c>
      <c r="B607" s="71">
        <v>11100</v>
      </c>
      <c r="C607" s="71">
        <v>7</v>
      </c>
      <c r="D607" s="71">
        <f t="shared" si="71"/>
        <v>58794</v>
      </c>
      <c r="E607" s="71">
        <f t="shared" si="70"/>
        <v>59270</v>
      </c>
      <c r="F607" s="71"/>
      <c r="G607" s="71">
        <v>100148</v>
      </c>
      <c r="H607" s="71" t="s">
        <v>263</v>
      </c>
      <c r="I607" s="71"/>
      <c r="J607" s="71" t="s">
        <v>244</v>
      </c>
      <c r="K607" s="71">
        <v>1</v>
      </c>
      <c r="L607" s="71" t="s">
        <v>94</v>
      </c>
      <c r="M607" s="71">
        <f>ROUNDDOWN(VLOOKUP(J607,Sheet1!$N$32:$O$37,2,0)*1000,0)</f>
        <v>476</v>
      </c>
      <c r="O607" s="67">
        <f t="shared" si="73"/>
        <v>0.00490332416535328</v>
      </c>
      <c r="P607" s="67">
        <v>11000</v>
      </c>
    </row>
    <row r="608" spans="1:16">
      <c r="A608" s="71">
        <v>606</v>
      </c>
      <c r="B608" s="71">
        <v>11100</v>
      </c>
      <c r="C608" s="71">
        <v>7</v>
      </c>
      <c r="D608" s="71">
        <f t="shared" si="71"/>
        <v>59270</v>
      </c>
      <c r="E608" s="71">
        <f t="shared" si="70"/>
        <v>59746</v>
      </c>
      <c r="F608" s="71"/>
      <c r="G608" s="71">
        <v>100139</v>
      </c>
      <c r="H608" s="71" t="s">
        <v>264</v>
      </c>
      <c r="I608" s="71"/>
      <c r="J608" s="71" t="s">
        <v>244</v>
      </c>
      <c r="K608" s="71">
        <v>1</v>
      </c>
      <c r="L608" s="71" t="s">
        <v>94</v>
      </c>
      <c r="M608" s="71">
        <f>ROUNDDOWN(VLOOKUP(J608,Sheet1!$N$32:$O$37,2,0)*1000,0)</f>
        <v>476</v>
      </c>
      <c r="O608" s="67">
        <f t="shared" si="73"/>
        <v>0.00490332416535328</v>
      </c>
      <c r="P608" s="67">
        <v>11000</v>
      </c>
    </row>
    <row r="609" spans="1:16">
      <c r="A609" s="71">
        <v>607</v>
      </c>
      <c r="B609" s="71">
        <v>11100</v>
      </c>
      <c r="C609" s="71">
        <v>2</v>
      </c>
      <c r="D609" s="71">
        <f t="shared" si="71"/>
        <v>59746</v>
      </c>
      <c r="E609" s="71">
        <f t="shared" si="70"/>
        <v>62927</v>
      </c>
      <c r="F609" s="71"/>
      <c r="G609" s="71">
        <v>907009</v>
      </c>
      <c r="H609" s="71" t="s">
        <v>265</v>
      </c>
      <c r="I609" s="71"/>
      <c r="J609" s="71" t="s">
        <v>266</v>
      </c>
      <c r="K609" s="71">
        <v>1</v>
      </c>
      <c r="L609" s="71" t="s">
        <v>94</v>
      </c>
      <c r="M609" s="71">
        <f>ROUNDDOWN(VLOOKUP(J609,Sheet1!$N$32:$O$37,2,0)*1000,0)</f>
        <v>3181</v>
      </c>
      <c r="N609" s="67">
        <f>SUM(O609:O619)</f>
        <v>0.360445831659404</v>
      </c>
      <c r="O609" s="67">
        <f t="shared" si="73"/>
        <v>0.0327678028781277</v>
      </c>
      <c r="P609" s="67">
        <v>11000</v>
      </c>
    </row>
    <row r="610" spans="1:16">
      <c r="A610" s="71">
        <v>608</v>
      </c>
      <c r="B610" s="71">
        <v>11100</v>
      </c>
      <c r="C610" s="71">
        <v>2</v>
      </c>
      <c r="D610" s="71">
        <f t="shared" si="71"/>
        <v>62927</v>
      </c>
      <c r="E610" s="71">
        <f t="shared" si="70"/>
        <v>66108</v>
      </c>
      <c r="F610" s="71"/>
      <c r="G610" s="71">
        <v>907010</v>
      </c>
      <c r="H610" s="71" t="s">
        <v>267</v>
      </c>
      <c r="I610" s="71"/>
      <c r="J610" s="71" t="s">
        <v>266</v>
      </c>
      <c r="K610" s="71">
        <v>1</v>
      </c>
      <c r="L610" s="71" t="s">
        <v>94</v>
      </c>
      <c r="M610" s="71">
        <f>ROUNDDOWN(VLOOKUP(J610,Sheet1!$N$32:$O$37,2,0)*1000,0)</f>
        <v>3181</v>
      </c>
      <c r="O610" s="67">
        <f t="shared" ref="O610:O619" si="74">(E610-D610)/$E$658</f>
        <v>0.0327678028781277</v>
      </c>
      <c r="P610" s="67">
        <v>11000</v>
      </c>
    </row>
    <row r="611" spans="1:16">
      <c r="A611" s="71">
        <v>609</v>
      </c>
      <c r="B611" s="71">
        <v>11100</v>
      </c>
      <c r="C611" s="71">
        <v>2</v>
      </c>
      <c r="D611" s="71">
        <f t="shared" si="71"/>
        <v>66108</v>
      </c>
      <c r="E611" s="71">
        <f t="shared" si="70"/>
        <v>69289</v>
      </c>
      <c r="F611" s="71"/>
      <c r="G611" s="71">
        <v>907011</v>
      </c>
      <c r="H611" s="71" t="s">
        <v>268</v>
      </c>
      <c r="I611" s="71"/>
      <c r="J611" s="71" t="s">
        <v>266</v>
      </c>
      <c r="K611" s="71">
        <v>1</v>
      </c>
      <c r="L611" s="71" t="s">
        <v>94</v>
      </c>
      <c r="M611" s="71">
        <f>ROUNDDOWN(VLOOKUP(J611,Sheet1!$N$32:$O$37,2,0)*1000,0)</f>
        <v>3181</v>
      </c>
      <c r="O611" s="67">
        <f t="shared" si="74"/>
        <v>0.0327678028781277</v>
      </c>
      <c r="P611" s="67">
        <v>11000</v>
      </c>
    </row>
    <row r="612" spans="1:16">
      <c r="A612" s="71">
        <v>610</v>
      </c>
      <c r="B612" s="71">
        <v>11100</v>
      </c>
      <c r="C612" s="71">
        <v>2</v>
      </c>
      <c r="D612" s="71">
        <f t="shared" si="71"/>
        <v>69289</v>
      </c>
      <c r="E612" s="71">
        <f t="shared" si="70"/>
        <v>72470</v>
      </c>
      <c r="F612" s="71"/>
      <c r="G612" s="71">
        <v>907012</v>
      </c>
      <c r="H612" s="71" t="s">
        <v>269</v>
      </c>
      <c r="I612" s="71"/>
      <c r="J612" s="71" t="s">
        <v>266</v>
      </c>
      <c r="K612" s="71">
        <v>1</v>
      </c>
      <c r="L612" s="71" t="s">
        <v>94</v>
      </c>
      <c r="M612" s="71">
        <f>ROUNDDOWN(VLOOKUP(J612,Sheet1!$N$32:$O$37,2,0)*1000,0)</f>
        <v>3181</v>
      </c>
      <c r="O612" s="67">
        <f t="shared" si="74"/>
        <v>0.0327678028781277</v>
      </c>
      <c r="P612" s="67">
        <v>11000</v>
      </c>
    </row>
    <row r="613" spans="1:16">
      <c r="A613" s="71">
        <v>611</v>
      </c>
      <c r="B613" s="71">
        <v>11100</v>
      </c>
      <c r="C613" s="71">
        <v>2</v>
      </c>
      <c r="D613" s="71">
        <f t="shared" si="71"/>
        <v>72470</v>
      </c>
      <c r="E613" s="71">
        <f t="shared" si="70"/>
        <v>75651</v>
      </c>
      <c r="F613" s="71"/>
      <c r="G613" s="71">
        <v>907014</v>
      </c>
      <c r="H613" s="71" t="s">
        <v>270</v>
      </c>
      <c r="I613" s="71"/>
      <c r="J613" s="71" t="s">
        <v>266</v>
      </c>
      <c r="K613" s="71">
        <v>1</v>
      </c>
      <c r="L613" s="71" t="s">
        <v>94</v>
      </c>
      <c r="M613" s="71">
        <f>ROUNDDOWN(VLOOKUP(J613,Sheet1!$N$32:$O$37,2,0)*1000,0)</f>
        <v>3181</v>
      </c>
      <c r="O613" s="67">
        <f t="shared" si="74"/>
        <v>0.0327678028781277</v>
      </c>
      <c r="P613" s="67">
        <v>11000</v>
      </c>
    </row>
    <row r="614" spans="1:16">
      <c r="A614" s="71">
        <v>612</v>
      </c>
      <c r="B614" s="71">
        <v>11100</v>
      </c>
      <c r="C614" s="71">
        <v>2</v>
      </c>
      <c r="D614" s="71">
        <f t="shared" si="71"/>
        <v>75651</v>
      </c>
      <c r="E614" s="71">
        <f t="shared" si="70"/>
        <v>78832</v>
      </c>
      <c r="F614" s="71"/>
      <c r="G614" s="71">
        <v>907017</v>
      </c>
      <c r="H614" s="71" t="s">
        <v>271</v>
      </c>
      <c r="I614" s="71"/>
      <c r="J614" s="71" t="s">
        <v>266</v>
      </c>
      <c r="K614" s="71">
        <v>1</v>
      </c>
      <c r="L614" s="71" t="s">
        <v>94</v>
      </c>
      <c r="M614" s="71">
        <f>ROUNDDOWN(VLOOKUP(J614,Sheet1!$N$32:$O$37,2,0)*1000,0)</f>
        <v>3181</v>
      </c>
      <c r="O614" s="67">
        <f t="shared" si="74"/>
        <v>0.0327678028781277</v>
      </c>
      <c r="P614" s="67">
        <v>11000</v>
      </c>
    </row>
    <row r="615" spans="1:16">
      <c r="A615" s="71">
        <v>613</v>
      </c>
      <c r="B615" s="71">
        <v>11100</v>
      </c>
      <c r="C615" s="71">
        <v>2</v>
      </c>
      <c r="D615" s="71">
        <f t="shared" si="71"/>
        <v>78832</v>
      </c>
      <c r="E615" s="71">
        <f t="shared" si="70"/>
        <v>82013</v>
      </c>
      <c r="F615" s="71"/>
      <c r="G615" s="71">
        <v>907018</v>
      </c>
      <c r="H615" s="71" t="s">
        <v>272</v>
      </c>
      <c r="I615" s="71"/>
      <c r="J615" s="71" t="s">
        <v>266</v>
      </c>
      <c r="K615" s="71">
        <v>1</v>
      </c>
      <c r="L615" s="71" t="s">
        <v>94</v>
      </c>
      <c r="M615" s="71">
        <f>ROUNDDOWN(VLOOKUP(J615,Sheet1!$N$32:$O$37,2,0)*1000,0)</f>
        <v>3181</v>
      </c>
      <c r="O615" s="67">
        <f t="shared" si="74"/>
        <v>0.0327678028781277</v>
      </c>
      <c r="P615" s="67">
        <v>11000</v>
      </c>
    </row>
    <row r="616" spans="1:16">
      <c r="A616" s="71">
        <v>614</v>
      </c>
      <c r="B616" s="71">
        <v>11100</v>
      </c>
      <c r="C616" s="71">
        <v>2</v>
      </c>
      <c r="D616" s="71">
        <f t="shared" si="71"/>
        <v>82013</v>
      </c>
      <c r="E616" s="71">
        <f t="shared" si="70"/>
        <v>85194</v>
      </c>
      <c r="F616" s="71"/>
      <c r="G616" s="71">
        <v>907033</v>
      </c>
      <c r="H616" s="71" t="s">
        <v>273</v>
      </c>
      <c r="I616" s="71"/>
      <c r="J616" s="71" t="s">
        <v>266</v>
      </c>
      <c r="K616" s="71">
        <v>1</v>
      </c>
      <c r="L616" s="71" t="s">
        <v>94</v>
      </c>
      <c r="M616" s="71">
        <f>ROUNDDOWN(VLOOKUP(J616,Sheet1!$N$32:$O$37,2,0)*1000,0)</f>
        <v>3181</v>
      </c>
      <c r="O616" s="67">
        <f t="shared" si="74"/>
        <v>0.0327678028781277</v>
      </c>
      <c r="P616" s="67">
        <v>11000</v>
      </c>
    </row>
    <row r="617" spans="1:16">
      <c r="A617" s="71">
        <v>615</v>
      </c>
      <c r="B617" s="71">
        <v>11100</v>
      </c>
      <c r="C617" s="71">
        <v>2</v>
      </c>
      <c r="D617" s="71">
        <f t="shared" si="71"/>
        <v>85194</v>
      </c>
      <c r="E617" s="71">
        <f t="shared" si="70"/>
        <v>88375</v>
      </c>
      <c r="F617" s="71"/>
      <c r="G617" s="71">
        <v>907035</v>
      </c>
      <c r="H617" s="71" t="s">
        <v>274</v>
      </c>
      <c r="I617" s="71"/>
      <c r="J617" s="71" t="s">
        <v>266</v>
      </c>
      <c r="K617" s="71">
        <v>1</v>
      </c>
      <c r="L617" s="71" t="s">
        <v>94</v>
      </c>
      <c r="M617" s="71">
        <f>ROUNDDOWN(VLOOKUP(J617,Sheet1!$N$32:$O$37,2,0)*1000,0)</f>
        <v>3181</v>
      </c>
      <c r="O617" s="67">
        <f t="shared" si="74"/>
        <v>0.0327678028781277</v>
      </c>
      <c r="P617" s="67">
        <v>11000</v>
      </c>
    </row>
    <row r="618" spans="1:16">
      <c r="A618" s="71">
        <v>616</v>
      </c>
      <c r="B618" s="71">
        <v>11100</v>
      </c>
      <c r="C618" s="71">
        <v>2</v>
      </c>
      <c r="D618" s="71">
        <f t="shared" si="71"/>
        <v>88375</v>
      </c>
      <c r="E618" s="71">
        <f t="shared" si="70"/>
        <v>91556</v>
      </c>
      <c r="F618" s="71"/>
      <c r="G618" s="71">
        <v>907036</v>
      </c>
      <c r="H618" s="71" t="s">
        <v>275</v>
      </c>
      <c r="I618" s="71"/>
      <c r="J618" s="71" t="s">
        <v>266</v>
      </c>
      <c r="K618" s="71">
        <v>1</v>
      </c>
      <c r="L618" s="71" t="s">
        <v>94</v>
      </c>
      <c r="M618" s="71">
        <f>ROUNDDOWN(VLOOKUP(J618,Sheet1!$N$32:$O$37,2,0)*1000,0)</f>
        <v>3181</v>
      </c>
      <c r="O618" s="67">
        <f t="shared" si="74"/>
        <v>0.0327678028781277</v>
      </c>
      <c r="P618" s="67">
        <v>11000</v>
      </c>
    </row>
    <row r="619" spans="1:16">
      <c r="A619" s="71">
        <v>617</v>
      </c>
      <c r="B619" s="71">
        <v>11100</v>
      </c>
      <c r="C619" s="71">
        <v>2</v>
      </c>
      <c r="D619" s="71">
        <f t="shared" si="71"/>
        <v>91556</v>
      </c>
      <c r="E619" s="71">
        <f t="shared" si="70"/>
        <v>94737</v>
      </c>
      <c r="F619" s="71"/>
      <c r="G619" s="71">
        <v>907038</v>
      </c>
      <c r="H619" s="71" t="s">
        <v>276</v>
      </c>
      <c r="I619" s="71"/>
      <c r="J619" s="71" t="s">
        <v>266</v>
      </c>
      <c r="K619" s="71">
        <v>1</v>
      </c>
      <c r="L619" s="71" t="s">
        <v>94</v>
      </c>
      <c r="M619" s="71">
        <f>ROUNDDOWN(VLOOKUP(J619,Sheet1!$N$32:$O$37,2,0)*1000,0)</f>
        <v>3181</v>
      </c>
      <c r="O619" s="67">
        <f t="shared" si="74"/>
        <v>0.0327678028781277</v>
      </c>
      <c r="P619" s="67">
        <v>11000</v>
      </c>
    </row>
    <row r="620" spans="1:16">
      <c r="A620" s="5">
        <v>618</v>
      </c>
      <c r="B620" s="5">
        <v>11100</v>
      </c>
      <c r="C620" s="5">
        <v>6</v>
      </c>
      <c r="D620" s="5">
        <f t="shared" si="71"/>
        <v>94737</v>
      </c>
      <c r="E620" s="5">
        <f t="shared" si="70"/>
        <v>94797</v>
      </c>
      <c r="F620" s="5"/>
      <c r="G620" s="5" t="s">
        <v>277</v>
      </c>
      <c r="H620" s="5" t="s">
        <v>278</v>
      </c>
      <c r="I620" s="5"/>
      <c r="J620" s="5" t="s">
        <v>279</v>
      </c>
      <c r="K620" s="5">
        <v>1</v>
      </c>
      <c r="L620" s="5" t="s">
        <v>94</v>
      </c>
      <c r="M620" s="5">
        <f>ROUNDDOWN(VLOOKUP(J620,Sheet1!$N$32:$O$37,2,0)*1000,0)</f>
        <v>60</v>
      </c>
      <c r="O620" s="67">
        <f>(E620-D620)/$E$355</f>
        <v>0.00689655172413793</v>
      </c>
      <c r="P620" s="67">
        <v>11000</v>
      </c>
    </row>
    <row r="621" spans="1:16">
      <c r="A621" s="5">
        <v>619</v>
      </c>
      <c r="B621" s="5">
        <v>11100</v>
      </c>
      <c r="C621" s="5">
        <v>6</v>
      </c>
      <c r="D621" s="5">
        <f t="shared" si="71"/>
        <v>94797</v>
      </c>
      <c r="E621" s="5">
        <f t="shared" si="70"/>
        <v>94857</v>
      </c>
      <c r="F621" s="5"/>
      <c r="G621" s="5" t="s">
        <v>280</v>
      </c>
      <c r="H621" s="5" t="s">
        <v>281</v>
      </c>
      <c r="I621" s="5"/>
      <c r="J621" s="5" t="s">
        <v>279</v>
      </c>
      <c r="K621" s="5">
        <v>1</v>
      </c>
      <c r="L621" s="5" t="s">
        <v>94</v>
      </c>
      <c r="M621" s="5">
        <f>ROUNDDOWN(VLOOKUP(J621,Sheet1!$N$32:$O$37,2,0)*1000,0)</f>
        <v>60</v>
      </c>
      <c r="O621" s="67">
        <f t="shared" ref="O621:O684" si="75">(E621-D621)/$E$438</f>
        <v>0.000659145088819801</v>
      </c>
      <c r="P621" s="67">
        <v>11001</v>
      </c>
    </row>
    <row r="622" spans="1:16">
      <c r="A622" s="5">
        <v>620</v>
      </c>
      <c r="B622" s="5">
        <v>11100</v>
      </c>
      <c r="C622" s="5">
        <v>6</v>
      </c>
      <c r="D622" s="5">
        <f t="shared" si="71"/>
        <v>94857</v>
      </c>
      <c r="E622" s="5">
        <f t="shared" si="70"/>
        <v>94917</v>
      </c>
      <c r="F622" s="5"/>
      <c r="G622" s="5" t="s">
        <v>282</v>
      </c>
      <c r="H622" s="5" t="s">
        <v>283</v>
      </c>
      <c r="I622" s="5"/>
      <c r="J622" s="5" t="s">
        <v>279</v>
      </c>
      <c r="K622" s="5">
        <v>1</v>
      </c>
      <c r="L622" s="5" t="s">
        <v>94</v>
      </c>
      <c r="M622" s="5">
        <f>ROUNDDOWN(VLOOKUP(J622,Sheet1!$N$32:$O$37,2,0)*1000,0)</f>
        <v>60</v>
      </c>
      <c r="O622" s="67">
        <f t="shared" si="75"/>
        <v>0.000659145088819801</v>
      </c>
      <c r="P622" s="67">
        <v>11002</v>
      </c>
    </row>
    <row r="623" spans="1:16">
      <c r="A623" s="5">
        <v>621</v>
      </c>
      <c r="B623" s="5">
        <v>11100</v>
      </c>
      <c r="C623" s="5">
        <v>6</v>
      </c>
      <c r="D623" s="5">
        <f t="shared" si="71"/>
        <v>94917</v>
      </c>
      <c r="E623" s="5">
        <f t="shared" si="70"/>
        <v>94977</v>
      </c>
      <c r="F623" s="5"/>
      <c r="G623" s="5" t="s">
        <v>284</v>
      </c>
      <c r="H623" s="5" t="s">
        <v>285</v>
      </c>
      <c r="I623" s="5"/>
      <c r="J623" s="5" t="s">
        <v>279</v>
      </c>
      <c r="K623" s="5">
        <v>1</v>
      </c>
      <c r="L623" s="5" t="s">
        <v>94</v>
      </c>
      <c r="M623" s="5">
        <f>ROUNDDOWN(VLOOKUP(J623,Sheet1!$N$32:$O$37,2,0)*1000,0)</f>
        <v>60</v>
      </c>
      <c r="O623" s="67">
        <f t="shared" si="75"/>
        <v>0.000659145088819801</v>
      </c>
      <c r="P623" s="67">
        <v>11003</v>
      </c>
    </row>
    <row r="624" spans="1:16">
      <c r="A624" s="5">
        <v>622</v>
      </c>
      <c r="B624" s="5">
        <v>11100</v>
      </c>
      <c r="C624" s="5">
        <v>6</v>
      </c>
      <c r="D624" s="5">
        <f t="shared" si="71"/>
        <v>94977</v>
      </c>
      <c r="E624" s="5">
        <f t="shared" si="70"/>
        <v>95037</v>
      </c>
      <c r="F624" s="5"/>
      <c r="G624" s="5" t="s">
        <v>286</v>
      </c>
      <c r="H624" s="5" t="s">
        <v>287</v>
      </c>
      <c r="I624" s="5"/>
      <c r="J624" s="5" t="s">
        <v>279</v>
      </c>
      <c r="K624" s="5">
        <v>1</v>
      </c>
      <c r="L624" s="5" t="s">
        <v>94</v>
      </c>
      <c r="M624" s="5">
        <f>ROUNDDOWN(VLOOKUP(J624,Sheet1!$N$32:$O$37,2,0)*1000,0)</f>
        <v>60</v>
      </c>
      <c r="O624" s="67">
        <f t="shared" si="75"/>
        <v>0.000659145088819801</v>
      </c>
      <c r="P624" s="67">
        <v>11004</v>
      </c>
    </row>
    <row r="625" spans="1:16">
      <c r="A625" s="5">
        <v>623</v>
      </c>
      <c r="B625" s="5">
        <v>11100</v>
      </c>
      <c r="C625" s="5">
        <v>6</v>
      </c>
      <c r="D625" s="5">
        <f t="shared" si="71"/>
        <v>95037</v>
      </c>
      <c r="E625" s="5">
        <f t="shared" si="70"/>
        <v>95097</v>
      </c>
      <c r="F625" s="5"/>
      <c r="G625" s="5" t="s">
        <v>288</v>
      </c>
      <c r="H625" s="5" t="s">
        <v>289</v>
      </c>
      <c r="I625" s="5"/>
      <c r="J625" s="5" t="s">
        <v>279</v>
      </c>
      <c r="K625" s="5">
        <v>1</v>
      </c>
      <c r="L625" s="5" t="s">
        <v>94</v>
      </c>
      <c r="M625" s="5">
        <f>ROUNDDOWN(VLOOKUP(J625,Sheet1!$N$32:$O$37,2,0)*1000,0)</f>
        <v>60</v>
      </c>
      <c r="O625" s="67">
        <f t="shared" si="75"/>
        <v>0.000659145088819801</v>
      </c>
      <c r="P625" s="67">
        <v>11005</v>
      </c>
    </row>
    <row r="626" spans="1:16">
      <c r="A626" s="5">
        <v>624</v>
      </c>
      <c r="B626" s="5">
        <v>11100</v>
      </c>
      <c r="C626" s="5">
        <v>6</v>
      </c>
      <c r="D626" s="5">
        <f t="shared" si="71"/>
        <v>95097</v>
      </c>
      <c r="E626" s="5">
        <f t="shared" si="70"/>
        <v>95157</v>
      </c>
      <c r="F626" s="5"/>
      <c r="G626" s="5" t="s">
        <v>290</v>
      </c>
      <c r="H626" s="5" t="s">
        <v>291</v>
      </c>
      <c r="I626" s="5"/>
      <c r="J626" s="5" t="s">
        <v>279</v>
      </c>
      <c r="K626" s="5">
        <v>1</v>
      </c>
      <c r="L626" s="5" t="s">
        <v>94</v>
      </c>
      <c r="M626" s="5">
        <f>ROUNDDOWN(VLOOKUP(J626,Sheet1!$N$32:$O$37,2,0)*1000,0)</f>
        <v>60</v>
      </c>
      <c r="O626" s="67">
        <f t="shared" si="75"/>
        <v>0.000659145088819801</v>
      </c>
      <c r="P626" s="67">
        <v>11006</v>
      </c>
    </row>
    <row r="627" spans="1:16">
      <c r="A627" s="5">
        <v>625</v>
      </c>
      <c r="B627" s="5">
        <v>11100</v>
      </c>
      <c r="C627" s="5">
        <v>6</v>
      </c>
      <c r="D627" s="5">
        <f t="shared" si="71"/>
        <v>95157</v>
      </c>
      <c r="E627" s="5">
        <f t="shared" si="70"/>
        <v>95217</v>
      </c>
      <c r="F627" s="5"/>
      <c r="G627" s="5" t="s">
        <v>292</v>
      </c>
      <c r="H627" s="5" t="s">
        <v>293</v>
      </c>
      <c r="I627" s="5"/>
      <c r="J627" s="5" t="s">
        <v>279</v>
      </c>
      <c r="K627" s="5">
        <v>1</v>
      </c>
      <c r="L627" s="5" t="s">
        <v>94</v>
      </c>
      <c r="M627" s="5">
        <f>ROUNDDOWN(VLOOKUP(J627,Sheet1!$N$32:$O$37,2,0)*1000,0)</f>
        <v>60</v>
      </c>
      <c r="O627" s="67">
        <f t="shared" si="75"/>
        <v>0.000659145088819801</v>
      </c>
      <c r="P627" s="67">
        <v>11007</v>
      </c>
    </row>
    <row r="628" spans="1:16">
      <c r="A628" s="5">
        <v>626</v>
      </c>
      <c r="B628" s="5">
        <v>11100</v>
      </c>
      <c r="C628" s="5">
        <v>6</v>
      </c>
      <c r="D628" s="5">
        <f t="shared" si="71"/>
        <v>95217</v>
      </c>
      <c r="E628" s="5">
        <f t="shared" si="70"/>
        <v>95277</v>
      </c>
      <c r="F628" s="5"/>
      <c r="G628" s="5" t="s">
        <v>294</v>
      </c>
      <c r="H628" s="5" t="s">
        <v>295</v>
      </c>
      <c r="I628" s="5"/>
      <c r="J628" s="5" t="s">
        <v>279</v>
      </c>
      <c r="K628" s="5">
        <v>1</v>
      </c>
      <c r="L628" s="5" t="s">
        <v>94</v>
      </c>
      <c r="M628" s="5">
        <f>ROUNDDOWN(VLOOKUP(J628,Sheet1!$N$32:$O$37,2,0)*1000,0)</f>
        <v>60</v>
      </c>
      <c r="O628" s="67">
        <f t="shared" si="75"/>
        <v>0.000659145088819801</v>
      </c>
      <c r="P628" s="67">
        <v>11008</v>
      </c>
    </row>
    <row r="629" spans="1:16">
      <c r="A629" s="5">
        <v>627</v>
      </c>
      <c r="B629" s="5">
        <v>11100</v>
      </c>
      <c r="C629" s="5">
        <v>6</v>
      </c>
      <c r="D629" s="5">
        <f t="shared" si="71"/>
        <v>95277</v>
      </c>
      <c r="E629" s="5">
        <f t="shared" si="70"/>
        <v>95337</v>
      </c>
      <c r="F629" s="5"/>
      <c r="G629" s="5" t="s">
        <v>296</v>
      </c>
      <c r="H629" s="5" t="s">
        <v>297</v>
      </c>
      <c r="I629" s="5"/>
      <c r="J629" s="5" t="s">
        <v>279</v>
      </c>
      <c r="K629" s="5">
        <v>1</v>
      </c>
      <c r="L629" s="5" t="s">
        <v>94</v>
      </c>
      <c r="M629" s="5">
        <f>ROUNDDOWN(VLOOKUP(J629,Sheet1!$N$32:$O$37,2,0)*1000,0)</f>
        <v>60</v>
      </c>
      <c r="O629" s="67">
        <f t="shared" si="75"/>
        <v>0.000659145088819801</v>
      </c>
      <c r="P629" s="67">
        <v>11009</v>
      </c>
    </row>
    <row r="630" spans="1:16">
      <c r="A630" s="5">
        <v>628</v>
      </c>
      <c r="B630" s="5">
        <v>11100</v>
      </c>
      <c r="C630" s="5">
        <v>6</v>
      </c>
      <c r="D630" s="5">
        <f t="shared" si="71"/>
        <v>95337</v>
      </c>
      <c r="E630" s="5">
        <f t="shared" si="70"/>
        <v>95397</v>
      </c>
      <c r="F630" s="5"/>
      <c r="G630" s="5" t="s">
        <v>298</v>
      </c>
      <c r="H630" s="5" t="s">
        <v>299</v>
      </c>
      <c r="I630" s="5"/>
      <c r="J630" s="5" t="s">
        <v>279</v>
      </c>
      <c r="K630" s="5">
        <v>1</v>
      </c>
      <c r="L630" s="5" t="s">
        <v>94</v>
      </c>
      <c r="M630" s="5">
        <f>ROUNDDOWN(VLOOKUP(J630,Sheet1!$N$32:$O$37,2,0)*1000,0)</f>
        <v>60</v>
      </c>
      <c r="O630" s="67">
        <f t="shared" si="75"/>
        <v>0.000659145088819801</v>
      </c>
      <c r="P630" s="67">
        <v>11010</v>
      </c>
    </row>
    <row r="631" spans="1:16">
      <c r="A631" s="5">
        <v>629</v>
      </c>
      <c r="B631" s="5">
        <v>11100</v>
      </c>
      <c r="C631" s="5">
        <v>6</v>
      </c>
      <c r="D631" s="5">
        <f t="shared" si="71"/>
        <v>95397</v>
      </c>
      <c r="E631" s="5">
        <f t="shared" si="70"/>
        <v>95457</v>
      </c>
      <c r="F631" s="5"/>
      <c r="G631" s="5" t="s">
        <v>300</v>
      </c>
      <c r="H631" s="5" t="s">
        <v>301</v>
      </c>
      <c r="I631" s="5"/>
      <c r="J631" s="5" t="s">
        <v>279</v>
      </c>
      <c r="K631" s="5">
        <v>1</v>
      </c>
      <c r="L631" s="5" t="s">
        <v>94</v>
      </c>
      <c r="M631" s="5">
        <f>ROUNDDOWN(VLOOKUP(J631,Sheet1!$N$32:$O$37,2,0)*1000,0)</f>
        <v>60</v>
      </c>
      <c r="O631" s="67">
        <f t="shared" si="75"/>
        <v>0.000659145088819801</v>
      </c>
      <c r="P631" s="67">
        <v>11011</v>
      </c>
    </row>
    <row r="632" spans="1:16">
      <c r="A632" s="5">
        <v>630</v>
      </c>
      <c r="B632" s="5">
        <v>11100</v>
      </c>
      <c r="C632" s="5">
        <v>6</v>
      </c>
      <c r="D632" s="5">
        <f t="shared" si="71"/>
        <v>95457</v>
      </c>
      <c r="E632" s="5">
        <f t="shared" si="70"/>
        <v>95517</v>
      </c>
      <c r="F632" s="5"/>
      <c r="G632" s="5" t="s">
        <v>302</v>
      </c>
      <c r="H632" s="5" t="s">
        <v>303</v>
      </c>
      <c r="I632" s="5"/>
      <c r="J632" s="5" t="s">
        <v>279</v>
      </c>
      <c r="K632" s="5">
        <v>1</v>
      </c>
      <c r="L632" s="5" t="s">
        <v>94</v>
      </c>
      <c r="M632" s="5">
        <f>ROUNDDOWN(VLOOKUP(J632,Sheet1!$N$32:$O$37,2,0)*1000,0)</f>
        <v>60</v>
      </c>
      <c r="O632" s="67">
        <f t="shared" si="75"/>
        <v>0.000659145088819801</v>
      </c>
      <c r="P632" s="67">
        <v>11012</v>
      </c>
    </row>
    <row r="633" spans="1:16">
      <c r="A633" s="5">
        <v>631</v>
      </c>
      <c r="B633" s="5">
        <v>11100</v>
      </c>
      <c r="C633" s="5">
        <v>6</v>
      </c>
      <c r="D633" s="5">
        <f t="shared" si="71"/>
        <v>95517</v>
      </c>
      <c r="E633" s="5">
        <f t="shared" si="70"/>
        <v>95577</v>
      </c>
      <c r="F633" s="5"/>
      <c r="G633" s="5" t="s">
        <v>304</v>
      </c>
      <c r="H633" s="5" t="s">
        <v>305</v>
      </c>
      <c r="I633" s="5"/>
      <c r="J633" s="5" t="s">
        <v>279</v>
      </c>
      <c r="K633" s="5">
        <v>1</v>
      </c>
      <c r="L633" s="5" t="s">
        <v>94</v>
      </c>
      <c r="M633" s="5">
        <f>ROUNDDOWN(VLOOKUP(J633,Sheet1!$N$32:$O$37,2,0)*1000,0)</f>
        <v>60</v>
      </c>
      <c r="O633" s="67">
        <f t="shared" si="75"/>
        <v>0.000659145088819801</v>
      </c>
      <c r="P633" s="67">
        <v>11013</v>
      </c>
    </row>
    <row r="634" spans="1:16">
      <c r="A634" s="5">
        <v>632</v>
      </c>
      <c r="B634" s="5">
        <v>11100</v>
      </c>
      <c r="C634" s="5">
        <v>6</v>
      </c>
      <c r="D634" s="5">
        <f t="shared" si="71"/>
        <v>95577</v>
      </c>
      <c r="E634" s="5">
        <f t="shared" si="70"/>
        <v>95637</v>
      </c>
      <c r="F634" s="5"/>
      <c r="G634" s="5" t="s">
        <v>306</v>
      </c>
      <c r="H634" s="5" t="s">
        <v>307</v>
      </c>
      <c r="I634" s="5"/>
      <c r="J634" s="5" t="s">
        <v>279</v>
      </c>
      <c r="K634" s="5">
        <v>1</v>
      </c>
      <c r="L634" s="5" t="s">
        <v>94</v>
      </c>
      <c r="M634" s="5">
        <f>ROUNDDOWN(VLOOKUP(J634,Sheet1!$N$32:$O$37,2,0)*1000,0)</f>
        <v>60</v>
      </c>
      <c r="O634" s="67">
        <f t="shared" si="75"/>
        <v>0.000659145088819801</v>
      </c>
      <c r="P634" s="67">
        <v>11014</v>
      </c>
    </row>
    <row r="635" spans="1:16">
      <c r="A635" s="5">
        <v>633</v>
      </c>
      <c r="B635" s="5">
        <v>11100</v>
      </c>
      <c r="C635" s="5">
        <v>6</v>
      </c>
      <c r="D635" s="5">
        <f t="shared" si="71"/>
        <v>95637</v>
      </c>
      <c r="E635" s="5">
        <f t="shared" si="70"/>
        <v>95697</v>
      </c>
      <c r="F635" s="5"/>
      <c r="G635" s="5" t="s">
        <v>308</v>
      </c>
      <c r="H635" s="5" t="s">
        <v>309</v>
      </c>
      <c r="I635" s="5"/>
      <c r="J635" s="5" t="s">
        <v>279</v>
      </c>
      <c r="K635" s="5">
        <v>1</v>
      </c>
      <c r="L635" s="5" t="s">
        <v>94</v>
      </c>
      <c r="M635" s="5">
        <f>ROUNDDOWN(VLOOKUP(J635,Sheet1!$N$32:$O$37,2,0)*1000,0)</f>
        <v>60</v>
      </c>
      <c r="O635" s="67">
        <f t="shared" si="75"/>
        <v>0.000659145088819801</v>
      </c>
      <c r="P635" s="67">
        <v>11015</v>
      </c>
    </row>
    <row r="636" spans="1:16">
      <c r="A636" s="5">
        <v>634</v>
      </c>
      <c r="B636" s="5">
        <v>11100</v>
      </c>
      <c r="C636" s="5">
        <v>6</v>
      </c>
      <c r="D636" s="5">
        <f t="shared" si="71"/>
        <v>95697</v>
      </c>
      <c r="E636" s="5">
        <f t="shared" si="70"/>
        <v>95757</v>
      </c>
      <c r="F636" s="5"/>
      <c r="G636" s="5" t="s">
        <v>310</v>
      </c>
      <c r="H636" s="5" t="s">
        <v>311</v>
      </c>
      <c r="I636" s="5"/>
      <c r="J636" s="5" t="s">
        <v>279</v>
      </c>
      <c r="K636" s="5">
        <v>1</v>
      </c>
      <c r="L636" s="5" t="s">
        <v>94</v>
      </c>
      <c r="M636" s="5">
        <f>ROUNDDOWN(VLOOKUP(J636,Sheet1!$N$32:$O$37,2,0)*1000,0)</f>
        <v>60</v>
      </c>
      <c r="O636" s="67">
        <f t="shared" si="75"/>
        <v>0.000659145088819801</v>
      </c>
      <c r="P636" s="67">
        <v>11016</v>
      </c>
    </row>
    <row r="637" spans="1:16">
      <c r="A637" s="5">
        <v>635</v>
      </c>
      <c r="B637" s="5">
        <v>11100</v>
      </c>
      <c r="C637" s="5">
        <v>6</v>
      </c>
      <c r="D637" s="5">
        <f t="shared" si="71"/>
        <v>95757</v>
      </c>
      <c r="E637" s="5">
        <f t="shared" si="70"/>
        <v>95817</v>
      </c>
      <c r="F637" s="5"/>
      <c r="G637" s="5" t="s">
        <v>312</v>
      </c>
      <c r="H637" s="5" t="s">
        <v>313</v>
      </c>
      <c r="I637" s="5"/>
      <c r="J637" s="5" t="s">
        <v>279</v>
      </c>
      <c r="K637" s="5">
        <v>1</v>
      </c>
      <c r="L637" s="5" t="s">
        <v>94</v>
      </c>
      <c r="M637" s="5">
        <f>ROUNDDOWN(VLOOKUP(J637,Sheet1!$N$32:$O$37,2,0)*1000,0)</f>
        <v>60</v>
      </c>
      <c r="O637" s="67">
        <f t="shared" si="75"/>
        <v>0.000659145088819801</v>
      </c>
      <c r="P637" s="67">
        <v>11017</v>
      </c>
    </row>
    <row r="638" spans="1:16">
      <c r="A638" s="5">
        <v>636</v>
      </c>
      <c r="B638" s="5">
        <v>11100</v>
      </c>
      <c r="C638" s="5">
        <v>6</v>
      </c>
      <c r="D638" s="5">
        <f t="shared" si="71"/>
        <v>95817</v>
      </c>
      <c r="E638" s="5">
        <f t="shared" si="70"/>
        <v>95877</v>
      </c>
      <c r="F638" s="5"/>
      <c r="G638" s="5" t="s">
        <v>314</v>
      </c>
      <c r="H638" s="5" t="s">
        <v>315</v>
      </c>
      <c r="I638" s="5"/>
      <c r="J638" s="5" t="s">
        <v>279</v>
      </c>
      <c r="K638" s="5">
        <v>1</v>
      </c>
      <c r="L638" s="5" t="s">
        <v>94</v>
      </c>
      <c r="M638" s="5">
        <f>ROUNDDOWN(VLOOKUP(J638,Sheet1!$N$32:$O$37,2,0)*1000,0)</f>
        <v>60</v>
      </c>
      <c r="O638" s="67">
        <f t="shared" si="75"/>
        <v>0.000659145088819801</v>
      </c>
      <c r="P638" s="67">
        <v>11018</v>
      </c>
    </row>
    <row r="639" spans="1:16">
      <c r="A639" s="5">
        <v>637</v>
      </c>
      <c r="B639" s="5">
        <v>11100</v>
      </c>
      <c r="C639" s="5">
        <v>6</v>
      </c>
      <c r="D639" s="5">
        <f t="shared" si="71"/>
        <v>95877</v>
      </c>
      <c r="E639" s="5">
        <f t="shared" si="70"/>
        <v>95937</v>
      </c>
      <c r="F639" s="5"/>
      <c r="G639" s="5" t="s">
        <v>316</v>
      </c>
      <c r="H639" s="5" t="s">
        <v>317</v>
      </c>
      <c r="I639" s="5"/>
      <c r="J639" s="5" t="s">
        <v>279</v>
      </c>
      <c r="K639" s="5">
        <v>1</v>
      </c>
      <c r="L639" s="5" t="s">
        <v>94</v>
      </c>
      <c r="M639" s="5">
        <f>ROUNDDOWN(VLOOKUP(J639,Sheet1!$N$32:$O$37,2,0)*1000,0)</f>
        <v>60</v>
      </c>
      <c r="O639" s="67">
        <f t="shared" si="75"/>
        <v>0.000659145088819801</v>
      </c>
      <c r="P639" s="67">
        <v>11019</v>
      </c>
    </row>
    <row r="640" spans="1:16">
      <c r="A640" s="5">
        <v>638</v>
      </c>
      <c r="B640" s="5">
        <v>11100</v>
      </c>
      <c r="C640" s="5">
        <v>6</v>
      </c>
      <c r="D640" s="5">
        <f t="shared" si="71"/>
        <v>95937</v>
      </c>
      <c r="E640" s="5">
        <f t="shared" si="70"/>
        <v>95997</v>
      </c>
      <c r="F640" s="5"/>
      <c r="G640" s="5" t="s">
        <v>318</v>
      </c>
      <c r="H640" s="5" t="s">
        <v>319</v>
      </c>
      <c r="I640" s="5"/>
      <c r="J640" s="5" t="s">
        <v>279</v>
      </c>
      <c r="K640" s="5">
        <v>1</v>
      </c>
      <c r="L640" s="5" t="s">
        <v>94</v>
      </c>
      <c r="M640" s="5">
        <f>ROUNDDOWN(VLOOKUP(J640,Sheet1!$N$32:$O$37,2,0)*1000,0)</f>
        <v>60</v>
      </c>
      <c r="O640" s="67">
        <f t="shared" si="75"/>
        <v>0.000659145088819801</v>
      </c>
      <c r="P640" s="67">
        <v>11020</v>
      </c>
    </row>
    <row r="641" spans="1:16">
      <c r="A641" s="5">
        <v>639</v>
      </c>
      <c r="B641" s="5">
        <v>11100</v>
      </c>
      <c r="C641" s="5">
        <v>6</v>
      </c>
      <c r="D641" s="5">
        <f t="shared" si="71"/>
        <v>95997</v>
      </c>
      <c r="E641" s="5">
        <f t="shared" si="70"/>
        <v>96057</v>
      </c>
      <c r="F641" s="5"/>
      <c r="G641" s="5" t="s">
        <v>320</v>
      </c>
      <c r="H641" s="5" t="s">
        <v>321</v>
      </c>
      <c r="I641" s="5"/>
      <c r="J641" s="5" t="s">
        <v>279</v>
      </c>
      <c r="K641" s="5">
        <v>1</v>
      </c>
      <c r="L641" s="5" t="s">
        <v>94</v>
      </c>
      <c r="M641" s="5">
        <f>ROUNDDOWN(VLOOKUP(J641,Sheet1!$N$32:$O$37,2,0)*1000,0)</f>
        <v>60</v>
      </c>
      <c r="O641" s="67">
        <f t="shared" si="75"/>
        <v>0.000659145088819801</v>
      </c>
      <c r="P641" s="67">
        <v>11021</v>
      </c>
    </row>
    <row r="642" spans="1:16">
      <c r="A642" s="5">
        <v>640</v>
      </c>
      <c r="B642" s="5">
        <v>11100</v>
      </c>
      <c r="C642" s="5">
        <v>6</v>
      </c>
      <c r="D642" s="5">
        <f t="shared" si="71"/>
        <v>96057</v>
      </c>
      <c r="E642" s="5">
        <f t="shared" si="70"/>
        <v>96117</v>
      </c>
      <c r="F642" s="5"/>
      <c r="G642" s="5" t="s">
        <v>322</v>
      </c>
      <c r="H642" s="5" t="s">
        <v>323</v>
      </c>
      <c r="I642" s="5"/>
      <c r="J642" s="5" t="s">
        <v>279</v>
      </c>
      <c r="K642" s="5">
        <v>1</v>
      </c>
      <c r="L642" s="5" t="s">
        <v>94</v>
      </c>
      <c r="M642" s="5">
        <f>ROUNDDOWN(VLOOKUP(J642,Sheet1!$N$32:$O$37,2,0)*1000,0)</f>
        <v>60</v>
      </c>
      <c r="O642" s="67">
        <f t="shared" si="75"/>
        <v>0.000659145088819801</v>
      </c>
      <c r="P642" s="67">
        <v>11022</v>
      </c>
    </row>
    <row r="643" spans="1:16">
      <c r="A643" s="5">
        <v>641</v>
      </c>
      <c r="B643" s="5">
        <v>11100</v>
      </c>
      <c r="C643" s="5">
        <v>6</v>
      </c>
      <c r="D643" s="5">
        <f t="shared" si="71"/>
        <v>96117</v>
      </c>
      <c r="E643" s="5">
        <f t="shared" si="70"/>
        <v>96177</v>
      </c>
      <c r="F643" s="5"/>
      <c r="G643" s="5" t="s">
        <v>324</v>
      </c>
      <c r="H643" s="5" t="s">
        <v>325</v>
      </c>
      <c r="I643" s="5"/>
      <c r="J643" s="5" t="s">
        <v>279</v>
      </c>
      <c r="K643" s="5">
        <v>1</v>
      </c>
      <c r="L643" s="5" t="s">
        <v>94</v>
      </c>
      <c r="M643" s="5">
        <f>ROUNDDOWN(VLOOKUP(J643,Sheet1!$N$32:$O$37,2,0)*1000,0)</f>
        <v>60</v>
      </c>
      <c r="O643" s="67">
        <f t="shared" si="75"/>
        <v>0.000659145088819801</v>
      </c>
      <c r="P643" s="67">
        <v>11023</v>
      </c>
    </row>
    <row r="644" spans="1:16">
      <c r="A644" s="5">
        <v>642</v>
      </c>
      <c r="B644" s="5">
        <v>11100</v>
      </c>
      <c r="C644" s="5">
        <v>6</v>
      </c>
      <c r="D644" s="5">
        <f t="shared" ref="D644:D707" si="76">E643</f>
        <v>96177</v>
      </c>
      <c r="E644" s="5">
        <f t="shared" ref="E644:E707" si="77">D644+M644</f>
        <v>96237</v>
      </c>
      <c r="F644" s="5"/>
      <c r="G644" s="5" t="s">
        <v>326</v>
      </c>
      <c r="H644" s="5" t="s">
        <v>327</v>
      </c>
      <c r="I644" s="5"/>
      <c r="J644" s="5" t="s">
        <v>279</v>
      </c>
      <c r="K644" s="5">
        <v>1</v>
      </c>
      <c r="L644" s="5" t="s">
        <v>94</v>
      </c>
      <c r="M644" s="5">
        <f>ROUNDDOWN(VLOOKUP(J644,Sheet1!$N$32:$O$37,2,0)*1000,0)</f>
        <v>60</v>
      </c>
      <c r="O644" s="67">
        <f t="shared" si="75"/>
        <v>0.000659145088819801</v>
      </c>
      <c r="P644" s="67">
        <v>11024</v>
      </c>
    </row>
    <row r="645" spans="1:16">
      <c r="A645" s="5">
        <v>643</v>
      </c>
      <c r="B645" s="5">
        <v>11100</v>
      </c>
      <c r="C645" s="5">
        <v>6</v>
      </c>
      <c r="D645" s="5">
        <f t="shared" si="76"/>
        <v>96237</v>
      </c>
      <c r="E645" s="5">
        <f t="shared" si="77"/>
        <v>96297</v>
      </c>
      <c r="F645" s="5"/>
      <c r="G645" s="5" t="s">
        <v>328</v>
      </c>
      <c r="H645" s="5" t="s">
        <v>329</v>
      </c>
      <c r="I645" s="5"/>
      <c r="J645" s="5" t="s">
        <v>279</v>
      </c>
      <c r="K645" s="5">
        <v>1</v>
      </c>
      <c r="L645" s="5" t="s">
        <v>94</v>
      </c>
      <c r="M645" s="5">
        <f>ROUNDDOWN(VLOOKUP(J645,Sheet1!$N$32:$O$37,2,0)*1000,0)</f>
        <v>60</v>
      </c>
      <c r="O645" s="67">
        <f t="shared" si="75"/>
        <v>0.000659145088819801</v>
      </c>
      <c r="P645" s="67">
        <v>11025</v>
      </c>
    </row>
    <row r="646" spans="1:16">
      <c r="A646" s="5">
        <v>644</v>
      </c>
      <c r="B646" s="5">
        <v>11100</v>
      </c>
      <c r="C646" s="5">
        <v>6</v>
      </c>
      <c r="D646" s="5">
        <f t="shared" si="76"/>
        <v>96297</v>
      </c>
      <c r="E646" s="5">
        <f t="shared" si="77"/>
        <v>96357</v>
      </c>
      <c r="F646" s="5"/>
      <c r="G646" s="5" t="s">
        <v>330</v>
      </c>
      <c r="H646" s="5" t="s">
        <v>331</v>
      </c>
      <c r="I646" s="5"/>
      <c r="J646" s="5" t="s">
        <v>279</v>
      </c>
      <c r="K646" s="5">
        <v>1</v>
      </c>
      <c r="L646" s="5" t="s">
        <v>94</v>
      </c>
      <c r="M646" s="5">
        <f>ROUNDDOWN(VLOOKUP(J646,Sheet1!$N$32:$O$37,2,0)*1000,0)</f>
        <v>60</v>
      </c>
      <c r="O646" s="67">
        <f t="shared" si="75"/>
        <v>0.000659145088819801</v>
      </c>
      <c r="P646" s="67">
        <v>11026</v>
      </c>
    </row>
    <row r="647" spans="1:16">
      <c r="A647" s="5">
        <v>645</v>
      </c>
      <c r="B647" s="5">
        <v>11100</v>
      </c>
      <c r="C647" s="5">
        <v>6</v>
      </c>
      <c r="D647" s="5">
        <f t="shared" si="76"/>
        <v>96357</v>
      </c>
      <c r="E647" s="5">
        <f t="shared" si="77"/>
        <v>96417</v>
      </c>
      <c r="F647" s="5"/>
      <c r="G647" s="5" t="s">
        <v>332</v>
      </c>
      <c r="H647" s="5" t="s">
        <v>333</v>
      </c>
      <c r="I647" s="5"/>
      <c r="J647" s="5" t="s">
        <v>279</v>
      </c>
      <c r="K647" s="5">
        <v>1</v>
      </c>
      <c r="L647" s="5" t="s">
        <v>94</v>
      </c>
      <c r="M647" s="5">
        <f>ROUNDDOWN(VLOOKUP(J647,Sheet1!$N$32:$O$37,2,0)*1000,0)</f>
        <v>60</v>
      </c>
      <c r="O647" s="67">
        <f t="shared" si="75"/>
        <v>0.000659145088819801</v>
      </c>
      <c r="P647" s="67">
        <v>11027</v>
      </c>
    </row>
    <row r="648" spans="1:16">
      <c r="A648" s="5">
        <v>646</v>
      </c>
      <c r="B648" s="5">
        <v>11100</v>
      </c>
      <c r="C648" s="5">
        <v>6</v>
      </c>
      <c r="D648" s="5">
        <f t="shared" si="76"/>
        <v>96417</v>
      </c>
      <c r="E648" s="5">
        <f t="shared" si="77"/>
        <v>96477</v>
      </c>
      <c r="F648" s="5"/>
      <c r="G648" s="5" t="s">
        <v>334</v>
      </c>
      <c r="H648" s="5" t="s">
        <v>335</v>
      </c>
      <c r="I648" s="5"/>
      <c r="J648" s="5" t="s">
        <v>279</v>
      </c>
      <c r="K648" s="5">
        <v>1</v>
      </c>
      <c r="L648" s="5" t="s">
        <v>94</v>
      </c>
      <c r="M648" s="5">
        <f>ROUNDDOWN(VLOOKUP(J648,Sheet1!$N$32:$O$37,2,0)*1000,0)</f>
        <v>60</v>
      </c>
      <c r="O648" s="67">
        <f t="shared" si="75"/>
        <v>0.000659145088819801</v>
      </c>
      <c r="P648" s="67">
        <v>11028</v>
      </c>
    </row>
    <row r="649" spans="1:16">
      <c r="A649" s="5">
        <v>647</v>
      </c>
      <c r="B649" s="5">
        <v>11100</v>
      </c>
      <c r="C649" s="5">
        <v>6</v>
      </c>
      <c r="D649" s="5">
        <f t="shared" si="76"/>
        <v>96477</v>
      </c>
      <c r="E649" s="5">
        <f t="shared" si="77"/>
        <v>96537</v>
      </c>
      <c r="F649" s="5"/>
      <c r="G649" s="5" t="s">
        <v>336</v>
      </c>
      <c r="H649" s="5" t="s">
        <v>337</v>
      </c>
      <c r="I649" s="5"/>
      <c r="J649" s="5" t="s">
        <v>279</v>
      </c>
      <c r="K649" s="5">
        <v>1</v>
      </c>
      <c r="L649" s="5" t="s">
        <v>94</v>
      </c>
      <c r="M649" s="5">
        <f>ROUNDDOWN(VLOOKUP(J649,Sheet1!$N$32:$O$37,2,0)*1000,0)</f>
        <v>60</v>
      </c>
      <c r="O649" s="67">
        <f t="shared" si="75"/>
        <v>0.000659145088819801</v>
      </c>
      <c r="P649" s="67">
        <v>11029</v>
      </c>
    </row>
    <row r="650" spans="1:16">
      <c r="A650" s="5">
        <v>648</v>
      </c>
      <c r="B650" s="5">
        <v>11100</v>
      </c>
      <c r="C650" s="5">
        <v>6</v>
      </c>
      <c r="D650" s="5">
        <f t="shared" si="76"/>
        <v>96537</v>
      </c>
      <c r="E650" s="5">
        <f t="shared" si="77"/>
        <v>96597</v>
      </c>
      <c r="F650" s="5"/>
      <c r="G650" s="5" t="s">
        <v>338</v>
      </c>
      <c r="H650" s="5" t="s">
        <v>339</v>
      </c>
      <c r="I650" s="5"/>
      <c r="J650" s="5" t="s">
        <v>279</v>
      </c>
      <c r="K650" s="5">
        <v>1</v>
      </c>
      <c r="L650" s="5" t="s">
        <v>94</v>
      </c>
      <c r="M650" s="5">
        <f>ROUNDDOWN(VLOOKUP(J650,Sheet1!$N$32:$O$37,2,0)*1000,0)</f>
        <v>60</v>
      </c>
      <c r="O650" s="67">
        <f t="shared" si="75"/>
        <v>0.000659145088819801</v>
      </c>
      <c r="P650" s="67">
        <v>11030</v>
      </c>
    </row>
    <row r="651" spans="1:16">
      <c r="A651" s="5">
        <v>649</v>
      </c>
      <c r="B651" s="5">
        <v>11100</v>
      </c>
      <c r="C651" s="5">
        <v>6</v>
      </c>
      <c r="D651" s="5">
        <f t="shared" si="76"/>
        <v>96597</v>
      </c>
      <c r="E651" s="5">
        <f t="shared" si="77"/>
        <v>96657</v>
      </c>
      <c r="F651" s="5"/>
      <c r="G651" s="5" t="s">
        <v>340</v>
      </c>
      <c r="H651" s="5" t="s">
        <v>341</v>
      </c>
      <c r="I651" s="5"/>
      <c r="J651" s="5" t="s">
        <v>279</v>
      </c>
      <c r="K651" s="5">
        <v>1</v>
      </c>
      <c r="L651" s="5" t="s">
        <v>94</v>
      </c>
      <c r="M651" s="5">
        <f>ROUNDDOWN(VLOOKUP(J651,Sheet1!$N$32:$O$37,2,0)*1000,0)</f>
        <v>60</v>
      </c>
      <c r="O651" s="67">
        <f t="shared" si="75"/>
        <v>0.000659145088819801</v>
      </c>
      <c r="P651" s="67">
        <v>11031</v>
      </c>
    </row>
    <row r="652" spans="1:16">
      <c r="A652" s="5">
        <v>650</v>
      </c>
      <c r="B652" s="5">
        <v>11100</v>
      </c>
      <c r="C652" s="5">
        <v>6</v>
      </c>
      <c r="D652" s="5">
        <f t="shared" si="76"/>
        <v>96657</v>
      </c>
      <c r="E652" s="5">
        <f t="shared" si="77"/>
        <v>96717</v>
      </c>
      <c r="F652" s="5"/>
      <c r="G652" s="5" t="s">
        <v>342</v>
      </c>
      <c r="H652" s="5" t="s">
        <v>343</v>
      </c>
      <c r="I652" s="5"/>
      <c r="J652" s="5" t="s">
        <v>279</v>
      </c>
      <c r="K652" s="5">
        <v>1</v>
      </c>
      <c r="L652" s="5" t="s">
        <v>94</v>
      </c>
      <c r="M652" s="5">
        <f>ROUNDDOWN(VLOOKUP(J652,Sheet1!$N$32:$O$37,2,0)*1000,0)</f>
        <v>60</v>
      </c>
      <c r="O652" s="67">
        <f t="shared" si="75"/>
        <v>0.000659145088819801</v>
      </c>
      <c r="P652" s="67">
        <v>11032</v>
      </c>
    </row>
    <row r="653" spans="1:16">
      <c r="A653" s="5">
        <v>651</v>
      </c>
      <c r="B653" s="5">
        <v>11100</v>
      </c>
      <c r="C653" s="5">
        <v>6</v>
      </c>
      <c r="D653" s="5">
        <f t="shared" si="76"/>
        <v>96717</v>
      </c>
      <c r="E653" s="5">
        <f t="shared" si="77"/>
        <v>96777</v>
      </c>
      <c r="F653" s="5"/>
      <c r="G653" s="5" t="s">
        <v>344</v>
      </c>
      <c r="H653" s="5" t="s">
        <v>345</v>
      </c>
      <c r="I653" s="5"/>
      <c r="J653" s="5" t="s">
        <v>279</v>
      </c>
      <c r="K653" s="5">
        <v>1</v>
      </c>
      <c r="L653" s="5" t="s">
        <v>94</v>
      </c>
      <c r="M653" s="5">
        <f>ROUNDDOWN(VLOOKUP(J653,Sheet1!$N$32:$O$37,2,0)*1000,0)</f>
        <v>60</v>
      </c>
      <c r="O653" s="67">
        <f t="shared" si="75"/>
        <v>0.000659145088819801</v>
      </c>
      <c r="P653" s="67">
        <v>11033</v>
      </c>
    </row>
    <row r="654" spans="1:16">
      <c r="A654" s="5">
        <v>652</v>
      </c>
      <c r="B654" s="5">
        <v>11100</v>
      </c>
      <c r="C654" s="5">
        <v>6</v>
      </c>
      <c r="D654" s="5">
        <f t="shared" si="76"/>
        <v>96777</v>
      </c>
      <c r="E654" s="5">
        <f t="shared" si="77"/>
        <v>96837</v>
      </c>
      <c r="F654" s="5"/>
      <c r="G654" s="5" t="s">
        <v>346</v>
      </c>
      <c r="H654" s="5" t="s">
        <v>347</v>
      </c>
      <c r="I654" s="5"/>
      <c r="J654" s="5" t="s">
        <v>279</v>
      </c>
      <c r="K654" s="5">
        <v>1</v>
      </c>
      <c r="L654" s="5" t="s">
        <v>94</v>
      </c>
      <c r="M654" s="5">
        <f>ROUNDDOWN(VLOOKUP(J654,Sheet1!$N$32:$O$37,2,0)*1000,0)</f>
        <v>60</v>
      </c>
      <c r="O654" s="67">
        <f t="shared" si="75"/>
        <v>0.000659145088819801</v>
      </c>
      <c r="P654" s="67">
        <v>11034</v>
      </c>
    </row>
    <row r="655" spans="1:16">
      <c r="A655" s="5">
        <v>653</v>
      </c>
      <c r="B655" s="5">
        <v>11100</v>
      </c>
      <c r="C655" s="5">
        <v>6</v>
      </c>
      <c r="D655" s="5">
        <f t="shared" si="76"/>
        <v>96837</v>
      </c>
      <c r="E655" s="5">
        <f t="shared" si="77"/>
        <v>96897</v>
      </c>
      <c r="F655" s="5"/>
      <c r="G655" s="5" t="s">
        <v>348</v>
      </c>
      <c r="H655" s="5" t="s">
        <v>349</v>
      </c>
      <c r="I655" s="5"/>
      <c r="J655" s="5" t="s">
        <v>279</v>
      </c>
      <c r="K655" s="5">
        <v>1</v>
      </c>
      <c r="L655" s="5" t="s">
        <v>94</v>
      </c>
      <c r="M655" s="5">
        <f>ROUNDDOWN(VLOOKUP(J655,Sheet1!$N$32:$O$37,2,0)*1000,0)</f>
        <v>60</v>
      </c>
      <c r="O655" s="67">
        <f t="shared" si="75"/>
        <v>0.000659145088819801</v>
      </c>
      <c r="P655" s="67">
        <v>11035</v>
      </c>
    </row>
    <row r="656" spans="1:16">
      <c r="A656" s="5">
        <v>654</v>
      </c>
      <c r="B656" s="5">
        <v>11100</v>
      </c>
      <c r="C656" s="5">
        <v>6</v>
      </c>
      <c r="D656" s="5">
        <f t="shared" si="76"/>
        <v>96897</v>
      </c>
      <c r="E656" s="5">
        <f t="shared" si="77"/>
        <v>96957</v>
      </c>
      <c r="F656" s="5"/>
      <c r="G656" s="5" t="s">
        <v>350</v>
      </c>
      <c r="H656" s="5" t="s">
        <v>351</v>
      </c>
      <c r="I656" s="5"/>
      <c r="J656" s="5" t="s">
        <v>279</v>
      </c>
      <c r="K656" s="5">
        <v>1</v>
      </c>
      <c r="L656" s="5" t="s">
        <v>94</v>
      </c>
      <c r="M656" s="5">
        <f>ROUNDDOWN(VLOOKUP(J656,Sheet1!$N$32:$O$37,2,0)*1000,0)</f>
        <v>60</v>
      </c>
      <c r="O656" s="67">
        <f t="shared" si="75"/>
        <v>0.000659145088819801</v>
      </c>
      <c r="P656" s="67">
        <v>11036</v>
      </c>
    </row>
    <row r="657" spans="1:16">
      <c r="A657" s="5">
        <v>655</v>
      </c>
      <c r="B657" s="5">
        <v>11100</v>
      </c>
      <c r="C657" s="5">
        <v>6</v>
      </c>
      <c r="D657" s="5">
        <f t="shared" si="76"/>
        <v>96957</v>
      </c>
      <c r="E657" s="5">
        <f t="shared" si="77"/>
        <v>97017</v>
      </c>
      <c r="F657" s="5"/>
      <c r="G657" s="5" t="s">
        <v>352</v>
      </c>
      <c r="H657" s="5" t="s">
        <v>353</v>
      </c>
      <c r="I657" s="5"/>
      <c r="J657" s="5" t="s">
        <v>279</v>
      </c>
      <c r="K657" s="5">
        <v>1</v>
      </c>
      <c r="L657" s="5" t="s">
        <v>94</v>
      </c>
      <c r="M657" s="5">
        <f>ROUNDDOWN(VLOOKUP(J657,Sheet1!$N$32:$O$37,2,0)*1000,0)</f>
        <v>60</v>
      </c>
      <c r="O657" s="67">
        <f t="shared" si="75"/>
        <v>0.000659145088819801</v>
      </c>
      <c r="P657" s="67">
        <v>11037</v>
      </c>
    </row>
    <row r="658" spans="1:16">
      <c r="A658" s="5">
        <v>656</v>
      </c>
      <c r="B658" s="5">
        <v>11100</v>
      </c>
      <c r="C658" s="5">
        <v>6</v>
      </c>
      <c r="D658" s="5">
        <f t="shared" si="76"/>
        <v>97017</v>
      </c>
      <c r="E658" s="5">
        <f t="shared" si="77"/>
        <v>97077</v>
      </c>
      <c r="F658" s="5"/>
      <c r="G658" s="5" t="s">
        <v>354</v>
      </c>
      <c r="H658" s="5" t="s">
        <v>355</v>
      </c>
      <c r="I658" s="5"/>
      <c r="J658" s="5" t="s">
        <v>279</v>
      </c>
      <c r="K658" s="5">
        <v>1</v>
      </c>
      <c r="L658" s="5" t="s">
        <v>94</v>
      </c>
      <c r="M658" s="5">
        <f>ROUNDDOWN(VLOOKUP(J658,Sheet1!$N$32:$O$37,2,0)*1000,0)</f>
        <v>60</v>
      </c>
      <c r="O658" s="67">
        <f t="shared" si="75"/>
        <v>0.000659145088819801</v>
      </c>
      <c r="P658" s="67">
        <v>11038</v>
      </c>
    </row>
    <row r="659" spans="1:16">
      <c r="A659" s="5">
        <v>657</v>
      </c>
      <c r="B659" s="5">
        <v>11100</v>
      </c>
      <c r="C659" s="5">
        <v>6</v>
      </c>
      <c r="D659" s="5">
        <f t="shared" si="76"/>
        <v>97077</v>
      </c>
      <c r="E659" s="5">
        <f t="shared" si="77"/>
        <v>97137</v>
      </c>
      <c r="F659" s="5"/>
      <c r="G659" s="5" t="s">
        <v>277</v>
      </c>
      <c r="H659" s="5" t="s">
        <v>356</v>
      </c>
      <c r="I659" s="5"/>
      <c r="J659" s="5" t="s">
        <v>279</v>
      </c>
      <c r="K659" s="5">
        <v>1</v>
      </c>
      <c r="L659" s="5" t="s">
        <v>94</v>
      </c>
      <c r="M659" s="5">
        <f>ROUNDDOWN(VLOOKUP(J659,Sheet1!$N$32:$O$37,2,0)*1000,0)</f>
        <v>60</v>
      </c>
      <c r="O659" s="67">
        <f t="shared" si="75"/>
        <v>0.000659145088819801</v>
      </c>
      <c r="P659" s="67">
        <v>11000</v>
      </c>
    </row>
    <row r="660" spans="1:16">
      <c r="A660" s="5">
        <v>658</v>
      </c>
      <c r="B660" s="5">
        <v>11100</v>
      </c>
      <c r="C660" s="5">
        <v>6</v>
      </c>
      <c r="D660" s="5">
        <f t="shared" si="76"/>
        <v>97137</v>
      </c>
      <c r="E660" s="5">
        <f t="shared" si="77"/>
        <v>97197</v>
      </c>
      <c r="F660" s="5"/>
      <c r="G660" s="5" t="s">
        <v>280</v>
      </c>
      <c r="H660" s="5" t="s">
        <v>357</v>
      </c>
      <c r="I660" s="5"/>
      <c r="J660" s="5" t="s">
        <v>279</v>
      </c>
      <c r="K660" s="5">
        <v>1</v>
      </c>
      <c r="L660" s="5" t="s">
        <v>94</v>
      </c>
      <c r="M660" s="5">
        <f>ROUNDDOWN(VLOOKUP(J660,Sheet1!$N$32:$O$37,2,0)*1000,0)</f>
        <v>60</v>
      </c>
      <c r="O660" s="67">
        <f t="shared" si="75"/>
        <v>0.000659145088819801</v>
      </c>
      <c r="P660" s="67">
        <v>11001</v>
      </c>
    </row>
    <row r="661" spans="1:16">
      <c r="A661" s="5">
        <v>659</v>
      </c>
      <c r="B661" s="5">
        <v>11100</v>
      </c>
      <c r="C661" s="5">
        <v>6</v>
      </c>
      <c r="D661" s="5">
        <f t="shared" si="76"/>
        <v>97197</v>
      </c>
      <c r="E661" s="5">
        <f t="shared" si="77"/>
        <v>97257</v>
      </c>
      <c r="F661" s="5"/>
      <c r="G661" s="5" t="s">
        <v>282</v>
      </c>
      <c r="H661" s="5" t="s">
        <v>358</v>
      </c>
      <c r="I661" s="5"/>
      <c r="J661" s="5" t="s">
        <v>279</v>
      </c>
      <c r="K661" s="5">
        <v>1</v>
      </c>
      <c r="L661" s="5" t="s">
        <v>94</v>
      </c>
      <c r="M661" s="5">
        <f>ROUNDDOWN(VLOOKUP(J661,Sheet1!$N$32:$O$37,2,0)*1000,0)</f>
        <v>60</v>
      </c>
      <c r="O661" s="67">
        <f t="shared" si="75"/>
        <v>0.000659145088819801</v>
      </c>
      <c r="P661" s="67">
        <v>11002</v>
      </c>
    </row>
    <row r="662" spans="1:16">
      <c r="A662" s="5">
        <v>660</v>
      </c>
      <c r="B662" s="5">
        <v>11100</v>
      </c>
      <c r="C662" s="5">
        <v>6</v>
      </c>
      <c r="D662" s="5">
        <f t="shared" si="76"/>
        <v>97257</v>
      </c>
      <c r="E662" s="5">
        <f t="shared" si="77"/>
        <v>97317</v>
      </c>
      <c r="F662" s="5"/>
      <c r="G662" s="5" t="s">
        <v>284</v>
      </c>
      <c r="H662" s="5" t="s">
        <v>359</v>
      </c>
      <c r="I662" s="5"/>
      <c r="J662" s="5" t="s">
        <v>279</v>
      </c>
      <c r="K662" s="5">
        <v>1</v>
      </c>
      <c r="L662" s="5" t="s">
        <v>94</v>
      </c>
      <c r="M662" s="5">
        <f>ROUNDDOWN(VLOOKUP(J662,Sheet1!$N$32:$O$37,2,0)*1000,0)</f>
        <v>60</v>
      </c>
      <c r="O662" s="67">
        <f t="shared" si="75"/>
        <v>0.000659145088819801</v>
      </c>
      <c r="P662" s="67">
        <v>11003</v>
      </c>
    </row>
    <row r="663" spans="1:16">
      <c r="A663" s="5">
        <v>661</v>
      </c>
      <c r="B663" s="5">
        <v>11100</v>
      </c>
      <c r="C663" s="5">
        <v>6</v>
      </c>
      <c r="D663" s="5">
        <f t="shared" si="76"/>
        <v>97317</v>
      </c>
      <c r="E663" s="5">
        <f t="shared" si="77"/>
        <v>97377</v>
      </c>
      <c r="F663" s="5"/>
      <c r="G663" s="5" t="s">
        <v>286</v>
      </c>
      <c r="H663" s="5" t="s">
        <v>360</v>
      </c>
      <c r="I663" s="5"/>
      <c r="J663" s="5" t="s">
        <v>279</v>
      </c>
      <c r="K663" s="5">
        <v>1</v>
      </c>
      <c r="L663" s="5" t="s">
        <v>94</v>
      </c>
      <c r="M663" s="5">
        <f>ROUNDDOWN(VLOOKUP(J663,Sheet1!$N$32:$O$37,2,0)*1000,0)</f>
        <v>60</v>
      </c>
      <c r="O663" s="67">
        <f t="shared" si="75"/>
        <v>0.000659145088819801</v>
      </c>
      <c r="P663" s="67">
        <v>11004</v>
      </c>
    </row>
    <row r="664" spans="1:16">
      <c r="A664" s="5">
        <v>662</v>
      </c>
      <c r="B664" s="5">
        <v>11100</v>
      </c>
      <c r="C664" s="5">
        <v>6</v>
      </c>
      <c r="D664" s="5">
        <f t="shared" si="76"/>
        <v>97377</v>
      </c>
      <c r="E664" s="5">
        <f t="shared" si="77"/>
        <v>97437</v>
      </c>
      <c r="F664" s="5"/>
      <c r="G664" s="5" t="s">
        <v>288</v>
      </c>
      <c r="H664" s="5" t="s">
        <v>361</v>
      </c>
      <c r="I664" s="5"/>
      <c r="J664" s="5" t="s">
        <v>279</v>
      </c>
      <c r="K664" s="5">
        <v>1</v>
      </c>
      <c r="L664" s="5" t="s">
        <v>94</v>
      </c>
      <c r="M664" s="5">
        <f>ROUNDDOWN(VLOOKUP(J664,Sheet1!$N$32:$O$37,2,0)*1000,0)</f>
        <v>60</v>
      </c>
      <c r="O664" s="67">
        <f t="shared" si="75"/>
        <v>0.000659145088819801</v>
      </c>
      <c r="P664" s="67">
        <v>11005</v>
      </c>
    </row>
    <row r="665" spans="1:16">
      <c r="A665" s="5">
        <v>663</v>
      </c>
      <c r="B665" s="5">
        <v>11100</v>
      </c>
      <c r="C665" s="5">
        <v>6</v>
      </c>
      <c r="D665" s="5">
        <f t="shared" si="76"/>
        <v>97437</v>
      </c>
      <c r="E665" s="5">
        <f t="shared" si="77"/>
        <v>97497</v>
      </c>
      <c r="F665" s="5"/>
      <c r="G665" s="5" t="s">
        <v>290</v>
      </c>
      <c r="H665" s="5" t="s">
        <v>362</v>
      </c>
      <c r="I665" s="5"/>
      <c r="J665" s="5" t="s">
        <v>279</v>
      </c>
      <c r="K665" s="5">
        <v>1</v>
      </c>
      <c r="L665" s="5" t="s">
        <v>94</v>
      </c>
      <c r="M665" s="5">
        <f>ROUNDDOWN(VLOOKUP(J665,Sheet1!$N$32:$O$37,2,0)*1000,0)</f>
        <v>60</v>
      </c>
      <c r="O665" s="67">
        <f t="shared" si="75"/>
        <v>0.000659145088819801</v>
      </c>
      <c r="P665" s="67">
        <v>11006</v>
      </c>
    </row>
    <row r="666" spans="1:16">
      <c r="A666" s="5">
        <v>664</v>
      </c>
      <c r="B666" s="5">
        <v>11100</v>
      </c>
      <c r="C666" s="5">
        <v>6</v>
      </c>
      <c r="D666" s="5">
        <f t="shared" si="76"/>
        <v>97497</v>
      </c>
      <c r="E666" s="5">
        <f t="shared" si="77"/>
        <v>97557</v>
      </c>
      <c r="F666" s="5"/>
      <c r="G666" s="5" t="s">
        <v>292</v>
      </c>
      <c r="H666" s="5" t="s">
        <v>363</v>
      </c>
      <c r="I666" s="5"/>
      <c r="J666" s="5" t="s">
        <v>279</v>
      </c>
      <c r="K666" s="5">
        <v>1</v>
      </c>
      <c r="L666" s="5" t="s">
        <v>94</v>
      </c>
      <c r="M666" s="5">
        <f>ROUNDDOWN(VLOOKUP(J666,Sheet1!$N$32:$O$37,2,0)*1000,0)</f>
        <v>60</v>
      </c>
      <c r="O666" s="67">
        <f t="shared" si="75"/>
        <v>0.000659145088819801</v>
      </c>
      <c r="P666" s="67">
        <v>11007</v>
      </c>
    </row>
    <row r="667" spans="1:16">
      <c r="A667" s="5">
        <v>665</v>
      </c>
      <c r="B667" s="5">
        <v>11100</v>
      </c>
      <c r="C667" s="5">
        <v>6</v>
      </c>
      <c r="D667" s="5">
        <f t="shared" si="76"/>
        <v>97557</v>
      </c>
      <c r="E667" s="5">
        <f t="shared" si="77"/>
        <v>97617</v>
      </c>
      <c r="F667" s="5"/>
      <c r="G667" s="5" t="s">
        <v>294</v>
      </c>
      <c r="H667" s="5" t="s">
        <v>364</v>
      </c>
      <c r="I667" s="5"/>
      <c r="J667" s="5" t="s">
        <v>279</v>
      </c>
      <c r="K667" s="5">
        <v>1</v>
      </c>
      <c r="L667" s="5" t="s">
        <v>94</v>
      </c>
      <c r="M667" s="5">
        <f>ROUNDDOWN(VLOOKUP(J667,Sheet1!$N$32:$O$37,2,0)*1000,0)</f>
        <v>60</v>
      </c>
      <c r="O667" s="67">
        <f t="shared" si="75"/>
        <v>0.000659145088819801</v>
      </c>
      <c r="P667" s="67">
        <v>11008</v>
      </c>
    </row>
    <row r="668" spans="1:16">
      <c r="A668" s="5">
        <v>666</v>
      </c>
      <c r="B668" s="5">
        <v>11100</v>
      </c>
      <c r="C668" s="5">
        <v>6</v>
      </c>
      <c r="D668" s="5">
        <f t="shared" si="76"/>
        <v>97617</v>
      </c>
      <c r="E668" s="5">
        <f t="shared" si="77"/>
        <v>97677</v>
      </c>
      <c r="F668" s="5"/>
      <c r="G668" s="5" t="s">
        <v>296</v>
      </c>
      <c r="H668" s="5" t="s">
        <v>365</v>
      </c>
      <c r="I668" s="5"/>
      <c r="J668" s="5" t="s">
        <v>279</v>
      </c>
      <c r="K668" s="5">
        <v>1</v>
      </c>
      <c r="L668" s="5" t="s">
        <v>94</v>
      </c>
      <c r="M668" s="5">
        <f>ROUNDDOWN(VLOOKUP(J668,Sheet1!$N$32:$O$37,2,0)*1000,0)</f>
        <v>60</v>
      </c>
      <c r="O668" s="67">
        <f t="shared" si="75"/>
        <v>0.000659145088819801</v>
      </c>
      <c r="P668" s="67">
        <v>11009</v>
      </c>
    </row>
    <row r="669" spans="1:16">
      <c r="A669" s="5">
        <v>667</v>
      </c>
      <c r="B669" s="5">
        <v>11100</v>
      </c>
      <c r="C669" s="5">
        <v>6</v>
      </c>
      <c r="D669" s="5">
        <f t="shared" si="76"/>
        <v>97677</v>
      </c>
      <c r="E669" s="5">
        <f t="shared" si="77"/>
        <v>97737</v>
      </c>
      <c r="F669" s="5"/>
      <c r="G669" s="5" t="s">
        <v>298</v>
      </c>
      <c r="H669" s="5" t="s">
        <v>366</v>
      </c>
      <c r="I669" s="5"/>
      <c r="J669" s="5" t="s">
        <v>279</v>
      </c>
      <c r="K669" s="5">
        <v>1</v>
      </c>
      <c r="L669" s="5" t="s">
        <v>94</v>
      </c>
      <c r="M669" s="5">
        <f>ROUNDDOWN(VLOOKUP(J669,Sheet1!$N$32:$O$37,2,0)*1000,0)</f>
        <v>60</v>
      </c>
      <c r="O669" s="67">
        <f t="shared" si="75"/>
        <v>0.000659145088819801</v>
      </c>
      <c r="P669" s="67">
        <v>11010</v>
      </c>
    </row>
    <row r="670" spans="1:16">
      <c r="A670" s="5">
        <v>668</v>
      </c>
      <c r="B670" s="5">
        <v>11100</v>
      </c>
      <c r="C670" s="5">
        <v>6</v>
      </c>
      <c r="D670" s="5">
        <f t="shared" si="76"/>
        <v>97737</v>
      </c>
      <c r="E670" s="5">
        <f t="shared" si="77"/>
        <v>97797</v>
      </c>
      <c r="F670" s="5"/>
      <c r="G670" s="5" t="s">
        <v>300</v>
      </c>
      <c r="H670" s="5" t="s">
        <v>367</v>
      </c>
      <c r="I670" s="5"/>
      <c r="J670" s="5" t="s">
        <v>279</v>
      </c>
      <c r="K670" s="5">
        <v>1</v>
      </c>
      <c r="L670" s="5" t="s">
        <v>94</v>
      </c>
      <c r="M670" s="5">
        <f>ROUNDDOWN(VLOOKUP(J670,Sheet1!$N$32:$O$37,2,0)*1000,0)</f>
        <v>60</v>
      </c>
      <c r="O670" s="67">
        <f t="shared" si="75"/>
        <v>0.000659145088819801</v>
      </c>
      <c r="P670" s="67">
        <v>11011</v>
      </c>
    </row>
    <row r="671" spans="1:16">
      <c r="A671" s="5">
        <v>669</v>
      </c>
      <c r="B671" s="5">
        <v>11100</v>
      </c>
      <c r="C671" s="5">
        <v>6</v>
      </c>
      <c r="D671" s="5">
        <f t="shared" si="76"/>
        <v>97797</v>
      </c>
      <c r="E671" s="5">
        <f t="shared" si="77"/>
        <v>97857</v>
      </c>
      <c r="F671" s="5"/>
      <c r="G671" s="5" t="s">
        <v>302</v>
      </c>
      <c r="H671" s="5" t="s">
        <v>368</v>
      </c>
      <c r="I671" s="5"/>
      <c r="J671" s="5" t="s">
        <v>279</v>
      </c>
      <c r="K671" s="5">
        <v>1</v>
      </c>
      <c r="L671" s="5" t="s">
        <v>94</v>
      </c>
      <c r="M671" s="5">
        <f>ROUNDDOWN(VLOOKUP(J671,Sheet1!$N$32:$O$37,2,0)*1000,0)</f>
        <v>60</v>
      </c>
      <c r="O671" s="67">
        <f t="shared" si="75"/>
        <v>0.000659145088819801</v>
      </c>
      <c r="P671" s="67">
        <v>11012</v>
      </c>
    </row>
    <row r="672" spans="1:16">
      <c r="A672" s="5">
        <v>670</v>
      </c>
      <c r="B672" s="5">
        <v>11100</v>
      </c>
      <c r="C672" s="5">
        <v>6</v>
      </c>
      <c r="D672" s="5">
        <f t="shared" si="76"/>
        <v>97857</v>
      </c>
      <c r="E672" s="5">
        <f t="shared" si="77"/>
        <v>97917</v>
      </c>
      <c r="F672" s="5"/>
      <c r="G672" s="5" t="s">
        <v>304</v>
      </c>
      <c r="H672" s="5" t="s">
        <v>369</v>
      </c>
      <c r="I672" s="5"/>
      <c r="J672" s="5" t="s">
        <v>279</v>
      </c>
      <c r="K672" s="5">
        <v>1</v>
      </c>
      <c r="L672" s="5" t="s">
        <v>94</v>
      </c>
      <c r="M672" s="5">
        <f>ROUNDDOWN(VLOOKUP(J672,Sheet1!$N$32:$O$37,2,0)*1000,0)</f>
        <v>60</v>
      </c>
      <c r="O672" s="67">
        <f t="shared" si="75"/>
        <v>0.000659145088819801</v>
      </c>
      <c r="P672" s="67">
        <v>11013</v>
      </c>
    </row>
    <row r="673" spans="1:16">
      <c r="A673" s="5">
        <v>671</v>
      </c>
      <c r="B673" s="5">
        <v>11100</v>
      </c>
      <c r="C673" s="5">
        <v>6</v>
      </c>
      <c r="D673" s="5">
        <f t="shared" si="76"/>
        <v>97917</v>
      </c>
      <c r="E673" s="5">
        <f t="shared" si="77"/>
        <v>97977</v>
      </c>
      <c r="F673" s="5"/>
      <c r="G673" s="5" t="s">
        <v>306</v>
      </c>
      <c r="H673" s="5" t="s">
        <v>370</v>
      </c>
      <c r="I673" s="5"/>
      <c r="J673" s="5" t="s">
        <v>279</v>
      </c>
      <c r="K673" s="5">
        <v>1</v>
      </c>
      <c r="L673" s="5" t="s">
        <v>94</v>
      </c>
      <c r="M673" s="5">
        <f>ROUNDDOWN(VLOOKUP(J673,Sheet1!$N$32:$O$37,2,0)*1000,0)</f>
        <v>60</v>
      </c>
      <c r="O673" s="67">
        <f t="shared" si="75"/>
        <v>0.000659145088819801</v>
      </c>
      <c r="P673" s="67">
        <v>11014</v>
      </c>
    </row>
    <row r="674" spans="1:16">
      <c r="A674" s="5">
        <v>672</v>
      </c>
      <c r="B674" s="5">
        <v>11100</v>
      </c>
      <c r="C674" s="5">
        <v>6</v>
      </c>
      <c r="D674" s="5">
        <f t="shared" si="76"/>
        <v>97977</v>
      </c>
      <c r="E674" s="5">
        <f t="shared" si="77"/>
        <v>98037</v>
      </c>
      <c r="F674" s="5"/>
      <c r="G674" s="5" t="s">
        <v>308</v>
      </c>
      <c r="H674" s="5" t="s">
        <v>371</v>
      </c>
      <c r="I674" s="5"/>
      <c r="J674" s="5" t="s">
        <v>279</v>
      </c>
      <c r="K674" s="5">
        <v>1</v>
      </c>
      <c r="L674" s="5" t="s">
        <v>94</v>
      </c>
      <c r="M674" s="5">
        <f>ROUNDDOWN(VLOOKUP(J674,Sheet1!$N$32:$O$37,2,0)*1000,0)</f>
        <v>60</v>
      </c>
      <c r="O674" s="67">
        <f t="shared" si="75"/>
        <v>0.000659145088819801</v>
      </c>
      <c r="P674" s="67">
        <v>11015</v>
      </c>
    </row>
    <row r="675" spans="1:16">
      <c r="A675" s="5">
        <v>673</v>
      </c>
      <c r="B675" s="5">
        <v>11100</v>
      </c>
      <c r="C675" s="5">
        <v>6</v>
      </c>
      <c r="D675" s="5">
        <f t="shared" si="76"/>
        <v>98037</v>
      </c>
      <c r="E675" s="5">
        <f t="shared" si="77"/>
        <v>98097</v>
      </c>
      <c r="F675" s="5"/>
      <c r="G675" s="5" t="s">
        <v>310</v>
      </c>
      <c r="H675" s="5" t="s">
        <v>372</v>
      </c>
      <c r="I675" s="5"/>
      <c r="J675" s="5" t="s">
        <v>279</v>
      </c>
      <c r="K675" s="5">
        <v>1</v>
      </c>
      <c r="L675" s="5" t="s">
        <v>94</v>
      </c>
      <c r="M675" s="5">
        <f>ROUNDDOWN(VLOOKUP(J675,Sheet1!$N$32:$O$37,2,0)*1000,0)</f>
        <v>60</v>
      </c>
      <c r="O675" s="67">
        <f t="shared" si="75"/>
        <v>0.000659145088819801</v>
      </c>
      <c r="P675" s="67">
        <v>11016</v>
      </c>
    </row>
    <row r="676" spans="1:16">
      <c r="A676" s="5">
        <v>674</v>
      </c>
      <c r="B676" s="5">
        <v>11100</v>
      </c>
      <c r="C676" s="5">
        <v>6</v>
      </c>
      <c r="D676" s="5">
        <f t="shared" si="76"/>
        <v>98097</v>
      </c>
      <c r="E676" s="5">
        <f t="shared" si="77"/>
        <v>98157</v>
      </c>
      <c r="F676" s="5"/>
      <c r="G676" s="5" t="s">
        <v>312</v>
      </c>
      <c r="H676" s="5" t="s">
        <v>373</v>
      </c>
      <c r="I676" s="5"/>
      <c r="J676" s="5" t="s">
        <v>279</v>
      </c>
      <c r="K676" s="5">
        <v>1</v>
      </c>
      <c r="L676" s="5" t="s">
        <v>94</v>
      </c>
      <c r="M676" s="5">
        <f>ROUNDDOWN(VLOOKUP(J676,Sheet1!$N$32:$O$37,2,0)*1000,0)</f>
        <v>60</v>
      </c>
      <c r="O676" s="67">
        <f t="shared" si="75"/>
        <v>0.000659145088819801</v>
      </c>
      <c r="P676" s="67">
        <v>11017</v>
      </c>
    </row>
    <row r="677" spans="1:16">
      <c r="A677" s="5">
        <v>675</v>
      </c>
      <c r="B677" s="5">
        <v>11100</v>
      </c>
      <c r="C677" s="5">
        <v>6</v>
      </c>
      <c r="D677" s="5">
        <f t="shared" si="76"/>
        <v>98157</v>
      </c>
      <c r="E677" s="5">
        <f t="shared" si="77"/>
        <v>98217</v>
      </c>
      <c r="F677" s="5"/>
      <c r="G677" s="5" t="s">
        <v>314</v>
      </c>
      <c r="H677" s="5" t="s">
        <v>374</v>
      </c>
      <c r="I677" s="5"/>
      <c r="J677" s="5" t="s">
        <v>279</v>
      </c>
      <c r="K677" s="5">
        <v>1</v>
      </c>
      <c r="L677" s="5" t="s">
        <v>94</v>
      </c>
      <c r="M677" s="5">
        <f>ROUNDDOWN(VLOOKUP(J677,Sheet1!$N$32:$O$37,2,0)*1000,0)</f>
        <v>60</v>
      </c>
      <c r="O677" s="67">
        <f t="shared" si="75"/>
        <v>0.000659145088819801</v>
      </c>
      <c r="P677" s="67">
        <v>11018</v>
      </c>
    </row>
    <row r="678" spans="1:16">
      <c r="A678" s="5">
        <v>676</v>
      </c>
      <c r="B678" s="5">
        <v>11100</v>
      </c>
      <c r="C678" s="5">
        <v>6</v>
      </c>
      <c r="D678" s="5">
        <f t="shared" si="76"/>
        <v>98217</v>
      </c>
      <c r="E678" s="5">
        <f t="shared" si="77"/>
        <v>98277</v>
      </c>
      <c r="F678" s="5"/>
      <c r="G678" s="5" t="s">
        <v>316</v>
      </c>
      <c r="H678" s="5" t="s">
        <v>375</v>
      </c>
      <c r="I678" s="5"/>
      <c r="J678" s="5" t="s">
        <v>279</v>
      </c>
      <c r="K678" s="5">
        <v>1</v>
      </c>
      <c r="L678" s="5" t="s">
        <v>94</v>
      </c>
      <c r="M678" s="5">
        <f>ROUNDDOWN(VLOOKUP(J678,Sheet1!$N$32:$O$37,2,0)*1000,0)</f>
        <v>60</v>
      </c>
      <c r="O678" s="67">
        <f t="shared" si="75"/>
        <v>0.000659145088819801</v>
      </c>
      <c r="P678" s="67">
        <v>11019</v>
      </c>
    </row>
    <row r="679" spans="1:16">
      <c r="A679" s="5">
        <v>677</v>
      </c>
      <c r="B679" s="5">
        <v>11100</v>
      </c>
      <c r="C679" s="5">
        <v>6</v>
      </c>
      <c r="D679" s="5">
        <f t="shared" si="76"/>
        <v>98277</v>
      </c>
      <c r="E679" s="5">
        <f t="shared" si="77"/>
        <v>98337</v>
      </c>
      <c r="F679" s="5"/>
      <c r="G679" s="5" t="s">
        <v>318</v>
      </c>
      <c r="H679" s="5" t="s">
        <v>376</v>
      </c>
      <c r="I679" s="5"/>
      <c r="J679" s="5" t="s">
        <v>279</v>
      </c>
      <c r="K679" s="5">
        <v>1</v>
      </c>
      <c r="L679" s="5" t="s">
        <v>94</v>
      </c>
      <c r="M679" s="5">
        <f>ROUNDDOWN(VLOOKUP(J679,Sheet1!$N$32:$O$37,2,0)*1000,0)</f>
        <v>60</v>
      </c>
      <c r="O679" s="67">
        <f t="shared" si="75"/>
        <v>0.000659145088819801</v>
      </c>
      <c r="P679" s="67">
        <v>11020</v>
      </c>
    </row>
    <row r="680" spans="1:16">
      <c r="A680" s="5">
        <v>678</v>
      </c>
      <c r="B680" s="5">
        <v>11100</v>
      </c>
      <c r="C680" s="5">
        <v>6</v>
      </c>
      <c r="D680" s="5">
        <f t="shared" si="76"/>
        <v>98337</v>
      </c>
      <c r="E680" s="5">
        <f t="shared" si="77"/>
        <v>98397</v>
      </c>
      <c r="F680" s="5"/>
      <c r="G680" s="5" t="s">
        <v>320</v>
      </c>
      <c r="H680" s="5" t="s">
        <v>377</v>
      </c>
      <c r="I680" s="5"/>
      <c r="J680" s="5" t="s">
        <v>279</v>
      </c>
      <c r="K680" s="5">
        <v>1</v>
      </c>
      <c r="L680" s="5" t="s">
        <v>94</v>
      </c>
      <c r="M680" s="5">
        <f>ROUNDDOWN(VLOOKUP(J680,Sheet1!$N$32:$O$37,2,0)*1000,0)</f>
        <v>60</v>
      </c>
      <c r="O680" s="67">
        <f t="shared" si="75"/>
        <v>0.000659145088819801</v>
      </c>
      <c r="P680" s="67">
        <v>11021</v>
      </c>
    </row>
    <row r="681" spans="1:16">
      <c r="A681" s="5">
        <v>679</v>
      </c>
      <c r="B681" s="5">
        <v>11100</v>
      </c>
      <c r="C681" s="5">
        <v>6</v>
      </c>
      <c r="D681" s="5">
        <f t="shared" si="76"/>
        <v>98397</v>
      </c>
      <c r="E681" s="5">
        <f t="shared" si="77"/>
        <v>98457</v>
      </c>
      <c r="F681" s="5"/>
      <c r="G681" s="5" t="s">
        <v>322</v>
      </c>
      <c r="H681" s="5" t="s">
        <v>378</v>
      </c>
      <c r="I681" s="5"/>
      <c r="J681" s="5" t="s">
        <v>279</v>
      </c>
      <c r="K681" s="5">
        <v>1</v>
      </c>
      <c r="L681" s="5" t="s">
        <v>94</v>
      </c>
      <c r="M681" s="5">
        <f>ROUNDDOWN(VLOOKUP(J681,Sheet1!$N$32:$O$37,2,0)*1000,0)</f>
        <v>60</v>
      </c>
      <c r="O681" s="67">
        <f t="shared" si="75"/>
        <v>0.000659145088819801</v>
      </c>
      <c r="P681" s="67">
        <v>11022</v>
      </c>
    </row>
    <row r="682" spans="1:16">
      <c r="A682" s="5">
        <v>680</v>
      </c>
      <c r="B682" s="5">
        <v>11100</v>
      </c>
      <c r="C682" s="5">
        <v>6</v>
      </c>
      <c r="D682" s="5">
        <f t="shared" si="76"/>
        <v>98457</v>
      </c>
      <c r="E682" s="5">
        <f t="shared" si="77"/>
        <v>98517</v>
      </c>
      <c r="F682" s="5"/>
      <c r="G682" s="5" t="s">
        <v>324</v>
      </c>
      <c r="H682" s="5" t="s">
        <v>379</v>
      </c>
      <c r="I682" s="5"/>
      <c r="J682" s="5" t="s">
        <v>279</v>
      </c>
      <c r="K682" s="5">
        <v>1</v>
      </c>
      <c r="L682" s="5" t="s">
        <v>94</v>
      </c>
      <c r="M682" s="5">
        <f>ROUNDDOWN(VLOOKUP(J682,Sheet1!$N$32:$O$37,2,0)*1000,0)</f>
        <v>60</v>
      </c>
      <c r="O682" s="67">
        <f t="shared" si="75"/>
        <v>0.000659145088819801</v>
      </c>
      <c r="P682" s="67">
        <v>11023</v>
      </c>
    </row>
    <row r="683" spans="1:16">
      <c r="A683" s="5">
        <v>681</v>
      </c>
      <c r="B683" s="5">
        <v>11100</v>
      </c>
      <c r="C683" s="5">
        <v>6</v>
      </c>
      <c r="D683" s="5">
        <f t="shared" si="76"/>
        <v>98517</v>
      </c>
      <c r="E683" s="5">
        <f t="shared" si="77"/>
        <v>98577</v>
      </c>
      <c r="F683" s="5"/>
      <c r="G683" s="5" t="s">
        <v>326</v>
      </c>
      <c r="H683" s="5" t="s">
        <v>380</v>
      </c>
      <c r="I683" s="5"/>
      <c r="J683" s="5" t="s">
        <v>279</v>
      </c>
      <c r="K683" s="5">
        <v>1</v>
      </c>
      <c r="L683" s="5" t="s">
        <v>94</v>
      </c>
      <c r="M683" s="5">
        <f>ROUNDDOWN(VLOOKUP(J683,Sheet1!$N$32:$O$37,2,0)*1000,0)</f>
        <v>60</v>
      </c>
      <c r="O683" s="67">
        <f t="shared" si="75"/>
        <v>0.000659145088819801</v>
      </c>
      <c r="P683" s="67">
        <v>11024</v>
      </c>
    </row>
    <row r="684" spans="1:16">
      <c r="A684" s="5">
        <v>682</v>
      </c>
      <c r="B684" s="5">
        <v>11100</v>
      </c>
      <c r="C684" s="5">
        <v>6</v>
      </c>
      <c r="D684" s="5">
        <f t="shared" si="76"/>
        <v>98577</v>
      </c>
      <c r="E684" s="5">
        <f t="shared" si="77"/>
        <v>98637</v>
      </c>
      <c r="F684" s="5"/>
      <c r="G684" s="5" t="s">
        <v>328</v>
      </c>
      <c r="H684" s="5" t="s">
        <v>381</v>
      </c>
      <c r="I684" s="5"/>
      <c r="J684" s="5" t="s">
        <v>279</v>
      </c>
      <c r="K684" s="5">
        <v>1</v>
      </c>
      <c r="L684" s="5" t="s">
        <v>94</v>
      </c>
      <c r="M684" s="5">
        <f>ROUNDDOWN(VLOOKUP(J684,Sheet1!$N$32:$O$37,2,0)*1000,0)</f>
        <v>60</v>
      </c>
      <c r="O684" s="67">
        <f t="shared" si="75"/>
        <v>0.000659145088819801</v>
      </c>
      <c r="P684" s="67">
        <v>11025</v>
      </c>
    </row>
    <row r="685" spans="1:16">
      <c r="A685" s="5">
        <v>683</v>
      </c>
      <c r="B685" s="5">
        <v>11100</v>
      </c>
      <c r="C685" s="5">
        <v>6</v>
      </c>
      <c r="D685" s="5">
        <f t="shared" si="76"/>
        <v>98637</v>
      </c>
      <c r="E685" s="5">
        <f t="shared" si="77"/>
        <v>98697</v>
      </c>
      <c r="F685" s="5"/>
      <c r="G685" s="5" t="s">
        <v>330</v>
      </c>
      <c r="H685" s="5" t="s">
        <v>382</v>
      </c>
      <c r="I685" s="5"/>
      <c r="J685" s="5" t="s">
        <v>279</v>
      </c>
      <c r="K685" s="5">
        <v>1</v>
      </c>
      <c r="L685" s="5" t="s">
        <v>94</v>
      </c>
      <c r="M685" s="5">
        <f>ROUNDDOWN(VLOOKUP(J685,Sheet1!$N$32:$O$37,2,0)*1000,0)</f>
        <v>60</v>
      </c>
      <c r="O685" s="67">
        <f t="shared" ref="O685:O733" si="78">(E685-D685)/$E$438</f>
        <v>0.000659145088819801</v>
      </c>
      <c r="P685" s="67">
        <v>11026</v>
      </c>
    </row>
    <row r="686" spans="1:16">
      <c r="A686" s="5">
        <v>684</v>
      </c>
      <c r="B686" s="5">
        <v>11100</v>
      </c>
      <c r="C686" s="5">
        <v>6</v>
      </c>
      <c r="D686" s="5">
        <f t="shared" si="76"/>
        <v>98697</v>
      </c>
      <c r="E686" s="5">
        <f t="shared" si="77"/>
        <v>98757</v>
      </c>
      <c r="F686" s="5"/>
      <c r="G686" s="5" t="s">
        <v>332</v>
      </c>
      <c r="H686" s="5" t="s">
        <v>383</v>
      </c>
      <c r="I686" s="5"/>
      <c r="J686" s="5" t="s">
        <v>279</v>
      </c>
      <c r="K686" s="5">
        <v>1</v>
      </c>
      <c r="L686" s="5" t="s">
        <v>94</v>
      </c>
      <c r="M686" s="5">
        <f>ROUNDDOWN(VLOOKUP(J686,Sheet1!$N$32:$O$37,2,0)*1000,0)</f>
        <v>60</v>
      </c>
      <c r="O686" s="67">
        <f t="shared" si="78"/>
        <v>0.000659145088819801</v>
      </c>
      <c r="P686" s="67">
        <v>11027</v>
      </c>
    </row>
    <row r="687" spans="1:16">
      <c r="A687" s="5">
        <v>685</v>
      </c>
      <c r="B687" s="5">
        <v>11100</v>
      </c>
      <c r="C687" s="5">
        <v>6</v>
      </c>
      <c r="D687" s="5">
        <f t="shared" si="76"/>
        <v>98757</v>
      </c>
      <c r="E687" s="5">
        <f t="shared" si="77"/>
        <v>98817</v>
      </c>
      <c r="F687" s="5"/>
      <c r="G687" s="5" t="s">
        <v>334</v>
      </c>
      <c r="H687" s="5" t="s">
        <v>384</v>
      </c>
      <c r="I687" s="5"/>
      <c r="J687" s="5" t="s">
        <v>279</v>
      </c>
      <c r="K687" s="5">
        <v>1</v>
      </c>
      <c r="L687" s="5" t="s">
        <v>94</v>
      </c>
      <c r="M687" s="5">
        <f>ROUNDDOWN(VLOOKUP(J687,Sheet1!$N$32:$O$37,2,0)*1000,0)</f>
        <v>60</v>
      </c>
      <c r="O687" s="67">
        <f t="shared" si="78"/>
        <v>0.000659145088819801</v>
      </c>
      <c r="P687" s="67">
        <v>11028</v>
      </c>
    </row>
    <row r="688" spans="1:16">
      <c r="A688" s="5">
        <v>686</v>
      </c>
      <c r="B688" s="5">
        <v>11100</v>
      </c>
      <c r="C688" s="5">
        <v>6</v>
      </c>
      <c r="D688" s="5">
        <f t="shared" si="76"/>
        <v>98817</v>
      </c>
      <c r="E688" s="5">
        <f t="shared" si="77"/>
        <v>98877</v>
      </c>
      <c r="F688" s="5"/>
      <c r="G688" s="5" t="s">
        <v>336</v>
      </c>
      <c r="H688" s="5" t="s">
        <v>385</v>
      </c>
      <c r="I688" s="5"/>
      <c r="J688" s="5" t="s">
        <v>279</v>
      </c>
      <c r="K688" s="5">
        <v>1</v>
      </c>
      <c r="L688" s="5" t="s">
        <v>94</v>
      </c>
      <c r="M688" s="5">
        <f>ROUNDDOWN(VLOOKUP(J688,Sheet1!$N$32:$O$37,2,0)*1000,0)</f>
        <v>60</v>
      </c>
      <c r="O688" s="67">
        <f t="shared" si="78"/>
        <v>0.000659145088819801</v>
      </c>
      <c r="P688" s="67">
        <v>11029</v>
      </c>
    </row>
    <row r="689" spans="1:20">
      <c r="A689" s="5">
        <v>687</v>
      </c>
      <c r="B689" s="5">
        <v>11100</v>
      </c>
      <c r="C689" s="5">
        <v>6</v>
      </c>
      <c r="D689" s="5">
        <f t="shared" si="76"/>
        <v>98877</v>
      </c>
      <c r="E689" s="5">
        <f t="shared" si="77"/>
        <v>98937</v>
      </c>
      <c r="F689" s="5"/>
      <c r="G689" s="5" t="s">
        <v>338</v>
      </c>
      <c r="H689" s="5" t="s">
        <v>386</v>
      </c>
      <c r="I689" s="5"/>
      <c r="J689" s="5" t="s">
        <v>279</v>
      </c>
      <c r="K689" s="5">
        <v>1</v>
      </c>
      <c r="L689" s="5" t="s">
        <v>94</v>
      </c>
      <c r="M689" s="5">
        <f>ROUNDDOWN(VLOOKUP(J689,Sheet1!$N$32:$O$37,2,0)*1000,0)</f>
        <v>60</v>
      </c>
      <c r="O689" s="67">
        <f t="shared" si="78"/>
        <v>0.000659145088819801</v>
      </c>
      <c r="P689" s="67">
        <v>11030</v>
      </c>
    </row>
    <row r="690" spans="1:20">
      <c r="A690" s="5">
        <v>688</v>
      </c>
      <c r="B690" s="5">
        <v>11100</v>
      </c>
      <c r="C690" s="5">
        <v>6</v>
      </c>
      <c r="D690" s="5">
        <f t="shared" si="76"/>
        <v>98937</v>
      </c>
      <c r="E690" s="5">
        <f t="shared" si="77"/>
        <v>98997</v>
      </c>
      <c r="F690" s="5"/>
      <c r="G690" s="5" t="s">
        <v>340</v>
      </c>
      <c r="H690" s="5" t="s">
        <v>387</v>
      </c>
      <c r="I690" s="5"/>
      <c r="J690" s="5" t="s">
        <v>279</v>
      </c>
      <c r="K690" s="5">
        <v>1</v>
      </c>
      <c r="L690" s="5" t="s">
        <v>94</v>
      </c>
      <c r="M690" s="5">
        <f>ROUNDDOWN(VLOOKUP(J690,Sheet1!$N$32:$O$37,2,0)*1000,0)</f>
        <v>60</v>
      </c>
      <c r="O690" s="67">
        <f t="shared" si="78"/>
        <v>0.000659145088819801</v>
      </c>
      <c r="P690" s="67">
        <v>11031</v>
      </c>
    </row>
    <row r="691" spans="1:20">
      <c r="A691" s="5">
        <v>689</v>
      </c>
      <c r="B691" s="5">
        <v>11100</v>
      </c>
      <c r="C691" s="5">
        <v>6</v>
      </c>
      <c r="D691" s="5">
        <f t="shared" si="76"/>
        <v>98997</v>
      </c>
      <c r="E691" s="5">
        <f t="shared" si="77"/>
        <v>99057</v>
      </c>
      <c r="F691" s="5"/>
      <c r="G691" s="5" t="s">
        <v>342</v>
      </c>
      <c r="H691" s="5" t="s">
        <v>388</v>
      </c>
      <c r="I691" s="5"/>
      <c r="J691" s="5" t="s">
        <v>279</v>
      </c>
      <c r="K691" s="5">
        <v>1</v>
      </c>
      <c r="L691" s="5" t="s">
        <v>94</v>
      </c>
      <c r="M691" s="5">
        <f>ROUNDDOWN(VLOOKUP(J691,Sheet1!$N$32:$O$37,2,0)*1000,0)</f>
        <v>60</v>
      </c>
      <c r="O691" s="67">
        <f t="shared" si="78"/>
        <v>0.000659145088819801</v>
      </c>
      <c r="P691" s="67">
        <v>11032</v>
      </c>
    </row>
    <row r="692" spans="1:20">
      <c r="A692" s="5">
        <v>690</v>
      </c>
      <c r="B692" s="5">
        <v>11100</v>
      </c>
      <c r="C692" s="5">
        <v>6</v>
      </c>
      <c r="D692" s="5">
        <f t="shared" si="76"/>
        <v>99057</v>
      </c>
      <c r="E692" s="5">
        <f t="shared" si="77"/>
        <v>99117</v>
      </c>
      <c r="F692" s="5"/>
      <c r="G692" s="5" t="s">
        <v>344</v>
      </c>
      <c r="H692" s="5" t="s">
        <v>389</v>
      </c>
      <c r="I692" s="5"/>
      <c r="J692" s="5" t="s">
        <v>279</v>
      </c>
      <c r="K692" s="5">
        <v>1</v>
      </c>
      <c r="L692" s="5" t="s">
        <v>94</v>
      </c>
      <c r="M692" s="5">
        <f>ROUNDDOWN(VLOOKUP(J692,Sheet1!$N$32:$O$37,2,0)*1000,0)</f>
        <v>60</v>
      </c>
      <c r="O692" s="67">
        <f t="shared" si="78"/>
        <v>0.000659145088819801</v>
      </c>
      <c r="P692" s="67">
        <v>11033</v>
      </c>
    </row>
    <row r="693" spans="1:20">
      <c r="A693" s="5">
        <v>691</v>
      </c>
      <c r="B693" s="5">
        <v>11100</v>
      </c>
      <c r="C693" s="5">
        <v>6</v>
      </c>
      <c r="D693" s="5">
        <f t="shared" si="76"/>
        <v>99117</v>
      </c>
      <c r="E693" s="5">
        <f t="shared" si="77"/>
        <v>99177</v>
      </c>
      <c r="F693" s="5"/>
      <c r="G693" s="5" t="s">
        <v>346</v>
      </c>
      <c r="H693" s="5" t="s">
        <v>390</v>
      </c>
      <c r="I693" s="5"/>
      <c r="J693" s="5" t="s">
        <v>279</v>
      </c>
      <c r="K693" s="5">
        <v>1</v>
      </c>
      <c r="L693" s="5" t="s">
        <v>94</v>
      </c>
      <c r="M693" s="5">
        <f>ROUNDDOWN(VLOOKUP(J693,Sheet1!$N$32:$O$37,2,0)*1000,0)</f>
        <v>60</v>
      </c>
      <c r="O693" s="67">
        <f t="shared" si="78"/>
        <v>0.000659145088819801</v>
      </c>
      <c r="P693" s="67">
        <v>11034</v>
      </c>
    </row>
    <row r="694" spans="1:20">
      <c r="A694" s="5">
        <v>692</v>
      </c>
      <c r="B694" s="5">
        <v>11100</v>
      </c>
      <c r="C694" s="5">
        <v>6</v>
      </c>
      <c r="D694" s="5">
        <f t="shared" si="76"/>
        <v>99177</v>
      </c>
      <c r="E694" s="5">
        <f t="shared" si="77"/>
        <v>99237</v>
      </c>
      <c r="F694" s="5"/>
      <c r="G694" s="5" t="s">
        <v>348</v>
      </c>
      <c r="H694" s="5" t="s">
        <v>391</v>
      </c>
      <c r="I694" s="5"/>
      <c r="J694" s="5" t="s">
        <v>279</v>
      </c>
      <c r="K694" s="5">
        <v>1</v>
      </c>
      <c r="L694" s="5" t="s">
        <v>94</v>
      </c>
      <c r="M694" s="5">
        <f>ROUNDDOWN(VLOOKUP(J694,Sheet1!$N$32:$O$37,2,0)*1000,0)</f>
        <v>60</v>
      </c>
      <c r="O694" s="67">
        <f t="shared" si="78"/>
        <v>0.000659145088819801</v>
      </c>
      <c r="P694" s="67">
        <v>11035</v>
      </c>
    </row>
    <row r="695" spans="1:20">
      <c r="A695" s="5">
        <v>693</v>
      </c>
      <c r="B695" s="5">
        <v>11100</v>
      </c>
      <c r="C695" s="5">
        <v>6</v>
      </c>
      <c r="D695" s="5">
        <f t="shared" si="76"/>
        <v>99237</v>
      </c>
      <c r="E695" s="5">
        <f t="shared" si="77"/>
        <v>99297</v>
      </c>
      <c r="F695" s="5"/>
      <c r="G695" s="5" t="s">
        <v>350</v>
      </c>
      <c r="H695" s="5" t="s">
        <v>392</v>
      </c>
      <c r="I695" s="5"/>
      <c r="J695" s="5" t="s">
        <v>279</v>
      </c>
      <c r="K695" s="5">
        <v>1</v>
      </c>
      <c r="L695" s="5" t="s">
        <v>94</v>
      </c>
      <c r="M695" s="5">
        <f>ROUNDDOWN(VLOOKUP(J695,Sheet1!$N$32:$O$37,2,0)*1000,0)</f>
        <v>60</v>
      </c>
      <c r="O695" s="67">
        <f t="shared" si="78"/>
        <v>0.000659145088819801</v>
      </c>
      <c r="P695" s="67">
        <v>11036</v>
      </c>
    </row>
    <row r="696" spans="1:20">
      <c r="A696" s="5">
        <v>694</v>
      </c>
      <c r="B696" s="5">
        <v>11100</v>
      </c>
      <c r="C696" s="5">
        <v>6</v>
      </c>
      <c r="D696" s="5">
        <f t="shared" si="76"/>
        <v>99297</v>
      </c>
      <c r="E696" s="5">
        <f t="shared" si="77"/>
        <v>99357</v>
      </c>
      <c r="F696" s="5"/>
      <c r="G696" s="5" t="s">
        <v>352</v>
      </c>
      <c r="H696" s="5" t="s">
        <v>393</v>
      </c>
      <c r="I696" s="5"/>
      <c r="J696" s="5" t="s">
        <v>279</v>
      </c>
      <c r="K696" s="5">
        <v>1</v>
      </c>
      <c r="L696" s="5" t="s">
        <v>94</v>
      </c>
      <c r="M696" s="5">
        <f>ROUNDDOWN(VLOOKUP(J696,Sheet1!$N$32:$O$37,2,0)*1000,0)</f>
        <v>60</v>
      </c>
      <c r="O696" s="67">
        <f t="shared" si="78"/>
        <v>0.000659145088819801</v>
      </c>
      <c r="P696" s="67">
        <v>11037</v>
      </c>
    </row>
    <row r="697" spans="1:20">
      <c r="A697" s="5">
        <v>695</v>
      </c>
      <c r="B697" s="5">
        <v>11100</v>
      </c>
      <c r="C697" s="5">
        <v>6</v>
      </c>
      <c r="D697" s="5">
        <f t="shared" si="76"/>
        <v>99357</v>
      </c>
      <c r="E697" s="5">
        <f t="shared" si="77"/>
        <v>99417</v>
      </c>
      <c r="F697" s="5"/>
      <c r="G697" s="5" t="s">
        <v>354</v>
      </c>
      <c r="H697" s="5" t="s">
        <v>394</v>
      </c>
      <c r="I697" s="5"/>
      <c r="J697" s="5" t="s">
        <v>279</v>
      </c>
      <c r="K697" s="5">
        <v>1</v>
      </c>
      <c r="L697" s="5" t="s">
        <v>94</v>
      </c>
      <c r="M697" s="5">
        <f>ROUNDDOWN(VLOOKUP(J697,Sheet1!$N$32:$O$37,2,0)*1000,0)</f>
        <v>60</v>
      </c>
      <c r="O697" s="67">
        <f t="shared" si="78"/>
        <v>0.000659145088819801</v>
      </c>
      <c r="P697" s="67">
        <v>11038</v>
      </c>
    </row>
    <row r="698" spans="1:20">
      <c r="A698" s="5">
        <v>696</v>
      </c>
      <c r="B698" s="5">
        <v>11100</v>
      </c>
      <c r="C698" s="5">
        <v>6</v>
      </c>
      <c r="D698" s="5">
        <f t="shared" si="76"/>
        <v>99417</v>
      </c>
      <c r="E698" s="5">
        <f t="shared" si="77"/>
        <v>99477</v>
      </c>
      <c r="F698" s="5"/>
      <c r="G698" s="5" t="s">
        <v>346</v>
      </c>
      <c r="H698" s="5" t="s">
        <v>395</v>
      </c>
      <c r="I698" s="5"/>
      <c r="J698" s="5" t="s">
        <v>279</v>
      </c>
      <c r="K698" s="5">
        <v>1</v>
      </c>
      <c r="L698" s="5" t="s">
        <v>94</v>
      </c>
      <c r="M698" s="5">
        <f>ROUNDDOWN(VLOOKUP(J698,Sheet1!$N$32:$O$37,2,0)*1000,0)</f>
        <v>60</v>
      </c>
      <c r="O698" s="67">
        <f t="shared" si="78"/>
        <v>0.000659145088819801</v>
      </c>
      <c r="P698" s="67">
        <v>11034</v>
      </c>
    </row>
    <row r="699" spans="1:20">
      <c r="A699" s="5">
        <v>697</v>
      </c>
      <c r="B699" s="5">
        <v>11100</v>
      </c>
      <c r="C699" s="5">
        <v>6</v>
      </c>
      <c r="D699" s="5">
        <f t="shared" si="76"/>
        <v>99477</v>
      </c>
      <c r="E699" s="5">
        <f t="shared" si="77"/>
        <v>99537</v>
      </c>
      <c r="F699" s="5"/>
      <c r="G699" s="5" t="s">
        <v>348</v>
      </c>
      <c r="H699" s="5" t="s">
        <v>396</v>
      </c>
      <c r="I699" s="5"/>
      <c r="J699" s="5" t="s">
        <v>279</v>
      </c>
      <c r="K699" s="5">
        <v>1</v>
      </c>
      <c r="L699" s="5" t="s">
        <v>94</v>
      </c>
      <c r="M699" s="5">
        <f>ROUNDDOWN(VLOOKUP(J699,Sheet1!$N$32:$O$37,2,0)*1000,0)</f>
        <v>60</v>
      </c>
      <c r="O699" s="67">
        <f t="shared" si="78"/>
        <v>0.000659145088819801</v>
      </c>
      <c r="P699" s="67">
        <v>11035</v>
      </c>
    </row>
    <row r="700" spans="1:20">
      <c r="A700" s="5">
        <v>698</v>
      </c>
      <c r="B700" s="5">
        <v>11100</v>
      </c>
      <c r="C700" s="5">
        <v>6</v>
      </c>
      <c r="D700" s="5">
        <f t="shared" si="76"/>
        <v>99537</v>
      </c>
      <c r="E700" s="5">
        <f t="shared" si="77"/>
        <v>99597</v>
      </c>
      <c r="F700" s="5"/>
      <c r="G700" s="5" t="s">
        <v>350</v>
      </c>
      <c r="H700" s="5" t="s">
        <v>397</v>
      </c>
      <c r="I700" s="5"/>
      <c r="J700" s="5" t="s">
        <v>279</v>
      </c>
      <c r="K700" s="5">
        <v>1</v>
      </c>
      <c r="L700" s="5" t="s">
        <v>94</v>
      </c>
      <c r="M700" s="5">
        <f>ROUNDDOWN(VLOOKUP(J700,Sheet1!$N$32:$O$37,2,0)*1000,0)</f>
        <v>60</v>
      </c>
      <c r="O700" s="67">
        <f t="shared" si="78"/>
        <v>0.000659145088819801</v>
      </c>
      <c r="P700" s="67">
        <v>11036</v>
      </c>
    </row>
    <row r="701" spans="1:20">
      <c r="A701" s="5">
        <v>699</v>
      </c>
      <c r="B701" s="5">
        <v>11100</v>
      </c>
      <c r="C701" s="5">
        <v>6</v>
      </c>
      <c r="D701" s="5">
        <f t="shared" si="76"/>
        <v>99597</v>
      </c>
      <c r="E701" s="5">
        <f t="shared" si="77"/>
        <v>99657</v>
      </c>
      <c r="F701" s="5"/>
      <c r="G701" s="5" t="s">
        <v>352</v>
      </c>
      <c r="H701" s="5" t="s">
        <v>398</v>
      </c>
      <c r="I701" s="5"/>
      <c r="J701" s="5" t="s">
        <v>279</v>
      </c>
      <c r="K701" s="5">
        <v>1</v>
      </c>
      <c r="L701" s="5" t="s">
        <v>94</v>
      </c>
      <c r="M701" s="5">
        <f>ROUNDDOWN(VLOOKUP(J701,Sheet1!$N$32:$O$37,2,0)*1000,0)</f>
        <v>60</v>
      </c>
      <c r="O701" s="67">
        <f t="shared" si="78"/>
        <v>0.000659145088819801</v>
      </c>
      <c r="P701" s="67">
        <v>11037</v>
      </c>
    </row>
    <row r="702" spans="1:20">
      <c r="A702" s="5">
        <v>700</v>
      </c>
      <c r="B702" s="5">
        <v>11100</v>
      </c>
      <c r="C702" s="5">
        <v>6</v>
      </c>
      <c r="D702" s="5">
        <f t="shared" si="76"/>
        <v>99657</v>
      </c>
      <c r="E702" s="5">
        <f t="shared" si="77"/>
        <v>99717</v>
      </c>
      <c r="F702" s="5"/>
      <c r="G702" s="5" t="s">
        <v>354</v>
      </c>
      <c r="H702" s="5" t="s">
        <v>399</v>
      </c>
      <c r="I702" s="5"/>
      <c r="J702" s="5" t="s">
        <v>279</v>
      </c>
      <c r="K702" s="5">
        <v>1</v>
      </c>
      <c r="L702" s="5" t="s">
        <v>94</v>
      </c>
      <c r="M702" s="5">
        <f>ROUNDDOWN(VLOOKUP(J702,Sheet1!$N$32:$O$37,2,0)*1000,0)</f>
        <v>60</v>
      </c>
      <c r="O702" s="67">
        <f t="shared" si="78"/>
        <v>0.000659145088819801</v>
      </c>
      <c r="P702" s="67">
        <v>11038</v>
      </c>
    </row>
    <row r="703" spans="1:20">
      <c r="A703" s="78">
        <v>701</v>
      </c>
      <c r="B703" s="5">
        <v>11100</v>
      </c>
      <c r="C703" s="5">
        <v>6</v>
      </c>
      <c r="D703" s="5">
        <f t="shared" si="76"/>
        <v>99717</v>
      </c>
      <c r="E703" s="5">
        <f t="shared" si="77"/>
        <v>99777</v>
      </c>
      <c r="F703" s="5"/>
      <c r="G703" s="5">
        <f>VLOOKUP(H703&amp;I703,Sheet2!$J:$K,2,0)</f>
        <v>98020701</v>
      </c>
      <c r="H703" s="5" t="s">
        <v>400</v>
      </c>
      <c r="I703" s="5"/>
      <c r="J703" s="5" t="s">
        <v>279</v>
      </c>
      <c r="K703" s="5">
        <v>1</v>
      </c>
      <c r="L703" s="5" t="s">
        <v>94</v>
      </c>
      <c r="M703" s="5">
        <f>ROUNDDOWN(VLOOKUP(J703,Sheet1!$N$32:$O$37,2,0)*1000,0)</f>
        <v>60</v>
      </c>
      <c r="N703" s="67">
        <f>SUM(O703:O785)</f>
        <v>0.681450446905956</v>
      </c>
      <c r="O703" s="67">
        <f t="shared" si="78"/>
        <v>0.000659145088819801</v>
      </c>
      <c r="P703" s="67">
        <v>11000</v>
      </c>
      <c r="R703">
        <v>4992</v>
      </c>
      <c r="S703">
        <f>39+44</f>
        <v>83</v>
      </c>
      <c r="T703">
        <f>R703/S703</f>
        <v>60.144578313253</v>
      </c>
    </row>
    <row r="704" spans="1:20">
      <c r="A704" s="78">
        <v>702</v>
      </c>
      <c r="B704" s="5">
        <v>11100</v>
      </c>
      <c r="C704" s="5">
        <v>6</v>
      </c>
      <c r="D704" s="5">
        <f t="shared" si="76"/>
        <v>99777</v>
      </c>
      <c r="E704" s="5">
        <f t="shared" si="77"/>
        <v>99837</v>
      </c>
      <c r="F704" s="5"/>
      <c r="G704" s="5">
        <f>VLOOKUP(H704&amp;I704,Sheet2!$J:$K,2,0)</f>
        <v>98020702</v>
      </c>
      <c r="H704" s="5" t="s">
        <v>401</v>
      </c>
      <c r="I704" s="5"/>
      <c r="J704" s="5" t="s">
        <v>279</v>
      </c>
      <c r="K704" s="5">
        <v>1</v>
      </c>
      <c r="L704" s="5" t="s">
        <v>94</v>
      </c>
      <c r="M704" s="5">
        <f>ROUNDDOWN(VLOOKUP(J704,Sheet1!$N$32:$O$37,2,0)*1000,0)</f>
        <v>60</v>
      </c>
      <c r="O704" s="67">
        <f t="shared" si="78"/>
        <v>0.000659145088819801</v>
      </c>
      <c r="P704" s="67">
        <v>11001</v>
      </c>
    </row>
    <row r="705" spans="1:16">
      <c r="A705" s="78">
        <v>703</v>
      </c>
      <c r="B705" s="5">
        <v>11100</v>
      </c>
      <c r="C705" s="5">
        <v>6</v>
      </c>
      <c r="D705" s="5">
        <f t="shared" si="76"/>
        <v>99837</v>
      </c>
      <c r="E705" s="5">
        <f t="shared" si="77"/>
        <v>99897</v>
      </c>
      <c r="F705" s="5"/>
      <c r="G705" s="5">
        <f>VLOOKUP(H705&amp;I705,Sheet2!$J:$K,2,0)</f>
        <v>98050101</v>
      </c>
      <c r="H705" s="5" t="s">
        <v>402</v>
      </c>
      <c r="I705" s="5"/>
      <c r="J705" s="5" t="s">
        <v>279</v>
      </c>
      <c r="K705" s="5">
        <v>1</v>
      </c>
      <c r="L705" s="5" t="s">
        <v>94</v>
      </c>
      <c r="M705" s="5">
        <f>ROUNDDOWN(VLOOKUP(J705,Sheet1!$N$32:$O$37,2,0)*1000,0)</f>
        <v>60</v>
      </c>
      <c r="O705" s="67">
        <f t="shared" si="78"/>
        <v>0.000659145088819801</v>
      </c>
      <c r="P705" s="67">
        <v>11002</v>
      </c>
    </row>
    <row r="706" spans="1:16">
      <c r="A706" s="78">
        <v>704</v>
      </c>
      <c r="B706" s="5">
        <v>11100</v>
      </c>
      <c r="C706" s="5">
        <v>6</v>
      </c>
      <c r="D706" s="5">
        <f t="shared" si="76"/>
        <v>99897</v>
      </c>
      <c r="E706" s="5">
        <f t="shared" si="77"/>
        <v>99957</v>
      </c>
      <c r="F706" s="5"/>
      <c r="G706" s="5">
        <f>VLOOKUP(H706&amp;I706,Sheet2!$J:$K,2,0)</f>
        <v>98050102</v>
      </c>
      <c r="H706" s="5" t="s">
        <v>403</v>
      </c>
      <c r="I706" s="5"/>
      <c r="J706" s="5" t="s">
        <v>279</v>
      </c>
      <c r="K706" s="5">
        <v>1</v>
      </c>
      <c r="L706" s="5" t="s">
        <v>94</v>
      </c>
      <c r="M706" s="5">
        <f>ROUNDDOWN(VLOOKUP(J706,Sheet1!$N$32:$O$37,2,0)*1000,0)</f>
        <v>60</v>
      </c>
      <c r="O706" s="67">
        <f t="shared" si="78"/>
        <v>0.000659145088819801</v>
      </c>
      <c r="P706" s="67">
        <v>11003</v>
      </c>
    </row>
    <row r="707" spans="1:16">
      <c r="A707" s="78">
        <v>705</v>
      </c>
      <c r="B707" s="5">
        <v>11100</v>
      </c>
      <c r="C707" s="5">
        <v>6</v>
      </c>
      <c r="D707" s="5">
        <f t="shared" si="76"/>
        <v>99957</v>
      </c>
      <c r="E707" s="5">
        <f t="shared" si="77"/>
        <v>100017</v>
      </c>
      <c r="F707" s="5"/>
      <c r="G707" s="5">
        <f>VLOOKUP(H707&amp;I707,Sheet2!$J:$K,2,0)</f>
        <v>98050103</v>
      </c>
      <c r="H707" s="5" t="s">
        <v>404</v>
      </c>
      <c r="I707" s="5"/>
      <c r="J707" s="5" t="s">
        <v>279</v>
      </c>
      <c r="K707" s="5">
        <v>1</v>
      </c>
      <c r="L707" s="5" t="s">
        <v>94</v>
      </c>
      <c r="M707" s="5">
        <f>ROUNDDOWN(VLOOKUP(J707,Sheet1!$N$32:$O$37,2,0)*1000,0)</f>
        <v>60</v>
      </c>
      <c r="O707" s="67">
        <f t="shared" si="78"/>
        <v>0.000659145088819801</v>
      </c>
      <c r="P707" s="67">
        <v>11004</v>
      </c>
    </row>
    <row r="708" spans="1:16">
      <c r="A708" s="78">
        <v>706</v>
      </c>
      <c r="B708" s="5">
        <v>11100</v>
      </c>
      <c r="C708" s="5">
        <v>6</v>
      </c>
      <c r="D708" s="5">
        <f t="shared" ref="D708:D733" si="79">E707</f>
        <v>100017</v>
      </c>
      <c r="E708" s="5">
        <f t="shared" ref="E708:E733" si="80">D708+M708</f>
        <v>100077</v>
      </c>
      <c r="F708" s="5"/>
      <c r="G708" s="5">
        <f>VLOOKUP(H708&amp;I708,Sheet2!$J:$K,2,0)</f>
        <v>98050104</v>
      </c>
      <c r="H708" s="5" t="s">
        <v>405</v>
      </c>
      <c r="I708" s="5"/>
      <c r="J708" s="5" t="s">
        <v>279</v>
      </c>
      <c r="K708" s="5">
        <v>1</v>
      </c>
      <c r="L708" s="5" t="s">
        <v>94</v>
      </c>
      <c r="M708" s="5">
        <f>ROUNDDOWN(VLOOKUP(J708,Sheet1!$N$32:$O$37,2,0)*1000,0)</f>
        <v>60</v>
      </c>
      <c r="O708" s="67">
        <f t="shared" si="78"/>
        <v>0.000659145088819801</v>
      </c>
      <c r="P708" s="67">
        <v>11005</v>
      </c>
    </row>
    <row r="709" spans="1:16">
      <c r="A709" s="78">
        <v>707</v>
      </c>
      <c r="B709" s="5">
        <v>11100</v>
      </c>
      <c r="C709" s="5">
        <v>6</v>
      </c>
      <c r="D709" s="5">
        <f t="shared" si="79"/>
        <v>100077</v>
      </c>
      <c r="E709" s="5">
        <f t="shared" si="80"/>
        <v>100137</v>
      </c>
      <c r="F709" s="5"/>
      <c r="G709" s="5">
        <f>VLOOKUP(H709&amp;I709,Sheet2!$J:$K,2,0)</f>
        <v>98050105</v>
      </c>
      <c r="H709" s="5" t="s">
        <v>406</v>
      </c>
      <c r="I709" s="5"/>
      <c r="J709" s="5" t="s">
        <v>279</v>
      </c>
      <c r="K709" s="5">
        <v>1</v>
      </c>
      <c r="L709" s="5" t="s">
        <v>94</v>
      </c>
      <c r="M709" s="5">
        <f>ROUNDDOWN(VLOOKUP(J709,Sheet1!$N$32:$O$37,2,0)*1000,0)</f>
        <v>60</v>
      </c>
      <c r="O709" s="67">
        <f t="shared" si="78"/>
        <v>0.000659145088819801</v>
      </c>
      <c r="P709" s="67">
        <v>11006</v>
      </c>
    </row>
    <row r="710" spans="1:16">
      <c r="A710" s="78">
        <v>708</v>
      </c>
      <c r="B710" s="5">
        <v>11100</v>
      </c>
      <c r="C710" s="5">
        <v>6</v>
      </c>
      <c r="D710" s="5">
        <f t="shared" si="79"/>
        <v>100137</v>
      </c>
      <c r="E710" s="5">
        <f t="shared" si="80"/>
        <v>100197</v>
      </c>
      <c r="F710" s="5"/>
      <c r="G710" s="5">
        <f>VLOOKUP(H710&amp;I710,Sheet2!$J:$K,2,0)</f>
        <v>98060201</v>
      </c>
      <c r="H710" s="5" t="s">
        <v>407</v>
      </c>
      <c r="I710" s="5"/>
      <c r="J710" s="5" t="s">
        <v>279</v>
      </c>
      <c r="K710" s="5">
        <v>1</v>
      </c>
      <c r="L710" s="5" t="s">
        <v>94</v>
      </c>
      <c r="M710" s="5">
        <f>ROUNDDOWN(VLOOKUP(J710,Sheet1!$N$32:$O$37,2,0)*1000,0)</f>
        <v>60</v>
      </c>
      <c r="O710" s="67">
        <f t="shared" si="78"/>
        <v>0.000659145088819801</v>
      </c>
      <c r="P710" s="67">
        <v>11007</v>
      </c>
    </row>
    <row r="711" spans="1:16">
      <c r="A711" s="78">
        <v>709</v>
      </c>
      <c r="B711" s="5">
        <v>11100</v>
      </c>
      <c r="C711" s="5">
        <v>6</v>
      </c>
      <c r="D711" s="5">
        <f t="shared" si="79"/>
        <v>100197</v>
      </c>
      <c r="E711" s="5">
        <f t="shared" si="80"/>
        <v>100257</v>
      </c>
      <c r="F711" s="5"/>
      <c r="G711" s="5">
        <f>VLOOKUP(H711&amp;I711,Sheet2!$J:$K,2,0)</f>
        <v>98060202</v>
      </c>
      <c r="H711" s="5" t="s">
        <v>408</v>
      </c>
      <c r="I711" s="5"/>
      <c r="J711" s="5" t="s">
        <v>279</v>
      </c>
      <c r="K711" s="5">
        <v>1</v>
      </c>
      <c r="L711" s="5" t="s">
        <v>94</v>
      </c>
      <c r="M711" s="5">
        <f>ROUNDDOWN(VLOOKUP(J711,Sheet1!$N$32:$O$37,2,0)*1000,0)</f>
        <v>60</v>
      </c>
      <c r="O711" s="67">
        <f t="shared" si="78"/>
        <v>0.000659145088819801</v>
      </c>
      <c r="P711" s="67">
        <v>11008</v>
      </c>
    </row>
    <row r="712" spans="1:16">
      <c r="A712" s="78">
        <v>710</v>
      </c>
      <c r="B712" s="5">
        <v>11100</v>
      </c>
      <c r="C712" s="5">
        <v>6</v>
      </c>
      <c r="D712" s="5">
        <f t="shared" si="79"/>
        <v>100257</v>
      </c>
      <c r="E712" s="5">
        <f t="shared" si="80"/>
        <v>100317</v>
      </c>
      <c r="F712" s="5"/>
      <c r="G712" s="5">
        <f>VLOOKUP(H712&amp;I712,Sheet2!$J:$K,2,0)</f>
        <v>98010301</v>
      </c>
      <c r="H712" s="5" t="s">
        <v>409</v>
      </c>
      <c r="I712" s="5"/>
      <c r="J712" s="5" t="s">
        <v>279</v>
      </c>
      <c r="K712" s="5">
        <v>1</v>
      </c>
      <c r="L712" s="5" t="s">
        <v>94</v>
      </c>
      <c r="M712" s="5">
        <f>ROUNDDOWN(VLOOKUP(J712,Sheet1!$N$32:$O$37,2,0)*1000,0)</f>
        <v>60</v>
      </c>
      <c r="O712" s="67">
        <f t="shared" si="78"/>
        <v>0.000659145088819801</v>
      </c>
      <c r="P712" s="67">
        <v>11009</v>
      </c>
    </row>
    <row r="713" spans="1:16">
      <c r="A713" s="78">
        <v>711</v>
      </c>
      <c r="B713" s="5">
        <v>11100</v>
      </c>
      <c r="C713" s="5">
        <v>6</v>
      </c>
      <c r="D713" s="5">
        <f t="shared" si="79"/>
        <v>100317</v>
      </c>
      <c r="E713" s="5">
        <f t="shared" si="80"/>
        <v>100377</v>
      </c>
      <c r="F713" s="5"/>
      <c r="G713" s="5">
        <f>VLOOKUP(H713&amp;I713,Sheet2!$J:$K,2,0)</f>
        <v>98010306</v>
      </c>
      <c r="H713" s="5" t="s">
        <v>410</v>
      </c>
      <c r="I713" s="5"/>
      <c r="J713" s="5" t="s">
        <v>279</v>
      </c>
      <c r="K713" s="5">
        <v>1</v>
      </c>
      <c r="L713" s="5" t="s">
        <v>94</v>
      </c>
      <c r="M713" s="5">
        <f>ROUNDDOWN(VLOOKUP(J713,Sheet1!$N$32:$O$37,2,0)*1000,0)</f>
        <v>60</v>
      </c>
      <c r="O713" s="67">
        <f t="shared" si="78"/>
        <v>0.000659145088819801</v>
      </c>
      <c r="P713" s="67">
        <v>11010</v>
      </c>
    </row>
    <row r="714" spans="1:16">
      <c r="A714" s="78">
        <v>712</v>
      </c>
      <c r="B714" s="5">
        <v>11100</v>
      </c>
      <c r="C714" s="5">
        <v>6</v>
      </c>
      <c r="D714" s="5">
        <f t="shared" si="79"/>
        <v>100377</v>
      </c>
      <c r="E714" s="5">
        <f t="shared" si="80"/>
        <v>100437</v>
      </c>
      <c r="F714" s="5"/>
      <c r="G714" s="5">
        <f>VLOOKUP(H714&amp;I714,Sheet2!$J:$K,2,0)</f>
        <v>98010401</v>
      </c>
      <c r="H714" s="5" t="s">
        <v>411</v>
      </c>
      <c r="I714" s="5"/>
      <c r="J714" s="5" t="s">
        <v>279</v>
      </c>
      <c r="K714" s="5">
        <v>1</v>
      </c>
      <c r="L714" s="5" t="s">
        <v>94</v>
      </c>
      <c r="M714" s="5">
        <f>ROUNDDOWN(VLOOKUP(J714,Sheet1!$N$32:$O$37,2,0)*1000,0)</f>
        <v>60</v>
      </c>
      <c r="O714" s="67">
        <f t="shared" si="78"/>
        <v>0.000659145088819801</v>
      </c>
      <c r="P714" s="67">
        <v>11011</v>
      </c>
    </row>
    <row r="715" spans="1:16">
      <c r="A715" s="78">
        <v>713</v>
      </c>
      <c r="B715" s="5">
        <v>11100</v>
      </c>
      <c r="C715" s="5">
        <v>6</v>
      </c>
      <c r="D715" s="5">
        <f t="shared" si="79"/>
        <v>100437</v>
      </c>
      <c r="E715" s="5">
        <f t="shared" si="80"/>
        <v>100497</v>
      </c>
      <c r="F715" s="5"/>
      <c r="G715" s="5">
        <f>VLOOKUP(H715&amp;I715,Sheet2!$J:$K,2,0)</f>
        <v>98010402</v>
      </c>
      <c r="H715" s="5" t="s">
        <v>412</v>
      </c>
      <c r="I715" s="5"/>
      <c r="J715" s="5" t="s">
        <v>279</v>
      </c>
      <c r="K715" s="5">
        <v>1</v>
      </c>
      <c r="L715" s="5" t="s">
        <v>94</v>
      </c>
      <c r="M715" s="5">
        <f>ROUNDDOWN(VLOOKUP(J715,Sheet1!$N$32:$O$37,2,0)*1000,0)</f>
        <v>60</v>
      </c>
      <c r="O715" s="67">
        <f t="shared" si="78"/>
        <v>0.000659145088819801</v>
      </c>
      <c r="P715" s="67">
        <v>11012</v>
      </c>
    </row>
    <row r="716" spans="1:16">
      <c r="A716" s="78">
        <v>714</v>
      </c>
      <c r="B716" s="5">
        <v>11100</v>
      </c>
      <c r="C716" s="5">
        <v>6</v>
      </c>
      <c r="D716" s="5">
        <f t="shared" si="79"/>
        <v>100497</v>
      </c>
      <c r="E716" s="5">
        <f t="shared" si="80"/>
        <v>100557</v>
      </c>
      <c r="F716" s="5"/>
      <c r="G716" s="5">
        <f>VLOOKUP(H716&amp;I716,Sheet2!$J:$K,2,0)</f>
        <v>98130101</v>
      </c>
      <c r="H716" s="5" t="s">
        <v>413</v>
      </c>
      <c r="I716" s="5"/>
      <c r="J716" s="5" t="s">
        <v>279</v>
      </c>
      <c r="K716" s="5">
        <v>1</v>
      </c>
      <c r="L716" s="5" t="s">
        <v>94</v>
      </c>
      <c r="M716" s="5">
        <f>ROUNDDOWN(VLOOKUP(J716,Sheet1!$N$32:$O$37,2,0)*1000,0)</f>
        <v>60</v>
      </c>
      <c r="O716" s="67">
        <f t="shared" si="78"/>
        <v>0.000659145088819801</v>
      </c>
      <c r="P716" s="67">
        <v>11013</v>
      </c>
    </row>
    <row r="717" spans="1:16">
      <c r="A717" s="78">
        <v>715</v>
      </c>
      <c r="B717" s="5">
        <v>11100</v>
      </c>
      <c r="C717" s="5">
        <v>6</v>
      </c>
      <c r="D717" s="5">
        <f t="shared" si="79"/>
        <v>100557</v>
      </c>
      <c r="E717" s="5">
        <f t="shared" si="80"/>
        <v>100617</v>
      </c>
      <c r="F717" s="5"/>
      <c r="G717" s="5">
        <f>VLOOKUP(H717&amp;I717,Sheet2!$J:$K,2,0)</f>
        <v>98130102</v>
      </c>
      <c r="H717" s="5" t="s">
        <v>414</v>
      </c>
      <c r="I717" s="5"/>
      <c r="J717" s="5" t="s">
        <v>279</v>
      </c>
      <c r="K717" s="5">
        <v>1</v>
      </c>
      <c r="L717" s="5" t="s">
        <v>94</v>
      </c>
      <c r="M717" s="5">
        <f>ROUNDDOWN(VLOOKUP(J717,Sheet1!$N$32:$O$37,2,0)*1000,0)</f>
        <v>60</v>
      </c>
      <c r="O717" s="67">
        <f t="shared" si="78"/>
        <v>0.000659145088819801</v>
      </c>
      <c r="P717" s="67">
        <v>11014</v>
      </c>
    </row>
    <row r="718" spans="1:16">
      <c r="A718" s="78">
        <v>716</v>
      </c>
      <c r="B718" s="5">
        <v>11100</v>
      </c>
      <c r="C718" s="5">
        <v>6</v>
      </c>
      <c r="D718" s="5">
        <f t="shared" si="79"/>
        <v>100617</v>
      </c>
      <c r="E718" s="5">
        <f t="shared" si="80"/>
        <v>100677</v>
      </c>
      <c r="F718" s="5"/>
      <c r="G718" s="5">
        <f>VLOOKUP(H718&amp;I718,Sheet2!$J:$K,2,0)</f>
        <v>98130103</v>
      </c>
      <c r="H718" s="5" t="s">
        <v>415</v>
      </c>
      <c r="I718" s="5"/>
      <c r="J718" s="5" t="s">
        <v>279</v>
      </c>
      <c r="K718" s="5">
        <v>1</v>
      </c>
      <c r="L718" s="5" t="s">
        <v>94</v>
      </c>
      <c r="M718" s="5">
        <f>ROUNDDOWN(VLOOKUP(J718,Sheet1!$N$32:$O$37,2,0)*1000,0)</f>
        <v>60</v>
      </c>
      <c r="O718" s="67">
        <f t="shared" si="78"/>
        <v>0.000659145088819801</v>
      </c>
      <c r="P718" s="67">
        <v>11015</v>
      </c>
    </row>
    <row r="719" spans="1:16">
      <c r="A719" s="78">
        <v>717</v>
      </c>
      <c r="B719" s="5">
        <v>11100</v>
      </c>
      <c r="C719" s="5">
        <v>6</v>
      </c>
      <c r="D719" s="5">
        <f t="shared" si="79"/>
        <v>100677</v>
      </c>
      <c r="E719" s="5">
        <f t="shared" si="80"/>
        <v>100737</v>
      </c>
      <c r="F719" s="5"/>
      <c r="G719" s="5">
        <f>VLOOKUP(H719&amp;I719,Sheet2!$J:$K,2,0)</f>
        <v>98130201</v>
      </c>
      <c r="H719" s="5" t="s">
        <v>416</v>
      </c>
      <c r="I719" s="5"/>
      <c r="J719" s="5" t="s">
        <v>279</v>
      </c>
      <c r="K719" s="5">
        <v>1</v>
      </c>
      <c r="L719" s="5" t="s">
        <v>94</v>
      </c>
      <c r="M719" s="5">
        <f>ROUNDDOWN(VLOOKUP(J719,Sheet1!$N$32:$O$37,2,0)*1000,0)</f>
        <v>60</v>
      </c>
      <c r="O719" s="67">
        <f t="shared" si="78"/>
        <v>0.000659145088819801</v>
      </c>
      <c r="P719" s="67">
        <v>11016</v>
      </c>
    </row>
    <row r="720" spans="1:16">
      <c r="A720" s="78">
        <v>718</v>
      </c>
      <c r="B720" s="5">
        <v>11100</v>
      </c>
      <c r="C720" s="5">
        <v>6</v>
      </c>
      <c r="D720" s="5">
        <f t="shared" si="79"/>
        <v>100737</v>
      </c>
      <c r="E720" s="5">
        <f t="shared" si="80"/>
        <v>100797</v>
      </c>
      <c r="F720" s="5"/>
      <c r="G720" s="5">
        <f>VLOOKUP(H720&amp;I720,Sheet2!$J:$K,2,0)</f>
        <v>98130202</v>
      </c>
      <c r="H720" s="5" t="s">
        <v>417</v>
      </c>
      <c r="I720" s="5"/>
      <c r="J720" s="5" t="s">
        <v>279</v>
      </c>
      <c r="K720" s="5">
        <v>1</v>
      </c>
      <c r="L720" s="5" t="s">
        <v>94</v>
      </c>
      <c r="M720" s="5">
        <f>ROUNDDOWN(VLOOKUP(J720,Sheet1!$N$32:$O$37,2,0)*1000,0)</f>
        <v>60</v>
      </c>
      <c r="O720" s="67">
        <f t="shared" si="78"/>
        <v>0.000659145088819801</v>
      </c>
      <c r="P720" s="67">
        <v>11017</v>
      </c>
    </row>
    <row r="721" spans="1:16">
      <c r="A721" s="78">
        <v>719</v>
      </c>
      <c r="B721" s="5">
        <v>11100</v>
      </c>
      <c r="C721" s="5">
        <v>6</v>
      </c>
      <c r="D721" s="5">
        <f t="shared" si="79"/>
        <v>100797</v>
      </c>
      <c r="E721" s="5">
        <f t="shared" si="80"/>
        <v>100857</v>
      </c>
      <c r="F721" s="5"/>
      <c r="G721" s="5">
        <f>VLOOKUP(H721&amp;I721,Sheet2!$J:$K,2,0)</f>
        <v>98150101</v>
      </c>
      <c r="H721" s="5" t="s">
        <v>418</v>
      </c>
      <c r="I721" s="5"/>
      <c r="J721" s="5" t="s">
        <v>279</v>
      </c>
      <c r="K721" s="5">
        <v>1</v>
      </c>
      <c r="L721" s="5" t="s">
        <v>94</v>
      </c>
      <c r="M721" s="5">
        <f>ROUNDDOWN(VLOOKUP(J721,Sheet1!$N$32:$O$37,2,0)*1000,0)</f>
        <v>60</v>
      </c>
      <c r="O721" s="67">
        <f t="shared" si="78"/>
        <v>0.000659145088819801</v>
      </c>
      <c r="P721" s="67">
        <v>11018</v>
      </c>
    </row>
    <row r="722" spans="1:16">
      <c r="A722" s="78">
        <v>720</v>
      </c>
      <c r="B722" s="5">
        <v>11100</v>
      </c>
      <c r="C722" s="5">
        <v>6</v>
      </c>
      <c r="D722" s="5">
        <f t="shared" si="79"/>
        <v>100857</v>
      </c>
      <c r="E722" s="5">
        <f t="shared" si="80"/>
        <v>100917</v>
      </c>
      <c r="F722" s="5"/>
      <c r="G722" s="5">
        <f>VLOOKUP(H722&amp;I722,Sheet2!$J:$K,2,0)</f>
        <v>98150102</v>
      </c>
      <c r="H722" s="5" t="s">
        <v>419</v>
      </c>
      <c r="I722" s="5"/>
      <c r="J722" s="5" t="s">
        <v>279</v>
      </c>
      <c r="K722" s="5">
        <v>1</v>
      </c>
      <c r="L722" s="5" t="s">
        <v>94</v>
      </c>
      <c r="M722" s="5">
        <f>ROUNDDOWN(VLOOKUP(J722,Sheet1!$N$32:$O$37,2,0)*1000,0)</f>
        <v>60</v>
      </c>
      <c r="O722" s="67">
        <f t="shared" si="78"/>
        <v>0.000659145088819801</v>
      </c>
      <c r="P722" s="67">
        <v>11019</v>
      </c>
    </row>
    <row r="723" spans="1:16">
      <c r="A723" s="78">
        <v>721</v>
      </c>
      <c r="B723" s="5">
        <v>11100</v>
      </c>
      <c r="C723" s="5">
        <v>6</v>
      </c>
      <c r="D723" s="5">
        <f t="shared" si="79"/>
        <v>100917</v>
      </c>
      <c r="E723" s="5">
        <f t="shared" si="80"/>
        <v>100977</v>
      </c>
      <c r="F723" s="5"/>
      <c r="G723" s="5">
        <f>VLOOKUP(H723&amp;I723,Sheet2!$J:$K,2,0)</f>
        <v>98150103</v>
      </c>
      <c r="H723" s="5" t="s">
        <v>420</v>
      </c>
      <c r="I723" s="5"/>
      <c r="J723" s="5" t="s">
        <v>279</v>
      </c>
      <c r="K723" s="5">
        <v>1</v>
      </c>
      <c r="L723" s="5" t="s">
        <v>94</v>
      </c>
      <c r="M723" s="5">
        <f>ROUNDDOWN(VLOOKUP(J723,Sheet1!$N$32:$O$37,2,0)*1000,0)</f>
        <v>60</v>
      </c>
      <c r="O723" s="67">
        <f t="shared" si="78"/>
        <v>0.000659145088819801</v>
      </c>
      <c r="P723" s="67">
        <v>11020</v>
      </c>
    </row>
    <row r="724" spans="1:16">
      <c r="A724" s="78">
        <v>722</v>
      </c>
      <c r="B724" s="5">
        <v>11100</v>
      </c>
      <c r="C724" s="5">
        <v>6</v>
      </c>
      <c r="D724" s="5">
        <f t="shared" si="79"/>
        <v>100977</v>
      </c>
      <c r="E724" s="5">
        <f t="shared" si="80"/>
        <v>101037</v>
      </c>
      <c r="F724" s="5"/>
      <c r="G724" s="5">
        <f>VLOOKUP(H724&amp;I724,Sheet2!$J:$K,2,0)</f>
        <v>98100301</v>
      </c>
      <c r="H724" s="5" t="s">
        <v>421</v>
      </c>
      <c r="I724" s="5"/>
      <c r="J724" s="5" t="s">
        <v>279</v>
      </c>
      <c r="K724" s="5">
        <v>1</v>
      </c>
      <c r="L724" s="5" t="s">
        <v>94</v>
      </c>
      <c r="M724" s="5">
        <f>ROUNDDOWN(VLOOKUP(J724,Sheet1!$N$32:$O$37,2,0)*1000,0)</f>
        <v>60</v>
      </c>
      <c r="O724" s="67">
        <f t="shared" si="78"/>
        <v>0.000659145088819801</v>
      </c>
      <c r="P724" s="67">
        <v>11021</v>
      </c>
    </row>
    <row r="725" spans="1:16">
      <c r="A725" s="78">
        <v>723</v>
      </c>
      <c r="B725" s="5">
        <v>11100</v>
      </c>
      <c r="C725" s="5">
        <v>6</v>
      </c>
      <c r="D725" s="5">
        <f t="shared" si="79"/>
        <v>101037</v>
      </c>
      <c r="E725" s="5">
        <f t="shared" si="80"/>
        <v>101097</v>
      </c>
      <c r="F725" s="5"/>
      <c r="G725" s="5" t="str">
        <f>VLOOKUP(H725&amp;I725,Sheet2!$J:$K,2,0)</f>
        <v>98100302</v>
      </c>
      <c r="H725" s="5" t="s">
        <v>422</v>
      </c>
      <c r="I725" s="5"/>
      <c r="J725" s="5" t="s">
        <v>279</v>
      </c>
      <c r="K725" s="5">
        <v>1</v>
      </c>
      <c r="L725" s="5" t="s">
        <v>94</v>
      </c>
      <c r="M725" s="5">
        <f>ROUNDDOWN(VLOOKUP(J725,Sheet1!$N$32:$O$37,2,0)*1000,0)</f>
        <v>60</v>
      </c>
      <c r="O725" s="67">
        <f t="shared" si="78"/>
        <v>0.000659145088819801</v>
      </c>
      <c r="P725" s="67">
        <v>11022</v>
      </c>
    </row>
    <row r="726" spans="1:16">
      <c r="A726" s="78">
        <v>724</v>
      </c>
      <c r="B726" s="5">
        <v>11100</v>
      </c>
      <c r="C726" s="5">
        <v>6</v>
      </c>
      <c r="D726" s="5">
        <f t="shared" si="79"/>
        <v>101097</v>
      </c>
      <c r="E726" s="5">
        <f t="shared" si="80"/>
        <v>101157</v>
      </c>
      <c r="F726" s="5"/>
      <c r="G726" s="5">
        <f>VLOOKUP(H726&amp;I726,Sheet2!$J:$K,2,0)</f>
        <v>98100401</v>
      </c>
      <c r="H726" s="5" t="s">
        <v>423</v>
      </c>
      <c r="I726" s="5"/>
      <c r="J726" s="5" t="s">
        <v>279</v>
      </c>
      <c r="K726" s="5">
        <v>1</v>
      </c>
      <c r="L726" s="5" t="s">
        <v>94</v>
      </c>
      <c r="M726" s="5">
        <f>ROUNDDOWN(VLOOKUP(J726,Sheet1!$N$32:$O$37,2,0)*1000,0)</f>
        <v>60</v>
      </c>
      <c r="O726" s="67">
        <f t="shared" si="78"/>
        <v>0.000659145088819801</v>
      </c>
      <c r="P726" s="67">
        <v>11023</v>
      </c>
    </row>
    <row r="727" spans="1:16">
      <c r="A727" s="78">
        <v>725</v>
      </c>
      <c r="B727" s="5">
        <v>11100</v>
      </c>
      <c r="C727" s="5">
        <v>6</v>
      </c>
      <c r="D727" s="5">
        <f t="shared" si="79"/>
        <v>101157</v>
      </c>
      <c r="E727" s="5">
        <f t="shared" si="80"/>
        <v>101217</v>
      </c>
      <c r="F727" s="5"/>
      <c r="G727" s="5" t="str">
        <f>VLOOKUP(H727&amp;I727,Sheet2!$J:$K,2,0)</f>
        <v>98100402</v>
      </c>
      <c r="H727" s="5" t="s">
        <v>424</v>
      </c>
      <c r="I727" s="5"/>
      <c r="J727" s="5" t="s">
        <v>279</v>
      </c>
      <c r="K727" s="5">
        <v>1</v>
      </c>
      <c r="L727" s="5" t="s">
        <v>94</v>
      </c>
      <c r="M727" s="5">
        <f>ROUNDDOWN(VLOOKUP(J727,Sheet1!$N$32:$O$37,2,0)*1000,0)</f>
        <v>60</v>
      </c>
      <c r="O727" s="67">
        <f t="shared" si="78"/>
        <v>0.000659145088819801</v>
      </c>
      <c r="P727" s="67">
        <v>11024</v>
      </c>
    </row>
    <row r="728" spans="1:16">
      <c r="A728" s="78">
        <v>726</v>
      </c>
      <c r="B728" s="5">
        <v>11100</v>
      </c>
      <c r="C728" s="5">
        <v>6</v>
      </c>
      <c r="D728" s="5">
        <f t="shared" si="79"/>
        <v>101217</v>
      </c>
      <c r="E728" s="5">
        <f t="shared" si="80"/>
        <v>101277</v>
      </c>
      <c r="F728" s="5"/>
      <c r="G728" s="5">
        <f>VLOOKUP(H728&amp;I728,Sheet2!$J:$K,2,0)</f>
        <v>98040401</v>
      </c>
      <c r="H728" s="5" t="s">
        <v>425</v>
      </c>
      <c r="I728" s="5"/>
      <c r="J728" s="5" t="s">
        <v>279</v>
      </c>
      <c r="K728" s="5">
        <v>1</v>
      </c>
      <c r="L728" s="5" t="s">
        <v>94</v>
      </c>
      <c r="M728" s="5">
        <f>ROUNDDOWN(VLOOKUP(J728,Sheet1!$N$32:$O$37,2,0)*1000,0)</f>
        <v>60</v>
      </c>
      <c r="O728" s="67">
        <f t="shared" si="78"/>
        <v>0.000659145088819801</v>
      </c>
      <c r="P728" s="67">
        <v>11025</v>
      </c>
    </row>
    <row r="729" spans="1:16">
      <c r="A729" s="78">
        <v>727</v>
      </c>
      <c r="B729" s="5">
        <v>11100</v>
      </c>
      <c r="C729" s="5">
        <v>6</v>
      </c>
      <c r="D729" s="5">
        <f t="shared" si="79"/>
        <v>101277</v>
      </c>
      <c r="E729" s="5">
        <f t="shared" si="80"/>
        <v>101337</v>
      </c>
      <c r="F729" s="5"/>
      <c r="G729" s="5">
        <f>VLOOKUP(H729&amp;I729,Sheet2!$J:$K,2,0)</f>
        <v>98040402</v>
      </c>
      <c r="H729" s="5" t="s">
        <v>426</v>
      </c>
      <c r="I729" s="5"/>
      <c r="J729" s="5" t="s">
        <v>279</v>
      </c>
      <c r="K729" s="5">
        <v>1</v>
      </c>
      <c r="L729" s="5" t="s">
        <v>94</v>
      </c>
      <c r="M729" s="5">
        <f>ROUNDDOWN(VLOOKUP(J729,Sheet1!$N$32:$O$37,2,0)*1000,0)</f>
        <v>60</v>
      </c>
      <c r="O729" s="67">
        <f t="shared" si="78"/>
        <v>0.000659145088819801</v>
      </c>
      <c r="P729" s="67">
        <v>11026</v>
      </c>
    </row>
    <row r="730" spans="1:16">
      <c r="A730" s="78">
        <v>728</v>
      </c>
      <c r="B730" s="5">
        <v>11100</v>
      </c>
      <c r="C730" s="5">
        <v>6</v>
      </c>
      <c r="D730" s="5">
        <f t="shared" si="79"/>
        <v>101337</v>
      </c>
      <c r="E730" s="5">
        <f t="shared" si="80"/>
        <v>101397</v>
      </c>
      <c r="F730" s="5"/>
      <c r="G730" s="5">
        <f>VLOOKUP(H730&amp;I730,Sheet2!$J:$K,2,0)</f>
        <v>98040403</v>
      </c>
      <c r="H730" s="5" t="s">
        <v>427</v>
      </c>
      <c r="I730" s="5"/>
      <c r="J730" s="5" t="s">
        <v>279</v>
      </c>
      <c r="K730" s="5">
        <v>1</v>
      </c>
      <c r="L730" s="5" t="s">
        <v>94</v>
      </c>
      <c r="M730" s="5">
        <f>ROUNDDOWN(VLOOKUP(J730,Sheet1!$N$32:$O$37,2,0)*1000,0)</f>
        <v>60</v>
      </c>
      <c r="O730" s="67">
        <f t="shared" si="78"/>
        <v>0.000659145088819801</v>
      </c>
      <c r="P730" s="67">
        <v>11027</v>
      </c>
    </row>
    <row r="731" spans="1:16">
      <c r="A731" s="78">
        <v>729</v>
      </c>
      <c r="B731" s="5">
        <v>11100</v>
      </c>
      <c r="C731" s="5">
        <v>6</v>
      </c>
      <c r="D731" s="5">
        <f t="shared" si="79"/>
        <v>101397</v>
      </c>
      <c r="E731" s="5">
        <f t="shared" si="80"/>
        <v>101457</v>
      </c>
      <c r="F731" s="5"/>
      <c r="G731" s="5">
        <f>VLOOKUP(H731&amp;I731,Sheet2!$J:$K,2,0)</f>
        <v>98030201</v>
      </c>
      <c r="H731" s="5" t="s">
        <v>428</v>
      </c>
      <c r="I731" s="5"/>
      <c r="J731" s="5" t="s">
        <v>279</v>
      </c>
      <c r="K731" s="5">
        <v>1</v>
      </c>
      <c r="L731" s="5" t="s">
        <v>94</v>
      </c>
      <c r="M731" s="5">
        <f>ROUNDDOWN(VLOOKUP(J731,Sheet1!$N$32:$O$37,2,0)*1000,0)</f>
        <v>60</v>
      </c>
      <c r="O731" s="67">
        <f t="shared" si="78"/>
        <v>0.000659145088819801</v>
      </c>
      <c r="P731" s="67">
        <v>11028</v>
      </c>
    </row>
    <row r="732" spans="1:16">
      <c r="A732" s="78">
        <v>730</v>
      </c>
      <c r="B732" s="5">
        <v>11100</v>
      </c>
      <c r="C732" s="5">
        <v>6</v>
      </c>
      <c r="D732" s="5">
        <f t="shared" si="79"/>
        <v>101457</v>
      </c>
      <c r="E732" s="5">
        <f t="shared" si="80"/>
        <v>101517</v>
      </c>
      <c r="F732" s="5"/>
      <c r="G732" s="5">
        <f>VLOOKUP(H732&amp;I732,Sheet2!$J:$K,2,0)</f>
        <v>98030202</v>
      </c>
      <c r="H732" s="5" t="s">
        <v>429</v>
      </c>
      <c r="I732" s="5"/>
      <c r="J732" s="5" t="s">
        <v>279</v>
      </c>
      <c r="K732" s="5">
        <v>1</v>
      </c>
      <c r="L732" s="5" t="s">
        <v>94</v>
      </c>
      <c r="M732" s="5">
        <f>ROUNDDOWN(VLOOKUP(J732,Sheet1!$N$32:$O$37,2,0)*1000,0)</f>
        <v>60</v>
      </c>
      <c r="O732" s="67">
        <f t="shared" si="78"/>
        <v>0.000659145088819801</v>
      </c>
      <c r="P732" s="67">
        <v>11029</v>
      </c>
    </row>
    <row r="733" spans="1:16">
      <c r="A733" s="78">
        <v>731</v>
      </c>
      <c r="B733" s="5">
        <v>11100</v>
      </c>
      <c r="C733" s="5">
        <v>6</v>
      </c>
      <c r="D733" s="5">
        <f t="shared" si="79"/>
        <v>101517</v>
      </c>
      <c r="E733" s="5">
        <f t="shared" si="80"/>
        <v>101577</v>
      </c>
      <c r="F733" s="5"/>
      <c r="G733" s="5">
        <f>VLOOKUP(H733&amp;I733,Sheet2!$J:$K,2,0)</f>
        <v>98030203</v>
      </c>
      <c r="H733" s="5" t="s">
        <v>430</v>
      </c>
      <c r="I733" s="5"/>
      <c r="J733" s="5" t="s">
        <v>279</v>
      </c>
      <c r="K733" s="5">
        <v>1</v>
      </c>
      <c r="L733" s="5" t="s">
        <v>94</v>
      </c>
      <c r="M733" s="5">
        <f>ROUNDDOWN(VLOOKUP(J733,Sheet1!$N$32:$O$37,2,0)*1000,0)</f>
        <v>60</v>
      </c>
      <c r="O733" s="67">
        <f t="shared" si="78"/>
        <v>0.000659145088819801</v>
      </c>
      <c r="P733" s="67">
        <v>11030</v>
      </c>
    </row>
    <row r="734" spans="1:16">
      <c r="A734" s="82">
        <v>732</v>
      </c>
      <c r="B734" s="82">
        <v>11200</v>
      </c>
      <c r="C734" s="82">
        <v>6</v>
      </c>
      <c r="D734" s="82">
        <v>0</v>
      </c>
      <c r="E734" s="82">
        <f>M734</f>
        <v>350</v>
      </c>
      <c r="F734" s="82"/>
      <c r="G734" s="82">
        <f>VLOOKUP(H734&amp;I734,Sheet2!$J:$K,2,0)</f>
        <v>95101018</v>
      </c>
      <c r="H734" s="82" t="s">
        <v>198</v>
      </c>
      <c r="I734" s="82" t="s">
        <v>199</v>
      </c>
      <c r="J734" s="82" t="s">
        <v>200</v>
      </c>
      <c r="K734" s="82">
        <v>1</v>
      </c>
      <c r="L734" s="82" t="s">
        <v>111</v>
      </c>
      <c r="M734" s="82">
        <f>ROUNDDOWN(VLOOKUP(J734,Sheet1!$N$32:$O$37,2,0)*1000,0)+100</f>
        <v>350</v>
      </c>
      <c r="O734" s="67">
        <f t="shared" ref="O734:O745" si="81">(E734-D734)/$E$796</f>
        <v>0.0169491525423729</v>
      </c>
      <c r="P734" s="67">
        <v>11200</v>
      </c>
    </row>
    <row r="735" spans="1:16">
      <c r="A735" s="82">
        <v>733</v>
      </c>
      <c r="B735" s="82">
        <v>11200</v>
      </c>
      <c r="C735" s="82">
        <v>6</v>
      </c>
      <c r="D735" s="82">
        <f>E734</f>
        <v>350</v>
      </c>
      <c r="E735" s="82">
        <f t="shared" ref="E735:E769" si="82">D735+M735</f>
        <v>700</v>
      </c>
      <c r="F735" s="82"/>
      <c r="G735" s="82">
        <f>VLOOKUP(H735&amp;I735,Sheet2!$J:$K,2,0)</f>
        <v>95101028</v>
      </c>
      <c r="H735" s="82" t="s">
        <v>201</v>
      </c>
      <c r="I735" s="82" t="s">
        <v>199</v>
      </c>
      <c r="J735" s="82" t="s">
        <v>200</v>
      </c>
      <c r="K735" s="82">
        <v>1</v>
      </c>
      <c r="L735" s="82" t="s">
        <v>111</v>
      </c>
      <c r="M735" s="82">
        <f>ROUNDDOWN(VLOOKUP(J735,Sheet1!$N$32:$O$37,2,0)*1000,0)+100</f>
        <v>350</v>
      </c>
      <c r="O735" s="67">
        <f t="shared" si="81"/>
        <v>0.0169491525423729</v>
      </c>
      <c r="P735" s="67">
        <v>11200</v>
      </c>
    </row>
    <row r="736" spans="1:16">
      <c r="A736" s="82">
        <v>734</v>
      </c>
      <c r="B736" s="82">
        <v>11200</v>
      </c>
      <c r="C736" s="82">
        <v>6</v>
      </c>
      <c r="D736" s="82">
        <f t="shared" ref="D736:D766" si="83">E735</f>
        <v>700</v>
      </c>
      <c r="E736" s="82">
        <f t="shared" si="82"/>
        <v>1050</v>
      </c>
      <c r="F736" s="82"/>
      <c r="G736" s="82">
        <f>VLOOKUP(H736&amp;I736,Sheet2!$J:$K,2,0)</f>
        <v>95102018</v>
      </c>
      <c r="H736" s="82" t="s">
        <v>202</v>
      </c>
      <c r="I736" s="82" t="s">
        <v>199</v>
      </c>
      <c r="J736" s="82" t="s">
        <v>200</v>
      </c>
      <c r="K736" s="82">
        <v>1</v>
      </c>
      <c r="L736" s="82" t="s">
        <v>111</v>
      </c>
      <c r="M736" s="82">
        <f>ROUNDDOWN(VLOOKUP(J736,Sheet1!$N$32:$O$37,2,0)*1000,0)+100</f>
        <v>350</v>
      </c>
      <c r="O736" s="67">
        <f t="shared" si="81"/>
        <v>0.0169491525423729</v>
      </c>
      <c r="P736" s="67">
        <v>11200</v>
      </c>
    </row>
    <row r="737" spans="1:16">
      <c r="A737" s="82">
        <v>735</v>
      </c>
      <c r="B737" s="82">
        <v>11200</v>
      </c>
      <c r="C737" s="82">
        <v>6</v>
      </c>
      <c r="D737" s="82">
        <f t="shared" si="83"/>
        <v>1050</v>
      </c>
      <c r="E737" s="82">
        <f t="shared" si="82"/>
        <v>1400</v>
      </c>
      <c r="F737" s="82"/>
      <c r="G737" s="82">
        <f>VLOOKUP(H737&amp;I737,Sheet2!$J:$K,2,0)</f>
        <v>95102028</v>
      </c>
      <c r="H737" s="82" t="s">
        <v>203</v>
      </c>
      <c r="I737" s="82" t="s">
        <v>199</v>
      </c>
      <c r="J737" s="82" t="s">
        <v>200</v>
      </c>
      <c r="K737" s="82">
        <v>1</v>
      </c>
      <c r="L737" s="82" t="s">
        <v>111</v>
      </c>
      <c r="M737" s="82">
        <f>ROUNDDOWN(VLOOKUP(J737,Sheet1!$N$32:$O$37,2,0)*1000,0)+100</f>
        <v>350</v>
      </c>
      <c r="O737" s="67">
        <f t="shared" si="81"/>
        <v>0.0169491525423729</v>
      </c>
      <c r="P737" s="67">
        <v>11200</v>
      </c>
    </row>
    <row r="738" spans="1:16">
      <c r="A738" s="82">
        <v>736</v>
      </c>
      <c r="B738" s="82">
        <v>11200</v>
      </c>
      <c r="C738" s="82">
        <v>6</v>
      </c>
      <c r="D738" s="82">
        <f t="shared" si="83"/>
        <v>1400</v>
      </c>
      <c r="E738" s="82">
        <f t="shared" si="82"/>
        <v>1750</v>
      </c>
      <c r="F738" s="82"/>
      <c r="G738" s="82">
        <f>VLOOKUP(H738&amp;I738,Sheet2!$J:$K,2,0)</f>
        <v>95103018</v>
      </c>
      <c r="H738" s="82" t="s">
        <v>204</v>
      </c>
      <c r="I738" s="82" t="s">
        <v>199</v>
      </c>
      <c r="J738" s="82" t="s">
        <v>200</v>
      </c>
      <c r="K738" s="82">
        <v>1</v>
      </c>
      <c r="L738" s="82" t="s">
        <v>111</v>
      </c>
      <c r="M738" s="82">
        <f>ROUNDDOWN(VLOOKUP(J738,Sheet1!$N$32:$O$37,2,0)*1000,0)+100</f>
        <v>350</v>
      </c>
      <c r="O738" s="67">
        <f t="shared" si="81"/>
        <v>0.0169491525423729</v>
      </c>
      <c r="P738" s="67">
        <v>11200</v>
      </c>
    </row>
    <row r="739" spans="1:16">
      <c r="A739" s="82">
        <v>737</v>
      </c>
      <c r="B739" s="82">
        <v>11200</v>
      </c>
      <c r="C739" s="82">
        <v>6</v>
      </c>
      <c r="D739" s="82">
        <f t="shared" si="83"/>
        <v>1750</v>
      </c>
      <c r="E739" s="82">
        <f t="shared" si="82"/>
        <v>2100</v>
      </c>
      <c r="F739" s="82"/>
      <c r="G739" s="82">
        <f>VLOOKUP(H739&amp;I739,Sheet2!$J:$K,2,0)</f>
        <v>95104018</v>
      </c>
      <c r="H739" s="82" t="s">
        <v>205</v>
      </c>
      <c r="I739" s="82" t="s">
        <v>199</v>
      </c>
      <c r="J739" s="82" t="s">
        <v>200</v>
      </c>
      <c r="K739" s="82">
        <v>1</v>
      </c>
      <c r="L739" s="82" t="s">
        <v>111</v>
      </c>
      <c r="M739" s="82">
        <f>ROUNDDOWN(VLOOKUP(J739,Sheet1!$N$32:$O$37,2,0)*1000,0)+100</f>
        <v>350</v>
      </c>
      <c r="O739" s="67">
        <f t="shared" si="81"/>
        <v>0.0169491525423729</v>
      </c>
      <c r="P739" s="67">
        <v>11200</v>
      </c>
    </row>
    <row r="740" spans="1:16">
      <c r="A740" s="82">
        <v>738</v>
      </c>
      <c r="B740" s="82">
        <v>11200</v>
      </c>
      <c r="C740" s="82">
        <v>6</v>
      </c>
      <c r="D740" s="82">
        <f t="shared" si="83"/>
        <v>2100</v>
      </c>
      <c r="E740" s="82">
        <f t="shared" si="82"/>
        <v>2450</v>
      </c>
      <c r="F740" s="82"/>
      <c r="G740" s="82">
        <f>VLOOKUP(H740&amp;I740,Sheet2!$J:$K,2,0)</f>
        <v>95104028</v>
      </c>
      <c r="H740" s="82" t="s">
        <v>206</v>
      </c>
      <c r="I740" s="82" t="s">
        <v>199</v>
      </c>
      <c r="J740" s="82" t="s">
        <v>200</v>
      </c>
      <c r="K740" s="82">
        <v>1</v>
      </c>
      <c r="L740" s="82" t="s">
        <v>111</v>
      </c>
      <c r="M740" s="82">
        <f>ROUNDDOWN(VLOOKUP(J740,Sheet1!$N$32:$O$37,2,0)*1000,0)+100</f>
        <v>350</v>
      </c>
      <c r="O740" s="67">
        <f t="shared" si="81"/>
        <v>0.0169491525423729</v>
      </c>
      <c r="P740" s="67">
        <v>11200</v>
      </c>
    </row>
    <row r="741" spans="1:16">
      <c r="A741" s="82">
        <v>739</v>
      </c>
      <c r="B741" s="82">
        <v>11200</v>
      </c>
      <c r="C741" s="82">
        <v>6</v>
      </c>
      <c r="D741" s="82">
        <f t="shared" si="83"/>
        <v>2450</v>
      </c>
      <c r="E741" s="82">
        <f t="shared" si="82"/>
        <v>2800</v>
      </c>
      <c r="F741" s="82"/>
      <c r="G741" s="82">
        <f>VLOOKUP(H741&amp;I741,Sheet2!$J:$K,2,0)</f>
        <v>95104038</v>
      </c>
      <c r="H741" s="82" t="s">
        <v>207</v>
      </c>
      <c r="I741" s="82" t="s">
        <v>199</v>
      </c>
      <c r="J741" s="82" t="s">
        <v>200</v>
      </c>
      <c r="K741" s="82">
        <v>1</v>
      </c>
      <c r="L741" s="82" t="s">
        <v>111</v>
      </c>
      <c r="M741" s="82">
        <f>ROUNDDOWN(VLOOKUP(J741,Sheet1!$N$32:$O$37,2,0)*1000,0)+100</f>
        <v>350</v>
      </c>
      <c r="O741" s="67">
        <f t="shared" si="81"/>
        <v>0.0169491525423729</v>
      </c>
      <c r="P741" s="67">
        <v>11200</v>
      </c>
    </row>
    <row r="742" spans="1:16">
      <c r="A742" s="82">
        <v>740</v>
      </c>
      <c r="B742" s="82">
        <v>11200</v>
      </c>
      <c r="C742" s="82">
        <v>6</v>
      </c>
      <c r="D742" s="82">
        <f t="shared" si="83"/>
        <v>2800</v>
      </c>
      <c r="E742" s="82">
        <f t="shared" si="82"/>
        <v>3150</v>
      </c>
      <c r="F742" s="82"/>
      <c r="G742" s="82">
        <f>VLOOKUP(H742&amp;I742,Sheet2!$J:$K,2,0)</f>
        <v>95106018</v>
      </c>
      <c r="H742" s="82" t="s">
        <v>208</v>
      </c>
      <c r="I742" s="82" t="s">
        <v>199</v>
      </c>
      <c r="J742" s="82" t="s">
        <v>200</v>
      </c>
      <c r="K742" s="82">
        <v>1</v>
      </c>
      <c r="L742" s="82" t="s">
        <v>111</v>
      </c>
      <c r="M742" s="82">
        <f>ROUNDDOWN(VLOOKUP(J742,Sheet1!$N$32:$O$37,2,0)*1000,0)+100</f>
        <v>350</v>
      </c>
      <c r="O742" s="67">
        <f t="shared" si="81"/>
        <v>0.0169491525423729</v>
      </c>
      <c r="P742" s="67">
        <v>11200</v>
      </c>
    </row>
    <row r="743" spans="1:16">
      <c r="A743" s="82">
        <v>741</v>
      </c>
      <c r="B743" s="82">
        <v>11200</v>
      </c>
      <c r="C743" s="82">
        <v>6</v>
      </c>
      <c r="D743" s="82">
        <f t="shared" si="83"/>
        <v>3150</v>
      </c>
      <c r="E743" s="82">
        <f t="shared" si="82"/>
        <v>3500</v>
      </c>
      <c r="F743" s="82"/>
      <c r="G743" s="82">
        <f>VLOOKUP(H743&amp;I743,Sheet2!$J:$K,2,0)</f>
        <v>95109018</v>
      </c>
      <c r="H743" s="82" t="s">
        <v>209</v>
      </c>
      <c r="I743" s="82" t="s">
        <v>199</v>
      </c>
      <c r="J743" s="82" t="s">
        <v>200</v>
      </c>
      <c r="K743" s="82">
        <v>1</v>
      </c>
      <c r="L743" s="82" t="s">
        <v>111</v>
      </c>
      <c r="M743" s="82">
        <f>ROUNDDOWN(VLOOKUP(J743,Sheet1!$N$32:$O$37,2,0)*1000,0)+100</f>
        <v>350</v>
      </c>
      <c r="O743" s="67">
        <f t="shared" si="81"/>
        <v>0.0169491525423729</v>
      </c>
      <c r="P743" s="67">
        <v>11200</v>
      </c>
    </row>
    <row r="744" spans="1:16">
      <c r="A744" s="82">
        <v>742</v>
      </c>
      <c r="B744" s="82">
        <v>11200</v>
      </c>
      <c r="C744" s="82">
        <v>6</v>
      </c>
      <c r="D744" s="82">
        <f t="shared" si="83"/>
        <v>3500</v>
      </c>
      <c r="E744" s="82">
        <f t="shared" si="82"/>
        <v>3850</v>
      </c>
      <c r="F744" s="82"/>
      <c r="G744" s="82">
        <f>VLOOKUP(H744&amp;I744,Sheet2!$J:$K,2,0)</f>
        <v>95110018</v>
      </c>
      <c r="H744" s="82" t="s">
        <v>210</v>
      </c>
      <c r="I744" s="82" t="s">
        <v>199</v>
      </c>
      <c r="J744" s="82" t="s">
        <v>200</v>
      </c>
      <c r="K744" s="82">
        <v>1</v>
      </c>
      <c r="L744" s="82" t="s">
        <v>111</v>
      </c>
      <c r="M744" s="82">
        <f>ROUNDDOWN(VLOOKUP(J744,Sheet1!$N$32:$O$37,2,0)*1000,0)+100</f>
        <v>350</v>
      </c>
      <c r="O744" s="67">
        <f t="shared" si="81"/>
        <v>0.0169491525423729</v>
      </c>
      <c r="P744" s="67">
        <v>11200</v>
      </c>
    </row>
    <row r="745" spans="1:16">
      <c r="A745" s="82">
        <v>743</v>
      </c>
      <c r="B745" s="82">
        <v>11200</v>
      </c>
      <c r="C745" s="82">
        <v>6</v>
      </c>
      <c r="D745" s="82">
        <f t="shared" si="83"/>
        <v>3850</v>
      </c>
      <c r="E745" s="82">
        <f t="shared" si="82"/>
        <v>4200</v>
      </c>
      <c r="F745" s="82"/>
      <c r="G745" s="82">
        <f>VLOOKUP(H745&amp;I745,Sheet2!$J:$K,2,0)</f>
        <v>95111018</v>
      </c>
      <c r="H745" s="82" t="s">
        <v>211</v>
      </c>
      <c r="I745" s="82" t="s">
        <v>199</v>
      </c>
      <c r="J745" s="82" t="s">
        <v>200</v>
      </c>
      <c r="K745" s="82">
        <v>1</v>
      </c>
      <c r="L745" s="82" t="s">
        <v>111</v>
      </c>
      <c r="M745" s="82">
        <f>ROUNDDOWN(VLOOKUP(J745,Sheet1!$N$32:$O$37,2,0)*1000,0)+100</f>
        <v>350</v>
      </c>
      <c r="O745" s="67">
        <f t="shared" si="81"/>
        <v>0.0169491525423729</v>
      </c>
      <c r="P745" s="67">
        <v>11200</v>
      </c>
    </row>
    <row r="746" spans="1:16">
      <c r="A746" s="82">
        <v>744</v>
      </c>
      <c r="B746" s="82">
        <v>11200</v>
      </c>
      <c r="C746" s="82">
        <v>6</v>
      </c>
      <c r="D746" s="82">
        <f t="shared" si="83"/>
        <v>4200</v>
      </c>
      <c r="E746" s="82">
        <f t="shared" si="82"/>
        <v>4550</v>
      </c>
      <c r="F746" s="82"/>
      <c r="G746" s="82">
        <f>VLOOKUP(H746&amp;I746,Sheet2!$J:$K,2,0)</f>
        <v>95120018</v>
      </c>
      <c r="H746" s="82" t="s">
        <v>212</v>
      </c>
      <c r="I746" s="82" t="s">
        <v>199</v>
      </c>
      <c r="J746" s="82" t="s">
        <v>200</v>
      </c>
      <c r="K746" s="82">
        <v>1</v>
      </c>
      <c r="L746" s="82" t="s">
        <v>111</v>
      </c>
      <c r="M746" s="82">
        <f>ROUNDDOWN(VLOOKUP(J746,Sheet1!$N$32:$O$37,2,0)*1000,0)+100</f>
        <v>350</v>
      </c>
    </row>
    <row r="747" spans="1:16">
      <c r="A747" s="82">
        <v>745</v>
      </c>
      <c r="B747" s="82">
        <v>11200</v>
      </c>
      <c r="C747" s="82">
        <v>6</v>
      </c>
      <c r="D747" s="82">
        <f t="shared" si="83"/>
        <v>4550</v>
      </c>
      <c r="E747" s="82">
        <f t="shared" si="82"/>
        <v>4900</v>
      </c>
      <c r="F747" s="82"/>
      <c r="G747" s="82">
        <f>VLOOKUP(H747&amp;I747,Sheet2!$J:$K,2,0)</f>
        <v>95140018</v>
      </c>
      <c r="H747" s="82" t="s">
        <v>213</v>
      </c>
      <c r="I747" s="82" t="s">
        <v>199</v>
      </c>
      <c r="J747" s="82" t="s">
        <v>200</v>
      </c>
      <c r="K747" s="82">
        <v>1</v>
      </c>
      <c r="L747" s="82" t="s">
        <v>111</v>
      </c>
      <c r="M747" s="82">
        <f>ROUNDDOWN(VLOOKUP(J747,Sheet1!$N$32:$O$37,2,0)*1000,0)+100</f>
        <v>350</v>
      </c>
    </row>
    <row r="748" spans="1:16">
      <c r="A748" s="82">
        <v>746</v>
      </c>
      <c r="B748" s="82">
        <v>11200</v>
      </c>
      <c r="C748" s="82">
        <v>6</v>
      </c>
      <c r="D748" s="82">
        <f t="shared" si="83"/>
        <v>4900</v>
      </c>
      <c r="E748" s="82">
        <f t="shared" si="82"/>
        <v>5250</v>
      </c>
      <c r="F748" s="82"/>
      <c r="G748" s="82">
        <f>VLOOKUP(H748&amp;I748,Sheet2!$J:$K,2,0)</f>
        <v>95105028</v>
      </c>
      <c r="H748" s="82" t="s">
        <v>214</v>
      </c>
      <c r="I748" s="82" t="s">
        <v>199</v>
      </c>
      <c r="J748" s="82" t="s">
        <v>200</v>
      </c>
      <c r="K748" s="82">
        <v>1</v>
      </c>
      <c r="L748" s="82" t="s">
        <v>111</v>
      </c>
      <c r="M748" s="82">
        <f>ROUNDDOWN(VLOOKUP(J748,Sheet1!$N$32:$O$37,2,0)*1000,0)+100</f>
        <v>350</v>
      </c>
      <c r="O748" s="67">
        <f>(E748-D748)/$E$796</f>
        <v>0.0169491525423729</v>
      </c>
      <c r="P748" s="67">
        <v>11200</v>
      </c>
    </row>
    <row r="749" spans="1:16">
      <c r="A749" s="82">
        <v>747</v>
      </c>
      <c r="B749" s="82">
        <v>11200</v>
      </c>
      <c r="C749" s="82">
        <v>6</v>
      </c>
      <c r="D749" s="82">
        <f t="shared" si="83"/>
        <v>5250</v>
      </c>
      <c r="E749" s="82">
        <f t="shared" si="82"/>
        <v>5600</v>
      </c>
      <c r="F749" s="82"/>
      <c r="G749" s="82">
        <f>VLOOKUP(H749&amp;I749,Sheet2!$J:$K,2,0)</f>
        <v>95109028</v>
      </c>
      <c r="H749" s="82" t="s">
        <v>215</v>
      </c>
      <c r="I749" s="82" t="s">
        <v>199</v>
      </c>
      <c r="J749" s="82" t="s">
        <v>200</v>
      </c>
      <c r="K749" s="82">
        <v>1</v>
      </c>
      <c r="L749" s="82" t="s">
        <v>111</v>
      </c>
      <c r="M749" s="82">
        <f>ROUNDDOWN(VLOOKUP(J749,Sheet1!$N$32:$O$37,2,0)*1000,0)+100</f>
        <v>350</v>
      </c>
      <c r="O749" s="67">
        <f>(E749-D749)/$E$796</f>
        <v>0.0169491525423729</v>
      </c>
      <c r="P749" s="67">
        <v>11200</v>
      </c>
    </row>
    <row r="750" spans="1:16">
      <c r="A750" s="82">
        <v>748</v>
      </c>
      <c r="B750" s="82">
        <v>11200</v>
      </c>
      <c r="C750" s="82">
        <v>6</v>
      </c>
      <c r="D750" s="82">
        <f t="shared" si="83"/>
        <v>5600</v>
      </c>
      <c r="E750" s="82">
        <f t="shared" si="82"/>
        <v>5950</v>
      </c>
      <c r="F750" s="82"/>
      <c r="G750" s="82">
        <f>VLOOKUP(H750&amp;I750,Sheet2!$J:$K,2,0)</f>
        <v>95110028</v>
      </c>
      <c r="H750" s="82" t="s">
        <v>216</v>
      </c>
      <c r="I750" s="82" t="s">
        <v>199</v>
      </c>
      <c r="J750" s="82" t="s">
        <v>200</v>
      </c>
      <c r="K750" s="82">
        <v>1</v>
      </c>
      <c r="L750" s="82" t="s">
        <v>111</v>
      </c>
      <c r="M750" s="82">
        <f>ROUNDDOWN(VLOOKUP(J750,Sheet1!$N$32:$O$37,2,0)*1000,0)+100</f>
        <v>350</v>
      </c>
    </row>
    <row r="751" spans="1:16">
      <c r="A751" s="82">
        <v>749</v>
      </c>
      <c r="B751" s="82">
        <v>11200</v>
      </c>
      <c r="C751" s="82">
        <v>6</v>
      </c>
      <c r="D751" s="82">
        <f t="shared" si="83"/>
        <v>5950</v>
      </c>
      <c r="E751" s="82">
        <f t="shared" si="82"/>
        <v>6300</v>
      </c>
      <c r="F751" s="82"/>
      <c r="G751" s="82">
        <f>VLOOKUP(H751&amp;I751,Sheet2!$J:$K,2,0)</f>
        <v>95150028</v>
      </c>
      <c r="H751" s="82" t="s">
        <v>217</v>
      </c>
      <c r="I751" s="82" t="s">
        <v>199</v>
      </c>
      <c r="J751" s="82" t="s">
        <v>200</v>
      </c>
      <c r="K751" s="82">
        <v>1</v>
      </c>
      <c r="L751" s="82" t="s">
        <v>111</v>
      </c>
      <c r="M751" s="82">
        <f>ROUNDDOWN(VLOOKUP(J751,Sheet1!$N$32:$O$37,2,0)*1000,0)+100</f>
        <v>350</v>
      </c>
    </row>
    <row r="752" spans="1:16">
      <c r="A752" s="82">
        <v>750</v>
      </c>
      <c r="B752" s="82">
        <v>11200</v>
      </c>
      <c r="C752" s="82">
        <v>6</v>
      </c>
      <c r="D752" s="82">
        <f t="shared" si="83"/>
        <v>6300</v>
      </c>
      <c r="E752" s="82">
        <f t="shared" si="82"/>
        <v>6650</v>
      </c>
      <c r="F752" s="82"/>
      <c r="G752" s="82">
        <f>VLOOKUP(H752&amp;I752,Sheet2!$J:$K,2,0)</f>
        <v>95201038</v>
      </c>
      <c r="H752" s="82" t="s">
        <v>218</v>
      </c>
      <c r="I752" s="82" t="s">
        <v>199</v>
      </c>
      <c r="J752" s="82" t="s">
        <v>200</v>
      </c>
      <c r="K752" s="82">
        <v>1</v>
      </c>
      <c r="L752" s="82" t="s">
        <v>111</v>
      </c>
      <c r="M752" s="82">
        <f>ROUNDDOWN(VLOOKUP(J752,Sheet1!$N$32:$O$37,2,0)*1000,0)+100</f>
        <v>350</v>
      </c>
    </row>
    <row r="753" spans="1:16">
      <c r="A753" s="82">
        <v>751</v>
      </c>
      <c r="B753" s="82">
        <v>11200</v>
      </c>
      <c r="C753" s="82">
        <v>6</v>
      </c>
      <c r="D753" s="82">
        <f t="shared" si="83"/>
        <v>6650</v>
      </c>
      <c r="E753" s="82">
        <f t="shared" si="82"/>
        <v>7000</v>
      </c>
      <c r="F753" s="82"/>
      <c r="G753" s="82">
        <f>VLOOKUP(H753&amp;I753,Sheet2!$J:$K,2,0)</f>
        <v>95201118</v>
      </c>
      <c r="H753" s="82" t="s">
        <v>219</v>
      </c>
      <c r="I753" s="82" t="s">
        <v>199</v>
      </c>
      <c r="J753" s="82" t="s">
        <v>200</v>
      </c>
      <c r="K753" s="82">
        <v>1</v>
      </c>
      <c r="L753" s="82" t="s">
        <v>111</v>
      </c>
      <c r="M753" s="82">
        <f>ROUNDDOWN(VLOOKUP(J753,Sheet1!$N$32:$O$37,2,0)*1000,0)+100</f>
        <v>350</v>
      </c>
    </row>
    <row r="754" spans="1:16">
      <c r="A754" s="82">
        <v>752</v>
      </c>
      <c r="B754" s="82">
        <v>11200</v>
      </c>
      <c r="C754" s="82">
        <v>6</v>
      </c>
      <c r="D754" s="82">
        <f t="shared" si="83"/>
        <v>7000</v>
      </c>
      <c r="E754" s="82">
        <f t="shared" si="82"/>
        <v>7350</v>
      </c>
      <c r="F754" s="82"/>
      <c r="G754" s="82">
        <f>VLOOKUP(H754&amp;I754,Sheet2!$J:$K,2,0)</f>
        <v>95201158</v>
      </c>
      <c r="H754" s="82" t="s">
        <v>220</v>
      </c>
      <c r="I754" s="82" t="s">
        <v>199</v>
      </c>
      <c r="J754" s="82" t="s">
        <v>200</v>
      </c>
      <c r="K754" s="82">
        <v>1</v>
      </c>
      <c r="L754" s="82" t="s">
        <v>111</v>
      </c>
      <c r="M754" s="82">
        <f>ROUNDDOWN(VLOOKUP(J754,Sheet1!$N$32:$O$37,2,0)*1000,0)+100</f>
        <v>350</v>
      </c>
      <c r="O754" s="67">
        <f t="shared" ref="O754:O763" si="84">(E754-D754)/$E$796</f>
        <v>0.0169491525423729</v>
      </c>
      <c r="P754" s="67">
        <v>11200</v>
      </c>
    </row>
    <row r="755" spans="1:16">
      <c r="A755" s="82">
        <v>753</v>
      </c>
      <c r="B755" s="82">
        <v>11200</v>
      </c>
      <c r="C755" s="82">
        <v>6</v>
      </c>
      <c r="D755" s="82">
        <f t="shared" si="83"/>
        <v>7350</v>
      </c>
      <c r="E755" s="82">
        <f t="shared" si="82"/>
        <v>7700</v>
      </c>
      <c r="F755" s="82"/>
      <c r="G755" s="82">
        <f>VLOOKUP(H755&amp;I755,Sheet2!$J:$K,2,0)</f>
        <v>95201168</v>
      </c>
      <c r="H755" s="82" t="s">
        <v>221</v>
      </c>
      <c r="I755" s="82" t="s">
        <v>199</v>
      </c>
      <c r="J755" s="82" t="s">
        <v>200</v>
      </c>
      <c r="K755" s="82">
        <v>1</v>
      </c>
      <c r="L755" s="82" t="s">
        <v>111</v>
      </c>
      <c r="M755" s="82">
        <f>ROUNDDOWN(VLOOKUP(J755,Sheet1!$N$32:$O$37,2,0)*1000,0)+100</f>
        <v>350</v>
      </c>
      <c r="O755" s="67">
        <f t="shared" si="84"/>
        <v>0.0169491525423729</v>
      </c>
      <c r="P755" s="67">
        <v>11200</v>
      </c>
    </row>
    <row r="756" spans="1:16">
      <c r="A756" s="82">
        <v>754</v>
      </c>
      <c r="B756" s="82">
        <v>11200</v>
      </c>
      <c r="C756" s="82">
        <v>6</v>
      </c>
      <c r="D756" s="82">
        <f t="shared" si="83"/>
        <v>7700</v>
      </c>
      <c r="E756" s="82">
        <f t="shared" si="82"/>
        <v>8050</v>
      </c>
      <c r="F756" s="82"/>
      <c r="G756" s="82">
        <f>VLOOKUP(H756&amp;I756,Sheet2!$J:$K,2,0)</f>
        <v>95301028</v>
      </c>
      <c r="H756" s="82" t="s">
        <v>222</v>
      </c>
      <c r="I756" s="82" t="s">
        <v>199</v>
      </c>
      <c r="J756" s="82" t="s">
        <v>200</v>
      </c>
      <c r="K756" s="82">
        <v>1</v>
      </c>
      <c r="L756" s="82" t="s">
        <v>111</v>
      </c>
      <c r="M756" s="82">
        <f>ROUNDDOWN(VLOOKUP(J756,Sheet1!$N$32:$O$37,2,0)*1000,0)+100</f>
        <v>350</v>
      </c>
      <c r="O756" s="67">
        <f t="shared" si="84"/>
        <v>0.0169491525423729</v>
      </c>
      <c r="P756" s="67">
        <v>11200</v>
      </c>
    </row>
    <row r="757" spans="1:16">
      <c r="A757" s="82">
        <v>755</v>
      </c>
      <c r="B757" s="82">
        <v>11200</v>
      </c>
      <c r="C757" s="82">
        <v>6</v>
      </c>
      <c r="D757" s="82">
        <f t="shared" si="83"/>
        <v>8050</v>
      </c>
      <c r="E757" s="82">
        <f t="shared" si="82"/>
        <v>8400</v>
      </c>
      <c r="F757" s="82"/>
      <c r="G757" s="82">
        <f>VLOOKUP(H757&amp;I757,Sheet2!$J:$K,2,0)</f>
        <v>95301048</v>
      </c>
      <c r="H757" s="82" t="s">
        <v>223</v>
      </c>
      <c r="I757" s="82" t="s">
        <v>199</v>
      </c>
      <c r="J757" s="82" t="s">
        <v>200</v>
      </c>
      <c r="K757" s="82">
        <v>1</v>
      </c>
      <c r="L757" s="82" t="s">
        <v>111</v>
      </c>
      <c r="M757" s="82">
        <f>ROUNDDOWN(VLOOKUP(J757,Sheet1!$N$32:$O$37,2,0)*1000,0)+100</f>
        <v>350</v>
      </c>
      <c r="O757" s="67">
        <f t="shared" si="84"/>
        <v>0.0169491525423729</v>
      </c>
      <c r="P757" s="67">
        <v>11200</v>
      </c>
    </row>
    <row r="758" spans="1:16">
      <c r="A758" s="82">
        <v>756</v>
      </c>
      <c r="B758" s="82">
        <v>11200</v>
      </c>
      <c r="C758" s="82">
        <v>6</v>
      </c>
      <c r="D758" s="82">
        <f t="shared" si="83"/>
        <v>8400</v>
      </c>
      <c r="E758" s="82">
        <f t="shared" si="82"/>
        <v>8750</v>
      </c>
      <c r="F758" s="82"/>
      <c r="G758" s="82">
        <f>VLOOKUP(H758&amp;I758,Sheet2!$J:$K,2,0)</f>
        <v>95301058</v>
      </c>
      <c r="H758" s="82" t="s">
        <v>224</v>
      </c>
      <c r="I758" s="82" t="s">
        <v>199</v>
      </c>
      <c r="J758" s="82" t="s">
        <v>200</v>
      </c>
      <c r="K758" s="82">
        <v>1</v>
      </c>
      <c r="L758" s="82" t="s">
        <v>111</v>
      </c>
      <c r="M758" s="82">
        <f>ROUNDDOWN(VLOOKUP(J758,Sheet1!$N$32:$O$37,2,0)*1000,0)+100</f>
        <v>350</v>
      </c>
      <c r="O758" s="67">
        <f t="shared" si="84"/>
        <v>0.0169491525423729</v>
      </c>
      <c r="P758" s="67">
        <v>11200</v>
      </c>
    </row>
    <row r="759" spans="1:16">
      <c r="A759" s="82">
        <v>757</v>
      </c>
      <c r="B759" s="82">
        <v>11200</v>
      </c>
      <c r="C759" s="82">
        <v>6</v>
      </c>
      <c r="D759" s="82">
        <f t="shared" si="83"/>
        <v>8750</v>
      </c>
      <c r="E759" s="82">
        <f t="shared" si="82"/>
        <v>9100</v>
      </c>
      <c r="F759" s="82"/>
      <c r="G759" s="82">
        <f>VLOOKUP(H759&amp;I759,Sheet2!$J:$K,2,0)</f>
        <v>95301138</v>
      </c>
      <c r="H759" s="82" t="s">
        <v>225</v>
      </c>
      <c r="I759" s="82" t="s">
        <v>199</v>
      </c>
      <c r="J759" s="82" t="s">
        <v>200</v>
      </c>
      <c r="K759" s="82">
        <v>1</v>
      </c>
      <c r="L759" s="82" t="s">
        <v>111</v>
      </c>
      <c r="M759" s="82">
        <f>ROUNDDOWN(VLOOKUP(J759,Sheet1!$N$32:$O$37,2,0)*1000,0)+100</f>
        <v>350</v>
      </c>
      <c r="O759" s="67">
        <f t="shared" si="84"/>
        <v>0.0169491525423729</v>
      </c>
      <c r="P759" s="67">
        <v>11200</v>
      </c>
    </row>
    <row r="760" spans="1:16">
      <c r="A760" s="82">
        <v>758</v>
      </c>
      <c r="B760" s="82">
        <v>11200</v>
      </c>
      <c r="C760" s="82">
        <v>6</v>
      </c>
      <c r="D760" s="82">
        <f t="shared" si="83"/>
        <v>9100</v>
      </c>
      <c r="E760" s="82">
        <f t="shared" si="82"/>
        <v>9450</v>
      </c>
      <c r="F760" s="82"/>
      <c r="G760" s="82">
        <f>VLOOKUP(H760&amp;I760,Sheet2!$J:$K,2,0)</f>
        <v>95301098</v>
      </c>
      <c r="H760" s="82" t="s">
        <v>226</v>
      </c>
      <c r="I760" s="82" t="s">
        <v>199</v>
      </c>
      <c r="J760" s="82" t="s">
        <v>200</v>
      </c>
      <c r="K760" s="82">
        <v>1</v>
      </c>
      <c r="L760" s="82" t="s">
        <v>111</v>
      </c>
      <c r="M760" s="82">
        <f>ROUNDDOWN(VLOOKUP(J760,Sheet1!$N$32:$O$37,2,0)*1000,0)+100</f>
        <v>350</v>
      </c>
      <c r="O760" s="67">
        <f t="shared" si="84"/>
        <v>0.0169491525423729</v>
      </c>
      <c r="P760" s="67">
        <v>11200</v>
      </c>
    </row>
    <row r="761" spans="1:16">
      <c r="A761" s="82">
        <v>759</v>
      </c>
      <c r="B761" s="82">
        <v>11200</v>
      </c>
      <c r="C761" s="82">
        <v>6</v>
      </c>
      <c r="D761" s="82">
        <f t="shared" si="83"/>
        <v>9450</v>
      </c>
      <c r="E761" s="82">
        <f t="shared" si="82"/>
        <v>9800</v>
      </c>
      <c r="F761" s="82"/>
      <c r="G761" s="82">
        <f>VLOOKUP(H761&amp;I761,Sheet2!$J:$K,2,0)</f>
        <v>95201188</v>
      </c>
      <c r="H761" s="82" t="s">
        <v>227</v>
      </c>
      <c r="I761" s="82" t="s">
        <v>199</v>
      </c>
      <c r="J761" s="82" t="s">
        <v>200</v>
      </c>
      <c r="K761" s="82">
        <v>1</v>
      </c>
      <c r="L761" s="82" t="s">
        <v>111</v>
      </c>
      <c r="M761" s="82">
        <f>ROUNDDOWN(VLOOKUP(J761,Sheet1!$N$32:$O$37,2,0)*1000,0)+100</f>
        <v>350</v>
      </c>
      <c r="O761" s="67">
        <f t="shared" si="84"/>
        <v>0.0169491525423729</v>
      </c>
      <c r="P761" s="67">
        <v>11200</v>
      </c>
    </row>
    <row r="762" spans="1:16">
      <c r="A762" s="82">
        <v>760</v>
      </c>
      <c r="B762" s="82">
        <v>11200</v>
      </c>
      <c r="C762" s="82">
        <v>6</v>
      </c>
      <c r="D762" s="82">
        <f t="shared" si="83"/>
        <v>9800</v>
      </c>
      <c r="E762" s="82">
        <f t="shared" si="82"/>
        <v>10150</v>
      </c>
      <c r="F762" s="82"/>
      <c r="G762" s="82">
        <f>VLOOKUP(H762&amp;I762,Sheet2!$J:$K,2,0)</f>
        <v>95301148</v>
      </c>
      <c r="H762" s="82" t="s">
        <v>228</v>
      </c>
      <c r="I762" s="82" t="s">
        <v>199</v>
      </c>
      <c r="J762" s="82" t="s">
        <v>200</v>
      </c>
      <c r="K762" s="82">
        <v>1</v>
      </c>
      <c r="L762" s="82" t="s">
        <v>111</v>
      </c>
      <c r="M762" s="82">
        <f>ROUNDDOWN(VLOOKUP(J762,Sheet1!$N$32:$O$37,2,0)*1000,0)+100</f>
        <v>350</v>
      </c>
      <c r="O762" s="67">
        <f t="shared" si="84"/>
        <v>0.0169491525423729</v>
      </c>
      <c r="P762" s="67">
        <v>11200</v>
      </c>
    </row>
    <row r="763" spans="1:16">
      <c r="A763" s="82">
        <v>761</v>
      </c>
      <c r="B763" s="82">
        <v>11200</v>
      </c>
      <c r="C763" s="82">
        <v>6</v>
      </c>
      <c r="D763" s="82">
        <f t="shared" si="83"/>
        <v>10150</v>
      </c>
      <c r="E763" s="82">
        <f t="shared" si="82"/>
        <v>10500</v>
      </c>
      <c r="F763" s="82"/>
      <c r="G763" s="82">
        <f>VLOOKUP(H763&amp;I763,Sheet2!$J:$K,2,0)</f>
        <v>95301158</v>
      </c>
      <c r="H763" s="82" t="s">
        <v>229</v>
      </c>
      <c r="I763" s="82" t="s">
        <v>199</v>
      </c>
      <c r="J763" s="82" t="s">
        <v>200</v>
      </c>
      <c r="K763" s="82">
        <v>1</v>
      </c>
      <c r="L763" s="82" t="s">
        <v>111</v>
      </c>
      <c r="M763" s="82">
        <f>ROUNDDOWN(VLOOKUP(J763,Sheet1!$N$32:$O$37,2,0)*1000,0)+100</f>
        <v>350</v>
      </c>
      <c r="O763" s="67">
        <f t="shared" si="84"/>
        <v>0.0169491525423729</v>
      </c>
      <c r="P763" s="67">
        <v>11200</v>
      </c>
    </row>
    <row r="764" spans="1:16">
      <c r="A764" s="5">
        <v>762</v>
      </c>
      <c r="B764" s="82">
        <v>11200</v>
      </c>
      <c r="C764" s="5">
        <v>6</v>
      </c>
      <c r="D764" s="5">
        <f t="shared" si="83"/>
        <v>10500</v>
      </c>
      <c r="E764" s="5">
        <f t="shared" si="82"/>
        <v>10850</v>
      </c>
      <c r="F764" s="5"/>
      <c r="G764" s="5">
        <f>VLOOKUP(H764&amp;I764,Sheet2!$J:$K,2,0)</f>
        <v>95110038</v>
      </c>
      <c r="H764" s="5" t="s">
        <v>230</v>
      </c>
      <c r="I764" s="5" t="s">
        <v>199</v>
      </c>
      <c r="J764" s="5" t="s">
        <v>200</v>
      </c>
      <c r="K764" s="5">
        <v>1</v>
      </c>
      <c r="L764" s="5" t="s">
        <v>76</v>
      </c>
      <c r="M764" s="82">
        <f>ROUNDDOWN(VLOOKUP(J764,Sheet1!$N$32:$O$37,2,0)*1000,0)+100</f>
        <v>350</v>
      </c>
    </row>
    <row r="765" spans="1:16">
      <c r="A765" s="5">
        <v>763</v>
      </c>
      <c r="B765" s="82">
        <v>11200</v>
      </c>
      <c r="C765" s="5">
        <v>6</v>
      </c>
      <c r="D765" s="5">
        <f t="shared" si="83"/>
        <v>10850</v>
      </c>
      <c r="E765" s="5">
        <f t="shared" si="82"/>
        <v>11200</v>
      </c>
      <c r="F765" s="5"/>
      <c r="G765" s="5">
        <f>VLOOKUP(H765&amp;I765,Sheet2!$J:$K,2,0)</f>
        <v>95110048</v>
      </c>
      <c r="H765" s="5" t="s">
        <v>231</v>
      </c>
      <c r="I765" s="5" t="s">
        <v>199</v>
      </c>
      <c r="J765" s="5" t="s">
        <v>200</v>
      </c>
      <c r="K765" s="5">
        <v>1</v>
      </c>
      <c r="L765" s="5" t="s">
        <v>76</v>
      </c>
      <c r="M765" s="82">
        <f>ROUNDDOWN(VLOOKUP(J765,Sheet1!$N$32:$O$37,2,0)*1000,0)+100</f>
        <v>350</v>
      </c>
    </row>
    <row r="766" spans="1:16">
      <c r="A766" s="5">
        <v>764</v>
      </c>
      <c r="B766" s="82">
        <v>11200</v>
      </c>
      <c r="C766" s="5">
        <v>6</v>
      </c>
      <c r="D766" s="5">
        <f t="shared" si="83"/>
        <v>11200</v>
      </c>
      <c r="E766" s="5">
        <f t="shared" si="82"/>
        <v>11550</v>
      </c>
      <c r="F766" s="5"/>
      <c r="G766" s="5">
        <f>VLOOKUP(H766&amp;I766,Sheet2!$J:$K,2,0)</f>
        <v>95130028</v>
      </c>
      <c r="H766" s="5" t="s">
        <v>232</v>
      </c>
      <c r="I766" s="5" t="s">
        <v>199</v>
      </c>
      <c r="J766" s="5" t="s">
        <v>200</v>
      </c>
      <c r="K766" s="5">
        <v>1</v>
      </c>
      <c r="L766" s="5" t="s">
        <v>76</v>
      </c>
      <c r="M766" s="82">
        <f>ROUNDDOWN(VLOOKUP(J766,Sheet1!$N$32:$O$37,2,0)*1000,0)+100</f>
        <v>350</v>
      </c>
    </row>
    <row r="767" spans="1:16">
      <c r="A767" s="82">
        <v>765</v>
      </c>
      <c r="B767" s="82">
        <v>11200</v>
      </c>
      <c r="C767" s="82">
        <v>6</v>
      </c>
      <c r="D767" s="82">
        <f>E762</f>
        <v>10150</v>
      </c>
      <c r="E767" s="82">
        <f t="shared" si="82"/>
        <v>10500</v>
      </c>
      <c r="F767" s="82"/>
      <c r="G767" s="82">
        <f>VLOOKUP(H767&amp;I767,Sheet2!$J:$K,2,0)</f>
        <v>95101019</v>
      </c>
      <c r="H767" s="82" t="s">
        <v>198</v>
      </c>
      <c r="I767" s="82" t="s">
        <v>233</v>
      </c>
      <c r="J767" s="82" t="s">
        <v>200</v>
      </c>
      <c r="K767" s="82">
        <v>1</v>
      </c>
      <c r="L767" s="82" t="s">
        <v>111</v>
      </c>
      <c r="M767" s="82">
        <f>ROUNDDOWN(VLOOKUP(J767,Sheet1!$N$32:$O$37,2,0)*1000,0)+100</f>
        <v>350</v>
      </c>
      <c r="O767" s="67">
        <f t="shared" ref="O767:O781" si="85">(E767-D767)/$E$796</f>
        <v>0.0169491525423729</v>
      </c>
      <c r="P767" s="67">
        <v>11200</v>
      </c>
    </row>
    <row r="768" spans="1:16">
      <c r="A768" s="82">
        <v>766</v>
      </c>
      <c r="B768" s="82">
        <v>11200</v>
      </c>
      <c r="C768" s="82">
        <v>6</v>
      </c>
      <c r="D768" s="82">
        <f t="shared" ref="D768:D834" si="86">E767</f>
        <v>10500</v>
      </c>
      <c r="E768" s="82">
        <f t="shared" si="82"/>
        <v>10850</v>
      </c>
      <c r="F768" s="82"/>
      <c r="G768" s="82">
        <f>VLOOKUP(H768&amp;I768,Sheet2!$J:$K,2,0)</f>
        <v>95101029</v>
      </c>
      <c r="H768" s="82" t="s">
        <v>201</v>
      </c>
      <c r="I768" s="82" t="s">
        <v>233</v>
      </c>
      <c r="J768" s="82" t="s">
        <v>200</v>
      </c>
      <c r="K768" s="82">
        <v>1</v>
      </c>
      <c r="L768" s="82" t="s">
        <v>111</v>
      </c>
      <c r="M768" s="82">
        <f>ROUNDDOWN(VLOOKUP(J768,Sheet1!$N$32:$O$37,2,0)*1000,0)+100</f>
        <v>350</v>
      </c>
      <c r="O768" s="67">
        <f t="shared" si="85"/>
        <v>0.0169491525423729</v>
      </c>
      <c r="P768" s="67">
        <v>11200</v>
      </c>
    </row>
    <row r="769" spans="1:16">
      <c r="A769" s="82">
        <v>767</v>
      </c>
      <c r="B769" s="82">
        <v>11200</v>
      </c>
      <c r="C769" s="82">
        <v>6</v>
      </c>
      <c r="D769" s="82">
        <f t="shared" si="86"/>
        <v>10850</v>
      </c>
      <c r="E769" s="82">
        <f t="shared" si="82"/>
        <v>11200</v>
      </c>
      <c r="F769" s="82"/>
      <c r="G769" s="82">
        <f>VLOOKUP(H769&amp;I769,Sheet2!$J:$K,2,0)</f>
        <v>95102019</v>
      </c>
      <c r="H769" s="82" t="s">
        <v>202</v>
      </c>
      <c r="I769" s="82" t="s">
        <v>233</v>
      </c>
      <c r="J769" s="82" t="s">
        <v>200</v>
      </c>
      <c r="K769" s="82">
        <v>1</v>
      </c>
      <c r="L769" s="82" t="s">
        <v>111</v>
      </c>
      <c r="M769" s="82">
        <f>ROUNDDOWN(VLOOKUP(J769,Sheet1!$N$32:$O$37,2,0)*1000,0)+100</f>
        <v>350</v>
      </c>
      <c r="O769" s="67">
        <f t="shared" si="85"/>
        <v>0.0169491525423729</v>
      </c>
      <c r="P769" s="67">
        <v>11200</v>
      </c>
    </row>
    <row r="770" spans="1:16">
      <c r="A770" s="82">
        <v>768</v>
      </c>
      <c r="B770" s="82">
        <v>11200</v>
      </c>
      <c r="C770" s="82">
        <v>6</v>
      </c>
      <c r="D770" s="82">
        <f t="shared" si="86"/>
        <v>11200</v>
      </c>
      <c r="E770" s="82">
        <f t="shared" ref="E770:E799" si="87">D770+M770</f>
        <v>11550</v>
      </c>
      <c r="F770" s="82"/>
      <c r="G770" s="82">
        <f>VLOOKUP(H770&amp;I770,Sheet2!$J:$K,2,0)</f>
        <v>95102029</v>
      </c>
      <c r="H770" s="82" t="s">
        <v>203</v>
      </c>
      <c r="I770" s="82" t="s">
        <v>233</v>
      </c>
      <c r="J770" s="82" t="s">
        <v>200</v>
      </c>
      <c r="K770" s="82">
        <v>1</v>
      </c>
      <c r="L770" s="82" t="s">
        <v>111</v>
      </c>
      <c r="M770" s="82">
        <f>ROUNDDOWN(VLOOKUP(J770,Sheet1!$N$32:$O$37,2,0)*1000,0)+100</f>
        <v>350</v>
      </c>
      <c r="O770" s="67">
        <f t="shared" si="85"/>
        <v>0.0169491525423729</v>
      </c>
      <c r="P770" s="67">
        <v>11200</v>
      </c>
    </row>
    <row r="771" spans="1:16">
      <c r="A771" s="82">
        <v>769</v>
      </c>
      <c r="B771" s="82">
        <v>11200</v>
      </c>
      <c r="C771" s="82">
        <v>6</v>
      </c>
      <c r="D771" s="82">
        <f t="shared" si="86"/>
        <v>11550</v>
      </c>
      <c r="E771" s="82">
        <f t="shared" si="87"/>
        <v>11900</v>
      </c>
      <c r="F771" s="82"/>
      <c r="G771" s="82">
        <f>VLOOKUP(H771&amp;I771,Sheet2!$J:$K,2,0)</f>
        <v>95103019</v>
      </c>
      <c r="H771" s="82" t="s">
        <v>204</v>
      </c>
      <c r="I771" s="82" t="s">
        <v>233</v>
      </c>
      <c r="J771" s="82" t="s">
        <v>200</v>
      </c>
      <c r="K771" s="82">
        <v>1</v>
      </c>
      <c r="L771" s="82" t="s">
        <v>111</v>
      </c>
      <c r="M771" s="82">
        <f>ROUNDDOWN(VLOOKUP(J771,Sheet1!$N$32:$O$37,2,0)*1000,0)+100</f>
        <v>350</v>
      </c>
      <c r="O771" s="67">
        <f t="shared" si="85"/>
        <v>0.0169491525423729</v>
      </c>
      <c r="P771" s="67">
        <v>11200</v>
      </c>
    </row>
    <row r="772" spans="1:16">
      <c r="A772" s="82">
        <v>770</v>
      </c>
      <c r="B772" s="82">
        <v>11200</v>
      </c>
      <c r="C772" s="82">
        <v>6</v>
      </c>
      <c r="D772" s="82">
        <f t="shared" si="86"/>
        <v>11900</v>
      </c>
      <c r="E772" s="82">
        <f t="shared" si="87"/>
        <v>12250</v>
      </c>
      <c r="F772" s="82"/>
      <c r="G772" s="82">
        <f>VLOOKUP(H772&amp;I772,Sheet2!$J:$K,2,0)</f>
        <v>95104019</v>
      </c>
      <c r="H772" s="82" t="s">
        <v>205</v>
      </c>
      <c r="I772" s="82" t="s">
        <v>233</v>
      </c>
      <c r="J772" s="82" t="s">
        <v>200</v>
      </c>
      <c r="K772" s="82">
        <v>1</v>
      </c>
      <c r="L772" s="82" t="s">
        <v>111</v>
      </c>
      <c r="M772" s="82">
        <f>ROUNDDOWN(VLOOKUP(J772,Sheet1!$N$32:$O$37,2,0)*1000,0)+100</f>
        <v>350</v>
      </c>
      <c r="O772" s="67">
        <f t="shared" si="85"/>
        <v>0.0169491525423729</v>
      </c>
      <c r="P772" s="67">
        <v>11200</v>
      </c>
    </row>
    <row r="773" spans="1:16">
      <c r="A773" s="82">
        <v>771</v>
      </c>
      <c r="B773" s="82">
        <v>11200</v>
      </c>
      <c r="C773" s="82">
        <v>6</v>
      </c>
      <c r="D773" s="82">
        <f t="shared" si="86"/>
        <v>12250</v>
      </c>
      <c r="E773" s="82">
        <f t="shared" si="87"/>
        <v>12600</v>
      </c>
      <c r="F773" s="82"/>
      <c r="G773" s="82">
        <f>VLOOKUP(H773&amp;I773,Sheet2!$J:$K,2,0)</f>
        <v>95104029</v>
      </c>
      <c r="H773" s="82" t="s">
        <v>206</v>
      </c>
      <c r="I773" s="82" t="s">
        <v>233</v>
      </c>
      <c r="J773" s="82" t="s">
        <v>200</v>
      </c>
      <c r="K773" s="82">
        <v>1</v>
      </c>
      <c r="L773" s="82" t="s">
        <v>111</v>
      </c>
      <c r="M773" s="82">
        <f>ROUNDDOWN(VLOOKUP(J773,Sheet1!$N$32:$O$37,2,0)*1000,0)+100</f>
        <v>350</v>
      </c>
      <c r="O773" s="67">
        <f t="shared" si="85"/>
        <v>0.0169491525423729</v>
      </c>
      <c r="P773" s="67">
        <v>11200</v>
      </c>
    </row>
    <row r="774" spans="1:16">
      <c r="A774" s="82">
        <v>772</v>
      </c>
      <c r="B774" s="82">
        <v>11200</v>
      </c>
      <c r="C774" s="82">
        <v>6</v>
      </c>
      <c r="D774" s="82">
        <f t="shared" si="86"/>
        <v>12600</v>
      </c>
      <c r="E774" s="82">
        <f t="shared" si="87"/>
        <v>12950</v>
      </c>
      <c r="F774" s="82"/>
      <c r="G774" s="82">
        <f>VLOOKUP(H774&amp;I774,Sheet2!$J:$K,2,0)</f>
        <v>95104039</v>
      </c>
      <c r="H774" s="82" t="s">
        <v>207</v>
      </c>
      <c r="I774" s="82" t="s">
        <v>233</v>
      </c>
      <c r="J774" s="82" t="s">
        <v>200</v>
      </c>
      <c r="K774" s="82">
        <v>1</v>
      </c>
      <c r="L774" s="82" t="s">
        <v>111</v>
      </c>
      <c r="M774" s="82">
        <f>ROUNDDOWN(VLOOKUP(J774,Sheet1!$N$32:$O$37,2,0)*1000,0)+100</f>
        <v>350</v>
      </c>
      <c r="O774" s="67">
        <f t="shared" si="85"/>
        <v>0.0169491525423729</v>
      </c>
      <c r="P774" s="67">
        <v>11200</v>
      </c>
    </row>
    <row r="775" spans="1:16">
      <c r="A775" s="82">
        <v>773</v>
      </c>
      <c r="B775" s="82">
        <v>11200</v>
      </c>
      <c r="C775" s="82">
        <v>6</v>
      </c>
      <c r="D775" s="82">
        <f t="shared" si="86"/>
        <v>12950</v>
      </c>
      <c r="E775" s="82">
        <f t="shared" si="87"/>
        <v>13300</v>
      </c>
      <c r="F775" s="82"/>
      <c r="G775" s="82">
        <f>VLOOKUP(H775&amp;I775,Sheet2!$J:$K,2,0)</f>
        <v>95106019</v>
      </c>
      <c r="H775" s="82" t="s">
        <v>208</v>
      </c>
      <c r="I775" s="82" t="s">
        <v>233</v>
      </c>
      <c r="J775" s="82" t="s">
        <v>200</v>
      </c>
      <c r="K775" s="82">
        <v>1</v>
      </c>
      <c r="L775" s="82" t="s">
        <v>111</v>
      </c>
      <c r="M775" s="82">
        <f>ROUNDDOWN(VLOOKUP(J775,Sheet1!$N$32:$O$37,2,0)*1000,0)+100</f>
        <v>350</v>
      </c>
      <c r="O775" s="67">
        <f t="shared" si="85"/>
        <v>0.0169491525423729</v>
      </c>
      <c r="P775" s="67">
        <v>11200</v>
      </c>
    </row>
    <row r="776" spans="1:16">
      <c r="A776" s="82">
        <v>774</v>
      </c>
      <c r="B776" s="82">
        <v>11200</v>
      </c>
      <c r="C776" s="82">
        <v>6</v>
      </c>
      <c r="D776" s="82">
        <f t="shared" si="86"/>
        <v>13300</v>
      </c>
      <c r="E776" s="82">
        <f t="shared" si="87"/>
        <v>13650</v>
      </c>
      <c r="F776" s="82"/>
      <c r="G776" s="82">
        <f>VLOOKUP(H776&amp;I776,Sheet2!$J:$K,2,0)</f>
        <v>95109019</v>
      </c>
      <c r="H776" s="82" t="s">
        <v>209</v>
      </c>
      <c r="I776" s="82" t="s">
        <v>233</v>
      </c>
      <c r="J776" s="82" t="s">
        <v>200</v>
      </c>
      <c r="K776" s="82">
        <v>1</v>
      </c>
      <c r="L776" s="82" t="s">
        <v>111</v>
      </c>
      <c r="M776" s="82">
        <f>ROUNDDOWN(VLOOKUP(J776,Sheet1!$N$32:$O$37,2,0)*1000,0)+100</f>
        <v>350</v>
      </c>
      <c r="O776" s="67">
        <f t="shared" si="85"/>
        <v>0.0169491525423729</v>
      </c>
      <c r="P776" s="67">
        <v>11200</v>
      </c>
    </row>
    <row r="777" spans="1:16">
      <c r="A777" s="82">
        <v>775</v>
      </c>
      <c r="B777" s="82">
        <v>11200</v>
      </c>
      <c r="C777" s="82">
        <v>6</v>
      </c>
      <c r="D777" s="82">
        <f t="shared" si="86"/>
        <v>13650</v>
      </c>
      <c r="E777" s="82">
        <f t="shared" si="87"/>
        <v>14000</v>
      </c>
      <c r="F777" s="82"/>
      <c r="G777" s="82">
        <f>VLOOKUP(H777&amp;I777,Sheet2!$J:$K,2,0)</f>
        <v>95110019</v>
      </c>
      <c r="H777" s="82" t="s">
        <v>210</v>
      </c>
      <c r="I777" s="82" t="s">
        <v>233</v>
      </c>
      <c r="J777" s="82" t="s">
        <v>200</v>
      </c>
      <c r="K777" s="82">
        <v>1</v>
      </c>
      <c r="L777" s="82" t="s">
        <v>111</v>
      </c>
      <c r="M777" s="82">
        <f>ROUNDDOWN(VLOOKUP(J777,Sheet1!$N$32:$O$37,2,0)*1000,0)+100</f>
        <v>350</v>
      </c>
      <c r="O777" s="67">
        <f t="shared" si="85"/>
        <v>0.0169491525423729</v>
      </c>
      <c r="P777" s="67">
        <v>11200</v>
      </c>
    </row>
    <row r="778" spans="1:16">
      <c r="A778" s="82">
        <v>776</v>
      </c>
      <c r="B778" s="82">
        <v>11200</v>
      </c>
      <c r="C778" s="82">
        <v>6</v>
      </c>
      <c r="D778" s="82">
        <f t="shared" si="86"/>
        <v>14000</v>
      </c>
      <c r="E778" s="82">
        <f t="shared" si="87"/>
        <v>14350</v>
      </c>
      <c r="F778" s="82"/>
      <c r="G778" s="82">
        <f>VLOOKUP(H778&amp;I778,Sheet2!$J:$K,2,0)</f>
        <v>95111019</v>
      </c>
      <c r="H778" s="82" t="s">
        <v>211</v>
      </c>
      <c r="I778" s="82" t="s">
        <v>233</v>
      </c>
      <c r="J778" s="82" t="s">
        <v>200</v>
      </c>
      <c r="K778" s="82">
        <v>1</v>
      </c>
      <c r="L778" s="82" t="s">
        <v>111</v>
      </c>
      <c r="M778" s="82">
        <f>ROUNDDOWN(VLOOKUP(J778,Sheet1!$N$32:$O$37,2,0)*1000,0)+100</f>
        <v>350</v>
      </c>
      <c r="O778" s="67">
        <f t="shared" si="85"/>
        <v>0.0169491525423729</v>
      </c>
      <c r="P778" s="67">
        <v>11200</v>
      </c>
    </row>
    <row r="779" spans="1:16">
      <c r="A779" s="82">
        <v>777</v>
      </c>
      <c r="B779" s="82">
        <v>11200</v>
      </c>
      <c r="C779" s="82">
        <v>6</v>
      </c>
      <c r="D779" s="82">
        <f t="shared" si="86"/>
        <v>14350</v>
      </c>
      <c r="E779" s="82">
        <f t="shared" si="87"/>
        <v>14700</v>
      </c>
      <c r="F779" s="82"/>
      <c r="G779" s="82">
        <f>VLOOKUP(H779&amp;I779,Sheet2!$J:$K,2,0)</f>
        <v>95120019</v>
      </c>
      <c r="H779" s="82" t="s">
        <v>212</v>
      </c>
      <c r="I779" s="82" t="s">
        <v>233</v>
      </c>
      <c r="J779" s="82" t="s">
        <v>200</v>
      </c>
      <c r="K779" s="82">
        <v>1</v>
      </c>
      <c r="L779" s="82" t="s">
        <v>111</v>
      </c>
      <c r="M779" s="82">
        <f>ROUNDDOWN(VLOOKUP(J779,Sheet1!$N$32:$O$37,2,0)*1000,0)+100</f>
        <v>350</v>
      </c>
      <c r="O779" s="67">
        <f t="shared" si="85"/>
        <v>0.0169491525423729</v>
      </c>
      <c r="P779" s="67">
        <v>11200</v>
      </c>
    </row>
    <row r="780" spans="1:16">
      <c r="A780" s="82">
        <v>778</v>
      </c>
      <c r="B780" s="82">
        <v>11200</v>
      </c>
      <c r="C780" s="82">
        <v>6</v>
      </c>
      <c r="D780" s="82">
        <f t="shared" si="86"/>
        <v>14700</v>
      </c>
      <c r="E780" s="82">
        <f t="shared" si="87"/>
        <v>15050</v>
      </c>
      <c r="F780" s="82"/>
      <c r="G780" s="82">
        <f>VLOOKUP(H780&amp;I780,Sheet2!$J:$K,2,0)</f>
        <v>95140019</v>
      </c>
      <c r="H780" s="82" t="s">
        <v>213</v>
      </c>
      <c r="I780" s="82" t="s">
        <v>233</v>
      </c>
      <c r="J780" s="82" t="s">
        <v>200</v>
      </c>
      <c r="K780" s="82">
        <v>1</v>
      </c>
      <c r="L780" s="82" t="s">
        <v>111</v>
      </c>
      <c r="M780" s="82">
        <f>ROUNDDOWN(VLOOKUP(J780,Sheet1!$N$32:$O$37,2,0)*1000,0)+100</f>
        <v>350</v>
      </c>
      <c r="O780" s="67">
        <f t="shared" si="85"/>
        <v>0.0169491525423729</v>
      </c>
      <c r="P780" s="67">
        <v>11200</v>
      </c>
    </row>
    <row r="781" spans="1:16">
      <c r="A781" s="82">
        <v>779</v>
      </c>
      <c r="B781" s="82">
        <v>11200</v>
      </c>
      <c r="C781" s="82">
        <v>6</v>
      </c>
      <c r="D781" s="82">
        <f t="shared" si="86"/>
        <v>15050</v>
      </c>
      <c r="E781" s="82">
        <f t="shared" si="87"/>
        <v>15400</v>
      </c>
      <c r="F781" s="82"/>
      <c r="G781" s="82">
        <f>VLOOKUP(H781&amp;I781,Sheet2!$J:$K,2,0)</f>
        <v>95105029</v>
      </c>
      <c r="H781" s="82" t="s">
        <v>214</v>
      </c>
      <c r="I781" s="82" t="s">
        <v>233</v>
      </c>
      <c r="J781" s="82" t="s">
        <v>200</v>
      </c>
      <c r="K781" s="82">
        <v>1</v>
      </c>
      <c r="L781" s="82" t="s">
        <v>111</v>
      </c>
      <c r="M781" s="82">
        <f>ROUNDDOWN(VLOOKUP(J781,Sheet1!$N$32:$O$37,2,0)*1000,0)+100</f>
        <v>350</v>
      </c>
      <c r="O781" s="67">
        <f t="shared" si="85"/>
        <v>0.0169491525423729</v>
      </c>
      <c r="P781" s="67">
        <v>11200</v>
      </c>
    </row>
    <row r="782" spans="1:16">
      <c r="A782" s="82">
        <v>780</v>
      </c>
      <c r="B782" s="82">
        <v>11200</v>
      </c>
      <c r="C782" s="82">
        <v>6</v>
      </c>
      <c r="D782" s="82">
        <f t="shared" si="86"/>
        <v>15400</v>
      </c>
      <c r="E782" s="82">
        <f t="shared" si="87"/>
        <v>15750</v>
      </c>
      <c r="F782" s="82"/>
      <c r="G782" s="82">
        <f>VLOOKUP(H782&amp;I782,Sheet2!$J:$K,2,0)</f>
        <v>95109029</v>
      </c>
      <c r="H782" s="82" t="s">
        <v>215</v>
      </c>
      <c r="I782" s="82" t="s">
        <v>233</v>
      </c>
      <c r="J782" s="82" t="s">
        <v>200</v>
      </c>
      <c r="K782" s="82">
        <v>1</v>
      </c>
      <c r="L782" s="82" t="s">
        <v>111</v>
      </c>
      <c r="M782" s="82">
        <f>ROUNDDOWN(VLOOKUP(J782,Sheet1!$N$32:$O$37,2,0)*1000,0)+100</f>
        <v>350</v>
      </c>
    </row>
    <row r="783" spans="1:16">
      <c r="A783" s="82">
        <v>781</v>
      </c>
      <c r="B783" s="82">
        <v>11200</v>
      </c>
      <c r="C783" s="82">
        <v>6</v>
      </c>
      <c r="D783" s="82">
        <f t="shared" si="86"/>
        <v>15750</v>
      </c>
      <c r="E783" s="82">
        <f t="shared" si="87"/>
        <v>16100</v>
      </c>
      <c r="F783" s="82"/>
      <c r="G783" s="82">
        <f>VLOOKUP(H783&amp;I783,Sheet2!$J:$K,2,0)</f>
        <v>95110029</v>
      </c>
      <c r="H783" s="82" t="s">
        <v>216</v>
      </c>
      <c r="I783" s="82" t="s">
        <v>233</v>
      </c>
      <c r="J783" s="82" t="s">
        <v>200</v>
      </c>
      <c r="K783" s="82">
        <v>1</v>
      </c>
      <c r="L783" s="82" t="s">
        <v>111</v>
      </c>
      <c r="M783" s="82">
        <f>ROUNDDOWN(VLOOKUP(J783,Sheet1!$N$32:$O$37,2,0)*1000,0)+100</f>
        <v>350</v>
      </c>
    </row>
    <row r="784" spans="1:16">
      <c r="A784" s="82">
        <v>782</v>
      </c>
      <c r="B784" s="82">
        <v>11200</v>
      </c>
      <c r="C784" s="82">
        <v>6</v>
      </c>
      <c r="D784" s="82">
        <f t="shared" si="86"/>
        <v>16100</v>
      </c>
      <c r="E784" s="82">
        <f t="shared" si="87"/>
        <v>16450</v>
      </c>
      <c r="F784" s="82"/>
      <c r="G784" s="82">
        <f>VLOOKUP(H784&amp;I784,Sheet2!$J:$K,2,0)</f>
        <v>95150029</v>
      </c>
      <c r="H784" s="82" t="s">
        <v>217</v>
      </c>
      <c r="I784" s="82" t="s">
        <v>233</v>
      </c>
      <c r="J784" s="82" t="s">
        <v>200</v>
      </c>
      <c r="K784" s="82">
        <v>1</v>
      </c>
      <c r="L784" s="82" t="s">
        <v>111</v>
      </c>
      <c r="M784" s="82">
        <f>ROUNDDOWN(VLOOKUP(J784,Sheet1!$N$32:$O$37,2,0)*1000,0)+100</f>
        <v>350</v>
      </c>
    </row>
    <row r="785" spans="1:16">
      <c r="A785" s="82">
        <v>783</v>
      </c>
      <c r="B785" s="82">
        <v>11200</v>
      </c>
      <c r="C785" s="82">
        <v>6</v>
      </c>
      <c r="D785" s="82">
        <f t="shared" si="86"/>
        <v>16450</v>
      </c>
      <c r="E785" s="82">
        <f t="shared" si="87"/>
        <v>16800</v>
      </c>
      <c r="F785" s="82"/>
      <c r="G785" s="82">
        <f>VLOOKUP(H785&amp;I785,Sheet2!$J:$K,2,0)</f>
        <v>95201039</v>
      </c>
      <c r="H785" s="82" t="s">
        <v>218</v>
      </c>
      <c r="I785" s="82" t="s">
        <v>233</v>
      </c>
      <c r="J785" s="82" t="s">
        <v>200</v>
      </c>
      <c r="K785" s="82">
        <v>1</v>
      </c>
      <c r="L785" s="82" t="s">
        <v>111</v>
      </c>
      <c r="M785" s="82">
        <f>ROUNDDOWN(VLOOKUP(J785,Sheet1!$N$32:$O$37,2,0)*1000,0)+100</f>
        <v>350</v>
      </c>
    </row>
    <row r="786" spans="1:16">
      <c r="A786" s="82">
        <v>784</v>
      </c>
      <c r="B786" s="82">
        <v>11200</v>
      </c>
      <c r="C786" s="82">
        <v>6</v>
      </c>
      <c r="D786" s="82">
        <f t="shared" si="86"/>
        <v>16800</v>
      </c>
      <c r="E786" s="82">
        <f t="shared" si="87"/>
        <v>17150</v>
      </c>
      <c r="F786" s="82"/>
      <c r="G786" s="82">
        <f>VLOOKUP(H786&amp;I786,Sheet2!$J:$K,2,0)</f>
        <v>95201119</v>
      </c>
      <c r="H786" s="82" t="s">
        <v>219</v>
      </c>
      <c r="I786" s="82" t="s">
        <v>233</v>
      </c>
      <c r="J786" s="82" t="s">
        <v>200</v>
      </c>
      <c r="K786" s="82">
        <v>1</v>
      </c>
      <c r="L786" s="82" t="s">
        <v>111</v>
      </c>
      <c r="M786" s="82">
        <f>ROUNDDOWN(VLOOKUP(J786,Sheet1!$N$32:$O$37,2,0)*1000,0)+100</f>
        <v>350</v>
      </c>
      <c r="O786" s="67">
        <f t="shared" ref="O786:O796" si="88">(E786-D786)/$E$796</f>
        <v>0.0169491525423729</v>
      </c>
      <c r="P786" s="67">
        <v>11200</v>
      </c>
    </row>
    <row r="787" spans="1:16">
      <c r="A787" s="82">
        <v>785</v>
      </c>
      <c r="B787" s="82">
        <v>11200</v>
      </c>
      <c r="C787" s="82">
        <v>6</v>
      </c>
      <c r="D787" s="82">
        <f t="shared" si="86"/>
        <v>17150</v>
      </c>
      <c r="E787" s="82">
        <f t="shared" si="87"/>
        <v>17500</v>
      </c>
      <c r="F787" s="82"/>
      <c r="G787" s="82">
        <f>VLOOKUP(H787&amp;I787,Sheet2!$J:$K,2,0)</f>
        <v>95201159</v>
      </c>
      <c r="H787" s="82" t="s">
        <v>220</v>
      </c>
      <c r="I787" s="82" t="s">
        <v>233</v>
      </c>
      <c r="J787" s="82" t="s">
        <v>200</v>
      </c>
      <c r="K787" s="82">
        <v>1</v>
      </c>
      <c r="L787" s="82" t="s">
        <v>111</v>
      </c>
      <c r="M787" s="82">
        <f>ROUNDDOWN(VLOOKUP(J787,Sheet1!$N$32:$O$37,2,0)*1000,0)+100</f>
        <v>350</v>
      </c>
      <c r="O787" s="67">
        <f t="shared" si="88"/>
        <v>0.0169491525423729</v>
      </c>
      <c r="P787" s="67">
        <v>11200</v>
      </c>
    </row>
    <row r="788" spans="1:16">
      <c r="A788" s="82">
        <v>786</v>
      </c>
      <c r="B788" s="82">
        <v>11200</v>
      </c>
      <c r="C788" s="82">
        <v>6</v>
      </c>
      <c r="D788" s="82">
        <f t="shared" si="86"/>
        <v>17500</v>
      </c>
      <c r="E788" s="82">
        <f t="shared" si="87"/>
        <v>17850</v>
      </c>
      <c r="F788" s="82"/>
      <c r="G788" s="82">
        <f>VLOOKUP(H788&amp;I788,Sheet2!$J:$K,2,0)</f>
        <v>95201169</v>
      </c>
      <c r="H788" s="82" t="s">
        <v>221</v>
      </c>
      <c r="I788" s="82" t="s">
        <v>233</v>
      </c>
      <c r="J788" s="82" t="s">
        <v>200</v>
      </c>
      <c r="K788" s="82">
        <v>1</v>
      </c>
      <c r="L788" s="82" t="s">
        <v>111</v>
      </c>
      <c r="M788" s="82">
        <f>ROUNDDOWN(VLOOKUP(J788,Sheet1!$N$32:$O$37,2,0)*1000,0)+100</f>
        <v>350</v>
      </c>
      <c r="O788" s="67">
        <f t="shared" si="88"/>
        <v>0.0169491525423729</v>
      </c>
      <c r="P788" s="67">
        <v>11200</v>
      </c>
    </row>
    <row r="789" spans="1:16">
      <c r="A789" s="82">
        <v>787</v>
      </c>
      <c r="B789" s="82">
        <v>11200</v>
      </c>
      <c r="C789" s="82">
        <v>6</v>
      </c>
      <c r="D789" s="82">
        <f t="shared" si="86"/>
        <v>17850</v>
      </c>
      <c r="E789" s="82">
        <f t="shared" si="87"/>
        <v>18200</v>
      </c>
      <c r="F789" s="82"/>
      <c r="G789" s="82">
        <f>VLOOKUP(H789&amp;I789,Sheet2!$J:$K,2,0)</f>
        <v>95301029</v>
      </c>
      <c r="H789" s="82" t="s">
        <v>222</v>
      </c>
      <c r="I789" s="82" t="s">
        <v>233</v>
      </c>
      <c r="J789" s="82" t="s">
        <v>200</v>
      </c>
      <c r="K789" s="82">
        <v>1</v>
      </c>
      <c r="L789" s="82" t="s">
        <v>111</v>
      </c>
      <c r="M789" s="82">
        <f>ROUNDDOWN(VLOOKUP(J789,Sheet1!$N$32:$O$37,2,0)*1000,0)+100</f>
        <v>350</v>
      </c>
      <c r="O789" s="67">
        <f t="shared" si="88"/>
        <v>0.0169491525423729</v>
      </c>
      <c r="P789" s="67">
        <v>11200</v>
      </c>
    </row>
    <row r="790" spans="1:16">
      <c r="A790" s="82">
        <v>788</v>
      </c>
      <c r="B790" s="82">
        <v>11200</v>
      </c>
      <c r="C790" s="82">
        <v>6</v>
      </c>
      <c r="D790" s="82">
        <f t="shared" si="86"/>
        <v>18200</v>
      </c>
      <c r="E790" s="82">
        <f t="shared" si="87"/>
        <v>18550</v>
      </c>
      <c r="F790" s="82"/>
      <c r="G790" s="82">
        <f>VLOOKUP(H790&amp;I790,Sheet2!$J:$K,2,0)</f>
        <v>95301049</v>
      </c>
      <c r="H790" s="82" t="s">
        <v>223</v>
      </c>
      <c r="I790" s="82" t="s">
        <v>233</v>
      </c>
      <c r="J790" s="82" t="s">
        <v>200</v>
      </c>
      <c r="K790" s="82">
        <v>1</v>
      </c>
      <c r="L790" s="82" t="s">
        <v>111</v>
      </c>
      <c r="M790" s="82">
        <f>ROUNDDOWN(VLOOKUP(J790,Sheet1!$N$32:$O$37,2,0)*1000,0)+100</f>
        <v>350</v>
      </c>
      <c r="O790" s="67">
        <f t="shared" si="88"/>
        <v>0.0169491525423729</v>
      </c>
      <c r="P790" s="67">
        <v>11200</v>
      </c>
    </row>
    <row r="791" spans="1:16">
      <c r="A791" s="82">
        <v>789</v>
      </c>
      <c r="B791" s="82">
        <v>11200</v>
      </c>
      <c r="C791" s="82">
        <v>6</v>
      </c>
      <c r="D791" s="82">
        <f t="shared" si="86"/>
        <v>18550</v>
      </c>
      <c r="E791" s="82">
        <f t="shared" si="87"/>
        <v>18900</v>
      </c>
      <c r="F791" s="82"/>
      <c r="G791" s="82">
        <f>VLOOKUP(H791&amp;I791,Sheet2!$J:$K,2,0)</f>
        <v>95301059</v>
      </c>
      <c r="H791" s="82" t="s">
        <v>224</v>
      </c>
      <c r="I791" s="82" t="s">
        <v>233</v>
      </c>
      <c r="J791" s="82" t="s">
        <v>200</v>
      </c>
      <c r="K791" s="82">
        <v>1</v>
      </c>
      <c r="L791" s="82" t="s">
        <v>111</v>
      </c>
      <c r="M791" s="82">
        <f>ROUNDDOWN(VLOOKUP(J791,Sheet1!$N$32:$O$37,2,0)*1000,0)+100</f>
        <v>350</v>
      </c>
      <c r="O791" s="67">
        <f t="shared" si="88"/>
        <v>0.0169491525423729</v>
      </c>
      <c r="P791" s="67">
        <v>11200</v>
      </c>
    </row>
    <row r="792" spans="1:16">
      <c r="A792" s="82">
        <v>790</v>
      </c>
      <c r="B792" s="82">
        <v>11200</v>
      </c>
      <c r="C792" s="82">
        <v>6</v>
      </c>
      <c r="D792" s="82">
        <f t="shared" si="86"/>
        <v>18900</v>
      </c>
      <c r="E792" s="82">
        <f t="shared" si="87"/>
        <v>19250</v>
      </c>
      <c r="F792" s="82"/>
      <c r="G792" s="82">
        <f>VLOOKUP(H792&amp;I792,Sheet2!$J:$K,2,0)</f>
        <v>95301139</v>
      </c>
      <c r="H792" s="82" t="s">
        <v>225</v>
      </c>
      <c r="I792" s="82" t="s">
        <v>233</v>
      </c>
      <c r="J792" s="82" t="s">
        <v>200</v>
      </c>
      <c r="K792" s="82">
        <v>1</v>
      </c>
      <c r="L792" s="82" t="s">
        <v>111</v>
      </c>
      <c r="M792" s="82">
        <f>ROUNDDOWN(VLOOKUP(J792,Sheet1!$N$32:$O$37,2,0)*1000,0)+100</f>
        <v>350</v>
      </c>
      <c r="O792" s="67">
        <f t="shared" si="88"/>
        <v>0.0169491525423729</v>
      </c>
      <c r="P792" s="67">
        <v>11200</v>
      </c>
    </row>
    <row r="793" spans="1:16">
      <c r="A793" s="82">
        <v>791</v>
      </c>
      <c r="B793" s="82">
        <v>11200</v>
      </c>
      <c r="C793" s="82">
        <v>6</v>
      </c>
      <c r="D793" s="82">
        <f t="shared" si="86"/>
        <v>19250</v>
      </c>
      <c r="E793" s="82">
        <f t="shared" si="87"/>
        <v>19600</v>
      </c>
      <c r="F793" s="82"/>
      <c r="G793" s="82">
        <f>VLOOKUP(H793&amp;I793,Sheet2!$J:$K,2,0)</f>
        <v>95301099</v>
      </c>
      <c r="H793" s="82" t="s">
        <v>226</v>
      </c>
      <c r="I793" s="82" t="s">
        <v>233</v>
      </c>
      <c r="J793" s="82" t="s">
        <v>200</v>
      </c>
      <c r="K793" s="82">
        <v>1</v>
      </c>
      <c r="L793" s="82" t="s">
        <v>111</v>
      </c>
      <c r="M793" s="82">
        <f>ROUNDDOWN(VLOOKUP(J793,Sheet1!$N$32:$O$37,2,0)*1000,0)+100</f>
        <v>350</v>
      </c>
      <c r="O793" s="67">
        <f t="shared" si="88"/>
        <v>0.0169491525423729</v>
      </c>
      <c r="P793" s="67">
        <v>11200</v>
      </c>
    </row>
    <row r="794" spans="1:16">
      <c r="A794" s="82">
        <v>792</v>
      </c>
      <c r="B794" s="82">
        <v>11200</v>
      </c>
      <c r="C794" s="82">
        <v>6</v>
      </c>
      <c r="D794" s="82">
        <f t="shared" si="86"/>
        <v>19600</v>
      </c>
      <c r="E794" s="82">
        <f t="shared" si="87"/>
        <v>19950</v>
      </c>
      <c r="F794" s="82"/>
      <c r="G794" s="82">
        <f>VLOOKUP(H794&amp;I794,Sheet2!$J:$K,2,0)</f>
        <v>95201189</v>
      </c>
      <c r="H794" s="82" t="s">
        <v>227</v>
      </c>
      <c r="I794" s="82" t="s">
        <v>233</v>
      </c>
      <c r="J794" s="82" t="s">
        <v>200</v>
      </c>
      <c r="K794" s="82">
        <v>1</v>
      </c>
      <c r="L794" s="82" t="s">
        <v>111</v>
      </c>
      <c r="M794" s="82">
        <f>ROUNDDOWN(VLOOKUP(J794,Sheet1!$N$32:$O$37,2,0)*1000,0)+100</f>
        <v>350</v>
      </c>
      <c r="O794" s="67">
        <f t="shared" si="88"/>
        <v>0.0169491525423729</v>
      </c>
      <c r="P794" s="67">
        <v>11200</v>
      </c>
    </row>
    <row r="795" spans="1:16">
      <c r="A795" s="82">
        <v>793</v>
      </c>
      <c r="B795" s="82">
        <v>11200</v>
      </c>
      <c r="C795" s="82">
        <v>6</v>
      </c>
      <c r="D795" s="82">
        <f t="shared" si="86"/>
        <v>19950</v>
      </c>
      <c r="E795" s="82">
        <f t="shared" si="87"/>
        <v>20300</v>
      </c>
      <c r="F795" s="82"/>
      <c r="G795" s="82">
        <f>VLOOKUP(H795&amp;I795,Sheet2!$J:$K,2,0)</f>
        <v>95301149</v>
      </c>
      <c r="H795" s="82" t="s">
        <v>228</v>
      </c>
      <c r="I795" s="82" t="s">
        <v>233</v>
      </c>
      <c r="J795" s="82" t="s">
        <v>200</v>
      </c>
      <c r="K795" s="82">
        <v>1</v>
      </c>
      <c r="L795" s="82" t="s">
        <v>111</v>
      </c>
      <c r="M795" s="82">
        <f>ROUNDDOWN(VLOOKUP(J795,Sheet1!$N$32:$O$37,2,0)*1000,0)+100</f>
        <v>350</v>
      </c>
      <c r="O795" s="67">
        <f t="shared" si="88"/>
        <v>0.0169491525423729</v>
      </c>
      <c r="P795" s="67">
        <v>11200</v>
      </c>
    </row>
    <row r="796" spans="1:16">
      <c r="A796" s="82">
        <v>794</v>
      </c>
      <c r="B796" s="82">
        <v>11200</v>
      </c>
      <c r="C796" s="82">
        <v>6</v>
      </c>
      <c r="D796" s="82">
        <f t="shared" si="86"/>
        <v>20300</v>
      </c>
      <c r="E796" s="82">
        <f t="shared" si="87"/>
        <v>20650</v>
      </c>
      <c r="F796" s="82"/>
      <c r="G796" s="82">
        <f>VLOOKUP(H796&amp;I796,Sheet2!$J:$K,2,0)</f>
        <v>95301159</v>
      </c>
      <c r="H796" s="82" t="s">
        <v>229</v>
      </c>
      <c r="I796" s="82" t="s">
        <v>233</v>
      </c>
      <c r="J796" s="82" t="s">
        <v>200</v>
      </c>
      <c r="K796" s="82">
        <v>1</v>
      </c>
      <c r="L796" s="82" t="s">
        <v>111</v>
      </c>
      <c r="M796" s="82">
        <f>ROUNDDOWN(VLOOKUP(J796,Sheet1!$N$32:$O$37,2,0)*1000,0)+100</f>
        <v>350</v>
      </c>
      <c r="O796" s="67">
        <f t="shared" si="88"/>
        <v>0.0169491525423729</v>
      </c>
      <c r="P796" s="67">
        <v>11200</v>
      </c>
    </row>
    <row r="797" spans="1:16">
      <c r="A797" s="5">
        <v>795</v>
      </c>
      <c r="B797" s="82">
        <v>11200</v>
      </c>
      <c r="C797" s="5">
        <v>6</v>
      </c>
      <c r="D797" s="5">
        <f t="shared" si="86"/>
        <v>20650</v>
      </c>
      <c r="E797" s="5">
        <f t="shared" si="87"/>
        <v>21000</v>
      </c>
      <c r="F797" s="5"/>
      <c r="G797" s="5">
        <f>VLOOKUP(H797&amp;I797,Sheet2!$J:$K,2,0)</f>
        <v>95110039</v>
      </c>
      <c r="H797" s="5" t="s">
        <v>230</v>
      </c>
      <c r="I797" s="82" t="s">
        <v>233</v>
      </c>
      <c r="J797" s="5" t="s">
        <v>200</v>
      </c>
      <c r="K797" s="5">
        <v>1</v>
      </c>
      <c r="L797" s="5" t="s">
        <v>76</v>
      </c>
      <c r="M797" s="82">
        <f>ROUNDDOWN(VLOOKUP(J797,Sheet1!$N$32:$O$37,2,0)*1000,0)+100</f>
        <v>350</v>
      </c>
    </row>
    <row r="798" spans="1:16">
      <c r="A798" s="5">
        <v>796</v>
      </c>
      <c r="B798" s="82">
        <v>11200</v>
      </c>
      <c r="C798" s="5">
        <v>6</v>
      </c>
      <c r="D798" s="5">
        <f t="shared" si="86"/>
        <v>21000</v>
      </c>
      <c r="E798" s="5">
        <f t="shared" si="87"/>
        <v>21350</v>
      </c>
      <c r="F798" s="5"/>
      <c r="G798" s="5">
        <f>VLOOKUP(H798&amp;I798,Sheet2!$J:$K,2,0)</f>
        <v>95110049</v>
      </c>
      <c r="H798" s="5" t="s">
        <v>231</v>
      </c>
      <c r="I798" s="82" t="s">
        <v>233</v>
      </c>
      <c r="J798" s="5" t="s">
        <v>200</v>
      </c>
      <c r="K798" s="5">
        <v>1</v>
      </c>
      <c r="L798" s="5" t="s">
        <v>76</v>
      </c>
      <c r="M798" s="82">
        <f>ROUNDDOWN(VLOOKUP(J798,Sheet1!$N$32:$O$37,2,0)*1000,0)+100</f>
        <v>350</v>
      </c>
    </row>
    <row r="799" spans="1:16">
      <c r="A799" s="5">
        <v>797</v>
      </c>
      <c r="B799" s="82">
        <v>11200</v>
      </c>
      <c r="C799" s="5">
        <v>6</v>
      </c>
      <c r="D799" s="5">
        <f t="shared" si="86"/>
        <v>21350</v>
      </c>
      <c r="E799" s="5">
        <f t="shared" si="87"/>
        <v>21700</v>
      </c>
      <c r="F799" s="5"/>
      <c r="G799" s="5">
        <f>VLOOKUP(H799&amp;I799,Sheet2!$J:$K,2,0)</f>
        <v>95130029</v>
      </c>
      <c r="H799" s="5" t="s">
        <v>232</v>
      </c>
      <c r="I799" s="82" t="s">
        <v>233</v>
      </c>
      <c r="J799" s="5" t="s">
        <v>200</v>
      </c>
      <c r="K799" s="5">
        <v>1</v>
      </c>
      <c r="L799" s="5" t="s">
        <v>76</v>
      </c>
      <c r="M799" s="82">
        <f>ROUNDDOWN(VLOOKUP(J799,Sheet1!$N$32:$O$37,2,0)*1000,0)+100</f>
        <v>350</v>
      </c>
    </row>
    <row r="800" spans="1:16">
      <c r="A800" s="82">
        <v>798</v>
      </c>
      <c r="B800" s="82">
        <v>11200</v>
      </c>
      <c r="C800" s="82">
        <v>1</v>
      </c>
      <c r="D800" s="82">
        <f>E796</f>
        <v>20650</v>
      </c>
      <c r="E800" s="82">
        <f t="shared" ref="E800:E863" si="89">D800+M800</f>
        <v>25025</v>
      </c>
      <c r="F800" s="82"/>
      <c r="G800" s="82">
        <v>901000</v>
      </c>
      <c r="H800" s="82" t="s">
        <v>234</v>
      </c>
      <c r="I800" s="82"/>
      <c r="J800" s="82" t="s">
        <v>235</v>
      </c>
      <c r="K800" s="82">
        <v>1</v>
      </c>
      <c r="L800" s="82" t="s">
        <v>111</v>
      </c>
      <c r="M800" s="82">
        <f>ROUNDDOWN(VLOOKUP(J800,Sheet1!$N$32:$O$37,2,0)*1000,0)</f>
        <v>4375</v>
      </c>
      <c r="O800" s="67">
        <f t="shared" ref="O800:O840" si="90">(E800-D800)/$E$355</f>
        <v>0.502873563218391</v>
      </c>
      <c r="P800" s="67">
        <v>11000</v>
      </c>
    </row>
    <row r="801" spans="1:16">
      <c r="A801" s="82">
        <v>799</v>
      </c>
      <c r="B801" s="82">
        <v>11200</v>
      </c>
      <c r="C801" s="82">
        <v>2</v>
      </c>
      <c r="D801" s="82">
        <f t="shared" si="86"/>
        <v>25025</v>
      </c>
      <c r="E801" s="82">
        <f t="shared" si="89"/>
        <v>29400</v>
      </c>
      <c r="F801" s="82"/>
      <c r="G801" s="82">
        <v>901001</v>
      </c>
      <c r="H801" s="82" t="s">
        <v>236</v>
      </c>
      <c r="I801" s="82"/>
      <c r="J801" s="82" t="s">
        <v>235</v>
      </c>
      <c r="K801" s="82">
        <v>1</v>
      </c>
      <c r="L801" s="82" t="s">
        <v>111</v>
      </c>
      <c r="M801" s="82">
        <f>ROUNDDOWN(VLOOKUP(J801,Sheet1!$N$32:$O$37,2,0)*1000,0)</f>
        <v>4375</v>
      </c>
      <c r="O801" s="67">
        <f t="shared" si="90"/>
        <v>0.502873563218391</v>
      </c>
      <c r="P801" s="67">
        <v>11000</v>
      </c>
    </row>
    <row r="802" spans="1:16">
      <c r="A802" s="82">
        <v>800</v>
      </c>
      <c r="B802" s="82">
        <v>11200</v>
      </c>
      <c r="C802" s="82">
        <v>3</v>
      </c>
      <c r="D802" s="82">
        <f t="shared" si="86"/>
        <v>29400</v>
      </c>
      <c r="E802" s="82">
        <f t="shared" si="89"/>
        <v>33775</v>
      </c>
      <c r="F802" s="82"/>
      <c r="G802" s="82">
        <v>901002</v>
      </c>
      <c r="H802" s="82" t="s">
        <v>237</v>
      </c>
      <c r="I802" s="82"/>
      <c r="J802" s="82" t="s">
        <v>235</v>
      </c>
      <c r="K802" s="82">
        <v>1</v>
      </c>
      <c r="L802" s="82" t="s">
        <v>111</v>
      </c>
      <c r="M802" s="82">
        <f>ROUNDDOWN(VLOOKUP(J802,Sheet1!$N$32:$O$37,2,0)*1000,0)</f>
        <v>4375</v>
      </c>
      <c r="O802" s="67">
        <f t="shared" si="90"/>
        <v>0.502873563218391</v>
      </c>
      <c r="P802" s="67">
        <v>11000</v>
      </c>
    </row>
    <row r="803" spans="1:16">
      <c r="A803" s="82">
        <v>801</v>
      </c>
      <c r="B803" s="82">
        <v>11200</v>
      </c>
      <c r="C803" s="82">
        <v>4</v>
      </c>
      <c r="D803" s="82">
        <f t="shared" si="86"/>
        <v>33775</v>
      </c>
      <c r="E803" s="82">
        <f t="shared" si="89"/>
        <v>38150</v>
      </c>
      <c r="F803" s="82"/>
      <c r="G803" s="82">
        <v>901003</v>
      </c>
      <c r="H803" s="82" t="s">
        <v>238</v>
      </c>
      <c r="I803" s="82"/>
      <c r="J803" s="82" t="s">
        <v>235</v>
      </c>
      <c r="K803" s="82">
        <v>1</v>
      </c>
      <c r="L803" s="82" t="s">
        <v>111</v>
      </c>
      <c r="M803" s="82">
        <f>ROUNDDOWN(VLOOKUP(J803,Sheet1!$N$32:$O$37,2,0)*1000,0)</f>
        <v>4375</v>
      </c>
      <c r="O803" s="67">
        <f t="shared" si="90"/>
        <v>0.502873563218391</v>
      </c>
      <c r="P803" s="67">
        <v>11000</v>
      </c>
    </row>
    <row r="804" spans="1:16">
      <c r="A804" s="82">
        <v>802</v>
      </c>
      <c r="B804" s="82">
        <v>11200</v>
      </c>
      <c r="C804" s="82">
        <v>1</v>
      </c>
      <c r="D804" s="82">
        <f t="shared" si="86"/>
        <v>38150</v>
      </c>
      <c r="E804" s="82">
        <f t="shared" si="89"/>
        <v>42525</v>
      </c>
      <c r="F804" s="82"/>
      <c r="G804" s="82">
        <v>901100</v>
      </c>
      <c r="H804" s="82" t="s">
        <v>239</v>
      </c>
      <c r="I804" s="82"/>
      <c r="J804" s="82" t="s">
        <v>235</v>
      </c>
      <c r="K804" s="82">
        <v>1</v>
      </c>
      <c r="L804" s="82" t="s">
        <v>111</v>
      </c>
      <c r="M804" s="82">
        <f>ROUNDDOWN(VLOOKUP(J804,Sheet1!$N$32:$O$37,2,0)*1000,0)</f>
        <v>4375</v>
      </c>
      <c r="O804" s="67">
        <f t="shared" si="90"/>
        <v>0.502873563218391</v>
      </c>
      <c r="P804" s="67">
        <v>11000</v>
      </c>
    </row>
    <row r="805" spans="1:16">
      <c r="A805" s="82">
        <v>803</v>
      </c>
      <c r="B805" s="82">
        <v>11200</v>
      </c>
      <c r="C805" s="82">
        <v>2</v>
      </c>
      <c r="D805" s="82">
        <f t="shared" si="86"/>
        <v>42525</v>
      </c>
      <c r="E805" s="82">
        <f t="shared" si="89"/>
        <v>46900</v>
      </c>
      <c r="F805" s="82"/>
      <c r="G805" s="82">
        <v>901101</v>
      </c>
      <c r="H805" s="82" t="s">
        <v>240</v>
      </c>
      <c r="I805" s="82"/>
      <c r="J805" s="82" t="s">
        <v>235</v>
      </c>
      <c r="K805" s="82">
        <v>1</v>
      </c>
      <c r="L805" s="82" t="s">
        <v>111</v>
      </c>
      <c r="M805" s="82">
        <f>ROUNDDOWN(VLOOKUP(J805,Sheet1!$N$32:$O$37,2,0)*1000,0)</f>
        <v>4375</v>
      </c>
      <c r="O805" s="67">
        <f t="shared" si="90"/>
        <v>0.502873563218391</v>
      </c>
      <c r="P805" s="67">
        <v>11000</v>
      </c>
    </row>
    <row r="806" spans="1:16">
      <c r="A806" s="82">
        <v>804</v>
      </c>
      <c r="B806" s="82">
        <v>11200</v>
      </c>
      <c r="C806" s="82">
        <v>3</v>
      </c>
      <c r="D806" s="82">
        <f t="shared" si="86"/>
        <v>46900</v>
      </c>
      <c r="E806" s="82">
        <f t="shared" si="89"/>
        <v>51275</v>
      </c>
      <c r="F806" s="82"/>
      <c r="G806" s="82">
        <v>901102</v>
      </c>
      <c r="H806" s="82" t="s">
        <v>241</v>
      </c>
      <c r="I806" s="82"/>
      <c r="J806" s="82" t="s">
        <v>235</v>
      </c>
      <c r="K806" s="82">
        <v>1</v>
      </c>
      <c r="L806" s="82" t="s">
        <v>111</v>
      </c>
      <c r="M806" s="82">
        <f>ROUNDDOWN(VLOOKUP(J806,Sheet1!$N$32:$O$37,2,0)*1000,0)</f>
        <v>4375</v>
      </c>
      <c r="O806" s="67">
        <f t="shared" si="90"/>
        <v>0.502873563218391</v>
      </c>
      <c r="P806" s="67">
        <v>11000</v>
      </c>
    </row>
    <row r="807" spans="1:16">
      <c r="A807" s="82">
        <v>805</v>
      </c>
      <c r="B807" s="82">
        <v>11200</v>
      </c>
      <c r="C807" s="82">
        <v>4</v>
      </c>
      <c r="D807" s="82">
        <f t="shared" si="86"/>
        <v>51275</v>
      </c>
      <c r="E807" s="82">
        <f t="shared" si="89"/>
        <v>55650</v>
      </c>
      <c r="F807" s="82"/>
      <c r="G807" s="82">
        <v>901103</v>
      </c>
      <c r="H807" s="82" t="s">
        <v>242</v>
      </c>
      <c r="I807" s="82"/>
      <c r="J807" s="82" t="s">
        <v>235</v>
      </c>
      <c r="K807" s="82">
        <v>1</v>
      </c>
      <c r="L807" s="82" t="s">
        <v>111</v>
      </c>
      <c r="M807" s="82">
        <f>ROUNDDOWN(VLOOKUP(J807,Sheet1!$N$32:$O$37,2,0)*1000,0)</f>
        <v>4375</v>
      </c>
      <c r="O807" s="67">
        <f t="shared" si="90"/>
        <v>0.502873563218391</v>
      </c>
      <c r="P807" s="67">
        <v>11000</v>
      </c>
    </row>
    <row r="808" spans="1:16">
      <c r="A808" s="82">
        <v>806</v>
      </c>
      <c r="B808" s="82">
        <v>11200</v>
      </c>
      <c r="C808" s="82">
        <v>7</v>
      </c>
      <c r="D808" s="82">
        <f t="shared" si="86"/>
        <v>55650</v>
      </c>
      <c r="E808" s="82">
        <f t="shared" si="89"/>
        <v>56126</v>
      </c>
      <c r="F808" s="82"/>
      <c r="G808" s="82">
        <v>100101</v>
      </c>
      <c r="H808" s="82" t="s">
        <v>243</v>
      </c>
      <c r="I808" s="82"/>
      <c r="J808" s="82" t="s">
        <v>244</v>
      </c>
      <c r="K808" s="82">
        <v>1</v>
      </c>
      <c r="L808" s="82" t="s">
        <v>111</v>
      </c>
      <c r="M808" s="82">
        <f>ROUNDDOWN(VLOOKUP(J808,Sheet1!$N$32:$O$37,2,0)*1000,0)</f>
        <v>476</v>
      </c>
      <c r="O808" s="67">
        <f t="shared" si="90"/>
        <v>0.0547126436781609</v>
      </c>
      <c r="P808" s="67">
        <v>11000</v>
      </c>
    </row>
    <row r="809" spans="1:16">
      <c r="A809" s="82">
        <v>807</v>
      </c>
      <c r="B809" s="82">
        <v>11200</v>
      </c>
      <c r="C809" s="82">
        <v>7</v>
      </c>
      <c r="D809" s="82">
        <f t="shared" si="86"/>
        <v>56126</v>
      </c>
      <c r="E809" s="82">
        <f t="shared" si="89"/>
        <v>56602</v>
      </c>
      <c r="F809" s="82"/>
      <c r="G809" s="82">
        <v>100103</v>
      </c>
      <c r="H809" s="82" t="s">
        <v>245</v>
      </c>
      <c r="I809" s="82"/>
      <c r="J809" s="82" t="s">
        <v>244</v>
      </c>
      <c r="K809" s="82">
        <v>1</v>
      </c>
      <c r="L809" s="82" t="s">
        <v>111</v>
      </c>
      <c r="M809" s="82">
        <f>ROUNDDOWN(VLOOKUP(J809,Sheet1!$N$32:$O$37,2,0)*1000,0)</f>
        <v>476</v>
      </c>
      <c r="O809" s="67">
        <f t="shared" si="90"/>
        <v>0.0547126436781609</v>
      </c>
      <c r="P809" s="67">
        <v>11000</v>
      </c>
    </row>
    <row r="810" spans="1:16">
      <c r="A810" s="82">
        <v>808</v>
      </c>
      <c r="B810" s="82">
        <v>11200</v>
      </c>
      <c r="C810" s="82">
        <v>7</v>
      </c>
      <c r="D810" s="82">
        <f t="shared" si="86"/>
        <v>56602</v>
      </c>
      <c r="E810" s="82">
        <f t="shared" si="89"/>
        <v>57078</v>
      </c>
      <c r="F810" s="82"/>
      <c r="G810" s="82">
        <v>100107</v>
      </c>
      <c r="H810" s="82" t="s">
        <v>246</v>
      </c>
      <c r="I810" s="82"/>
      <c r="J810" s="82" t="s">
        <v>244</v>
      </c>
      <c r="K810" s="82">
        <v>1</v>
      </c>
      <c r="L810" s="82" t="s">
        <v>111</v>
      </c>
      <c r="M810" s="82">
        <f>ROUNDDOWN(VLOOKUP(J810,Sheet1!$N$32:$O$37,2,0)*1000,0)</f>
        <v>476</v>
      </c>
      <c r="O810" s="67">
        <f t="shared" si="90"/>
        <v>0.0547126436781609</v>
      </c>
      <c r="P810" s="67">
        <v>11000</v>
      </c>
    </row>
    <row r="811" spans="1:16">
      <c r="A811" s="82">
        <v>809</v>
      </c>
      <c r="B811" s="82">
        <v>11200</v>
      </c>
      <c r="C811" s="82">
        <v>7</v>
      </c>
      <c r="D811" s="82">
        <f t="shared" si="86"/>
        <v>57078</v>
      </c>
      <c r="E811" s="82">
        <f t="shared" si="89"/>
        <v>57554</v>
      </c>
      <c r="F811" s="82"/>
      <c r="G811" s="82">
        <v>100108</v>
      </c>
      <c r="H811" s="82" t="s">
        <v>247</v>
      </c>
      <c r="I811" s="82"/>
      <c r="J811" s="82" t="s">
        <v>244</v>
      </c>
      <c r="K811" s="82">
        <v>1</v>
      </c>
      <c r="L811" s="82" t="s">
        <v>111</v>
      </c>
      <c r="M811" s="82">
        <f>ROUNDDOWN(VLOOKUP(J811,Sheet1!$N$32:$O$37,2,0)*1000,0)</f>
        <v>476</v>
      </c>
      <c r="O811" s="67">
        <f t="shared" si="90"/>
        <v>0.0547126436781609</v>
      </c>
      <c r="P811" s="67">
        <v>11000</v>
      </c>
    </row>
    <row r="812" spans="1:16">
      <c r="A812" s="82">
        <v>810</v>
      </c>
      <c r="B812" s="82">
        <v>11200</v>
      </c>
      <c r="C812" s="82">
        <v>7</v>
      </c>
      <c r="D812" s="82">
        <f t="shared" si="86"/>
        <v>57554</v>
      </c>
      <c r="E812" s="82">
        <f t="shared" si="89"/>
        <v>58030</v>
      </c>
      <c r="F812" s="82"/>
      <c r="G812" s="82">
        <v>100113</v>
      </c>
      <c r="H812" s="82" t="s">
        <v>248</v>
      </c>
      <c r="I812" s="82"/>
      <c r="J812" s="82" t="s">
        <v>244</v>
      </c>
      <c r="K812" s="82">
        <v>1</v>
      </c>
      <c r="L812" s="82" t="s">
        <v>111</v>
      </c>
      <c r="M812" s="82">
        <f>ROUNDDOWN(VLOOKUP(J812,Sheet1!$N$32:$O$37,2,0)*1000,0)</f>
        <v>476</v>
      </c>
      <c r="O812" s="67">
        <f t="shared" si="90"/>
        <v>0.0547126436781609</v>
      </c>
      <c r="P812" s="67">
        <v>11000</v>
      </c>
    </row>
    <row r="813" spans="1:16">
      <c r="A813" s="82">
        <v>811</v>
      </c>
      <c r="B813" s="82">
        <v>11200</v>
      </c>
      <c r="C813" s="82">
        <v>7</v>
      </c>
      <c r="D813" s="82">
        <f t="shared" si="86"/>
        <v>58030</v>
      </c>
      <c r="E813" s="82">
        <f t="shared" si="89"/>
        <v>58506</v>
      </c>
      <c r="F813" s="82"/>
      <c r="G813" s="82">
        <v>100114</v>
      </c>
      <c r="H813" s="82" t="s">
        <v>249</v>
      </c>
      <c r="I813" s="82"/>
      <c r="J813" s="82" t="s">
        <v>244</v>
      </c>
      <c r="K813" s="82">
        <v>1</v>
      </c>
      <c r="L813" s="82" t="s">
        <v>111</v>
      </c>
      <c r="M813" s="82">
        <f>ROUNDDOWN(VLOOKUP(J813,Sheet1!$N$32:$O$37,2,0)*1000,0)</f>
        <v>476</v>
      </c>
      <c r="O813" s="67">
        <f t="shared" si="90"/>
        <v>0.0547126436781609</v>
      </c>
      <c r="P813" s="67">
        <v>11000</v>
      </c>
    </row>
    <row r="814" spans="1:16">
      <c r="A814" s="82">
        <v>812</v>
      </c>
      <c r="B814" s="82">
        <v>11200</v>
      </c>
      <c r="C814" s="82">
        <v>7</v>
      </c>
      <c r="D814" s="82">
        <f t="shared" si="86"/>
        <v>58506</v>
      </c>
      <c r="E814" s="82">
        <f t="shared" si="89"/>
        <v>58982</v>
      </c>
      <c r="F814" s="82"/>
      <c r="G814" s="82">
        <v>100116</v>
      </c>
      <c r="H814" s="82" t="s">
        <v>250</v>
      </c>
      <c r="I814" s="82"/>
      <c r="J814" s="82" t="s">
        <v>244</v>
      </c>
      <c r="K814" s="82">
        <v>1</v>
      </c>
      <c r="L814" s="82" t="s">
        <v>111</v>
      </c>
      <c r="M814" s="82">
        <f>ROUNDDOWN(VLOOKUP(J814,Sheet1!$N$32:$O$37,2,0)*1000,0)</f>
        <v>476</v>
      </c>
      <c r="O814" s="67">
        <f t="shared" si="90"/>
        <v>0.0547126436781609</v>
      </c>
      <c r="P814" s="67">
        <v>11000</v>
      </c>
    </row>
    <row r="815" spans="1:16">
      <c r="A815" s="82">
        <v>813</v>
      </c>
      <c r="B815" s="82">
        <v>11200</v>
      </c>
      <c r="C815" s="82">
        <v>7</v>
      </c>
      <c r="D815" s="82">
        <f t="shared" si="86"/>
        <v>58982</v>
      </c>
      <c r="E815" s="82">
        <f t="shared" si="89"/>
        <v>59458</v>
      </c>
      <c r="F815" s="82"/>
      <c r="G815" s="82">
        <v>100120</v>
      </c>
      <c r="H815" s="82" t="s">
        <v>251</v>
      </c>
      <c r="I815" s="82"/>
      <c r="J815" s="82" t="s">
        <v>244</v>
      </c>
      <c r="K815" s="82">
        <v>1</v>
      </c>
      <c r="L815" s="82" t="s">
        <v>111</v>
      </c>
      <c r="M815" s="82">
        <f>ROUNDDOWN(VLOOKUP(J815,Sheet1!$N$32:$O$37,2,0)*1000,0)</f>
        <v>476</v>
      </c>
      <c r="O815" s="67">
        <f t="shared" si="90"/>
        <v>0.0547126436781609</v>
      </c>
      <c r="P815" s="67">
        <v>11000</v>
      </c>
    </row>
    <row r="816" spans="1:16">
      <c r="A816" s="82">
        <v>814</v>
      </c>
      <c r="B816" s="82">
        <v>11200</v>
      </c>
      <c r="C816" s="82">
        <v>7</v>
      </c>
      <c r="D816" s="82">
        <f t="shared" si="86"/>
        <v>59458</v>
      </c>
      <c r="E816" s="82">
        <f t="shared" si="89"/>
        <v>59934</v>
      </c>
      <c r="F816" s="82"/>
      <c r="G816" s="82">
        <v>100125</v>
      </c>
      <c r="H816" s="82" t="s">
        <v>252</v>
      </c>
      <c r="I816" s="82"/>
      <c r="J816" s="82" t="s">
        <v>244</v>
      </c>
      <c r="K816" s="82">
        <v>1</v>
      </c>
      <c r="L816" s="82" t="s">
        <v>111</v>
      </c>
      <c r="M816" s="82">
        <f>ROUNDDOWN(VLOOKUP(J816,Sheet1!$N$32:$O$37,2,0)*1000,0)</f>
        <v>476</v>
      </c>
      <c r="O816" s="67">
        <f t="shared" si="90"/>
        <v>0.0547126436781609</v>
      </c>
      <c r="P816" s="67">
        <v>11000</v>
      </c>
    </row>
    <row r="817" spans="1:16">
      <c r="A817" s="82">
        <v>815</v>
      </c>
      <c r="B817" s="82">
        <v>11200</v>
      </c>
      <c r="C817" s="82">
        <v>7</v>
      </c>
      <c r="D817" s="82">
        <f t="shared" si="86"/>
        <v>59934</v>
      </c>
      <c r="E817" s="82">
        <f t="shared" si="89"/>
        <v>60410</v>
      </c>
      <c r="F817" s="82"/>
      <c r="G817" s="82">
        <v>100126</v>
      </c>
      <c r="H817" s="82" t="s">
        <v>253</v>
      </c>
      <c r="I817" s="82"/>
      <c r="J817" s="82" t="s">
        <v>244</v>
      </c>
      <c r="K817" s="82">
        <v>1</v>
      </c>
      <c r="L817" s="82" t="s">
        <v>111</v>
      </c>
      <c r="M817" s="82">
        <f>ROUNDDOWN(VLOOKUP(J817,Sheet1!$N$32:$O$37,2,0)*1000,0)</f>
        <v>476</v>
      </c>
      <c r="O817" s="67">
        <f t="shared" si="90"/>
        <v>0.0547126436781609</v>
      </c>
      <c r="P817" s="67">
        <v>11000</v>
      </c>
    </row>
    <row r="818" spans="1:16">
      <c r="A818" s="82">
        <v>816</v>
      </c>
      <c r="B818" s="82">
        <v>11200</v>
      </c>
      <c r="C818" s="82">
        <v>7</v>
      </c>
      <c r="D818" s="82">
        <f t="shared" si="86"/>
        <v>60410</v>
      </c>
      <c r="E818" s="82">
        <f t="shared" si="89"/>
        <v>60886</v>
      </c>
      <c r="F818" s="82"/>
      <c r="G818" s="82">
        <v>100127</v>
      </c>
      <c r="H818" s="82" t="s">
        <v>254</v>
      </c>
      <c r="I818" s="82"/>
      <c r="J818" s="82" t="s">
        <v>244</v>
      </c>
      <c r="K818" s="82">
        <v>1</v>
      </c>
      <c r="L818" s="82" t="s">
        <v>111</v>
      </c>
      <c r="M818" s="82">
        <f>ROUNDDOWN(VLOOKUP(J818,Sheet1!$N$32:$O$37,2,0)*1000,0)</f>
        <v>476</v>
      </c>
      <c r="O818" s="67">
        <f t="shared" si="90"/>
        <v>0.0547126436781609</v>
      </c>
      <c r="P818" s="67">
        <v>11000</v>
      </c>
    </row>
    <row r="819" spans="1:16">
      <c r="A819" s="82">
        <v>817</v>
      </c>
      <c r="B819" s="82">
        <v>11200</v>
      </c>
      <c r="C819" s="82">
        <v>7</v>
      </c>
      <c r="D819" s="82">
        <f t="shared" si="86"/>
        <v>60886</v>
      </c>
      <c r="E819" s="82">
        <f t="shared" si="89"/>
        <v>61362</v>
      </c>
      <c r="F819" s="82"/>
      <c r="G819" s="82">
        <v>100132</v>
      </c>
      <c r="H819" s="82" t="s">
        <v>255</v>
      </c>
      <c r="I819" s="82"/>
      <c r="J819" s="82" t="s">
        <v>244</v>
      </c>
      <c r="K819" s="82">
        <v>1</v>
      </c>
      <c r="L819" s="82" t="s">
        <v>111</v>
      </c>
      <c r="M819" s="82">
        <f>ROUNDDOWN(VLOOKUP(J819,Sheet1!$N$32:$O$37,2,0)*1000,0)</f>
        <v>476</v>
      </c>
      <c r="O819" s="67">
        <f t="shared" si="90"/>
        <v>0.0547126436781609</v>
      </c>
      <c r="P819" s="67">
        <v>11000</v>
      </c>
    </row>
    <row r="820" spans="1:16">
      <c r="A820" s="82">
        <v>818</v>
      </c>
      <c r="B820" s="82">
        <v>11200</v>
      </c>
      <c r="C820" s="82">
        <v>7</v>
      </c>
      <c r="D820" s="82">
        <f t="shared" si="86"/>
        <v>61362</v>
      </c>
      <c r="E820" s="82">
        <f t="shared" si="89"/>
        <v>61838</v>
      </c>
      <c r="F820" s="82"/>
      <c r="G820" s="82">
        <v>100133</v>
      </c>
      <c r="H820" s="82" t="s">
        <v>256</v>
      </c>
      <c r="I820" s="82"/>
      <c r="J820" s="82" t="s">
        <v>244</v>
      </c>
      <c r="K820" s="82">
        <v>1</v>
      </c>
      <c r="L820" s="82" t="s">
        <v>111</v>
      </c>
      <c r="M820" s="82">
        <f>ROUNDDOWN(VLOOKUP(J820,Sheet1!$N$32:$O$37,2,0)*1000,0)</f>
        <v>476</v>
      </c>
      <c r="O820" s="67">
        <f t="shared" si="90"/>
        <v>0.0547126436781609</v>
      </c>
      <c r="P820" s="67">
        <v>11000</v>
      </c>
    </row>
    <row r="821" spans="1:16">
      <c r="A821" s="82">
        <v>819</v>
      </c>
      <c r="B821" s="82">
        <v>11200</v>
      </c>
      <c r="C821" s="82">
        <v>7</v>
      </c>
      <c r="D821" s="82">
        <f t="shared" si="86"/>
        <v>61838</v>
      </c>
      <c r="E821" s="82">
        <f t="shared" si="89"/>
        <v>62314</v>
      </c>
      <c r="F821" s="82"/>
      <c r="G821" s="82">
        <v>100134</v>
      </c>
      <c r="H821" s="82" t="s">
        <v>257</v>
      </c>
      <c r="I821" s="82"/>
      <c r="J821" s="82" t="s">
        <v>244</v>
      </c>
      <c r="K821" s="82">
        <v>1</v>
      </c>
      <c r="L821" s="82" t="s">
        <v>111</v>
      </c>
      <c r="M821" s="82">
        <f>ROUNDDOWN(VLOOKUP(J821,Sheet1!$N$32:$O$37,2,0)*1000,0)</f>
        <v>476</v>
      </c>
      <c r="O821" s="67">
        <f t="shared" si="90"/>
        <v>0.0547126436781609</v>
      </c>
      <c r="P821" s="67">
        <v>11000</v>
      </c>
    </row>
    <row r="822" spans="1:16">
      <c r="A822" s="82">
        <v>820</v>
      </c>
      <c r="B822" s="82">
        <v>11200</v>
      </c>
      <c r="C822" s="82">
        <v>7</v>
      </c>
      <c r="D822" s="82">
        <f t="shared" si="86"/>
        <v>62314</v>
      </c>
      <c r="E822" s="82">
        <f t="shared" si="89"/>
        <v>62790</v>
      </c>
      <c r="F822" s="82"/>
      <c r="G822" s="82">
        <v>100135</v>
      </c>
      <c r="H822" s="82" t="s">
        <v>258</v>
      </c>
      <c r="I822" s="82"/>
      <c r="J822" s="82" t="s">
        <v>244</v>
      </c>
      <c r="K822" s="82">
        <v>1</v>
      </c>
      <c r="L822" s="82" t="s">
        <v>111</v>
      </c>
      <c r="M822" s="82">
        <f>ROUNDDOWN(VLOOKUP(J822,Sheet1!$N$32:$O$37,2,0)*1000,0)</f>
        <v>476</v>
      </c>
      <c r="O822" s="67">
        <f t="shared" si="90"/>
        <v>0.0547126436781609</v>
      </c>
      <c r="P822" s="67">
        <v>11000</v>
      </c>
    </row>
    <row r="823" spans="1:16">
      <c r="A823" s="82">
        <v>821</v>
      </c>
      <c r="B823" s="82">
        <v>11200</v>
      </c>
      <c r="C823" s="82">
        <v>7</v>
      </c>
      <c r="D823" s="82">
        <f t="shared" si="86"/>
        <v>62790</v>
      </c>
      <c r="E823" s="82">
        <f t="shared" si="89"/>
        <v>63266</v>
      </c>
      <c r="F823" s="82"/>
      <c r="G823" s="82">
        <v>100136</v>
      </c>
      <c r="H823" s="82" t="s">
        <v>259</v>
      </c>
      <c r="I823" s="82"/>
      <c r="J823" s="82" t="s">
        <v>244</v>
      </c>
      <c r="K823" s="82">
        <v>1</v>
      </c>
      <c r="L823" s="82" t="s">
        <v>111</v>
      </c>
      <c r="M823" s="82">
        <f>ROUNDDOWN(VLOOKUP(J823,Sheet1!$N$32:$O$37,2,0)*1000,0)</f>
        <v>476</v>
      </c>
      <c r="O823" s="67">
        <f t="shared" si="90"/>
        <v>0.0547126436781609</v>
      </c>
      <c r="P823" s="67">
        <v>11000</v>
      </c>
    </row>
    <row r="824" spans="1:16">
      <c r="A824" s="82">
        <v>822</v>
      </c>
      <c r="B824" s="82">
        <v>11200</v>
      </c>
      <c r="C824" s="82">
        <v>7</v>
      </c>
      <c r="D824" s="82">
        <f t="shared" si="86"/>
        <v>63266</v>
      </c>
      <c r="E824" s="82">
        <f t="shared" si="89"/>
        <v>63742</v>
      </c>
      <c r="F824" s="82"/>
      <c r="G824" s="82">
        <v>100137</v>
      </c>
      <c r="H824" s="82" t="s">
        <v>260</v>
      </c>
      <c r="I824" s="82"/>
      <c r="J824" s="82" t="s">
        <v>244</v>
      </c>
      <c r="K824" s="82">
        <v>1</v>
      </c>
      <c r="L824" s="82" t="s">
        <v>111</v>
      </c>
      <c r="M824" s="82">
        <f>ROUNDDOWN(VLOOKUP(J824,Sheet1!$N$32:$O$37,2,0)*1000,0)</f>
        <v>476</v>
      </c>
      <c r="O824" s="67">
        <f t="shared" si="90"/>
        <v>0.0547126436781609</v>
      </c>
      <c r="P824" s="67">
        <v>11000</v>
      </c>
    </row>
    <row r="825" spans="1:16">
      <c r="A825" s="82">
        <v>823</v>
      </c>
      <c r="B825" s="82">
        <v>11200</v>
      </c>
      <c r="C825" s="82">
        <v>7</v>
      </c>
      <c r="D825" s="82">
        <f t="shared" si="86"/>
        <v>63742</v>
      </c>
      <c r="E825" s="82">
        <f t="shared" si="89"/>
        <v>64218</v>
      </c>
      <c r="F825" s="82"/>
      <c r="G825" s="82">
        <v>100138</v>
      </c>
      <c r="H825" s="82" t="s">
        <v>261</v>
      </c>
      <c r="I825" s="82"/>
      <c r="J825" s="82" t="s">
        <v>244</v>
      </c>
      <c r="K825" s="82">
        <v>1</v>
      </c>
      <c r="L825" s="82" t="s">
        <v>111</v>
      </c>
      <c r="M825" s="82">
        <f>ROUNDDOWN(VLOOKUP(J825,Sheet1!$N$32:$O$37,2,0)*1000,0)</f>
        <v>476</v>
      </c>
      <c r="O825" s="67">
        <f t="shared" si="90"/>
        <v>0.0547126436781609</v>
      </c>
      <c r="P825" s="67">
        <v>11000</v>
      </c>
    </row>
    <row r="826" spans="1:16">
      <c r="A826" s="82">
        <v>824</v>
      </c>
      <c r="B826" s="82">
        <v>11200</v>
      </c>
      <c r="C826" s="82">
        <v>7</v>
      </c>
      <c r="D826" s="82">
        <f t="shared" si="86"/>
        <v>64218</v>
      </c>
      <c r="E826" s="82">
        <f t="shared" si="89"/>
        <v>64694</v>
      </c>
      <c r="F826" s="82"/>
      <c r="G826" s="82">
        <v>100144</v>
      </c>
      <c r="H826" s="82" t="s">
        <v>262</v>
      </c>
      <c r="I826" s="82"/>
      <c r="J826" s="82" t="s">
        <v>244</v>
      </c>
      <c r="K826" s="82">
        <v>1</v>
      </c>
      <c r="L826" s="82" t="s">
        <v>111</v>
      </c>
      <c r="M826" s="82">
        <f>ROUNDDOWN(VLOOKUP(J826,Sheet1!$N$32:$O$37,2,0)*1000,0)</f>
        <v>476</v>
      </c>
      <c r="O826" s="67">
        <f t="shared" si="90"/>
        <v>0.0547126436781609</v>
      </c>
      <c r="P826" s="67">
        <v>11000</v>
      </c>
    </row>
    <row r="827" spans="1:16">
      <c r="A827" s="82">
        <v>825</v>
      </c>
      <c r="B827" s="82">
        <v>11200</v>
      </c>
      <c r="C827" s="82">
        <v>7</v>
      </c>
      <c r="D827" s="82">
        <f t="shared" si="86"/>
        <v>64694</v>
      </c>
      <c r="E827" s="82">
        <f t="shared" si="89"/>
        <v>65170</v>
      </c>
      <c r="F827" s="82"/>
      <c r="G827" s="82">
        <v>100148</v>
      </c>
      <c r="H827" s="82" t="s">
        <v>263</v>
      </c>
      <c r="I827" s="82"/>
      <c r="J827" s="82" t="s">
        <v>244</v>
      </c>
      <c r="K827" s="82">
        <v>1</v>
      </c>
      <c r="L827" s="82" t="s">
        <v>111</v>
      </c>
      <c r="M827" s="82">
        <f>ROUNDDOWN(VLOOKUP(J827,Sheet1!$N$32:$O$37,2,0)*1000,0)</f>
        <v>476</v>
      </c>
      <c r="O827" s="67">
        <f t="shared" si="90"/>
        <v>0.0547126436781609</v>
      </c>
      <c r="P827" s="67">
        <v>11000</v>
      </c>
    </row>
    <row r="828" spans="1:16">
      <c r="A828" s="82">
        <v>826</v>
      </c>
      <c r="B828" s="82">
        <v>11200</v>
      </c>
      <c r="C828" s="82">
        <v>7</v>
      </c>
      <c r="D828" s="82">
        <f t="shared" si="86"/>
        <v>65170</v>
      </c>
      <c r="E828" s="82">
        <f t="shared" si="89"/>
        <v>65646</v>
      </c>
      <c r="F828" s="82"/>
      <c r="G828" s="82">
        <v>100139</v>
      </c>
      <c r="H828" s="82" t="s">
        <v>264</v>
      </c>
      <c r="I828" s="82"/>
      <c r="J828" s="82" t="s">
        <v>244</v>
      </c>
      <c r="K828" s="82">
        <v>1</v>
      </c>
      <c r="L828" s="82" t="s">
        <v>111</v>
      </c>
      <c r="M828" s="82">
        <f>ROUNDDOWN(VLOOKUP(J828,Sheet1!$N$32:$O$37,2,0)*1000,0)</f>
        <v>476</v>
      </c>
      <c r="O828" s="67">
        <f t="shared" si="90"/>
        <v>0.0547126436781609</v>
      </c>
      <c r="P828" s="67">
        <v>11000</v>
      </c>
    </row>
    <row r="829" spans="1:16">
      <c r="A829" s="82">
        <v>827</v>
      </c>
      <c r="B829" s="82">
        <v>11200</v>
      </c>
      <c r="C829" s="82">
        <v>2</v>
      </c>
      <c r="D829" s="82">
        <f t="shared" si="86"/>
        <v>65646</v>
      </c>
      <c r="E829" s="82">
        <f t="shared" si="89"/>
        <v>68827</v>
      </c>
      <c r="F829" s="82"/>
      <c r="G829" s="82">
        <v>907009</v>
      </c>
      <c r="H829" s="82" t="s">
        <v>265</v>
      </c>
      <c r="I829" s="82"/>
      <c r="J829" s="82" t="s">
        <v>266</v>
      </c>
      <c r="K829" s="82">
        <v>1</v>
      </c>
      <c r="L829" s="82" t="s">
        <v>111</v>
      </c>
      <c r="M829" s="82">
        <f>ROUNDDOWN(VLOOKUP(J829,Sheet1!$N$32:$O$37,2,0)*1000,0)</f>
        <v>3181</v>
      </c>
      <c r="O829" s="67">
        <f t="shared" si="90"/>
        <v>0.365632183908046</v>
      </c>
      <c r="P829" s="67">
        <v>11000</v>
      </c>
    </row>
    <row r="830" spans="1:16">
      <c r="A830" s="82">
        <v>828</v>
      </c>
      <c r="B830" s="82">
        <v>11200</v>
      </c>
      <c r="C830" s="82">
        <v>2</v>
      </c>
      <c r="D830" s="82">
        <f t="shared" si="86"/>
        <v>68827</v>
      </c>
      <c r="E830" s="82">
        <f t="shared" si="89"/>
        <v>72008</v>
      </c>
      <c r="F830" s="82"/>
      <c r="G830" s="82">
        <v>907010</v>
      </c>
      <c r="H830" s="82" t="s">
        <v>267</v>
      </c>
      <c r="I830" s="82"/>
      <c r="J830" s="82" t="s">
        <v>266</v>
      </c>
      <c r="K830" s="82">
        <v>1</v>
      </c>
      <c r="L830" s="82" t="s">
        <v>111</v>
      </c>
      <c r="M830" s="82">
        <f>ROUNDDOWN(VLOOKUP(J830,Sheet1!$N$32:$O$37,2,0)*1000,0)</f>
        <v>3181</v>
      </c>
      <c r="O830" s="67">
        <f t="shared" si="90"/>
        <v>0.365632183908046</v>
      </c>
      <c r="P830" s="67">
        <v>11000</v>
      </c>
    </row>
    <row r="831" spans="1:16">
      <c r="A831" s="82">
        <v>829</v>
      </c>
      <c r="B831" s="82">
        <v>11200</v>
      </c>
      <c r="C831" s="82">
        <v>2</v>
      </c>
      <c r="D831" s="82">
        <f t="shared" si="86"/>
        <v>72008</v>
      </c>
      <c r="E831" s="82">
        <f t="shared" si="89"/>
        <v>75189</v>
      </c>
      <c r="F831" s="82"/>
      <c r="G831" s="82">
        <v>907011</v>
      </c>
      <c r="H831" s="82" t="s">
        <v>268</v>
      </c>
      <c r="I831" s="82"/>
      <c r="J831" s="82" t="s">
        <v>266</v>
      </c>
      <c r="K831" s="82">
        <v>1</v>
      </c>
      <c r="L831" s="82" t="s">
        <v>111</v>
      </c>
      <c r="M831" s="82">
        <f>ROUNDDOWN(VLOOKUP(J831,Sheet1!$N$32:$O$37,2,0)*1000,0)</f>
        <v>3181</v>
      </c>
      <c r="O831" s="67">
        <f t="shared" si="90"/>
        <v>0.365632183908046</v>
      </c>
      <c r="P831" s="67">
        <v>11000</v>
      </c>
    </row>
    <row r="832" spans="1:16">
      <c r="A832" s="82">
        <v>830</v>
      </c>
      <c r="B832" s="82">
        <v>11200</v>
      </c>
      <c r="C832" s="82">
        <v>2</v>
      </c>
      <c r="D832" s="82">
        <f t="shared" si="86"/>
        <v>75189</v>
      </c>
      <c r="E832" s="82">
        <f t="shared" si="89"/>
        <v>78370</v>
      </c>
      <c r="F832" s="82"/>
      <c r="G832" s="82">
        <v>907012</v>
      </c>
      <c r="H832" s="82" t="s">
        <v>269</v>
      </c>
      <c r="I832" s="82"/>
      <c r="J832" s="82" t="s">
        <v>266</v>
      </c>
      <c r="K832" s="82">
        <v>1</v>
      </c>
      <c r="L832" s="82" t="s">
        <v>111</v>
      </c>
      <c r="M832" s="82">
        <f>ROUNDDOWN(VLOOKUP(J832,Sheet1!$N$32:$O$37,2,0)*1000,0)</f>
        <v>3181</v>
      </c>
      <c r="O832" s="67">
        <f t="shared" si="90"/>
        <v>0.365632183908046</v>
      </c>
      <c r="P832" s="67">
        <v>11000</v>
      </c>
    </row>
    <row r="833" spans="1:16">
      <c r="A833" s="82">
        <v>831</v>
      </c>
      <c r="B833" s="82">
        <v>11200</v>
      </c>
      <c r="C833" s="82">
        <v>2</v>
      </c>
      <c r="D833" s="82">
        <f t="shared" si="86"/>
        <v>78370</v>
      </c>
      <c r="E833" s="82">
        <f t="shared" si="89"/>
        <v>81551</v>
      </c>
      <c r="F833" s="82"/>
      <c r="G833" s="82">
        <v>907014</v>
      </c>
      <c r="H833" s="82" t="s">
        <v>270</v>
      </c>
      <c r="I833" s="82"/>
      <c r="J833" s="82" t="s">
        <v>266</v>
      </c>
      <c r="K833" s="82">
        <v>1</v>
      </c>
      <c r="L833" s="82" t="s">
        <v>111</v>
      </c>
      <c r="M833" s="82">
        <f>ROUNDDOWN(VLOOKUP(J833,Sheet1!$N$32:$O$37,2,0)*1000,0)</f>
        <v>3181</v>
      </c>
      <c r="O833" s="67">
        <f t="shared" si="90"/>
        <v>0.365632183908046</v>
      </c>
      <c r="P833" s="67">
        <v>11000</v>
      </c>
    </row>
    <row r="834" spans="1:16">
      <c r="A834" s="82">
        <v>832</v>
      </c>
      <c r="B834" s="82">
        <v>11200</v>
      </c>
      <c r="C834" s="82">
        <v>2</v>
      </c>
      <c r="D834" s="82">
        <f t="shared" si="86"/>
        <v>81551</v>
      </c>
      <c r="E834" s="82">
        <f t="shared" si="89"/>
        <v>84732</v>
      </c>
      <c r="F834" s="82"/>
      <c r="G834" s="82">
        <v>907017</v>
      </c>
      <c r="H834" s="82" t="s">
        <v>271</v>
      </c>
      <c r="I834" s="82"/>
      <c r="J834" s="82" t="s">
        <v>266</v>
      </c>
      <c r="K834" s="82">
        <v>1</v>
      </c>
      <c r="L834" s="82" t="s">
        <v>111</v>
      </c>
      <c r="M834" s="82">
        <f>ROUNDDOWN(VLOOKUP(J834,Sheet1!$N$32:$O$37,2,0)*1000,0)</f>
        <v>3181</v>
      </c>
      <c r="O834" s="67">
        <f t="shared" si="90"/>
        <v>0.365632183908046</v>
      </c>
      <c r="P834" s="67">
        <v>11000</v>
      </c>
    </row>
    <row r="835" spans="1:16">
      <c r="A835" s="82">
        <v>833</v>
      </c>
      <c r="B835" s="82">
        <v>11200</v>
      </c>
      <c r="C835" s="82">
        <v>2</v>
      </c>
      <c r="D835" s="82">
        <f t="shared" ref="D835:D898" si="91">E834</f>
        <v>84732</v>
      </c>
      <c r="E835" s="82">
        <f t="shared" si="89"/>
        <v>87913</v>
      </c>
      <c r="F835" s="82"/>
      <c r="G835" s="82">
        <v>907018</v>
      </c>
      <c r="H835" s="82" t="s">
        <v>272</v>
      </c>
      <c r="I835" s="82"/>
      <c r="J835" s="82" t="s">
        <v>266</v>
      </c>
      <c r="K835" s="82">
        <v>1</v>
      </c>
      <c r="L835" s="82" t="s">
        <v>111</v>
      </c>
      <c r="M835" s="82">
        <f>ROUNDDOWN(VLOOKUP(J835,Sheet1!$N$32:$O$37,2,0)*1000,0)</f>
        <v>3181</v>
      </c>
      <c r="O835" s="67">
        <f t="shared" si="90"/>
        <v>0.365632183908046</v>
      </c>
      <c r="P835" s="67">
        <v>11000</v>
      </c>
    </row>
    <row r="836" spans="1:16">
      <c r="A836" s="82">
        <v>834</v>
      </c>
      <c r="B836" s="82">
        <v>11200</v>
      </c>
      <c r="C836" s="82">
        <v>2</v>
      </c>
      <c r="D836" s="82">
        <f t="shared" si="91"/>
        <v>87913</v>
      </c>
      <c r="E836" s="82">
        <f t="shared" si="89"/>
        <v>91094</v>
      </c>
      <c r="F836" s="82"/>
      <c r="G836" s="82">
        <v>907033</v>
      </c>
      <c r="H836" s="82" t="s">
        <v>273</v>
      </c>
      <c r="I836" s="82"/>
      <c r="J836" s="82" t="s">
        <v>266</v>
      </c>
      <c r="K836" s="82">
        <v>1</v>
      </c>
      <c r="L836" s="82" t="s">
        <v>111</v>
      </c>
      <c r="M836" s="82">
        <f>ROUNDDOWN(VLOOKUP(J836,Sheet1!$N$32:$O$37,2,0)*1000,0)</f>
        <v>3181</v>
      </c>
      <c r="O836" s="67">
        <f t="shared" si="90"/>
        <v>0.365632183908046</v>
      </c>
      <c r="P836" s="67">
        <v>11000</v>
      </c>
    </row>
    <row r="837" spans="1:16">
      <c r="A837" s="82">
        <v>835</v>
      </c>
      <c r="B837" s="82">
        <v>11200</v>
      </c>
      <c r="C837" s="82">
        <v>2</v>
      </c>
      <c r="D837" s="82">
        <f t="shared" si="91"/>
        <v>91094</v>
      </c>
      <c r="E837" s="82">
        <f t="shared" si="89"/>
        <v>94275</v>
      </c>
      <c r="F837" s="82"/>
      <c r="G837" s="82">
        <v>907035</v>
      </c>
      <c r="H837" s="82" t="s">
        <v>274</v>
      </c>
      <c r="I837" s="82"/>
      <c r="J837" s="82" t="s">
        <v>266</v>
      </c>
      <c r="K837" s="82">
        <v>1</v>
      </c>
      <c r="L837" s="82" t="s">
        <v>111</v>
      </c>
      <c r="M837" s="82">
        <f>ROUNDDOWN(VLOOKUP(J837,Sheet1!$N$32:$O$37,2,0)*1000,0)</f>
        <v>3181</v>
      </c>
      <c r="O837" s="67">
        <f t="shared" si="90"/>
        <v>0.365632183908046</v>
      </c>
      <c r="P837" s="67">
        <v>11000</v>
      </c>
    </row>
    <row r="838" spans="1:16">
      <c r="A838" s="82">
        <v>836</v>
      </c>
      <c r="B838" s="82">
        <v>11200</v>
      </c>
      <c r="C838" s="82">
        <v>2</v>
      </c>
      <c r="D838" s="82">
        <f t="shared" si="91"/>
        <v>94275</v>
      </c>
      <c r="E838" s="82">
        <f t="shared" si="89"/>
        <v>97456</v>
      </c>
      <c r="F838" s="82"/>
      <c r="G838" s="82">
        <v>907036</v>
      </c>
      <c r="H838" s="82" t="s">
        <v>275</v>
      </c>
      <c r="I838" s="82"/>
      <c r="J838" s="82" t="s">
        <v>266</v>
      </c>
      <c r="K838" s="82">
        <v>1</v>
      </c>
      <c r="L838" s="82" t="s">
        <v>111</v>
      </c>
      <c r="M838" s="82">
        <f>ROUNDDOWN(VLOOKUP(J838,Sheet1!$N$32:$O$37,2,0)*1000,0)</f>
        <v>3181</v>
      </c>
      <c r="O838" s="67">
        <f t="shared" si="90"/>
        <v>0.365632183908046</v>
      </c>
      <c r="P838" s="67">
        <v>11000</v>
      </c>
    </row>
    <row r="839" spans="1:16">
      <c r="A839" s="82">
        <v>837</v>
      </c>
      <c r="B839" s="82">
        <v>11200</v>
      </c>
      <c r="C839" s="82">
        <v>2</v>
      </c>
      <c r="D839" s="82">
        <f t="shared" si="91"/>
        <v>97456</v>
      </c>
      <c r="E839" s="82">
        <f t="shared" si="89"/>
        <v>100637</v>
      </c>
      <c r="F839" s="82"/>
      <c r="G839" s="82">
        <v>907038</v>
      </c>
      <c r="H839" s="82" t="s">
        <v>276</v>
      </c>
      <c r="I839" s="82"/>
      <c r="J839" s="82" t="s">
        <v>266</v>
      </c>
      <c r="K839" s="82">
        <v>1</v>
      </c>
      <c r="L839" s="82" t="s">
        <v>111</v>
      </c>
      <c r="M839" s="82">
        <f>ROUNDDOWN(VLOOKUP(J839,Sheet1!$N$32:$O$37,2,0)*1000,0)</f>
        <v>3181</v>
      </c>
      <c r="O839" s="67">
        <f t="shared" si="90"/>
        <v>0.365632183908046</v>
      </c>
      <c r="P839" s="67">
        <v>11000</v>
      </c>
    </row>
    <row r="840" spans="1:16">
      <c r="A840" s="82">
        <v>838</v>
      </c>
      <c r="B840" s="82">
        <v>11200</v>
      </c>
      <c r="C840" s="82">
        <v>6</v>
      </c>
      <c r="D840" s="82">
        <f t="shared" si="91"/>
        <v>100637</v>
      </c>
      <c r="E840" s="82">
        <f t="shared" si="89"/>
        <v>100697</v>
      </c>
      <c r="F840" s="82"/>
      <c r="G840" s="82" t="s">
        <v>277</v>
      </c>
      <c r="H840" s="82" t="s">
        <v>278</v>
      </c>
      <c r="I840" s="82"/>
      <c r="J840" s="82" t="s">
        <v>279</v>
      </c>
      <c r="K840" s="82">
        <v>1</v>
      </c>
      <c r="L840" s="82" t="s">
        <v>111</v>
      </c>
      <c r="M840" s="82">
        <f>ROUNDDOWN(VLOOKUP(J840,Sheet1!$N$32:$O$37,2,0)*1000,0)</f>
        <v>60</v>
      </c>
      <c r="O840" s="67">
        <f t="shared" si="90"/>
        <v>0.00689655172413793</v>
      </c>
      <c r="P840" s="67">
        <v>11000</v>
      </c>
    </row>
    <row r="841" spans="1:16">
      <c r="A841" s="82">
        <v>839</v>
      </c>
      <c r="B841" s="82">
        <v>11200</v>
      </c>
      <c r="C841" s="82">
        <v>6</v>
      </c>
      <c r="D841" s="82">
        <f t="shared" si="91"/>
        <v>100697</v>
      </c>
      <c r="E841" s="82">
        <f t="shared" si="89"/>
        <v>100757</v>
      </c>
      <c r="F841" s="82"/>
      <c r="G841" s="82" t="s">
        <v>280</v>
      </c>
      <c r="H841" s="82" t="s">
        <v>281</v>
      </c>
      <c r="I841" s="82"/>
      <c r="J841" s="82" t="s">
        <v>279</v>
      </c>
      <c r="K841" s="82">
        <v>1</v>
      </c>
      <c r="L841" s="82" t="s">
        <v>111</v>
      </c>
      <c r="M841" s="82">
        <f>ROUNDDOWN(VLOOKUP(J841,Sheet1!$N$32:$O$37,2,0)*1000,0)</f>
        <v>60</v>
      </c>
      <c r="O841" s="67">
        <f t="shared" ref="O841:O904" si="92">(E841-D841)/$E$438</f>
        <v>0.000659145088819801</v>
      </c>
      <c r="P841" s="67">
        <v>11001</v>
      </c>
    </row>
    <row r="842" spans="1:16">
      <c r="A842" s="82">
        <v>840</v>
      </c>
      <c r="B842" s="82">
        <v>11200</v>
      </c>
      <c r="C842" s="82">
        <v>6</v>
      </c>
      <c r="D842" s="82">
        <f t="shared" si="91"/>
        <v>100757</v>
      </c>
      <c r="E842" s="82">
        <f t="shared" si="89"/>
        <v>100817</v>
      </c>
      <c r="F842" s="82"/>
      <c r="G842" s="82" t="s">
        <v>282</v>
      </c>
      <c r="H842" s="82" t="s">
        <v>283</v>
      </c>
      <c r="I842" s="82"/>
      <c r="J842" s="82" t="s">
        <v>279</v>
      </c>
      <c r="K842" s="82">
        <v>1</v>
      </c>
      <c r="L842" s="82" t="s">
        <v>111</v>
      </c>
      <c r="M842" s="82">
        <f>ROUNDDOWN(VLOOKUP(J842,Sheet1!$N$32:$O$37,2,0)*1000,0)</f>
        <v>60</v>
      </c>
      <c r="O842" s="67">
        <f t="shared" si="92"/>
        <v>0.000659145088819801</v>
      </c>
      <c r="P842" s="67">
        <v>11002</v>
      </c>
    </row>
    <row r="843" spans="1:16">
      <c r="A843" s="82">
        <v>841</v>
      </c>
      <c r="B843" s="82">
        <v>11200</v>
      </c>
      <c r="C843" s="82">
        <v>6</v>
      </c>
      <c r="D843" s="82">
        <f t="shared" si="91"/>
        <v>100817</v>
      </c>
      <c r="E843" s="82">
        <f t="shared" si="89"/>
        <v>100877</v>
      </c>
      <c r="F843" s="82"/>
      <c r="G843" s="82" t="s">
        <v>284</v>
      </c>
      <c r="H843" s="82" t="s">
        <v>285</v>
      </c>
      <c r="I843" s="82"/>
      <c r="J843" s="82" t="s">
        <v>279</v>
      </c>
      <c r="K843" s="82">
        <v>1</v>
      </c>
      <c r="L843" s="82" t="s">
        <v>111</v>
      </c>
      <c r="M843" s="82">
        <f>ROUNDDOWN(VLOOKUP(J843,Sheet1!$N$32:$O$37,2,0)*1000,0)</f>
        <v>60</v>
      </c>
      <c r="O843" s="67">
        <f t="shared" si="92"/>
        <v>0.000659145088819801</v>
      </c>
      <c r="P843" s="67">
        <v>11003</v>
      </c>
    </row>
    <row r="844" spans="1:16">
      <c r="A844" s="82">
        <v>842</v>
      </c>
      <c r="B844" s="82">
        <v>11200</v>
      </c>
      <c r="C844" s="82">
        <v>6</v>
      </c>
      <c r="D844" s="82">
        <f t="shared" si="91"/>
        <v>100877</v>
      </c>
      <c r="E844" s="82">
        <f t="shared" si="89"/>
        <v>100937</v>
      </c>
      <c r="F844" s="82"/>
      <c r="G844" s="82" t="s">
        <v>286</v>
      </c>
      <c r="H844" s="82" t="s">
        <v>287</v>
      </c>
      <c r="I844" s="82"/>
      <c r="J844" s="82" t="s">
        <v>279</v>
      </c>
      <c r="K844" s="82">
        <v>1</v>
      </c>
      <c r="L844" s="82" t="s">
        <v>111</v>
      </c>
      <c r="M844" s="82">
        <f>ROUNDDOWN(VLOOKUP(J844,Sheet1!$N$32:$O$37,2,0)*1000,0)</f>
        <v>60</v>
      </c>
      <c r="O844" s="67">
        <f t="shared" si="92"/>
        <v>0.000659145088819801</v>
      </c>
      <c r="P844" s="67">
        <v>11004</v>
      </c>
    </row>
    <row r="845" spans="1:16">
      <c r="A845" s="82">
        <v>843</v>
      </c>
      <c r="B845" s="82">
        <v>11200</v>
      </c>
      <c r="C845" s="82">
        <v>6</v>
      </c>
      <c r="D845" s="82">
        <f t="shared" si="91"/>
        <v>100937</v>
      </c>
      <c r="E845" s="82">
        <f t="shared" si="89"/>
        <v>100997</v>
      </c>
      <c r="F845" s="82"/>
      <c r="G845" s="82" t="s">
        <v>288</v>
      </c>
      <c r="H845" s="82" t="s">
        <v>289</v>
      </c>
      <c r="I845" s="82"/>
      <c r="J845" s="82" t="s">
        <v>279</v>
      </c>
      <c r="K845" s="82">
        <v>1</v>
      </c>
      <c r="L845" s="82" t="s">
        <v>111</v>
      </c>
      <c r="M845" s="82">
        <f>ROUNDDOWN(VLOOKUP(J845,Sheet1!$N$32:$O$37,2,0)*1000,0)</f>
        <v>60</v>
      </c>
      <c r="O845" s="67">
        <f t="shared" si="92"/>
        <v>0.000659145088819801</v>
      </c>
      <c r="P845" s="67">
        <v>11005</v>
      </c>
    </row>
    <row r="846" spans="1:16">
      <c r="A846" s="82">
        <v>844</v>
      </c>
      <c r="B846" s="82">
        <v>11200</v>
      </c>
      <c r="C846" s="82">
        <v>6</v>
      </c>
      <c r="D846" s="82">
        <f t="shared" si="91"/>
        <v>100997</v>
      </c>
      <c r="E846" s="82">
        <f t="shared" si="89"/>
        <v>101057</v>
      </c>
      <c r="F846" s="82"/>
      <c r="G846" s="82" t="s">
        <v>290</v>
      </c>
      <c r="H846" s="82" t="s">
        <v>291</v>
      </c>
      <c r="I846" s="82"/>
      <c r="J846" s="82" t="s">
        <v>279</v>
      </c>
      <c r="K846" s="82">
        <v>1</v>
      </c>
      <c r="L846" s="82" t="s">
        <v>111</v>
      </c>
      <c r="M846" s="82">
        <f>ROUNDDOWN(VLOOKUP(J846,Sheet1!$N$32:$O$37,2,0)*1000,0)</f>
        <v>60</v>
      </c>
      <c r="O846" s="67">
        <f t="shared" si="92"/>
        <v>0.000659145088819801</v>
      </c>
      <c r="P846" s="67">
        <v>11006</v>
      </c>
    </row>
    <row r="847" spans="1:16">
      <c r="A847" s="82">
        <v>845</v>
      </c>
      <c r="B847" s="82">
        <v>11200</v>
      </c>
      <c r="C847" s="82">
        <v>6</v>
      </c>
      <c r="D847" s="82">
        <f t="shared" si="91"/>
        <v>101057</v>
      </c>
      <c r="E847" s="82">
        <f t="shared" si="89"/>
        <v>101117</v>
      </c>
      <c r="F847" s="82"/>
      <c r="G847" s="82" t="s">
        <v>292</v>
      </c>
      <c r="H847" s="82" t="s">
        <v>293</v>
      </c>
      <c r="I847" s="82"/>
      <c r="J847" s="82" t="s">
        <v>279</v>
      </c>
      <c r="K847" s="82">
        <v>1</v>
      </c>
      <c r="L847" s="82" t="s">
        <v>111</v>
      </c>
      <c r="M847" s="82">
        <f>ROUNDDOWN(VLOOKUP(J847,Sheet1!$N$32:$O$37,2,0)*1000,0)</f>
        <v>60</v>
      </c>
      <c r="O847" s="67">
        <f t="shared" si="92"/>
        <v>0.000659145088819801</v>
      </c>
      <c r="P847" s="67">
        <v>11007</v>
      </c>
    </row>
    <row r="848" spans="1:16">
      <c r="A848" s="82">
        <v>846</v>
      </c>
      <c r="B848" s="82">
        <v>11200</v>
      </c>
      <c r="C848" s="82">
        <v>6</v>
      </c>
      <c r="D848" s="82">
        <f t="shared" si="91"/>
        <v>101117</v>
      </c>
      <c r="E848" s="82">
        <f t="shared" si="89"/>
        <v>101177</v>
      </c>
      <c r="F848" s="82"/>
      <c r="G848" s="82" t="s">
        <v>294</v>
      </c>
      <c r="H848" s="82" t="s">
        <v>295</v>
      </c>
      <c r="I848" s="82"/>
      <c r="J848" s="82" t="s">
        <v>279</v>
      </c>
      <c r="K848" s="82">
        <v>1</v>
      </c>
      <c r="L848" s="82" t="s">
        <v>111</v>
      </c>
      <c r="M848" s="82">
        <f>ROUNDDOWN(VLOOKUP(J848,Sheet1!$N$32:$O$37,2,0)*1000,0)</f>
        <v>60</v>
      </c>
      <c r="O848" s="67">
        <f t="shared" si="92"/>
        <v>0.000659145088819801</v>
      </c>
      <c r="P848" s="67">
        <v>11008</v>
      </c>
    </row>
    <row r="849" spans="1:16">
      <c r="A849" s="82">
        <v>847</v>
      </c>
      <c r="B849" s="82">
        <v>11200</v>
      </c>
      <c r="C849" s="82">
        <v>6</v>
      </c>
      <c r="D849" s="82">
        <f t="shared" si="91"/>
        <v>101177</v>
      </c>
      <c r="E849" s="82">
        <f t="shared" si="89"/>
        <v>101237</v>
      </c>
      <c r="F849" s="82"/>
      <c r="G849" s="82" t="s">
        <v>296</v>
      </c>
      <c r="H849" s="82" t="s">
        <v>297</v>
      </c>
      <c r="I849" s="82"/>
      <c r="J849" s="82" t="s">
        <v>279</v>
      </c>
      <c r="K849" s="82">
        <v>1</v>
      </c>
      <c r="L849" s="82" t="s">
        <v>111</v>
      </c>
      <c r="M849" s="82">
        <f>ROUNDDOWN(VLOOKUP(J849,Sheet1!$N$32:$O$37,2,0)*1000,0)</f>
        <v>60</v>
      </c>
      <c r="O849" s="67">
        <f t="shared" si="92"/>
        <v>0.000659145088819801</v>
      </c>
      <c r="P849" s="67">
        <v>11009</v>
      </c>
    </row>
    <row r="850" spans="1:16">
      <c r="A850" s="82">
        <v>848</v>
      </c>
      <c r="B850" s="82">
        <v>11200</v>
      </c>
      <c r="C850" s="82">
        <v>6</v>
      </c>
      <c r="D850" s="82">
        <f t="shared" si="91"/>
        <v>101237</v>
      </c>
      <c r="E850" s="82">
        <f t="shared" si="89"/>
        <v>101297</v>
      </c>
      <c r="F850" s="82"/>
      <c r="G850" s="82" t="s">
        <v>298</v>
      </c>
      <c r="H850" s="82" t="s">
        <v>299</v>
      </c>
      <c r="I850" s="82"/>
      <c r="J850" s="82" t="s">
        <v>279</v>
      </c>
      <c r="K850" s="82">
        <v>1</v>
      </c>
      <c r="L850" s="82" t="s">
        <v>111</v>
      </c>
      <c r="M850" s="82">
        <f>ROUNDDOWN(VLOOKUP(J850,Sheet1!$N$32:$O$37,2,0)*1000,0)</f>
        <v>60</v>
      </c>
      <c r="O850" s="67">
        <f t="shared" si="92"/>
        <v>0.000659145088819801</v>
      </c>
      <c r="P850" s="67">
        <v>11010</v>
      </c>
    </row>
    <row r="851" spans="1:16">
      <c r="A851" s="82">
        <v>849</v>
      </c>
      <c r="B851" s="82">
        <v>11200</v>
      </c>
      <c r="C851" s="82">
        <v>6</v>
      </c>
      <c r="D851" s="82">
        <f t="shared" si="91"/>
        <v>101297</v>
      </c>
      <c r="E851" s="82">
        <f t="shared" si="89"/>
        <v>101357</v>
      </c>
      <c r="F851" s="82"/>
      <c r="G851" s="82" t="s">
        <v>300</v>
      </c>
      <c r="H851" s="82" t="s">
        <v>301</v>
      </c>
      <c r="I851" s="82"/>
      <c r="J851" s="82" t="s">
        <v>279</v>
      </c>
      <c r="K851" s="82">
        <v>1</v>
      </c>
      <c r="L851" s="82" t="s">
        <v>111</v>
      </c>
      <c r="M851" s="82">
        <f>ROUNDDOWN(VLOOKUP(J851,Sheet1!$N$32:$O$37,2,0)*1000,0)</f>
        <v>60</v>
      </c>
      <c r="O851" s="67">
        <f t="shared" si="92"/>
        <v>0.000659145088819801</v>
      </c>
      <c r="P851" s="67">
        <v>11011</v>
      </c>
    </row>
    <row r="852" spans="1:16">
      <c r="A852" s="82">
        <v>850</v>
      </c>
      <c r="B852" s="82">
        <v>11200</v>
      </c>
      <c r="C852" s="82">
        <v>6</v>
      </c>
      <c r="D852" s="82">
        <f t="shared" si="91"/>
        <v>101357</v>
      </c>
      <c r="E852" s="82">
        <f t="shared" si="89"/>
        <v>101417</v>
      </c>
      <c r="F852" s="82"/>
      <c r="G852" s="82" t="s">
        <v>302</v>
      </c>
      <c r="H852" s="82" t="s">
        <v>303</v>
      </c>
      <c r="I852" s="82"/>
      <c r="J852" s="82" t="s">
        <v>279</v>
      </c>
      <c r="K852" s="82">
        <v>1</v>
      </c>
      <c r="L852" s="82" t="s">
        <v>111</v>
      </c>
      <c r="M852" s="82">
        <f>ROUNDDOWN(VLOOKUP(J852,Sheet1!$N$32:$O$37,2,0)*1000,0)</f>
        <v>60</v>
      </c>
      <c r="O852" s="67">
        <f t="shared" si="92"/>
        <v>0.000659145088819801</v>
      </c>
      <c r="P852" s="67">
        <v>11012</v>
      </c>
    </row>
    <row r="853" spans="1:16">
      <c r="A853" s="82">
        <v>851</v>
      </c>
      <c r="B853" s="82">
        <v>11200</v>
      </c>
      <c r="C853" s="82">
        <v>6</v>
      </c>
      <c r="D853" s="82">
        <f t="shared" si="91"/>
        <v>101417</v>
      </c>
      <c r="E853" s="82">
        <f t="shared" si="89"/>
        <v>101477</v>
      </c>
      <c r="F853" s="82"/>
      <c r="G853" s="82" t="s">
        <v>304</v>
      </c>
      <c r="H853" s="82" t="s">
        <v>305</v>
      </c>
      <c r="I853" s="82"/>
      <c r="J853" s="82" t="s">
        <v>279</v>
      </c>
      <c r="K853" s="82">
        <v>1</v>
      </c>
      <c r="L853" s="82" t="s">
        <v>111</v>
      </c>
      <c r="M853" s="82">
        <f>ROUNDDOWN(VLOOKUP(J853,Sheet1!$N$32:$O$37,2,0)*1000,0)</f>
        <v>60</v>
      </c>
      <c r="O853" s="67">
        <f t="shared" si="92"/>
        <v>0.000659145088819801</v>
      </c>
      <c r="P853" s="67">
        <v>11013</v>
      </c>
    </row>
    <row r="854" spans="1:16">
      <c r="A854" s="82">
        <v>852</v>
      </c>
      <c r="B854" s="82">
        <v>11200</v>
      </c>
      <c r="C854" s="82">
        <v>6</v>
      </c>
      <c r="D854" s="82">
        <f t="shared" si="91"/>
        <v>101477</v>
      </c>
      <c r="E854" s="82">
        <f t="shared" si="89"/>
        <v>101537</v>
      </c>
      <c r="F854" s="82"/>
      <c r="G854" s="82" t="s">
        <v>306</v>
      </c>
      <c r="H854" s="82" t="s">
        <v>307</v>
      </c>
      <c r="I854" s="82"/>
      <c r="J854" s="82" t="s">
        <v>279</v>
      </c>
      <c r="K854" s="82">
        <v>1</v>
      </c>
      <c r="L854" s="82" t="s">
        <v>111</v>
      </c>
      <c r="M854" s="82">
        <f>ROUNDDOWN(VLOOKUP(J854,Sheet1!$N$32:$O$37,2,0)*1000,0)</f>
        <v>60</v>
      </c>
      <c r="O854" s="67">
        <f t="shared" si="92"/>
        <v>0.000659145088819801</v>
      </c>
      <c r="P854" s="67">
        <v>11014</v>
      </c>
    </row>
    <row r="855" spans="1:16">
      <c r="A855" s="82">
        <v>853</v>
      </c>
      <c r="B855" s="82">
        <v>11200</v>
      </c>
      <c r="C855" s="82">
        <v>6</v>
      </c>
      <c r="D855" s="82">
        <f t="shared" si="91"/>
        <v>101537</v>
      </c>
      <c r="E855" s="82">
        <f t="shared" si="89"/>
        <v>101597</v>
      </c>
      <c r="F855" s="82"/>
      <c r="G855" s="82" t="s">
        <v>308</v>
      </c>
      <c r="H855" s="82" t="s">
        <v>309</v>
      </c>
      <c r="I855" s="82"/>
      <c r="J855" s="82" t="s">
        <v>279</v>
      </c>
      <c r="K855" s="82">
        <v>1</v>
      </c>
      <c r="L855" s="82" t="s">
        <v>111</v>
      </c>
      <c r="M855" s="82">
        <f>ROUNDDOWN(VLOOKUP(J855,Sheet1!$N$32:$O$37,2,0)*1000,0)</f>
        <v>60</v>
      </c>
      <c r="O855" s="67">
        <f t="shared" si="92"/>
        <v>0.000659145088819801</v>
      </c>
      <c r="P855" s="67">
        <v>11015</v>
      </c>
    </row>
    <row r="856" spans="1:16">
      <c r="A856" s="82">
        <v>854</v>
      </c>
      <c r="B856" s="82">
        <v>11200</v>
      </c>
      <c r="C856" s="82">
        <v>6</v>
      </c>
      <c r="D856" s="82">
        <f t="shared" si="91"/>
        <v>101597</v>
      </c>
      <c r="E856" s="82">
        <f t="shared" si="89"/>
        <v>101657</v>
      </c>
      <c r="F856" s="82"/>
      <c r="G856" s="82" t="s">
        <v>310</v>
      </c>
      <c r="H856" s="82" t="s">
        <v>311</v>
      </c>
      <c r="I856" s="82"/>
      <c r="J856" s="82" t="s">
        <v>279</v>
      </c>
      <c r="K856" s="82">
        <v>1</v>
      </c>
      <c r="L856" s="82" t="s">
        <v>111</v>
      </c>
      <c r="M856" s="82">
        <f>ROUNDDOWN(VLOOKUP(J856,Sheet1!$N$32:$O$37,2,0)*1000,0)</f>
        <v>60</v>
      </c>
      <c r="O856" s="67">
        <f t="shared" si="92"/>
        <v>0.000659145088819801</v>
      </c>
      <c r="P856" s="67">
        <v>11016</v>
      </c>
    </row>
    <row r="857" spans="1:16">
      <c r="A857" s="82">
        <v>855</v>
      </c>
      <c r="B857" s="82">
        <v>11200</v>
      </c>
      <c r="C857" s="82">
        <v>6</v>
      </c>
      <c r="D857" s="82">
        <f t="shared" si="91"/>
        <v>101657</v>
      </c>
      <c r="E857" s="82">
        <f t="shared" si="89"/>
        <v>101717</v>
      </c>
      <c r="F857" s="82"/>
      <c r="G857" s="82" t="s">
        <v>312</v>
      </c>
      <c r="H857" s="82" t="s">
        <v>313</v>
      </c>
      <c r="I857" s="82"/>
      <c r="J857" s="82" t="s">
        <v>279</v>
      </c>
      <c r="K857" s="82">
        <v>1</v>
      </c>
      <c r="L857" s="82" t="s">
        <v>111</v>
      </c>
      <c r="M857" s="82">
        <f>ROUNDDOWN(VLOOKUP(J857,Sheet1!$N$32:$O$37,2,0)*1000,0)</f>
        <v>60</v>
      </c>
      <c r="O857" s="67">
        <f t="shared" si="92"/>
        <v>0.000659145088819801</v>
      </c>
      <c r="P857" s="67">
        <v>11017</v>
      </c>
    </row>
    <row r="858" spans="1:16">
      <c r="A858" s="82">
        <v>856</v>
      </c>
      <c r="B858" s="82">
        <v>11200</v>
      </c>
      <c r="C858" s="82">
        <v>6</v>
      </c>
      <c r="D858" s="82">
        <f t="shared" si="91"/>
        <v>101717</v>
      </c>
      <c r="E858" s="82">
        <f t="shared" si="89"/>
        <v>101777</v>
      </c>
      <c r="F858" s="82"/>
      <c r="G858" s="82" t="s">
        <v>314</v>
      </c>
      <c r="H858" s="82" t="s">
        <v>315</v>
      </c>
      <c r="I858" s="82"/>
      <c r="J858" s="82" t="s">
        <v>279</v>
      </c>
      <c r="K858" s="82">
        <v>1</v>
      </c>
      <c r="L858" s="82" t="s">
        <v>111</v>
      </c>
      <c r="M858" s="82">
        <f>ROUNDDOWN(VLOOKUP(J858,Sheet1!$N$32:$O$37,2,0)*1000,0)</f>
        <v>60</v>
      </c>
      <c r="O858" s="67">
        <f t="shared" si="92"/>
        <v>0.000659145088819801</v>
      </c>
      <c r="P858" s="67">
        <v>11018</v>
      </c>
    </row>
    <row r="859" spans="1:16">
      <c r="A859" s="82">
        <v>857</v>
      </c>
      <c r="B859" s="82">
        <v>11200</v>
      </c>
      <c r="C859" s="82">
        <v>6</v>
      </c>
      <c r="D859" s="82">
        <f t="shared" si="91"/>
        <v>101777</v>
      </c>
      <c r="E859" s="82">
        <f t="shared" si="89"/>
        <v>101837</v>
      </c>
      <c r="F859" s="82"/>
      <c r="G859" s="82" t="s">
        <v>316</v>
      </c>
      <c r="H859" s="82" t="s">
        <v>317</v>
      </c>
      <c r="I859" s="82"/>
      <c r="J859" s="82" t="s">
        <v>279</v>
      </c>
      <c r="K859" s="82">
        <v>1</v>
      </c>
      <c r="L859" s="82" t="s">
        <v>111</v>
      </c>
      <c r="M859" s="82">
        <f>ROUNDDOWN(VLOOKUP(J859,Sheet1!$N$32:$O$37,2,0)*1000,0)</f>
        <v>60</v>
      </c>
      <c r="O859" s="67">
        <f t="shared" si="92"/>
        <v>0.000659145088819801</v>
      </c>
      <c r="P859" s="67">
        <v>11019</v>
      </c>
    </row>
    <row r="860" spans="1:16">
      <c r="A860" s="82">
        <v>858</v>
      </c>
      <c r="B860" s="82">
        <v>11200</v>
      </c>
      <c r="C860" s="82">
        <v>6</v>
      </c>
      <c r="D860" s="82">
        <f t="shared" si="91"/>
        <v>101837</v>
      </c>
      <c r="E860" s="82">
        <f t="shared" si="89"/>
        <v>101897</v>
      </c>
      <c r="F860" s="82"/>
      <c r="G860" s="82" t="s">
        <v>318</v>
      </c>
      <c r="H860" s="82" t="s">
        <v>319</v>
      </c>
      <c r="I860" s="82"/>
      <c r="J860" s="82" t="s">
        <v>279</v>
      </c>
      <c r="K860" s="82">
        <v>1</v>
      </c>
      <c r="L860" s="82" t="s">
        <v>111</v>
      </c>
      <c r="M860" s="82">
        <f>ROUNDDOWN(VLOOKUP(J860,Sheet1!$N$32:$O$37,2,0)*1000,0)</f>
        <v>60</v>
      </c>
      <c r="O860" s="67">
        <f t="shared" si="92"/>
        <v>0.000659145088819801</v>
      </c>
      <c r="P860" s="67">
        <v>11020</v>
      </c>
    </row>
    <row r="861" spans="1:16">
      <c r="A861" s="82">
        <v>859</v>
      </c>
      <c r="B861" s="82">
        <v>11200</v>
      </c>
      <c r="C861" s="82">
        <v>6</v>
      </c>
      <c r="D861" s="82">
        <f t="shared" si="91"/>
        <v>101897</v>
      </c>
      <c r="E861" s="82">
        <f t="shared" si="89"/>
        <v>101957</v>
      </c>
      <c r="F861" s="82"/>
      <c r="G861" s="82" t="s">
        <v>320</v>
      </c>
      <c r="H861" s="82" t="s">
        <v>321</v>
      </c>
      <c r="I861" s="82"/>
      <c r="J861" s="82" t="s">
        <v>279</v>
      </c>
      <c r="K861" s="82">
        <v>1</v>
      </c>
      <c r="L861" s="82" t="s">
        <v>111</v>
      </c>
      <c r="M861" s="82">
        <f>ROUNDDOWN(VLOOKUP(J861,Sheet1!$N$32:$O$37,2,0)*1000,0)</f>
        <v>60</v>
      </c>
      <c r="O861" s="67">
        <f t="shared" si="92"/>
        <v>0.000659145088819801</v>
      </c>
      <c r="P861" s="67">
        <v>11021</v>
      </c>
    </row>
    <row r="862" spans="1:16">
      <c r="A862" s="82">
        <v>860</v>
      </c>
      <c r="B862" s="82">
        <v>11200</v>
      </c>
      <c r="C862" s="82">
        <v>6</v>
      </c>
      <c r="D862" s="82">
        <f t="shared" si="91"/>
        <v>101957</v>
      </c>
      <c r="E862" s="82">
        <f t="shared" si="89"/>
        <v>102017</v>
      </c>
      <c r="F862" s="82"/>
      <c r="G862" s="82" t="s">
        <v>322</v>
      </c>
      <c r="H862" s="82" t="s">
        <v>323</v>
      </c>
      <c r="I862" s="82"/>
      <c r="J862" s="82" t="s">
        <v>279</v>
      </c>
      <c r="K862" s="82">
        <v>1</v>
      </c>
      <c r="L862" s="82" t="s">
        <v>111</v>
      </c>
      <c r="M862" s="82">
        <f>ROUNDDOWN(VLOOKUP(J862,Sheet1!$N$32:$O$37,2,0)*1000,0)</f>
        <v>60</v>
      </c>
      <c r="O862" s="67">
        <f t="shared" si="92"/>
        <v>0.000659145088819801</v>
      </c>
      <c r="P862" s="67">
        <v>11022</v>
      </c>
    </row>
    <row r="863" spans="1:16">
      <c r="A863" s="82">
        <v>861</v>
      </c>
      <c r="B863" s="82">
        <v>11200</v>
      </c>
      <c r="C863" s="82">
        <v>6</v>
      </c>
      <c r="D863" s="82">
        <f t="shared" si="91"/>
        <v>102017</v>
      </c>
      <c r="E863" s="82">
        <f t="shared" si="89"/>
        <v>102077</v>
      </c>
      <c r="F863" s="82"/>
      <c r="G863" s="82" t="s">
        <v>324</v>
      </c>
      <c r="H863" s="82" t="s">
        <v>325</v>
      </c>
      <c r="I863" s="82"/>
      <c r="J863" s="82" t="s">
        <v>279</v>
      </c>
      <c r="K863" s="82">
        <v>1</v>
      </c>
      <c r="L863" s="82" t="s">
        <v>111</v>
      </c>
      <c r="M863" s="82">
        <f>ROUNDDOWN(VLOOKUP(J863,Sheet1!$N$32:$O$37,2,0)*1000,0)</f>
        <v>60</v>
      </c>
      <c r="O863" s="67">
        <f t="shared" si="92"/>
        <v>0.000659145088819801</v>
      </c>
      <c r="P863" s="67">
        <v>11023</v>
      </c>
    </row>
    <row r="864" spans="1:16">
      <c r="A864" s="82">
        <v>862</v>
      </c>
      <c r="B864" s="82">
        <v>11200</v>
      </c>
      <c r="C864" s="82">
        <v>6</v>
      </c>
      <c r="D864" s="82">
        <f t="shared" si="91"/>
        <v>102077</v>
      </c>
      <c r="E864" s="82">
        <f t="shared" ref="E864:E927" si="93">D864+M864</f>
        <v>102137</v>
      </c>
      <c r="F864" s="82"/>
      <c r="G864" s="82" t="s">
        <v>326</v>
      </c>
      <c r="H864" s="82" t="s">
        <v>327</v>
      </c>
      <c r="I864" s="82"/>
      <c r="J864" s="82" t="s">
        <v>279</v>
      </c>
      <c r="K864" s="82">
        <v>1</v>
      </c>
      <c r="L864" s="82" t="s">
        <v>111</v>
      </c>
      <c r="M864" s="82">
        <f>ROUNDDOWN(VLOOKUP(J864,Sheet1!$N$32:$O$37,2,0)*1000,0)</f>
        <v>60</v>
      </c>
      <c r="O864" s="67">
        <f t="shared" si="92"/>
        <v>0.000659145088819801</v>
      </c>
      <c r="P864" s="67">
        <v>11024</v>
      </c>
    </row>
    <row r="865" spans="1:16">
      <c r="A865" s="82">
        <v>863</v>
      </c>
      <c r="B865" s="82">
        <v>11200</v>
      </c>
      <c r="C865" s="82">
        <v>6</v>
      </c>
      <c r="D865" s="82">
        <f t="shared" si="91"/>
        <v>102137</v>
      </c>
      <c r="E865" s="82">
        <f t="shared" si="93"/>
        <v>102197</v>
      </c>
      <c r="F865" s="82"/>
      <c r="G865" s="82" t="s">
        <v>328</v>
      </c>
      <c r="H865" s="82" t="s">
        <v>329</v>
      </c>
      <c r="I865" s="82"/>
      <c r="J865" s="82" t="s">
        <v>279</v>
      </c>
      <c r="K865" s="82">
        <v>1</v>
      </c>
      <c r="L865" s="82" t="s">
        <v>111</v>
      </c>
      <c r="M865" s="82">
        <f>ROUNDDOWN(VLOOKUP(J865,Sheet1!$N$32:$O$37,2,0)*1000,0)</f>
        <v>60</v>
      </c>
      <c r="O865" s="67">
        <f t="shared" si="92"/>
        <v>0.000659145088819801</v>
      </c>
      <c r="P865" s="67">
        <v>11025</v>
      </c>
    </row>
    <row r="866" spans="1:16">
      <c r="A866" s="82">
        <v>864</v>
      </c>
      <c r="B866" s="82">
        <v>11200</v>
      </c>
      <c r="C866" s="82">
        <v>6</v>
      </c>
      <c r="D866" s="82">
        <f t="shared" si="91"/>
        <v>102197</v>
      </c>
      <c r="E866" s="82">
        <f t="shared" si="93"/>
        <v>102257</v>
      </c>
      <c r="F866" s="82"/>
      <c r="G866" s="82" t="s">
        <v>330</v>
      </c>
      <c r="H866" s="82" t="s">
        <v>331</v>
      </c>
      <c r="I866" s="82"/>
      <c r="J866" s="82" t="s">
        <v>279</v>
      </c>
      <c r="K866" s="82">
        <v>1</v>
      </c>
      <c r="L866" s="82" t="s">
        <v>111</v>
      </c>
      <c r="M866" s="82">
        <f>ROUNDDOWN(VLOOKUP(J866,Sheet1!$N$32:$O$37,2,0)*1000,0)</f>
        <v>60</v>
      </c>
      <c r="O866" s="67">
        <f t="shared" si="92"/>
        <v>0.000659145088819801</v>
      </c>
      <c r="P866" s="67">
        <v>11026</v>
      </c>
    </row>
    <row r="867" spans="1:16">
      <c r="A867" s="82">
        <v>865</v>
      </c>
      <c r="B867" s="82">
        <v>11200</v>
      </c>
      <c r="C867" s="82">
        <v>6</v>
      </c>
      <c r="D867" s="82">
        <f t="shared" si="91"/>
        <v>102257</v>
      </c>
      <c r="E867" s="82">
        <f t="shared" si="93"/>
        <v>102317</v>
      </c>
      <c r="F867" s="82"/>
      <c r="G867" s="82" t="s">
        <v>332</v>
      </c>
      <c r="H867" s="82" t="s">
        <v>333</v>
      </c>
      <c r="I867" s="82"/>
      <c r="J867" s="82" t="s">
        <v>279</v>
      </c>
      <c r="K867" s="82">
        <v>1</v>
      </c>
      <c r="L867" s="82" t="s">
        <v>111</v>
      </c>
      <c r="M867" s="82">
        <f>ROUNDDOWN(VLOOKUP(J867,Sheet1!$N$32:$O$37,2,0)*1000,0)</f>
        <v>60</v>
      </c>
      <c r="O867" s="67">
        <f t="shared" si="92"/>
        <v>0.000659145088819801</v>
      </c>
      <c r="P867" s="67">
        <v>11027</v>
      </c>
    </row>
    <row r="868" spans="1:16">
      <c r="A868" s="82">
        <v>866</v>
      </c>
      <c r="B868" s="82">
        <v>11200</v>
      </c>
      <c r="C868" s="82">
        <v>6</v>
      </c>
      <c r="D868" s="82">
        <f t="shared" si="91"/>
        <v>102317</v>
      </c>
      <c r="E868" s="82">
        <f t="shared" si="93"/>
        <v>102377</v>
      </c>
      <c r="F868" s="82"/>
      <c r="G868" s="82" t="s">
        <v>334</v>
      </c>
      <c r="H868" s="82" t="s">
        <v>335</v>
      </c>
      <c r="I868" s="82"/>
      <c r="J868" s="82" t="s">
        <v>279</v>
      </c>
      <c r="K868" s="82">
        <v>1</v>
      </c>
      <c r="L868" s="82" t="s">
        <v>111</v>
      </c>
      <c r="M868" s="82">
        <f>ROUNDDOWN(VLOOKUP(J868,Sheet1!$N$32:$O$37,2,0)*1000,0)</f>
        <v>60</v>
      </c>
      <c r="O868" s="67">
        <f t="shared" si="92"/>
        <v>0.000659145088819801</v>
      </c>
      <c r="P868" s="67">
        <v>11028</v>
      </c>
    </row>
    <row r="869" spans="1:16">
      <c r="A869" s="82">
        <v>867</v>
      </c>
      <c r="B869" s="82">
        <v>11200</v>
      </c>
      <c r="C869" s="82">
        <v>6</v>
      </c>
      <c r="D869" s="82">
        <f t="shared" si="91"/>
        <v>102377</v>
      </c>
      <c r="E869" s="82">
        <f t="shared" si="93"/>
        <v>102437</v>
      </c>
      <c r="F869" s="82"/>
      <c r="G869" s="82" t="s">
        <v>336</v>
      </c>
      <c r="H869" s="82" t="s">
        <v>337</v>
      </c>
      <c r="I869" s="82"/>
      <c r="J869" s="82" t="s">
        <v>279</v>
      </c>
      <c r="K869" s="82">
        <v>1</v>
      </c>
      <c r="L869" s="82" t="s">
        <v>111</v>
      </c>
      <c r="M869" s="82">
        <f>ROUNDDOWN(VLOOKUP(J869,Sheet1!$N$32:$O$37,2,0)*1000,0)</f>
        <v>60</v>
      </c>
      <c r="O869" s="67">
        <f t="shared" si="92"/>
        <v>0.000659145088819801</v>
      </c>
      <c r="P869" s="67">
        <v>11029</v>
      </c>
    </row>
    <row r="870" spans="1:16">
      <c r="A870" s="82">
        <v>868</v>
      </c>
      <c r="B870" s="82">
        <v>11200</v>
      </c>
      <c r="C870" s="82">
        <v>6</v>
      </c>
      <c r="D870" s="82">
        <f t="shared" si="91"/>
        <v>102437</v>
      </c>
      <c r="E870" s="82">
        <f t="shared" si="93"/>
        <v>102497</v>
      </c>
      <c r="F870" s="82"/>
      <c r="G870" s="82" t="s">
        <v>338</v>
      </c>
      <c r="H870" s="82" t="s">
        <v>339</v>
      </c>
      <c r="I870" s="82"/>
      <c r="J870" s="82" t="s">
        <v>279</v>
      </c>
      <c r="K870" s="82">
        <v>1</v>
      </c>
      <c r="L870" s="82" t="s">
        <v>111</v>
      </c>
      <c r="M870" s="82">
        <f>ROUNDDOWN(VLOOKUP(J870,Sheet1!$N$32:$O$37,2,0)*1000,0)</f>
        <v>60</v>
      </c>
      <c r="O870" s="67">
        <f t="shared" si="92"/>
        <v>0.000659145088819801</v>
      </c>
      <c r="P870" s="67">
        <v>11030</v>
      </c>
    </row>
    <row r="871" spans="1:16">
      <c r="A871" s="82">
        <v>869</v>
      </c>
      <c r="B871" s="82">
        <v>11200</v>
      </c>
      <c r="C871" s="82">
        <v>6</v>
      </c>
      <c r="D871" s="82">
        <f t="shared" si="91"/>
        <v>102497</v>
      </c>
      <c r="E871" s="82">
        <f t="shared" si="93"/>
        <v>102557</v>
      </c>
      <c r="F871" s="82"/>
      <c r="G871" s="82" t="s">
        <v>340</v>
      </c>
      <c r="H871" s="82" t="s">
        <v>341</v>
      </c>
      <c r="I871" s="82"/>
      <c r="J871" s="82" t="s">
        <v>279</v>
      </c>
      <c r="K871" s="82">
        <v>1</v>
      </c>
      <c r="L871" s="82" t="s">
        <v>111</v>
      </c>
      <c r="M871" s="82">
        <f>ROUNDDOWN(VLOOKUP(J871,Sheet1!$N$32:$O$37,2,0)*1000,0)</f>
        <v>60</v>
      </c>
      <c r="O871" s="67">
        <f t="shared" si="92"/>
        <v>0.000659145088819801</v>
      </c>
      <c r="P871" s="67">
        <v>11031</v>
      </c>
    </row>
    <row r="872" spans="1:16">
      <c r="A872" s="82">
        <v>870</v>
      </c>
      <c r="B872" s="82">
        <v>11200</v>
      </c>
      <c r="C872" s="82">
        <v>6</v>
      </c>
      <c r="D872" s="82">
        <f t="shared" si="91"/>
        <v>102557</v>
      </c>
      <c r="E872" s="82">
        <f t="shared" si="93"/>
        <v>102617</v>
      </c>
      <c r="F872" s="82"/>
      <c r="G872" s="82" t="s">
        <v>342</v>
      </c>
      <c r="H872" s="82" t="s">
        <v>343</v>
      </c>
      <c r="I872" s="82"/>
      <c r="J872" s="82" t="s">
        <v>279</v>
      </c>
      <c r="K872" s="82">
        <v>1</v>
      </c>
      <c r="L872" s="82" t="s">
        <v>111</v>
      </c>
      <c r="M872" s="82">
        <f>ROUNDDOWN(VLOOKUP(J872,Sheet1!$N$32:$O$37,2,0)*1000,0)</f>
        <v>60</v>
      </c>
      <c r="O872" s="67">
        <f t="shared" si="92"/>
        <v>0.000659145088819801</v>
      </c>
      <c r="P872" s="67">
        <v>11032</v>
      </c>
    </row>
    <row r="873" spans="1:16">
      <c r="A873" s="82">
        <v>871</v>
      </c>
      <c r="B873" s="82">
        <v>11200</v>
      </c>
      <c r="C873" s="82">
        <v>6</v>
      </c>
      <c r="D873" s="82">
        <f t="shared" si="91"/>
        <v>102617</v>
      </c>
      <c r="E873" s="82">
        <f t="shared" si="93"/>
        <v>102677</v>
      </c>
      <c r="F873" s="82"/>
      <c r="G873" s="82" t="s">
        <v>344</v>
      </c>
      <c r="H873" s="82" t="s">
        <v>345</v>
      </c>
      <c r="I873" s="82"/>
      <c r="J873" s="82" t="s">
        <v>279</v>
      </c>
      <c r="K873" s="82">
        <v>1</v>
      </c>
      <c r="L873" s="82" t="s">
        <v>111</v>
      </c>
      <c r="M873" s="82">
        <f>ROUNDDOWN(VLOOKUP(J873,Sheet1!$N$32:$O$37,2,0)*1000,0)</f>
        <v>60</v>
      </c>
      <c r="O873" s="67">
        <f t="shared" si="92"/>
        <v>0.000659145088819801</v>
      </c>
      <c r="P873" s="67">
        <v>11033</v>
      </c>
    </row>
    <row r="874" spans="1:16">
      <c r="A874" s="82">
        <v>872</v>
      </c>
      <c r="B874" s="82">
        <v>11200</v>
      </c>
      <c r="C874" s="82">
        <v>6</v>
      </c>
      <c r="D874" s="82">
        <f t="shared" si="91"/>
        <v>102677</v>
      </c>
      <c r="E874" s="82">
        <f t="shared" si="93"/>
        <v>102737</v>
      </c>
      <c r="F874" s="82"/>
      <c r="G874" s="82" t="s">
        <v>346</v>
      </c>
      <c r="H874" s="82" t="s">
        <v>347</v>
      </c>
      <c r="I874" s="82"/>
      <c r="J874" s="82" t="s">
        <v>279</v>
      </c>
      <c r="K874" s="82">
        <v>1</v>
      </c>
      <c r="L874" s="82" t="s">
        <v>111</v>
      </c>
      <c r="M874" s="82">
        <f>ROUNDDOWN(VLOOKUP(J874,Sheet1!$N$32:$O$37,2,0)*1000,0)</f>
        <v>60</v>
      </c>
      <c r="O874" s="67">
        <f t="shared" si="92"/>
        <v>0.000659145088819801</v>
      </c>
      <c r="P874" s="67">
        <v>11034</v>
      </c>
    </row>
    <row r="875" spans="1:16">
      <c r="A875" s="82">
        <v>873</v>
      </c>
      <c r="B875" s="82">
        <v>11200</v>
      </c>
      <c r="C875" s="82">
        <v>6</v>
      </c>
      <c r="D875" s="82">
        <f t="shared" si="91"/>
        <v>102737</v>
      </c>
      <c r="E875" s="82">
        <f t="shared" si="93"/>
        <v>102797</v>
      </c>
      <c r="F875" s="82"/>
      <c r="G875" s="82" t="s">
        <v>348</v>
      </c>
      <c r="H875" s="82" t="s">
        <v>349</v>
      </c>
      <c r="I875" s="82"/>
      <c r="J875" s="82" t="s">
        <v>279</v>
      </c>
      <c r="K875" s="82">
        <v>1</v>
      </c>
      <c r="L875" s="82" t="s">
        <v>111</v>
      </c>
      <c r="M875" s="82">
        <f>ROUNDDOWN(VLOOKUP(J875,Sheet1!$N$32:$O$37,2,0)*1000,0)</f>
        <v>60</v>
      </c>
      <c r="O875" s="67">
        <f t="shared" si="92"/>
        <v>0.000659145088819801</v>
      </c>
      <c r="P875" s="67">
        <v>11035</v>
      </c>
    </row>
    <row r="876" spans="1:16">
      <c r="A876" s="82">
        <v>874</v>
      </c>
      <c r="B876" s="82">
        <v>11200</v>
      </c>
      <c r="C876" s="82">
        <v>6</v>
      </c>
      <c r="D876" s="82">
        <f t="shared" si="91"/>
        <v>102797</v>
      </c>
      <c r="E876" s="82">
        <f t="shared" si="93"/>
        <v>102857</v>
      </c>
      <c r="F876" s="82"/>
      <c r="G876" s="82" t="s">
        <v>350</v>
      </c>
      <c r="H876" s="82" t="s">
        <v>351</v>
      </c>
      <c r="I876" s="82"/>
      <c r="J876" s="82" t="s">
        <v>279</v>
      </c>
      <c r="K876" s="82">
        <v>1</v>
      </c>
      <c r="L876" s="82" t="s">
        <v>111</v>
      </c>
      <c r="M876" s="82">
        <f>ROUNDDOWN(VLOOKUP(J876,Sheet1!$N$32:$O$37,2,0)*1000,0)</f>
        <v>60</v>
      </c>
      <c r="O876" s="67">
        <f t="shared" si="92"/>
        <v>0.000659145088819801</v>
      </c>
      <c r="P876" s="67">
        <v>11036</v>
      </c>
    </row>
    <row r="877" spans="1:16">
      <c r="A877" s="82">
        <v>875</v>
      </c>
      <c r="B877" s="82">
        <v>11200</v>
      </c>
      <c r="C877" s="82">
        <v>6</v>
      </c>
      <c r="D877" s="82">
        <f t="shared" si="91"/>
        <v>102857</v>
      </c>
      <c r="E877" s="82">
        <f t="shared" si="93"/>
        <v>102917</v>
      </c>
      <c r="F877" s="82"/>
      <c r="G877" s="82" t="s">
        <v>352</v>
      </c>
      <c r="H877" s="82" t="s">
        <v>353</v>
      </c>
      <c r="I877" s="82"/>
      <c r="J877" s="82" t="s">
        <v>279</v>
      </c>
      <c r="K877" s="82">
        <v>1</v>
      </c>
      <c r="L877" s="82" t="s">
        <v>111</v>
      </c>
      <c r="M877" s="82">
        <f>ROUNDDOWN(VLOOKUP(J877,Sheet1!$N$32:$O$37,2,0)*1000,0)</f>
        <v>60</v>
      </c>
      <c r="O877" s="67">
        <f t="shared" si="92"/>
        <v>0.000659145088819801</v>
      </c>
      <c r="P877" s="67">
        <v>11037</v>
      </c>
    </row>
    <row r="878" spans="1:16">
      <c r="A878" s="82">
        <v>876</v>
      </c>
      <c r="B878" s="82">
        <v>11200</v>
      </c>
      <c r="C878" s="82">
        <v>6</v>
      </c>
      <c r="D878" s="82">
        <f t="shared" si="91"/>
        <v>102917</v>
      </c>
      <c r="E878" s="82">
        <f t="shared" si="93"/>
        <v>102977</v>
      </c>
      <c r="F878" s="82"/>
      <c r="G878" s="82" t="s">
        <v>354</v>
      </c>
      <c r="H878" s="82" t="s">
        <v>355</v>
      </c>
      <c r="I878" s="82"/>
      <c r="J878" s="82" t="s">
        <v>279</v>
      </c>
      <c r="K878" s="82">
        <v>1</v>
      </c>
      <c r="L878" s="82" t="s">
        <v>111</v>
      </c>
      <c r="M878" s="82">
        <f>ROUNDDOWN(VLOOKUP(J878,Sheet1!$N$32:$O$37,2,0)*1000,0)</f>
        <v>60</v>
      </c>
      <c r="O878" s="67">
        <f t="shared" si="92"/>
        <v>0.000659145088819801</v>
      </c>
      <c r="P878" s="67">
        <v>11038</v>
      </c>
    </row>
    <row r="879" s="66" customFormat="1" spans="1:16">
      <c r="A879" s="70">
        <v>877</v>
      </c>
      <c r="B879" s="70">
        <v>11200</v>
      </c>
      <c r="C879" s="70">
        <v>6</v>
      </c>
      <c r="D879" s="70">
        <f t="shared" si="91"/>
        <v>102977</v>
      </c>
      <c r="E879" s="70">
        <f t="shared" si="93"/>
        <v>103037</v>
      </c>
      <c r="F879" s="70"/>
      <c r="G879" s="70" t="s">
        <v>277</v>
      </c>
      <c r="H879" s="70" t="s">
        <v>356</v>
      </c>
      <c r="I879" s="70"/>
      <c r="J879" s="70" t="s">
        <v>279</v>
      </c>
      <c r="K879" s="70">
        <v>1</v>
      </c>
      <c r="L879" s="70" t="s">
        <v>111</v>
      </c>
      <c r="M879" s="70">
        <f>ROUNDDOWN(VLOOKUP(J879,Sheet1!$N$32:$O$37,2,0)*1000,0)</f>
        <v>60</v>
      </c>
      <c r="N879" s="70"/>
      <c r="O879" s="70">
        <f t="shared" si="92"/>
        <v>0.000659145088819801</v>
      </c>
      <c r="P879" s="70">
        <v>11000</v>
      </c>
    </row>
    <row r="880" s="66" customFormat="1" spans="1:16">
      <c r="A880" s="70">
        <v>878</v>
      </c>
      <c r="B880" s="70">
        <v>11200</v>
      </c>
      <c r="C880" s="70">
        <v>6</v>
      </c>
      <c r="D880" s="70">
        <f t="shared" si="91"/>
        <v>103037</v>
      </c>
      <c r="E880" s="70">
        <f t="shared" si="93"/>
        <v>103097</v>
      </c>
      <c r="F880" s="70"/>
      <c r="G880" s="70" t="s">
        <v>280</v>
      </c>
      <c r="H880" s="70" t="s">
        <v>357</v>
      </c>
      <c r="I880" s="70"/>
      <c r="J880" s="70" t="s">
        <v>279</v>
      </c>
      <c r="K880" s="70">
        <v>1</v>
      </c>
      <c r="L880" s="70" t="s">
        <v>111</v>
      </c>
      <c r="M880" s="70">
        <f>ROUNDDOWN(VLOOKUP(J880,Sheet1!$N$32:$O$37,2,0)*1000,0)</f>
        <v>60</v>
      </c>
      <c r="N880" s="70"/>
      <c r="O880" s="70">
        <f t="shared" si="92"/>
        <v>0.000659145088819801</v>
      </c>
      <c r="P880" s="70">
        <v>11001</v>
      </c>
    </row>
    <row r="881" s="66" customFormat="1" spans="1:16">
      <c r="A881" s="70">
        <v>879</v>
      </c>
      <c r="B881" s="70">
        <v>11200</v>
      </c>
      <c r="C881" s="70">
        <v>6</v>
      </c>
      <c r="D881" s="70">
        <f t="shared" si="91"/>
        <v>103097</v>
      </c>
      <c r="E881" s="70">
        <f t="shared" si="93"/>
        <v>103157</v>
      </c>
      <c r="F881" s="70"/>
      <c r="G881" s="70" t="s">
        <v>282</v>
      </c>
      <c r="H881" s="70" t="s">
        <v>358</v>
      </c>
      <c r="I881" s="70"/>
      <c r="J881" s="70" t="s">
        <v>279</v>
      </c>
      <c r="K881" s="70">
        <v>1</v>
      </c>
      <c r="L881" s="70" t="s">
        <v>111</v>
      </c>
      <c r="M881" s="70">
        <f>ROUNDDOWN(VLOOKUP(J881,Sheet1!$N$32:$O$37,2,0)*1000,0)</f>
        <v>60</v>
      </c>
      <c r="N881" s="70"/>
      <c r="O881" s="70">
        <f t="shared" si="92"/>
        <v>0.000659145088819801</v>
      </c>
      <c r="P881" s="70">
        <v>11002</v>
      </c>
    </row>
    <row r="882" s="66" customFormat="1" spans="1:16">
      <c r="A882" s="70">
        <v>880</v>
      </c>
      <c r="B882" s="70">
        <v>11200</v>
      </c>
      <c r="C882" s="70">
        <v>6</v>
      </c>
      <c r="D882" s="70">
        <f t="shared" si="91"/>
        <v>103157</v>
      </c>
      <c r="E882" s="70">
        <f t="shared" si="93"/>
        <v>103217</v>
      </c>
      <c r="F882" s="70"/>
      <c r="G882" s="70" t="s">
        <v>284</v>
      </c>
      <c r="H882" s="70" t="s">
        <v>359</v>
      </c>
      <c r="I882" s="70"/>
      <c r="J882" s="70" t="s">
        <v>279</v>
      </c>
      <c r="K882" s="70">
        <v>1</v>
      </c>
      <c r="L882" s="70" t="s">
        <v>111</v>
      </c>
      <c r="M882" s="70">
        <f>ROUNDDOWN(VLOOKUP(J882,Sheet1!$N$32:$O$37,2,0)*1000,0)</f>
        <v>60</v>
      </c>
      <c r="N882" s="70"/>
      <c r="O882" s="70">
        <f t="shared" si="92"/>
        <v>0.000659145088819801</v>
      </c>
      <c r="P882" s="70">
        <v>11003</v>
      </c>
    </row>
    <row r="883" s="66" customFormat="1" spans="1:16">
      <c r="A883" s="70">
        <v>881</v>
      </c>
      <c r="B883" s="70">
        <v>11200</v>
      </c>
      <c r="C883" s="70">
        <v>6</v>
      </c>
      <c r="D883" s="70">
        <f t="shared" si="91"/>
        <v>103217</v>
      </c>
      <c r="E883" s="70">
        <f t="shared" si="93"/>
        <v>103277</v>
      </c>
      <c r="F883" s="70"/>
      <c r="G883" s="70" t="s">
        <v>286</v>
      </c>
      <c r="H883" s="70" t="s">
        <v>360</v>
      </c>
      <c r="I883" s="70"/>
      <c r="J883" s="70" t="s">
        <v>279</v>
      </c>
      <c r="K883" s="70">
        <v>1</v>
      </c>
      <c r="L883" s="70" t="s">
        <v>111</v>
      </c>
      <c r="M883" s="70">
        <f>ROUNDDOWN(VLOOKUP(J883,Sheet1!$N$32:$O$37,2,0)*1000,0)</f>
        <v>60</v>
      </c>
      <c r="N883" s="70"/>
      <c r="O883" s="70">
        <f t="shared" si="92"/>
        <v>0.000659145088819801</v>
      </c>
      <c r="P883" s="70">
        <v>11004</v>
      </c>
    </row>
    <row r="884" s="66" customFormat="1" spans="1:16">
      <c r="A884" s="70">
        <v>882</v>
      </c>
      <c r="B884" s="70">
        <v>11200</v>
      </c>
      <c r="C884" s="70">
        <v>6</v>
      </c>
      <c r="D884" s="70">
        <f t="shared" si="91"/>
        <v>103277</v>
      </c>
      <c r="E884" s="70">
        <f t="shared" si="93"/>
        <v>103337</v>
      </c>
      <c r="F884" s="70"/>
      <c r="G884" s="70" t="s">
        <v>288</v>
      </c>
      <c r="H884" s="70" t="s">
        <v>361</v>
      </c>
      <c r="I884" s="70"/>
      <c r="J884" s="70" t="s">
        <v>279</v>
      </c>
      <c r="K884" s="70">
        <v>1</v>
      </c>
      <c r="L884" s="70" t="s">
        <v>111</v>
      </c>
      <c r="M884" s="70">
        <f>ROUNDDOWN(VLOOKUP(J884,Sheet1!$N$32:$O$37,2,0)*1000,0)</f>
        <v>60</v>
      </c>
      <c r="N884" s="70"/>
      <c r="O884" s="70">
        <f t="shared" si="92"/>
        <v>0.000659145088819801</v>
      </c>
      <c r="P884" s="70">
        <v>11005</v>
      </c>
    </row>
    <row r="885" s="66" customFormat="1" spans="1:16">
      <c r="A885" s="70">
        <v>883</v>
      </c>
      <c r="B885" s="70">
        <v>11200</v>
      </c>
      <c r="C885" s="70">
        <v>6</v>
      </c>
      <c r="D885" s="70">
        <f t="shared" si="91"/>
        <v>103337</v>
      </c>
      <c r="E885" s="70">
        <f t="shared" si="93"/>
        <v>103397</v>
      </c>
      <c r="F885" s="70"/>
      <c r="G885" s="70" t="s">
        <v>290</v>
      </c>
      <c r="H885" s="70" t="s">
        <v>362</v>
      </c>
      <c r="I885" s="70"/>
      <c r="J885" s="70" t="s">
        <v>279</v>
      </c>
      <c r="K885" s="70">
        <v>1</v>
      </c>
      <c r="L885" s="70" t="s">
        <v>111</v>
      </c>
      <c r="M885" s="70">
        <f>ROUNDDOWN(VLOOKUP(J885,Sheet1!$N$32:$O$37,2,0)*1000,0)</f>
        <v>60</v>
      </c>
      <c r="N885" s="70"/>
      <c r="O885" s="70">
        <f t="shared" si="92"/>
        <v>0.000659145088819801</v>
      </c>
      <c r="P885" s="70">
        <v>11006</v>
      </c>
    </row>
    <row r="886" s="66" customFormat="1" spans="1:16">
      <c r="A886" s="70">
        <v>884</v>
      </c>
      <c r="B886" s="70">
        <v>11200</v>
      </c>
      <c r="C886" s="70">
        <v>6</v>
      </c>
      <c r="D886" s="70">
        <f t="shared" si="91"/>
        <v>103397</v>
      </c>
      <c r="E886" s="70">
        <f t="shared" si="93"/>
        <v>103457</v>
      </c>
      <c r="F886" s="70"/>
      <c r="G886" s="70" t="s">
        <v>292</v>
      </c>
      <c r="H886" s="70" t="s">
        <v>363</v>
      </c>
      <c r="I886" s="70"/>
      <c r="J886" s="70" t="s">
        <v>279</v>
      </c>
      <c r="K886" s="70">
        <v>1</v>
      </c>
      <c r="L886" s="70" t="s">
        <v>111</v>
      </c>
      <c r="M886" s="70">
        <f>ROUNDDOWN(VLOOKUP(J886,Sheet1!$N$32:$O$37,2,0)*1000,0)</f>
        <v>60</v>
      </c>
      <c r="N886" s="70"/>
      <c r="O886" s="70">
        <f t="shared" si="92"/>
        <v>0.000659145088819801</v>
      </c>
      <c r="P886" s="70">
        <v>11007</v>
      </c>
    </row>
    <row r="887" s="66" customFormat="1" spans="1:16">
      <c r="A887" s="70">
        <v>885</v>
      </c>
      <c r="B887" s="70">
        <v>11200</v>
      </c>
      <c r="C887" s="70">
        <v>6</v>
      </c>
      <c r="D887" s="70">
        <f t="shared" si="91"/>
        <v>103457</v>
      </c>
      <c r="E887" s="70">
        <f t="shared" si="93"/>
        <v>103517</v>
      </c>
      <c r="F887" s="70"/>
      <c r="G887" s="70" t="s">
        <v>294</v>
      </c>
      <c r="H887" s="70" t="s">
        <v>364</v>
      </c>
      <c r="I887" s="70"/>
      <c r="J887" s="70" t="s">
        <v>279</v>
      </c>
      <c r="K887" s="70">
        <v>1</v>
      </c>
      <c r="L887" s="70" t="s">
        <v>111</v>
      </c>
      <c r="M887" s="70">
        <f>ROUNDDOWN(VLOOKUP(J887,Sheet1!$N$32:$O$37,2,0)*1000,0)</f>
        <v>60</v>
      </c>
      <c r="N887" s="70"/>
      <c r="O887" s="70">
        <f t="shared" si="92"/>
        <v>0.000659145088819801</v>
      </c>
      <c r="P887" s="70">
        <v>11008</v>
      </c>
    </row>
    <row r="888" s="66" customFormat="1" spans="1:16">
      <c r="A888" s="70">
        <v>886</v>
      </c>
      <c r="B888" s="70">
        <v>11200</v>
      </c>
      <c r="C888" s="70">
        <v>6</v>
      </c>
      <c r="D888" s="70">
        <f t="shared" si="91"/>
        <v>103517</v>
      </c>
      <c r="E888" s="70">
        <f t="shared" si="93"/>
        <v>103577</v>
      </c>
      <c r="F888" s="70"/>
      <c r="G888" s="70" t="s">
        <v>296</v>
      </c>
      <c r="H888" s="70" t="s">
        <v>365</v>
      </c>
      <c r="I888" s="70"/>
      <c r="J888" s="70" t="s">
        <v>279</v>
      </c>
      <c r="K888" s="70">
        <v>1</v>
      </c>
      <c r="L888" s="70" t="s">
        <v>111</v>
      </c>
      <c r="M888" s="70">
        <f>ROUNDDOWN(VLOOKUP(J888,Sheet1!$N$32:$O$37,2,0)*1000,0)</f>
        <v>60</v>
      </c>
      <c r="N888" s="70"/>
      <c r="O888" s="70">
        <f t="shared" si="92"/>
        <v>0.000659145088819801</v>
      </c>
      <c r="P888" s="70">
        <v>11009</v>
      </c>
    </row>
    <row r="889" s="66" customFormat="1" spans="1:16">
      <c r="A889" s="70">
        <v>887</v>
      </c>
      <c r="B889" s="70">
        <v>11200</v>
      </c>
      <c r="C889" s="70">
        <v>6</v>
      </c>
      <c r="D889" s="70">
        <f t="shared" si="91"/>
        <v>103577</v>
      </c>
      <c r="E889" s="70">
        <f t="shared" si="93"/>
        <v>103637</v>
      </c>
      <c r="F889" s="70"/>
      <c r="G889" s="70" t="s">
        <v>298</v>
      </c>
      <c r="H889" s="70" t="s">
        <v>366</v>
      </c>
      <c r="I889" s="70"/>
      <c r="J889" s="70" t="s">
        <v>279</v>
      </c>
      <c r="K889" s="70">
        <v>1</v>
      </c>
      <c r="L889" s="70" t="s">
        <v>111</v>
      </c>
      <c r="M889" s="70">
        <f>ROUNDDOWN(VLOOKUP(J889,Sheet1!$N$32:$O$37,2,0)*1000,0)</f>
        <v>60</v>
      </c>
      <c r="N889" s="70"/>
      <c r="O889" s="70">
        <f t="shared" si="92"/>
        <v>0.000659145088819801</v>
      </c>
      <c r="P889" s="70">
        <v>11010</v>
      </c>
    </row>
    <row r="890" s="66" customFormat="1" spans="1:16">
      <c r="A890" s="70">
        <v>888</v>
      </c>
      <c r="B890" s="70">
        <v>11200</v>
      </c>
      <c r="C890" s="70">
        <v>6</v>
      </c>
      <c r="D890" s="70">
        <f t="shared" si="91"/>
        <v>103637</v>
      </c>
      <c r="E890" s="70">
        <f t="shared" si="93"/>
        <v>103697</v>
      </c>
      <c r="F890" s="70"/>
      <c r="G890" s="70" t="s">
        <v>300</v>
      </c>
      <c r="H890" s="70" t="s">
        <v>367</v>
      </c>
      <c r="I890" s="70"/>
      <c r="J890" s="70" t="s">
        <v>279</v>
      </c>
      <c r="K890" s="70">
        <v>1</v>
      </c>
      <c r="L890" s="70" t="s">
        <v>111</v>
      </c>
      <c r="M890" s="70">
        <f>ROUNDDOWN(VLOOKUP(J890,Sheet1!$N$32:$O$37,2,0)*1000,0)</f>
        <v>60</v>
      </c>
      <c r="N890" s="70"/>
      <c r="O890" s="70">
        <f t="shared" si="92"/>
        <v>0.000659145088819801</v>
      </c>
      <c r="P890" s="70">
        <v>11011</v>
      </c>
    </row>
    <row r="891" s="66" customFormat="1" spans="1:16">
      <c r="A891" s="70">
        <v>889</v>
      </c>
      <c r="B891" s="70">
        <v>11200</v>
      </c>
      <c r="C891" s="70">
        <v>6</v>
      </c>
      <c r="D891" s="70">
        <f t="shared" si="91"/>
        <v>103697</v>
      </c>
      <c r="E891" s="70">
        <f t="shared" si="93"/>
        <v>103757</v>
      </c>
      <c r="F891" s="70"/>
      <c r="G891" s="70" t="s">
        <v>302</v>
      </c>
      <c r="H891" s="70" t="s">
        <v>368</v>
      </c>
      <c r="I891" s="70"/>
      <c r="J891" s="70" t="s">
        <v>279</v>
      </c>
      <c r="K891" s="70">
        <v>1</v>
      </c>
      <c r="L891" s="70" t="s">
        <v>111</v>
      </c>
      <c r="M891" s="70">
        <f>ROUNDDOWN(VLOOKUP(J891,Sheet1!$N$32:$O$37,2,0)*1000,0)</f>
        <v>60</v>
      </c>
      <c r="N891" s="70"/>
      <c r="O891" s="70">
        <f t="shared" si="92"/>
        <v>0.000659145088819801</v>
      </c>
      <c r="P891" s="70">
        <v>11012</v>
      </c>
    </row>
    <row r="892" s="66" customFormat="1" spans="1:16">
      <c r="A892" s="70">
        <v>890</v>
      </c>
      <c r="B892" s="70">
        <v>11200</v>
      </c>
      <c r="C892" s="70">
        <v>6</v>
      </c>
      <c r="D892" s="70">
        <f t="shared" si="91"/>
        <v>103757</v>
      </c>
      <c r="E892" s="70">
        <f t="shared" si="93"/>
        <v>103817</v>
      </c>
      <c r="F892" s="70"/>
      <c r="G892" s="70" t="s">
        <v>304</v>
      </c>
      <c r="H892" s="70" t="s">
        <v>369</v>
      </c>
      <c r="I892" s="70"/>
      <c r="J892" s="70" t="s">
        <v>279</v>
      </c>
      <c r="K892" s="70">
        <v>1</v>
      </c>
      <c r="L892" s="70" t="s">
        <v>111</v>
      </c>
      <c r="M892" s="70">
        <f>ROUNDDOWN(VLOOKUP(J892,Sheet1!$N$32:$O$37,2,0)*1000,0)</f>
        <v>60</v>
      </c>
      <c r="N892" s="70"/>
      <c r="O892" s="70">
        <f t="shared" si="92"/>
        <v>0.000659145088819801</v>
      </c>
      <c r="P892" s="70">
        <v>11013</v>
      </c>
    </row>
    <row r="893" s="66" customFormat="1" spans="1:16">
      <c r="A893" s="70">
        <v>891</v>
      </c>
      <c r="B893" s="70">
        <v>11200</v>
      </c>
      <c r="C893" s="70">
        <v>6</v>
      </c>
      <c r="D893" s="70">
        <f t="shared" si="91"/>
        <v>103817</v>
      </c>
      <c r="E893" s="70">
        <f t="shared" si="93"/>
        <v>103877</v>
      </c>
      <c r="F893" s="70"/>
      <c r="G893" s="70" t="s">
        <v>306</v>
      </c>
      <c r="H893" s="70" t="s">
        <v>370</v>
      </c>
      <c r="I893" s="70"/>
      <c r="J893" s="70" t="s">
        <v>279</v>
      </c>
      <c r="K893" s="70">
        <v>1</v>
      </c>
      <c r="L893" s="70" t="s">
        <v>111</v>
      </c>
      <c r="M893" s="70">
        <f>ROUNDDOWN(VLOOKUP(J893,Sheet1!$N$32:$O$37,2,0)*1000,0)</f>
        <v>60</v>
      </c>
      <c r="N893" s="70"/>
      <c r="O893" s="70">
        <f t="shared" si="92"/>
        <v>0.000659145088819801</v>
      </c>
      <c r="P893" s="70">
        <v>11014</v>
      </c>
    </row>
    <row r="894" s="66" customFormat="1" spans="1:16">
      <c r="A894" s="70">
        <v>892</v>
      </c>
      <c r="B894" s="70">
        <v>11200</v>
      </c>
      <c r="C894" s="70">
        <v>6</v>
      </c>
      <c r="D894" s="70">
        <f t="shared" si="91"/>
        <v>103877</v>
      </c>
      <c r="E894" s="70">
        <f t="shared" si="93"/>
        <v>103937</v>
      </c>
      <c r="F894" s="70"/>
      <c r="G894" s="70" t="s">
        <v>308</v>
      </c>
      <c r="H894" s="70" t="s">
        <v>371</v>
      </c>
      <c r="I894" s="70"/>
      <c r="J894" s="70" t="s">
        <v>279</v>
      </c>
      <c r="K894" s="70">
        <v>1</v>
      </c>
      <c r="L894" s="70" t="s">
        <v>111</v>
      </c>
      <c r="M894" s="70">
        <f>ROUNDDOWN(VLOOKUP(J894,Sheet1!$N$32:$O$37,2,0)*1000,0)</f>
        <v>60</v>
      </c>
      <c r="N894" s="70"/>
      <c r="O894" s="70">
        <f t="shared" si="92"/>
        <v>0.000659145088819801</v>
      </c>
      <c r="P894" s="70">
        <v>11015</v>
      </c>
    </row>
    <row r="895" s="66" customFormat="1" spans="1:16">
      <c r="A895" s="70">
        <v>893</v>
      </c>
      <c r="B895" s="70">
        <v>11200</v>
      </c>
      <c r="C895" s="70">
        <v>6</v>
      </c>
      <c r="D895" s="70">
        <f t="shared" si="91"/>
        <v>103937</v>
      </c>
      <c r="E895" s="70">
        <f t="shared" si="93"/>
        <v>103997</v>
      </c>
      <c r="F895" s="70"/>
      <c r="G895" s="70" t="s">
        <v>310</v>
      </c>
      <c r="H895" s="70" t="s">
        <v>372</v>
      </c>
      <c r="I895" s="70"/>
      <c r="J895" s="70" t="s">
        <v>279</v>
      </c>
      <c r="K895" s="70">
        <v>1</v>
      </c>
      <c r="L895" s="70" t="s">
        <v>111</v>
      </c>
      <c r="M895" s="70">
        <f>ROUNDDOWN(VLOOKUP(J895,Sheet1!$N$32:$O$37,2,0)*1000,0)</f>
        <v>60</v>
      </c>
      <c r="N895" s="70"/>
      <c r="O895" s="70">
        <f t="shared" si="92"/>
        <v>0.000659145088819801</v>
      </c>
      <c r="P895" s="70">
        <v>11016</v>
      </c>
    </row>
    <row r="896" s="66" customFormat="1" spans="1:16">
      <c r="A896" s="70">
        <v>894</v>
      </c>
      <c r="B896" s="70">
        <v>11200</v>
      </c>
      <c r="C896" s="70">
        <v>6</v>
      </c>
      <c r="D896" s="70">
        <f t="shared" si="91"/>
        <v>103997</v>
      </c>
      <c r="E896" s="70">
        <f t="shared" si="93"/>
        <v>104057</v>
      </c>
      <c r="F896" s="70"/>
      <c r="G896" s="70" t="s">
        <v>312</v>
      </c>
      <c r="H896" s="70" t="s">
        <v>373</v>
      </c>
      <c r="I896" s="70"/>
      <c r="J896" s="70" t="s">
        <v>279</v>
      </c>
      <c r="K896" s="70">
        <v>1</v>
      </c>
      <c r="L896" s="70" t="s">
        <v>111</v>
      </c>
      <c r="M896" s="70">
        <f>ROUNDDOWN(VLOOKUP(J896,Sheet1!$N$32:$O$37,2,0)*1000,0)</f>
        <v>60</v>
      </c>
      <c r="N896" s="70"/>
      <c r="O896" s="70">
        <f t="shared" si="92"/>
        <v>0.000659145088819801</v>
      </c>
      <c r="P896" s="70">
        <v>11017</v>
      </c>
    </row>
    <row r="897" s="66" customFormat="1" spans="1:16">
      <c r="A897" s="70">
        <v>895</v>
      </c>
      <c r="B897" s="70">
        <v>11200</v>
      </c>
      <c r="C897" s="70">
        <v>6</v>
      </c>
      <c r="D897" s="70">
        <f t="shared" si="91"/>
        <v>104057</v>
      </c>
      <c r="E897" s="70">
        <f t="shared" si="93"/>
        <v>104117</v>
      </c>
      <c r="F897" s="70"/>
      <c r="G897" s="70" t="s">
        <v>314</v>
      </c>
      <c r="H897" s="70" t="s">
        <v>374</v>
      </c>
      <c r="I897" s="70"/>
      <c r="J897" s="70" t="s">
        <v>279</v>
      </c>
      <c r="K897" s="70">
        <v>1</v>
      </c>
      <c r="L897" s="70" t="s">
        <v>111</v>
      </c>
      <c r="M897" s="70">
        <f>ROUNDDOWN(VLOOKUP(J897,Sheet1!$N$32:$O$37,2,0)*1000,0)</f>
        <v>60</v>
      </c>
      <c r="N897" s="70"/>
      <c r="O897" s="70">
        <f t="shared" si="92"/>
        <v>0.000659145088819801</v>
      </c>
      <c r="P897" s="70">
        <v>11018</v>
      </c>
    </row>
    <row r="898" s="66" customFormat="1" spans="1:16">
      <c r="A898" s="70">
        <v>896</v>
      </c>
      <c r="B898" s="70">
        <v>11200</v>
      </c>
      <c r="C898" s="70">
        <v>6</v>
      </c>
      <c r="D898" s="70">
        <f t="shared" si="91"/>
        <v>104117</v>
      </c>
      <c r="E898" s="70">
        <f t="shared" si="93"/>
        <v>104177</v>
      </c>
      <c r="F898" s="70"/>
      <c r="G898" s="70" t="s">
        <v>316</v>
      </c>
      <c r="H898" s="70" t="s">
        <v>375</v>
      </c>
      <c r="I898" s="70"/>
      <c r="J898" s="70" t="s">
        <v>279</v>
      </c>
      <c r="K898" s="70">
        <v>1</v>
      </c>
      <c r="L898" s="70" t="s">
        <v>111</v>
      </c>
      <c r="M898" s="70">
        <f>ROUNDDOWN(VLOOKUP(J898,Sheet1!$N$32:$O$37,2,0)*1000,0)</f>
        <v>60</v>
      </c>
      <c r="N898" s="70"/>
      <c r="O898" s="70">
        <f t="shared" si="92"/>
        <v>0.000659145088819801</v>
      </c>
      <c r="P898" s="70">
        <v>11019</v>
      </c>
    </row>
    <row r="899" s="66" customFormat="1" spans="1:16">
      <c r="A899" s="70">
        <v>897</v>
      </c>
      <c r="B899" s="70">
        <v>11200</v>
      </c>
      <c r="C899" s="70">
        <v>6</v>
      </c>
      <c r="D899" s="70">
        <f t="shared" ref="D899:D953" si="94">E898</f>
        <v>104177</v>
      </c>
      <c r="E899" s="70">
        <f t="shared" si="93"/>
        <v>104237</v>
      </c>
      <c r="F899" s="70"/>
      <c r="G899" s="70" t="s">
        <v>318</v>
      </c>
      <c r="H899" s="70" t="s">
        <v>376</v>
      </c>
      <c r="I899" s="70"/>
      <c r="J899" s="70" t="s">
        <v>279</v>
      </c>
      <c r="K899" s="70">
        <v>1</v>
      </c>
      <c r="L899" s="70" t="s">
        <v>111</v>
      </c>
      <c r="M899" s="70">
        <f>ROUNDDOWN(VLOOKUP(J899,Sheet1!$N$32:$O$37,2,0)*1000,0)</f>
        <v>60</v>
      </c>
      <c r="N899" s="70"/>
      <c r="O899" s="70">
        <f t="shared" si="92"/>
        <v>0.000659145088819801</v>
      </c>
      <c r="P899" s="70">
        <v>11020</v>
      </c>
    </row>
    <row r="900" s="66" customFormat="1" spans="1:16">
      <c r="A900" s="70">
        <v>898</v>
      </c>
      <c r="B900" s="70">
        <v>11200</v>
      </c>
      <c r="C900" s="70">
        <v>6</v>
      </c>
      <c r="D900" s="70">
        <f t="shared" si="94"/>
        <v>104237</v>
      </c>
      <c r="E900" s="70">
        <f t="shared" si="93"/>
        <v>104297</v>
      </c>
      <c r="F900" s="70"/>
      <c r="G900" s="70" t="s">
        <v>320</v>
      </c>
      <c r="H900" s="70" t="s">
        <v>377</v>
      </c>
      <c r="I900" s="70"/>
      <c r="J900" s="70" t="s">
        <v>279</v>
      </c>
      <c r="K900" s="70">
        <v>1</v>
      </c>
      <c r="L900" s="70" t="s">
        <v>111</v>
      </c>
      <c r="M900" s="70">
        <f>ROUNDDOWN(VLOOKUP(J900,Sheet1!$N$32:$O$37,2,0)*1000,0)</f>
        <v>60</v>
      </c>
      <c r="N900" s="70"/>
      <c r="O900" s="70">
        <f t="shared" si="92"/>
        <v>0.000659145088819801</v>
      </c>
      <c r="P900" s="70">
        <v>11021</v>
      </c>
    </row>
    <row r="901" s="66" customFormat="1" spans="1:16">
      <c r="A901" s="70">
        <v>899</v>
      </c>
      <c r="B901" s="70">
        <v>11200</v>
      </c>
      <c r="C901" s="70">
        <v>6</v>
      </c>
      <c r="D901" s="70">
        <f t="shared" si="94"/>
        <v>104297</v>
      </c>
      <c r="E901" s="70">
        <f t="shared" si="93"/>
        <v>104357</v>
      </c>
      <c r="F901" s="70"/>
      <c r="G901" s="70" t="s">
        <v>322</v>
      </c>
      <c r="H901" s="70" t="s">
        <v>378</v>
      </c>
      <c r="I901" s="70"/>
      <c r="J901" s="70" t="s">
        <v>279</v>
      </c>
      <c r="K901" s="70">
        <v>1</v>
      </c>
      <c r="L901" s="70" t="s">
        <v>111</v>
      </c>
      <c r="M901" s="70">
        <f>ROUNDDOWN(VLOOKUP(J901,Sheet1!$N$32:$O$37,2,0)*1000,0)</f>
        <v>60</v>
      </c>
      <c r="N901" s="70"/>
      <c r="O901" s="70">
        <f t="shared" si="92"/>
        <v>0.000659145088819801</v>
      </c>
      <c r="P901" s="70">
        <v>11022</v>
      </c>
    </row>
    <row r="902" s="66" customFormat="1" spans="1:16">
      <c r="A902" s="70">
        <v>900</v>
      </c>
      <c r="B902" s="70">
        <v>11200</v>
      </c>
      <c r="C902" s="70">
        <v>6</v>
      </c>
      <c r="D902" s="70">
        <f t="shared" si="94"/>
        <v>104357</v>
      </c>
      <c r="E902" s="70">
        <f t="shared" si="93"/>
        <v>104417</v>
      </c>
      <c r="F902" s="70"/>
      <c r="G902" s="70" t="s">
        <v>324</v>
      </c>
      <c r="H902" s="70" t="s">
        <v>379</v>
      </c>
      <c r="I902" s="70"/>
      <c r="J902" s="70" t="s">
        <v>279</v>
      </c>
      <c r="K902" s="70">
        <v>1</v>
      </c>
      <c r="L902" s="70" t="s">
        <v>111</v>
      </c>
      <c r="M902" s="70">
        <f>ROUNDDOWN(VLOOKUP(J902,Sheet1!$N$32:$O$37,2,0)*1000,0)</f>
        <v>60</v>
      </c>
      <c r="N902" s="70"/>
      <c r="O902" s="70">
        <f t="shared" si="92"/>
        <v>0.000659145088819801</v>
      </c>
      <c r="P902" s="70">
        <v>11023</v>
      </c>
    </row>
    <row r="903" s="66" customFormat="1" spans="1:16">
      <c r="A903" s="70">
        <v>901</v>
      </c>
      <c r="B903" s="70">
        <v>11200</v>
      </c>
      <c r="C903" s="70">
        <v>6</v>
      </c>
      <c r="D903" s="70">
        <f t="shared" si="94"/>
        <v>104417</v>
      </c>
      <c r="E903" s="70">
        <f t="shared" si="93"/>
        <v>104477</v>
      </c>
      <c r="F903" s="70"/>
      <c r="G903" s="70" t="s">
        <v>326</v>
      </c>
      <c r="H903" s="70" t="s">
        <v>380</v>
      </c>
      <c r="I903" s="70"/>
      <c r="J903" s="70" t="s">
        <v>279</v>
      </c>
      <c r="K903" s="70">
        <v>1</v>
      </c>
      <c r="L903" s="70" t="s">
        <v>111</v>
      </c>
      <c r="M903" s="70">
        <f>ROUNDDOWN(VLOOKUP(J903,Sheet1!$N$32:$O$37,2,0)*1000,0)</f>
        <v>60</v>
      </c>
      <c r="N903" s="70"/>
      <c r="O903" s="70">
        <f t="shared" si="92"/>
        <v>0.000659145088819801</v>
      </c>
      <c r="P903" s="70">
        <v>11024</v>
      </c>
    </row>
    <row r="904" s="66" customFormat="1" spans="1:16">
      <c r="A904" s="70">
        <v>902</v>
      </c>
      <c r="B904" s="70">
        <v>11200</v>
      </c>
      <c r="C904" s="70">
        <v>6</v>
      </c>
      <c r="D904" s="70">
        <f t="shared" si="94"/>
        <v>104477</v>
      </c>
      <c r="E904" s="70">
        <f t="shared" si="93"/>
        <v>104537</v>
      </c>
      <c r="F904" s="70"/>
      <c r="G904" s="70" t="s">
        <v>328</v>
      </c>
      <c r="H904" s="70" t="s">
        <v>381</v>
      </c>
      <c r="I904" s="70"/>
      <c r="J904" s="70" t="s">
        <v>279</v>
      </c>
      <c r="K904" s="70">
        <v>1</v>
      </c>
      <c r="L904" s="70" t="s">
        <v>111</v>
      </c>
      <c r="M904" s="70">
        <f>ROUNDDOWN(VLOOKUP(J904,Sheet1!$N$32:$O$37,2,0)*1000,0)</f>
        <v>60</v>
      </c>
      <c r="N904" s="70"/>
      <c r="O904" s="70">
        <f t="shared" si="92"/>
        <v>0.000659145088819801</v>
      </c>
      <c r="P904" s="70">
        <v>11025</v>
      </c>
    </row>
    <row r="905" s="66" customFormat="1" spans="1:16">
      <c r="A905" s="70">
        <v>903</v>
      </c>
      <c r="B905" s="70">
        <v>11200</v>
      </c>
      <c r="C905" s="70">
        <v>6</v>
      </c>
      <c r="D905" s="70">
        <f t="shared" si="94"/>
        <v>104537</v>
      </c>
      <c r="E905" s="70">
        <f t="shared" si="93"/>
        <v>104597</v>
      </c>
      <c r="F905" s="70"/>
      <c r="G905" s="70" t="s">
        <v>330</v>
      </c>
      <c r="H905" s="70" t="s">
        <v>382</v>
      </c>
      <c r="I905" s="70"/>
      <c r="J905" s="70" t="s">
        <v>279</v>
      </c>
      <c r="K905" s="70">
        <v>1</v>
      </c>
      <c r="L905" s="70" t="s">
        <v>111</v>
      </c>
      <c r="M905" s="70">
        <f>ROUNDDOWN(VLOOKUP(J905,Sheet1!$N$32:$O$37,2,0)*1000,0)</f>
        <v>60</v>
      </c>
      <c r="N905" s="70"/>
      <c r="O905" s="70">
        <f t="shared" ref="O905:O922" si="95">(E905-D905)/$E$438</f>
        <v>0.000659145088819801</v>
      </c>
      <c r="P905" s="70">
        <v>11026</v>
      </c>
    </row>
    <row r="906" s="66" customFormat="1" spans="1:16">
      <c r="A906" s="70">
        <v>904</v>
      </c>
      <c r="B906" s="70">
        <v>11200</v>
      </c>
      <c r="C906" s="70">
        <v>6</v>
      </c>
      <c r="D906" s="70">
        <f t="shared" si="94"/>
        <v>104597</v>
      </c>
      <c r="E906" s="70">
        <f t="shared" si="93"/>
        <v>104657</v>
      </c>
      <c r="F906" s="70"/>
      <c r="G906" s="70" t="s">
        <v>332</v>
      </c>
      <c r="H906" s="70" t="s">
        <v>383</v>
      </c>
      <c r="I906" s="70"/>
      <c r="J906" s="70" t="s">
        <v>279</v>
      </c>
      <c r="K906" s="70">
        <v>1</v>
      </c>
      <c r="L906" s="70" t="s">
        <v>111</v>
      </c>
      <c r="M906" s="70">
        <f>ROUNDDOWN(VLOOKUP(J906,Sheet1!$N$32:$O$37,2,0)*1000,0)</f>
        <v>60</v>
      </c>
      <c r="N906" s="70"/>
      <c r="O906" s="70">
        <f t="shared" si="95"/>
        <v>0.000659145088819801</v>
      </c>
      <c r="P906" s="70">
        <v>11027</v>
      </c>
    </row>
    <row r="907" s="66" customFormat="1" spans="1:16">
      <c r="A907" s="70">
        <v>905</v>
      </c>
      <c r="B907" s="70">
        <v>11200</v>
      </c>
      <c r="C907" s="70">
        <v>6</v>
      </c>
      <c r="D907" s="70">
        <f t="shared" si="94"/>
        <v>104657</v>
      </c>
      <c r="E907" s="70">
        <f t="shared" si="93"/>
        <v>104717</v>
      </c>
      <c r="F907" s="70"/>
      <c r="G907" s="70" t="s">
        <v>334</v>
      </c>
      <c r="H907" s="70" t="s">
        <v>384</v>
      </c>
      <c r="I907" s="70"/>
      <c r="J907" s="70" t="s">
        <v>279</v>
      </c>
      <c r="K907" s="70">
        <v>1</v>
      </c>
      <c r="L907" s="70" t="s">
        <v>111</v>
      </c>
      <c r="M907" s="70">
        <f>ROUNDDOWN(VLOOKUP(J907,Sheet1!$N$32:$O$37,2,0)*1000,0)</f>
        <v>60</v>
      </c>
      <c r="N907" s="70"/>
      <c r="O907" s="70">
        <f t="shared" si="95"/>
        <v>0.000659145088819801</v>
      </c>
      <c r="P907" s="70">
        <v>11028</v>
      </c>
    </row>
    <row r="908" s="66" customFormat="1" spans="1:16">
      <c r="A908" s="70">
        <v>906</v>
      </c>
      <c r="B908" s="70">
        <v>11200</v>
      </c>
      <c r="C908" s="70">
        <v>6</v>
      </c>
      <c r="D908" s="70">
        <f t="shared" si="94"/>
        <v>104717</v>
      </c>
      <c r="E908" s="70">
        <f t="shared" si="93"/>
        <v>104777</v>
      </c>
      <c r="F908" s="70"/>
      <c r="G908" s="70" t="s">
        <v>336</v>
      </c>
      <c r="H908" s="70" t="s">
        <v>385</v>
      </c>
      <c r="I908" s="70"/>
      <c r="J908" s="70" t="s">
        <v>279</v>
      </c>
      <c r="K908" s="70">
        <v>1</v>
      </c>
      <c r="L908" s="70" t="s">
        <v>111</v>
      </c>
      <c r="M908" s="70">
        <f>ROUNDDOWN(VLOOKUP(J908,Sheet1!$N$32:$O$37,2,0)*1000,0)</f>
        <v>60</v>
      </c>
      <c r="N908" s="70"/>
      <c r="O908" s="70">
        <f t="shared" si="95"/>
        <v>0.000659145088819801</v>
      </c>
      <c r="P908" s="70">
        <v>11029</v>
      </c>
    </row>
    <row r="909" s="66" customFormat="1" spans="1:16">
      <c r="A909" s="70">
        <v>907</v>
      </c>
      <c r="B909" s="70">
        <v>11200</v>
      </c>
      <c r="C909" s="70">
        <v>6</v>
      </c>
      <c r="D909" s="70">
        <f t="shared" si="94"/>
        <v>104777</v>
      </c>
      <c r="E909" s="70">
        <f t="shared" si="93"/>
        <v>104837</v>
      </c>
      <c r="F909" s="70"/>
      <c r="G909" s="70" t="s">
        <v>338</v>
      </c>
      <c r="H909" s="70" t="s">
        <v>386</v>
      </c>
      <c r="I909" s="70"/>
      <c r="J909" s="70" t="s">
        <v>279</v>
      </c>
      <c r="K909" s="70">
        <v>1</v>
      </c>
      <c r="L909" s="70" t="s">
        <v>111</v>
      </c>
      <c r="M909" s="70">
        <f>ROUNDDOWN(VLOOKUP(J909,Sheet1!$N$32:$O$37,2,0)*1000,0)</f>
        <v>60</v>
      </c>
      <c r="N909" s="70"/>
      <c r="O909" s="70">
        <f t="shared" si="95"/>
        <v>0.000659145088819801</v>
      </c>
      <c r="P909" s="70">
        <v>11030</v>
      </c>
    </row>
    <row r="910" s="66" customFormat="1" spans="1:16">
      <c r="A910" s="70">
        <v>908</v>
      </c>
      <c r="B910" s="70">
        <v>11200</v>
      </c>
      <c r="C910" s="70">
        <v>6</v>
      </c>
      <c r="D910" s="70">
        <f t="shared" si="94"/>
        <v>104837</v>
      </c>
      <c r="E910" s="70">
        <f t="shared" si="93"/>
        <v>104897</v>
      </c>
      <c r="F910" s="70"/>
      <c r="G910" s="70" t="s">
        <v>340</v>
      </c>
      <c r="H910" s="70" t="s">
        <v>387</v>
      </c>
      <c r="I910" s="70"/>
      <c r="J910" s="70" t="s">
        <v>279</v>
      </c>
      <c r="K910" s="70">
        <v>1</v>
      </c>
      <c r="L910" s="70" t="s">
        <v>111</v>
      </c>
      <c r="M910" s="70">
        <f>ROUNDDOWN(VLOOKUP(J910,Sheet1!$N$32:$O$37,2,0)*1000,0)</f>
        <v>60</v>
      </c>
      <c r="N910" s="70"/>
      <c r="O910" s="70">
        <f t="shared" si="95"/>
        <v>0.000659145088819801</v>
      </c>
      <c r="P910" s="70">
        <v>11031</v>
      </c>
    </row>
    <row r="911" s="66" customFormat="1" spans="1:16">
      <c r="A911" s="70">
        <v>909</v>
      </c>
      <c r="B911" s="70">
        <v>11200</v>
      </c>
      <c r="C911" s="70">
        <v>6</v>
      </c>
      <c r="D911" s="70">
        <f t="shared" si="94"/>
        <v>104897</v>
      </c>
      <c r="E911" s="70">
        <f t="shared" si="93"/>
        <v>104957</v>
      </c>
      <c r="F911" s="70"/>
      <c r="G911" s="70" t="s">
        <v>342</v>
      </c>
      <c r="H911" s="70" t="s">
        <v>388</v>
      </c>
      <c r="I911" s="70"/>
      <c r="J911" s="70" t="s">
        <v>279</v>
      </c>
      <c r="K911" s="70">
        <v>1</v>
      </c>
      <c r="L911" s="70" t="s">
        <v>111</v>
      </c>
      <c r="M911" s="70">
        <f>ROUNDDOWN(VLOOKUP(J911,Sheet1!$N$32:$O$37,2,0)*1000,0)</f>
        <v>60</v>
      </c>
      <c r="N911" s="70"/>
      <c r="O911" s="70">
        <f t="shared" si="95"/>
        <v>0.000659145088819801</v>
      </c>
      <c r="P911" s="70">
        <v>11032</v>
      </c>
    </row>
    <row r="912" s="66" customFormat="1" spans="1:16">
      <c r="A912" s="70">
        <v>910</v>
      </c>
      <c r="B912" s="70">
        <v>11200</v>
      </c>
      <c r="C912" s="70">
        <v>6</v>
      </c>
      <c r="D912" s="70">
        <f t="shared" si="94"/>
        <v>104957</v>
      </c>
      <c r="E912" s="70">
        <f t="shared" si="93"/>
        <v>105017</v>
      </c>
      <c r="F912" s="70"/>
      <c r="G912" s="70" t="s">
        <v>344</v>
      </c>
      <c r="H912" s="70" t="s">
        <v>389</v>
      </c>
      <c r="I912" s="70"/>
      <c r="J912" s="70" t="s">
        <v>279</v>
      </c>
      <c r="K912" s="70">
        <v>1</v>
      </c>
      <c r="L912" s="70" t="s">
        <v>111</v>
      </c>
      <c r="M912" s="70">
        <f>ROUNDDOWN(VLOOKUP(J912,Sheet1!$N$32:$O$37,2,0)*1000,0)</f>
        <v>60</v>
      </c>
      <c r="N912" s="70"/>
      <c r="O912" s="70">
        <f t="shared" si="95"/>
        <v>0.000659145088819801</v>
      </c>
      <c r="P912" s="70">
        <v>11033</v>
      </c>
    </row>
    <row r="913" s="66" customFormat="1" spans="1:20">
      <c r="A913" s="70">
        <v>911</v>
      </c>
      <c r="B913" s="70">
        <v>11200</v>
      </c>
      <c r="C913" s="70">
        <v>6</v>
      </c>
      <c r="D913" s="70">
        <f t="shared" si="94"/>
        <v>105017</v>
      </c>
      <c r="E913" s="70">
        <f t="shared" si="93"/>
        <v>105077</v>
      </c>
      <c r="F913" s="70"/>
      <c r="G913" s="70" t="s">
        <v>346</v>
      </c>
      <c r="H913" s="70" t="s">
        <v>390</v>
      </c>
      <c r="I913" s="70"/>
      <c r="J913" s="70" t="s">
        <v>279</v>
      </c>
      <c r="K913" s="70">
        <v>1</v>
      </c>
      <c r="L913" s="70" t="s">
        <v>111</v>
      </c>
      <c r="M913" s="70">
        <f>ROUNDDOWN(VLOOKUP(J913,Sheet1!$N$32:$O$37,2,0)*1000,0)</f>
        <v>60</v>
      </c>
      <c r="N913" s="70"/>
      <c r="O913" s="70">
        <f t="shared" si="95"/>
        <v>0.000659145088819801</v>
      </c>
      <c r="P913" s="70">
        <v>11034</v>
      </c>
    </row>
    <row r="914" s="66" customFormat="1" spans="1:20">
      <c r="A914" s="70">
        <v>912</v>
      </c>
      <c r="B914" s="70">
        <v>11200</v>
      </c>
      <c r="C914" s="70">
        <v>6</v>
      </c>
      <c r="D914" s="70">
        <f t="shared" si="94"/>
        <v>105077</v>
      </c>
      <c r="E914" s="70">
        <f t="shared" si="93"/>
        <v>105137</v>
      </c>
      <c r="F914" s="70"/>
      <c r="G914" s="70" t="s">
        <v>348</v>
      </c>
      <c r="H914" s="70" t="s">
        <v>391</v>
      </c>
      <c r="I914" s="70"/>
      <c r="J914" s="70" t="s">
        <v>279</v>
      </c>
      <c r="K914" s="70">
        <v>1</v>
      </c>
      <c r="L914" s="70" t="s">
        <v>111</v>
      </c>
      <c r="M914" s="70">
        <f>ROUNDDOWN(VLOOKUP(J914,Sheet1!$N$32:$O$37,2,0)*1000,0)</f>
        <v>60</v>
      </c>
      <c r="N914" s="70"/>
      <c r="O914" s="70">
        <f t="shared" si="95"/>
        <v>0.000659145088819801</v>
      </c>
      <c r="P914" s="70">
        <v>11035</v>
      </c>
    </row>
    <row r="915" s="66" customFormat="1" spans="1:20">
      <c r="A915" s="70">
        <v>913</v>
      </c>
      <c r="B915" s="70">
        <v>11200</v>
      </c>
      <c r="C915" s="70">
        <v>6</v>
      </c>
      <c r="D915" s="70">
        <f t="shared" si="94"/>
        <v>105137</v>
      </c>
      <c r="E915" s="70">
        <f t="shared" si="93"/>
        <v>105197</v>
      </c>
      <c r="F915" s="70"/>
      <c r="G915" s="70" t="s">
        <v>350</v>
      </c>
      <c r="H915" s="70" t="s">
        <v>392</v>
      </c>
      <c r="I915" s="70"/>
      <c r="J915" s="70" t="s">
        <v>279</v>
      </c>
      <c r="K915" s="70">
        <v>1</v>
      </c>
      <c r="L915" s="70" t="s">
        <v>111</v>
      </c>
      <c r="M915" s="70">
        <f>ROUNDDOWN(VLOOKUP(J915,Sheet1!$N$32:$O$37,2,0)*1000,0)</f>
        <v>60</v>
      </c>
      <c r="N915" s="70"/>
      <c r="O915" s="70">
        <f t="shared" si="95"/>
        <v>0.000659145088819801</v>
      </c>
      <c r="P915" s="70">
        <v>11036</v>
      </c>
    </row>
    <row r="916" s="66" customFormat="1" spans="1:20">
      <c r="A916" s="70">
        <v>914</v>
      </c>
      <c r="B916" s="70">
        <v>11200</v>
      </c>
      <c r="C916" s="70">
        <v>6</v>
      </c>
      <c r="D916" s="70">
        <f t="shared" si="94"/>
        <v>105197</v>
      </c>
      <c r="E916" s="70">
        <f t="shared" si="93"/>
        <v>105257</v>
      </c>
      <c r="F916" s="70"/>
      <c r="G916" s="70" t="s">
        <v>352</v>
      </c>
      <c r="H916" s="70" t="s">
        <v>393</v>
      </c>
      <c r="I916" s="70"/>
      <c r="J916" s="70" t="s">
        <v>279</v>
      </c>
      <c r="K916" s="70">
        <v>1</v>
      </c>
      <c r="L916" s="70" t="s">
        <v>111</v>
      </c>
      <c r="M916" s="70">
        <f>ROUNDDOWN(VLOOKUP(J916,Sheet1!$N$32:$O$37,2,0)*1000,0)</f>
        <v>60</v>
      </c>
      <c r="N916" s="70"/>
      <c r="O916" s="70">
        <f t="shared" si="95"/>
        <v>0.000659145088819801</v>
      </c>
      <c r="P916" s="70">
        <v>11037</v>
      </c>
    </row>
    <row r="917" s="66" customFormat="1" spans="1:20">
      <c r="A917" s="70">
        <v>915</v>
      </c>
      <c r="B917" s="70">
        <v>11200</v>
      </c>
      <c r="C917" s="70">
        <v>6</v>
      </c>
      <c r="D917" s="70">
        <f t="shared" si="94"/>
        <v>105257</v>
      </c>
      <c r="E917" s="70">
        <f t="shared" si="93"/>
        <v>105317</v>
      </c>
      <c r="F917" s="70"/>
      <c r="G917" s="70" t="s">
        <v>354</v>
      </c>
      <c r="H917" s="70" t="s">
        <v>394</v>
      </c>
      <c r="I917" s="70"/>
      <c r="J917" s="70" t="s">
        <v>279</v>
      </c>
      <c r="K917" s="70">
        <v>1</v>
      </c>
      <c r="L917" s="70" t="s">
        <v>111</v>
      </c>
      <c r="M917" s="70">
        <f>ROUNDDOWN(VLOOKUP(J917,Sheet1!$N$32:$O$37,2,0)*1000,0)</f>
        <v>60</v>
      </c>
      <c r="N917" s="70"/>
      <c r="O917" s="70">
        <f t="shared" si="95"/>
        <v>0.000659145088819801</v>
      </c>
      <c r="P917" s="70">
        <v>11038</v>
      </c>
    </row>
    <row r="918" s="66" customFormat="1" spans="1:20">
      <c r="A918" s="70">
        <v>916</v>
      </c>
      <c r="B918" s="70">
        <v>11200</v>
      </c>
      <c r="C918" s="70">
        <v>6</v>
      </c>
      <c r="D918" s="70">
        <f t="shared" si="94"/>
        <v>105317</v>
      </c>
      <c r="E918" s="70">
        <f t="shared" si="93"/>
        <v>105377</v>
      </c>
      <c r="F918" s="70"/>
      <c r="G918" s="70" t="s">
        <v>346</v>
      </c>
      <c r="H918" s="70" t="s">
        <v>395</v>
      </c>
      <c r="I918" s="70"/>
      <c r="J918" s="70" t="s">
        <v>279</v>
      </c>
      <c r="K918" s="70">
        <v>1</v>
      </c>
      <c r="L918" s="70" t="s">
        <v>111</v>
      </c>
      <c r="M918" s="70">
        <f>ROUNDDOWN(VLOOKUP(J918,Sheet1!$N$32:$O$37,2,0)*1000,0)</f>
        <v>60</v>
      </c>
      <c r="N918" s="70"/>
      <c r="O918" s="70">
        <f t="shared" si="95"/>
        <v>0.000659145088819801</v>
      </c>
      <c r="P918" s="70">
        <v>11034</v>
      </c>
    </row>
    <row r="919" s="66" customFormat="1" spans="1:20">
      <c r="A919" s="70">
        <v>917</v>
      </c>
      <c r="B919" s="70">
        <v>11200</v>
      </c>
      <c r="C919" s="70">
        <v>6</v>
      </c>
      <c r="D919" s="70">
        <f t="shared" si="94"/>
        <v>105377</v>
      </c>
      <c r="E919" s="70">
        <f t="shared" si="93"/>
        <v>105437</v>
      </c>
      <c r="F919" s="70"/>
      <c r="G919" s="70" t="s">
        <v>348</v>
      </c>
      <c r="H919" s="70" t="s">
        <v>396</v>
      </c>
      <c r="I919" s="70"/>
      <c r="J919" s="70" t="s">
        <v>279</v>
      </c>
      <c r="K919" s="70">
        <v>1</v>
      </c>
      <c r="L919" s="70" t="s">
        <v>111</v>
      </c>
      <c r="M919" s="70">
        <f>ROUNDDOWN(VLOOKUP(J919,Sheet1!$N$32:$O$37,2,0)*1000,0)</f>
        <v>60</v>
      </c>
      <c r="N919" s="70"/>
      <c r="O919" s="70">
        <f t="shared" si="95"/>
        <v>0.000659145088819801</v>
      </c>
      <c r="P919" s="70">
        <v>11035</v>
      </c>
    </row>
    <row r="920" s="66" customFormat="1" spans="1:20">
      <c r="A920" s="70">
        <v>918</v>
      </c>
      <c r="B920" s="70">
        <v>11200</v>
      </c>
      <c r="C920" s="70">
        <v>6</v>
      </c>
      <c r="D920" s="70">
        <f t="shared" si="94"/>
        <v>105437</v>
      </c>
      <c r="E920" s="70">
        <f t="shared" si="93"/>
        <v>105497</v>
      </c>
      <c r="F920" s="70"/>
      <c r="G920" s="70" t="s">
        <v>350</v>
      </c>
      <c r="H920" s="70" t="s">
        <v>397</v>
      </c>
      <c r="I920" s="70"/>
      <c r="J920" s="70" t="s">
        <v>279</v>
      </c>
      <c r="K920" s="70">
        <v>1</v>
      </c>
      <c r="L920" s="70" t="s">
        <v>111</v>
      </c>
      <c r="M920" s="70">
        <f>ROUNDDOWN(VLOOKUP(J920,Sheet1!$N$32:$O$37,2,0)*1000,0)</f>
        <v>60</v>
      </c>
      <c r="N920" s="70"/>
      <c r="O920" s="70">
        <f t="shared" si="95"/>
        <v>0.000659145088819801</v>
      </c>
      <c r="P920" s="70">
        <v>11036</v>
      </c>
    </row>
    <row r="921" s="66" customFormat="1" spans="1:20">
      <c r="A921" s="70">
        <v>919</v>
      </c>
      <c r="B921" s="70">
        <v>11200</v>
      </c>
      <c r="C921" s="70">
        <v>6</v>
      </c>
      <c r="D921" s="70">
        <f t="shared" si="94"/>
        <v>105497</v>
      </c>
      <c r="E921" s="70">
        <f t="shared" si="93"/>
        <v>105557</v>
      </c>
      <c r="F921" s="70"/>
      <c r="G921" s="70" t="s">
        <v>352</v>
      </c>
      <c r="H921" s="70" t="s">
        <v>398</v>
      </c>
      <c r="I921" s="70"/>
      <c r="J921" s="70" t="s">
        <v>279</v>
      </c>
      <c r="K921" s="70">
        <v>1</v>
      </c>
      <c r="L921" s="70" t="s">
        <v>111</v>
      </c>
      <c r="M921" s="70">
        <f>ROUNDDOWN(VLOOKUP(J921,Sheet1!$N$32:$O$37,2,0)*1000,0)</f>
        <v>60</v>
      </c>
      <c r="N921" s="70"/>
      <c r="O921" s="70">
        <f t="shared" si="95"/>
        <v>0.000659145088819801</v>
      </c>
      <c r="P921" s="70">
        <v>11037</v>
      </c>
    </row>
    <row r="922" s="66" customFormat="1" spans="1:20">
      <c r="A922" s="70">
        <v>920</v>
      </c>
      <c r="B922" s="70">
        <v>11200</v>
      </c>
      <c r="C922" s="70">
        <v>6</v>
      </c>
      <c r="D922" s="70">
        <f t="shared" si="94"/>
        <v>105557</v>
      </c>
      <c r="E922" s="70">
        <f t="shared" si="93"/>
        <v>105617</v>
      </c>
      <c r="F922" s="70"/>
      <c r="G922" s="70" t="s">
        <v>354</v>
      </c>
      <c r="H922" s="70" t="s">
        <v>399</v>
      </c>
      <c r="I922" s="70"/>
      <c r="J922" s="70" t="s">
        <v>279</v>
      </c>
      <c r="K922" s="70">
        <v>1</v>
      </c>
      <c r="L922" s="70" t="s">
        <v>111</v>
      </c>
      <c r="M922" s="70">
        <f>ROUNDDOWN(VLOOKUP(J922,Sheet1!$N$32:$O$37,2,0)*1000,0)</f>
        <v>60</v>
      </c>
      <c r="N922" s="70"/>
      <c r="O922" s="70">
        <f t="shared" si="95"/>
        <v>0.000659145088819801</v>
      </c>
      <c r="P922" s="70">
        <v>11038</v>
      </c>
    </row>
    <row r="923" spans="1:20">
      <c r="A923" s="70">
        <v>921</v>
      </c>
      <c r="B923" s="70">
        <v>11200</v>
      </c>
      <c r="C923" s="70">
        <v>6</v>
      </c>
      <c r="D923" s="70">
        <f t="shared" si="94"/>
        <v>105617</v>
      </c>
      <c r="E923" s="70">
        <f t="shared" si="93"/>
        <v>105677</v>
      </c>
      <c r="F923" s="70"/>
      <c r="G923" s="70">
        <f>VLOOKUP(H923&amp;I923,Sheet2!$J:$K,2,0)</f>
        <v>98020701</v>
      </c>
      <c r="H923" s="70" t="s">
        <v>400</v>
      </c>
      <c r="I923" s="70"/>
      <c r="J923" s="70" t="s">
        <v>279</v>
      </c>
      <c r="K923" s="70">
        <v>1</v>
      </c>
      <c r="L923" s="70" t="s">
        <v>111</v>
      </c>
      <c r="M923" s="70">
        <f>ROUNDDOWN(VLOOKUP(J923,Sheet1!$N$32:$O$37,2,0)*1000,0)</f>
        <v>60</v>
      </c>
      <c r="N923" s="70"/>
      <c r="O923" s="70">
        <f t="shared" ref="O923:O953" si="96">(E923-D923)/$E$438</f>
        <v>0.000659145088819801</v>
      </c>
      <c r="P923" s="70">
        <v>11039</v>
      </c>
      <c r="R923">
        <v>4992</v>
      </c>
      <c r="S923">
        <f>39+44</f>
        <v>83</v>
      </c>
      <c r="T923">
        <f>R923/S923</f>
        <v>60.144578313253</v>
      </c>
    </row>
    <row r="924" spans="1:20">
      <c r="A924" s="70">
        <v>922</v>
      </c>
      <c r="B924" s="70">
        <v>11200</v>
      </c>
      <c r="C924" s="70">
        <v>6</v>
      </c>
      <c r="D924" s="70">
        <f t="shared" si="94"/>
        <v>105677</v>
      </c>
      <c r="E924" s="70">
        <f t="shared" si="93"/>
        <v>105737</v>
      </c>
      <c r="F924" s="70"/>
      <c r="G924" s="70">
        <f>VLOOKUP(H924&amp;I924,Sheet2!$J:$K,2,0)</f>
        <v>98020702</v>
      </c>
      <c r="H924" s="70" t="s">
        <v>401</v>
      </c>
      <c r="I924" s="70"/>
      <c r="J924" s="70" t="s">
        <v>279</v>
      </c>
      <c r="K924" s="70">
        <v>1</v>
      </c>
      <c r="L924" s="70" t="s">
        <v>111</v>
      </c>
      <c r="M924" s="70">
        <f>ROUNDDOWN(VLOOKUP(J924,Sheet1!$N$32:$O$37,2,0)*1000,0)</f>
        <v>60</v>
      </c>
      <c r="N924" s="70"/>
      <c r="O924" s="70">
        <f t="shared" si="96"/>
        <v>0.000659145088819801</v>
      </c>
      <c r="P924" s="70">
        <v>11040</v>
      </c>
    </row>
    <row r="925" spans="1:20">
      <c r="A925" s="70">
        <v>923</v>
      </c>
      <c r="B925" s="70">
        <v>11200</v>
      </c>
      <c r="C925" s="70">
        <v>6</v>
      </c>
      <c r="D925" s="70">
        <f t="shared" si="94"/>
        <v>105737</v>
      </c>
      <c r="E925" s="70">
        <f t="shared" si="93"/>
        <v>105797</v>
      </c>
      <c r="F925" s="70"/>
      <c r="G925" s="70">
        <f>VLOOKUP(H925&amp;I925,Sheet2!$J:$K,2,0)</f>
        <v>98050101</v>
      </c>
      <c r="H925" s="70" t="s">
        <v>402</v>
      </c>
      <c r="I925" s="70"/>
      <c r="J925" s="70" t="s">
        <v>279</v>
      </c>
      <c r="K925" s="70">
        <v>1</v>
      </c>
      <c r="L925" s="70" t="s">
        <v>111</v>
      </c>
      <c r="M925" s="70">
        <f>ROUNDDOWN(VLOOKUP(J925,Sheet1!$N$32:$O$37,2,0)*1000,0)</f>
        <v>60</v>
      </c>
      <c r="N925" s="70"/>
      <c r="O925" s="70">
        <f t="shared" si="96"/>
        <v>0.000659145088819801</v>
      </c>
      <c r="P925" s="70">
        <v>11041</v>
      </c>
    </row>
    <row r="926" spans="1:20">
      <c r="A926" s="70">
        <v>924</v>
      </c>
      <c r="B926" s="70">
        <v>11200</v>
      </c>
      <c r="C926" s="70">
        <v>6</v>
      </c>
      <c r="D926" s="70">
        <f t="shared" si="94"/>
        <v>105797</v>
      </c>
      <c r="E926" s="70">
        <f t="shared" si="93"/>
        <v>105857</v>
      </c>
      <c r="F926" s="70"/>
      <c r="G926" s="70">
        <f>VLOOKUP(H926&amp;I926,Sheet2!$J:$K,2,0)</f>
        <v>98050102</v>
      </c>
      <c r="H926" s="70" t="s">
        <v>403</v>
      </c>
      <c r="I926" s="70"/>
      <c r="J926" s="70" t="s">
        <v>279</v>
      </c>
      <c r="K926" s="70">
        <v>1</v>
      </c>
      <c r="L926" s="70" t="s">
        <v>111</v>
      </c>
      <c r="M926" s="70">
        <f>ROUNDDOWN(VLOOKUP(J926,Sheet1!$N$32:$O$37,2,0)*1000,0)</f>
        <v>60</v>
      </c>
      <c r="N926" s="70"/>
      <c r="O926" s="70">
        <f t="shared" si="96"/>
        <v>0.000659145088819801</v>
      </c>
      <c r="P926" s="70">
        <v>11042</v>
      </c>
    </row>
    <row r="927" spans="1:20">
      <c r="A927" s="70">
        <v>925</v>
      </c>
      <c r="B927" s="70">
        <v>11200</v>
      </c>
      <c r="C927" s="70">
        <v>6</v>
      </c>
      <c r="D927" s="70">
        <f t="shared" si="94"/>
        <v>105857</v>
      </c>
      <c r="E927" s="70">
        <f t="shared" si="93"/>
        <v>105917</v>
      </c>
      <c r="F927" s="70"/>
      <c r="G927" s="70">
        <f>VLOOKUP(H927&amp;I927,Sheet2!$J:$K,2,0)</f>
        <v>98050103</v>
      </c>
      <c r="H927" s="70" t="s">
        <v>404</v>
      </c>
      <c r="I927" s="70"/>
      <c r="J927" s="70" t="s">
        <v>279</v>
      </c>
      <c r="K927" s="70">
        <v>1</v>
      </c>
      <c r="L927" s="70" t="s">
        <v>111</v>
      </c>
      <c r="M927" s="70">
        <f>ROUNDDOWN(VLOOKUP(J927,Sheet1!$N$32:$O$37,2,0)*1000,0)</f>
        <v>60</v>
      </c>
      <c r="N927" s="70"/>
      <c r="O927" s="70">
        <f t="shared" si="96"/>
        <v>0.000659145088819801</v>
      </c>
      <c r="P927" s="70">
        <v>11043</v>
      </c>
    </row>
    <row r="928" spans="1:20">
      <c r="A928" s="70">
        <v>926</v>
      </c>
      <c r="B928" s="70">
        <v>11200</v>
      </c>
      <c r="C928" s="70">
        <v>6</v>
      </c>
      <c r="D928" s="70">
        <f t="shared" si="94"/>
        <v>105917</v>
      </c>
      <c r="E928" s="70">
        <f t="shared" ref="E928:E953" si="97">D928+M928</f>
        <v>105977</v>
      </c>
      <c r="F928" s="70"/>
      <c r="G928" s="70">
        <f>VLOOKUP(H928&amp;I928,Sheet2!$J:$K,2,0)</f>
        <v>98050104</v>
      </c>
      <c r="H928" s="70" t="s">
        <v>405</v>
      </c>
      <c r="I928" s="70"/>
      <c r="J928" s="70" t="s">
        <v>279</v>
      </c>
      <c r="K928" s="70">
        <v>1</v>
      </c>
      <c r="L928" s="70" t="s">
        <v>111</v>
      </c>
      <c r="M928" s="70">
        <f>ROUNDDOWN(VLOOKUP(J928,Sheet1!$N$32:$O$37,2,0)*1000,0)</f>
        <v>60</v>
      </c>
      <c r="N928" s="70"/>
      <c r="O928" s="70">
        <f t="shared" si="96"/>
        <v>0.000659145088819801</v>
      </c>
      <c r="P928" s="70">
        <v>11044</v>
      </c>
    </row>
    <row r="929" spans="1:16">
      <c r="A929" s="70">
        <v>927</v>
      </c>
      <c r="B929" s="70">
        <v>11200</v>
      </c>
      <c r="C929" s="70">
        <v>6</v>
      </c>
      <c r="D929" s="70">
        <f t="shared" si="94"/>
        <v>105977</v>
      </c>
      <c r="E929" s="70">
        <f t="shared" si="97"/>
        <v>106037</v>
      </c>
      <c r="F929" s="70"/>
      <c r="G929" s="70">
        <f>VLOOKUP(H929&amp;I929,Sheet2!$J:$K,2,0)</f>
        <v>98050105</v>
      </c>
      <c r="H929" s="70" t="s">
        <v>406</v>
      </c>
      <c r="I929" s="70"/>
      <c r="J929" s="70" t="s">
        <v>279</v>
      </c>
      <c r="K929" s="70">
        <v>1</v>
      </c>
      <c r="L929" s="70" t="s">
        <v>111</v>
      </c>
      <c r="M929" s="70">
        <f>ROUNDDOWN(VLOOKUP(J929,Sheet1!$N$32:$O$37,2,0)*1000,0)</f>
        <v>60</v>
      </c>
      <c r="N929" s="70"/>
      <c r="O929" s="70">
        <f t="shared" si="96"/>
        <v>0.000659145088819801</v>
      </c>
      <c r="P929" s="70">
        <v>11045</v>
      </c>
    </row>
    <row r="930" spans="1:16">
      <c r="A930" s="70">
        <v>928</v>
      </c>
      <c r="B930" s="70">
        <v>11200</v>
      </c>
      <c r="C930" s="70">
        <v>6</v>
      </c>
      <c r="D930" s="70">
        <f t="shared" si="94"/>
        <v>106037</v>
      </c>
      <c r="E930" s="70">
        <f t="shared" si="97"/>
        <v>106097</v>
      </c>
      <c r="F930" s="70"/>
      <c r="G930" s="70">
        <f>VLOOKUP(H930&amp;I930,Sheet2!$J:$K,2,0)</f>
        <v>98060201</v>
      </c>
      <c r="H930" s="70" t="s">
        <v>407</v>
      </c>
      <c r="I930" s="70"/>
      <c r="J930" s="70" t="s">
        <v>279</v>
      </c>
      <c r="K930" s="70">
        <v>1</v>
      </c>
      <c r="L930" s="70" t="s">
        <v>111</v>
      </c>
      <c r="M930" s="70">
        <f>ROUNDDOWN(VLOOKUP(J930,Sheet1!$N$32:$O$37,2,0)*1000,0)</f>
        <v>60</v>
      </c>
      <c r="N930" s="70"/>
      <c r="O930" s="70">
        <f t="shared" si="96"/>
        <v>0.000659145088819801</v>
      </c>
      <c r="P930" s="70">
        <v>11046</v>
      </c>
    </row>
    <row r="931" spans="1:16">
      <c r="A931" s="70">
        <v>929</v>
      </c>
      <c r="B931" s="70">
        <v>11200</v>
      </c>
      <c r="C931" s="70">
        <v>6</v>
      </c>
      <c r="D931" s="70">
        <f t="shared" si="94"/>
        <v>106097</v>
      </c>
      <c r="E931" s="70">
        <f t="shared" si="97"/>
        <v>106157</v>
      </c>
      <c r="F931" s="70"/>
      <c r="G931" s="70">
        <f>VLOOKUP(H931&amp;I931,Sheet2!$J:$K,2,0)</f>
        <v>98060202</v>
      </c>
      <c r="H931" s="70" t="s">
        <v>408</v>
      </c>
      <c r="I931" s="70"/>
      <c r="J931" s="70" t="s">
        <v>279</v>
      </c>
      <c r="K931" s="70">
        <v>1</v>
      </c>
      <c r="L931" s="70" t="s">
        <v>111</v>
      </c>
      <c r="M931" s="70">
        <f>ROUNDDOWN(VLOOKUP(J931,Sheet1!$N$32:$O$37,2,0)*1000,0)</f>
        <v>60</v>
      </c>
      <c r="N931" s="70"/>
      <c r="O931" s="70">
        <f t="shared" si="96"/>
        <v>0.000659145088819801</v>
      </c>
      <c r="P931" s="70">
        <v>11047</v>
      </c>
    </row>
    <row r="932" spans="1:16">
      <c r="A932" s="70">
        <v>930</v>
      </c>
      <c r="B932" s="70">
        <v>11200</v>
      </c>
      <c r="C932" s="70">
        <v>6</v>
      </c>
      <c r="D932" s="70">
        <f t="shared" si="94"/>
        <v>106157</v>
      </c>
      <c r="E932" s="70">
        <f t="shared" si="97"/>
        <v>106217</v>
      </c>
      <c r="F932" s="70"/>
      <c r="G932" s="70">
        <f>VLOOKUP(H932&amp;I932,Sheet2!$J:$K,2,0)</f>
        <v>98010301</v>
      </c>
      <c r="H932" s="70" t="s">
        <v>409</v>
      </c>
      <c r="I932" s="70"/>
      <c r="J932" s="70" t="s">
        <v>279</v>
      </c>
      <c r="K932" s="70">
        <v>1</v>
      </c>
      <c r="L932" s="70" t="s">
        <v>111</v>
      </c>
      <c r="M932" s="70">
        <f>ROUNDDOWN(VLOOKUP(J932,Sheet1!$N$32:$O$37,2,0)*1000,0)</f>
        <v>60</v>
      </c>
      <c r="N932" s="70"/>
      <c r="O932" s="70">
        <f t="shared" si="96"/>
        <v>0.000659145088819801</v>
      </c>
      <c r="P932" s="70">
        <v>11048</v>
      </c>
    </row>
    <row r="933" spans="1:16">
      <c r="A933" s="70">
        <v>931</v>
      </c>
      <c r="B933" s="70">
        <v>11200</v>
      </c>
      <c r="C933" s="70">
        <v>6</v>
      </c>
      <c r="D933" s="70">
        <f t="shared" si="94"/>
        <v>106217</v>
      </c>
      <c r="E933" s="70">
        <f t="shared" si="97"/>
        <v>106277</v>
      </c>
      <c r="F933" s="70"/>
      <c r="G933" s="70">
        <f>VLOOKUP(H933&amp;I933,Sheet2!$J:$K,2,0)</f>
        <v>98010306</v>
      </c>
      <c r="H933" s="70" t="s">
        <v>410</v>
      </c>
      <c r="I933" s="70"/>
      <c r="J933" s="70" t="s">
        <v>279</v>
      </c>
      <c r="K933" s="70">
        <v>1</v>
      </c>
      <c r="L933" s="70" t="s">
        <v>111</v>
      </c>
      <c r="M933" s="70">
        <f>ROUNDDOWN(VLOOKUP(J933,Sheet1!$N$32:$O$37,2,0)*1000,0)</f>
        <v>60</v>
      </c>
      <c r="N933" s="70"/>
      <c r="O933" s="70">
        <f t="shared" si="96"/>
        <v>0.000659145088819801</v>
      </c>
      <c r="P933" s="70">
        <v>11049</v>
      </c>
    </row>
    <row r="934" spans="1:16">
      <c r="A934" s="70">
        <v>932</v>
      </c>
      <c r="B934" s="70">
        <v>11200</v>
      </c>
      <c r="C934" s="70">
        <v>6</v>
      </c>
      <c r="D934" s="70">
        <f t="shared" si="94"/>
        <v>106277</v>
      </c>
      <c r="E934" s="70">
        <f t="shared" si="97"/>
        <v>106337</v>
      </c>
      <c r="F934" s="70"/>
      <c r="G934" s="70">
        <f>VLOOKUP(H934&amp;I934,Sheet2!$J:$K,2,0)</f>
        <v>98010401</v>
      </c>
      <c r="H934" s="70" t="s">
        <v>411</v>
      </c>
      <c r="I934" s="70"/>
      <c r="J934" s="70" t="s">
        <v>279</v>
      </c>
      <c r="K934" s="70">
        <v>1</v>
      </c>
      <c r="L934" s="70" t="s">
        <v>111</v>
      </c>
      <c r="M934" s="70">
        <f>ROUNDDOWN(VLOOKUP(J934,Sheet1!$N$32:$O$37,2,0)*1000,0)</f>
        <v>60</v>
      </c>
      <c r="N934" s="70"/>
      <c r="O934" s="70">
        <f t="shared" si="96"/>
        <v>0.000659145088819801</v>
      </c>
      <c r="P934" s="70">
        <v>11050</v>
      </c>
    </row>
    <row r="935" spans="1:16">
      <c r="A935" s="70">
        <v>933</v>
      </c>
      <c r="B935" s="70">
        <v>11200</v>
      </c>
      <c r="C935" s="70">
        <v>6</v>
      </c>
      <c r="D935" s="70">
        <f t="shared" si="94"/>
        <v>106337</v>
      </c>
      <c r="E935" s="70">
        <f t="shared" si="97"/>
        <v>106397</v>
      </c>
      <c r="F935" s="70"/>
      <c r="G935" s="70">
        <f>VLOOKUP(H935&amp;I935,Sheet2!$J:$K,2,0)</f>
        <v>98010402</v>
      </c>
      <c r="H935" s="70" t="s">
        <v>412</v>
      </c>
      <c r="I935" s="70"/>
      <c r="J935" s="70" t="s">
        <v>279</v>
      </c>
      <c r="K935" s="70">
        <v>1</v>
      </c>
      <c r="L935" s="70" t="s">
        <v>111</v>
      </c>
      <c r="M935" s="70">
        <f>ROUNDDOWN(VLOOKUP(J935,Sheet1!$N$32:$O$37,2,0)*1000,0)</f>
        <v>60</v>
      </c>
      <c r="N935" s="70"/>
      <c r="O935" s="70">
        <f t="shared" si="96"/>
        <v>0.000659145088819801</v>
      </c>
      <c r="P935" s="70">
        <v>11051</v>
      </c>
    </row>
    <row r="936" spans="1:16">
      <c r="A936" s="70">
        <v>934</v>
      </c>
      <c r="B936" s="70">
        <v>11200</v>
      </c>
      <c r="C936" s="70">
        <v>6</v>
      </c>
      <c r="D936" s="70">
        <f t="shared" si="94"/>
        <v>106397</v>
      </c>
      <c r="E936" s="70">
        <f t="shared" si="97"/>
        <v>106457</v>
      </c>
      <c r="F936" s="70"/>
      <c r="G936" s="70">
        <f>VLOOKUP(H936&amp;I936,Sheet2!$J:$K,2,0)</f>
        <v>98130101</v>
      </c>
      <c r="H936" s="70" t="s">
        <v>413</v>
      </c>
      <c r="I936" s="70"/>
      <c r="J936" s="70" t="s">
        <v>279</v>
      </c>
      <c r="K936" s="70">
        <v>1</v>
      </c>
      <c r="L936" s="70" t="s">
        <v>111</v>
      </c>
      <c r="M936" s="70">
        <f>ROUNDDOWN(VLOOKUP(J936,Sheet1!$N$32:$O$37,2,0)*1000,0)</f>
        <v>60</v>
      </c>
      <c r="N936" s="70"/>
      <c r="O936" s="70">
        <f t="shared" si="96"/>
        <v>0.000659145088819801</v>
      </c>
      <c r="P936" s="70">
        <v>11052</v>
      </c>
    </row>
    <row r="937" spans="1:16">
      <c r="A937" s="70">
        <v>935</v>
      </c>
      <c r="B937" s="70">
        <v>11200</v>
      </c>
      <c r="C937" s="70">
        <v>6</v>
      </c>
      <c r="D937" s="70">
        <f t="shared" si="94"/>
        <v>106457</v>
      </c>
      <c r="E937" s="70">
        <f t="shared" si="97"/>
        <v>106517</v>
      </c>
      <c r="F937" s="70"/>
      <c r="G937" s="70">
        <f>VLOOKUP(H937&amp;I937,Sheet2!$J:$K,2,0)</f>
        <v>98130102</v>
      </c>
      <c r="H937" s="70" t="s">
        <v>414</v>
      </c>
      <c r="I937" s="70"/>
      <c r="J937" s="70" t="s">
        <v>279</v>
      </c>
      <c r="K937" s="70">
        <v>1</v>
      </c>
      <c r="L937" s="70" t="s">
        <v>111</v>
      </c>
      <c r="M937" s="70">
        <f>ROUNDDOWN(VLOOKUP(J937,Sheet1!$N$32:$O$37,2,0)*1000,0)</f>
        <v>60</v>
      </c>
      <c r="N937" s="70"/>
      <c r="O937" s="70">
        <f t="shared" si="96"/>
        <v>0.000659145088819801</v>
      </c>
      <c r="P937" s="70">
        <v>11053</v>
      </c>
    </row>
    <row r="938" spans="1:16">
      <c r="A938" s="70">
        <v>936</v>
      </c>
      <c r="B938" s="70">
        <v>11200</v>
      </c>
      <c r="C938" s="70">
        <v>6</v>
      </c>
      <c r="D938" s="70">
        <f t="shared" si="94"/>
        <v>106517</v>
      </c>
      <c r="E938" s="70">
        <f t="shared" si="97"/>
        <v>106577</v>
      </c>
      <c r="F938" s="70"/>
      <c r="G938" s="70">
        <f>VLOOKUP(H938&amp;I938,Sheet2!$J:$K,2,0)</f>
        <v>98130103</v>
      </c>
      <c r="H938" s="70" t="s">
        <v>415</v>
      </c>
      <c r="I938" s="70"/>
      <c r="J938" s="70" t="s">
        <v>279</v>
      </c>
      <c r="K938" s="70">
        <v>1</v>
      </c>
      <c r="L938" s="70" t="s">
        <v>111</v>
      </c>
      <c r="M938" s="70">
        <f>ROUNDDOWN(VLOOKUP(J938,Sheet1!$N$32:$O$37,2,0)*1000,0)</f>
        <v>60</v>
      </c>
      <c r="N938" s="70"/>
      <c r="O938" s="70">
        <f t="shared" si="96"/>
        <v>0.000659145088819801</v>
      </c>
      <c r="P938" s="70">
        <v>11054</v>
      </c>
    </row>
    <row r="939" spans="1:16">
      <c r="A939" s="70">
        <v>937</v>
      </c>
      <c r="B939" s="70">
        <v>11200</v>
      </c>
      <c r="C939" s="70">
        <v>6</v>
      </c>
      <c r="D939" s="70">
        <f t="shared" si="94"/>
        <v>106577</v>
      </c>
      <c r="E939" s="70">
        <f t="shared" si="97"/>
        <v>106637</v>
      </c>
      <c r="F939" s="70"/>
      <c r="G939" s="70">
        <f>VLOOKUP(H939&amp;I939,Sheet2!$J:$K,2,0)</f>
        <v>98130201</v>
      </c>
      <c r="H939" s="70" t="s">
        <v>416</v>
      </c>
      <c r="I939" s="70"/>
      <c r="J939" s="70" t="s">
        <v>279</v>
      </c>
      <c r="K939" s="70">
        <v>1</v>
      </c>
      <c r="L939" s="70" t="s">
        <v>111</v>
      </c>
      <c r="M939" s="70">
        <f>ROUNDDOWN(VLOOKUP(J939,Sheet1!$N$32:$O$37,2,0)*1000,0)</f>
        <v>60</v>
      </c>
      <c r="N939" s="70"/>
      <c r="O939" s="70">
        <f t="shared" si="96"/>
        <v>0.000659145088819801</v>
      </c>
      <c r="P939" s="70">
        <v>11055</v>
      </c>
    </row>
    <row r="940" spans="1:16">
      <c r="A940" s="70">
        <v>938</v>
      </c>
      <c r="B940" s="70">
        <v>11200</v>
      </c>
      <c r="C940" s="70">
        <v>6</v>
      </c>
      <c r="D940" s="70">
        <f t="shared" si="94"/>
        <v>106637</v>
      </c>
      <c r="E940" s="70">
        <f t="shared" si="97"/>
        <v>106697</v>
      </c>
      <c r="F940" s="70"/>
      <c r="G940" s="70">
        <f>VLOOKUP(H940&amp;I940,Sheet2!$J:$K,2,0)</f>
        <v>98130202</v>
      </c>
      <c r="H940" s="70" t="s">
        <v>417</v>
      </c>
      <c r="I940" s="70"/>
      <c r="J940" s="70" t="s">
        <v>279</v>
      </c>
      <c r="K940" s="70">
        <v>1</v>
      </c>
      <c r="L940" s="70" t="s">
        <v>111</v>
      </c>
      <c r="M940" s="70">
        <f>ROUNDDOWN(VLOOKUP(J940,Sheet1!$N$32:$O$37,2,0)*1000,0)</f>
        <v>60</v>
      </c>
      <c r="N940" s="70"/>
      <c r="O940" s="70">
        <f t="shared" si="96"/>
        <v>0.000659145088819801</v>
      </c>
      <c r="P940" s="70">
        <v>11056</v>
      </c>
    </row>
    <row r="941" spans="1:16">
      <c r="A941" s="70">
        <v>939</v>
      </c>
      <c r="B941" s="70">
        <v>11200</v>
      </c>
      <c r="C941" s="70">
        <v>6</v>
      </c>
      <c r="D941" s="70">
        <f t="shared" si="94"/>
        <v>106697</v>
      </c>
      <c r="E941" s="70">
        <f t="shared" si="97"/>
        <v>106757</v>
      </c>
      <c r="F941" s="70"/>
      <c r="G941" s="70">
        <f>VLOOKUP(H941&amp;I941,Sheet2!$J:$K,2,0)</f>
        <v>98150101</v>
      </c>
      <c r="H941" s="70" t="s">
        <v>418</v>
      </c>
      <c r="I941" s="70"/>
      <c r="J941" s="70" t="s">
        <v>279</v>
      </c>
      <c r="K941" s="70">
        <v>1</v>
      </c>
      <c r="L941" s="70" t="s">
        <v>111</v>
      </c>
      <c r="M941" s="70">
        <f>ROUNDDOWN(VLOOKUP(J941,Sheet1!$N$32:$O$37,2,0)*1000,0)</f>
        <v>60</v>
      </c>
      <c r="N941" s="70"/>
      <c r="O941" s="70">
        <f t="shared" si="96"/>
        <v>0.000659145088819801</v>
      </c>
      <c r="P941" s="70">
        <v>11057</v>
      </c>
    </row>
    <row r="942" spans="1:16">
      <c r="A942" s="70">
        <v>940</v>
      </c>
      <c r="B942" s="70">
        <v>11200</v>
      </c>
      <c r="C942" s="70">
        <v>6</v>
      </c>
      <c r="D942" s="70">
        <f t="shared" si="94"/>
        <v>106757</v>
      </c>
      <c r="E942" s="70">
        <f t="shared" si="97"/>
        <v>106817</v>
      </c>
      <c r="F942" s="70"/>
      <c r="G942" s="70">
        <f>VLOOKUP(H942&amp;I942,Sheet2!$J:$K,2,0)</f>
        <v>98150102</v>
      </c>
      <c r="H942" s="70" t="s">
        <v>419</v>
      </c>
      <c r="I942" s="70"/>
      <c r="J942" s="70" t="s">
        <v>279</v>
      </c>
      <c r="K942" s="70">
        <v>1</v>
      </c>
      <c r="L942" s="70" t="s">
        <v>111</v>
      </c>
      <c r="M942" s="70">
        <f>ROUNDDOWN(VLOOKUP(J942,Sheet1!$N$32:$O$37,2,0)*1000,0)</f>
        <v>60</v>
      </c>
      <c r="N942" s="70"/>
      <c r="O942" s="70">
        <f t="shared" si="96"/>
        <v>0.000659145088819801</v>
      </c>
      <c r="P942" s="70">
        <v>11058</v>
      </c>
    </row>
    <row r="943" spans="1:16">
      <c r="A943" s="70">
        <v>941</v>
      </c>
      <c r="B943" s="70">
        <v>11200</v>
      </c>
      <c r="C943" s="70">
        <v>6</v>
      </c>
      <c r="D943" s="70">
        <f t="shared" si="94"/>
        <v>106817</v>
      </c>
      <c r="E943" s="70">
        <f t="shared" si="97"/>
        <v>106877</v>
      </c>
      <c r="F943" s="70"/>
      <c r="G943" s="70">
        <f>VLOOKUP(H943&amp;I943,Sheet2!$J:$K,2,0)</f>
        <v>98150103</v>
      </c>
      <c r="H943" s="70" t="s">
        <v>420</v>
      </c>
      <c r="I943" s="70"/>
      <c r="J943" s="70" t="s">
        <v>279</v>
      </c>
      <c r="K943" s="70">
        <v>1</v>
      </c>
      <c r="L943" s="70" t="s">
        <v>111</v>
      </c>
      <c r="M943" s="70">
        <f>ROUNDDOWN(VLOOKUP(J943,Sheet1!$N$32:$O$37,2,0)*1000,0)</f>
        <v>60</v>
      </c>
      <c r="N943" s="70"/>
      <c r="O943" s="70">
        <f t="shared" si="96"/>
        <v>0.000659145088819801</v>
      </c>
      <c r="P943" s="70">
        <v>11059</v>
      </c>
    </row>
    <row r="944" spans="1:16">
      <c r="A944" s="70">
        <v>942</v>
      </c>
      <c r="B944" s="70">
        <v>11200</v>
      </c>
      <c r="C944" s="70">
        <v>6</v>
      </c>
      <c r="D944" s="70">
        <f t="shared" si="94"/>
        <v>106877</v>
      </c>
      <c r="E944" s="70">
        <f t="shared" si="97"/>
        <v>106937</v>
      </c>
      <c r="F944" s="70"/>
      <c r="G944" s="70">
        <f>VLOOKUP(H944&amp;I944,Sheet2!$J:$K,2,0)</f>
        <v>98100301</v>
      </c>
      <c r="H944" s="70" t="s">
        <v>421</v>
      </c>
      <c r="I944" s="70"/>
      <c r="J944" s="70" t="s">
        <v>279</v>
      </c>
      <c r="K944" s="70">
        <v>1</v>
      </c>
      <c r="L944" s="70" t="s">
        <v>111</v>
      </c>
      <c r="M944" s="70">
        <f>ROUNDDOWN(VLOOKUP(J944,Sheet1!$N$32:$O$37,2,0)*1000,0)</f>
        <v>60</v>
      </c>
      <c r="N944" s="70"/>
      <c r="O944" s="70">
        <f t="shared" si="96"/>
        <v>0.000659145088819801</v>
      </c>
      <c r="P944" s="70">
        <v>11060</v>
      </c>
    </row>
    <row r="945" spans="1:16">
      <c r="A945" s="70">
        <v>943</v>
      </c>
      <c r="B945" s="70">
        <v>11200</v>
      </c>
      <c r="C945" s="70">
        <v>6</v>
      </c>
      <c r="D945" s="70">
        <f t="shared" si="94"/>
        <v>106937</v>
      </c>
      <c r="E945" s="70">
        <f t="shared" si="97"/>
        <v>106997</v>
      </c>
      <c r="F945" s="70"/>
      <c r="G945" s="70" t="str">
        <f>VLOOKUP(H945&amp;I945,Sheet2!$J:$K,2,0)</f>
        <v>98100302</v>
      </c>
      <c r="H945" s="70" t="s">
        <v>422</v>
      </c>
      <c r="I945" s="70"/>
      <c r="J945" s="70" t="s">
        <v>279</v>
      </c>
      <c r="K945" s="70">
        <v>1</v>
      </c>
      <c r="L945" s="70" t="s">
        <v>111</v>
      </c>
      <c r="M945" s="70">
        <f>ROUNDDOWN(VLOOKUP(J945,Sheet1!$N$32:$O$37,2,0)*1000,0)</f>
        <v>60</v>
      </c>
      <c r="N945" s="70"/>
      <c r="O945" s="70">
        <f t="shared" si="96"/>
        <v>0.000659145088819801</v>
      </c>
      <c r="P945" s="70">
        <v>11061</v>
      </c>
    </row>
    <row r="946" spans="1:16">
      <c r="A946" s="70">
        <v>944</v>
      </c>
      <c r="B946" s="70">
        <v>11200</v>
      </c>
      <c r="C946" s="70">
        <v>6</v>
      </c>
      <c r="D946" s="70">
        <f t="shared" si="94"/>
        <v>106997</v>
      </c>
      <c r="E946" s="70">
        <f t="shared" si="97"/>
        <v>107057</v>
      </c>
      <c r="F946" s="70"/>
      <c r="G946" s="70">
        <f>VLOOKUP(H946&amp;I946,Sheet2!$J:$K,2,0)</f>
        <v>98100401</v>
      </c>
      <c r="H946" s="70" t="s">
        <v>423</v>
      </c>
      <c r="I946" s="70"/>
      <c r="J946" s="70" t="s">
        <v>279</v>
      </c>
      <c r="K946" s="70">
        <v>1</v>
      </c>
      <c r="L946" s="70" t="s">
        <v>111</v>
      </c>
      <c r="M946" s="70">
        <f>ROUNDDOWN(VLOOKUP(J946,Sheet1!$N$32:$O$37,2,0)*1000,0)</f>
        <v>60</v>
      </c>
      <c r="N946" s="70"/>
      <c r="O946" s="70">
        <f t="shared" si="96"/>
        <v>0.000659145088819801</v>
      </c>
      <c r="P946" s="70">
        <v>11062</v>
      </c>
    </row>
    <row r="947" spans="1:16">
      <c r="A947" s="70">
        <v>945</v>
      </c>
      <c r="B947" s="70">
        <v>11200</v>
      </c>
      <c r="C947" s="70">
        <v>6</v>
      </c>
      <c r="D947" s="70">
        <f t="shared" si="94"/>
        <v>107057</v>
      </c>
      <c r="E947" s="70">
        <f t="shared" si="97"/>
        <v>107117</v>
      </c>
      <c r="F947" s="70"/>
      <c r="G947" s="70" t="str">
        <f>VLOOKUP(H947&amp;I947,Sheet2!$J:$K,2,0)</f>
        <v>98100402</v>
      </c>
      <c r="H947" s="70" t="s">
        <v>424</v>
      </c>
      <c r="I947" s="70"/>
      <c r="J947" s="70" t="s">
        <v>279</v>
      </c>
      <c r="K947" s="70">
        <v>1</v>
      </c>
      <c r="L947" s="70" t="s">
        <v>111</v>
      </c>
      <c r="M947" s="70">
        <f>ROUNDDOWN(VLOOKUP(J947,Sheet1!$N$32:$O$37,2,0)*1000,0)</f>
        <v>60</v>
      </c>
      <c r="N947" s="70"/>
      <c r="O947" s="70">
        <f t="shared" si="96"/>
        <v>0.000659145088819801</v>
      </c>
      <c r="P947" s="70">
        <v>11063</v>
      </c>
    </row>
    <row r="948" spans="1:16">
      <c r="A948" s="70">
        <v>946</v>
      </c>
      <c r="B948" s="70">
        <v>11200</v>
      </c>
      <c r="C948" s="70">
        <v>6</v>
      </c>
      <c r="D948" s="70">
        <f t="shared" si="94"/>
        <v>107117</v>
      </c>
      <c r="E948" s="70">
        <f t="shared" si="97"/>
        <v>107177</v>
      </c>
      <c r="F948" s="70"/>
      <c r="G948" s="70">
        <f>VLOOKUP(H948&amp;I948,Sheet2!$J:$K,2,0)</f>
        <v>98040401</v>
      </c>
      <c r="H948" s="70" t="s">
        <v>425</v>
      </c>
      <c r="I948" s="70"/>
      <c r="J948" s="70" t="s">
        <v>279</v>
      </c>
      <c r="K948" s="70">
        <v>1</v>
      </c>
      <c r="L948" s="70" t="s">
        <v>111</v>
      </c>
      <c r="M948" s="70">
        <f>ROUNDDOWN(VLOOKUP(J948,Sheet1!$N$32:$O$37,2,0)*1000,0)</f>
        <v>60</v>
      </c>
      <c r="N948" s="70"/>
      <c r="O948" s="70">
        <f t="shared" si="96"/>
        <v>0.000659145088819801</v>
      </c>
      <c r="P948" s="70">
        <v>11064</v>
      </c>
    </row>
    <row r="949" spans="1:16">
      <c r="A949" s="70">
        <v>947</v>
      </c>
      <c r="B949" s="70">
        <v>11200</v>
      </c>
      <c r="C949" s="70">
        <v>6</v>
      </c>
      <c r="D949" s="70">
        <f t="shared" si="94"/>
        <v>107177</v>
      </c>
      <c r="E949" s="70">
        <f t="shared" si="97"/>
        <v>107237</v>
      </c>
      <c r="F949" s="70"/>
      <c r="G949" s="70">
        <f>VLOOKUP(H949&amp;I949,Sheet2!$J:$K,2,0)</f>
        <v>98040402</v>
      </c>
      <c r="H949" s="70" t="s">
        <v>426</v>
      </c>
      <c r="I949" s="70"/>
      <c r="J949" s="70" t="s">
        <v>279</v>
      </c>
      <c r="K949" s="70">
        <v>1</v>
      </c>
      <c r="L949" s="70" t="s">
        <v>111</v>
      </c>
      <c r="M949" s="70">
        <f>ROUNDDOWN(VLOOKUP(J949,Sheet1!$N$32:$O$37,2,0)*1000,0)</f>
        <v>60</v>
      </c>
      <c r="N949" s="70"/>
      <c r="O949" s="70">
        <f t="shared" si="96"/>
        <v>0.000659145088819801</v>
      </c>
      <c r="P949" s="70">
        <v>11065</v>
      </c>
    </row>
    <row r="950" spans="1:16">
      <c r="A950" s="70">
        <v>948</v>
      </c>
      <c r="B950" s="70">
        <v>11200</v>
      </c>
      <c r="C950" s="70">
        <v>6</v>
      </c>
      <c r="D950" s="70">
        <f t="shared" si="94"/>
        <v>107237</v>
      </c>
      <c r="E950" s="70">
        <f t="shared" si="97"/>
        <v>107297</v>
      </c>
      <c r="F950" s="70"/>
      <c r="G950" s="70">
        <f>VLOOKUP(H950&amp;I950,Sheet2!$J:$K,2,0)</f>
        <v>98040403</v>
      </c>
      <c r="H950" s="70" t="s">
        <v>427</v>
      </c>
      <c r="I950" s="70"/>
      <c r="J950" s="70" t="s">
        <v>279</v>
      </c>
      <c r="K950" s="70">
        <v>1</v>
      </c>
      <c r="L950" s="70" t="s">
        <v>111</v>
      </c>
      <c r="M950" s="70">
        <f>ROUNDDOWN(VLOOKUP(J950,Sheet1!$N$32:$O$37,2,0)*1000,0)</f>
        <v>60</v>
      </c>
      <c r="N950" s="70"/>
      <c r="O950" s="70">
        <f t="shared" si="96"/>
        <v>0.000659145088819801</v>
      </c>
      <c r="P950" s="70">
        <v>11066</v>
      </c>
    </row>
    <row r="951" spans="1:16">
      <c r="A951" s="70">
        <v>949</v>
      </c>
      <c r="B951" s="70">
        <v>11200</v>
      </c>
      <c r="C951" s="70">
        <v>6</v>
      </c>
      <c r="D951" s="70">
        <f t="shared" si="94"/>
        <v>107297</v>
      </c>
      <c r="E951" s="70">
        <f t="shared" si="97"/>
        <v>107357</v>
      </c>
      <c r="F951" s="70"/>
      <c r="G951" s="70">
        <f>VLOOKUP(H951&amp;I951,Sheet2!$J:$K,2,0)</f>
        <v>98030201</v>
      </c>
      <c r="H951" s="70" t="s">
        <v>428</v>
      </c>
      <c r="I951" s="70"/>
      <c r="J951" s="70" t="s">
        <v>279</v>
      </c>
      <c r="K951" s="70">
        <v>1</v>
      </c>
      <c r="L951" s="70" t="s">
        <v>111</v>
      </c>
      <c r="M951" s="70">
        <f>ROUNDDOWN(VLOOKUP(J951,Sheet1!$N$32:$O$37,2,0)*1000,0)</f>
        <v>60</v>
      </c>
      <c r="N951" s="70"/>
      <c r="O951" s="70">
        <f t="shared" si="96"/>
        <v>0.000659145088819801</v>
      </c>
      <c r="P951" s="70">
        <v>11067</v>
      </c>
    </row>
    <row r="952" spans="1:16">
      <c r="A952" s="70">
        <v>950</v>
      </c>
      <c r="B952" s="70">
        <v>11200</v>
      </c>
      <c r="C952" s="70">
        <v>6</v>
      </c>
      <c r="D952" s="70">
        <f t="shared" si="94"/>
        <v>107357</v>
      </c>
      <c r="E952" s="70">
        <f t="shared" si="97"/>
        <v>107417</v>
      </c>
      <c r="F952" s="70"/>
      <c r="G952" s="70">
        <f>VLOOKUP(H952&amp;I952,Sheet2!$J:$K,2,0)</f>
        <v>98030202</v>
      </c>
      <c r="H952" s="70" t="s">
        <v>429</v>
      </c>
      <c r="I952" s="70"/>
      <c r="J952" s="70" t="s">
        <v>279</v>
      </c>
      <c r="K952" s="70">
        <v>1</v>
      </c>
      <c r="L952" s="70" t="s">
        <v>111</v>
      </c>
      <c r="M952" s="70">
        <f>ROUNDDOWN(VLOOKUP(J952,Sheet1!$N$32:$O$37,2,0)*1000,0)</f>
        <v>60</v>
      </c>
      <c r="N952" s="70"/>
      <c r="O952" s="70">
        <f t="shared" si="96"/>
        <v>0.000659145088819801</v>
      </c>
      <c r="P952" s="70">
        <v>11068</v>
      </c>
    </row>
    <row r="953" spans="1:16">
      <c r="A953" s="70">
        <v>951</v>
      </c>
      <c r="B953" s="70">
        <v>11200</v>
      </c>
      <c r="C953" s="70">
        <v>6</v>
      </c>
      <c r="D953" s="70">
        <f t="shared" si="94"/>
        <v>107417</v>
      </c>
      <c r="E953" s="70">
        <f t="shared" si="97"/>
        <v>107477</v>
      </c>
      <c r="F953" s="70"/>
      <c r="G953" s="70">
        <f>VLOOKUP(H953&amp;I953,Sheet2!$J:$K,2,0)</f>
        <v>98030203</v>
      </c>
      <c r="H953" s="70" t="s">
        <v>430</v>
      </c>
      <c r="I953" s="70"/>
      <c r="J953" s="70" t="s">
        <v>279</v>
      </c>
      <c r="K953" s="70">
        <v>1</v>
      </c>
      <c r="L953" s="70" t="s">
        <v>111</v>
      </c>
      <c r="M953" s="70">
        <f>ROUNDDOWN(VLOOKUP(J953,Sheet1!$N$32:$O$37,2,0)*1000,0)</f>
        <v>60</v>
      </c>
      <c r="N953" s="70"/>
      <c r="O953" s="70">
        <f t="shared" si="96"/>
        <v>0.000659145088819801</v>
      </c>
      <c r="P953" s="70">
        <v>11069</v>
      </c>
    </row>
    <row r="954" spans="1:16">
      <c r="A954" s="82">
        <v>952</v>
      </c>
      <c r="B954" s="83">
        <v>11200</v>
      </c>
      <c r="C954" s="83">
        <v>6</v>
      </c>
      <c r="D954" s="83">
        <v>0</v>
      </c>
      <c r="E954" s="83">
        <f>M954</f>
        <v>150</v>
      </c>
      <c r="F954" s="83"/>
      <c r="G954" s="83">
        <f>VLOOKUP(H954&amp;I954,Sheet2!$J:$K,2,0)</f>
        <v>95101018</v>
      </c>
      <c r="H954" s="83" t="s">
        <v>198</v>
      </c>
      <c r="I954" s="83" t="s">
        <v>199</v>
      </c>
      <c r="J954" s="83" t="s">
        <v>200</v>
      </c>
      <c r="K954" s="83">
        <v>1</v>
      </c>
      <c r="L954" s="83" t="s">
        <v>129</v>
      </c>
      <c r="M954" s="83">
        <f>ROUNDDOWN(VLOOKUP(J954,Sheet1!$N$32:$O$37,2,0)*1000,0)-100</f>
        <v>150</v>
      </c>
      <c r="N954" s="83">
        <f>SUM(O954:O1013)</f>
        <v>0.0985707244948249</v>
      </c>
      <c r="O954" s="83">
        <f t="shared" ref="O954:O985" si="98">(E954-D954)/$E$1137</f>
        <v>0.00164284540824708</v>
      </c>
      <c r="P954" s="83">
        <v>11300</v>
      </c>
    </row>
    <row r="955" spans="1:16">
      <c r="A955" s="82">
        <v>953</v>
      </c>
      <c r="B955" s="83">
        <v>11200</v>
      </c>
      <c r="C955" s="83">
        <v>6</v>
      </c>
      <c r="D955" s="83">
        <f>E954</f>
        <v>150</v>
      </c>
      <c r="E955" s="83">
        <f t="shared" ref="E955:E986" si="99">D955+M955</f>
        <v>300</v>
      </c>
      <c r="F955" s="83"/>
      <c r="G955" s="83">
        <f>VLOOKUP(H955&amp;I955,Sheet2!$J:$K,2,0)</f>
        <v>95101028</v>
      </c>
      <c r="H955" s="83" t="s">
        <v>201</v>
      </c>
      <c r="I955" s="83" t="s">
        <v>199</v>
      </c>
      <c r="J955" s="83" t="s">
        <v>200</v>
      </c>
      <c r="K955" s="83">
        <v>1</v>
      </c>
      <c r="L955" s="83" t="s">
        <v>129</v>
      </c>
      <c r="M955" s="83">
        <f>ROUNDDOWN(VLOOKUP(J955,Sheet1!$N$32:$O$37,2,0)*1000,0)-100</f>
        <v>150</v>
      </c>
      <c r="N955" s="83"/>
      <c r="O955" s="83">
        <f t="shared" si="98"/>
        <v>0.00164284540824708</v>
      </c>
      <c r="P955" s="83">
        <v>11300</v>
      </c>
    </row>
    <row r="956" spans="1:16">
      <c r="A956" s="82">
        <v>954</v>
      </c>
      <c r="B956" s="83">
        <v>11200</v>
      </c>
      <c r="C956" s="83">
        <v>6</v>
      </c>
      <c r="D956" s="83">
        <f t="shared" ref="D956:D983" si="100">E955</f>
        <v>300</v>
      </c>
      <c r="E956" s="83">
        <f t="shared" si="99"/>
        <v>450</v>
      </c>
      <c r="F956" s="83"/>
      <c r="G956" s="83">
        <f>VLOOKUP(H956&amp;I956,Sheet2!$J:$K,2,0)</f>
        <v>95102018</v>
      </c>
      <c r="H956" s="83" t="s">
        <v>202</v>
      </c>
      <c r="I956" s="83" t="s">
        <v>199</v>
      </c>
      <c r="J956" s="83" t="s">
        <v>200</v>
      </c>
      <c r="K956" s="83">
        <v>1</v>
      </c>
      <c r="L956" s="83" t="s">
        <v>129</v>
      </c>
      <c r="M956" s="83">
        <f>ROUNDDOWN(VLOOKUP(J956,Sheet1!$N$32:$O$37,2,0)*1000,0)-100</f>
        <v>150</v>
      </c>
      <c r="N956" s="83"/>
      <c r="O956" s="83">
        <f t="shared" si="98"/>
        <v>0.00164284540824708</v>
      </c>
      <c r="P956" s="83"/>
    </row>
    <row r="957" spans="1:16">
      <c r="A957" s="82">
        <v>955</v>
      </c>
      <c r="B957" s="83">
        <v>11200</v>
      </c>
      <c r="C957" s="83">
        <v>6</v>
      </c>
      <c r="D957" s="83">
        <f t="shared" si="100"/>
        <v>450</v>
      </c>
      <c r="E957" s="83">
        <f t="shared" si="99"/>
        <v>600</v>
      </c>
      <c r="F957" s="83"/>
      <c r="G957" s="83">
        <f>VLOOKUP(H957&amp;I957,Sheet2!$J:$K,2,0)</f>
        <v>95102028</v>
      </c>
      <c r="H957" s="83" t="s">
        <v>203</v>
      </c>
      <c r="I957" s="83" t="s">
        <v>199</v>
      </c>
      <c r="J957" s="83" t="s">
        <v>200</v>
      </c>
      <c r="K957" s="83">
        <v>1</v>
      </c>
      <c r="L957" s="83" t="s">
        <v>129</v>
      </c>
      <c r="M957" s="83">
        <f>ROUNDDOWN(VLOOKUP(J957,Sheet1!$N$32:$O$37,2,0)*1000,0)-100</f>
        <v>150</v>
      </c>
      <c r="N957" s="83"/>
      <c r="O957" s="83">
        <f t="shared" si="98"/>
        <v>0.00164284540824708</v>
      </c>
      <c r="P957" s="83"/>
    </row>
    <row r="958" spans="1:16">
      <c r="A958" s="82">
        <v>956</v>
      </c>
      <c r="B958" s="83">
        <v>11200</v>
      </c>
      <c r="C958" s="83">
        <v>6</v>
      </c>
      <c r="D958" s="83">
        <f t="shared" si="100"/>
        <v>600</v>
      </c>
      <c r="E958" s="83">
        <f t="shared" si="99"/>
        <v>750</v>
      </c>
      <c r="F958" s="83"/>
      <c r="G958" s="83">
        <f>VLOOKUP(H958&amp;I958,Sheet2!$J:$K,2,0)</f>
        <v>95103018</v>
      </c>
      <c r="H958" s="83" t="s">
        <v>204</v>
      </c>
      <c r="I958" s="83" t="s">
        <v>199</v>
      </c>
      <c r="J958" s="83" t="s">
        <v>200</v>
      </c>
      <c r="K958" s="83">
        <v>1</v>
      </c>
      <c r="L958" s="83" t="s">
        <v>129</v>
      </c>
      <c r="M958" s="83">
        <f>ROUNDDOWN(VLOOKUP(J958,Sheet1!$N$32:$O$37,2,0)*1000,0)-100</f>
        <v>150</v>
      </c>
      <c r="N958" s="83"/>
      <c r="O958" s="83">
        <f t="shared" si="98"/>
        <v>0.00164284540824708</v>
      </c>
      <c r="P958" s="83">
        <v>11300</v>
      </c>
    </row>
    <row r="959" spans="1:16">
      <c r="A959" s="82">
        <v>957</v>
      </c>
      <c r="B959" s="83">
        <v>11200</v>
      </c>
      <c r="C959" s="83">
        <v>6</v>
      </c>
      <c r="D959" s="83">
        <f t="shared" si="100"/>
        <v>750</v>
      </c>
      <c r="E959" s="83">
        <f t="shared" si="99"/>
        <v>900</v>
      </c>
      <c r="F959" s="83"/>
      <c r="G959" s="83">
        <f>VLOOKUP(H959&amp;I959,Sheet2!$J:$K,2,0)</f>
        <v>95104018</v>
      </c>
      <c r="H959" s="83" t="s">
        <v>205</v>
      </c>
      <c r="I959" s="83" t="s">
        <v>199</v>
      </c>
      <c r="J959" s="83" t="s">
        <v>200</v>
      </c>
      <c r="K959" s="83">
        <v>1</v>
      </c>
      <c r="L959" s="83" t="s">
        <v>129</v>
      </c>
      <c r="M959" s="83">
        <f>ROUNDDOWN(VLOOKUP(J959,Sheet1!$N$32:$O$37,2,0)*1000,0)-100</f>
        <v>150</v>
      </c>
      <c r="N959" s="83"/>
      <c r="O959" s="83">
        <f t="shared" si="98"/>
        <v>0.00164284540824708</v>
      </c>
      <c r="P959" s="83">
        <v>11300</v>
      </c>
    </row>
    <row r="960" spans="1:16">
      <c r="A960" s="82">
        <v>958</v>
      </c>
      <c r="B960" s="83">
        <v>11200</v>
      </c>
      <c r="C960" s="83">
        <v>6</v>
      </c>
      <c r="D960" s="83">
        <f t="shared" si="100"/>
        <v>900</v>
      </c>
      <c r="E960" s="83">
        <f t="shared" si="99"/>
        <v>1050</v>
      </c>
      <c r="F960" s="83"/>
      <c r="G960" s="83">
        <f>VLOOKUP(H960&amp;I960,Sheet2!$J:$K,2,0)</f>
        <v>95104028</v>
      </c>
      <c r="H960" s="83" t="s">
        <v>206</v>
      </c>
      <c r="I960" s="83" t="s">
        <v>199</v>
      </c>
      <c r="J960" s="83" t="s">
        <v>200</v>
      </c>
      <c r="K960" s="83">
        <v>1</v>
      </c>
      <c r="L960" s="83" t="s">
        <v>129</v>
      </c>
      <c r="M960" s="83">
        <f>ROUNDDOWN(VLOOKUP(J960,Sheet1!$N$32:$O$37,2,0)*1000,0)-100</f>
        <v>150</v>
      </c>
      <c r="N960" s="83"/>
      <c r="O960" s="83">
        <f t="shared" si="98"/>
        <v>0.00164284540824708</v>
      </c>
      <c r="P960" s="83">
        <v>11300</v>
      </c>
    </row>
    <row r="961" spans="1:16">
      <c r="A961" s="82">
        <v>959</v>
      </c>
      <c r="B961" s="83">
        <v>11200</v>
      </c>
      <c r="C961" s="83">
        <v>6</v>
      </c>
      <c r="D961" s="83">
        <f t="shared" si="100"/>
        <v>1050</v>
      </c>
      <c r="E961" s="83">
        <f t="shared" si="99"/>
        <v>1200</v>
      </c>
      <c r="F961" s="83"/>
      <c r="G961" s="83">
        <f>VLOOKUP(H961&amp;I961,Sheet2!$J:$K,2,0)</f>
        <v>95104038</v>
      </c>
      <c r="H961" s="83" t="s">
        <v>207</v>
      </c>
      <c r="I961" s="83" t="s">
        <v>199</v>
      </c>
      <c r="J961" s="83" t="s">
        <v>200</v>
      </c>
      <c r="K961" s="83">
        <v>1</v>
      </c>
      <c r="L961" s="83" t="s">
        <v>129</v>
      </c>
      <c r="M961" s="83">
        <f>ROUNDDOWN(VLOOKUP(J961,Sheet1!$N$32:$O$37,2,0)*1000,0)-100</f>
        <v>150</v>
      </c>
      <c r="N961" s="83"/>
      <c r="O961" s="83">
        <f t="shared" si="98"/>
        <v>0.00164284540824708</v>
      </c>
      <c r="P961" s="83">
        <v>11300</v>
      </c>
    </row>
    <row r="962" spans="1:16">
      <c r="A962" s="82">
        <v>960</v>
      </c>
      <c r="B962" s="83">
        <v>11200</v>
      </c>
      <c r="C962" s="83">
        <v>6</v>
      </c>
      <c r="D962" s="83">
        <f t="shared" si="100"/>
        <v>1200</v>
      </c>
      <c r="E962" s="83">
        <f t="shared" si="99"/>
        <v>1350</v>
      </c>
      <c r="F962" s="83"/>
      <c r="G962" s="83">
        <f>VLOOKUP(H962&amp;I962,Sheet2!$J:$K,2,0)</f>
        <v>95106018</v>
      </c>
      <c r="H962" s="83" t="s">
        <v>208</v>
      </c>
      <c r="I962" s="83" t="s">
        <v>199</v>
      </c>
      <c r="J962" s="83" t="s">
        <v>200</v>
      </c>
      <c r="K962" s="83">
        <v>1</v>
      </c>
      <c r="L962" s="83" t="s">
        <v>129</v>
      </c>
      <c r="M962" s="83">
        <f>ROUNDDOWN(VLOOKUP(J962,Sheet1!$N$32:$O$37,2,0)*1000,0)-100</f>
        <v>150</v>
      </c>
      <c r="N962" s="83"/>
      <c r="O962" s="83">
        <f t="shared" si="98"/>
        <v>0.00164284540824708</v>
      </c>
      <c r="P962" s="83">
        <v>11300</v>
      </c>
    </row>
    <row r="963" spans="1:16">
      <c r="A963" s="82">
        <v>961</v>
      </c>
      <c r="B963" s="83">
        <v>11200</v>
      </c>
      <c r="C963" s="83">
        <v>6</v>
      </c>
      <c r="D963" s="83">
        <f t="shared" si="100"/>
        <v>1350</v>
      </c>
      <c r="E963" s="83">
        <f t="shared" si="99"/>
        <v>1500</v>
      </c>
      <c r="F963" s="83"/>
      <c r="G963" s="83">
        <f>VLOOKUP(H963&amp;I963,Sheet2!$J:$K,2,0)</f>
        <v>95109018</v>
      </c>
      <c r="H963" s="83" t="s">
        <v>209</v>
      </c>
      <c r="I963" s="83" t="s">
        <v>199</v>
      </c>
      <c r="J963" s="83" t="s">
        <v>200</v>
      </c>
      <c r="K963" s="83">
        <v>1</v>
      </c>
      <c r="L963" s="83" t="s">
        <v>129</v>
      </c>
      <c r="M963" s="83">
        <f>ROUNDDOWN(VLOOKUP(J963,Sheet1!$N$32:$O$37,2,0)*1000,0)-100</f>
        <v>150</v>
      </c>
      <c r="N963" s="83"/>
      <c r="O963" s="83">
        <f t="shared" si="98"/>
        <v>0.00164284540824708</v>
      </c>
      <c r="P963" s="83">
        <v>11300</v>
      </c>
    </row>
    <row r="964" spans="1:16">
      <c r="A964" s="82">
        <v>962</v>
      </c>
      <c r="B964" s="83">
        <v>11200</v>
      </c>
      <c r="C964" s="83">
        <v>6</v>
      </c>
      <c r="D964" s="83">
        <f t="shared" si="100"/>
        <v>1500</v>
      </c>
      <c r="E964" s="83">
        <f t="shared" si="99"/>
        <v>1650</v>
      </c>
      <c r="F964" s="83"/>
      <c r="G964" s="83">
        <f>VLOOKUP(H964&amp;I964,Sheet2!$J:$K,2,0)</f>
        <v>95110018</v>
      </c>
      <c r="H964" s="83" t="s">
        <v>210</v>
      </c>
      <c r="I964" s="83" t="s">
        <v>199</v>
      </c>
      <c r="J964" s="83" t="s">
        <v>200</v>
      </c>
      <c r="K964" s="83">
        <v>1</v>
      </c>
      <c r="L964" s="83" t="s">
        <v>129</v>
      </c>
      <c r="M964" s="83">
        <f>ROUNDDOWN(VLOOKUP(J964,Sheet1!$N$32:$O$37,2,0)*1000,0)-100</f>
        <v>150</v>
      </c>
      <c r="N964" s="83"/>
      <c r="O964" s="83">
        <f t="shared" si="98"/>
        <v>0.00164284540824708</v>
      </c>
      <c r="P964" s="83">
        <v>11300</v>
      </c>
    </row>
    <row r="965" spans="1:16">
      <c r="A965" s="82">
        <v>963</v>
      </c>
      <c r="B965" s="83">
        <v>11200</v>
      </c>
      <c r="C965" s="83">
        <v>6</v>
      </c>
      <c r="D965" s="83">
        <f t="shared" si="100"/>
        <v>1650</v>
      </c>
      <c r="E965" s="83">
        <f t="shared" si="99"/>
        <v>1800</v>
      </c>
      <c r="F965" s="83"/>
      <c r="G965" s="83">
        <f>VLOOKUP(H965&amp;I965,Sheet2!$J:$K,2,0)</f>
        <v>95111018</v>
      </c>
      <c r="H965" s="83" t="s">
        <v>211</v>
      </c>
      <c r="I965" s="83" t="s">
        <v>199</v>
      </c>
      <c r="J965" s="83" t="s">
        <v>200</v>
      </c>
      <c r="K965" s="83">
        <v>1</v>
      </c>
      <c r="L965" s="83" t="s">
        <v>129</v>
      </c>
      <c r="M965" s="83">
        <f>ROUNDDOWN(VLOOKUP(J965,Sheet1!$N$32:$O$37,2,0)*1000,0)-100</f>
        <v>150</v>
      </c>
      <c r="N965" s="83"/>
      <c r="O965" s="83">
        <f t="shared" si="98"/>
        <v>0.00164284540824708</v>
      </c>
      <c r="P965" s="83">
        <v>11300</v>
      </c>
    </row>
    <row r="966" spans="1:16">
      <c r="A966" s="82">
        <v>964</v>
      </c>
      <c r="B966" s="83">
        <v>11200</v>
      </c>
      <c r="C966" s="83">
        <v>6</v>
      </c>
      <c r="D966" s="83">
        <f t="shared" si="100"/>
        <v>1800</v>
      </c>
      <c r="E966" s="83">
        <f t="shared" si="99"/>
        <v>1950</v>
      </c>
      <c r="F966" s="83"/>
      <c r="G966" s="83">
        <f>VLOOKUP(H966&amp;I966,Sheet2!$J:$K,2,0)</f>
        <v>95120018</v>
      </c>
      <c r="H966" s="83" t="s">
        <v>212</v>
      </c>
      <c r="I966" s="83" t="s">
        <v>199</v>
      </c>
      <c r="J966" s="83" t="s">
        <v>200</v>
      </c>
      <c r="K966" s="83">
        <v>1</v>
      </c>
      <c r="L966" s="83" t="s">
        <v>129</v>
      </c>
      <c r="M966" s="83">
        <f>ROUNDDOWN(VLOOKUP(J966,Sheet1!$N$32:$O$37,2,0)*1000,0)-100</f>
        <v>150</v>
      </c>
      <c r="N966" s="83"/>
      <c r="O966" s="83">
        <f t="shared" si="98"/>
        <v>0.00164284540824708</v>
      </c>
      <c r="P966" s="83">
        <v>11300</v>
      </c>
    </row>
    <row r="967" spans="1:16">
      <c r="A967" s="82">
        <v>965</v>
      </c>
      <c r="B967" s="83">
        <v>11200</v>
      </c>
      <c r="C967" s="83">
        <v>6</v>
      </c>
      <c r="D967" s="83">
        <f t="shared" si="100"/>
        <v>1950</v>
      </c>
      <c r="E967" s="83">
        <f t="shared" si="99"/>
        <v>2100</v>
      </c>
      <c r="F967" s="83"/>
      <c r="G967" s="83">
        <f>VLOOKUP(H967&amp;I967,Sheet2!$J:$K,2,0)</f>
        <v>95140018</v>
      </c>
      <c r="H967" s="83" t="s">
        <v>213</v>
      </c>
      <c r="I967" s="83" t="s">
        <v>199</v>
      </c>
      <c r="J967" s="83" t="s">
        <v>200</v>
      </c>
      <c r="K967" s="83">
        <v>1</v>
      </c>
      <c r="L967" s="83" t="s">
        <v>129</v>
      </c>
      <c r="M967" s="83">
        <f>ROUNDDOWN(VLOOKUP(J967,Sheet1!$N$32:$O$37,2,0)*1000,0)-100</f>
        <v>150</v>
      </c>
      <c r="N967" s="83"/>
      <c r="O967" s="83">
        <f t="shared" si="98"/>
        <v>0.00164284540824708</v>
      </c>
      <c r="P967" s="83">
        <v>11300</v>
      </c>
    </row>
    <row r="968" spans="1:16">
      <c r="A968" s="82">
        <v>966</v>
      </c>
      <c r="B968" s="83">
        <v>11200</v>
      </c>
      <c r="C968" s="83">
        <v>6</v>
      </c>
      <c r="D968" s="83">
        <f t="shared" si="100"/>
        <v>2100</v>
      </c>
      <c r="E968" s="83">
        <f t="shared" si="99"/>
        <v>2250</v>
      </c>
      <c r="F968" s="83"/>
      <c r="G968" s="83">
        <f>VLOOKUP(H968&amp;I968,Sheet2!$J:$K,2,0)</f>
        <v>95105028</v>
      </c>
      <c r="H968" s="83" t="s">
        <v>214</v>
      </c>
      <c r="I968" s="83" t="s">
        <v>199</v>
      </c>
      <c r="J968" s="83" t="s">
        <v>200</v>
      </c>
      <c r="K968" s="83">
        <v>1</v>
      </c>
      <c r="L968" s="83" t="s">
        <v>129</v>
      </c>
      <c r="M968" s="83">
        <f>ROUNDDOWN(VLOOKUP(J968,Sheet1!$N$32:$O$37,2,0)*1000,0)-100</f>
        <v>150</v>
      </c>
      <c r="N968" s="83"/>
      <c r="O968" s="83">
        <f t="shared" si="98"/>
        <v>0.00164284540824708</v>
      </c>
      <c r="P968" s="83">
        <v>11300</v>
      </c>
    </row>
    <row r="969" spans="1:16">
      <c r="A969" s="82">
        <v>967</v>
      </c>
      <c r="B969" s="83">
        <v>11200</v>
      </c>
      <c r="C969" s="83">
        <v>6</v>
      </c>
      <c r="D969" s="83">
        <f t="shared" si="100"/>
        <v>2250</v>
      </c>
      <c r="E969" s="83">
        <f t="shared" si="99"/>
        <v>2400</v>
      </c>
      <c r="F969" s="83"/>
      <c r="G969" s="83">
        <f>VLOOKUP(H969&amp;I969,Sheet2!$J:$K,2,0)</f>
        <v>95109028</v>
      </c>
      <c r="H969" s="83" t="s">
        <v>215</v>
      </c>
      <c r="I969" s="83" t="s">
        <v>199</v>
      </c>
      <c r="J969" s="83" t="s">
        <v>200</v>
      </c>
      <c r="K969" s="83">
        <v>1</v>
      </c>
      <c r="L969" s="83" t="s">
        <v>129</v>
      </c>
      <c r="M969" s="83">
        <f>ROUNDDOWN(VLOOKUP(J969,Sheet1!$N$32:$O$37,2,0)*1000,0)-100</f>
        <v>150</v>
      </c>
      <c r="N969" s="83"/>
      <c r="O969" s="83">
        <f t="shared" si="98"/>
        <v>0.00164284540824708</v>
      </c>
      <c r="P969" s="83">
        <v>11300</v>
      </c>
    </row>
    <row r="970" spans="1:16">
      <c r="A970" s="82">
        <v>968</v>
      </c>
      <c r="B970" s="83">
        <v>11200</v>
      </c>
      <c r="C970" s="83">
        <v>6</v>
      </c>
      <c r="D970" s="83">
        <f t="shared" si="100"/>
        <v>2400</v>
      </c>
      <c r="E970" s="83">
        <f t="shared" si="99"/>
        <v>2550</v>
      </c>
      <c r="F970" s="83"/>
      <c r="G970" s="83">
        <f>VLOOKUP(H970&amp;I970,Sheet2!$J:$K,2,0)</f>
        <v>95110028</v>
      </c>
      <c r="H970" s="83" t="s">
        <v>216</v>
      </c>
      <c r="I970" s="83" t="s">
        <v>199</v>
      </c>
      <c r="J970" s="83" t="s">
        <v>200</v>
      </c>
      <c r="K970" s="83">
        <v>1</v>
      </c>
      <c r="L970" s="83" t="s">
        <v>129</v>
      </c>
      <c r="M970" s="83">
        <f>ROUNDDOWN(VLOOKUP(J970,Sheet1!$N$32:$O$37,2,0)*1000,0)-100</f>
        <v>150</v>
      </c>
      <c r="N970" s="83"/>
      <c r="O970" s="83">
        <f t="shared" si="98"/>
        <v>0.00164284540824708</v>
      </c>
      <c r="P970" s="83"/>
    </row>
    <row r="971" spans="1:16">
      <c r="A971" s="82">
        <v>969</v>
      </c>
      <c r="B971" s="83">
        <v>11200</v>
      </c>
      <c r="C971" s="83">
        <v>6</v>
      </c>
      <c r="D971" s="83">
        <f t="shared" si="100"/>
        <v>2550</v>
      </c>
      <c r="E971" s="83">
        <f t="shared" si="99"/>
        <v>2700</v>
      </c>
      <c r="F971" s="83"/>
      <c r="G971" s="83">
        <f>VLOOKUP(H971&amp;I971,Sheet2!$J:$K,2,0)</f>
        <v>95150028</v>
      </c>
      <c r="H971" s="83" t="s">
        <v>217</v>
      </c>
      <c r="I971" s="83" t="s">
        <v>199</v>
      </c>
      <c r="J971" s="83" t="s">
        <v>200</v>
      </c>
      <c r="K971" s="83">
        <v>1</v>
      </c>
      <c r="L971" s="83" t="s">
        <v>129</v>
      </c>
      <c r="M971" s="83">
        <f>ROUNDDOWN(VLOOKUP(J971,Sheet1!$N$32:$O$37,2,0)*1000,0)-100</f>
        <v>150</v>
      </c>
      <c r="N971" s="83"/>
      <c r="O971" s="83">
        <f t="shared" si="98"/>
        <v>0.00164284540824708</v>
      </c>
      <c r="P971" s="83"/>
    </row>
    <row r="972" spans="1:16">
      <c r="A972" s="82">
        <v>970</v>
      </c>
      <c r="B972" s="83">
        <v>11200</v>
      </c>
      <c r="C972" s="83">
        <v>6</v>
      </c>
      <c r="D972" s="83">
        <f t="shared" si="100"/>
        <v>2700</v>
      </c>
      <c r="E972" s="83">
        <f t="shared" si="99"/>
        <v>2850</v>
      </c>
      <c r="F972" s="83"/>
      <c r="G972" s="83">
        <f>VLOOKUP(H972&amp;I972,Sheet2!$J:$K,2,0)</f>
        <v>95201038</v>
      </c>
      <c r="H972" s="83" t="s">
        <v>218</v>
      </c>
      <c r="I972" s="83" t="s">
        <v>199</v>
      </c>
      <c r="J972" s="83" t="s">
        <v>200</v>
      </c>
      <c r="K972" s="83">
        <v>1</v>
      </c>
      <c r="L972" s="83" t="s">
        <v>129</v>
      </c>
      <c r="M972" s="83">
        <f>ROUNDDOWN(VLOOKUP(J972,Sheet1!$N$32:$O$37,2,0)*1000,0)-100</f>
        <v>150</v>
      </c>
      <c r="N972" s="83"/>
      <c r="O972" s="83">
        <f t="shared" si="98"/>
        <v>0.00164284540824708</v>
      </c>
      <c r="P972" s="83"/>
    </row>
    <row r="973" spans="1:16">
      <c r="A973" s="82">
        <v>971</v>
      </c>
      <c r="B973" s="83">
        <v>11200</v>
      </c>
      <c r="C973" s="83">
        <v>6</v>
      </c>
      <c r="D973" s="83">
        <f t="shared" si="100"/>
        <v>2850</v>
      </c>
      <c r="E973" s="83">
        <f t="shared" si="99"/>
        <v>3000</v>
      </c>
      <c r="F973" s="83"/>
      <c r="G973" s="83">
        <f>VLOOKUP(H973&amp;I973,Sheet2!$J:$K,2,0)</f>
        <v>95201118</v>
      </c>
      <c r="H973" s="83" t="s">
        <v>219</v>
      </c>
      <c r="I973" s="83" t="s">
        <v>199</v>
      </c>
      <c r="J973" s="83" t="s">
        <v>200</v>
      </c>
      <c r="K973" s="83">
        <v>1</v>
      </c>
      <c r="L973" s="83" t="s">
        <v>129</v>
      </c>
      <c r="M973" s="83">
        <f>ROUNDDOWN(VLOOKUP(J973,Sheet1!$N$32:$O$37,2,0)*1000,0)-100</f>
        <v>150</v>
      </c>
      <c r="N973" s="83"/>
      <c r="O973" s="83">
        <f t="shared" si="98"/>
        <v>0.00164284540824708</v>
      </c>
      <c r="P973" s="83"/>
    </row>
    <row r="974" spans="1:16">
      <c r="A974" s="82">
        <v>972</v>
      </c>
      <c r="B974" s="83">
        <v>11200</v>
      </c>
      <c r="C974" s="83">
        <v>6</v>
      </c>
      <c r="D974" s="83">
        <f t="shared" si="100"/>
        <v>3000</v>
      </c>
      <c r="E974" s="83">
        <f t="shared" si="99"/>
        <v>3150</v>
      </c>
      <c r="F974" s="83"/>
      <c r="G974" s="83">
        <f>VLOOKUP(H974&amp;I974,Sheet2!$J:$K,2,0)</f>
        <v>95201158</v>
      </c>
      <c r="H974" s="83" t="s">
        <v>220</v>
      </c>
      <c r="I974" s="83" t="s">
        <v>199</v>
      </c>
      <c r="J974" s="83" t="s">
        <v>200</v>
      </c>
      <c r="K974" s="83">
        <v>1</v>
      </c>
      <c r="L974" s="83" t="s">
        <v>129</v>
      </c>
      <c r="M974" s="83">
        <f>ROUNDDOWN(VLOOKUP(J974,Sheet1!$N$32:$O$37,2,0)*1000,0)-100</f>
        <v>150</v>
      </c>
      <c r="N974" s="83"/>
      <c r="O974" s="83">
        <f t="shared" si="98"/>
        <v>0.00164284540824708</v>
      </c>
      <c r="P974" s="83">
        <v>11300</v>
      </c>
    </row>
    <row r="975" spans="1:16">
      <c r="A975" s="82">
        <v>973</v>
      </c>
      <c r="B975" s="83">
        <v>11200</v>
      </c>
      <c r="C975" s="83">
        <v>6</v>
      </c>
      <c r="D975" s="83">
        <f t="shared" si="100"/>
        <v>3150</v>
      </c>
      <c r="E975" s="83">
        <f t="shared" si="99"/>
        <v>3300</v>
      </c>
      <c r="F975" s="83"/>
      <c r="G975" s="83">
        <f>VLOOKUP(H975&amp;I975,Sheet2!$J:$K,2,0)</f>
        <v>95201168</v>
      </c>
      <c r="H975" s="83" t="s">
        <v>221</v>
      </c>
      <c r="I975" s="83" t="s">
        <v>199</v>
      </c>
      <c r="J975" s="83" t="s">
        <v>200</v>
      </c>
      <c r="K975" s="83">
        <v>1</v>
      </c>
      <c r="L975" s="83" t="s">
        <v>129</v>
      </c>
      <c r="M975" s="83">
        <f>ROUNDDOWN(VLOOKUP(J975,Sheet1!$N$32:$O$37,2,0)*1000,0)-100</f>
        <v>150</v>
      </c>
      <c r="N975" s="83"/>
      <c r="O975" s="83">
        <f t="shared" si="98"/>
        <v>0.00164284540824708</v>
      </c>
      <c r="P975" s="83">
        <v>11300</v>
      </c>
    </row>
    <row r="976" spans="1:16">
      <c r="A976" s="82">
        <v>974</v>
      </c>
      <c r="B976" s="83">
        <v>11200</v>
      </c>
      <c r="C976" s="83">
        <v>6</v>
      </c>
      <c r="D976" s="83">
        <f t="shared" si="100"/>
        <v>3300</v>
      </c>
      <c r="E976" s="83">
        <f t="shared" si="99"/>
        <v>3450</v>
      </c>
      <c r="F976" s="83"/>
      <c r="G976" s="83">
        <f>VLOOKUP(H976&amp;I976,Sheet2!$J:$K,2,0)</f>
        <v>95301028</v>
      </c>
      <c r="H976" s="83" t="s">
        <v>222</v>
      </c>
      <c r="I976" s="83" t="s">
        <v>199</v>
      </c>
      <c r="J976" s="83" t="s">
        <v>200</v>
      </c>
      <c r="K976" s="83">
        <v>1</v>
      </c>
      <c r="L976" s="83" t="s">
        <v>129</v>
      </c>
      <c r="M976" s="83">
        <f>ROUNDDOWN(VLOOKUP(J976,Sheet1!$N$32:$O$37,2,0)*1000,0)-100</f>
        <v>150</v>
      </c>
      <c r="N976" s="83"/>
      <c r="O976" s="83">
        <f t="shared" si="98"/>
        <v>0.00164284540824708</v>
      </c>
      <c r="P976" s="83">
        <v>11300</v>
      </c>
    </row>
    <row r="977" spans="1:16">
      <c r="A977" s="82">
        <v>975</v>
      </c>
      <c r="B977" s="83">
        <v>11200</v>
      </c>
      <c r="C977" s="83">
        <v>6</v>
      </c>
      <c r="D977" s="83">
        <f t="shared" si="100"/>
        <v>3450</v>
      </c>
      <c r="E977" s="83">
        <f t="shared" si="99"/>
        <v>3600</v>
      </c>
      <c r="F977" s="83"/>
      <c r="G977" s="83">
        <f>VLOOKUP(H977&amp;I977,Sheet2!$J:$K,2,0)</f>
        <v>95301048</v>
      </c>
      <c r="H977" s="83" t="s">
        <v>223</v>
      </c>
      <c r="I977" s="83" t="s">
        <v>199</v>
      </c>
      <c r="J977" s="83" t="s">
        <v>200</v>
      </c>
      <c r="K977" s="83">
        <v>1</v>
      </c>
      <c r="L977" s="83" t="s">
        <v>129</v>
      </c>
      <c r="M977" s="83">
        <f>ROUNDDOWN(VLOOKUP(J977,Sheet1!$N$32:$O$37,2,0)*1000,0)-100</f>
        <v>150</v>
      </c>
      <c r="N977" s="83"/>
      <c r="O977" s="83">
        <f t="shared" si="98"/>
        <v>0.00164284540824708</v>
      </c>
      <c r="P977" s="83">
        <v>11300</v>
      </c>
    </row>
    <row r="978" spans="1:16">
      <c r="A978" s="82">
        <v>976</v>
      </c>
      <c r="B978" s="83">
        <v>11200</v>
      </c>
      <c r="C978" s="83">
        <v>6</v>
      </c>
      <c r="D978" s="83">
        <f t="shared" si="100"/>
        <v>3600</v>
      </c>
      <c r="E978" s="83">
        <f t="shared" si="99"/>
        <v>3750</v>
      </c>
      <c r="F978" s="83"/>
      <c r="G978" s="83">
        <f>VLOOKUP(H978&amp;I978,Sheet2!$J:$K,2,0)</f>
        <v>95301058</v>
      </c>
      <c r="H978" s="83" t="s">
        <v>224</v>
      </c>
      <c r="I978" s="83" t="s">
        <v>199</v>
      </c>
      <c r="J978" s="83" t="s">
        <v>200</v>
      </c>
      <c r="K978" s="83">
        <v>1</v>
      </c>
      <c r="L978" s="83" t="s">
        <v>129</v>
      </c>
      <c r="M978" s="83">
        <f>ROUNDDOWN(VLOOKUP(J978,Sheet1!$N$32:$O$37,2,0)*1000,0)-100</f>
        <v>150</v>
      </c>
      <c r="N978" s="83"/>
      <c r="O978" s="83">
        <f t="shared" si="98"/>
        <v>0.00164284540824708</v>
      </c>
      <c r="P978" s="83">
        <v>11300</v>
      </c>
    </row>
    <row r="979" spans="1:16">
      <c r="A979" s="82">
        <v>977</v>
      </c>
      <c r="B979" s="83">
        <v>11200</v>
      </c>
      <c r="C979" s="83">
        <v>6</v>
      </c>
      <c r="D979" s="83">
        <f t="shared" si="100"/>
        <v>3750</v>
      </c>
      <c r="E979" s="83">
        <f t="shared" si="99"/>
        <v>3900</v>
      </c>
      <c r="F979" s="83"/>
      <c r="G979" s="83">
        <f>VLOOKUP(H979&amp;I979,Sheet2!$J:$K,2,0)</f>
        <v>95301138</v>
      </c>
      <c r="H979" s="83" t="s">
        <v>225</v>
      </c>
      <c r="I979" s="83" t="s">
        <v>199</v>
      </c>
      <c r="J979" s="83" t="s">
        <v>200</v>
      </c>
      <c r="K979" s="83">
        <v>1</v>
      </c>
      <c r="L979" s="83" t="s">
        <v>129</v>
      </c>
      <c r="M979" s="83">
        <f>ROUNDDOWN(VLOOKUP(J979,Sheet1!$N$32:$O$37,2,0)*1000,0)-100</f>
        <v>150</v>
      </c>
      <c r="N979" s="83"/>
      <c r="O979" s="83">
        <f t="shared" si="98"/>
        <v>0.00164284540824708</v>
      </c>
      <c r="P979" s="83">
        <v>11300</v>
      </c>
    </row>
    <row r="980" spans="1:16">
      <c r="A980" s="82">
        <v>978</v>
      </c>
      <c r="B980" s="83">
        <v>11200</v>
      </c>
      <c r="C980" s="83">
        <v>6</v>
      </c>
      <c r="D980" s="83">
        <f t="shared" si="100"/>
        <v>3900</v>
      </c>
      <c r="E980" s="83">
        <f t="shared" si="99"/>
        <v>4050</v>
      </c>
      <c r="F980" s="83"/>
      <c r="G980" s="83">
        <f>VLOOKUP(H980&amp;I980,Sheet2!$J:$K,2,0)</f>
        <v>95301098</v>
      </c>
      <c r="H980" s="83" t="s">
        <v>226</v>
      </c>
      <c r="I980" s="83" t="s">
        <v>199</v>
      </c>
      <c r="J980" s="83" t="s">
        <v>200</v>
      </c>
      <c r="K980" s="83">
        <v>1</v>
      </c>
      <c r="L980" s="83" t="s">
        <v>129</v>
      </c>
      <c r="M980" s="83">
        <f>ROUNDDOWN(VLOOKUP(J980,Sheet1!$N$32:$O$37,2,0)*1000,0)-100</f>
        <v>150</v>
      </c>
      <c r="N980" s="83"/>
      <c r="O980" s="83">
        <f t="shared" si="98"/>
        <v>0.00164284540824708</v>
      </c>
      <c r="P980" s="83">
        <v>11300</v>
      </c>
    </row>
    <row r="981" spans="1:16">
      <c r="A981" s="82">
        <v>979</v>
      </c>
      <c r="B981" s="83">
        <v>11200</v>
      </c>
      <c r="C981" s="83">
        <v>6</v>
      </c>
      <c r="D981" s="83">
        <f t="shared" si="100"/>
        <v>4050</v>
      </c>
      <c r="E981" s="83">
        <f t="shared" si="99"/>
        <v>4200</v>
      </c>
      <c r="F981" s="83"/>
      <c r="G981" s="83">
        <f>VLOOKUP(H981&amp;I981,Sheet2!$J:$K,2,0)</f>
        <v>95201188</v>
      </c>
      <c r="H981" s="83" t="s">
        <v>227</v>
      </c>
      <c r="I981" s="83" t="s">
        <v>199</v>
      </c>
      <c r="J981" s="83" t="s">
        <v>200</v>
      </c>
      <c r="K981" s="83">
        <v>1</v>
      </c>
      <c r="L981" s="83" t="s">
        <v>129</v>
      </c>
      <c r="M981" s="83">
        <f>ROUNDDOWN(VLOOKUP(J981,Sheet1!$N$32:$O$37,2,0)*1000,0)-100</f>
        <v>150</v>
      </c>
      <c r="N981" s="83"/>
      <c r="O981" s="83">
        <f t="shared" si="98"/>
        <v>0.00164284540824708</v>
      </c>
      <c r="P981" s="83">
        <v>11300</v>
      </c>
    </row>
    <row r="982" spans="1:16">
      <c r="A982" s="82">
        <v>980</v>
      </c>
      <c r="B982" s="83">
        <v>11200</v>
      </c>
      <c r="C982" s="83">
        <v>6</v>
      </c>
      <c r="D982" s="83">
        <f t="shared" si="100"/>
        <v>4200</v>
      </c>
      <c r="E982" s="83">
        <f t="shared" si="99"/>
        <v>4350</v>
      </c>
      <c r="F982" s="83"/>
      <c r="G982" s="83">
        <f>VLOOKUP(H982&amp;I982,Sheet2!$J:$K,2,0)</f>
        <v>95301148</v>
      </c>
      <c r="H982" s="83" t="s">
        <v>228</v>
      </c>
      <c r="I982" s="83" t="s">
        <v>199</v>
      </c>
      <c r="J982" s="83" t="s">
        <v>200</v>
      </c>
      <c r="K982" s="83">
        <v>1</v>
      </c>
      <c r="L982" s="83" t="s">
        <v>129</v>
      </c>
      <c r="M982" s="83">
        <f>ROUNDDOWN(VLOOKUP(J982,Sheet1!$N$32:$O$37,2,0)*1000,0)-100</f>
        <v>150</v>
      </c>
      <c r="N982" s="83"/>
      <c r="O982" s="83">
        <f t="shared" si="98"/>
        <v>0.00164284540824708</v>
      </c>
      <c r="P982" s="83">
        <v>11300</v>
      </c>
    </row>
    <row r="983" spans="1:16">
      <c r="A983" s="82">
        <v>981</v>
      </c>
      <c r="B983" s="83">
        <v>11200</v>
      </c>
      <c r="C983" s="83">
        <v>6</v>
      </c>
      <c r="D983" s="83">
        <f t="shared" si="100"/>
        <v>4350</v>
      </c>
      <c r="E983" s="83">
        <f t="shared" si="99"/>
        <v>4500</v>
      </c>
      <c r="F983" s="83"/>
      <c r="G983" s="83">
        <f>VLOOKUP(H983&amp;I983,Sheet2!$J:$K,2,0)</f>
        <v>95301158</v>
      </c>
      <c r="H983" s="83" t="s">
        <v>229</v>
      </c>
      <c r="I983" s="83" t="s">
        <v>199</v>
      </c>
      <c r="J983" s="83" t="s">
        <v>200</v>
      </c>
      <c r="K983" s="83">
        <v>1</v>
      </c>
      <c r="L983" s="83" t="s">
        <v>129</v>
      </c>
      <c r="M983" s="83">
        <f>ROUNDDOWN(VLOOKUP(J983,Sheet1!$N$32:$O$37,2,0)*1000,0)-100</f>
        <v>150</v>
      </c>
      <c r="N983" s="83"/>
      <c r="O983" s="83">
        <f t="shared" si="98"/>
        <v>0.00164284540824708</v>
      </c>
      <c r="P983" s="83">
        <v>11300</v>
      </c>
    </row>
    <row r="984" spans="1:16">
      <c r="A984" s="82">
        <v>982</v>
      </c>
      <c r="B984" s="83">
        <v>11200</v>
      </c>
      <c r="C984" s="83">
        <v>6</v>
      </c>
      <c r="D984" s="83">
        <f>E982</f>
        <v>4350</v>
      </c>
      <c r="E984" s="83">
        <f t="shared" si="99"/>
        <v>4500</v>
      </c>
      <c r="F984" s="83"/>
      <c r="G984" s="83">
        <f>VLOOKUP(H984&amp;I984,Sheet2!$J:$K,2,0)</f>
        <v>95101019</v>
      </c>
      <c r="H984" s="83" t="s">
        <v>198</v>
      </c>
      <c r="I984" s="83" t="s">
        <v>233</v>
      </c>
      <c r="J984" s="83" t="s">
        <v>200</v>
      </c>
      <c r="K984" s="83">
        <v>1</v>
      </c>
      <c r="L984" s="83" t="s">
        <v>129</v>
      </c>
      <c r="M984" s="83">
        <f>ROUNDDOWN(VLOOKUP(J984,Sheet1!$N$32:$O$37,2,0)*1000,0)-100</f>
        <v>150</v>
      </c>
      <c r="N984" s="83"/>
      <c r="O984" s="83">
        <f t="shared" si="98"/>
        <v>0.00164284540824708</v>
      </c>
      <c r="P984" s="83">
        <v>11300</v>
      </c>
    </row>
    <row r="985" spans="1:16">
      <c r="A985" s="82">
        <v>983</v>
      </c>
      <c r="B985" s="83">
        <v>11200</v>
      </c>
      <c r="C985" s="83">
        <v>6</v>
      </c>
      <c r="D985" s="83">
        <f t="shared" ref="D985:D1048" si="101">E984</f>
        <v>4500</v>
      </c>
      <c r="E985" s="83">
        <f t="shared" si="99"/>
        <v>4650</v>
      </c>
      <c r="F985" s="83"/>
      <c r="G985" s="83">
        <f>VLOOKUP(H985&amp;I985,Sheet2!$J:$K,2,0)</f>
        <v>95101029</v>
      </c>
      <c r="H985" s="83" t="s">
        <v>201</v>
      </c>
      <c r="I985" s="83" t="s">
        <v>233</v>
      </c>
      <c r="J985" s="83" t="s">
        <v>200</v>
      </c>
      <c r="K985" s="83">
        <v>1</v>
      </c>
      <c r="L985" s="83" t="s">
        <v>129</v>
      </c>
      <c r="M985" s="83">
        <f>ROUNDDOWN(VLOOKUP(J985,Sheet1!$N$32:$O$37,2,0)*1000,0)-100</f>
        <v>150</v>
      </c>
      <c r="N985" s="83"/>
      <c r="O985" s="83">
        <f t="shared" si="98"/>
        <v>0.00164284540824708</v>
      </c>
      <c r="P985" s="83">
        <v>11300</v>
      </c>
    </row>
    <row r="986" spans="1:16">
      <c r="A986" s="82">
        <v>984</v>
      </c>
      <c r="B986" s="83">
        <v>11200</v>
      </c>
      <c r="C986" s="83">
        <v>6</v>
      </c>
      <c r="D986" s="83">
        <f t="shared" si="101"/>
        <v>4650</v>
      </c>
      <c r="E986" s="83">
        <f t="shared" si="99"/>
        <v>4800</v>
      </c>
      <c r="F986" s="83"/>
      <c r="G986" s="83">
        <f>VLOOKUP(H986&amp;I986,Sheet2!$J:$K,2,0)</f>
        <v>95102019</v>
      </c>
      <c r="H986" s="83" t="s">
        <v>202</v>
      </c>
      <c r="I986" s="83" t="s">
        <v>233</v>
      </c>
      <c r="J986" s="83" t="s">
        <v>200</v>
      </c>
      <c r="K986" s="83">
        <v>1</v>
      </c>
      <c r="L986" s="83" t="s">
        <v>129</v>
      </c>
      <c r="M986" s="83">
        <f>ROUNDDOWN(VLOOKUP(J986,Sheet1!$N$32:$O$37,2,0)*1000,0)-100</f>
        <v>150</v>
      </c>
      <c r="N986" s="83"/>
      <c r="O986" s="83">
        <f t="shared" ref="O986:O1017" si="102">(E986-D986)/$E$1137</f>
        <v>0.00164284540824708</v>
      </c>
      <c r="P986" s="83">
        <v>11300</v>
      </c>
    </row>
    <row r="987" spans="1:16">
      <c r="A987" s="82">
        <v>985</v>
      </c>
      <c r="B987" s="83">
        <v>11200</v>
      </c>
      <c r="C987" s="83">
        <v>6</v>
      </c>
      <c r="D987" s="83">
        <f t="shared" si="101"/>
        <v>4800</v>
      </c>
      <c r="E987" s="83">
        <f t="shared" ref="E987:E1013" si="103">D987+M987</f>
        <v>4950</v>
      </c>
      <c r="F987" s="83"/>
      <c r="G987" s="83">
        <f>VLOOKUP(H987&amp;I987,Sheet2!$J:$K,2,0)</f>
        <v>95102029</v>
      </c>
      <c r="H987" s="83" t="s">
        <v>203</v>
      </c>
      <c r="I987" s="83" t="s">
        <v>233</v>
      </c>
      <c r="J987" s="83" t="s">
        <v>200</v>
      </c>
      <c r="K987" s="83">
        <v>1</v>
      </c>
      <c r="L987" s="83" t="s">
        <v>129</v>
      </c>
      <c r="M987" s="83">
        <f>ROUNDDOWN(VLOOKUP(J987,Sheet1!$N$32:$O$37,2,0)*1000,0)-100</f>
        <v>150</v>
      </c>
      <c r="N987" s="83"/>
      <c r="O987" s="83">
        <f t="shared" si="102"/>
        <v>0.00164284540824708</v>
      </c>
      <c r="P987" s="83">
        <v>11300</v>
      </c>
    </row>
    <row r="988" spans="1:16">
      <c r="A988" s="82">
        <v>986</v>
      </c>
      <c r="B988" s="83">
        <v>11200</v>
      </c>
      <c r="C988" s="83">
        <v>6</v>
      </c>
      <c r="D988" s="83">
        <f t="shared" si="101"/>
        <v>4950</v>
      </c>
      <c r="E988" s="83">
        <f t="shared" si="103"/>
        <v>5100</v>
      </c>
      <c r="F988" s="83"/>
      <c r="G988" s="83">
        <f>VLOOKUP(H988&amp;I988,Sheet2!$J:$K,2,0)</f>
        <v>95103019</v>
      </c>
      <c r="H988" s="83" t="s">
        <v>204</v>
      </c>
      <c r="I988" s="83" t="s">
        <v>233</v>
      </c>
      <c r="J988" s="83" t="s">
        <v>200</v>
      </c>
      <c r="K988" s="83">
        <v>1</v>
      </c>
      <c r="L988" s="83" t="s">
        <v>129</v>
      </c>
      <c r="M988" s="83">
        <f>ROUNDDOWN(VLOOKUP(J988,Sheet1!$N$32:$O$37,2,0)*1000,0)-100</f>
        <v>150</v>
      </c>
      <c r="N988" s="83"/>
      <c r="O988" s="83">
        <f t="shared" si="102"/>
        <v>0.00164284540824708</v>
      </c>
      <c r="P988" s="83">
        <v>11300</v>
      </c>
    </row>
    <row r="989" spans="1:16">
      <c r="A989" s="82">
        <v>987</v>
      </c>
      <c r="B989" s="83">
        <v>11200</v>
      </c>
      <c r="C989" s="83">
        <v>6</v>
      </c>
      <c r="D989" s="83">
        <f t="shared" si="101"/>
        <v>5100</v>
      </c>
      <c r="E989" s="83">
        <f t="shared" si="103"/>
        <v>5250</v>
      </c>
      <c r="F989" s="83"/>
      <c r="G989" s="83">
        <f>VLOOKUP(H989&amp;I989,Sheet2!$J:$K,2,0)</f>
        <v>95104019</v>
      </c>
      <c r="H989" s="83" t="s">
        <v>205</v>
      </c>
      <c r="I989" s="83" t="s">
        <v>233</v>
      </c>
      <c r="J989" s="83" t="s">
        <v>200</v>
      </c>
      <c r="K989" s="83">
        <v>1</v>
      </c>
      <c r="L989" s="83" t="s">
        <v>129</v>
      </c>
      <c r="M989" s="83">
        <f>ROUNDDOWN(VLOOKUP(J989,Sheet1!$N$32:$O$37,2,0)*1000,0)-100</f>
        <v>150</v>
      </c>
      <c r="N989" s="83"/>
      <c r="O989" s="83">
        <f t="shared" si="102"/>
        <v>0.00164284540824708</v>
      </c>
      <c r="P989" s="83">
        <v>11300</v>
      </c>
    </row>
    <row r="990" spans="1:16">
      <c r="A990" s="82">
        <v>988</v>
      </c>
      <c r="B990" s="83">
        <v>11200</v>
      </c>
      <c r="C990" s="83">
        <v>6</v>
      </c>
      <c r="D990" s="83">
        <f t="shared" si="101"/>
        <v>5250</v>
      </c>
      <c r="E990" s="83">
        <f t="shared" si="103"/>
        <v>5400</v>
      </c>
      <c r="F990" s="83"/>
      <c r="G990" s="83">
        <f>VLOOKUP(H990&amp;I990,Sheet2!$J:$K,2,0)</f>
        <v>95104029</v>
      </c>
      <c r="H990" s="83" t="s">
        <v>206</v>
      </c>
      <c r="I990" s="83" t="s">
        <v>233</v>
      </c>
      <c r="J990" s="83" t="s">
        <v>200</v>
      </c>
      <c r="K990" s="83">
        <v>1</v>
      </c>
      <c r="L990" s="83" t="s">
        <v>129</v>
      </c>
      <c r="M990" s="83">
        <f>ROUNDDOWN(VLOOKUP(J990,Sheet1!$N$32:$O$37,2,0)*1000,0)-100</f>
        <v>150</v>
      </c>
      <c r="N990" s="83"/>
      <c r="O990" s="83">
        <f t="shared" si="102"/>
        <v>0.00164284540824708</v>
      </c>
      <c r="P990" s="83">
        <v>11300</v>
      </c>
    </row>
    <row r="991" spans="1:16">
      <c r="A991" s="82">
        <v>989</v>
      </c>
      <c r="B991" s="83">
        <v>11200</v>
      </c>
      <c r="C991" s="83">
        <v>6</v>
      </c>
      <c r="D991" s="83">
        <f t="shared" si="101"/>
        <v>5400</v>
      </c>
      <c r="E991" s="83">
        <f t="shared" si="103"/>
        <v>5550</v>
      </c>
      <c r="F991" s="83"/>
      <c r="G991" s="83">
        <f>VLOOKUP(H991&amp;I991,Sheet2!$J:$K,2,0)</f>
        <v>95104039</v>
      </c>
      <c r="H991" s="83" t="s">
        <v>207</v>
      </c>
      <c r="I991" s="83" t="s">
        <v>233</v>
      </c>
      <c r="J991" s="83" t="s">
        <v>200</v>
      </c>
      <c r="K991" s="83">
        <v>1</v>
      </c>
      <c r="L991" s="83" t="s">
        <v>129</v>
      </c>
      <c r="M991" s="83">
        <f>ROUNDDOWN(VLOOKUP(J991,Sheet1!$N$32:$O$37,2,0)*1000,0)-100</f>
        <v>150</v>
      </c>
      <c r="N991" s="83"/>
      <c r="O991" s="83">
        <f t="shared" si="102"/>
        <v>0.00164284540824708</v>
      </c>
      <c r="P991" s="83">
        <v>11300</v>
      </c>
    </row>
    <row r="992" spans="1:16">
      <c r="A992" s="82">
        <v>990</v>
      </c>
      <c r="B992" s="83">
        <v>11200</v>
      </c>
      <c r="C992" s="83">
        <v>6</v>
      </c>
      <c r="D992" s="83">
        <f t="shared" si="101"/>
        <v>5550</v>
      </c>
      <c r="E992" s="83">
        <f t="shared" si="103"/>
        <v>5700</v>
      </c>
      <c r="F992" s="83"/>
      <c r="G992" s="83">
        <f>VLOOKUP(H992&amp;I992,Sheet2!$J:$K,2,0)</f>
        <v>95106019</v>
      </c>
      <c r="H992" s="83" t="s">
        <v>208</v>
      </c>
      <c r="I992" s="83" t="s">
        <v>233</v>
      </c>
      <c r="J992" s="83" t="s">
        <v>200</v>
      </c>
      <c r="K992" s="83">
        <v>1</v>
      </c>
      <c r="L992" s="83" t="s">
        <v>129</v>
      </c>
      <c r="M992" s="83">
        <f>ROUNDDOWN(VLOOKUP(J992,Sheet1!$N$32:$O$37,2,0)*1000,0)-100</f>
        <v>150</v>
      </c>
      <c r="N992" s="83"/>
      <c r="O992" s="83">
        <f t="shared" si="102"/>
        <v>0.00164284540824708</v>
      </c>
      <c r="P992" s="83">
        <v>11300</v>
      </c>
    </row>
    <row r="993" spans="1:16">
      <c r="A993" s="82">
        <v>991</v>
      </c>
      <c r="B993" s="83">
        <v>11200</v>
      </c>
      <c r="C993" s="83">
        <v>6</v>
      </c>
      <c r="D993" s="83">
        <f t="shared" si="101"/>
        <v>5700</v>
      </c>
      <c r="E993" s="83">
        <f t="shared" si="103"/>
        <v>5850</v>
      </c>
      <c r="F993" s="83"/>
      <c r="G993" s="83">
        <f>VLOOKUP(H993&amp;I993,Sheet2!$J:$K,2,0)</f>
        <v>95109019</v>
      </c>
      <c r="H993" s="83" t="s">
        <v>209</v>
      </c>
      <c r="I993" s="83" t="s">
        <v>233</v>
      </c>
      <c r="J993" s="83" t="s">
        <v>200</v>
      </c>
      <c r="K993" s="83">
        <v>1</v>
      </c>
      <c r="L993" s="83" t="s">
        <v>129</v>
      </c>
      <c r="M993" s="83">
        <f>ROUNDDOWN(VLOOKUP(J993,Sheet1!$N$32:$O$37,2,0)*1000,0)-100</f>
        <v>150</v>
      </c>
      <c r="N993" s="83"/>
      <c r="O993" s="83">
        <f t="shared" si="102"/>
        <v>0.00164284540824708</v>
      </c>
      <c r="P993" s="83">
        <v>11300</v>
      </c>
    </row>
    <row r="994" spans="1:16">
      <c r="A994" s="82">
        <v>992</v>
      </c>
      <c r="B994" s="83">
        <v>11200</v>
      </c>
      <c r="C994" s="83">
        <v>6</v>
      </c>
      <c r="D994" s="83">
        <f t="shared" si="101"/>
        <v>5850</v>
      </c>
      <c r="E994" s="83">
        <f t="shared" si="103"/>
        <v>6000</v>
      </c>
      <c r="F994" s="83"/>
      <c r="G994" s="83">
        <f>VLOOKUP(H994&amp;I994,Sheet2!$J:$K,2,0)</f>
        <v>95110019</v>
      </c>
      <c r="H994" s="83" t="s">
        <v>210</v>
      </c>
      <c r="I994" s="83" t="s">
        <v>233</v>
      </c>
      <c r="J994" s="83" t="s">
        <v>200</v>
      </c>
      <c r="K994" s="83">
        <v>1</v>
      </c>
      <c r="L994" s="83" t="s">
        <v>129</v>
      </c>
      <c r="M994" s="83">
        <f>ROUNDDOWN(VLOOKUP(J994,Sheet1!$N$32:$O$37,2,0)*1000,0)-100</f>
        <v>150</v>
      </c>
      <c r="N994" s="83"/>
      <c r="O994" s="83">
        <f t="shared" si="102"/>
        <v>0.00164284540824708</v>
      </c>
      <c r="P994" s="83">
        <v>11300</v>
      </c>
    </row>
    <row r="995" spans="1:16">
      <c r="A995" s="82">
        <v>993</v>
      </c>
      <c r="B995" s="83">
        <v>11200</v>
      </c>
      <c r="C995" s="83">
        <v>6</v>
      </c>
      <c r="D995" s="83">
        <f t="shared" si="101"/>
        <v>6000</v>
      </c>
      <c r="E995" s="83">
        <f t="shared" si="103"/>
        <v>6150</v>
      </c>
      <c r="F995" s="83"/>
      <c r="G995" s="83">
        <f>VLOOKUP(H995&amp;I995,Sheet2!$J:$K,2,0)</f>
        <v>95111019</v>
      </c>
      <c r="H995" s="83" t="s">
        <v>211</v>
      </c>
      <c r="I995" s="83" t="s">
        <v>233</v>
      </c>
      <c r="J995" s="83" t="s">
        <v>200</v>
      </c>
      <c r="K995" s="83">
        <v>1</v>
      </c>
      <c r="L995" s="83" t="s">
        <v>129</v>
      </c>
      <c r="M995" s="83">
        <f>ROUNDDOWN(VLOOKUP(J995,Sheet1!$N$32:$O$37,2,0)*1000,0)-100</f>
        <v>150</v>
      </c>
      <c r="N995" s="83"/>
      <c r="O995" s="83">
        <f t="shared" si="102"/>
        <v>0.00164284540824708</v>
      </c>
      <c r="P995" s="83">
        <v>11300</v>
      </c>
    </row>
    <row r="996" spans="1:16">
      <c r="A996" s="82">
        <v>994</v>
      </c>
      <c r="B996" s="83">
        <v>11200</v>
      </c>
      <c r="C996" s="83">
        <v>6</v>
      </c>
      <c r="D996" s="83">
        <f t="shared" si="101"/>
        <v>6150</v>
      </c>
      <c r="E996" s="83">
        <f t="shared" si="103"/>
        <v>6300</v>
      </c>
      <c r="F996" s="83"/>
      <c r="G996" s="83">
        <f>VLOOKUP(H996&amp;I996,Sheet2!$J:$K,2,0)</f>
        <v>95120019</v>
      </c>
      <c r="H996" s="83" t="s">
        <v>212</v>
      </c>
      <c r="I996" s="83" t="s">
        <v>233</v>
      </c>
      <c r="J996" s="83" t="s">
        <v>200</v>
      </c>
      <c r="K996" s="83">
        <v>1</v>
      </c>
      <c r="L996" s="83" t="s">
        <v>129</v>
      </c>
      <c r="M996" s="83">
        <f>ROUNDDOWN(VLOOKUP(J996,Sheet1!$N$32:$O$37,2,0)*1000,0)-100</f>
        <v>150</v>
      </c>
      <c r="N996" s="83"/>
      <c r="O996" s="83">
        <f t="shared" si="102"/>
        <v>0.00164284540824708</v>
      </c>
      <c r="P996" s="83">
        <v>11300</v>
      </c>
    </row>
    <row r="997" spans="1:16">
      <c r="A997" s="82">
        <v>995</v>
      </c>
      <c r="B997" s="83">
        <v>11200</v>
      </c>
      <c r="C997" s="83">
        <v>6</v>
      </c>
      <c r="D997" s="83">
        <f t="shared" si="101"/>
        <v>6300</v>
      </c>
      <c r="E997" s="83">
        <f t="shared" si="103"/>
        <v>6450</v>
      </c>
      <c r="F997" s="83"/>
      <c r="G997" s="83">
        <f>VLOOKUP(H997&amp;I997,Sheet2!$J:$K,2,0)</f>
        <v>95140019</v>
      </c>
      <c r="H997" s="83" t="s">
        <v>213</v>
      </c>
      <c r="I997" s="83" t="s">
        <v>233</v>
      </c>
      <c r="J997" s="83" t="s">
        <v>200</v>
      </c>
      <c r="K997" s="83">
        <v>1</v>
      </c>
      <c r="L997" s="83" t="s">
        <v>129</v>
      </c>
      <c r="M997" s="83">
        <f>ROUNDDOWN(VLOOKUP(J997,Sheet1!$N$32:$O$37,2,0)*1000,0)-100</f>
        <v>150</v>
      </c>
      <c r="N997" s="83"/>
      <c r="O997" s="83">
        <f t="shared" si="102"/>
        <v>0.00164284540824708</v>
      </c>
      <c r="P997" s="83">
        <v>11300</v>
      </c>
    </row>
    <row r="998" spans="1:16">
      <c r="A998" s="82">
        <v>996</v>
      </c>
      <c r="B998" s="83">
        <v>11200</v>
      </c>
      <c r="C998" s="83">
        <v>6</v>
      </c>
      <c r="D998" s="83">
        <f t="shared" si="101"/>
        <v>6450</v>
      </c>
      <c r="E998" s="83">
        <f t="shared" si="103"/>
        <v>6600</v>
      </c>
      <c r="F998" s="83"/>
      <c r="G998" s="83">
        <f>VLOOKUP(H998&amp;I998,Sheet2!$J:$K,2,0)</f>
        <v>95105029</v>
      </c>
      <c r="H998" s="83" t="s">
        <v>214</v>
      </c>
      <c r="I998" s="83" t="s">
        <v>233</v>
      </c>
      <c r="J998" s="83" t="s">
        <v>200</v>
      </c>
      <c r="K998" s="83">
        <v>1</v>
      </c>
      <c r="L998" s="83" t="s">
        <v>129</v>
      </c>
      <c r="M998" s="83">
        <f>ROUNDDOWN(VLOOKUP(J998,Sheet1!$N$32:$O$37,2,0)*1000,0)-100</f>
        <v>150</v>
      </c>
      <c r="N998" s="83"/>
      <c r="O998" s="83">
        <f t="shared" si="102"/>
        <v>0.00164284540824708</v>
      </c>
      <c r="P998" s="83">
        <v>11300</v>
      </c>
    </row>
    <row r="999" spans="1:16">
      <c r="A999" s="82">
        <v>997</v>
      </c>
      <c r="B999" s="83">
        <v>11200</v>
      </c>
      <c r="C999" s="83">
        <v>6</v>
      </c>
      <c r="D999" s="83">
        <f t="shared" si="101"/>
        <v>6600</v>
      </c>
      <c r="E999" s="83">
        <f t="shared" si="103"/>
        <v>6750</v>
      </c>
      <c r="F999" s="83"/>
      <c r="G999" s="83">
        <f>VLOOKUP(H999&amp;I999,Sheet2!$J:$K,2,0)</f>
        <v>95109029</v>
      </c>
      <c r="H999" s="83" t="s">
        <v>215</v>
      </c>
      <c r="I999" s="83" t="s">
        <v>233</v>
      </c>
      <c r="J999" s="83" t="s">
        <v>200</v>
      </c>
      <c r="K999" s="83">
        <v>1</v>
      </c>
      <c r="L999" s="83" t="s">
        <v>129</v>
      </c>
      <c r="M999" s="83">
        <f>ROUNDDOWN(VLOOKUP(J999,Sheet1!$N$32:$O$37,2,0)*1000,0)-100</f>
        <v>150</v>
      </c>
      <c r="N999" s="83"/>
      <c r="O999" s="83">
        <f t="shared" si="102"/>
        <v>0.00164284540824708</v>
      </c>
      <c r="P999" s="83"/>
    </row>
    <row r="1000" spans="1:16">
      <c r="A1000" s="82">
        <v>998</v>
      </c>
      <c r="B1000" s="83">
        <v>11200</v>
      </c>
      <c r="C1000" s="83">
        <v>6</v>
      </c>
      <c r="D1000" s="83">
        <f t="shared" si="101"/>
        <v>6750</v>
      </c>
      <c r="E1000" s="83">
        <f t="shared" si="103"/>
        <v>6900</v>
      </c>
      <c r="F1000" s="83"/>
      <c r="G1000" s="83">
        <f>VLOOKUP(H1000&amp;I1000,Sheet2!$J:$K,2,0)</f>
        <v>95110029</v>
      </c>
      <c r="H1000" s="83" t="s">
        <v>216</v>
      </c>
      <c r="I1000" s="83" t="s">
        <v>233</v>
      </c>
      <c r="J1000" s="83" t="s">
        <v>200</v>
      </c>
      <c r="K1000" s="83">
        <v>1</v>
      </c>
      <c r="L1000" s="83" t="s">
        <v>129</v>
      </c>
      <c r="M1000" s="83">
        <f>ROUNDDOWN(VLOOKUP(J1000,Sheet1!$N$32:$O$37,2,0)*1000,0)-100</f>
        <v>150</v>
      </c>
      <c r="N1000" s="83"/>
      <c r="O1000" s="83">
        <f t="shared" si="102"/>
        <v>0.00164284540824708</v>
      </c>
      <c r="P1000" s="83"/>
    </row>
    <row r="1001" spans="1:16">
      <c r="A1001" s="82">
        <v>999</v>
      </c>
      <c r="B1001" s="83">
        <v>11200</v>
      </c>
      <c r="C1001" s="83">
        <v>6</v>
      </c>
      <c r="D1001" s="83">
        <f t="shared" si="101"/>
        <v>6900</v>
      </c>
      <c r="E1001" s="83">
        <f t="shared" si="103"/>
        <v>7050</v>
      </c>
      <c r="F1001" s="83"/>
      <c r="G1001" s="83">
        <f>VLOOKUP(H1001&amp;I1001,Sheet2!$J:$K,2,0)</f>
        <v>95150029</v>
      </c>
      <c r="H1001" s="83" t="s">
        <v>217</v>
      </c>
      <c r="I1001" s="83" t="s">
        <v>233</v>
      </c>
      <c r="J1001" s="83" t="s">
        <v>200</v>
      </c>
      <c r="K1001" s="83">
        <v>1</v>
      </c>
      <c r="L1001" s="83" t="s">
        <v>129</v>
      </c>
      <c r="M1001" s="83">
        <f>ROUNDDOWN(VLOOKUP(J1001,Sheet1!$N$32:$O$37,2,0)*1000,0)-100</f>
        <v>150</v>
      </c>
      <c r="N1001" s="83"/>
      <c r="O1001" s="83">
        <f t="shared" si="102"/>
        <v>0.00164284540824708</v>
      </c>
      <c r="P1001" s="83"/>
    </row>
    <row r="1002" spans="1:16">
      <c r="A1002" s="82">
        <v>1000</v>
      </c>
      <c r="B1002" s="83">
        <v>11200</v>
      </c>
      <c r="C1002" s="83">
        <v>6</v>
      </c>
      <c r="D1002" s="83">
        <f t="shared" si="101"/>
        <v>7050</v>
      </c>
      <c r="E1002" s="83">
        <f t="shared" si="103"/>
        <v>7200</v>
      </c>
      <c r="F1002" s="83"/>
      <c r="G1002" s="83">
        <f>VLOOKUP(H1002&amp;I1002,Sheet2!$J:$K,2,0)</f>
        <v>95201039</v>
      </c>
      <c r="H1002" s="83" t="s">
        <v>218</v>
      </c>
      <c r="I1002" s="83" t="s">
        <v>233</v>
      </c>
      <c r="J1002" s="83" t="s">
        <v>200</v>
      </c>
      <c r="K1002" s="83">
        <v>1</v>
      </c>
      <c r="L1002" s="83" t="s">
        <v>129</v>
      </c>
      <c r="M1002" s="83">
        <f>ROUNDDOWN(VLOOKUP(J1002,Sheet1!$N$32:$O$37,2,0)*1000,0)-100</f>
        <v>150</v>
      </c>
      <c r="N1002" s="83"/>
      <c r="O1002" s="83">
        <f t="shared" si="102"/>
        <v>0.00164284540824708</v>
      </c>
      <c r="P1002" s="83"/>
    </row>
    <row r="1003" spans="1:16">
      <c r="A1003" s="82">
        <v>1001</v>
      </c>
      <c r="B1003" s="83">
        <v>11200</v>
      </c>
      <c r="C1003" s="83">
        <v>6</v>
      </c>
      <c r="D1003" s="83">
        <f t="shared" si="101"/>
        <v>7200</v>
      </c>
      <c r="E1003" s="83">
        <f t="shared" si="103"/>
        <v>7350</v>
      </c>
      <c r="F1003" s="83"/>
      <c r="G1003" s="83">
        <f>VLOOKUP(H1003&amp;I1003,Sheet2!$J:$K,2,0)</f>
        <v>95201119</v>
      </c>
      <c r="H1003" s="83" t="s">
        <v>219</v>
      </c>
      <c r="I1003" s="83" t="s">
        <v>233</v>
      </c>
      <c r="J1003" s="83" t="s">
        <v>200</v>
      </c>
      <c r="K1003" s="83">
        <v>1</v>
      </c>
      <c r="L1003" s="83" t="s">
        <v>129</v>
      </c>
      <c r="M1003" s="83">
        <f>ROUNDDOWN(VLOOKUP(J1003,Sheet1!$N$32:$O$37,2,0)*1000,0)-100</f>
        <v>150</v>
      </c>
      <c r="N1003" s="83"/>
      <c r="O1003" s="83">
        <f t="shared" si="102"/>
        <v>0.00164284540824708</v>
      </c>
      <c r="P1003" s="83">
        <v>11300</v>
      </c>
    </row>
    <row r="1004" spans="1:16">
      <c r="A1004" s="82">
        <v>1002</v>
      </c>
      <c r="B1004" s="83">
        <v>11200</v>
      </c>
      <c r="C1004" s="83">
        <v>6</v>
      </c>
      <c r="D1004" s="83">
        <f t="shared" si="101"/>
        <v>7350</v>
      </c>
      <c r="E1004" s="83">
        <f t="shared" si="103"/>
        <v>7500</v>
      </c>
      <c r="F1004" s="83"/>
      <c r="G1004" s="83">
        <f>VLOOKUP(H1004&amp;I1004,Sheet2!$J:$K,2,0)</f>
        <v>95201159</v>
      </c>
      <c r="H1004" s="83" t="s">
        <v>220</v>
      </c>
      <c r="I1004" s="83" t="s">
        <v>233</v>
      </c>
      <c r="J1004" s="83" t="s">
        <v>200</v>
      </c>
      <c r="K1004" s="83">
        <v>1</v>
      </c>
      <c r="L1004" s="83" t="s">
        <v>129</v>
      </c>
      <c r="M1004" s="83">
        <f>ROUNDDOWN(VLOOKUP(J1004,Sheet1!$N$32:$O$37,2,0)*1000,0)-100</f>
        <v>150</v>
      </c>
      <c r="N1004" s="83"/>
      <c r="O1004" s="83">
        <f t="shared" si="102"/>
        <v>0.00164284540824708</v>
      </c>
      <c r="P1004" s="83">
        <v>11300</v>
      </c>
    </row>
    <row r="1005" spans="1:16">
      <c r="A1005" s="82">
        <v>1003</v>
      </c>
      <c r="B1005" s="83">
        <v>11200</v>
      </c>
      <c r="C1005" s="83">
        <v>6</v>
      </c>
      <c r="D1005" s="83">
        <f t="shared" si="101"/>
        <v>7500</v>
      </c>
      <c r="E1005" s="83">
        <f t="shared" si="103"/>
        <v>7650</v>
      </c>
      <c r="F1005" s="83"/>
      <c r="G1005" s="83">
        <f>VLOOKUP(H1005&amp;I1005,Sheet2!$J:$K,2,0)</f>
        <v>95201169</v>
      </c>
      <c r="H1005" s="83" t="s">
        <v>221</v>
      </c>
      <c r="I1005" s="83" t="s">
        <v>233</v>
      </c>
      <c r="J1005" s="83" t="s">
        <v>200</v>
      </c>
      <c r="K1005" s="83">
        <v>1</v>
      </c>
      <c r="L1005" s="83" t="s">
        <v>129</v>
      </c>
      <c r="M1005" s="83">
        <f>ROUNDDOWN(VLOOKUP(J1005,Sheet1!$N$32:$O$37,2,0)*1000,0)-100</f>
        <v>150</v>
      </c>
      <c r="N1005" s="83"/>
      <c r="O1005" s="83">
        <f t="shared" si="102"/>
        <v>0.00164284540824708</v>
      </c>
      <c r="P1005" s="83">
        <v>11300</v>
      </c>
    </row>
    <row r="1006" spans="1:16">
      <c r="A1006" s="82">
        <v>1004</v>
      </c>
      <c r="B1006" s="83">
        <v>11200</v>
      </c>
      <c r="C1006" s="83">
        <v>6</v>
      </c>
      <c r="D1006" s="83">
        <f t="shared" si="101"/>
        <v>7650</v>
      </c>
      <c r="E1006" s="83">
        <f t="shared" si="103"/>
        <v>7800</v>
      </c>
      <c r="F1006" s="83"/>
      <c r="G1006" s="83">
        <f>VLOOKUP(H1006&amp;I1006,Sheet2!$J:$K,2,0)</f>
        <v>95301029</v>
      </c>
      <c r="H1006" s="83" t="s">
        <v>222</v>
      </c>
      <c r="I1006" s="83" t="s">
        <v>233</v>
      </c>
      <c r="J1006" s="83" t="s">
        <v>200</v>
      </c>
      <c r="K1006" s="83">
        <v>1</v>
      </c>
      <c r="L1006" s="83" t="s">
        <v>129</v>
      </c>
      <c r="M1006" s="83">
        <f>ROUNDDOWN(VLOOKUP(J1006,Sheet1!$N$32:$O$37,2,0)*1000,0)-100</f>
        <v>150</v>
      </c>
      <c r="N1006" s="83"/>
      <c r="O1006" s="83">
        <f t="shared" si="102"/>
        <v>0.00164284540824708</v>
      </c>
      <c r="P1006" s="83">
        <v>11300</v>
      </c>
    </row>
    <row r="1007" spans="1:16">
      <c r="A1007" s="82">
        <v>1005</v>
      </c>
      <c r="B1007" s="83">
        <v>11200</v>
      </c>
      <c r="C1007" s="83">
        <v>6</v>
      </c>
      <c r="D1007" s="83">
        <f t="shared" si="101"/>
        <v>7800</v>
      </c>
      <c r="E1007" s="83">
        <f t="shared" si="103"/>
        <v>7950</v>
      </c>
      <c r="F1007" s="83"/>
      <c r="G1007" s="83">
        <f>VLOOKUP(H1007&amp;I1007,Sheet2!$J:$K,2,0)</f>
        <v>95301049</v>
      </c>
      <c r="H1007" s="83" t="s">
        <v>223</v>
      </c>
      <c r="I1007" s="83" t="s">
        <v>233</v>
      </c>
      <c r="J1007" s="83" t="s">
        <v>200</v>
      </c>
      <c r="K1007" s="83">
        <v>1</v>
      </c>
      <c r="L1007" s="83" t="s">
        <v>129</v>
      </c>
      <c r="M1007" s="83">
        <f>ROUNDDOWN(VLOOKUP(J1007,Sheet1!$N$32:$O$37,2,0)*1000,0)-100</f>
        <v>150</v>
      </c>
      <c r="N1007" s="83"/>
      <c r="O1007" s="83">
        <f t="shared" si="102"/>
        <v>0.00164284540824708</v>
      </c>
      <c r="P1007" s="83">
        <v>11300</v>
      </c>
    </row>
    <row r="1008" spans="1:16">
      <c r="A1008" s="82">
        <v>1006</v>
      </c>
      <c r="B1008" s="83">
        <v>11200</v>
      </c>
      <c r="C1008" s="83">
        <v>6</v>
      </c>
      <c r="D1008" s="83">
        <f t="shared" si="101"/>
        <v>7950</v>
      </c>
      <c r="E1008" s="83">
        <f t="shared" si="103"/>
        <v>8100</v>
      </c>
      <c r="F1008" s="83"/>
      <c r="G1008" s="83">
        <f>VLOOKUP(H1008&amp;I1008,Sheet2!$J:$K,2,0)</f>
        <v>95301059</v>
      </c>
      <c r="H1008" s="83" t="s">
        <v>224</v>
      </c>
      <c r="I1008" s="83" t="s">
        <v>233</v>
      </c>
      <c r="J1008" s="83" t="s">
        <v>200</v>
      </c>
      <c r="K1008" s="83">
        <v>1</v>
      </c>
      <c r="L1008" s="83" t="s">
        <v>129</v>
      </c>
      <c r="M1008" s="83">
        <f>ROUNDDOWN(VLOOKUP(J1008,Sheet1!$N$32:$O$37,2,0)*1000,0)-100</f>
        <v>150</v>
      </c>
      <c r="N1008" s="83"/>
      <c r="O1008" s="83">
        <f t="shared" si="102"/>
        <v>0.00164284540824708</v>
      </c>
      <c r="P1008" s="83">
        <v>11300</v>
      </c>
    </row>
    <row r="1009" spans="1:16">
      <c r="A1009" s="82">
        <v>1007</v>
      </c>
      <c r="B1009" s="83">
        <v>11200</v>
      </c>
      <c r="C1009" s="83">
        <v>6</v>
      </c>
      <c r="D1009" s="83">
        <f t="shared" si="101"/>
        <v>8100</v>
      </c>
      <c r="E1009" s="83">
        <f t="shared" si="103"/>
        <v>8250</v>
      </c>
      <c r="F1009" s="83"/>
      <c r="G1009" s="83">
        <f>VLOOKUP(H1009&amp;I1009,Sheet2!$J:$K,2,0)</f>
        <v>95301139</v>
      </c>
      <c r="H1009" s="83" t="s">
        <v>225</v>
      </c>
      <c r="I1009" s="83" t="s">
        <v>233</v>
      </c>
      <c r="J1009" s="83" t="s">
        <v>200</v>
      </c>
      <c r="K1009" s="83">
        <v>1</v>
      </c>
      <c r="L1009" s="83" t="s">
        <v>129</v>
      </c>
      <c r="M1009" s="83">
        <f>ROUNDDOWN(VLOOKUP(J1009,Sheet1!$N$32:$O$37,2,0)*1000,0)-100</f>
        <v>150</v>
      </c>
      <c r="N1009" s="83"/>
      <c r="O1009" s="83">
        <f t="shared" si="102"/>
        <v>0.00164284540824708</v>
      </c>
      <c r="P1009" s="83">
        <v>11300</v>
      </c>
    </row>
    <row r="1010" spans="1:16">
      <c r="A1010" s="82">
        <v>1008</v>
      </c>
      <c r="B1010" s="83">
        <v>11200</v>
      </c>
      <c r="C1010" s="83">
        <v>6</v>
      </c>
      <c r="D1010" s="83">
        <f t="shared" si="101"/>
        <v>8250</v>
      </c>
      <c r="E1010" s="83">
        <f t="shared" si="103"/>
        <v>8400</v>
      </c>
      <c r="F1010" s="83"/>
      <c r="G1010" s="83">
        <f>VLOOKUP(H1010&amp;I1010,Sheet2!$J:$K,2,0)</f>
        <v>95301099</v>
      </c>
      <c r="H1010" s="83" t="s">
        <v>226</v>
      </c>
      <c r="I1010" s="83" t="s">
        <v>233</v>
      </c>
      <c r="J1010" s="83" t="s">
        <v>200</v>
      </c>
      <c r="K1010" s="83">
        <v>1</v>
      </c>
      <c r="L1010" s="83" t="s">
        <v>129</v>
      </c>
      <c r="M1010" s="83">
        <f>ROUNDDOWN(VLOOKUP(J1010,Sheet1!$N$32:$O$37,2,0)*1000,0)-100</f>
        <v>150</v>
      </c>
      <c r="N1010" s="83"/>
      <c r="O1010" s="83">
        <f t="shared" si="102"/>
        <v>0.00164284540824708</v>
      </c>
      <c r="P1010" s="83">
        <v>11300</v>
      </c>
    </row>
    <row r="1011" spans="1:16">
      <c r="A1011" s="82">
        <v>1009</v>
      </c>
      <c r="B1011" s="83">
        <v>11200</v>
      </c>
      <c r="C1011" s="83">
        <v>6</v>
      </c>
      <c r="D1011" s="83">
        <f t="shared" si="101"/>
        <v>8400</v>
      </c>
      <c r="E1011" s="83">
        <f t="shared" si="103"/>
        <v>8550</v>
      </c>
      <c r="F1011" s="83"/>
      <c r="G1011" s="83">
        <f>VLOOKUP(H1011&amp;I1011,Sheet2!$J:$K,2,0)</f>
        <v>95201189</v>
      </c>
      <c r="H1011" s="83" t="s">
        <v>227</v>
      </c>
      <c r="I1011" s="83" t="s">
        <v>233</v>
      </c>
      <c r="J1011" s="83" t="s">
        <v>200</v>
      </c>
      <c r="K1011" s="83">
        <v>1</v>
      </c>
      <c r="L1011" s="83" t="s">
        <v>129</v>
      </c>
      <c r="M1011" s="83">
        <f>ROUNDDOWN(VLOOKUP(J1011,Sheet1!$N$32:$O$37,2,0)*1000,0)-100</f>
        <v>150</v>
      </c>
      <c r="N1011" s="83"/>
      <c r="O1011" s="83">
        <f t="shared" si="102"/>
        <v>0.00164284540824708</v>
      </c>
      <c r="P1011" s="83">
        <v>11300</v>
      </c>
    </row>
    <row r="1012" spans="1:16">
      <c r="A1012" s="82">
        <v>1010</v>
      </c>
      <c r="B1012" s="83">
        <v>11200</v>
      </c>
      <c r="C1012" s="83">
        <v>6</v>
      </c>
      <c r="D1012" s="83">
        <f t="shared" si="101"/>
        <v>8550</v>
      </c>
      <c r="E1012" s="83">
        <f t="shared" si="103"/>
        <v>8700</v>
      </c>
      <c r="F1012" s="83"/>
      <c r="G1012" s="83">
        <f>VLOOKUP(H1012&amp;I1012,Sheet2!$J:$K,2,0)</f>
        <v>95301149</v>
      </c>
      <c r="H1012" s="83" t="s">
        <v>228</v>
      </c>
      <c r="I1012" s="83" t="s">
        <v>233</v>
      </c>
      <c r="J1012" s="83" t="s">
        <v>200</v>
      </c>
      <c r="K1012" s="83">
        <v>1</v>
      </c>
      <c r="L1012" s="83" t="s">
        <v>129</v>
      </c>
      <c r="M1012" s="83">
        <f>ROUNDDOWN(VLOOKUP(J1012,Sheet1!$N$32:$O$37,2,0)*1000,0)-100</f>
        <v>150</v>
      </c>
      <c r="N1012" s="83"/>
      <c r="O1012" s="83">
        <f t="shared" si="102"/>
        <v>0.00164284540824708</v>
      </c>
      <c r="P1012" s="83">
        <v>11300</v>
      </c>
    </row>
    <row r="1013" spans="1:16">
      <c r="A1013" s="82">
        <v>1011</v>
      </c>
      <c r="B1013" s="83">
        <v>11200</v>
      </c>
      <c r="C1013" s="83">
        <v>6</v>
      </c>
      <c r="D1013" s="83">
        <f t="shared" si="101"/>
        <v>8700</v>
      </c>
      <c r="E1013" s="83">
        <f t="shared" si="103"/>
        <v>8850</v>
      </c>
      <c r="F1013" s="83"/>
      <c r="G1013" s="83">
        <f>VLOOKUP(H1013&amp;I1013,Sheet2!$J:$K,2,0)</f>
        <v>95301159</v>
      </c>
      <c r="H1013" s="83" t="s">
        <v>229</v>
      </c>
      <c r="I1013" s="83" t="s">
        <v>233</v>
      </c>
      <c r="J1013" s="83" t="s">
        <v>200</v>
      </c>
      <c r="K1013" s="83">
        <v>1</v>
      </c>
      <c r="L1013" s="83" t="s">
        <v>129</v>
      </c>
      <c r="M1013" s="83">
        <f>ROUNDDOWN(VLOOKUP(J1013,Sheet1!$N$32:$O$37,2,0)*1000,0)-100</f>
        <v>150</v>
      </c>
      <c r="N1013" s="83"/>
      <c r="O1013" s="83">
        <f t="shared" si="102"/>
        <v>0.00164284540824708</v>
      </c>
      <c r="P1013" s="83">
        <v>11300</v>
      </c>
    </row>
    <row r="1014" spans="1:16">
      <c r="A1014" s="82">
        <v>1012</v>
      </c>
      <c r="B1014" s="83">
        <v>11200</v>
      </c>
      <c r="C1014" s="83">
        <v>1</v>
      </c>
      <c r="D1014" s="83">
        <f t="shared" si="101"/>
        <v>8850</v>
      </c>
      <c r="E1014" s="83">
        <f t="shared" ref="E1014:E1077" si="104">D1014+M1014</f>
        <v>13225</v>
      </c>
      <c r="F1014" s="83"/>
      <c r="G1014" s="83">
        <v>901000</v>
      </c>
      <c r="H1014" s="83" t="s">
        <v>234</v>
      </c>
      <c r="I1014" s="83"/>
      <c r="J1014" s="83" t="s">
        <v>235</v>
      </c>
      <c r="K1014" s="83">
        <v>1</v>
      </c>
      <c r="L1014" s="83" t="s">
        <v>129</v>
      </c>
      <c r="M1014" s="83">
        <f>ROUNDDOWN(VLOOKUP(J1014,Sheet1!$N$32:$O$37,2,0)*1000,0)</f>
        <v>4375</v>
      </c>
      <c r="N1014" s="83"/>
      <c r="O1014" s="83">
        <f t="shared" si="102"/>
        <v>0.0479163244072066</v>
      </c>
      <c r="P1014" s="83">
        <v>11000</v>
      </c>
    </row>
    <row r="1015" spans="1:16">
      <c r="A1015" s="82">
        <v>1013</v>
      </c>
      <c r="B1015" s="83">
        <v>11200</v>
      </c>
      <c r="C1015" s="83">
        <v>2</v>
      </c>
      <c r="D1015" s="83">
        <f t="shared" si="101"/>
        <v>13225</v>
      </c>
      <c r="E1015" s="83">
        <f t="shared" si="104"/>
        <v>17600</v>
      </c>
      <c r="F1015" s="83"/>
      <c r="G1015" s="83">
        <v>901001</v>
      </c>
      <c r="H1015" s="83" t="s">
        <v>236</v>
      </c>
      <c r="I1015" s="83"/>
      <c r="J1015" s="83" t="s">
        <v>235</v>
      </c>
      <c r="K1015" s="83">
        <v>1</v>
      </c>
      <c r="L1015" s="83" t="s">
        <v>129</v>
      </c>
      <c r="M1015" s="83">
        <f>ROUNDDOWN(VLOOKUP(J1015,Sheet1!$N$32:$O$37,2,0)*1000,0)</f>
        <v>4375</v>
      </c>
      <c r="N1015" s="83"/>
      <c r="O1015" s="83">
        <f t="shared" si="102"/>
        <v>0.0479163244072066</v>
      </c>
      <c r="P1015" s="83">
        <v>11000</v>
      </c>
    </row>
    <row r="1016" spans="1:16">
      <c r="A1016" s="82">
        <v>1014</v>
      </c>
      <c r="B1016" s="83">
        <v>11200</v>
      </c>
      <c r="C1016" s="83">
        <v>3</v>
      </c>
      <c r="D1016" s="83">
        <f t="shared" si="101"/>
        <v>17600</v>
      </c>
      <c r="E1016" s="83">
        <f t="shared" si="104"/>
        <v>21975</v>
      </c>
      <c r="F1016" s="83"/>
      <c r="G1016" s="83">
        <v>901002</v>
      </c>
      <c r="H1016" s="83" t="s">
        <v>237</v>
      </c>
      <c r="I1016" s="83"/>
      <c r="J1016" s="83" t="s">
        <v>235</v>
      </c>
      <c r="K1016" s="83">
        <v>1</v>
      </c>
      <c r="L1016" s="83" t="s">
        <v>129</v>
      </c>
      <c r="M1016" s="83">
        <f>ROUNDDOWN(VLOOKUP(J1016,Sheet1!$N$32:$O$37,2,0)*1000,0)</f>
        <v>4375</v>
      </c>
      <c r="N1016" s="83"/>
      <c r="O1016" s="83">
        <f t="shared" si="102"/>
        <v>0.0479163244072066</v>
      </c>
      <c r="P1016" s="83">
        <v>11000</v>
      </c>
    </row>
    <row r="1017" spans="1:16">
      <c r="A1017" s="82">
        <v>1015</v>
      </c>
      <c r="B1017" s="83">
        <v>11200</v>
      </c>
      <c r="C1017" s="83">
        <v>4</v>
      </c>
      <c r="D1017" s="83">
        <f t="shared" si="101"/>
        <v>21975</v>
      </c>
      <c r="E1017" s="83">
        <f t="shared" si="104"/>
        <v>26350</v>
      </c>
      <c r="F1017" s="83"/>
      <c r="G1017" s="83">
        <v>901003</v>
      </c>
      <c r="H1017" s="83" t="s">
        <v>238</v>
      </c>
      <c r="I1017" s="83"/>
      <c r="J1017" s="83" t="s">
        <v>235</v>
      </c>
      <c r="K1017" s="83">
        <v>1</v>
      </c>
      <c r="L1017" s="83" t="s">
        <v>129</v>
      </c>
      <c r="M1017" s="83">
        <f>ROUNDDOWN(VLOOKUP(J1017,Sheet1!$N$32:$O$37,2,0)*1000,0)</f>
        <v>4375</v>
      </c>
      <c r="N1017" s="83"/>
      <c r="O1017" s="83">
        <f t="shared" si="102"/>
        <v>0.0479163244072066</v>
      </c>
      <c r="P1017" s="83">
        <v>11000</v>
      </c>
    </row>
    <row r="1018" spans="1:16">
      <c r="A1018" s="82">
        <v>1016</v>
      </c>
      <c r="B1018" s="83">
        <v>11200</v>
      </c>
      <c r="C1018" s="83">
        <v>1</v>
      </c>
      <c r="D1018" s="83">
        <f t="shared" si="101"/>
        <v>26350</v>
      </c>
      <c r="E1018" s="83">
        <f t="shared" si="104"/>
        <v>30725</v>
      </c>
      <c r="F1018" s="83"/>
      <c r="G1018" s="83">
        <v>901100</v>
      </c>
      <c r="H1018" s="83" t="s">
        <v>239</v>
      </c>
      <c r="I1018" s="83"/>
      <c r="J1018" s="83" t="s">
        <v>235</v>
      </c>
      <c r="K1018" s="83">
        <v>1</v>
      </c>
      <c r="L1018" s="83" t="s">
        <v>129</v>
      </c>
      <c r="M1018" s="83">
        <f>ROUNDDOWN(VLOOKUP(J1018,Sheet1!$N$32:$O$37,2,0)*1000,0)</f>
        <v>4375</v>
      </c>
      <c r="N1018" s="83"/>
      <c r="O1018" s="83">
        <f t="shared" ref="O1018:O1049" si="105">(E1018-D1018)/$E$1137</f>
        <v>0.0479163244072066</v>
      </c>
      <c r="P1018" s="83">
        <v>11000</v>
      </c>
    </row>
    <row r="1019" spans="1:16">
      <c r="A1019" s="82">
        <v>1017</v>
      </c>
      <c r="B1019" s="83">
        <v>11200</v>
      </c>
      <c r="C1019" s="83">
        <v>2</v>
      </c>
      <c r="D1019" s="83">
        <f t="shared" si="101"/>
        <v>30725</v>
      </c>
      <c r="E1019" s="83">
        <f t="shared" si="104"/>
        <v>35100</v>
      </c>
      <c r="F1019" s="83"/>
      <c r="G1019" s="83">
        <v>901101</v>
      </c>
      <c r="H1019" s="83" t="s">
        <v>240</v>
      </c>
      <c r="I1019" s="83"/>
      <c r="J1019" s="83" t="s">
        <v>235</v>
      </c>
      <c r="K1019" s="83">
        <v>1</v>
      </c>
      <c r="L1019" s="83" t="s">
        <v>129</v>
      </c>
      <c r="M1019" s="83">
        <f>ROUNDDOWN(VLOOKUP(J1019,Sheet1!$N$32:$O$37,2,0)*1000,0)</f>
        <v>4375</v>
      </c>
      <c r="N1019" s="83"/>
      <c r="O1019" s="83">
        <f t="shared" si="105"/>
        <v>0.0479163244072066</v>
      </c>
      <c r="P1019" s="83">
        <v>11000</v>
      </c>
    </row>
    <row r="1020" spans="1:16">
      <c r="A1020" s="82">
        <v>1018</v>
      </c>
      <c r="B1020" s="83">
        <v>11200</v>
      </c>
      <c r="C1020" s="83">
        <v>3</v>
      </c>
      <c r="D1020" s="83">
        <f t="shared" si="101"/>
        <v>35100</v>
      </c>
      <c r="E1020" s="83">
        <f t="shared" si="104"/>
        <v>39475</v>
      </c>
      <c r="F1020" s="83"/>
      <c r="G1020" s="83">
        <v>901102</v>
      </c>
      <c r="H1020" s="83" t="s">
        <v>241</v>
      </c>
      <c r="I1020" s="83"/>
      <c r="J1020" s="83" t="s">
        <v>235</v>
      </c>
      <c r="K1020" s="83">
        <v>1</v>
      </c>
      <c r="L1020" s="83" t="s">
        <v>129</v>
      </c>
      <c r="M1020" s="83">
        <f>ROUNDDOWN(VLOOKUP(J1020,Sheet1!$N$32:$O$37,2,0)*1000,0)</f>
        <v>4375</v>
      </c>
      <c r="N1020" s="83"/>
      <c r="O1020" s="83">
        <f t="shared" si="105"/>
        <v>0.0479163244072066</v>
      </c>
      <c r="P1020" s="83">
        <v>11000</v>
      </c>
    </row>
    <row r="1021" spans="1:16">
      <c r="A1021" s="82">
        <v>1019</v>
      </c>
      <c r="B1021" s="83">
        <v>11200</v>
      </c>
      <c r="C1021" s="83">
        <v>4</v>
      </c>
      <c r="D1021" s="83">
        <f t="shared" si="101"/>
        <v>39475</v>
      </c>
      <c r="E1021" s="83">
        <f t="shared" si="104"/>
        <v>43850</v>
      </c>
      <c r="F1021" s="83"/>
      <c r="G1021" s="83">
        <v>901103</v>
      </c>
      <c r="H1021" s="83" t="s">
        <v>242</v>
      </c>
      <c r="I1021" s="83"/>
      <c r="J1021" s="83" t="s">
        <v>235</v>
      </c>
      <c r="K1021" s="83">
        <v>1</v>
      </c>
      <c r="L1021" s="83" t="s">
        <v>129</v>
      </c>
      <c r="M1021" s="83">
        <f>ROUNDDOWN(VLOOKUP(J1021,Sheet1!$N$32:$O$37,2,0)*1000,0)</f>
        <v>4375</v>
      </c>
      <c r="N1021" s="83"/>
      <c r="O1021" s="83">
        <f t="shared" si="105"/>
        <v>0.0479163244072066</v>
      </c>
      <c r="P1021" s="83">
        <v>11000</v>
      </c>
    </row>
    <row r="1022" spans="1:16">
      <c r="A1022" s="82">
        <v>1020</v>
      </c>
      <c r="B1022" s="83">
        <v>11200</v>
      </c>
      <c r="C1022" s="83">
        <v>7</v>
      </c>
      <c r="D1022" s="83">
        <f t="shared" si="101"/>
        <v>43850</v>
      </c>
      <c r="E1022" s="83">
        <f t="shared" si="104"/>
        <v>44326</v>
      </c>
      <c r="F1022" s="83"/>
      <c r="G1022" s="83">
        <v>100101</v>
      </c>
      <c r="H1022" s="83" t="s">
        <v>243</v>
      </c>
      <c r="I1022" s="83"/>
      <c r="J1022" s="83" t="s">
        <v>244</v>
      </c>
      <c r="K1022" s="83">
        <v>1</v>
      </c>
      <c r="L1022" s="83" t="s">
        <v>129</v>
      </c>
      <c r="M1022" s="83">
        <f>ROUNDDOWN(VLOOKUP(J1022,Sheet1!$N$32:$O$37,2,0)*1000,0)</f>
        <v>476</v>
      </c>
      <c r="N1022" s="83"/>
      <c r="O1022" s="83">
        <f t="shared" si="105"/>
        <v>0.00521329609550408</v>
      </c>
      <c r="P1022" s="83">
        <v>11000</v>
      </c>
    </row>
    <row r="1023" spans="1:16">
      <c r="A1023" s="82">
        <v>1021</v>
      </c>
      <c r="B1023" s="83">
        <v>11200</v>
      </c>
      <c r="C1023" s="83">
        <v>7</v>
      </c>
      <c r="D1023" s="83">
        <f t="shared" si="101"/>
        <v>44326</v>
      </c>
      <c r="E1023" s="83">
        <f t="shared" si="104"/>
        <v>44802</v>
      </c>
      <c r="F1023" s="83"/>
      <c r="G1023" s="83">
        <v>100103</v>
      </c>
      <c r="H1023" s="83" t="s">
        <v>245</v>
      </c>
      <c r="I1023" s="83"/>
      <c r="J1023" s="83" t="s">
        <v>244</v>
      </c>
      <c r="K1023" s="83">
        <v>1</v>
      </c>
      <c r="L1023" s="83" t="s">
        <v>129</v>
      </c>
      <c r="M1023" s="83">
        <f>ROUNDDOWN(VLOOKUP(J1023,Sheet1!$N$32:$O$37,2,0)*1000,0)</f>
        <v>476</v>
      </c>
      <c r="N1023" s="83"/>
      <c r="O1023" s="83">
        <f t="shared" si="105"/>
        <v>0.00521329609550408</v>
      </c>
      <c r="P1023" s="83">
        <v>11000</v>
      </c>
    </row>
    <row r="1024" spans="1:16">
      <c r="A1024" s="82">
        <v>1022</v>
      </c>
      <c r="B1024" s="83">
        <v>11200</v>
      </c>
      <c r="C1024" s="83">
        <v>7</v>
      </c>
      <c r="D1024" s="83">
        <f t="shared" si="101"/>
        <v>44802</v>
      </c>
      <c r="E1024" s="83">
        <f t="shared" si="104"/>
        <v>45278</v>
      </c>
      <c r="F1024" s="83"/>
      <c r="G1024" s="83">
        <v>100107</v>
      </c>
      <c r="H1024" s="83" t="s">
        <v>246</v>
      </c>
      <c r="I1024" s="83"/>
      <c r="J1024" s="83" t="s">
        <v>244</v>
      </c>
      <c r="K1024" s="83">
        <v>1</v>
      </c>
      <c r="L1024" s="83" t="s">
        <v>129</v>
      </c>
      <c r="M1024" s="83">
        <f>ROUNDDOWN(VLOOKUP(J1024,Sheet1!$N$32:$O$37,2,0)*1000,0)</f>
        <v>476</v>
      </c>
      <c r="N1024" s="83"/>
      <c r="O1024" s="83">
        <f t="shared" si="105"/>
        <v>0.00521329609550408</v>
      </c>
      <c r="P1024" s="83">
        <v>11000</v>
      </c>
    </row>
    <row r="1025" spans="1:16">
      <c r="A1025" s="82">
        <v>1023</v>
      </c>
      <c r="B1025" s="83">
        <v>11200</v>
      </c>
      <c r="C1025" s="83">
        <v>7</v>
      </c>
      <c r="D1025" s="83">
        <f t="shared" si="101"/>
        <v>45278</v>
      </c>
      <c r="E1025" s="83">
        <f t="shared" si="104"/>
        <v>45754</v>
      </c>
      <c r="F1025" s="83"/>
      <c r="G1025" s="83">
        <v>100108</v>
      </c>
      <c r="H1025" s="83" t="s">
        <v>247</v>
      </c>
      <c r="I1025" s="83"/>
      <c r="J1025" s="83" t="s">
        <v>244</v>
      </c>
      <c r="K1025" s="83">
        <v>1</v>
      </c>
      <c r="L1025" s="83" t="s">
        <v>129</v>
      </c>
      <c r="M1025" s="83">
        <f>ROUNDDOWN(VLOOKUP(J1025,Sheet1!$N$32:$O$37,2,0)*1000,0)</f>
        <v>476</v>
      </c>
      <c r="N1025" s="83"/>
      <c r="O1025" s="83">
        <f t="shared" si="105"/>
        <v>0.00521329609550408</v>
      </c>
      <c r="P1025" s="83">
        <v>11000</v>
      </c>
    </row>
    <row r="1026" spans="1:16">
      <c r="A1026" s="82">
        <v>1024</v>
      </c>
      <c r="B1026" s="83">
        <v>11200</v>
      </c>
      <c r="C1026" s="83">
        <v>7</v>
      </c>
      <c r="D1026" s="83">
        <f t="shared" si="101"/>
        <v>45754</v>
      </c>
      <c r="E1026" s="83">
        <f t="shared" si="104"/>
        <v>46230</v>
      </c>
      <c r="F1026" s="83"/>
      <c r="G1026" s="83">
        <v>100113</v>
      </c>
      <c r="H1026" s="83" t="s">
        <v>248</v>
      </c>
      <c r="I1026" s="83"/>
      <c r="J1026" s="83" t="s">
        <v>244</v>
      </c>
      <c r="K1026" s="83">
        <v>1</v>
      </c>
      <c r="L1026" s="83" t="s">
        <v>129</v>
      </c>
      <c r="M1026" s="83">
        <f>ROUNDDOWN(VLOOKUP(J1026,Sheet1!$N$32:$O$37,2,0)*1000,0)</f>
        <v>476</v>
      </c>
      <c r="N1026" s="83"/>
      <c r="O1026" s="83">
        <f t="shared" si="105"/>
        <v>0.00521329609550408</v>
      </c>
      <c r="P1026" s="83">
        <v>11000</v>
      </c>
    </row>
    <row r="1027" spans="1:16">
      <c r="A1027" s="82">
        <v>1025</v>
      </c>
      <c r="B1027" s="83">
        <v>11200</v>
      </c>
      <c r="C1027" s="83">
        <v>7</v>
      </c>
      <c r="D1027" s="83">
        <f t="shared" si="101"/>
        <v>46230</v>
      </c>
      <c r="E1027" s="83">
        <f t="shared" si="104"/>
        <v>46706</v>
      </c>
      <c r="F1027" s="83"/>
      <c r="G1027" s="83">
        <v>100114</v>
      </c>
      <c r="H1027" s="83" t="s">
        <v>249</v>
      </c>
      <c r="I1027" s="83"/>
      <c r="J1027" s="83" t="s">
        <v>244</v>
      </c>
      <c r="K1027" s="83">
        <v>1</v>
      </c>
      <c r="L1027" s="83" t="s">
        <v>129</v>
      </c>
      <c r="M1027" s="83">
        <f>ROUNDDOWN(VLOOKUP(J1027,Sheet1!$N$32:$O$37,2,0)*1000,0)</f>
        <v>476</v>
      </c>
      <c r="N1027" s="83"/>
      <c r="O1027" s="83">
        <f t="shared" si="105"/>
        <v>0.00521329609550408</v>
      </c>
      <c r="P1027" s="83">
        <v>11000</v>
      </c>
    </row>
    <row r="1028" spans="1:16">
      <c r="A1028" s="82">
        <v>1026</v>
      </c>
      <c r="B1028" s="83">
        <v>11200</v>
      </c>
      <c r="C1028" s="83">
        <v>7</v>
      </c>
      <c r="D1028" s="83">
        <f t="shared" si="101"/>
        <v>46706</v>
      </c>
      <c r="E1028" s="83">
        <f t="shared" si="104"/>
        <v>47182</v>
      </c>
      <c r="F1028" s="83"/>
      <c r="G1028" s="83">
        <v>100116</v>
      </c>
      <c r="H1028" s="83" t="s">
        <v>250</v>
      </c>
      <c r="I1028" s="83"/>
      <c r="J1028" s="83" t="s">
        <v>244</v>
      </c>
      <c r="K1028" s="83">
        <v>1</v>
      </c>
      <c r="L1028" s="83" t="s">
        <v>129</v>
      </c>
      <c r="M1028" s="83">
        <f>ROUNDDOWN(VLOOKUP(J1028,Sheet1!$N$32:$O$37,2,0)*1000,0)</f>
        <v>476</v>
      </c>
      <c r="N1028" s="83"/>
      <c r="O1028" s="83">
        <f t="shared" si="105"/>
        <v>0.00521329609550408</v>
      </c>
      <c r="P1028" s="83">
        <v>11000</v>
      </c>
    </row>
    <row r="1029" spans="1:16">
      <c r="A1029" s="82">
        <v>1027</v>
      </c>
      <c r="B1029" s="83">
        <v>11200</v>
      </c>
      <c r="C1029" s="83">
        <v>7</v>
      </c>
      <c r="D1029" s="83">
        <f t="shared" si="101"/>
        <v>47182</v>
      </c>
      <c r="E1029" s="83">
        <f t="shared" si="104"/>
        <v>47658</v>
      </c>
      <c r="F1029" s="83"/>
      <c r="G1029" s="83">
        <v>100120</v>
      </c>
      <c r="H1029" s="83" t="s">
        <v>251</v>
      </c>
      <c r="I1029" s="83"/>
      <c r="J1029" s="83" t="s">
        <v>244</v>
      </c>
      <c r="K1029" s="83">
        <v>1</v>
      </c>
      <c r="L1029" s="83" t="s">
        <v>129</v>
      </c>
      <c r="M1029" s="83">
        <f>ROUNDDOWN(VLOOKUP(J1029,Sheet1!$N$32:$O$37,2,0)*1000,0)</f>
        <v>476</v>
      </c>
      <c r="N1029" s="83"/>
      <c r="O1029" s="83">
        <f t="shared" si="105"/>
        <v>0.00521329609550408</v>
      </c>
      <c r="P1029" s="83">
        <v>11000</v>
      </c>
    </row>
    <row r="1030" spans="1:16">
      <c r="A1030" s="82">
        <v>1028</v>
      </c>
      <c r="B1030" s="83">
        <v>11200</v>
      </c>
      <c r="C1030" s="83">
        <v>7</v>
      </c>
      <c r="D1030" s="83">
        <f t="shared" si="101"/>
        <v>47658</v>
      </c>
      <c r="E1030" s="83">
        <f t="shared" si="104"/>
        <v>48134</v>
      </c>
      <c r="F1030" s="83"/>
      <c r="G1030" s="83">
        <v>100125</v>
      </c>
      <c r="H1030" s="83" t="s">
        <v>252</v>
      </c>
      <c r="I1030" s="83"/>
      <c r="J1030" s="83" t="s">
        <v>244</v>
      </c>
      <c r="K1030" s="83">
        <v>1</v>
      </c>
      <c r="L1030" s="83" t="s">
        <v>129</v>
      </c>
      <c r="M1030" s="83">
        <f>ROUNDDOWN(VLOOKUP(J1030,Sheet1!$N$32:$O$37,2,0)*1000,0)</f>
        <v>476</v>
      </c>
      <c r="N1030" s="83"/>
      <c r="O1030" s="83">
        <f t="shared" si="105"/>
        <v>0.00521329609550408</v>
      </c>
      <c r="P1030" s="83">
        <v>11000</v>
      </c>
    </row>
    <row r="1031" spans="1:16">
      <c r="A1031" s="82">
        <v>1029</v>
      </c>
      <c r="B1031" s="83">
        <v>11200</v>
      </c>
      <c r="C1031" s="83">
        <v>7</v>
      </c>
      <c r="D1031" s="83">
        <f t="shared" si="101"/>
        <v>48134</v>
      </c>
      <c r="E1031" s="83">
        <f t="shared" si="104"/>
        <v>48610</v>
      </c>
      <c r="F1031" s="83"/>
      <c r="G1031" s="83">
        <v>100126</v>
      </c>
      <c r="H1031" s="83" t="s">
        <v>253</v>
      </c>
      <c r="I1031" s="83"/>
      <c r="J1031" s="83" t="s">
        <v>244</v>
      </c>
      <c r="K1031" s="83">
        <v>1</v>
      </c>
      <c r="L1031" s="83" t="s">
        <v>129</v>
      </c>
      <c r="M1031" s="83">
        <f>ROUNDDOWN(VLOOKUP(J1031,Sheet1!$N$32:$O$37,2,0)*1000,0)</f>
        <v>476</v>
      </c>
      <c r="N1031" s="83"/>
      <c r="O1031" s="83">
        <f t="shared" si="105"/>
        <v>0.00521329609550408</v>
      </c>
      <c r="P1031" s="83">
        <v>11000</v>
      </c>
    </row>
    <row r="1032" spans="1:16">
      <c r="A1032" s="82">
        <v>1030</v>
      </c>
      <c r="B1032" s="83">
        <v>11200</v>
      </c>
      <c r="C1032" s="83">
        <v>7</v>
      </c>
      <c r="D1032" s="83">
        <f t="shared" si="101"/>
        <v>48610</v>
      </c>
      <c r="E1032" s="83">
        <f t="shared" si="104"/>
        <v>49086</v>
      </c>
      <c r="F1032" s="83"/>
      <c r="G1032" s="83">
        <v>100127</v>
      </c>
      <c r="H1032" s="83" t="s">
        <v>254</v>
      </c>
      <c r="I1032" s="83"/>
      <c r="J1032" s="83" t="s">
        <v>244</v>
      </c>
      <c r="K1032" s="83">
        <v>1</v>
      </c>
      <c r="L1032" s="83" t="s">
        <v>129</v>
      </c>
      <c r="M1032" s="83">
        <f>ROUNDDOWN(VLOOKUP(J1032,Sheet1!$N$32:$O$37,2,0)*1000,0)</f>
        <v>476</v>
      </c>
      <c r="N1032" s="83"/>
      <c r="O1032" s="83">
        <f t="shared" si="105"/>
        <v>0.00521329609550408</v>
      </c>
      <c r="P1032" s="83">
        <v>11000</v>
      </c>
    </row>
    <row r="1033" spans="1:16">
      <c r="A1033" s="82">
        <v>1031</v>
      </c>
      <c r="B1033" s="83">
        <v>11200</v>
      </c>
      <c r="C1033" s="83">
        <v>7</v>
      </c>
      <c r="D1033" s="83">
        <f t="shared" si="101"/>
        <v>49086</v>
      </c>
      <c r="E1033" s="83">
        <f t="shared" si="104"/>
        <v>49562</v>
      </c>
      <c r="F1033" s="83"/>
      <c r="G1033" s="83">
        <v>100132</v>
      </c>
      <c r="H1033" s="83" t="s">
        <v>255</v>
      </c>
      <c r="I1033" s="83"/>
      <c r="J1033" s="83" t="s">
        <v>244</v>
      </c>
      <c r="K1033" s="83">
        <v>1</v>
      </c>
      <c r="L1033" s="83" t="s">
        <v>129</v>
      </c>
      <c r="M1033" s="83">
        <f>ROUNDDOWN(VLOOKUP(J1033,Sheet1!$N$32:$O$37,2,0)*1000,0)</f>
        <v>476</v>
      </c>
      <c r="N1033" s="83"/>
      <c r="O1033" s="83">
        <f t="shared" si="105"/>
        <v>0.00521329609550408</v>
      </c>
      <c r="P1033" s="83">
        <v>11000</v>
      </c>
    </row>
    <row r="1034" spans="1:16">
      <c r="A1034" s="82">
        <v>1032</v>
      </c>
      <c r="B1034" s="83">
        <v>11200</v>
      </c>
      <c r="C1034" s="83">
        <v>7</v>
      </c>
      <c r="D1034" s="83">
        <f t="shared" si="101"/>
        <v>49562</v>
      </c>
      <c r="E1034" s="83">
        <f t="shared" si="104"/>
        <v>50038</v>
      </c>
      <c r="F1034" s="83"/>
      <c r="G1034" s="83">
        <v>100133</v>
      </c>
      <c r="H1034" s="83" t="s">
        <v>256</v>
      </c>
      <c r="I1034" s="83"/>
      <c r="J1034" s="83" t="s">
        <v>244</v>
      </c>
      <c r="K1034" s="83">
        <v>1</v>
      </c>
      <c r="L1034" s="83" t="s">
        <v>129</v>
      </c>
      <c r="M1034" s="83">
        <f>ROUNDDOWN(VLOOKUP(J1034,Sheet1!$N$32:$O$37,2,0)*1000,0)</f>
        <v>476</v>
      </c>
      <c r="N1034" s="83"/>
      <c r="O1034" s="83">
        <f t="shared" si="105"/>
        <v>0.00521329609550408</v>
      </c>
      <c r="P1034" s="83">
        <v>11000</v>
      </c>
    </row>
    <row r="1035" spans="1:16">
      <c r="A1035" s="82">
        <v>1033</v>
      </c>
      <c r="B1035" s="83">
        <v>11200</v>
      </c>
      <c r="C1035" s="83">
        <v>7</v>
      </c>
      <c r="D1035" s="83">
        <f t="shared" si="101"/>
        <v>50038</v>
      </c>
      <c r="E1035" s="83">
        <f t="shared" si="104"/>
        <v>50514</v>
      </c>
      <c r="F1035" s="83"/>
      <c r="G1035" s="83">
        <v>100134</v>
      </c>
      <c r="H1035" s="83" t="s">
        <v>257</v>
      </c>
      <c r="I1035" s="83"/>
      <c r="J1035" s="83" t="s">
        <v>244</v>
      </c>
      <c r="K1035" s="83">
        <v>1</v>
      </c>
      <c r="L1035" s="83" t="s">
        <v>129</v>
      </c>
      <c r="M1035" s="83">
        <f>ROUNDDOWN(VLOOKUP(J1035,Sheet1!$N$32:$O$37,2,0)*1000,0)</f>
        <v>476</v>
      </c>
      <c r="N1035" s="83"/>
      <c r="O1035" s="83">
        <f t="shared" si="105"/>
        <v>0.00521329609550408</v>
      </c>
      <c r="P1035" s="83">
        <v>11000</v>
      </c>
    </row>
    <row r="1036" spans="1:16">
      <c r="A1036" s="82">
        <v>1034</v>
      </c>
      <c r="B1036" s="83">
        <v>11200</v>
      </c>
      <c r="C1036" s="83">
        <v>7</v>
      </c>
      <c r="D1036" s="83">
        <f t="shared" si="101"/>
        <v>50514</v>
      </c>
      <c r="E1036" s="83">
        <f t="shared" si="104"/>
        <v>50990</v>
      </c>
      <c r="F1036" s="83"/>
      <c r="G1036" s="83">
        <v>100135</v>
      </c>
      <c r="H1036" s="83" t="s">
        <v>258</v>
      </c>
      <c r="I1036" s="83"/>
      <c r="J1036" s="83" t="s">
        <v>244</v>
      </c>
      <c r="K1036" s="83">
        <v>1</v>
      </c>
      <c r="L1036" s="83" t="s">
        <v>129</v>
      </c>
      <c r="M1036" s="83">
        <f>ROUNDDOWN(VLOOKUP(J1036,Sheet1!$N$32:$O$37,2,0)*1000,0)</f>
        <v>476</v>
      </c>
      <c r="N1036" s="83"/>
      <c r="O1036" s="83">
        <f t="shared" si="105"/>
        <v>0.00521329609550408</v>
      </c>
      <c r="P1036" s="83">
        <v>11000</v>
      </c>
    </row>
    <row r="1037" spans="1:16">
      <c r="A1037" s="82">
        <v>1035</v>
      </c>
      <c r="B1037" s="83">
        <v>11200</v>
      </c>
      <c r="C1037" s="83">
        <v>7</v>
      </c>
      <c r="D1037" s="83">
        <f t="shared" si="101"/>
        <v>50990</v>
      </c>
      <c r="E1037" s="83">
        <f t="shared" si="104"/>
        <v>51466</v>
      </c>
      <c r="F1037" s="83"/>
      <c r="G1037" s="83">
        <v>100136</v>
      </c>
      <c r="H1037" s="83" t="s">
        <v>259</v>
      </c>
      <c r="I1037" s="83"/>
      <c r="J1037" s="83" t="s">
        <v>244</v>
      </c>
      <c r="K1037" s="83">
        <v>1</v>
      </c>
      <c r="L1037" s="83" t="s">
        <v>129</v>
      </c>
      <c r="M1037" s="83">
        <f>ROUNDDOWN(VLOOKUP(J1037,Sheet1!$N$32:$O$37,2,0)*1000,0)</f>
        <v>476</v>
      </c>
      <c r="N1037" s="83"/>
      <c r="O1037" s="83">
        <f t="shared" si="105"/>
        <v>0.00521329609550408</v>
      </c>
      <c r="P1037" s="83">
        <v>11000</v>
      </c>
    </row>
    <row r="1038" spans="1:16">
      <c r="A1038" s="82">
        <v>1036</v>
      </c>
      <c r="B1038" s="83">
        <v>11200</v>
      </c>
      <c r="C1038" s="83">
        <v>7</v>
      </c>
      <c r="D1038" s="83">
        <f t="shared" si="101"/>
        <v>51466</v>
      </c>
      <c r="E1038" s="83">
        <f t="shared" si="104"/>
        <v>51942</v>
      </c>
      <c r="F1038" s="83"/>
      <c r="G1038" s="83">
        <v>100137</v>
      </c>
      <c r="H1038" s="83" t="s">
        <v>260</v>
      </c>
      <c r="I1038" s="83"/>
      <c r="J1038" s="83" t="s">
        <v>244</v>
      </c>
      <c r="K1038" s="83">
        <v>1</v>
      </c>
      <c r="L1038" s="83" t="s">
        <v>129</v>
      </c>
      <c r="M1038" s="83">
        <f>ROUNDDOWN(VLOOKUP(J1038,Sheet1!$N$32:$O$37,2,0)*1000,0)</f>
        <v>476</v>
      </c>
      <c r="N1038" s="83"/>
      <c r="O1038" s="83">
        <f t="shared" si="105"/>
        <v>0.00521329609550408</v>
      </c>
      <c r="P1038" s="83">
        <v>11000</v>
      </c>
    </row>
    <row r="1039" spans="1:16">
      <c r="A1039" s="82">
        <v>1037</v>
      </c>
      <c r="B1039" s="83">
        <v>11200</v>
      </c>
      <c r="C1039" s="83">
        <v>7</v>
      </c>
      <c r="D1039" s="83">
        <f t="shared" si="101"/>
        <v>51942</v>
      </c>
      <c r="E1039" s="83">
        <f t="shared" si="104"/>
        <v>52418</v>
      </c>
      <c r="F1039" s="83"/>
      <c r="G1039" s="83">
        <v>100138</v>
      </c>
      <c r="H1039" s="83" t="s">
        <v>261</v>
      </c>
      <c r="I1039" s="83"/>
      <c r="J1039" s="83" t="s">
        <v>244</v>
      </c>
      <c r="K1039" s="83">
        <v>1</v>
      </c>
      <c r="L1039" s="83" t="s">
        <v>129</v>
      </c>
      <c r="M1039" s="83">
        <f>ROUNDDOWN(VLOOKUP(J1039,Sheet1!$N$32:$O$37,2,0)*1000,0)</f>
        <v>476</v>
      </c>
      <c r="N1039" s="83"/>
      <c r="O1039" s="83">
        <f t="shared" si="105"/>
        <v>0.00521329609550408</v>
      </c>
      <c r="P1039" s="83">
        <v>11000</v>
      </c>
    </row>
    <row r="1040" spans="1:16">
      <c r="A1040" s="82">
        <v>1038</v>
      </c>
      <c r="B1040" s="83">
        <v>11200</v>
      </c>
      <c r="C1040" s="83">
        <v>7</v>
      </c>
      <c r="D1040" s="83">
        <f t="shared" si="101"/>
        <v>52418</v>
      </c>
      <c r="E1040" s="83">
        <f t="shared" si="104"/>
        <v>52894</v>
      </c>
      <c r="F1040" s="83"/>
      <c r="G1040" s="83">
        <v>100144</v>
      </c>
      <c r="H1040" s="83" t="s">
        <v>262</v>
      </c>
      <c r="I1040" s="83"/>
      <c r="J1040" s="83" t="s">
        <v>244</v>
      </c>
      <c r="K1040" s="83">
        <v>1</v>
      </c>
      <c r="L1040" s="83" t="s">
        <v>129</v>
      </c>
      <c r="M1040" s="83">
        <f>ROUNDDOWN(VLOOKUP(J1040,Sheet1!$N$32:$O$37,2,0)*1000,0)</f>
        <v>476</v>
      </c>
      <c r="N1040" s="83"/>
      <c r="O1040" s="83">
        <f t="shared" si="105"/>
        <v>0.00521329609550408</v>
      </c>
      <c r="P1040" s="83">
        <v>11000</v>
      </c>
    </row>
    <row r="1041" spans="1:16">
      <c r="A1041" s="82">
        <v>1039</v>
      </c>
      <c r="B1041" s="83">
        <v>11200</v>
      </c>
      <c r="C1041" s="83">
        <v>7</v>
      </c>
      <c r="D1041" s="83">
        <f t="shared" si="101"/>
        <v>52894</v>
      </c>
      <c r="E1041" s="83">
        <f t="shared" si="104"/>
        <v>53370</v>
      </c>
      <c r="F1041" s="83"/>
      <c r="G1041" s="83">
        <v>100148</v>
      </c>
      <c r="H1041" s="83" t="s">
        <v>263</v>
      </c>
      <c r="I1041" s="83"/>
      <c r="J1041" s="83" t="s">
        <v>244</v>
      </c>
      <c r="K1041" s="83">
        <v>1</v>
      </c>
      <c r="L1041" s="83" t="s">
        <v>129</v>
      </c>
      <c r="M1041" s="83">
        <f>ROUNDDOWN(VLOOKUP(J1041,Sheet1!$N$32:$O$37,2,0)*1000,0)</f>
        <v>476</v>
      </c>
      <c r="N1041" s="83"/>
      <c r="O1041" s="83">
        <f t="shared" si="105"/>
        <v>0.00521329609550408</v>
      </c>
      <c r="P1041" s="83">
        <v>11000</v>
      </c>
    </row>
    <row r="1042" spans="1:16">
      <c r="A1042" s="82">
        <v>1040</v>
      </c>
      <c r="B1042" s="83">
        <v>11200</v>
      </c>
      <c r="C1042" s="83">
        <v>7</v>
      </c>
      <c r="D1042" s="83">
        <f t="shared" si="101"/>
        <v>53370</v>
      </c>
      <c r="E1042" s="83">
        <f t="shared" si="104"/>
        <v>53846</v>
      </c>
      <c r="F1042" s="83"/>
      <c r="G1042" s="83">
        <v>100139</v>
      </c>
      <c r="H1042" s="83" t="s">
        <v>264</v>
      </c>
      <c r="I1042" s="83"/>
      <c r="J1042" s="83" t="s">
        <v>244</v>
      </c>
      <c r="K1042" s="83">
        <v>1</v>
      </c>
      <c r="L1042" s="83" t="s">
        <v>129</v>
      </c>
      <c r="M1042" s="83">
        <f>ROUNDDOWN(VLOOKUP(J1042,Sheet1!$N$32:$O$37,2,0)*1000,0)</f>
        <v>476</v>
      </c>
      <c r="N1042" s="83"/>
      <c r="O1042" s="83">
        <f t="shared" si="105"/>
        <v>0.00521329609550408</v>
      </c>
      <c r="P1042" s="83">
        <v>11000</v>
      </c>
    </row>
    <row r="1043" spans="1:16">
      <c r="A1043" s="82">
        <v>1041</v>
      </c>
      <c r="B1043" s="83">
        <v>11200</v>
      </c>
      <c r="C1043" s="83">
        <v>2</v>
      </c>
      <c r="D1043" s="83">
        <f t="shared" si="101"/>
        <v>53846</v>
      </c>
      <c r="E1043" s="83">
        <f t="shared" si="104"/>
        <v>57027</v>
      </c>
      <c r="F1043" s="83"/>
      <c r="G1043" s="83">
        <v>907009</v>
      </c>
      <c r="H1043" s="83" t="s">
        <v>265</v>
      </c>
      <c r="I1043" s="83"/>
      <c r="J1043" s="83" t="s">
        <v>266</v>
      </c>
      <c r="K1043" s="83">
        <v>1</v>
      </c>
      <c r="L1043" s="83" t="s">
        <v>129</v>
      </c>
      <c r="M1043" s="83">
        <f>ROUNDDOWN(VLOOKUP(J1043,Sheet1!$N$32:$O$37,2,0)*1000,0)</f>
        <v>3181</v>
      </c>
      <c r="N1043" s="83"/>
      <c r="O1043" s="83">
        <f t="shared" si="105"/>
        <v>0.0348392749575598</v>
      </c>
      <c r="P1043" s="83">
        <v>11000</v>
      </c>
    </row>
    <row r="1044" spans="1:16">
      <c r="A1044" s="82">
        <v>1042</v>
      </c>
      <c r="B1044" s="83">
        <v>11200</v>
      </c>
      <c r="C1044" s="83">
        <v>2</v>
      </c>
      <c r="D1044" s="83">
        <f t="shared" si="101"/>
        <v>57027</v>
      </c>
      <c r="E1044" s="83">
        <f t="shared" si="104"/>
        <v>60208</v>
      </c>
      <c r="F1044" s="83"/>
      <c r="G1044" s="83">
        <v>907010</v>
      </c>
      <c r="H1044" s="83" t="s">
        <v>267</v>
      </c>
      <c r="I1044" s="83"/>
      <c r="J1044" s="83" t="s">
        <v>266</v>
      </c>
      <c r="K1044" s="83">
        <v>1</v>
      </c>
      <c r="L1044" s="83" t="s">
        <v>129</v>
      </c>
      <c r="M1044" s="83">
        <f>ROUNDDOWN(VLOOKUP(J1044,Sheet1!$N$32:$O$37,2,0)*1000,0)</f>
        <v>3181</v>
      </c>
      <c r="N1044" s="83"/>
      <c r="O1044" s="83">
        <f t="shared" si="105"/>
        <v>0.0348392749575598</v>
      </c>
      <c r="P1044" s="83">
        <v>11000</v>
      </c>
    </row>
    <row r="1045" spans="1:16">
      <c r="A1045" s="82">
        <v>1043</v>
      </c>
      <c r="B1045" s="83">
        <v>11200</v>
      </c>
      <c r="C1045" s="83">
        <v>2</v>
      </c>
      <c r="D1045" s="83">
        <f t="shared" si="101"/>
        <v>60208</v>
      </c>
      <c r="E1045" s="83">
        <f t="shared" si="104"/>
        <v>63389</v>
      </c>
      <c r="F1045" s="83"/>
      <c r="G1045" s="83">
        <v>907011</v>
      </c>
      <c r="H1045" s="83" t="s">
        <v>268</v>
      </c>
      <c r="I1045" s="83"/>
      <c r="J1045" s="83" t="s">
        <v>266</v>
      </c>
      <c r="K1045" s="83">
        <v>1</v>
      </c>
      <c r="L1045" s="83" t="s">
        <v>129</v>
      </c>
      <c r="M1045" s="83">
        <f>ROUNDDOWN(VLOOKUP(J1045,Sheet1!$N$32:$O$37,2,0)*1000,0)</f>
        <v>3181</v>
      </c>
      <c r="N1045" s="83"/>
      <c r="O1045" s="83">
        <f t="shared" si="105"/>
        <v>0.0348392749575598</v>
      </c>
      <c r="P1045" s="83">
        <v>11000</v>
      </c>
    </row>
    <row r="1046" spans="1:16">
      <c r="A1046" s="82">
        <v>1044</v>
      </c>
      <c r="B1046" s="83">
        <v>11200</v>
      </c>
      <c r="C1046" s="83">
        <v>2</v>
      </c>
      <c r="D1046" s="83">
        <f t="shared" si="101"/>
        <v>63389</v>
      </c>
      <c r="E1046" s="83">
        <f t="shared" si="104"/>
        <v>66570</v>
      </c>
      <c r="F1046" s="83"/>
      <c r="G1046" s="83">
        <v>907012</v>
      </c>
      <c r="H1046" s="83" t="s">
        <v>269</v>
      </c>
      <c r="I1046" s="83"/>
      <c r="J1046" s="83" t="s">
        <v>266</v>
      </c>
      <c r="K1046" s="83">
        <v>1</v>
      </c>
      <c r="L1046" s="83" t="s">
        <v>129</v>
      </c>
      <c r="M1046" s="83">
        <f>ROUNDDOWN(VLOOKUP(J1046,Sheet1!$N$32:$O$37,2,0)*1000,0)</f>
        <v>3181</v>
      </c>
      <c r="N1046" s="83"/>
      <c r="O1046" s="83">
        <f t="shared" si="105"/>
        <v>0.0348392749575598</v>
      </c>
      <c r="P1046" s="83">
        <v>11000</v>
      </c>
    </row>
    <row r="1047" spans="1:16">
      <c r="A1047" s="82">
        <v>1045</v>
      </c>
      <c r="B1047" s="83">
        <v>11200</v>
      </c>
      <c r="C1047" s="83">
        <v>2</v>
      </c>
      <c r="D1047" s="83">
        <f t="shared" si="101"/>
        <v>66570</v>
      </c>
      <c r="E1047" s="83">
        <f t="shared" si="104"/>
        <v>69751</v>
      </c>
      <c r="F1047" s="83"/>
      <c r="G1047" s="83">
        <v>907014</v>
      </c>
      <c r="H1047" s="83" t="s">
        <v>270</v>
      </c>
      <c r="I1047" s="83"/>
      <c r="J1047" s="83" t="s">
        <v>266</v>
      </c>
      <c r="K1047" s="83">
        <v>1</v>
      </c>
      <c r="L1047" s="83" t="s">
        <v>129</v>
      </c>
      <c r="M1047" s="83">
        <f>ROUNDDOWN(VLOOKUP(J1047,Sheet1!$N$32:$O$37,2,0)*1000,0)</f>
        <v>3181</v>
      </c>
      <c r="N1047" s="83"/>
      <c r="O1047" s="83">
        <f t="shared" si="105"/>
        <v>0.0348392749575598</v>
      </c>
      <c r="P1047" s="83">
        <v>11000</v>
      </c>
    </row>
    <row r="1048" spans="1:16">
      <c r="A1048" s="82">
        <v>1046</v>
      </c>
      <c r="B1048" s="83">
        <v>11200</v>
      </c>
      <c r="C1048" s="83">
        <v>2</v>
      </c>
      <c r="D1048" s="83">
        <f t="shared" si="101"/>
        <v>69751</v>
      </c>
      <c r="E1048" s="83">
        <f t="shared" si="104"/>
        <v>72932</v>
      </c>
      <c r="F1048" s="83"/>
      <c r="G1048" s="83">
        <v>907017</v>
      </c>
      <c r="H1048" s="83" t="s">
        <v>271</v>
      </c>
      <c r="I1048" s="83"/>
      <c r="J1048" s="83" t="s">
        <v>266</v>
      </c>
      <c r="K1048" s="83">
        <v>1</v>
      </c>
      <c r="L1048" s="83" t="s">
        <v>129</v>
      </c>
      <c r="M1048" s="83">
        <f>ROUNDDOWN(VLOOKUP(J1048,Sheet1!$N$32:$O$37,2,0)*1000,0)</f>
        <v>3181</v>
      </c>
      <c r="N1048" s="83"/>
      <c r="O1048" s="83">
        <f t="shared" si="105"/>
        <v>0.0348392749575598</v>
      </c>
      <c r="P1048" s="83">
        <v>11000</v>
      </c>
    </row>
    <row r="1049" spans="1:16">
      <c r="A1049" s="82">
        <v>1047</v>
      </c>
      <c r="B1049" s="83">
        <v>11200</v>
      </c>
      <c r="C1049" s="83">
        <v>2</v>
      </c>
      <c r="D1049" s="83">
        <f t="shared" ref="D1049:D1112" si="106">E1048</f>
        <v>72932</v>
      </c>
      <c r="E1049" s="83">
        <f t="shared" si="104"/>
        <v>76113</v>
      </c>
      <c r="F1049" s="83"/>
      <c r="G1049" s="83">
        <v>907018</v>
      </c>
      <c r="H1049" s="83" t="s">
        <v>272</v>
      </c>
      <c r="I1049" s="83"/>
      <c r="J1049" s="83" t="s">
        <v>266</v>
      </c>
      <c r="K1049" s="83">
        <v>1</v>
      </c>
      <c r="L1049" s="83" t="s">
        <v>129</v>
      </c>
      <c r="M1049" s="83">
        <f>ROUNDDOWN(VLOOKUP(J1049,Sheet1!$N$32:$O$37,2,0)*1000,0)</f>
        <v>3181</v>
      </c>
      <c r="N1049" s="83"/>
      <c r="O1049" s="83">
        <f t="shared" si="105"/>
        <v>0.0348392749575598</v>
      </c>
      <c r="P1049" s="83">
        <v>11000</v>
      </c>
    </row>
    <row r="1050" spans="1:16">
      <c r="A1050" s="82">
        <v>1048</v>
      </c>
      <c r="B1050" s="83">
        <v>11200</v>
      </c>
      <c r="C1050" s="83">
        <v>2</v>
      </c>
      <c r="D1050" s="83">
        <f t="shared" si="106"/>
        <v>76113</v>
      </c>
      <c r="E1050" s="83">
        <f t="shared" si="104"/>
        <v>79294</v>
      </c>
      <c r="F1050" s="83"/>
      <c r="G1050" s="83">
        <v>907033</v>
      </c>
      <c r="H1050" s="83" t="s">
        <v>273</v>
      </c>
      <c r="I1050" s="83"/>
      <c r="J1050" s="83" t="s">
        <v>266</v>
      </c>
      <c r="K1050" s="83">
        <v>1</v>
      </c>
      <c r="L1050" s="83" t="s">
        <v>129</v>
      </c>
      <c r="M1050" s="83">
        <f>ROUNDDOWN(VLOOKUP(J1050,Sheet1!$N$32:$O$37,2,0)*1000,0)</f>
        <v>3181</v>
      </c>
      <c r="N1050" s="83"/>
      <c r="O1050" s="83">
        <f t="shared" ref="O1050:O1081" si="107">(E1050-D1050)/$E$1137</f>
        <v>0.0348392749575598</v>
      </c>
      <c r="P1050" s="83">
        <v>11000</v>
      </c>
    </row>
    <row r="1051" spans="1:16">
      <c r="A1051" s="82">
        <v>1049</v>
      </c>
      <c r="B1051" s="83">
        <v>11200</v>
      </c>
      <c r="C1051" s="83">
        <v>2</v>
      </c>
      <c r="D1051" s="83">
        <f t="shared" si="106"/>
        <v>79294</v>
      </c>
      <c r="E1051" s="83">
        <f t="shared" si="104"/>
        <v>82475</v>
      </c>
      <c r="F1051" s="83"/>
      <c r="G1051" s="83">
        <v>907035</v>
      </c>
      <c r="H1051" s="83" t="s">
        <v>274</v>
      </c>
      <c r="I1051" s="83"/>
      <c r="J1051" s="83" t="s">
        <v>266</v>
      </c>
      <c r="K1051" s="83">
        <v>1</v>
      </c>
      <c r="L1051" s="83" t="s">
        <v>129</v>
      </c>
      <c r="M1051" s="83">
        <f>ROUNDDOWN(VLOOKUP(J1051,Sheet1!$N$32:$O$37,2,0)*1000,0)</f>
        <v>3181</v>
      </c>
      <c r="N1051" s="83"/>
      <c r="O1051" s="83">
        <f t="shared" si="107"/>
        <v>0.0348392749575598</v>
      </c>
      <c r="P1051" s="83">
        <v>11000</v>
      </c>
    </row>
    <row r="1052" spans="1:16">
      <c r="A1052" s="82">
        <v>1050</v>
      </c>
      <c r="B1052" s="83">
        <v>11200</v>
      </c>
      <c r="C1052" s="83">
        <v>2</v>
      </c>
      <c r="D1052" s="83">
        <f t="shared" si="106"/>
        <v>82475</v>
      </c>
      <c r="E1052" s="83">
        <f t="shared" si="104"/>
        <v>85656</v>
      </c>
      <c r="F1052" s="83"/>
      <c r="G1052" s="83">
        <v>907036</v>
      </c>
      <c r="H1052" s="83" t="s">
        <v>275</v>
      </c>
      <c r="I1052" s="83"/>
      <c r="J1052" s="83" t="s">
        <v>266</v>
      </c>
      <c r="K1052" s="83">
        <v>1</v>
      </c>
      <c r="L1052" s="83" t="s">
        <v>129</v>
      </c>
      <c r="M1052" s="83">
        <f>ROUNDDOWN(VLOOKUP(J1052,Sheet1!$N$32:$O$37,2,0)*1000,0)</f>
        <v>3181</v>
      </c>
      <c r="N1052" s="83"/>
      <c r="O1052" s="83">
        <f t="shared" si="107"/>
        <v>0.0348392749575598</v>
      </c>
      <c r="P1052" s="83">
        <v>11000</v>
      </c>
    </row>
    <row r="1053" spans="1:16">
      <c r="A1053" s="82">
        <v>1051</v>
      </c>
      <c r="B1053" s="83">
        <v>11200</v>
      </c>
      <c r="C1053" s="83">
        <v>2</v>
      </c>
      <c r="D1053" s="83">
        <f t="shared" si="106"/>
        <v>85656</v>
      </c>
      <c r="E1053" s="83">
        <f t="shared" si="104"/>
        <v>88837</v>
      </c>
      <c r="F1053" s="83"/>
      <c r="G1053" s="83">
        <v>907038</v>
      </c>
      <c r="H1053" s="83" t="s">
        <v>276</v>
      </c>
      <c r="I1053" s="83"/>
      <c r="J1053" s="83" t="s">
        <v>266</v>
      </c>
      <c r="K1053" s="83">
        <v>1</v>
      </c>
      <c r="L1053" s="83" t="s">
        <v>129</v>
      </c>
      <c r="M1053" s="83">
        <f>ROUNDDOWN(VLOOKUP(J1053,Sheet1!$N$32:$O$37,2,0)*1000,0)</f>
        <v>3181</v>
      </c>
      <c r="N1053" s="83"/>
      <c r="O1053" s="83">
        <f t="shared" si="107"/>
        <v>0.0348392749575598</v>
      </c>
      <c r="P1053" s="83">
        <v>11000</v>
      </c>
    </row>
    <row r="1054" spans="1:16">
      <c r="A1054" s="82">
        <v>1052</v>
      </c>
      <c r="B1054" s="83">
        <v>11200</v>
      </c>
      <c r="C1054" s="83">
        <v>6</v>
      </c>
      <c r="D1054" s="83">
        <f t="shared" si="106"/>
        <v>88837</v>
      </c>
      <c r="E1054" s="83">
        <f t="shared" si="104"/>
        <v>88897</v>
      </c>
      <c r="F1054" s="83"/>
      <c r="G1054" s="83" t="s">
        <v>277</v>
      </c>
      <c r="H1054" s="83" t="s">
        <v>278</v>
      </c>
      <c r="I1054" s="83"/>
      <c r="J1054" s="83" t="s">
        <v>279</v>
      </c>
      <c r="K1054" s="83">
        <v>1</v>
      </c>
      <c r="L1054" s="83" t="s">
        <v>129</v>
      </c>
      <c r="M1054" s="83">
        <f>ROUNDDOWN(VLOOKUP(J1054,Sheet1!$N$32:$O$37,2,0)*1000,0)</f>
        <v>60</v>
      </c>
      <c r="N1054" s="83"/>
      <c r="O1054" s="83">
        <f t="shared" si="107"/>
        <v>0.000657138163298834</v>
      </c>
      <c r="P1054" s="83">
        <v>11000</v>
      </c>
    </row>
    <row r="1055" spans="1:16">
      <c r="A1055" s="82">
        <v>1053</v>
      </c>
      <c r="B1055" s="83">
        <v>11200</v>
      </c>
      <c r="C1055" s="83">
        <v>6</v>
      </c>
      <c r="D1055" s="83">
        <f t="shared" si="106"/>
        <v>88897</v>
      </c>
      <c r="E1055" s="83">
        <f t="shared" si="104"/>
        <v>88957</v>
      </c>
      <c r="F1055" s="83"/>
      <c r="G1055" s="83" t="s">
        <v>280</v>
      </c>
      <c r="H1055" s="83" t="s">
        <v>281</v>
      </c>
      <c r="I1055" s="83"/>
      <c r="J1055" s="83" t="s">
        <v>279</v>
      </c>
      <c r="K1055" s="83">
        <v>1</v>
      </c>
      <c r="L1055" s="83" t="s">
        <v>129</v>
      </c>
      <c r="M1055" s="83">
        <f>ROUNDDOWN(VLOOKUP(J1055,Sheet1!$N$32:$O$37,2,0)*1000,0)</f>
        <v>60</v>
      </c>
      <c r="N1055" s="83"/>
      <c r="O1055" s="83">
        <f t="shared" si="107"/>
        <v>0.000657138163298834</v>
      </c>
      <c r="P1055" s="83">
        <v>11001</v>
      </c>
    </row>
    <row r="1056" spans="1:16">
      <c r="A1056" s="82">
        <v>1054</v>
      </c>
      <c r="B1056" s="83">
        <v>11200</v>
      </c>
      <c r="C1056" s="83">
        <v>6</v>
      </c>
      <c r="D1056" s="83">
        <f t="shared" si="106"/>
        <v>88957</v>
      </c>
      <c r="E1056" s="83">
        <f t="shared" si="104"/>
        <v>89017</v>
      </c>
      <c r="F1056" s="83"/>
      <c r="G1056" s="83" t="s">
        <v>282</v>
      </c>
      <c r="H1056" s="83" t="s">
        <v>283</v>
      </c>
      <c r="I1056" s="83"/>
      <c r="J1056" s="83" t="s">
        <v>279</v>
      </c>
      <c r="K1056" s="83">
        <v>1</v>
      </c>
      <c r="L1056" s="83" t="s">
        <v>129</v>
      </c>
      <c r="M1056" s="83">
        <f>ROUNDDOWN(VLOOKUP(J1056,Sheet1!$N$32:$O$37,2,0)*1000,0)</f>
        <v>60</v>
      </c>
      <c r="N1056" s="83"/>
      <c r="O1056" s="83">
        <f t="shared" si="107"/>
        <v>0.000657138163298834</v>
      </c>
      <c r="P1056" s="83">
        <v>11002</v>
      </c>
    </row>
    <row r="1057" spans="1:16">
      <c r="A1057" s="82">
        <v>1055</v>
      </c>
      <c r="B1057" s="83">
        <v>11200</v>
      </c>
      <c r="C1057" s="83">
        <v>6</v>
      </c>
      <c r="D1057" s="83">
        <f t="shared" si="106"/>
        <v>89017</v>
      </c>
      <c r="E1057" s="83">
        <f t="shared" si="104"/>
        <v>89077</v>
      </c>
      <c r="F1057" s="83"/>
      <c r="G1057" s="83" t="s">
        <v>284</v>
      </c>
      <c r="H1057" s="83" t="s">
        <v>285</v>
      </c>
      <c r="I1057" s="83"/>
      <c r="J1057" s="83" t="s">
        <v>279</v>
      </c>
      <c r="K1057" s="83">
        <v>1</v>
      </c>
      <c r="L1057" s="83" t="s">
        <v>129</v>
      </c>
      <c r="M1057" s="83">
        <f>ROUNDDOWN(VLOOKUP(J1057,Sheet1!$N$32:$O$37,2,0)*1000,0)</f>
        <v>60</v>
      </c>
      <c r="N1057" s="83"/>
      <c r="O1057" s="83">
        <f t="shared" si="107"/>
        <v>0.000657138163298834</v>
      </c>
      <c r="P1057" s="83">
        <v>11003</v>
      </c>
    </row>
    <row r="1058" spans="1:16">
      <c r="A1058" s="82">
        <v>1056</v>
      </c>
      <c r="B1058" s="83">
        <v>11200</v>
      </c>
      <c r="C1058" s="83">
        <v>6</v>
      </c>
      <c r="D1058" s="83">
        <f t="shared" si="106"/>
        <v>89077</v>
      </c>
      <c r="E1058" s="83">
        <f t="shared" si="104"/>
        <v>89137</v>
      </c>
      <c r="F1058" s="83"/>
      <c r="G1058" s="83" t="s">
        <v>286</v>
      </c>
      <c r="H1058" s="83" t="s">
        <v>287</v>
      </c>
      <c r="I1058" s="83"/>
      <c r="J1058" s="83" t="s">
        <v>279</v>
      </c>
      <c r="K1058" s="83">
        <v>1</v>
      </c>
      <c r="L1058" s="83" t="s">
        <v>129</v>
      </c>
      <c r="M1058" s="83">
        <f>ROUNDDOWN(VLOOKUP(J1058,Sheet1!$N$32:$O$37,2,0)*1000,0)</f>
        <v>60</v>
      </c>
      <c r="N1058" s="83"/>
      <c r="O1058" s="83">
        <f t="shared" si="107"/>
        <v>0.000657138163298834</v>
      </c>
      <c r="P1058" s="83">
        <v>11004</v>
      </c>
    </row>
    <row r="1059" spans="1:16">
      <c r="A1059" s="82">
        <v>1057</v>
      </c>
      <c r="B1059" s="83">
        <v>11200</v>
      </c>
      <c r="C1059" s="83">
        <v>6</v>
      </c>
      <c r="D1059" s="83">
        <f t="shared" si="106"/>
        <v>89137</v>
      </c>
      <c r="E1059" s="83">
        <f t="shared" si="104"/>
        <v>89197</v>
      </c>
      <c r="F1059" s="83"/>
      <c r="G1059" s="83" t="s">
        <v>288</v>
      </c>
      <c r="H1059" s="83" t="s">
        <v>289</v>
      </c>
      <c r="I1059" s="83"/>
      <c r="J1059" s="83" t="s">
        <v>279</v>
      </c>
      <c r="K1059" s="83">
        <v>1</v>
      </c>
      <c r="L1059" s="83" t="s">
        <v>129</v>
      </c>
      <c r="M1059" s="83">
        <f>ROUNDDOWN(VLOOKUP(J1059,Sheet1!$N$32:$O$37,2,0)*1000,0)</f>
        <v>60</v>
      </c>
      <c r="N1059" s="83"/>
      <c r="O1059" s="83">
        <f t="shared" si="107"/>
        <v>0.000657138163298834</v>
      </c>
      <c r="P1059" s="83">
        <v>11005</v>
      </c>
    </row>
    <row r="1060" spans="1:16">
      <c r="A1060" s="82">
        <v>1058</v>
      </c>
      <c r="B1060" s="83">
        <v>11200</v>
      </c>
      <c r="C1060" s="83">
        <v>6</v>
      </c>
      <c r="D1060" s="83">
        <f t="shared" si="106"/>
        <v>89197</v>
      </c>
      <c r="E1060" s="83">
        <f t="shared" si="104"/>
        <v>89257</v>
      </c>
      <c r="F1060" s="83"/>
      <c r="G1060" s="83" t="s">
        <v>290</v>
      </c>
      <c r="H1060" s="83" t="s">
        <v>291</v>
      </c>
      <c r="I1060" s="83"/>
      <c r="J1060" s="83" t="s">
        <v>279</v>
      </c>
      <c r="K1060" s="83">
        <v>1</v>
      </c>
      <c r="L1060" s="83" t="s">
        <v>129</v>
      </c>
      <c r="M1060" s="83">
        <f>ROUNDDOWN(VLOOKUP(J1060,Sheet1!$N$32:$O$37,2,0)*1000,0)</f>
        <v>60</v>
      </c>
      <c r="N1060" s="83"/>
      <c r="O1060" s="83">
        <f t="shared" si="107"/>
        <v>0.000657138163298834</v>
      </c>
      <c r="P1060" s="83">
        <v>11006</v>
      </c>
    </row>
    <row r="1061" spans="1:16">
      <c r="A1061" s="82">
        <v>1059</v>
      </c>
      <c r="B1061" s="83">
        <v>11200</v>
      </c>
      <c r="C1061" s="83">
        <v>6</v>
      </c>
      <c r="D1061" s="83">
        <f t="shared" si="106"/>
        <v>89257</v>
      </c>
      <c r="E1061" s="83">
        <f t="shared" si="104"/>
        <v>89317</v>
      </c>
      <c r="F1061" s="83"/>
      <c r="G1061" s="83" t="s">
        <v>292</v>
      </c>
      <c r="H1061" s="83" t="s">
        <v>293</v>
      </c>
      <c r="I1061" s="83"/>
      <c r="J1061" s="83" t="s">
        <v>279</v>
      </c>
      <c r="K1061" s="83">
        <v>1</v>
      </c>
      <c r="L1061" s="83" t="s">
        <v>129</v>
      </c>
      <c r="M1061" s="83">
        <f>ROUNDDOWN(VLOOKUP(J1061,Sheet1!$N$32:$O$37,2,0)*1000,0)</f>
        <v>60</v>
      </c>
      <c r="N1061" s="83"/>
      <c r="O1061" s="83">
        <f t="shared" si="107"/>
        <v>0.000657138163298834</v>
      </c>
      <c r="P1061" s="83">
        <v>11007</v>
      </c>
    </row>
    <row r="1062" spans="1:16">
      <c r="A1062" s="82">
        <v>1060</v>
      </c>
      <c r="B1062" s="83">
        <v>11200</v>
      </c>
      <c r="C1062" s="83">
        <v>6</v>
      </c>
      <c r="D1062" s="83">
        <f t="shared" si="106"/>
        <v>89317</v>
      </c>
      <c r="E1062" s="83">
        <f t="shared" si="104"/>
        <v>89377</v>
      </c>
      <c r="F1062" s="83"/>
      <c r="G1062" s="83" t="s">
        <v>294</v>
      </c>
      <c r="H1062" s="83" t="s">
        <v>295</v>
      </c>
      <c r="I1062" s="83"/>
      <c r="J1062" s="83" t="s">
        <v>279</v>
      </c>
      <c r="K1062" s="83">
        <v>1</v>
      </c>
      <c r="L1062" s="83" t="s">
        <v>129</v>
      </c>
      <c r="M1062" s="83">
        <f>ROUNDDOWN(VLOOKUP(J1062,Sheet1!$N$32:$O$37,2,0)*1000,0)</f>
        <v>60</v>
      </c>
      <c r="N1062" s="83"/>
      <c r="O1062" s="83">
        <f t="shared" si="107"/>
        <v>0.000657138163298834</v>
      </c>
      <c r="P1062" s="83">
        <v>11008</v>
      </c>
    </row>
    <row r="1063" spans="1:16">
      <c r="A1063" s="82">
        <v>1061</v>
      </c>
      <c r="B1063" s="83">
        <v>11200</v>
      </c>
      <c r="C1063" s="83">
        <v>6</v>
      </c>
      <c r="D1063" s="83">
        <f t="shared" si="106"/>
        <v>89377</v>
      </c>
      <c r="E1063" s="83">
        <f t="shared" si="104"/>
        <v>89437</v>
      </c>
      <c r="F1063" s="83"/>
      <c r="G1063" s="83" t="s">
        <v>296</v>
      </c>
      <c r="H1063" s="83" t="s">
        <v>297</v>
      </c>
      <c r="I1063" s="83"/>
      <c r="J1063" s="83" t="s">
        <v>279</v>
      </c>
      <c r="K1063" s="83">
        <v>1</v>
      </c>
      <c r="L1063" s="83" t="s">
        <v>129</v>
      </c>
      <c r="M1063" s="83">
        <f>ROUNDDOWN(VLOOKUP(J1063,Sheet1!$N$32:$O$37,2,0)*1000,0)</f>
        <v>60</v>
      </c>
      <c r="N1063" s="83"/>
      <c r="O1063" s="83">
        <f t="shared" si="107"/>
        <v>0.000657138163298834</v>
      </c>
      <c r="P1063" s="83">
        <v>11009</v>
      </c>
    </row>
    <row r="1064" spans="1:16">
      <c r="A1064" s="82">
        <v>1062</v>
      </c>
      <c r="B1064" s="83">
        <v>11200</v>
      </c>
      <c r="C1064" s="83">
        <v>6</v>
      </c>
      <c r="D1064" s="83">
        <f t="shared" si="106"/>
        <v>89437</v>
      </c>
      <c r="E1064" s="83">
        <f t="shared" si="104"/>
        <v>89497</v>
      </c>
      <c r="F1064" s="83"/>
      <c r="G1064" s="83" t="s">
        <v>298</v>
      </c>
      <c r="H1064" s="83" t="s">
        <v>299</v>
      </c>
      <c r="I1064" s="83"/>
      <c r="J1064" s="83" t="s">
        <v>279</v>
      </c>
      <c r="K1064" s="83">
        <v>1</v>
      </c>
      <c r="L1064" s="83" t="s">
        <v>129</v>
      </c>
      <c r="M1064" s="83">
        <f>ROUNDDOWN(VLOOKUP(J1064,Sheet1!$N$32:$O$37,2,0)*1000,0)</f>
        <v>60</v>
      </c>
      <c r="N1064" s="83"/>
      <c r="O1064" s="83">
        <f t="shared" si="107"/>
        <v>0.000657138163298834</v>
      </c>
      <c r="P1064" s="83">
        <v>11010</v>
      </c>
    </row>
    <row r="1065" spans="1:16">
      <c r="A1065" s="82">
        <v>1063</v>
      </c>
      <c r="B1065" s="83">
        <v>11200</v>
      </c>
      <c r="C1065" s="83">
        <v>6</v>
      </c>
      <c r="D1065" s="83">
        <f t="shared" si="106"/>
        <v>89497</v>
      </c>
      <c r="E1065" s="83">
        <f t="shared" si="104"/>
        <v>89557</v>
      </c>
      <c r="F1065" s="83"/>
      <c r="G1065" s="83" t="s">
        <v>300</v>
      </c>
      <c r="H1065" s="83" t="s">
        <v>301</v>
      </c>
      <c r="I1065" s="83"/>
      <c r="J1065" s="83" t="s">
        <v>279</v>
      </c>
      <c r="K1065" s="83">
        <v>1</v>
      </c>
      <c r="L1065" s="83" t="s">
        <v>129</v>
      </c>
      <c r="M1065" s="83">
        <f>ROUNDDOWN(VLOOKUP(J1065,Sheet1!$N$32:$O$37,2,0)*1000,0)</f>
        <v>60</v>
      </c>
      <c r="N1065" s="83"/>
      <c r="O1065" s="83">
        <f t="shared" si="107"/>
        <v>0.000657138163298834</v>
      </c>
      <c r="P1065" s="83">
        <v>11011</v>
      </c>
    </row>
    <row r="1066" spans="1:16">
      <c r="A1066" s="82">
        <v>1064</v>
      </c>
      <c r="B1066" s="83">
        <v>11200</v>
      </c>
      <c r="C1066" s="83">
        <v>6</v>
      </c>
      <c r="D1066" s="83">
        <f t="shared" si="106"/>
        <v>89557</v>
      </c>
      <c r="E1066" s="83">
        <f t="shared" si="104"/>
        <v>89617</v>
      </c>
      <c r="F1066" s="83"/>
      <c r="G1066" s="83" t="s">
        <v>302</v>
      </c>
      <c r="H1066" s="83" t="s">
        <v>303</v>
      </c>
      <c r="I1066" s="83"/>
      <c r="J1066" s="83" t="s">
        <v>279</v>
      </c>
      <c r="K1066" s="83">
        <v>1</v>
      </c>
      <c r="L1066" s="83" t="s">
        <v>129</v>
      </c>
      <c r="M1066" s="83">
        <f>ROUNDDOWN(VLOOKUP(J1066,Sheet1!$N$32:$O$37,2,0)*1000,0)</f>
        <v>60</v>
      </c>
      <c r="N1066" s="83"/>
      <c r="O1066" s="83">
        <f t="shared" si="107"/>
        <v>0.000657138163298834</v>
      </c>
      <c r="P1066" s="83">
        <v>11012</v>
      </c>
    </row>
    <row r="1067" spans="1:16">
      <c r="A1067" s="82">
        <v>1065</v>
      </c>
      <c r="B1067" s="83">
        <v>11200</v>
      </c>
      <c r="C1067" s="83">
        <v>6</v>
      </c>
      <c r="D1067" s="83">
        <f t="shared" si="106"/>
        <v>89617</v>
      </c>
      <c r="E1067" s="83">
        <f t="shared" si="104"/>
        <v>89677</v>
      </c>
      <c r="F1067" s="83"/>
      <c r="G1067" s="83" t="s">
        <v>304</v>
      </c>
      <c r="H1067" s="83" t="s">
        <v>305</v>
      </c>
      <c r="I1067" s="83"/>
      <c r="J1067" s="83" t="s">
        <v>279</v>
      </c>
      <c r="K1067" s="83">
        <v>1</v>
      </c>
      <c r="L1067" s="83" t="s">
        <v>129</v>
      </c>
      <c r="M1067" s="83">
        <f>ROUNDDOWN(VLOOKUP(J1067,Sheet1!$N$32:$O$37,2,0)*1000,0)</f>
        <v>60</v>
      </c>
      <c r="N1067" s="83"/>
      <c r="O1067" s="83">
        <f t="shared" si="107"/>
        <v>0.000657138163298834</v>
      </c>
      <c r="P1067" s="83">
        <v>11013</v>
      </c>
    </row>
    <row r="1068" spans="1:16">
      <c r="A1068" s="82">
        <v>1066</v>
      </c>
      <c r="B1068" s="83">
        <v>11200</v>
      </c>
      <c r="C1068" s="83">
        <v>6</v>
      </c>
      <c r="D1068" s="83">
        <f t="shared" si="106"/>
        <v>89677</v>
      </c>
      <c r="E1068" s="83">
        <f t="shared" si="104"/>
        <v>89737</v>
      </c>
      <c r="F1068" s="83"/>
      <c r="G1068" s="83" t="s">
        <v>306</v>
      </c>
      <c r="H1068" s="83" t="s">
        <v>307</v>
      </c>
      <c r="I1068" s="83"/>
      <c r="J1068" s="83" t="s">
        <v>279</v>
      </c>
      <c r="K1068" s="83">
        <v>1</v>
      </c>
      <c r="L1068" s="83" t="s">
        <v>129</v>
      </c>
      <c r="M1068" s="83">
        <f>ROUNDDOWN(VLOOKUP(J1068,Sheet1!$N$32:$O$37,2,0)*1000,0)</f>
        <v>60</v>
      </c>
      <c r="N1068" s="83"/>
      <c r="O1068" s="83">
        <f t="shared" si="107"/>
        <v>0.000657138163298834</v>
      </c>
      <c r="P1068" s="83">
        <v>11014</v>
      </c>
    </row>
    <row r="1069" spans="1:16">
      <c r="A1069" s="82">
        <v>1067</v>
      </c>
      <c r="B1069" s="83">
        <v>11200</v>
      </c>
      <c r="C1069" s="83">
        <v>6</v>
      </c>
      <c r="D1069" s="83">
        <f t="shared" si="106"/>
        <v>89737</v>
      </c>
      <c r="E1069" s="83">
        <f t="shared" si="104"/>
        <v>89797</v>
      </c>
      <c r="F1069" s="83"/>
      <c r="G1069" s="83" t="s">
        <v>308</v>
      </c>
      <c r="H1069" s="83" t="s">
        <v>309</v>
      </c>
      <c r="I1069" s="83"/>
      <c r="J1069" s="83" t="s">
        <v>279</v>
      </c>
      <c r="K1069" s="83">
        <v>1</v>
      </c>
      <c r="L1069" s="83" t="s">
        <v>129</v>
      </c>
      <c r="M1069" s="83">
        <f>ROUNDDOWN(VLOOKUP(J1069,Sheet1!$N$32:$O$37,2,0)*1000,0)</f>
        <v>60</v>
      </c>
      <c r="N1069" s="83"/>
      <c r="O1069" s="83">
        <f t="shared" si="107"/>
        <v>0.000657138163298834</v>
      </c>
      <c r="P1069" s="83">
        <v>11015</v>
      </c>
    </row>
    <row r="1070" spans="1:16">
      <c r="A1070" s="82">
        <v>1068</v>
      </c>
      <c r="B1070" s="83">
        <v>11200</v>
      </c>
      <c r="C1070" s="83">
        <v>6</v>
      </c>
      <c r="D1070" s="83">
        <f t="shared" si="106"/>
        <v>89797</v>
      </c>
      <c r="E1070" s="83">
        <f t="shared" si="104"/>
        <v>89857</v>
      </c>
      <c r="F1070" s="83"/>
      <c r="G1070" s="83" t="s">
        <v>310</v>
      </c>
      <c r="H1070" s="83" t="s">
        <v>311</v>
      </c>
      <c r="I1070" s="83"/>
      <c r="J1070" s="83" t="s">
        <v>279</v>
      </c>
      <c r="K1070" s="83">
        <v>1</v>
      </c>
      <c r="L1070" s="83" t="s">
        <v>129</v>
      </c>
      <c r="M1070" s="83">
        <f>ROUNDDOWN(VLOOKUP(J1070,Sheet1!$N$32:$O$37,2,0)*1000,0)</f>
        <v>60</v>
      </c>
      <c r="N1070" s="83"/>
      <c r="O1070" s="83">
        <f t="shared" si="107"/>
        <v>0.000657138163298834</v>
      </c>
      <c r="P1070" s="83">
        <v>11016</v>
      </c>
    </row>
    <row r="1071" spans="1:16">
      <c r="A1071" s="82">
        <v>1069</v>
      </c>
      <c r="B1071" s="83">
        <v>11200</v>
      </c>
      <c r="C1071" s="83">
        <v>6</v>
      </c>
      <c r="D1071" s="83">
        <f t="shared" si="106"/>
        <v>89857</v>
      </c>
      <c r="E1071" s="83">
        <f t="shared" si="104"/>
        <v>89917</v>
      </c>
      <c r="F1071" s="83"/>
      <c r="G1071" s="83" t="s">
        <v>312</v>
      </c>
      <c r="H1071" s="83" t="s">
        <v>313</v>
      </c>
      <c r="I1071" s="83"/>
      <c r="J1071" s="83" t="s">
        <v>279</v>
      </c>
      <c r="K1071" s="83">
        <v>1</v>
      </c>
      <c r="L1071" s="83" t="s">
        <v>129</v>
      </c>
      <c r="M1071" s="83">
        <f>ROUNDDOWN(VLOOKUP(J1071,Sheet1!$N$32:$O$37,2,0)*1000,0)</f>
        <v>60</v>
      </c>
      <c r="N1071" s="83"/>
      <c r="O1071" s="83">
        <f t="shared" si="107"/>
        <v>0.000657138163298834</v>
      </c>
      <c r="P1071" s="83">
        <v>11017</v>
      </c>
    </row>
    <row r="1072" spans="1:16">
      <c r="A1072" s="82">
        <v>1070</v>
      </c>
      <c r="B1072" s="83">
        <v>11200</v>
      </c>
      <c r="C1072" s="83">
        <v>6</v>
      </c>
      <c r="D1072" s="83">
        <f t="shared" si="106"/>
        <v>89917</v>
      </c>
      <c r="E1072" s="83">
        <f t="shared" si="104"/>
        <v>89977</v>
      </c>
      <c r="F1072" s="83"/>
      <c r="G1072" s="83" t="s">
        <v>314</v>
      </c>
      <c r="H1072" s="83" t="s">
        <v>315</v>
      </c>
      <c r="I1072" s="83"/>
      <c r="J1072" s="83" t="s">
        <v>279</v>
      </c>
      <c r="K1072" s="83">
        <v>1</v>
      </c>
      <c r="L1072" s="83" t="s">
        <v>129</v>
      </c>
      <c r="M1072" s="83">
        <f>ROUNDDOWN(VLOOKUP(J1072,Sheet1!$N$32:$O$37,2,0)*1000,0)</f>
        <v>60</v>
      </c>
      <c r="N1072" s="83"/>
      <c r="O1072" s="83">
        <f t="shared" si="107"/>
        <v>0.000657138163298834</v>
      </c>
      <c r="P1072" s="83">
        <v>11018</v>
      </c>
    </row>
    <row r="1073" spans="1:16">
      <c r="A1073" s="82">
        <v>1071</v>
      </c>
      <c r="B1073" s="83">
        <v>11200</v>
      </c>
      <c r="C1073" s="83">
        <v>6</v>
      </c>
      <c r="D1073" s="83">
        <f t="shared" si="106"/>
        <v>89977</v>
      </c>
      <c r="E1073" s="83">
        <f t="shared" si="104"/>
        <v>90037</v>
      </c>
      <c r="F1073" s="83"/>
      <c r="G1073" s="83" t="s">
        <v>316</v>
      </c>
      <c r="H1073" s="83" t="s">
        <v>317</v>
      </c>
      <c r="I1073" s="83"/>
      <c r="J1073" s="83" t="s">
        <v>279</v>
      </c>
      <c r="K1073" s="83">
        <v>1</v>
      </c>
      <c r="L1073" s="83" t="s">
        <v>129</v>
      </c>
      <c r="M1073" s="83">
        <f>ROUNDDOWN(VLOOKUP(J1073,Sheet1!$N$32:$O$37,2,0)*1000,0)</f>
        <v>60</v>
      </c>
      <c r="N1073" s="83"/>
      <c r="O1073" s="83">
        <f t="shared" si="107"/>
        <v>0.000657138163298834</v>
      </c>
      <c r="P1073" s="83">
        <v>11019</v>
      </c>
    </row>
    <row r="1074" spans="1:16">
      <c r="A1074" s="82">
        <v>1072</v>
      </c>
      <c r="B1074" s="83">
        <v>11200</v>
      </c>
      <c r="C1074" s="83">
        <v>6</v>
      </c>
      <c r="D1074" s="83">
        <f t="shared" si="106"/>
        <v>90037</v>
      </c>
      <c r="E1074" s="83">
        <f t="shared" si="104"/>
        <v>90097</v>
      </c>
      <c r="F1074" s="83"/>
      <c r="G1074" s="83" t="s">
        <v>318</v>
      </c>
      <c r="H1074" s="83" t="s">
        <v>319</v>
      </c>
      <c r="I1074" s="83"/>
      <c r="J1074" s="83" t="s">
        <v>279</v>
      </c>
      <c r="K1074" s="83">
        <v>1</v>
      </c>
      <c r="L1074" s="83" t="s">
        <v>129</v>
      </c>
      <c r="M1074" s="83">
        <f>ROUNDDOWN(VLOOKUP(J1074,Sheet1!$N$32:$O$37,2,0)*1000,0)</f>
        <v>60</v>
      </c>
      <c r="N1074" s="83"/>
      <c r="O1074" s="83">
        <f t="shared" si="107"/>
        <v>0.000657138163298834</v>
      </c>
      <c r="P1074" s="83">
        <v>11020</v>
      </c>
    </row>
    <row r="1075" spans="1:16">
      <c r="A1075" s="82">
        <v>1073</v>
      </c>
      <c r="B1075" s="83">
        <v>11200</v>
      </c>
      <c r="C1075" s="83">
        <v>6</v>
      </c>
      <c r="D1075" s="83">
        <f t="shared" si="106"/>
        <v>90097</v>
      </c>
      <c r="E1075" s="83">
        <f t="shared" si="104"/>
        <v>90157</v>
      </c>
      <c r="F1075" s="83"/>
      <c r="G1075" s="83" t="s">
        <v>320</v>
      </c>
      <c r="H1075" s="83" t="s">
        <v>321</v>
      </c>
      <c r="I1075" s="83"/>
      <c r="J1075" s="83" t="s">
        <v>279</v>
      </c>
      <c r="K1075" s="83">
        <v>1</v>
      </c>
      <c r="L1075" s="83" t="s">
        <v>129</v>
      </c>
      <c r="M1075" s="83">
        <f>ROUNDDOWN(VLOOKUP(J1075,Sheet1!$N$32:$O$37,2,0)*1000,0)</f>
        <v>60</v>
      </c>
      <c r="N1075" s="83"/>
      <c r="O1075" s="83">
        <f t="shared" si="107"/>
        <v>0.000657138163298834</v>
      </c>
      <c r="P1075" s="83">
        <v>11021</v>
      </c>
    </row>
    <row r="1076" spans="1:16">
      <c r="A1076" s="82">
        <v>1074</v>
      </c>
      <c r="B1076" s="83">
        <v>11200</v>
      </c>
      <c r="C1076" s="83">
        <v>6</v>
      </c>
      <c r="D1076" s="83">
        <f t="shared" si="106"/>
        <v>90157</v>
      </c>
      <c r="E1076" s="83">
        <f t="shared" si="104"/>
        <v>90217</v>
      </c>
      <c r="F1076" s="83"/>
      <c r="G1076" s="83" t="s">
        <v>322</v>
      </c>
      <c r="H1076" s="83" t="s">
        <v>323</v>
      </c>
      <c r="I1076" s="83"/>
      <c r="J1076" s="83" t="s">
        <v>279</v>
      </c>
      <c r="K1076" s="83">
        <v>1</v>
      </c>
      <c r="L1076" s="83" t="s">
        <v>129</v>
      </c>
      <c r="M1076" s="83">
        <f>ROUNDDOWN(VLOOKUP(J1076,Sheet1!$N$32:$O$37,2,0)*1000,0)</f>
        <v>60</v>
      </c>
      <c r="N1076" s="83"/>
      <c r="O1076" s="83">
        <f t="shared" si="107"/>
        <v>0.000657138163298834</v>
      </c>
      <c r="P1076" s="83">
        <v>11022</v>
      </c>
    </row>
    <row r="1077" spans="1:16">
      <c r="A1077" s="82">
        <v>1075</v>
      </c>
      <c r="B1077" s="83">
        <v>11200</v>
      </c>
      <c r="C1077" s="83">
        <v>6</v>
      </c>
      <c r="D1077" s="83">
        <f t="shared" si="106"/>
        <v>90217</v>
      </c>
      <c r="E1077" s="83">
        <f t="shared" si="104"/>
        <v>90277</v>
      </c>
      <c r="F1077" s="83"/>
      <c r="G1077" s="83" t="s">
        <v>324</v>
      </c>
      <c r="H1077" s="83" t="s">
        <v>325</v>
      </c>
      <c r="I1077" s="83"/>
      <c r="J1077" s="83" t="s">
        <v>279</v>
      </c>
      <c r="K1077" s="83">
        <v>1</v>
      </c>
      <c r="L1077" s="83" t="s">
        <v>129</v>
      </c>
      <c r="M1077" s="83">
        <f>ROUNDDOWN(VLOOKUP(J1077,Sheet1!$N$32:$O$37,2,0)*1000,0)</f>
        <v>60</v>
      </c>
      <c r="N1077" s="83"/>
      <c r="O1077" s="83">
        <f t="shared" si="107"/>
        <v>0.000657138163298834</v>
      </c>
      <c r="P1077" s="83">
        <v>11023</v>
      </c>
    </row>
    <row r="1078" spans="1:16">
      <c r="A1078" s="82">
        <v>1076</v>
      </c>
      <c r="B1078" s="83">
        <v>11200</v>
      </c>
      <c r="C1078" s="83">
        <v>6</v>
      </c>
      <c r="D1078" s="83">
        <f t="shared" si="106"/>
        <v>90277</v>
      </c>
      <c r="E1078" s="83">
        <f t="shared" ref="E1078:E1137" si="108">D1078+M1078</f>
        <v>90337</v>
      </c>
      <c r="F1078" s="83"/>
      <c r="G1078" s="83" t="s">
        <v>326</v>
      </c>
      <c r="H1078" s="83" t="s">
        <v>327</v>
      </c>
      <c r="I1078" s="83"/>
      <c r="J1078" s="83" t="s">
        <v>279</v>
      </c>
      <c r="K1078" s="83">
        <v>1</v>
      </c>
      <c r="L1078" s="83" t="s">
        <v>129</v>
      </c>
      <c r="M1078" s="83">
        <f>ROUNDDOWN(VLOOKUP(J1078,Sheet1!$N$32:$O$37,2,0)*1000,0)</f>
        <v>60</v>
      </c>
      <c r="N1078" s="83"/>
      <c r="O1078" s="83">
        <f t="shared" si="107"/>
        <v>0.000657138163298834</v>
      </c>
      <c r="P1078" s="83">
        <v>11024</v>
      </c>
    </row>
    <row r="1079" spans="1:16">
      <c r="A1079" s="82">
        <v>1077</v>
      </c>
      <c r="B1079" s="83">
        <v>11200</v>
      </c>
      <c r="C1079" s="83">
        <v>6</v>
      </c>
      <c r="D1079" s="83">
        <f t="shared" si="106"/>
        <v>90337</v>
      </c>
      <c r="E1079" s="83">
        <f t="shared" si="108"/>
        <v>90397</v>
      </c>
      <c r="F1079" s="83"/>
      <c r="G1079" s="83" t="s">
        <v>328</v>
      </c>
      <c r="H1079" s="83" t="s">
        <v>329</v>
      </c>
      <c r="I1079" s="83"/>
      <c r="J1079" s="83" t="s">
        <v>279</v>
      </c>
      <c r="K1079" s="83">
        <v>1</v>
      </c>
      <c r="L1079" s="83" t="s">
        <v>129</v>
      </c>
      <c r="M1079" s="83">
        <f>ROUNDDOWN(VLOOKUP(J1079,Sheet1!$N$32:$O$37,2,0)*1000,0)</f>
        <v>60</v>
      </c>
      <c r="N1079" s="83"/>
      <c r="O1079" s="83">
        <f t="shared" si="107"/>
        <v>0.000657138163298834</v>
      </c>
      <c r="P1079" s="83">
        <v>11025</v>
      </c>
    </row>
    <row r="1080" spans="1:16">
      <c r="A1080" s="82">
        <v>1078</v>
      </c>
      <c r="B1080" s="83">
        <v>11200</v>
      </c>
      <c r="C1080" s="83">
        <v>6</v>
      </c>
      <c r="D1080" s="83">
        <f t="shared" si="106"/>
        <v>90397</v>
      </c>
      <c r="E1080" s="83">
        <f t="shared" si="108"/>
        <v>90457</v>
      </c>
      <c r="F1080" s="83"/>
      <c r="G1080" s="83" t="s">
        <v>330</v>
      </c>
      <c r="H1080" s="83" t="s">
        <v>331</v>
      </c>
      <c r="I1080" s="83"/>
      <c r="J1080" s="83" t="s">
        <v>279</v>
      </c>
      <c r="K1080" s="83">
        <v>1</v>
      </c>
      <c r="L1080" s="83" t="s">
        <v>129</v>
      </c>
      <c r="M1080" s="83">
        <f>ROUNDDOWN(VLOOKUP(J1080,Sheet1!$N$32:$O$37,2,0)*1000,0)</f>
        <v>60</v>
      </c>
      <c r="N1080" s="83"/>
      <c r="O1080" s="83">
        <f t="shared" si="107"/>
        <v>0.000657138163298834</v>
      </c>
      <c r="P1080" s="83">
        <v>11026</v>
      </c>
    </row>
    <row r="1081" spans="1:16">
      <c r="A1081" s="82">
        <v>1079</v>
      </c>
      <c r="B1081" s="83">
        <v>11200</v>
      </c>
      <c r="C1081" s="83">
        <v>6</v>
      </c>
      <c r="D1081" s="83">
        <f t="shared" si="106"/>
        <v>90457</v>
      </c>
      <c r="E1081" s="83">
        <f t="shared" si="108"/>
        <v>90517</v>
      </c>
      <c r="F1081" s="83"/>
      <c r="G1081" s="83" t="s">
        <v>332</v>
      </c>
      <c r="H1081" s="83" t="s">
        <v>333</v>
      </c>
      <c r="I1081" s="83"/>
      <c r="J1081" s="83" t="s">
        <v>279</v>
      </c>
      <c r="K1081" s="83">
        <v>1</v>
      </c>
      <c r="L1081" s="83" t="s">
        <v>129</v>
      </c>
      <c r="M1081" s="83">
        <f>ROUNDDOWN(VLOOKUP(J1081,Sheet1!$N$32:$O$37,2,0)*1000,0)</f>
        <v>60</v>
      </c>
      <c r="N1081" s="83"/>
      <c r="O1081" s="83">
        <f t="shared" si="107"/>
        <v>0.000657138163298834</v>
      </c>
      <c r="P1081" s="83">
        <v>11027</v>
      </c>
    </row>
    <row r="1082" spans="1:16">
      <c r="A1082" s="82">
        <v>1080</v>
      </c>
      <c r="B1082" s="83">
        <v>11200</v>
      </c>
      <c r="C1082" s="83">
        <v>6</v>
      </c>
      <c r="D1082" s="83">
        <f t="shared" si="106"/>
        <v>90517</v>
      </c>
      <c r="E1082" s="83">
        <f t="shared" si="108"/>
        <v>90577</v>
      </c>
      <c r="F1082" s="83"/>
      <c r="G1082" s="83" t="s">
        <v>334</v>
      </c>
      <c r="H1082" s="83" t="s">
        <v>335</v>
      </c>
      <c r="I1082" s="83"/>
      <c r="J1082" s="83" t="s">
        <v>279</v>
      </c>
      <c r="K1082" s="83">
        <v>1</v>
      </c>
      <c r="L1082" s="83" t="s">
        <v>129</v>
      </c>
      <c r="M1082" s="83">
        <f>ROUNDDOWN(VLOOKUP(J1082,Sheet1!$N$32:$O$37,2,0)*1000,0)</f>
        <v>60</v>
      </c>
      <c r="N1082" s="83"/>
      <c r="O1082" s="83">
        <f t="shared" ref="O1082:O1092" si="109">(E1082-D1082)/$E$1137</f>
        <v>0.000657138163298834</v>
      </c>
      <c r="P1082" s="83">
        <v>11028</v>
      </c>
    </row>
    <row r="1083" spans="1:16">
      <c r="A1083" s="82">
        <v>1081</v>
      </c>
      <c r="B1083" s="83">
        <v>11200</v>
      </c>
      <c r="C1083" s="83">
        <v>6</v>
      </c>
      <c r="D1083" s="83">
        <f t="shared" si="106"/>
        <v>90577</v>
      </c>
      <c r="E1083" s="83">
        <f t="shared" si="108"/>
        <v>90637</v>
      </c>
      <c r="F1083" s="83"/>
      <c r="G1083" s="83" t="s">
        <v>336</v>
      </c>
      <c r="H1083" s="83" t="s">
        <v>337</v>
      </c>
      <c r="I1083" s="83"/>
      <c r="J1083" s="83" t="s">
        <v>279</v>
      </c>
      <c r="K1083" s="83">
        <v>1</v>
      </c>
      <c r="L1083" s="83" t="s">
        <v>129</v>
      </c>
      <c r="M1083" s="83">
        <f>ROUNDDOWN(VLOOKUP(J1083,Sheet1!$N$32:$O$37,2,0)*1000,0)</f>
        <v>60</v>
      </c>
      <c r="N1083" s="83"/>
      <c r="O1083" s="83">
        <f t="shared" si="109"/>
        <v>0.000657138163298834</v>
      </c>
      <c r="P1083" s="83">
        <v>11029</v>
      </c>
    </row>
    <row r="1084" spans="1:16">
      <c r="A1084" s="82">
        <v>1082</v>
      </c>
      <c r="B1084" s="83">
        <v>11200</v>
      </c>
      <c r="C1084" s="83">
        <v>6</v>
      </c>
      <c r="D1084" s="83">
        <f t="shared" si="106"/>
        <v>90637</v>
      </c>
      <c r="E1084" s="83">
        <f t="shared" si="108"/>
        <v>90697</v>
      </c>
      <c r="F1084" s="83"/>
      <c r="G1084" s="83" t="s">
        <v>338</v>
      </c>
      <c r="H1084" s="83" t="s">
        <v>339</v>
      </c>
      <c r="I1084" s="83"/>
      <c r="J1084" s="83" t="s">
        <v>279</v>
      </c>
      <c r="K1084" s="83">
        <v>1</v>
      </c>
      <c r="L1084" s="83" t="s">
        <v>129</v>
      </c>
      <c r="M1084" s="83">
        <f>ROUNDDOWN(VLOOKUP(J1084,Sheet1!$N$32:$O$37,2,0)*1000,0)</f>
        <v>60</v>
      </c>
      <c r="N1084" s="83"/>
      <c r="O1084" s="83">
        <f t="shared" si="109"/>
        <v>0.000657138163298834</v>
      </c>
      <c r="P1084" s="83">
        <v>11030</v>
      </c>
    </row>
    <row r="1085" spans="1:16">
      <c r="A1085" s="82">
        <v>1083</v>
      </c>
      <c r="B1085" s="83">
        <v>11200</v>
      </c>
      <c r="C1085" s="83">
        <v>6</v>
      </c>
      <c r="D1085" s="83">
        <f t="shared" si="106"/>
        <v>90697</v>
      </c>
      <c r="E1085" s="83">
        <f t="shared" si="108"/>
        <v>90757</v>
      </c>
      <c r="F1085" s="83"/>
      <c r="G1085" s="83" t="s">
        <v>340</v>
      </c>
      <c r="H1085" s="83" t="s">
        <v>341</v>
      </c>
      <c r="I1085" s="83"/>
      <c r="J1085" s="83" t="s">
        <v>279</v>
      </c>
      <c r="K1085" s="83">
        <v>1</v>
      </c>
      <c r="L1085" s="83" t="s">
        <v>129</v>
      </c>
      <c r="M1085" s="83">
        <f>ROUNDDOWN(VLOOKUP(J1085,Sheet1!$N$32:$O$37,2,0)*1000,0)</f>
        <v>60</v>
      </c>
      <c r="N1085" s="83"/>
      <c r="O1085" s="83">
        <f t="shared" si="109"/>
        <v>0.000657138163298834</v>
      </c>
      <c r="P1085" s="83">
        <v>11031</v>
      </c>
    </row>
    <row r="1086" spans="1:16">
      <c r="A1086" s="82">
        <v>1084</v>
      </c>
      <c r="B1086" s="83">
        <v>11200</v>
      </c>
      <c r="C1086" s="83">
        <v>6</v>
      </c>
      <c r="D1086" s="83">
        <f t="shared" si="106"/>
        <v>90757</v>
      </c>
      <c r="E1086" s="83">
        <f t="shared" si="108"/>
        <v>90817</v>
      </c>
      <c r="F1086" s="83"/>
      <c r="G1086" s="83" t="s">
        <v>342</v>
      </c>
      <c r="H1086" s="83" t="s">
        <v>343</v>
      </c>
      <c r="I1086" s="83"/>
      <c r="J1086" s="83" t="s">
        <v>279</v>
      </c>
      <c r="K1086" s="83">
        <v>1</v>
      </c>
      <c r="L1086" s="83" t="s">
        <v>129</v>
      </c>
      <c r="M1086" s="83">
        <f>ROUNDDOWN(VLOOKUP(J1086,Sheet1!$N$32:$O$37,2,0)*1000,0)</f>
        <v>60</v>
      </c>
      <c r="N1086" s="83"/>
      <c r="O1086" s="83">
        <f t="shared" si="109"/>
        <v>0.000657138163298834</v>
      </c>
      <c r="P1086" s="83">
        <v>11032</v>
      </c>
    </row>
    <row r="1087" spans="1:16">
      <c r="A1087" s="82">
        <v>1085</v>
      </c>
      <c r="B1087" s="83">
        <v>11200</v>
      </c>
      <c r="C1087" s="83">
        <v>6</v>
      </c>
      <c r="D1087" s="83">
        <f t="shared" si="106"/>
        <v>90817</v>
      </c>
      <c r="E1087" s="83">
        <f t="shared" si="108"/>
        <v>90877</v>
      </c>
      <c r="F1087" s="83"/>
      <c r="G1087" s="83" t="s">
        <v>344</v>
      </c>
      <c r="H1087" s="83" t="s">
        <v>345</v>
      </c>
      <c r="I1087" s="83"/>
      <c r="J1087" s="83" t="s">
        <v>279</v>
      </c>
      <c r="K1087" s="83">
        <v>1</v>
      </c>
      <c r="L1087" s="83" t="s">
        <v>129</v>
      </c>
      <c r="M1087" s="83">
        <f>ROUNDDOWN(VLOOKUP(J1087,Sheet1!$N$32:$O$37,2,0)*1000,0)</f>
        <v>60</v>
      </c>
      <c r="N1087" s="83"/>
      <c r="O1087" s="83">
        <f t="shared" si="109"/>
        <v>0.000657138163298834</v>
      </c>
      <c r="P1087" s="83">
        <v>11033</v>
      </c>
    </row>
    <row r="1088" spans="1:16">
      <c r="A1088" s="82">
        <v>1086</v>
      </c>
      <c r="B1088" s="83">
        <v>11200</v>
      </c>
      <c r="C1088" s="83">
        <v>6</v>
      </c>
      <c r="D1088" s="83">
        <f t="shared" si="106"/>
        <v>90877</v>
      </c>
      <c r="E1088" s="83">
        <f t="shared" si="108"/>
        <v>90937</v>
      </c>
      <c r="F1088" s="83"/>
      <c r="G1088" s="83" t="s">
        <v>346</v>
      </c>
      <c r="H1088" s="83" t="s">
        <v>347</v>
      </c>
      <c r="I1088" s="83"/>
      <c r="J1088" s="83" t="s">
        <v>279</v>
      </c>
      <c r="K1088" s="83">
        <v>1</v>
      </c>
      <c r="L1088" s="83" t="s">
        <v>129</v>
      </c>
      <c r="M1088" s="83">
        <f>ROUNDDOWN(VLOOKUP(J1088,Sheet1!$N$32:$O$37,2,0)*1000,0)</f>
        <v>60</v>
      </c>
      <c r="N1088" s="83"/>
      <c r="O1088" s="83">
        <f t="shared" si="109"/>
        <v>0.000657138163298834</v>
      </c>
      <c r="P1088" s="83">
        <v>11034</v>
      </c>
    </row>
    <row r="1089" spans="1:16">
      <c r="A1089" s="82">
        <v>1087</v>
      </c>
      <c r="B1089" s="83">
        <v>11200</v>
      </c>
      <c r="C1089" s="83">
        <v>6</v>
      </c>
      <c r="D1089" s="83">
        <f t="shared" si="106"/>
        <v>90937</v>
      </c>
      <c r="E1089" s="83">
        <f t="shared" si="108"/>
        <v>90997</v>
      </c>
      <c r="F1089" s="83"/>
      <c r="G1089" s="83" t="s">
        <v>348</v>
      </c>
      <c r="H1089" s="83" t="s">
        <v>349</v>
      </c>
      <c r="I1089" s="83"/>
      <c r="J1089" s="83" t="s">
        <v>279</v>
      </c>
      <c r="K1089" s="83">
        <v>1</v>
      </c>
      <c r="L1089" s="83" t="s">
        <v>129</v>
      </c>
      <c r="M1089" s="83">
        <f>ROUNDDOWN(VLOOKUP(J1089,Sheet1!$N$32:$O$37,2,0)*1000,0)</f>
        <v>60</v>
      </c>
      <c r="N1089" s="83"/>
      <c r="O1089" s="83">
        <f t="shared" si="109"/>
        <v>0.000657138163298834</v>
      </c>
      <c r="P1089" s="83">
        <v>11035</v>
      </c>
    </row>
    <row r="1090" spans="1:16">
      <c r="A1090" s="82">
        <v>1088</v>
      </c>
      <c r="B1090" s="83">
        <v>11200</v>
      </c>
      <c r="C1090" s="83">
        <v>6</v>
      </c>
      <c r="D1090" s="83">
        <f t="shared" si="106"/>
        <v>90997</v>
      </c>
      <c r="E1090" s="83">
        <f t="shared" si="108"/>
        <v>91057</v>
      </c>
      <c r="F1090" s="83"/>
      <c r="G1090" s="83" t="s">
        <v>350</v>
      </c>
      <c r="H1090" s="83" t="s">
        <v>351</v>
      </c>
      <c r="I1090" s="83"/>
      <c r="J1090" s="83" t="s">
        <v>279</v>
      </c>
      <c r="K1090" s="83">
        <v>1</v>
      </c>
      <c r="L1090" s="83" t="s">
        <v>129</v>
      </c>
      <c r="M1090" s="83">
        <f>ROUNDDOWN(VLOOKUP(J1090,Sheet1!$N$32:$O$37,2,0)*1000,0)</f>
        <v>60</v>
      </c>
      <c r="N1090" s="83"/>
      <c r="O1090" s="83">
        <f t="shared" si="109"/>
        <v>0.000657138163298834</v>
      </c>
      <c r="P1090" s="83">
        <v>11036</v>
      </c>
    </row>
    <row r="1091" spans="1:16">
      <c r="A1091" s="82">
        <v>1089</v>
      </c>
      <c r="B1091" s="83">
        <v>11200</v>
      </c>
      <c r="C1091" s="83">
        <v>6</v>
      </c>
      <c r="D1091" s="83">
        <f t="shared" si="106"/>
        <v>91057</v>
      </c>
      <c r="E1091" s="83">
        <f t="shared" si="108"/>
        <v>91117</v>
      </c>
      <c r="F1091" s="83"/>
      <c r="G1091" s="83" t="s">
        <v>352</v>
      </c>
      <c r="H1091" s="83" t="s">
        <v>353</v>
      </c>
      <c r="I1091" s="83"/>
      <c r="J1091" s="83" t="s">
        <v>279</v>
      </c>
      <c r="K1091" s="83">
        <v>1</v>
      </c>
      <c r="L1091" s="83" t="s">
        <v>129</v>
      </c>
      <c r="M1091" s="83">
        <f>ROUNDDOWN(VLOOKUP(J1091,Sheet1!$N$32:$O$37,2,0)*1000,0)</f>
        <v>60</v>
      </c>
      <c r="N1091" s="83"/>
      <c r="O1091" s="83">
        <f t="shared" si="109"/>
        <v>0.000657138163298834</v>
      </c>
      <c r="P1091" s="83">
        <v>11037</v>
      </c>
    </row>
    <row r="1092" spans="1:16">
      <c r="A1092" s="82">
        <v>1090</v>
      </c>
      <c r="B1092" s="83">
        <v>11200</v>
      </c>
      <c r="C1092" s="83">
        <v>6</v>
      </c>
      <c r="D1092" s="83">
        <f t="shared" si="106"/>
        <v>91117</v>
      </c>
      <c r="E1092" s="83">
        <f t="shared" si="108"/>
        <v>91177</v>
      </c>
      <c r="F1092" s="83"/>
      <c r="G1092" s="83" t="s">
        <v>354</v>
      </c>
      <c r="H1092" s="83" t="s">
        <v>355</v>
      </c>
      <c r="I1092" s="83"/>
      <c r="J1092" s="83" t="s">
        <v>279</v>
      </c>
      <c r="K1092" s="83">
        <v>1</v>
      </c>
      <c r="L1092" s="83" t="s">
        <v>129</v>
      </c>
      <c r="M1092" s="83">
        <f>ROUNDDOWN(VLOOKUP(J1092,Sheet1!$N$32:$O$37,2,0)*1000,0)</f>
        <v>60</v>
      </c>
      <c r="N1092" s="83"/>
      <c r="O1092" s="83">
        <f t="shared" si="109"/>
        <v>0.000657138163298834</v>
      </c>
      <c r="P1092" s="83">
        <v>11038</v>
      </c>
    </row>
    <row r="1093" s="66" customFormat="1" spans="1:16">
      <c r="A1093" s="70">
        <v>1091</v>
      </c>
      <c r="B1093" s="83">
        <v>11200</v>
      </c>
      <c r="C1093" s="83">
        <v>6</v>
      </c>
      <c r="D1093" s="83">
        <f t="shared" si="106"/>
        <v>91177</v>
      </c>
      <c r="E1093" s="83">
        <f t="shared" si="108"/>
        <v>91237</v>
      </c>
      <c r="F1093" s="83"/>
      <c r="G1093" s="83" t="s">
        <v>277</v>
      </c>
      <c r="H1093" s="83" t="s">
        <v>356</v>
      </c>
      <c r="I1093" s="83"/>
      <c r="J1093" s="83" t="s">
        <v>279</v>
      </c>
      <c r="K1093" s="83">
        <v>1</v>
      </c>
      <c r="L1093" s="83" t="s">
        <v>129</v>
      </c>
      <c r="M1093" s="83">
        <f>ROUNDDOWN(VLOOKUP(J1093,Sheet1!$N$32:$O$37,2,0)*1000,0)</f>
        <v>60</v>
      </c>
      <c r="N1093" s="83"/>
      <c r="O1093" s="83">
        <f t="shared" ref="O1093:O1136" si="110">(E1093-D1093)/$E$438</f>
        <v>0.000659145088819801</v>
      </c>
      <c r="P1093" s="83">
        <v>11000</v>
      </c>
    </row>
    <row r="1094" s="66" customFormat="1" spans="1:16">
      <c r="A1094" s="70">
        <v>1092</v>
      </c>
      <c r="B1094" s="83">
        <v>11200</v>
      </c>
      <c r="C1094" s="83">
        <v>6</v>
      </c>
      <c r="D1094" s="83">
        <f t="shared" si="106"/>
        <v>91237</v>
      </c>
      <c r="E1094" s="83">
        <f t="shared" si="108"/>
        <v>91297</v>
      </c>
      <c r="F1094" s="83"/>
      <c r="G1094" s="83" t="s">
        <v>280</v>
      </c>
      <c r="H1094" s="83" t="s">
        <v>357</v>
      </c>
      <c r="I1094" s="83"/>
      <c r="J1094" s="83" t="s">
        <v>279</v>
      </c>
      <c r="K1094" s="83">
        <v>1</v>
      </c>
      <c r="L1094" s="83" t="s">
        <v>129</v>
      </c>
      <c r="M1094" s="83">
        <f>ROUNDDOWN(VLOOKUP(J1094,Sheet1!$N$32:$O$37,2,0)*1000,0)</f>
        <v>60</v>
      </c>
      <c r="N1094" s="83"/>
      <c r="O1094" s="83">
        <f t="shared" si="110"/>
        <v>0.000659145088819801</v>
      </c>
      <c r="P1094" s="83">
        <v>11001</v>
      </c>
    </row>
    <row r="1095" s="66" customFormat="1" spans="1:16">
      <c r="A1095" s="70">
        <v>1093</v>
      </c>
      <c r="B1095" s="83">
        <v>11200</v>
      </c>
      <c r="C1095" s="83">
        <v>6</v>
      </c>
      <c r="D1095" s="83">
        <f t="shared" si="106"/>
        <v>91297</v>
      </c>
      <c r="E1095" s="83">
        <f t="shared" si="108"/>
        <v>91357</v>
      </c>
      <c r="F1095" s="83"/>
      <c r="G1095" s="83" t="s">
        <v>282</v>
      </c>
      <c r="H1095" s="83" t="s">
        <v>358</v>
      </c>
      <c r="I1095" s="83"/>
      <c r="J1095" s="83" t="s">
        <v>279</v>
      </c>
      <c r="K1095" s="83">
        <v>1</v>
      </c>
      <c r="L1095" s="83" t="s">
        <v>129</v>
      </c>
      <c r="M1095" s="83">
        <f>ROUNDDOWN(VLOOKUP(J1095,Sheet1!$N$32:$O$37,2,0)*1000,0)</f>
        <v>60</v>
      </c>
      <c r="N1095" s="83"/>
      <c r="O1095" s="83">
        <f t="shared" si="110"/>
        <v>0.000659145088819801</v>
      </c>
      <c r="P1095" s="83">
        <v>11002</v>
      </c>
    </row>
    <row r="1096" s="66" customFormat="1" spans="1:16">
      <c r="A1096" s="70">
        <v>1094</v>
      </c>
      <c r="B1096" s="83">
        <v>11200</v>
      </c>
      <c r="C1096" s="83">
        <v>6</v>
      </c>
      <c r="D1096" s="83">
        <f t="shared" si="106"/>
        <v>91357</v>
      </c>
      <c r="E1096" s="83">
        <f t="shared" si="108"/>
        <v>91417</v>
      </c>
      <c r="F1096" s="83"/>
      <c r="G1096" s="83" t="s">
        <v>284</v>
      </c>
      <c r="H1096" s="83" t="s">
        <v>359</v>
      </c>
      <c r="I1096" s="83"/>
      <c r="J1096" s="83" t="s">
        <v>279</v>
      </c>
      <c r="K1096" s="83">
        <v>1</v>
      </c>
      <c r="L1096" s="83" t="s">
        <v>129</v>
      </c>
      <c r="M1096" s="83">
        <f>ROUNDDOWN(VLOOKUP(J1096,Sheet1!$N$32:$O$37,2,0)*1000,0)</f>
        <v>60</v>
      </c>
      <c r="N1096" s="83"/>
      <c r="O1096" s="83">
        <f t="shared" si="110"/>
        <v>0.000659145088819801</v>
      </c>
      <c r="P1096" s="83">
        <v>11003</v>
      </c>
    </row>
    <row r="1097" s="66" customFormat="1" spans="1:16">
      <c r="A1097" s="70">
        <v>1095</v>
      </c>
      <c r="B1097" s="83">
        <v>11200</v>
      </c>
      <c r="C1097" s="83">
        <v>6</v>
      </c>
      <c r="D1097" s="83">
        <f t="shared" si="106"/>
        <v>91417</v>
      </c>
      <c r="E1097" s="83">
        <f t="shared" si="108"/>
        <v>91477</v>
      </c>
      <c r="F1097" s="83"/>
      <c r="G1097" s="83" t="s">
        <v>286</v>
      </c>
      <c r="H1097" s="83" t="s">
        <v>360</v>
      </c>
      <c r="I1097" s="83"/>
      <c r="J1097" s="83" t="s">
        <v>279</v>
      </c>
      <c r="K1097" s="83">
        <v>1</v>
      </c>
      <c r="L1097" s="83" t="s">
        <v>129</v>
      </c>
      <c r="M1097" s="83">
        <f>ROUNDDOWN(VLOOKUP(J1097,Sheet1!$N$32:$O$37,2,0)*1000,0)</f>
        <v>60</v>
      </c>
      <c r="N1097" s="83"/>
      <c r="O1097" s="83">
        <f t="shared" si="110"/>
        <v>0.000659145088819801</v>
      </c>
      <c r="P1097" s="83">
        <v>11004</v>
      </c>
    </row>
    <row r="1098" s="66" customFormat="1" spans="1:16">
      <c r="A1098" s="70">
        <v>1096</v>
      </c>
      <c r="B1098" s="83">
        <v>11200</v>
      </c>
      <c r="C1098" s="83">
        <v>6</v>
      </c>
      <c r="D1098" s="83">
        <f t="shared" si="106"/>
        <v>91477</v>
      </c>
      <c r="E1098" s="83">
        <f t="shared" si="108"/>
        <v>91537</v>
      </c>
      <c r="F1098" s="83"/>
      <c r="G1098" s="83" t="s">
        <v>288</v>
      </c>
      <c r="H1098" s="83" t="s">
        <v>361</v>
      </c>
      <c r="I1098" s="83"/>
      <c r="J1098" s="83" t="s">
        <v>279</v>
      </c>
      <c r="K1098" s="83">
        <v>1</v>
      </c>
      <c r="L1098" s="83" t="s">
        <v>129</v>
      </c>
      <c r="M1098" s="83">
        <f>ROUNDDOWN(VLOOKUP(J1098,Sheet1!$N$32:$O$37,2,0)*1000,0)</f>
        <v>60</v>
      </c>
      <c r="N1098" s="83"/>
      <c r="O1098" s="83">
        <f t="shared" si="110"/>
        <v>0.000659145088819801</v>
      </c>
      <c r="P1098" s="83">
        <v>11005</v>
      </c>
    </row>
    <row r="1099" s="66" customFormat="1" spans="1:16">
      <c r="A1099" s="70">
        <v>1097</v>
      </c>
      <c r="B1099" s="83">
        <v>11200</v>
      </c>
      <c r="C1099" s="83">
        <v>6</v>
      </c>
      <c r="D1099" s="83">
        <f t="shared" si="106"/>
        <v>91537</v>
      </c>
      <c r="E1099" s="83">
        <f t="shared" si="108"/>
        <v>91597</v>
      </c>
      <c r="F1099" s="83"/>
      <c r="G1099" s="83" t="s">
        <v>290</v>
      </c>
      <c r="H1099" s="83" t="s">
        <v>362</v>
      </c>
      <c r="I1099" s="83"/>
      <c r="J1099" s="83" t="s">
        <v>279</v>
      </c>
      <c r="K1099" s="83">
        <v>1</v>
      </c>
      <c r="L1099" s="83" t="s">
        <v>129</v>
      </c>
      <c r="M1099" s="83">
        <f>ROUNDDOWN(VLOOKUP(J1099,Sheet1!$N$32:$O$37,2,0)*1000,0)</f>
        <v>60</v>
      </c>
      <c r="N1099" s="83"/>
      <c r="O1099" s="83">
        <f t="shared" si="110"/>
        <v>0.000659145088819801</v>
      </c>
      <c r="P1099" s="83">
        <v>11006</v>
      </c>
    </row>
    <row r="1100" s="66" customFormat="1" spans="1:16">
      <c r="A1100" s="70">
        <v>1098</v>
      </c>
      <c r="B1100" s="83">
        <v>11200</v>
      </c>
      <c r="C1100" s="83">
        <v>6</v>
      </c>
      <c r="D1100" s="83">
        <f t="shared" si="106"/>
        <v>91597</v>
      </c>
      <c r="E1100" s="83">
        <f t="shared" si="108"/>
        <v>91657</v>
      </c>
      <c r="F1100" s="83"/>
      <c r="G1100" s="83" t="s">
        <v>292</v>
      </c>
      <c r="H1100" s="83" t="s">
        <v>363</v>
      </c>
      <c r="I1100" s="83"/>
      <c r="J1100" s="83" t="s">
        <v>279</v>
      </c>
      <c r="K1100" s="83">
        <v>1</v>
      </c>
      <c r="L1100" s="83" t="s">
        <v>129</v>
      </c>
      <c r="M1100" s="83">
        <f>ROUNDDOWN(VLOOKUP(J1100,Sheet1!$N$32:$O$37,2,0)*1000,0)</f>
        <v>60</v>
      </c>
      <c r="N1100" s="83"/>
      <c r="O1100" s="83">
        <f t="shared" si="110"/>
        <v>0.000659145088819801</v>
      </c>
      <c r="P1100" s="83">
        <v>11007</v>
      </c>
    </row>
    <row r="1101" s="66" customFormat="1" spans="1:16">
      <c r="A1101" s="70">
        <v>1099</v>
      </c>
      <c r="B1101" s="83">
        <v>11200</v>
      </c>
      <c r="C1101" s="83">
        <v>6</v>
      </c>
      <c r="D1101" s="83">
        <f t="shared" si="106"/>
        <v>91657</v>
      </c>
      <c r="E1101" s="83">
        <f t="shared" si="108"/>
        <v>91717</v>
      </c>
      <c r="F1101" s="83"/>
      <c r="G1101" s="83" t="s">
        <v>294</v>
      </c>
      <c r="H1101" s="83" t="s">
        <v>364</v>
      </c>
      <c r="I1101" s="83"/>
      <c r="J1101" s="83" t="s">
        <v>279</v>
      </c>
      <c r="K1101" s="83">
        <v>1</v>
      </c>
      <c r="L1101" s="83" t="s">
        <v>129</v>
      </c>
      <c r="M1101" s="83">
        <f>ROUNDDOWN(VLOOKUP(J1101,Sheet1!$N$32:$O$37,2,0)*1000,0)</f>
        <v>60</v>
      </c>
      <c r="N1101" s="83"/>
      <c r="O1101" s="83">
        <f t="shared" si="110"/>
        <v>0.000659145088819801</v>
      </c>
      <c r="P1101" s="83">
        <v>11008</v>
      </c>
    </row>
    <row r="1102" s="66" customFormat="1" spans="1:16">
      <c r="A1102" s="70">
        <v>1100</v>
      </c>
      <c r="B1102" s="83">
        <v>11200</v>
      </c>
      <c r="C1102" s="83">
        <v>6</v>
      </c>
      <c r="D1102" s="83">
        <f t="shared" si="106"/>
        <v>91717</v>
      </c>
      <c r="E1102" s="83">
        <f t="shared" si="108"/>
        <v>91777</v>
      </c>
      <c r="F1102" s="83"/>
      <c r="G1102" s="83" t="s">
        <v>296</v>
      </c>
      <c r="H1102" s="83" t="s">
        <v>365</v>
      </c>
      <c r="I1102" s="83"/>
      <c r="J1102" s="83" t="s">
        <v>279</v>
      </c>
      <c r="K1102" s="83">
        <v>1</v>
      </c>
      <c r="L1102" s="83" t="s">
        <v>129</v>
      </c>
      <c r="M1102" s="83">
        <f>ROUNDDOWN(VLOOKUP(J1102,Sheet1!$N$32:$O$37,2,0)*1000,0)</f>
        <v>60</v>
      </c>
      <c r="N1102" s="83"/>
      <c r="O1102" s="83">
        <f t="shared" si="110"/>
        <v>0.000659145088819801</v>
      </c>
      <c r="P1102" s="83">
        <v>11009</v>
      </c>
    </row>
    <row r="1103" s="66" customFormat="1" spans="1:16">
      <c r="A1103" s="70">
        <v>1101</v>
      </c>
      <c r="B1103" s="83">
        <v>11200</v>
      </c>
      <c r="C1103" s="83">
        <v>6</v>
      </c>
      <c r="D1103" s="83">
        <f t="shared" si="106"/>
        <v>91777</v>
      </c>
      <c r="E1103" s="83">
        <f t="shared" si="108"/>
        <v>91837</v>
      </c>
      <c r="F1103" s="83"/>
      <c r="G1103" s="83" t="s">
        <v>298</v>
      </c>
      <c r="H1103" s="83" t="s">
        <v>366</v>
      </c>
      <c r="I1103" s="83"/>
      <c r="J1103" s="83" t="s">
        <v>279</v>
      </c>
      <c r="K1103" s="83">
        <v>1</v>
      </c>
      <c r="L1103" s="83" t="s">
        <v>129</v>
      </c>
      <c r="M1103" s="83">
        <f>ROUNDDOWN(VLOOKUP(J1103,Sheet1!$N$32:$O$37,2,0)*1000,0)</f>
        <v>60</v>
      </c>
      <c r="N1103" s="83"/>
      <c r="O1103" s="83">
        <f t="shared" si="110"/>
        <v>0.000659145088819801</v>
      </c>
      <c r="P1103" s="83">
        <v>11010</v>
      </c>
    </row>
    <row r="1104" s="66" customFormat="1" spans="1:16">
      <c r="A1104" s="70">
        <v>1102</v>
      </c>
      <c r="B1104" s="83">
        <v>11200</v>
      </c>
      <c r="C1104" s="83">
        <v>6</v>
      </c>
      <c r="D1104" s="83">
        <f t="shared" si="106"/>
        <v>91837</v>
      </c>
      <c r="E1104" s="83">
        <f t="shared" si="108"/>
        <v>91897</v>
      </c>
      <c r="F1104" s="83"/>
      <c r="G1104" s="83" t="s">
        <v>300</v>
      </c>
      <c r="H1104" s="83" t="s">
        <v>367</v>
      </c>
      <c r="I1104" s="83"/>
      <c r="J1104" s="83" t="s">
        <v>279</v>
      </c>
      <c r="K1104" s="83">
        <v>1</v>
      </c>
      <c r="L1104" s="83" t="s">
        <v>129</v>
      </c>
      <c r="M1104" s="83">
        <f>ROUNDDOWN(VLOOKUP(J1104,Sheet1!$N$32:$O$37,2,0)*1000,0)</f>
        <v>60</v>
      </c>
      <c r="N1104" s="83"/>
      <c r="O1104" s="83">
        <f t="shared" si="110"/>
        <v>0.000659145088819801</v>
      </c>
      <c r="P1104" s="83">
        <v>11011</v>
      </c>
    </row>
    <row r="1105" s="66" customFormat="1" spans="1:16">
      <c r="A1105" s="70">
        <v>1103</v>
      </c>
      <c r="B1105" s="83">
        <v>11200</v>
      </c>
      <c r="C1105" s="83">
        <v>6</v>
      </c>
      <c r="D1105" s="83">
        <f t="shared" si="106"/>
        <v>91897</v>
      </c>
      <c r="E1105" s="83">
        <f t="shared" si="108"/>
        <v>91957</v>
      </c>
      <c r="F1105" s="83"/>
      <c r="G1105" s="83" t="s">
        <v>302</v>
      </c>
      <c r="H1105" s="83" t="s">
        <v>368</v>
      </c>
      <c r="I1105" s="83"/>
      <c r="J1105" s="83" t="s">
        <v>279</v>
      </c>
      <c r="K1105" s="83">
        <v>1</v>
      </c>
      <c r="L1105" s="83" t="s">
        <v>129</v>
      </c>
      <c r="M1105" s="83">
        <f>ROUNDDOWN(VLOOKUP(J1105,Sheet1!$N$32:$O$37,2,0)*1000,0)</f>
        <v>60</v>
      </c>
      <c r="N1105" s="83"/>
      <c r="O1105" s="83">
        <f t="shared" si="110"/>
        <v>0.000659145088819801</v>
      </c>
      <c r="P1105" s="83">
        <v>11012</v>
      </c>
    </row>
    <row r="1106" s="66" customFormat="1" spans="1:16">
      <c r="A1106" s="70">
        <v>1104</v>
      </c>
      <c r="B1106" s="83">
        <v>11200</v>
      </c>
      <c r="C1106" s="83">
        <v>6</v>
      </c>
      <c r="D1106" s="83">
        <f t="shared" si="106"/>
        <v>91957</v>
      </c>
      <c r="E1106" s="83">
        <f t="shared" si="108"/>
        <v>92017</v>
      </c>
      <c r="F1106" s="83"/>
      <c r="G1106" s="83" t="s">
        <v>304</v>
      </c>
      <c r="H1106" s="83" t="s">
        <v>369</v>
      </c>
      <c r="I1106" s="83"/>
      <c r="J1106" s="83" t="s">
        <v>279</v>
      </c>
      <c r="K1106" s="83">
        <v>1</v>
      </c>
      <c r="L1106" s="83" t="s">
        <v>129</v>
      </c>
      <c r="M1106" s="83">
        <f>ROUNDDOWN(VLOOKUP(J1106,Sheet1!$N$32:$O$37,2,0)*1000,0)</f>
        <v>60</v>
      </c>
      <c r="N1106" s="83"/>
      <c r="O1106" s="83">
        <f t="shared" si="110"/>
        <v>0.000659145088819801</v>
      </c>
      <c r="P1106" s="83">
        <v>11013</v>
      </c>
    </row>
    <row r="1107" s="66" customFormat="1" spans="1:16">
      <c r="A1107" s="70">
        <v>1105</v>
      </c>
      <c r="B1107" s="83">
        <v>11200</v>
      </c>
      <c r="C1107" s="83">
        <v>6</v>
      </c>
      <c r="D1107" s="83">
        <f t="shared" si="106"/>
        <v>92017</v>
      </c>
      <c r="E1107" s="83">
        <f t="shared" si="108"/>
        <v>92077</v>
      </c>
      <c r="F1107" s="83"/>
      <c r="G1107" s="83" t="s">
        <v>306</v>
      </c>
      <c r="H1107" s="83" t="s">
        <v>370</v>
      </c>
      <c r="I1107" s="83"/>
      <c r="J1107" s="83" t="s">
        <v>279</v>
      </c>
      <c r="K1107" s="83">
        <v>1</v>
      </c>
      <c r="L1107" s="83" t="s">
        <v>129</v>
      </c>
      <c r="M1107" s="83">
        <f>ROUNDDOWN(VLOOKUP(J1107,Sheet1!$N$32:$O$37,2,0)*1000,0)</f>
        <v>60</v>
      </c>
      <c r="N1107" s="83"/>
      <c r="O1107" s="83">
        <f t="shared" si="110"/>
        <v>0.000659145088819801</v>
      </c>
      <c r="P1107" s="83">
        <v>11014</v>
      </c>
    </row>
    <row r="1108" s="66" customFormat="1" spans="1:16">
      <c r="A1108" s="70">
        <v>1106</v>
      </c>
      <c r="B1108" s="83">
        <v>11200</v>
      </c>
      <c r="C1108" s="83">
        <v>6</v>
      </c>
      <c r="D1108" s="83">
        <f t="shared" si="106"/>
        <v>92077</v>
      </c>
      <c r="E1108" s="83">
        <f t="shared" si="108"/>
        <v>92137</v>
      </c>
      <c r="F1108" s="83"/>
      <c r="G1108" s="83" t="s">
        <v>308</v>
      </c>
      <c r="H1108" s="83" t="s">
        <v>371</v>
      </c>
      <c r="I1108" s="83"/>
      <c r="J1108" s="83" t="s">
        <v>279</v>
      </c>
      <c r="K1108" s="83">
        <v>1</v>
      </c>
      <c r="L1108" s="83" t="s">
        <v>129</v>
      </c>
      <c r="M1108" s="83">
        <f>ROUNDDOWN(VLOOKUP(J1108,Sheet1!$N$32:$O$37,2,0)*1000,0)</f>
        <v>60</v>
      </c>
      <c r="N1108" s="83"/>
      <c r="O1108" s="83">
        <f t="shared" si="110"/>
        <v>0.000659145088819801</v>
      </c>
      <c r="P1108" s="83">
        <v>11015</v>
      </c>
    </row>
    <row r="1109" s="66" customFormat="1" spans="1:16">
      <c r="A1109" s="70">
        <v>1107</v>
      </c>
      <c r="B1109" s="83">
        <v>11200</v>
      </c>
      <c r="C1109" s="83">
        <v>6</v>
      </c>
      <c r="D1109" s="83">
        <f t="shared" si="106"/>
        <v>92137</v>
      </c>
      <c r="E1109" s="83">
        <f t="shared" si="108"/>
        <v>92197</v>
      </c>
      <c r="F1109" s="83"/>
      <c r="G1109" s="83" t="s">
        <v>310</v>
      </c>
      <c r="H1109" s="83" t="s">
        <v>372</v>
      </c>
      <c r="I1109" s="83"/>
      <c r="J1109" s="83" t="s">
        <v>279</v>
      </c>
      <c r="K1109" s="83">
        <v>1</v>
      </c>
      <c r="L1109" s="83" t="s">
        <v>129</v>
      </c>
      <c r="M1109" s="83">
        <f>ROUNDDOWN(VLOOKUP(J1109,Sheet1!$N$32:$O$37,2,0)*1000,0)</f>
        <v>60</v>
      </c>
      <c r="N1109" s="83"/>
      <c r="O1109" s="83">
        <f t="shared" si="110"/>
        <v>0.000659145088819801</v>
      </c>
      <c r="P1109" s="83">
        <v>11016</v>
      </c>
    </row>
    <row r="1110" s="66" customFormat="1" spans="1:16">
      <c r="A1110" s="70">
        <v>1108</v>
      </c>
      <c r="B1110" s="83">
        <v>11200</v>
      </c>
      <c r="C1110" s="83">
        <v>6</v>
      </c>
      <c r="D1110" s="83">
        <f t="shared" si="106"/>
        <v>92197</v>
      </c>
      <c r="E1110" s="83">
        <f t="shared" si="108"/>
        <v>92257</v>
      </c>
      <c r="F1110" s="83"/>
      <c r="G1110" s="83" t="s">
        <v>312</v>
      </c>
      <c r="H1110" s="83" t="s">
        <v>373</v>
      </c>
      <c r="I1110" s="83"/>
      <c r="J1110" s="83" t="s">
        <v>279</v>
      </c>
      <c r="K1110" s="83">
        <v>1</v>
      </c>
      <c r="L1110" s="83" t="s">
        <v>129</v>
      </c>
      <c r="M1110" s="83">
        <f>ROUNDDOWN(VLOOKUP(J1110,Sheet1!$N$32:$O$37,2,0)*1000,0)</f>
        <v>60</v>
      </c>
      <c r="N1110" s="83"/>
      <c r="O1110" s="83">
        <f t="shared" si="110"/>
        <v>0.000659145088819801</v>
      </c>
      <c r="P1110" s="83">
        <v>11017</v>
      </c>
    </row>
    <row r="1111" s="66" customFormat="1" spans="1:16">
      <c r="A1111" s="70">
        <v>1109</v>
      </c>
      <c r="B1111" s="83">
        <v>11200</v>
      </c>
      <c r="C1111" s="83">
        <v>6</v>
      </c>
      <c r="D1111" s="83">
        <f t="shared" si="106"/>
        <v>92257</v>
      </c>
      <c r="E1111" s="83">
        <f t="shared" si="108"/>
        <v>92317</v>
      </c>
      <c r="F1111" s="83"/>
      <c r="G1111" s="83" t="s">
        <v>314</v>
      </c>
      <c r="H1111" s="83" t="s">
        <v>374</v>
      </c>
      <c r="I1111" s="83"/>
      <c r="J1111" s="83" t="s">
        <v>279</v>
      </c>
      <c r="K1111" s="83">
        <v>1</v>
      </c>
      <c r="L1111" s="83" t="s">
        <v>129</v>
      </c>
      <c r="M1111" s="83">
        <f>ROUNDDOWN(VLOOKUP(J1111,Sheet1!$N$32:$O$37,2,0)*1000,0)</f>
        <v>60</v>
      </c>
      <c r="N1111" s="83"/>
      <c r="O1111" s="83">
        <f t="shared" si="110"/>
        <v>0.000659145088819801</v>
      </c>
      <c r="P1111" s="83">
        <v>11018</v>
      </c>
    </row>
    <row r="1112" s="66" customFormat="1" spans="1:16">
      <c r="A1112" s="70">
        <v>1110</v>
      </c>
      <c r="B1112" s="83">
        <v>11200</v>
      </c>
      <c r="C1112" s="83">
        <v>6</v>
      </c>
      <c r="D1112" s="83">
        <f t="shared" si="106"/>
        <v>92317</v>
      </c>
      <c r="E1112" s="83">
        <f t="shared" si="108"/>
        <v>92377</v>
      </c>
      <c r="F1112" s="83"/>
      <c r="G1112" s="83" t="s">
        <v>316</v>
      </c>
      <c r="H1112" s="83" t="s">
        <v>375</v>
      </c>
      <c r="I1112" s="83"/>
      <c r="J1112" s="83" t="s">
        <v>279</v>
      </c>
      <c r="K1112" s="83">
        <v>1</v>
      </c>
      <c r="L1112" s="83" t="s">
        <v>129</v>
      </c>
      <c r="M1112" s="83">
        <f>ROUNDDOWN(VLOOKUP(J1112,Sheet1!$N$32:$O$37,2,0)*1000,0)</f>
        <v>60</v>
      </c>
      <c r="N1112" s="83"/>
      <c r="O1112" s="83">
        <f t="shared" si="110"/>
        <v>0.000659145088819801</v>
      </c>
      <c r="P1112" s="83">
        <v>11019</v>
      </c>
    </row>
    <row r="1113" s="66" customFormat="1" spans="1:16">
      <c r="A1113" s="70">
        <v>1111</v>
      </c>
      <c r="B1113" s="83">
        <v>11200</v>
      </c>
      <c r="C1113" s="83">
        <v>6</v>
      </c>
      <c r="D1113" s="83">
        <f t="shared" ref="D1113:D1136" si="111">E1112</f>
        <v>92377</v>
      </c>
      <c r="E1113" s="83">
        <f t="shared" si="108"/>
        <v>92437</v>
      </c>
      <c r="F1113" s="83"/>
      <c r="G1113" s="83" t="s">
        <v>318</v>
      </c>
      <c r="H1113" s="83" t="s">
        <v>376</v>
      </c>
      <c r="I1113" s="83"/>
      <c r="J1113" s="83" t="s">
        <v>279</v>
      </c>
      <c r="K1113" s="83">
        <v>1</v>
      </c>
      <c r="L1113" s="83" t="s">
        <v>129</v>
      </c>
      <c r="M1113" s="83">
        <f>ROUNDDOWN(VLOOKUP(J1113,Sheet1!$N$32:$O$37,2,0)*1000,0)</f>
        <v>60</v>
      </c>
      <c r="N1113" s="83"/>
      <c r="O1113" s="83">
        <f t="shared" si="110"/>
        <v>0.000659145088819801</v>
      </c>
      <c r="P1113" s="83">
        <v>11020</v>
      </c>
    </row>
    <row r="1114" s="66" customFormat="1" spans="1:16">
      <c r="A1114" s="70">
        <v>1112</v>
      </c>
      <c r="B1114" s="83">
        <v>11200</v>
      </c>
      <c r="C1114" s="83">
        <v>6</v>
      </c>
      <c r="D1114" s="83">
        <f t="shared" si="111"/>
        <v>92437</v>
      </c>
      <c r="E1114" s="83">
        <f t="shared" si="108"/>
        <v>92497</v>
      </c>
      <c r="F1114" s="83"/>
      <c r="G1114" s="83" t="s">
        <v>320</v>
      </c>
      <c r="H1114" s="83" t="s">
        <v>377</v>
      </c>
      <c r="I1114" s="83"/>
      <c r="J1114" s="83" t="s">
        <v>279</v>
      </c>
      <c r="K1114" s="83">
        <v>1</v>
      </c>
      <c r="L1114" s="83" t="s">
        <v>129</v>
      </c>
      <c r="M1114" s="83">
        <f>ROUNDDOWN(VLOOKUP(J1114,Sheet1!$N$32:$O$37,2,0)*1000,0)</f>
        <v>60</v>
      </c>
      <c r="N1114" s="83"/>
      <c r="O1114" s="83">
        <f t="shared" si="110"/>
        <v>0.000659145088819801</v>
      </c>
      <c r="P1114" s="83">
        <v>11021</v>
      </c>
    </row>
    <row r="1115" s="66" customFormat="1" spans="1:16">
      <c r="A1115" s="70">
        <v>1113</v>
      </c>
      <c r="B1115" s="83">
        <v>11200</v>
      </c>
      <c r="C1115" s="83">
        <v>6</v>
      </c>
      <c r="D1115" s="83">
        <f t="shared" si="111"/>
        <v>92497</v>
      </c>
      <c r="E1115" s="83">
        <f t="shared" si="108"/>
        <v>92557</v>
      </c>
      <c r="F1115" s="83"/>
      <c r="G1115" s="83" t="s">
        <v>322</v>
      </c>
      <c r="H1115" s="83" t="s">
        <v>378</v>
      </c>
      <c r="I1115" s="83"/>
      <c r="J1115" s="83" t="s">
        <v>279</v>
      </c>
      <c r="K1115" s="83">
        <v>1</v>
      </c>
      <c r="L1115" s="83" t="s">
        <v>129</v>
      </c>
      <c r="M1115" s="83">
        <f>ROUNDDOWN(VLOOKUP(J1115,Sheet1!$N$32:$O$37,2,0)*1000,0)</f>
        <v>60</v>
      </c>
      <c r="N1115" s="83"/>
      <c r="O1115" s="83">
        <f t="shared" si="110"/>
        <v>0.000659145088819801</v>
      </c>
      <c r="P1115" s="83">
        <v>11022</v>
      </c>
    </row>
    <row r="1116" s="66" customFormat="1" spans="1:16">
      <c r="A1116" s="70">
        <v>1114</v>
      </c>
      <c r="B1116" s="83">
        <v>11200</v>
      </c>
      <c r="C1116" s="83">
        <v>6</v>
      </c>
      <c r="D1116" s="83">
        <f t="shared" si="111"/>
        <v>92557</v>
      </c>
      <c r="E1116" s="83">
        <f t="shared" si="108"/>
        <v>92617</v>
      </c>
      <c r="F1116" s="83"/>
      <c r="G1116" s="83" t="s">
        <v>324</v>
      </c>
      <c r="H1116" s="83" t="s">
        <v>379</v>
      </c>
      <c r="I1116" s="83"/>
      <c r="J1116" s="83" t="s">
        <v>279</v>
      </c>
      <c r="K1116" s="83">
        <v>1</v>
      </c>
      <c r="L1116" s="83" t="s">
        <v>129</v>
      </c>
      <c r="M1116" s="83">
        <f>ROUNDDOWN(VLOOKUP(J1116,Sheet1!$N$32:$O$37,2,0)*1000,0)</f>
        <v>60</v>
      </c>
      <c r="N1116" s="83"/>
      <c r="O1116" s="83">
        <f t="shared" si="110"/>
        <v>0.000659145088819801</v>
      </c>
      <c r="P1116" s="83">
        <v>11023</v>
      </c>
    </row>
    <row r="1117" s="66" customFormat="1" spans="1:16">
      <c r="A1117" s="70">
        <v>1115</v>
      </c>
      <c r="B1117" s="83">
        <v>11200</v>
      </c>
      <c r="C1117" s="83">
        <v>6</v>
      </c>
      <c r="D1117" s="83">
        <f t="shared" si="111"/>
        <v>92617</v>
      </c>
      <c r="E1117" s="83">
        <f t="shared" si="108"/>
        <v>92677</v>
      </c>
      <c r="F1117" s="83"/>
      <c r="G1117" s="83" t="s">
        <v>326</v>
      </c>
      <c r="H1117" s="83" t="s">
        <v>380</v>
      </c>
      <c r="I1117" s="83"/>
      <c r="J1117" s="83" t="s">
        <v>279</v>
      </c>
      <c r="K1117" s="83">
        <v>1</v>
      </c>
      <c r="L1117" s="83" t="s">
        <v>129</v>
      </c>
      <c r="M1117" s="83">
        <f>ROUNDDOWN(VLOOKUP(J1117,Sheet1!$N$32:$O$37,2,0)*1000,0)</f>
        <v>60</v>
      </c>
      <c r="N1117" s="83"/>
      <c r="O1117" s="83">
        <f t="shared" si="110"/>
        <v>0.000659145088819801</v>
      </c>
      <c r="P1117" s="83">
        <v>11024</v>
      </c>
    </row>
    <row r="1118" s="66" customFormat="1" spans="1:16">
      <c r="A1118" s="70">
        <v>1116</v>
      </c>
      <c r="B1118" s="83">
        <v>11200</v>
      </c>
      <c r="C1118" s="83">
        <v>6</v>
      </c>
      <c r="D1118" s="83">
        <f t="shared" si="111"/>
        <v>92677</v>
      </c>
      <c r="E1118" s="83">
        <f t="shared" si="108"/>
        <v>92737</v>
      </c>
      <c r="F1118" s="83"/>
      <c r="G1118" s="83" t="s">
        <v>328</v>
      </c>
      <c r="H1118" s="83" t="s">
        <v>381</v>
      </c>
      <c r="I1118" s="83"/>
      <c r="J1118" s="83" t="s">
        <v>279</v>
      </c>
      <c r="K1118" s="83">
        <v>1</v>
      </c>
      <c r="L1118" s="83" t="s">
        <v>129</v>
      </c>
      <c r="M1118" s="83">
        <f>ROUNDDOWN(VLOOKUP(J1118,Sheet1!$N$32:$O$37,2,0)*1000,0)</f>
        <v>60</v>
      </c>
      <c r="N1118" s="83"/>
      <c r="O1118" s="83">
        <f t="shared" si="110"/>
        <v>0.000659145088819801</v>
      </c>
      <c r="P1118" s="83">
        <v>11025</v>
      </c>
    </row>
    <row r="1119" s="66" customFormat="1" spans="1:16">
      <c r="A1119" s="70">
        <v>1117</v>
      </c>
      <c r="B1119" s="83">
        <v>11200</v>
      </c>
      <c r="C1119" s="83">
        <v>6</v>
      </c>
      <c r="D1119" s="83">
        <f t="shared" si="111"/>
        <v>92737</v>
      </c>
      <c r="E1119" s="83">
        <f t="shared" si="108"/>
        <v>92797</v>
      </c>
      <c r="F1119" s="83"/>
      <c r="G1119" s="83" t="s">
        <v>330</v>
      </c>
      <c r="H1119" s="83" t="s">
        <v>382</v>
      </c>
      <c r="I1119" s="83"/>
      <c r="J1119" s="83" t="s">
        <v>279</v>
      </c>
      <c r="K1119" s="83">
        <v>1</v>
      </c>
      <c r="L1119" s="83" t="s">
        <v>129</v>
      </c>
      <c r="M1119" s="83">
        <f>ROUNDDOWN(VLOOKUP(J1119,Sheet1!$N$32:$O$37,2,0)*1000,0)</f>
        <v>60</v>
      </c>
      <c r="N1119" s="83"/>
      <c r="O1119" s="83">
        <f t="shared" si="110"/>
        <v>0.000659145088819801</v>
      </c>
      <c r="P1119" s="83">
        <v>11026</v>
      </c>
    </row>
    <row r="1120" s="66" customFormat="1" spans="1:16">
      <c r="A1120" s="70">
        <v>1118</v>
      </c>
      <c r="B1120" s="83">
        <v>11200</v>
      </c>
      <c r="C1120" s="83">
        <v>6</v>
      </c>
      <c r="D1120" s="83">
        <f t="shared" si="111"/>
        <v>92797</v>
      </c>
      <c r="E1120" s="83">
        <f t="shared" si="108"/>
        <v>92857</v>
      </c>
      <c r="F1120" s="83"/>
      <c r="G1120" s="83" t="s">
        <v>332</v>
      </c>
      <c r="H1120" s="83" t="s">
        <v>383</v>
      </c>
      <c r="I1120" s="83"/>
      <c r="J1120" s="83" t="s">
        <v>279</v>
      </c>
      <c r="K1120" s="83">
        <v>1</v>
      </c>
      <c r="L1120" s="83" t="s">
        <v>129</v>
      </c>
      <c r="M1120" s="83">
        <f>ROUNDDOWN(VLOOKUP(J1120,Sheet1!$N$32:$O$37,2,0)*1000,0)</f>
        <v>60</v>
      </c>
      <c r="N1120" s="83"/>
      <c r="O1120" s="83">
        <f t="shared" si="110"/>
        <v>0.000659145088819801</v>
      </c>
      <c r="P1120" s="83">
        <v>11027</v>
      </c>
    </row>
    <row r="1121" s="66" customFormat="1" spans="1:16">
      <c r="A1121" s="70">
        <v>1119</v>
      </c>
      <c r="B1121" s="83">
        <v>11200</v>
      </c>
      <c r="C1121" s="83">
        <v>6</v>
      </c>
      <c r="D1121" s="83">
        <f t="shared" si="111"/>
        <v>92857</v>
      </c>
      <c r="E1121" s="83">
        <f t="shared" si="108"/>
        <v>92917</v>
      </c>
      <c r="F1121" s="83"/>
      <c r="G1121" s="83" t="s">
        <v>334</v>
      </c>
      <c r="H1121" s="83" t="s">
        <v>384</v>
      </c>
      <c r="I1121" s="83"/>
      <c r="J1121" s="83" t="s">
        <v>279</v>
      </c>
      <c r="K1121" s="83">
        <v>1</v>
      </c>
      <c r="L1121" s="83" t="s">
        <v>129</v>
      </c>
      <c r="M1121" s="83">
        <f>ROUNDDOWN(VLOOKUP(J1121,Sheet1!$N$32:$O$37,2,0)*1000,0)</f>
        <v>60</v>
      </c>
      <c r="N1121" s="83"/>
      <c r="O1121" s="83">
        <f t="shared" si="110"/>
        <v>0.000659145088819801</v>
      </c>
      <c r="P1121" s="83">
        <v>11028</v>
      </c>
    </row>
    <row r="1122" s="66" customFormat="1" spans="1:16">
      <c r="A1122" s="70">
        <v>1120</v>
      </c>
      <c r="B1122" s="83">
        <v>11200</v>
      </c>
      <c r="C1122" s="83">
        <v>6</v>
      </c>
      <c r="D1122" s="83">
        <f t="shared" si="111"/>
        <v>92917</v>
      </c>
      <c r="E1122" s="83">
        <f t="shared" si="108"/>
        <v>92977</v>
      </c>
      <c r="F1122" s="83"/>
      <c r="G1122" s="83" t="s">
        <v>336</v>
      </c>
      <c r="H1122" s="83" t="s">
        <v>385</v>
      </c>
      <c r="I1122" s="83"/>
      <c r="J1122" s="83" t="s">
        <v>279</v>
      </c>
      <c r="K1122" s="83">
        <v>1</v>
      </c>
      <c r="L1122" s="83" t="s">
        <v>129</v>
      </c>
      <c r="M1122" s="83">
        <f>ROUNDDOWN(VLOOKUP(J1122,Sheet1!$N$32:$O$37,2,0)*1000,0)</f>
        <v>60</v>
      </c>
      <c r="N1122" s="83"/>
      <c r="O1122" s="83">
        <f t="shared" si="110"/>
        <v>0.000659145088819801</v>
      </c>
      <c r="P1122" s="83">
        <v>11029</v>
      </c>
    </row>
    <row r="1123" s="66" customFormat="1" spans="1:16">
      <c r="A1123" s="70">
        <v>1121</v>
      </c>
      <c r="B1123" s="83">
        <v>11200</v>
      </c>
      <c r="C1123" s="83">
        <v>6</v>
      </c>
      <c r="D1123" s="83">
        <f t="shared" si="111"/>
        <v>92977</v>
      </c>
      <c r="E1123" s="83">
        <f t="shared" si="108"/>
        <v>93037</v>
      </c>
      <c r="F1123" s="83"/>
      <c r="G1123" s="83" t="s">
        <v>338</v>
      </c>
      <c r="H1123" s="83" t="s">
        <v>386</v>
      </c>
      <c r="I1123" s="83"/>
      <c r="J1123" s="83" t="s">
        <v>279</v>
      </c>
      <c r="K1123" s="83">
        <v>1</v>
      </c>
      <c r="L1123" s="83" t="s">
        <v>129</v>
      </c>
      <c r="M1123" s="83">
        <f>ROUNDDOWN(VLOOKUP(J1123,Sheet1!$N$32:$O$37,2,0)*1000,0)</f>
        <v>60</v>
      </c>
      <c r="N1123" s="83"/>
      <c r="O1123" s="83">
        <f t="shared" si="110"/>
        <v>0.000659145088819801</v>
      </c>
      <c r="P1123" s="83">
        <v>11030</v>
      </c>
    </row>
    <row r="1124" s="66" customFormat="1" spans="1:16">
      <c r="A1124" s="70">
        <v>1122</v>
      </c>
      <c r="B1124" s="83">
        <v>11200</v>
      </c>
      <c r="C1124" s="83">
        <v>6</v>
      </c>
      <c r="D1124" s="83">
        <f t="shared" si="111"/>
        <v>93037</v>
      </c>
      <c r="E1124" s="83">
        <f t="shared" si="108"/>
        <v>93097</v>
      </c>
      <c r="F1124" s="83"/>
      <c r="G1124" s="83" t="s">
        <v>340</v>
      </c>
      <c r="H1124" s="83" t="s">
        <v>387</v>
      </c>
      <c r="I1124" s="83"/>
      <c r="J1124" s="83" t="s">
        <v>279</v>
      </c>
      <c r="K1124" s="83">
        <v>1</v>
      </c>
      <c r="L1124" s="83" t="s">
        <v>129</v>
      </c>
      <c r="M1124" s="83">
        <f>ROUNDDOWN(VLOOKUP(J1124,Sheet1!$N$32:$O$37,2,0)*1000,0)</f>
        <v>60</v>
      </c>
      <c r="N1124" s="83"/>
      <c r="O1124" s="83">
        <f t="shared" si="110"/>
        <v>0.000659145088819801</v>
      </c>
      <c r="P1124" s="83">
        <v>11031</v>
      </c>
    </row>
    <row r="1125" s="66" customFormat="1" spans="1:16">
      <c r="A1125" s="70">
        <v>1123</v>
      </c>
      <c r="B1125" s="83">
        <v>11200</v>
      </c>
      <c r="C1125" s="83">
        <v>6</v>
      </c>
      <c r="D1125" s="83">
        <f t="shared" si="111"/>
        <v>93097</v>
      </c>
      <c r="E1125" s="83">
        <f t="shared" si="108"/>
        <v>93157</v>
      </c>
      <c r="F1125" s="83"/>
      <c r="G1125" s="83" t="s">
        <v>342</v>
      </c>
      <c r="H1125" s="83" t="s">
        <v>388</v>
      </c>
      <c r="I1125" s="83"/>
      <c r="J1125" s="83" t="s">
        <v>279</v>
      </c>
      <c r="K1125" s="83">
        <v>1</v>
      </c>
      <c r="L1125" s="83" t="s">
        <v>129</v>
      </c>
      <c r="M1125" s="83">
        <f>ROUNDDOWN(VLOOKUP(J1125,Sheet1!$N$32:$O$37,2,0)*1000,0)</f>
        <v>60</v>
      </c>
      <c r="N1125" s="83"/>
      <c r="O1125" s="83">
        <f t="shared" si="110"/>
        <v>0.000659145088819801</v>
      </c>
      <c r="P1125" s="83">
        <v>11032</v>
      </c>
    </row>
    <row r="1126" s="66" customFormat="1" spans="1:16">
      <c r="A1126" s="70">
        <v>1124</v>
      </c>
      <c r="B1126" s="83">
        <v>11200</v>
      </c>
      <c r="C1126" s="83">
        <v>6</v>
      </c>
      <c r="D1126" s="83">
        <f t="shared" si="111"/>
        <v>93157</v>
      </c>
      <c r="E1126" s="83">
        <f t="shared" si="108"/>
        <v>93217</v>
      </c>
      <c r="F1126" s="83"/>
      <c r="G1126" s="83" t="s">
        <v>344</v>
      </c>
      <c r="H1126" s="83" t="s">
        <v>389</v>
      </c>
      <c r="I1126" s="83"/>
      <c r="J1126" s="83" t="s">
        <v>279</v>
      </c>
      <c r="K1126" s="83">
        <v>1</v>
      </c>
      <c r="L1126" s="83" t="s">
        <v>129</v>
      </c>
      <c r="M1126" s="83">
        <f>ROUNDDOWN(VLOOKUP(J1126,Sheet1!$N$32:$O$37,2,0)*1000,0)</f>
        <v>60</v>
      </c>
      <c r="N1126" s="83"/>
      <c r="O1126" s="83">
        <f t="shared" si="110"/>
        <v>0.000659145088819801</v>
      </c>
      <c r="P1126" s="83">
        <v>11033</v>
      </c>
    </row>
    <row r="1127" s="66" customFormat="1" spans="1:16">
      <c r="A1127" s="70">
        <v>1125</v>
      </c>
      <c r="B1127" s="83">
        <v>11200</v>
      </c>
      <c r="C1127" s="83">
        <v>6</v>
      </c>
      <c r="D1127" s="83">
        <f t="shared" si="111"/>
        <v>93217</v>
      </c>
      <c r="E1127" s="83">
        <f t="shared" si="108"/>
        <v>93277</v>
      </c>
      <c r="F1127" s="83"/>
      <c r="G1127" s="83" t="s">
        <v>346</v>
      </c>
      <c r="H1127" s="83" t="s">
        <v>390</v>
      </c>
      <c r="I1127" s="83"/>
      <c r="J1127" s="83" t="s">
        <v>279</v>
      </c>
      <c r="K1127" s="83">
        <v>1</v>
      </c>
      <c r="L1127" s="83" t="s">
        <v>129</v>
      </c>
      <c r="M1127" s="83">
        <f>ROUNDDOWN(VLOOKUP(J1127,Sheet1!$N$32:$O$37,2,0)*1000,0)</f>
        <v>60</v>
      </c>
      <c r="N1127" s="83"/>
      <c r="O1127" s="83">
        <f t="shared" si="110"/>
        <v>0.000659145088819801</v>
      </c>
      <c r="P1127" s="83">
        <v>11034</v>
      </c>
    </row>
    <row r="1128" s="66" customFormat="1" spans="1:16">
      <c r="A1128" s="70">
        <v>1126</v>
      </c>
      <c r="B1128" s="83">
        <v>11200</v>
      </c>
      <c r="C1128" s="83">
        <v>6</v>
      </c>
      <c r="D1128" s="83">
        <f t="shared" si="111"/>
        <v>93277</v>
      </c>
      <c r="E1128" s="83">
        <f t="shared" si="108"/>
        <v>93337</v>
      </c>
      <c r="F1128" s="83"/>
      <c r="G1128" s="83" t="s">
        <v>348</v>
      </c>
      <c r="H1128" s="83" t="s">
        <v>391</v>
      </c>
      <c r="I1128" s="83"/>
      <c r="J1128" s="83" t="s">
        <v>279</v>
      </c>
      <c r="K1128" s="83">
        <v>1</v>
      </c>
      <c r="L1128" s="83" t="s">
        <v>129</v>
      </c>
      <c r="M1128" s="83">
        <f>ROUNDDOWN(VLOOKUP(J1128,Sheet1!$N$32:$O$37,2,0)*1000,0)</f>
        <v>60</v>
      </c>
      <c r="N1128" s="83"/>
      <c r="O1128" s="83">
        <f t="shared" si="110"/>
        <v>0.000659145088819801</v>
      </c>
      <c r="P1128" s="83">
        <v>11035</v>
      </c>
    </row>
    <row r="1129" s="66" customFormat="1" spans="1:16">
      <c r="A1129" s="70">
        <v>1127</v>
      </c>
      <c r="B1129" s="83">
        <v>11200</v>
      </c>
      <c r="C1129" s="83">
        <v>6</v>
      </c>
      <c r="D1129" s="83">
        <f t="shared" si="111"/>
        <v>93337</v>
      </c>
      <c r="E1129" s="83">
        <f t="shared" si="108"/>
        <v>93397</v>
      </c>
      <c r="F1129" s="83"/>
      <c r="G1129" s="83" t="s">
        <v>350</v>
      </c>
      <c r="H1129" s="83" t="s">
        <v>392</v>
      </c>
      <c r="I1129" s="83"/>
      <c r="J1129" s="83" t="s">
        <v>279</v>
      </c>
      <c r="K1129" s="83">
        <v>1</v>
      </c>
      <c r="L1129" s="83" t="s">
        <v>129</v>
      </c>
      <c r="M1129" s="83">
        <f>ROUNDDOWN(VLOOKUP(J1129,Sheet1!$N$32:$O$37,2,0)*1000,0)</f>
        <v>60</v>
      </c>
      <c r="N1129" s="83"/>
      <c r="O1129" s="83">
        <f t="shared" si="110"/>
        <v>0.000659145088819801</v>
      </c>
      <c r="P1129" s="83">
        <v>11036</v>
      </c>
    </row>
    <row r="1130" s="66" customFormat="1" spans="1:16">
      <c r="A1130" s="70">
        <v>1128</v>
      </c>
      <c r="B1130" s="83">
        <v>11200</v>
      </c>
      <c r="C1130" s="83">
        <v>6</v>
      </c>
      <c r="D1130" s="83">
        <f t="shared" si="111"/>
        <v>93397</v>
      </c>
      <c r="E1130" s="83">
        <f t="shared" si="108"/>
        <v>93457</v>
      </c>
      <c r="F1130" s="83"/>
      <c r="G1130" s="83" t="s">
        <v>352</v>
      </c>
      <c r="H1130" s="83" t="s">
        <v>393</v>
      </c>
      <c r="I1130" s="83"/>
      <c r="J1130" s="83" t="s">
        <v>279</v>
      </c>
      <c r="K1130" s="83">
        <v>1</v>
      </c>
      <c r="L1130" s="83" t="s">
        <v>129</v>
      </c>
      <c r="M1130" s="83">
        <f>ROUNDDOWN(VLOOKUP(J1130,Sheet1!$N$32:$O$37,2,0)*1000,0)</f>
        <v>60</v>
      </c>
      <c r="N1130" s="83"/>
      <c r="O1130" s="83">
        <f t="shared" si="110"/>
        <v>0.000659145088819801</v>
      </c>
      <c r="P1130" s="83">
        <v>11037</v>
      </c>
    </row>
    <row r="1131" s="66" customFormat="1" spans="1:16">
      <c r="A1131" s="70">
        <v>1129</v>
      </c>
      <c r="B1131" s="83">
        <v>11200</v>
      </c>
      <c r="C1131" s="83">
        <v>6</v>
      </c>
      <c r="D1131" s="83">
        <f t="shared" si="111"/>
        <v>93457</v>
      </c>
      <c r="E1131" s="83">
        <f t="shared" si="108"/>
        <v>93517</v>
      </c>
      <c r="F1131" s="83"/>
      <c r="G1131" s="83" t="s">
        <v>354</v>
      </c>
      <c r="H1131" s="83" t="s">
        <v>394</v>
      </c>
      <c r="I1131" s="83"/>
      <c r="J1131" s="83" t="s">
        <v>279</v>
      </c>
      <c r="K1131" s="83">
        <v>1</v>
      </c>
      <c r="L1131" s="83" t="s">
        <v>129</v>
      </c>
      <c r="M1131" s="83">
        <f>ROUNDDOWN(VLOOKUP(J1131,Sheet1!$N$32:$O$37,2,0)*1000,0)</f>
        <v>60</v>
      </c>
      <c r="N1131" s="83"/>
      <c r="O1131" s="83">
        <f t="shared" si="110"/>
        <v>0.000659145088819801</v>
      </c>
      <c r="P1131" s="83">
        <v>11038</v>
      </c>
    </row>
    <row r="1132" s="66" customFormat="1" spans="1:16">
      <c r="A1132" s="70">
        <v>1130</v>
      </c>
      <c r="B1132" s="83">
        <v>11200</v>
      </c>
      <c r="C1132" s="83">
        <v>6</v>
      </c>
      <c r="D1132" s="83">
        <f t="shared" si="111"/>
        <v>93517</v>
      </c>
      <c r="E1132" s="83">
        <f t="shared" si="108"/>
        <v>93577</v>
      </c>
      <c r="F1132" s="83"/>
      <c r="G1132" s="83" t="s">
        <v>346</v>
      </c>
      <c r="H1132" s="83" t="s">
        <v>395</v>
      </c>
      <c r="I1132" s="83"/>
      <c r="J1132" s="83" t="s">
        <v>279</v>
      </c>
      <c r="K1132" s="83">
        <v>1</v>
      </c>
      <c r="L1132" s="83" t="s">
        <v>129</v>
      </c>
      <c r="M1132" s="83">
        <f>ROUNDDOWN(VLOOKUP(J1132,Sheet1!$N$32:$O$37,2,0)*1000,0)</f>
        <v>60</v>
      </c>
      <c r="N1132" s="83"/>
      <c r="O1132" s="83">
        <f t="shared" si="110"/>
        <v>0.000659145088819801</v>
      </c>
      <c r="P1132" s="83">
        <v>11034</v>
      </c>
    </row>
    <row r="1133" s="66" customFormat="1" spans="1:16">
      <c r="A1133" s="70">
        <v>1131</v>
      </c>
      <c r="B1133" s="83">
        <v>11200</v>
      </c>
      <c r="C1133" s="83">
        <v>6</v>
      </c>
      <c r="D1133" s="83">
        <f t="shared" si="111"/>
        <v>93577</v>
      </c>
      <c r="E1133" s="83">
        <f t="shared" si="108"/>
        <v>93637</v>
      </c>
      <c r="F1133" s="83"/>
      <c r="G1133" s="83" t="s">
        <v>348</v>
      </c>
      <c r="H1133" s="83" t="s">
        <v>396</v>
      </c>
      <c r="I1133" s="83"/>
      <c r="J1133" s="83" t="s">
        <v>279</v>
      </c>
      <c r="K1133" s="83">
        <v>1</v>
      </c>
      <c r="L1133" s="83" t="s">
        <v>129</v>
      </c>
      <c r="M1133" s="83">
        <f>ROUNDDOWN(VLOOKUP(J1133,Sheet1!$N$32:$O$37,2,0)*1000,0)</f>
        <v>60</v>
      </c>
      <c r="N1133" s="83"/>
      <c r="O1133" s="83">
        <f t="shared" si="110"/>
        <v>0.000659145088819801</v>
      </c>
      <c r="P1133" s="83">
        <v>11035</v>
      </c>
    </row>
    <row r="1134" s="66" customFormat="1" spans="1:16">
      <c r="A1134" s="70">
        <v>1132</v>
      </c>
      <c r="B1134" s="83">
        <v>11200</v>
      </c>
      <c r="C1134" s="83">
        <v>6</v>
      </c>
      <c r="D1134" s="83">
        <f t="shared" si="111"/>
        <v>93637</v>
      </c>
      <c r="E1134" s="83">
        <f t="shared" si="108"/>
        <v>93697</v>
      </c>
      <c r="F1134" s="83"/>
      <c r="G1134" s="83" t="s">
        <v>350</v>
      </c>
      <c r="H1134" s="83" t="s">
        <v>397</v>
      </c>
      <c r="I1134" s="83"/>
      <c r="J1134" s="83" t="s">
        <v>279</v>
      </c>
      <c r="K1134" s="83">
        <v>1</v>
      </c>
      <c r="L1134" s="83" t="s">
        <v>129</v>
      </c>
      <c r="M1134" s="83">
        <f>ROUNDDOWN(VLOOKUP(J1134,Sheet1!$N$32:$O$37,2,0)*1000,0)</f>
        <v>60</v>
      </c>
      <c r="N1134" s="83"/>
      <c r="O1134" s="83">
        <f t="shared" si="110"/>
        <v>0.000659145088819801</v>
      </c>
      <c r="P1134" s="83">
        <v>11036</v>
      </c>
    </row>
    <row r="1135" s="66" customFormat="1" spans="1:16">
      <c r="A1135" s="70">
        <v>1133</v>
      </c>
      <c r="B1135" s="83">
        <v>11200</v>
      </c>
      <c r="C1135" s="83">
        <v>6</v>
      </c>
      <c r="D1135" s="83">
        <f t="shared" si="111"/>
        <v>93697</v>
      </c>
      <c r="E1135" s="83">
        <f t="shared" si="108"/>
        <v>93757</v>
      </c>
      <c r="F1135" s="83"/>
      <c r="G1135" s="83" t="s">
        <v>352</v>
      </c>
      <c r="H1135" s="83" t="s">
        <v>398</v>
      </c>
      <c r="I1135" s="83"/>
      <c r="J1135" s="83" t="s">
        <v>279</v>
      </c>
      <c r="K1135" s="83">
        <v>1</v>
      </c>
      <c r="L1135" s="83" t="s">
        <v>129</v>
      </c>
      <c r="M1135" s="83">
        <f>ROUNDDOWN(VLOOKUP(J1135,Sheet1!$N$32:$O$37,2,0)*1000,0)</f>
        <v>60</v>
      </c>
      <c r="N1135" s="83"/>
      <c r="O1135" s="83">
        <f t="shared" si="110"/>
        <v>0.000659145088819801</v>
      </c>
      <c r="P1135" s="83">
        <v>11037</v>
      </c>
    </row>
    <row r="1136" s="66" customFormat="1" spans="1:16">
      <c r="A1136" s="70">
        <v>1134</v>
      </c>
      <c r="B1136" s="83">
        <v>11200</v>
      </c>
      <c r="C1136" s="83">
        <v>6</v>
      </c>
      <c r="D1136" s="83">
        <f t="shared" si="111"/>
        <v>93757</v>
      </c>
      <c r="E1136" s="83">
        <f t="shared" si="108"/>
        <v>93817</v>
      </c>
      <c r="F1136" s="83"/>
      <c r="G1136" s="83" t="s">
        <v>354</v>
      </c>
      <c r="H1136" s="83" t="s">
        <v>399</v>
      </c>
      <c r="I1136" s="83"/>
      <c r="J1136" s="83" t="s">
        <v>279</v>
      </c>
      <c r="K1136" s="83">
        <v>1</v>
      </c>
      <c r="L1136" s="83" t="s">
        <v>129</v>
      </c>
      <c r="M1136" s="83">
        <f>ROUNDDOWN(VLOOKUP(J1136,Sheet1!$N$32:$O$37,2,0)*1000,0)</f>
        <v>60</v>
      </c>
      <c r="N1136" s="83"/>
      <c r="O1136" s="83">
        <f t="shared" si="110"/>
        <v>0.000659145088819801</v>
      </c>
      <c r="P1136" s="83">
        <v>11038</v>
      </c>
    </row>
    <row r="1137" spans="1:16">
      <c r="A1137" s="82">
        <v>1135</v>
      </c>
      <c r="B1137" s="83">
        <v>11200</v>
      </c>
      <c r="C1137" s="83">
        <v>3</v>
      </c>
      <c r="D1137" s="83">
        <f t="shared" ref="D1137" si="112">E1092</f>
        <v>91177</v>
      </c>
      <c r="E1137" s="83">
        <f t="shared" si="108"/>
        <v>91305</v>
      </c>
      <c r="F1137" s="83"/>
      <c r="G1137" s="83">
        <v>909131</v>
      </c>
      <c r="H1137" s="83" t="s">
        <v>431</v>
      </c>
      <c r="I1137" s="83"/>
      <c r="J1137" s="83" t="s">
        <v>266</v>
      </c>
      <c r="K1137" s="83">
        <v>1</v>
      </c>
      <c r="L1137" s="83" t="s">
        <v>129</v>
      </c>
      <c r="M1137" s="83">
        <v>128</v>
      </c>
      <c r="N1137" s="83"/>
      <c r="O1137" s="83">
        <f>(E1137-D1137)/$E$1137</f>
        <v>0.00140189474837084</v>
      </c>
      <c r="P1137" s="83">
        <v>11038</v>
      </c>
    </row>
    <row r="1138" spans="1:16">
      <c r="A1138" s="76">
        <v>1136</v>
      </c>
      <c r="B1138" s="83">
        <v>11200</v>
      </c>
      <c r="C1138" s="83">
        <v>6</v>
      </c>
      <c r="D1138" s="83">
        <v>0</v>
      </c>
      <c r="E1138" s="83">
        <f>M1138</f>
        <v>250</v>
      </c>
      <c r="F1138" s="83"/>
      <c r="G1138" s="83">
        <v>95101018</v>
      </c>
      <c r="H1138" s="83" t="s">
        <v>198</v>
      </c>
      <c r="I1138" s="83" t="s">
        <v>199</v>
      </c>
      <c r="J1138" s="83" t="s">
        <v>200</v>
      </c>
      <c r="K1138" s="83">
        <v>1</v>
      </c>
      <c r="L1138" s="83" t="s">
        <v>131</v>
      </c>
      <c r="M1138" s="83">
        <f>ROUNDDOWN(VLOOKUP(J1138,Sheet1!$N$32:$O$37,2,0)*1000,0)</f>
        <v>250</v>
      </c>
      <c r="N1138" s="83"/>
      <c r="O1138" s="83">
        <f>(E1138-D1138)/$E$1238</f>
        <v>0.00263721425783516</v>
      </c>
      <c r="P1138" s="83">
        <v>11400</v>
      </c>
    </row>
    <row r="1139" spans="1:16">
      <c r="A1139" s="76">
        <v>1137</v>
      </c>
      <c r="B1139" s="83">
        <v>11200</v>
      </c>
      <c r="C1139" s="83">
        <v>6</v>
      </c>
      <c r="D1139" s="83">
        <f>E1138</f>
        <v>250</v>
      </c>
      <c r="E1139" s="83">
        <f t="shared" ref="E1139:E1170" si="113">D1139+M1139</f>
        <v>500</v>
      </c>
      <c r="F1139" s="83"/>
      <c r="G1139" s="83">
        <v>95101028</v>
      </c>
      <c r="H1139" s="83" t="s">
        <v>201</v>
      </c>
      <c r="I1139" s="83" t="s">
        <v>199</v>
      </c>
      <c r="J1139" s="83" t="s">
        <v>200</v>
      </c>
      <c r="K1139" s="83">
        <v>1</v>
      </c>
      <c r="L1139" s="83" t="s">
        <v>131</v>
      </c>
      <c r="M1139" s="83">
        <f>ROUNDDOWN(VLOOKUP(J1139,Sheet1!$N$32:$O$37,2,0)*1000,0)</f>
        <v>250</v>
      </c>
      <c r="N1139" s="83"/>
      <c r="O1139" s="83">
        <f>(E1139-D1139)/$E$1238</f>
        <v>0.00263721425783516</v>
      </c>
      <c r="P1139" s="83">
        <v>11400</v>
      </c>
    </row>
    <row r="1140" spans="1:16">
      <c r="A1140" s="76">
        <v>1138</v>
      </c>
      <c r="B1140" s="83">
        <v>11200</v>
      </c>
      <c r="C1140" s="83">
        <v>6</v>
      </c>
      <c r="D1140" s="83">
        <f t="shared" ref="D1140:D1167" si="114">E1139</f>
        <v>500</v>
      </c>
      <c r="E1140" s="83">
        <f t="shared" si="113"/>
        <v>750</v>
      </c>
      <c r="F1140" s="83"/>
      <c r="G1140" s="83">
        <v>95102018</v>
      </c>
      <c r="H1140" s="83" t="s">
        <v>202</v>
      </c>
      <c r="I1140" s="83" t="s">
        <v>199</v>
      </c>
      <c r="J1140" s="83" t="s">
        <v>200</v>
      </c>
      <c r="K1140" s="83">
        <v>1</v>
      </c>
      <c r="L1140" s="83" t="s">
        <v>131</v>
      </c>
      <c r="M1140" s="83">
        <f>ROUNDDOWN(VLOOKUP(J1140,Sheet1!$N$32:$O$37,2,0)*1000,0)</f>
        <v>250</v>
      </c>
      <c r="N1140" s="83"/>
      <c r="O1140" s="83"/>
      <c r="P1140" s="83"/>
    </row>
    <row r="1141" spans="1:16">
      <c r="A1141" s="76">
        <v>1139</v>
      </c>
      <c r="B1141" s="83">
        <v>11200</v>
      </c>
      <c r="C1141" s="83">
        <v>6</v>
      </c>
      <c r="D1141" s="83">
        <f t="shared" si="114"/>
        <v>750</v>
      </c>
      <c r="E1141" s="83">
        <f t="shared" si="113"/>
        <v>1000</v>
      </c>
      <c r="F1141" s="83"/>
      <c r="G1141" s="83">
        <v>95102028</v>
      </c>
      <c r="H1141" s="83" t="s">
        <v>203</v>
      </c>
      <c r="I1141" s="83" t="s">
        <v>199</v>
      </c>
      <c r="J1141" s="83" t="s">
        <v>200</v>
      </c>
      <c r="K1141" s="83">
        <v>1</v>
      </c>
      <c r="L1141" s="83" t="s">
        <v>131</v>
      </c>
      <c r="M1141" s="83">
        <f>ROUNDDOWN(VLOOKUP(J1141,Sheet1!$N$32:$O$37,2,0)*1000,0)</f>
        <v>250</v>
      </c>
      <c r="N1141" s="83"/>
      <c r="O1141" s="83"/>
      <c r="P1141" s="83"/>
    </row>
    <row r="1142" spans="1:16">
      <c r="A1142" s="76">
        <v>1140</v>
      </c>
      <c r="B1142" s="83">
        <v>11200</v>
      </c>
      <c r="C1142" s="83">
        <v>6</v>
      </c>
      <c r="D1142" s="83">
        <f t="shared" si="114"/>
        <v>1000</v>
      </c>
      <c r="E1142" s="83">
        <f t="shared" si="113"/>
        <v>1250</v>
      </c>
      <c r="F1142" s="83"/>
      <c r="G1142" s="83">
        <v>95103018</v>
      </c>
      <c r="H1142" s="83" t="s">
        <v>204</v>
      </c>
      <c r="I1142" s="83" t="s">
        <v>199</v>
      </c>
      <c r="J1142" s="83" t="s">
        <v>200</v>
      </c>
      <c r="K1142" s="83">
        <v>1</v>
      </c>
      <c r="L1142" s="83" t="s">
        <v>131</v>
      </c>
      <c r="M1142" s="83">
        <f>ROUNDDOWN(VLOOKUP(J1142,Sheet1!$N$32:$O$37,2,0)*1000,0)</f>
        <v>250</v>
      </c>
      <c r="N1142" s="83"/>
      <c r="O1142" s="83">
        <f t="shared" ref="O1142:O1153" si="115">(E1142-D1142)/$E$1238</f>
        <v>0.00263721425783516</v>
      </c>
      <c r="P1142" s="83">
        <v>11400</v>
      </c>
    </row>
    <row r="1143" spans="1:16">
      <c r="A1143" s="76">
        <v>1141</v>
      </c>
      <c r="B1143" s="83">
        <v>11200</v>
      </c>
      <c r="C1143" s="83">
        <v>6</v>
      </c>
      <c r="D1143" s="83">
        <f t="shared" si="114"/>
        <v>1250</v>
      </c>
      <c r="E1143" s="83">
        <f t="shared" si="113"/>
        <v>1500</v>
      </c>
      <c r="F1143" s="83"/>
      <c r="G1143" s="83">
        <v>95104018</v>
      </c>
      <c r="H1143" s="83" t="s">
        <v>205</v>
      </c>
      <c r="I1143" s="83" t="s">
        <v>199</v>
      </c>
      <c r="J1143" s="83" t="s">
        <v>200</v>
      </c>
      <c r="K1143" s="83">
        <v>1</v>
      </c>
      <c r="L1143" s="83" t="s">
        <v>131</v>
      </c>
      <c r="M1143" s="83">
        <f>ROUNDDOWN(VLOOKUP(J1143,Sheet1!$N$32:$O$37,2,0)*1000,0)</f>
        <v>250</v>
      </c>
      <c r="N1143" s="83"/>
      <c r="O1143" s="83">
        <f t="shared" si="115"/>
        <v>0.00263721425783516</v>
      </c>
      <c r="P1143" s="83">
        <v>11400</v>
      </c>
    </row>
    <row r="1144" spans="1:16">
      <c r="A1144" s="76">
        <v>1142</v>
      </c>
      <c r="B1144" s="83">
        <v>11200</v>
      </c>
      <c r="C1144" s="83">
        <v>6</v>
      </c>
      <c r="D1144" s="83">
        <f t="shared" si="114"/>
        <v>1500</v>
      </c>
      <c r="E1144" s="83">
        <f t="shared" si="113"/>
        <v>1750</v>
      </c>
      <c r="F1144" s="83"/>
      <c r="G1144" s="83">
        <v>95104028</v>
      </c>
      <c r="H1144" s="83" t="s">
        <v>206</v>
      </c>
      <c r="I1144" s="83" t="s">
        <v>199</v>
      </c>
      <c r="J1144" s="83" t="s">
        <v>200</v>
      </c>
      <c r="K1144" s="83">
        <v>1</v>
      </c>
      <c r="L1144" s="83" t="s">
        <v>131</v>
      </c>
      <c r="M1144" s="83">
        <f>ROUNDDOWN(VLOOKUP(J1144,Sheet1!$N$32:$O$37,2,0)*1000,0)</f>
        <v>250</v>
      </c>
      <c r="N1144" s="83"/>
      <c r="O1144" s="83">
        <f t="shared" si="115"/>
        <v>0.00263721425783516</v>
      </c>
      <c r="P1144" s="83">
        <v>11400</v>
      </c>
    </row>
    <row r="1145" spans="1:16">
      <c r="A1145" s="76">
        <v>1143</v>
      </c>
      <c r="B1145" s="83">
        <v>11200</v>
      </c>
      <c r="C1145" s="83">
        <v>6</v>
      </c>
      <c r="D1145" s="83">
        <f t="shared" si="114"/>
        <v>1750</v>
      </c>
      <c r="E1145" s="83">
        <f t="shared" si="113"/>
        <v>2000</v>
      </c>
      <c r="F1145" s="83"/>
      <c r="G1145" s="83">
        <v>95104038</v>
      </c>
      <c r="H1145" s="83" t="s">
        <v>207</v>
      </c>
      <c r="I1145" s="83" t="s">
        <v>199</v>
      </c>
      <c r="J1145" s="83" t="s">
        <v>200</v>
      </c>
      <c r="K1145" s="83">
        <v>1</v>
      </c>
      <c r="L1145" s="83" t="s">
        <v>131</v>
      </c>
      <c r="M1145" s="83">
        <f>ROUNDDOWN(VLOOKUP(J1145,Sheet1!$N$32:$O$37,2,0)*1000,0)</f>
        <v>250</v>
      </c>
      <c r="N1145" s="83"/>
      <c r="O1145" s="83">
        <f t="shared" si="115"/>
        <v>0.00263721425783516</v>
      </c>
      <c r="P1145" s="83">
        <v>11400</v>
      </c>
    </row>
    <row r="1146" spans="1:16">
      <c r="A1146" s="76">
        <v>1144</v>
      </c>
      <c r="B1146" s="83">
        <v>11200</v>
      </c>
      <c r="C1146" s="83">
        <v>6</v>
      </c>
      <c r="D1146" s="83">
        <f t="shared" si="114"/>
        <v>2000</v>
      </c>
      <c r="E1146" s="83">
        <f t="shared" si="113"/>
        <v>2250</v>
      </c>
      <c r="F1146" s="83"/>
      <c r="G1146" s="83">
        <v>95106018</v>
      </c>
      <c r="H1146" s="83" t="s">
        <v>208</v>
      </c>
      <c r="I1146" s="83" t="s">
        <v>199</v>
      </c>
      <c r="J1146" s="83" t="s">
        <v>200</v>
      </c>
      <c r="K1146" s="83">
        <v>1</v>
      </c>
      <c r="L1146" s="83" t="s">
        <v>131</v>
      </c>
      <c r="M1146" s="83">
        <f>ROUNDDOWN(VLOOKUP(J1146,Sheet1!$N$32:$O$37,2,0)*1000,0)</f>
        <v>250</v>
      </c>
      <c r="N1146" s="83"/>
      <c r="O1146" s="83">
        <f t="shared" si="115"/>
        <v>0.00263721425783516</v>
      </c>
      <c r="P1146" s="83">
        <v>11400</v>
      </c>
    </row>
    <row r="1147" spans="1:16">
      <c r="A1147" s="76">
        <v>1145</v>
      </c>
      <c r="B1147" s="83">
        <v>11200</v>
      </c>
      <c r="C1147" s="83">
        <v>6</v>
      </c>
      <c r="D1147" s="83">
        <f t="shared" si="114"/>
        <v>2250</v>
      </c>
      <c r="E1147" s="83">
        <f t="shared" si="113"/>
        <v>2500</v>
      </c>
      <c r="F1147" s="83"/>
      <c r="G1147" s="83">
        <v>95109018</v>
      </c>
      <c r="H1147" s="83" t="s">
        <v>209</v>
      </c>
      <c r="I1147" s="83" t="s">
        <v>199</v>
      </c>
      <c r="J1147" s="83" t="s">
        <v>200</v>
      </c>
      <c r="K1147" s="83">
        <v>1</v>
      </c>
      <c r="L1147" s="83" t="s">
        <v>131</v>
      </c>
      <c r="M1147" s="83">
        <f>ROUNDDOWN(VLOOKUP(J1147,Sheet1!$N$32:$O$37,2,0)*1000,0)</f>
        <v>250</v>
      </c>
      <c r="N1147" s="83"/>
      <c r="O1147" s="83">
        <f t="shared" si="115"/>
        <v>0.00263721425783516</v>
      </c>
      <c r="P1147" s="83">
        <v>11400</v>
      </c>
    </row>
    <row r="1148" spans="1:16">
      <c r="A1148" s="76">
        <v>1146</v>
      </c>
      <c r="B1148" s="83">
        <v>11200</v>
      </c>
      <c r="C1148" s="83">
        <v>6</v>
      </c>
      <c r="D1148" s="83">
        <f t="shared" si="114"/>
        <v>2500</v>
      </c>
      <c r="E1148" s="83">
        <f t="shared" si="113"/>
        <v>2750</v>
      </c>
      <c r="F1148" s="83"/>
      <c r="G1148" s="83">
        <v>95110018</v>
      </c>
      <c r="H1148" s="83" t="s">
        <v>210</v>
      </c>
      <c r="I1148" s="83" t="s">
        <v>199</v>
      </c>
      <c r="J1148" s="83" t="s">
        <v>200</v>
      </c>
      <c r="K1148" s="83">
        <v>1</v>
      </c>
      <c r="L1148" s="83" t="s">
        <v>131</v>
      </c>
      <c r="M1148" s="83">
        <f>ROUNDDOWN(VLOOKUP(J1148,Sheet1!$N$32:$O$37,2,0)*1000,0)</f>
        <v>250</v>
      </c>
      <c r="N1148" s="83"/>
      <c r="O1148" s="83">
        <f t="shared" si="115"/>
        <v>0.00263721425783516</v>
      </c>
      <c r="P1148" s="83">
        <v>11400</v>
      </c>
    </row>
    <row r="1149" spans="1:16">
      <c r="A1149" s="76">
        <v>1147</v>
      </c>
      <c r="B1149" s="83">
        <v>11200</v>
      </c>
      <c r="C1149" s="83">
        <v>6</v>
      </c>
      <c r="D1149" s="83">
        <f t="shared" si="114"/>
        <v>2750</v>
      </c>
      <c r="E1149" s="83">
        <f t="shared" si="113"/>
        <v>3000</v>
      </c>
      <c r="F1149" s="83"/>
      <c r="G1149" s="83">
        <v>95111018</v>
      </c>
      <c r="H1149" s="83" t="s">
        <v>211</v>
      </c>
      <c r="I1149" s="83" t="s">
        <v>199</v>
      </c>
      <c r="J1149" s="83" t="s">
        <v>200</v>
      </c>
      <c r="K1149" s="83">
        <v>1</v>
      </c>
      <c r="L1149" s="83" t="s">
        <v>131</v>
      </c>
      <c r="M1149" s="83">
        <f>ROUNDDOWN(VLOOKUP(J1149,Sheet1!$N$32:$O$37,2,0)*1000,0)</f>
        <v>250</v>
      </c>
      <c r="N1149" s="83"/>
      <c r="O1149" s="83">
        <f t="shared" si="115"/>
        <v>0.00263721425783516</v>
      </c>
      <c r="P1149" s="83">
        <v>11400</v>
      </c>
    </row>
    <row r="1150" spans="1:16">
      <c r="A1150" s="76">
        <v>1148</v>
      </c>
      <c r="B1150" s="83">
        <v>11200</v>
      </c>
      <c r="C1150" s="83">
        <v>6</v>
      </c>
      <c r="D1150" s="83">
        <f t="shared" si="114"/>
        <v>3000</v>
      </c>
      <c r="E1150" s="83">
        <f t="shared" si="113"/>
        <v>3250</v>
      </c>
      <c r="F1150" s="83"/>
      <c r="G1150" s="83">
        <v>95120018</v>
      </c>
      <c r="H1150" s="83" t="s">
        <v>212</v>
      </c>
      <c r="I1150" s="83" t="s">
        <v>199</v>
      </c>
      <c r="J1150" s="83" t="s">
        <v>200</v>
      </c>
      <c r="K1150" s="83">
        <v>1</v>
      </c>
      <c r="L1150" s="83" t="s">
        <v>131</v>
      </c>
      <c r="M1150" s="83">
        <f>ROUNDDOWN(VLOOKUP(J1150,Sheet1!$N$32:$O$37,2,0)*1000,0)</f>
        <v>250</v>
      </c>
      <c r="N1150" s="83"/>
      <c r="O1150" s="83">
        <f t="shared" si="115"/>
        <v>0.00263721425783516</v>
      </c>
      <c r="P1150" s="83">
        <v>11400</v>
      </c>
    </row>
    <row r="1151" spans="1:16">
      <c r="A1151" s="76">
        <v>1149</v>
      </c>
      <c r="B1151" s="83">
        <v>11200</v>
      </c>
      <c r="C1151" s="83">
        <v>6</v>
      </c>
      <c r="D1151" s="83">
        <f t="shared" si="114"/>
        <v>3250</v>
      </c>
      <c r="E1151" s="83">
        <f t="shared" si="113"/>
        <v>3500</v>
      </c>
      <c r="F1151" s="83"/>
      <c r="G1151" s="83">
        <v>95140018</v>
      </c>
      <c r="H1151" s="83" t="s">
        <v>213</v>
      </c>
      <c r="I1151" s="83" t="s">
        <v>199</v>
      </c>
      <c r="J1151" s="83" t="s">
        <v>200</v>
      </c>
      <c r="K1151" s="83">
        <v>1</v>
      </c>
      <c r="L1151" s="83" t="s">
        <v>131</v>
      </c>
      <c r="M1151" s="83">
        <f>ROUNDDOWN(VLOOKUP(J1151,Sheet1!$N$32:$O$37,2,0)*1000,0)</f>
        <v>250</v>
      </c>
      <c r="N1151" s="83"/>
      <c r="O1151" s="83">
        <f t="shared" si="115"/>
        <v>0.00263721425783516</v>
      </c>
      <c r="P1151" s="83">
        <v>11400</v>
      </c>
    </row>
    <row r="1152" spans="1:16">
      <c r="A1152" s="76">
        <v>1150</v>
      </c>
      <c r="B1152" s="83">
        <v>11200</v>
      </c>
      <c r="C1152" s="83">
        <v>6</v>
      </c>
      <c r="D1152" s="83">
        <f t="shared" si="114"/>
        <v>3500</v>
      </c>
      <c r="E1152" s="83">
        <f t="shared" si="113"/>
        <v>3750</v>
      </c>
      <c r="F1152" s="83"/>
      <c r="G1152" s="83">
        <v>95105028</v>
      </c>
      <c r="H1152" s="83" t="s">
        <v>214</v>
      </c>
      <c r="I1152" s="83" t="s">
        <v>199</v>
      </c>
      <c r="J1152" s="83" t="s">
        <v>200</v>
      </c>
      <c r="K1152" s="83">
        <v>1</v>
      </c>
      <c r="L1152" s="83" t="s">
        <v>131</v>
      </c>
      <c r="M1152" s="83">
        <f>ROUNDDOWN(VLOOKUP(J1152,Sheet1!$N$32:$O$37,2,0)*1000,0)</f>
        <v>250</v>
      </c>
      <c r="N1152" s="83"/>
      <c r="O1152" s="83">
        <f t="shared" si="115"/>
        <v>0.00263721425783516</v>
      </c>
      <c r="P1152" s="83">
        <v>11400</v>
      </c>
    </row>
    <row r="1153" spans="1:16">
      <c r="A1153" s="76">
        <v>1151</v>
      </c>
      <c r="B1153" s="83">
        <v>11200</v>
      </c>
      <c r="C1153" s="83">
        <v>6</v>
      </c>
      <c r="D1153" s="83">
        <f t="shared" si="114"/>
        <v>3750</v>
      </c>
      <c r="E1153" s="83">
        <f t="shared" si="113"/>
        <v>4000</v>
      </c>
      <c r="F1153" s="83"/>
      <c r="G1153" s="83">
        <v>95109028</v>
      </c>
      <c r="H1153" s="83" t="s">
        <v>215</v>
      </c>
      <c r="I1153" s="83" t="s">
        <v>199</v>
      </c>
      <c r="J1153" s="83" t="s">
        <v>200</v>
      </c>
      <c r="K1153" s="83">
        <v>1</v>
      </c>
      <c r="L1153" s="83" t="s">
        <v>131</v>
      </c>
      <c r="M1153" s="83">
        <f>ROUNDDOWN(VLOOKUP(J1153,Sheet1!$N$32:$O$37,2,0)*1000,0)</f>
        <v>250</v>
      </c>
      <c r="N1153" s="83"/>
      <c r="O1153" s="83">
        <f t="shared" si="115"/>
        <v>0.00263721425783516</v>
      </c>
      <c r="P1153" s="83">
        <v>11400</v>
      </c>
    </row>
    <row r="1154" spans="1:16">
      <c r="A1154" s="76">
        <v>1152</v>
      </c>
      <c r="B1154" s="83">
        <v>11200</v>
      </c>
      <c r="C1154" s="83">
        <v>6</v>
      </c>
      <c r="D1154" s="83">
        <f t="shared" si="114"/>
        <v>4000</v>
      </c>
      <c r="E1154" s="83">
        <f t="shared" si="113"/>
        <v>4250</v>
      </c>
      <c r="F1154" s="83"/>
      <c r="G1154" s="83">
        <v>95110028</v>
      </c>
      <c r="H1154" s="83" t="s">
        <v>216</v>
      </c>
      <c r="I1154" s="83" t="s">
        <v>199</v>
      </c>
      <c r="J1154" s="83" t="s">
        <v>200</v>
      </c>
      <c r="K1154" s="83">
        <v>1</v>
      </c>
      <c r="L1154" s="83" t="s">
        <v>131</v>
      </c>
      <c r="M1154" s="83">
        <f>ROUNDDOWN(VLOOKUP(J1154,Sheet1!$N$32:$O$37,2,0)*1000,0)</f>
        <v>250</v>
      </c>
      <c r="N1154" s="83"/>
      <c r="O1154" s="83"/>
      <c r="P1154" s="83"/>
    </row>
    <row r="1155" spans="1:16">
      <c r="A1155" s="76">
        <v>1153</v>
      </c>
      <c r="B1155" s="83">
        <v>11200</v>
      </c>
      <c r="C1155" s="83">
        <v>6</v>
      </c>
      <c r="D1155" s="83">
        <f t="shared" si="114"/>
        <v>4250</v>
      </c>
      <c r="E1155" s="83">
        <f t="shared" si="113"/>
        <v>4500</v>
      </c>
      <c r="F1155" s="83"/>
      <c r="G1155" s="83">
        <v>95150028</v>
      </c>
      <c r="H1155" s="83" t="s">
        <v>217</v>
      </c>
      <c r="I1155" s="83" t="s">
        <v>199</v>
      </c>
      <c r="J1155" s="83" t="s">
        <v>200</v>
      </c>
      <c r="K1155" s="83">
        <v>1</v>
      </c>
      <c r="L1155" s="83" t="s">
        <v>131</v>
      </c>
      <c r="M1155" s="83">
        <f>ROUNDDOWN(VLOOKUP(J1155,Sheet1!$N$32:$O$37,2,0)*1000,0)</f>
        <v>250</v>
      </c>
      <c r="N1155" s="83"/>
      <c r="O1155" s="83"/>
      <c r="P1155" s="83"/>
    </row>
    <row r="1156" spans="1:16">
      <c r="A1156" s="76">
        <v>1154</v>
      </c>
      <c r="B1156" s="83">
        <v>11200</v>
      </c>
      <c r="C1156" s="83">
        <v>6</v>
      </c>
      <c r="D1156" s="83">
        <f t="shared" si="114"/>
        <v>4500</v>
      </c>
      <c r="E1156" s="83">
        <f t="shared" si="113"/>
        <v>4750</v>
      </c>
      <c r="F1156" s="83"/>
      <c r="G1156" s="83">
        <v>95201038</v>
      </c>
      <c r="H1156" s="83" t="s">
        <v>218</v>
      </c>
      <c r="I1156" s="83" t="s">
        <v>199</v>
      </c>
      <c r="J1156" s="83" t="s">
        <v>200</v>
      </c>
      <c r="K1156" s="83">
        <v>1</v>
      </c>
      <c r="L1156" s="83" t="s">
        <v>131</v>
      </c>
      <c r="M1156" s="83">
        <f>ROUNDDOWN(VLOOKUP(J1156,Sheet1!$N$32:$O$37,2,0)*1000,0)</f>
        <v>250</v>
      </c>
      <c r="N1156" s="83"/>
      <c r="O1156" s="83"/>
      <c r="P1156" s="83"/>
    </row>
    <row r="1157" spans="1:16">
      <c r="A1157" s="76">
        <v>1155</v>
      </c>
      <c r="B1157" s="83">
        <v>11200</v>
      </c>
      <c r="C1157" s="83">
        <v>6</v>
      </c>
      <c r="D1157" s="83">
        <f t="shared" si="114"/>
        <v>4750</v>
      </c>
      <c r="E1157" s="83">
        <f t="shared" si="113"/>
        <v>5000</v>
      </c>
      <c r="F1157" s="83"/>
      <c r="G1157" s="83">
        <v>95201118</v>
      </c>
      <c r="H1157" s="83" t="s">
        <v>219</v>
      </c>
      <c r="I1157" s="83" t="s">
        <v>199</v>
      </c>
      <c r="J1157" s="83" t="s">
        <v>200</v>
      </c>
      <c r="K1157" s="83">
        <v>1</v>
      </c>
      <c r="L1157" s="83" t="s">
        <v>131</v>
      </c>
      <c r="M1157" s="83">
        <f>ROUNDDOWN(VLOOKUP(J1157,Sheet1!$N$32:$O$37,2,0)*1000,0)</f>
        <v>250</v>
      </c>
      <c r="N1157" s="83"/>
      <c r="O1157" s="83"/>
      <c r="P1157" s="83"/>
    </row>
    <row r="1158" spans="1:16">
      <c r="A1158" s="76">
        <v>1156</v>
      </c>
      <c r="B1158" s="83">
        <v>11200</v>
      </c>
      <c r="C1158" s="83">
        <v>6</v>
      </c>
      <c r="D1158" s="83">
        <f t="shared" si="114"/>
        <v>5000</v>
      </c>
      <c r="E1158" s="83">
        <f t="shared" si="113"/>
        <v>5250</v>
      </c>
      <c r="F1158" s="83"/>
      <c r="G1158" s="83">
        <v>95201158</v>
      </c>
      <c r="H1158" s="83" t="s">
        <v>220</v>
      </c>
      <c r="I1158" s="83" t="s">
        <v>199</v>
      </c>
      <c r="J1158" s="83" t="s">
        <v>200</v>
      </c>
      <c r="K1158" s="83">
        <v>1</v>
      </c>
      <c r="L1158" s="83" t="s">
        <v>131</v>
      </c>
      <c r="M1158" s="83">
        <f>ROUNDDOWN(VLOOKUP(J1158,Sheet1!$N$32:$O$37,2,0)*1000,0)</f>
        <v>250</v>
      </c>
      <c r="N1158" s="83"/>
      <c r="O1158" s="83">
        <f t="shared" ref="O1158:O1182" si="116">(E1158-D1158)/$E$1238</f>
        <v>0.00263721425783516</v>
      </c>
      <c r="P1158" s="83">
        <v>11400</v>
      </c>
    </row>
    <row r="1159" spans="1:16">
      <c r="A1159" s="76">
        <v>1157</v>
      </c>
      <c r="B1159" s="83">
        <v>11200</v>
      </c>
      <c r="C1159" s="83">
        <v>6</v>
      </c>
      <c r="D1159" s="83">
        <f t="shared" si="114"/>
        <v>5250</v>
      </c>
      <c r="E1159" s="83">
        <f t="shared" si="113"/>
        <v>5500</v>
      </c>
      <c r="F1159" s="83"/>
      <c r="G1159" s="83">
        <v>95201168</v>
      </c>
      <c r="H1159" s="83" t="s">
        <v>221</v>
      </c>
      <c r="I1159" s="83" t="s">
        <v>199</v>
      </c>
      <c r="J1159" s="83" t="s">
        <v>200</v>
      </c>
      <c r="K1159" s="83">
        <v>1</v>
      </c>
      <c r="L1159" s="83" t="s">
        <v>131</v>
      </c>
      <c r="M1159" s="83">
        <f>ROUNDDOWN(VLOOKUP(J1159,Sheet1!$N$32:$O$37,2,0)*1000,0)</f>
        <v>250</v>
      </c>
      <c r="N1159" s="83"/>
      <c r="O1159" s="83">
        <f t="shared" si="116"/>
        <v>0.00263721425783516</v>
      </c>
      <c r="P1159" s="83">
        <v>11400</v>
      </c>
    </row>
    <row r="1160" spans="1:16">
      <c r="A1160" s="76">
        <v>1158</v>
      </c>
      <c r="B1160" s="83">
        <v>11200</v>
      </c>
      <c r="C1160" s="83">
        <v>6</v>
      </c>
      <c r="D1160" s="83">
        <f t="shared" si="114"/>
        <v>5500</v>
      </c>
      <c r="E1160" s="83">
        <f t="shared" si="113"/>
        <v>5750</v>
      </c>
      <c r="F1160" s="83"/>
      <c r="G1160" s="83">
        <v>95301028</v>
      </c>
      <c r="H1160" s="83" t="s">
        <v>222</v>
      </c>
      <c r="I1160" s="83" t="s">
        <v>199</v>
      </c>
      <c r="J1160" s="83" t="s">
        <v>200</v>
      </c>
      <c r="K1160" s="83">
        <v>1</v>
      </c>
      <c r="L1160" s="83" t="s">
        <v>131</v>
      </c>
      <c r="M1160" s="83">
        <f>ROUNDDOWN(VLOOKUP(J1160,Sheet1!$N$32:$O$37,2,0)*1000,0)</f>
        <v>250</v>
      </c>
      <c r="N1160" s="83"/>
      <c r="O1160" s="83">
        <f t="shared" si="116"/>
        <v>0.00263721425783516</v>
      </c>
      <c r="P1160" s="83">
        <v>11400</v>
      </c>
    </row>
    <row r="1161" spans="1:16">
      <c r="A1161" s="76">
        <v>1159</v>
      </c>
      <c r="B1161" s="83">
        <v>11200</v>
      </c>
      <c r="C1161" s="83">
        <v>6</v>
      </c>
      <c r="D1161" s="83">
        <f t="shared" si="114"/>
        <v>5750</v>
      </c>
      <c r="E1161" s="83">
        <f t="shared" si="113"/>
        <v>6000</v>
      </c>
      <c r="F1161" s="83"/>
      <c r="G1161" s="83">
        <v>95301048</v>
      </c>
      <c r="H1161" s="83" t="s">
        <v>223</v>
      </c>
      <c r="I1161" s="83" t="s">
        <v>199</v>
      </c>
      <c r="J1161" s="83" t="s">
        <v>200</v>
      </c>
      <c r="K1161" s="83">
        <v>1</v>
      </c>
      <c r="L1161" s="83" t="s">
        <v>131</v>
      </c>
      <c r="M1161" s="83">
        <f>ROUNDDOWN(VLOOKUP(J1161,Sheet1!$N$32:$O$37,2,0)*1000,0)</f>
        <v>250</v>
      </c>
      <c r="N1161" s="83"/>
      <c r="O1161" s="83">
        <f t="shared" si="116"/>
        <v>0.00263721425783516</v>
      </c>
      <c r="P1161" s="83">
        <v>11400</v>
      </c>
    </row>
    <row r="1162" spans="1:16">
      <c r="A1162" s="76">
        <v>1160</v>
      </c>
      <c r="B1162" s="83">
        <v>11200</v>
      </c>
      <c r="C1162" s="83">
        <v>6</v>
      </c>
      <c r="D1162" s="83">
        <f t="shared" si="114"/>
        <v>6000</v>
      </c>
      <c r="E1162" s="83">
        <f t="shared" si="113"/>
        <v>6250</v>
      </c>
      <c r="F1162" s="83"/>
      <c r="G1162" s="83">
        <v>95301058</v>
      </c>
      <c r="H1162" s="83" t="s">
        <v>224</v>
      </c>
      <c r="I1162" s="83" t="s">
        <v>199</v>
      </c>
      <c r="J1162" s="83" t="s">
        <v>200</v>
      </c>
      <c r="K1162" s="83">
        <v>1</v>
      </c>
      <c r="L1162" s="83" t="s">
        <v>131</v>
      </c>
      <c r="M1162" s="83">
        <f>ROUNDDOWN(VLOOKUP(J1162,Sheet1!$N$32:$O$37,2,0)*1000,0)</f>
        <v>250</v>
      </c>
      <c r="N1162" s="83"/>
      <c r="O1162" s="83">
        <f t="shared" si="116"/>
        <v>0.00263721425783516</v>
      </c>
      <c r="P1162" s="83">
        <v>11400</v>
      </c>
    </row>
    <row r="1163" spans="1:16">
      <c r="A1163" s="76">
        <v>1161</v>
      </c>
      <c r="B1163" s="83">
        <v>11200</v>
      </c>
      <c r="C1163" s="83">
        <v>6</v>
      </c>
      <c r="D1163" s="83">
        <f t="shared" si="114"/>
        <v>6250</v>
      </c>
      <c r="E1163" s="83">
        <f t="shared" si="113"/>
        <v>6500</v>
      </c>
      <c r="F1163" s="83"/>
      <c r="G1163" s="83">
        <v>95301138</v>
      </c>
      <c r="H1163" s="83" t="s">
        <v>225</v>
      </c>
      <c r="I1163" s="83" t="s">
        <v>199</v>
      </c>
      <c r="J1163" s="83" t="s">
        <v>200</v>
      </c>
      <c r="K1163" s="83">
        <v>1</v>
      </c>
      <c r="L1163" s="83" t="s">
        <v>131</v>
      </c>
      <c r="M1163" s="83">
        <f>ROUNDDOWN(VLOOKUP(J1163,Sheet1!$N$32:$O$37,2,0)*1000,0)</f>
        <v>250</v>
      </c>
      <c r="N1163" s="83"/>
      <c r="O1163" s="83">
        <f t="shared" si="116"/>
        <v>0.00263721425783516</v>
      </c>
      <c r="P1163" s="83">
        <v>11400</v>
      </c>
    </row>
    <row r="1164" spans="1:16">
      <c r="A1164" s="76">
        <v>1162</v>
      </c>
      <c r="B1164" s="83">
        <v>11200</v>
      </c>
      <c r="C1164" s="83">
        <v>6</v>
      </c>
      <c r="D1164" s="83">
        <f t="shared" si="114"/>
        <v>6500</v>
      </c>
      <c r="E1164" s="83">
        <f t="shared" si="113"/>
        <v>6750</v>
      </c>
      <c r="F1164" s="83"/>
      <c r="G1164" s="83">
        <v>95301098</v>
      </c>
      <c r="H1164" s="83" t="s">
        <v>226</v>
      </c>
      <c r="I1164" s="83" t="s">
        <v>199</v>
      </c>
      <c r="J1164" s="83" t="s">
        <v>200</v>
      </c>
      <c r="K1164" s="83">
        <v>1</v>
      </c>
      <c r="L1164" s="83" t="s">
        <v>131</v>
      </c>
      <c r="M1164" s="83">
        <f>ROUNDDOWN(VLOOKUP(J1164,Sheet1!$N$32:$O$37,2,0)*1000,0)</f>
        <v>250</v>
      </c>
      <c r="N1164" s="83"/>
      <c r="O1164" s="83">
        <f t="shared" si="116"/>
        <v>0.00263721425783516</v>
      </c>
      <c r="P1164" s="83">
        <v>11400</v>
      </c>
    </row>
    <row r="1165" spans="1:16">
      <c r="A1165" s="76">
        <v>1163</v>
      </c>
      <c r="B1165" s="83">
        <v>11200</v>
      </c>
      <c r="C1165" s="83">
        <v>6</v>
      </c>
      <c r="D1165" s="83">
        <f t="shared" si="114"/>
        <v>6750</v>
      </c>
      <c r="E1165" s="83">
        <f t="shared" si="113"/>
        <v>7000</v>
      </c>
      <c r="F1165" s="83"/>
      <c r="G1165" s="83">
        <v>95201188</v>
      </c>
      <c r="H1165" s="83" t="s">
        <v>227</v>
      </c>
      <c r="I1165" s="83" t="s">
        <v>199</v>
      </c>
      <c r="J1165" s="83" t="s">
        <v>200</v>
      </c>
      <c r="K1165" s="83">
        <v>1</v>
      </c>
      <c r="L1165" s="83" t="s">
        <v>131</v>
      </c>
      <c r="M1165" s="83">
        <f>ROUNDDOWN(VLOOKUP(J1165,Sheet1!$N$32:$O$37,2,0)*1000,0)</f>
        <v>250</v>
      </c>
      <c r="N1165" s="83"/>
      <c r="O1165" s="83">
        <f t="shared" si="116"/>
        <v>0.00263721425783516</v>
      </c>
      <c r="P1165" s="83">
        <v>11400</v>
      </c>
    </row>
    <row r="1166" spans="1:16">
      <c r="A1166" s="76">
        <v>1164</v>
      </c>
      <c r="B1166" s="83">
        <v>11200</v>
      </c>
      <c r="C1166" s="83">
        <v>6</v>
      </c>
      <c r="D1166" s="83">
        <f t="shared" si="114"/>
        <v>7000</v>
      </c>
      <c r="E1166" s="83">
        <f t="shared" si="113"/>
        <v>7250</v>
      </c>
      <c r="F1166" s="83"/>
      <c r="G1166" s="83">
        <v>95301148</v>
      </c>
      <c r="H1166" s="83" t="s">
        <v>228</v>
      </c>
      <c r="I1166" s="83" t="s">
        <v>199</v>
      </c>
      <c r="J1166" s="83" t="s">
        <v>200</v>
      </c>
      <c r="K1166" s="83">
        <v>1</v>
      </c>
      <c r="L1166" s="83" t="s">
        <v>131</v>
      </c>
      <c r="M1166" s="83">
        <f>ROUNDDOWN(VLOOKUP(J1166,Sheet1!$N$32:$O$37,2,0)*1000,0)</f>
        <v>250</v>
      </c>
      <c r="N1166" s="83"/>
      <c r="O1166" s="83">
        <f t="shared" si="116"/>
        <v>0.00263721425783516</v>
      </c>
      <c r="P1166" s="83">
        <v>11400</v>
      </c>
    </row>
    <row r="1167" spans="1:16">
      <c r="A1167" s="76">
        <v>1165</v>
      </c>
      <c r="B1167" s="83">
        <v>11200</v>
      </c>
      <c r="C1167" s="83">
        <v>6</v>
      </c>
      <c r="D1167" s="83">
        <f t="shared" si="114"/>
        <v>7250</v>
      </c>
      <c r="E1167" s="83">
        <f t="shared" si="113"/>
        <v>7500</v>
      </c>
      <c r="F1167" s="83"/>
      <c r="G1167" s="83">
        <v>95301158</v>
      </c>
      <c r="H1167" s="83" t="s">
        <v>229</v>
      </c>
      <c r="I1167" s="83" t="s">
        <v>199</v>
      </c>
      <c r="J1167" s="83" t="s">
        <v>200</v>
      </c>
      <c r="K1167" s="83">
        <v>1</v>
      </c>
      <c r="L1167" s="83" t="s">
        <v>131</v>
      </c>
      <c r="M1167" s="83">
        <f>ROUNDDOWN(VLOOKUP(J1167,Sheet1!$N$32:$O$37,2,0)*1000,0)</f>
        <v>250</v>
      </c>
      <c r="N1167" s="83"/>
      <c r="O1167" s="83">
        <f t="shared" si="116"/>
        <v>0.00263721425783516</v>
      </c>
      <c r="P1167" s="83">
        <v>11400</v>
      </c>
    </row>
    <row r="1168" spans="1:16">
      <c r="A1168" s="76">
        <v>1166</v>
      </c>
      <c r="B1168" s="83">
        <v>11200</v>
      </c>
      <c r="C1168" s="83">
        <v>6</v>
      </c>
      <c r="D1168" s="83">
        <f>E1166</f>
        <v>7250</v>
      </c>
      <c r="E1168" s="83">
        <f t="shared" si="113"/>
        <v>7500</v>
      </c>
      <c r="F1168" s="83"/>
      <c r="G1168" s="83">
        <v>95101019</v>
      </c>
      <c r="H1168" s="83" t="s">
        <v>198</v>
      </c>
      <c r="I1168" s="83" t="s">
        <v>233</v>
      </c>
      <c r="J1168" s="83" t="s">
        <v>200</v>
      </c>
      <c r="K1168" s="83">
        <v>1</v>
      </c>
      <c r="L1168" s="83" t="s">
        <v>131</v>
      </c>
      <c r="M1168" s="83">
        <f>ROUNDDOWN(VLOOKUP(J1168,Sheet1!$N$32:$O$37,2,0)*1000,0)</f>
        <v>250</v>
      </c>
      <c r="N1168" s="83"/>
      <c r="O1168" s="83">
        <f t="shared" si="116"/>
        <v>0.00263721425783516</v>
      </c>
      <c r="P1168" s="83">
        <v>11400</v>
      </c>
    </row>
    <row r="1169" spans="1:16">
      <c r="A1169" s="76">
        <v>1167</v>
      </c>
      <c r="B1169" s="83">
        <v>11200</v>
      </c>
      <c r="C1169" s="83">
        <v>6</v>
      </c>
      <c r="D1169" s="83">
        <f t="shared" ref="D1169:D1232" si="117">E1168</f>
        <v>7500</v>
      </c>
      <c r="E1169" s="83">
        <f t="shared" si="113"/>
        <v>7750</v>
      </c>
      <c r="F1169" s="83"/>
      <c r="G1169" s="83">
        <v>95101029</v>
      </c>
      <c r="H1169" s="83" t="s">
        <v>201</v>
      </c>
      <c r="I1169" s="83" t="s">
        <v>233</v>
      </c>
      <c r="J1169" s="83" t="s">
        <v>200</v>
      </c>
      <c r="K1169" s="83">
        <v>1</v>
      </c>
      <c r="L1169" s="83" t="s">
        <v>131</v>
      </c>
      <c r="M1169" s="83">
        <f>ROUNDDOWN(VLOOKUP(J1169,Sheet1!$N$32:$O$37,2,0)*1000,0)</f>
        <v>250</v>
      </c>
      <c r="N1169" s="83"/>
      <c r="O1169" s="83">
        <f t="shared" si="116"/>
        <v>0.00263721425783516</v>
      </c>
      <c r="P1169" s="83">
        <v>11400</v>
      </c>
    </row>
    <row r="1170" spans="1:16">
      <c r="A1170" s="76">
        <v>1168</v>
      </c>
      <c r="B1170" s="83">
        <v>11200</v>
      </c>
      <c r="C1170" s="83">
        <v>6</v>
      </c>
      <c r="D1170" s="83">
        <f t="shared" si="117"/>
        <v>7750</v>
      </c>
      <c r="E1170" s="83">
        <f t="shared" si="113"/>
        <v>8000</v>
      </c>
      <c r="F1170" s="83"/>
      <c r="G1170" s="83">
        <v>95102019</v>
      </c>
      <c r="H1170" s="83" t="s">
        <v>202</v>
      </c>
      <c r="I1170" s="83" t="s">
        <v>233</v>
      </c>
      <c r="J1170" s="83" t="s">
        <v>200</v>
      </c>
      <c r="K1170" s="83">
        <v>1</v>
      </c>
      <c r="L1170" s="83" t="s">
        <v>131</v>
      </c>
      <c r="M1170" s="83">
        <f>ROUNDDOWN(VLOOKUP(J1170,Sheet1!$N$32:$O$37,2,0)*1000,0)</f>
        <v>250</v>
      </c>
      <c r="N1170" s="83"/>
      <c r="O1170" s="83">
        <f t="shared" si="116"/>
        <v>0.00263721425783516</v>
      </c>
      <c r="P1170" s="83">
        <v>11400</v>
      </c>
    </row>
    <row r="1171" spans="1:16">
      <c r="A1171" s="76">
        <v>1169</v>
      </c>
      <c r="B1171" s="83">
        <v>11200</v>
      </c>
      <c r="C1171" s="83">
        <v>6</v>
      </c>
      <c r="D1171" s="83">
        <f t="shared" si="117"/>
        <v>8000</v>
      </c>
      <c r="E1171" s="83">
        <f t="shared" ref="E1171:E1197" si="118">D1171+M1171</f>
        <v>8250</v>
      </c>
      <c r="F1171" s="83"/>
      <c r="G1171" s="83">
        <v>95102029</v>
      </c>
      <c r="H1171" s="83" t="s">
        <v>203</v>
      </c>
      <c r="I1171" s="83" t="s">
        <v>233</v>
      </c>
      <c r="J1171" s="83" t="s">
        <v>200</v>
      </c>
      <c r="K1171" s="83">
        <v>1</v>
      </c>
      <c r="L1171" s="83" t="s">
        <v>131</v>
      </c>
      <c r="M1171" s="83">
        <f>ROUNDDOWN(VLOOKUP(J1171,Sheet1!$N$32:$O$37,2,0)*1000,0)</f>
        <v>250</v>
      </c>
      <c r="N1171" s="83"/>
      <c r="O1171" s="83">
        <f t="shared" si="116"/>
        <v>0.00263721425783516</v>
      </c>
      <c r="P1171" s="83">
        <v>11400</v>
      </c>
    </row>
    <row r="1172" spans="1:16">
      <c r="A1172" s="76">
        <v>1170</v>
      </c>
      <c r="B1172" s="83">
        <v>11200</v>
      </c>
      <c r="C1172" s="83">
        <v>6</v>
      </c>
      <c r="D1172" s="83">
        <f t="shared" si="117"/>
        <v>8250</v>
      </c>
      <c r="E1172" s="83">
        <f t="shared" si="118"/>
        <v>8500</v>
      </c>
      <c r="F1172" s="83"/>
      <c r="G1172" s="83">
        <v>95103019</v>
      </c>
      <c r="H1172" s="83" t="s">
        <v>204</v>
      </c>
      <c r="I1172" s="83" t="s">
        <v>233</v>
      </c>
      <c r="J1172" s="83" t="s">
        <v>200</v>
      </c>
      <c r="K1172" s="83">
        <v>1</v>
      </c>
      <c r="L1172" s="83" t="s">
        <v>131</v>
      </c>
      <c r="M1172" s="83">
        <f>ROUNDDOWN(VLOOKUP(J1172,Sheet1!$N$32:$O$37,2,0)*1000,0)</f>
        <v>250</v>
      </c>
      <c r="N1172" s="83"/>
      <c r="O1172" s="83">
        <f t="shared" si="116"/>
        <v>0.00263721425783516</v>
      </c>
      <c r="P1172" s="83">
        <v>11400</v>
      </c>
    </row>
    <row r="1173" spans="1:16">
      <c r="A1173" s="76">
        <v>1171</v>
      </c>
      <c r="B1173" s="83">
        <v>11200</v>
      </c>
      <c r="C1173" s="83">
        <v>6</v>
      </c>
      <c r="D1173" s="83">
        <f t="shared" si="117"/>
        <v>8500</v>
      </c>
      <c r="E1173" s="83">
        <f t="shared" si="118"/>
        <v>8750</v>
      </c>
      <c r="F1173" s="83"/>
      <c r="G1173" s="83">
        <v>95104019</v>
      </c>
      <c r="H1173" s="83" t="s">
        <v>205</v>
      </c>
      <c r="I1173" s="83" t="s">
        <v>233</v>
      </c>
      <c r="J1173" s="83" t="s">
        <v>200</v>
      </c>
      <c r="K1173" s="83">
        <v>1</v>
      </c>
      <c r="L1173" s="83" t="s">
        <v>131</v>
      </c>
      <c r="M1173" s="83">
        <f>ROUNDDOWN(VLOOKUP(J1173,Sheet1!$N$32:$O$37,2,0)*1000,0)</f>
        <v>250</v>
      </c>
      <c r="N1173" s="83"/>
      <c r="O1173" s="83">
        <f t="shared" si="116"/>
        <v>0.00263721425783516</v>
      </c>
      <c r="P1173" s="83">
        <v>11400</v>
      </c>
    </row>
    <row r="1174" spans="1:16">
      <c r="A1174" s="76">
        <v>1172</v>
      </c>
      <c r="B1174" s="83">
        <v>11200</v>
      </c>
      <c r="C1174" s="83">
        <v>6</v>
      </c>
      <c r="D1174" s="83">
        <f t="shared" si="117"/>
        <v>8750</v>
      </c>
      <c r="E1174" s="83">
        <f t="shared" si="118"/>
        <v>9000</v>
      </c>
      <c r="F1174" s="83"/>
      <c r="G1174" s="83">
        <v>95104029</v>
      </c>
      <c r="H1174" s="83" t="s">
        <v>206</v>
      </c>
      <c r="I1174" s="83" t="s">
        <v>233</v>
      </c>
      <c r="J1174" s="83" t="s">
        <v>200</v>
      </c>
      <c r="K1174" s="83">
        <v>1</v>
      </c>
      <c r="L1174" s="83" t="s">
        <v>131</v>
      </c>
      <c r="M1174" s="83">
        <f>ROUNDDOWN(VLOOKUP(J1174,Sheet1!$N$32:$O$37,2,0)*1000,0)</f>
        <v>250</v>
      </c>
      <c r="N1174" s="83"/>
      <c r="O1174" s="83">
        <f t="shared" si="116"/>
        <v>0.00263721425783516</v>
      </c>
      <c r="P1174" s="83">
        <v>11400</v>
      </c>
    </row>
    <row r="1175" spans="1:16">
      <c r="A1175" s="76">
        <v>1173</v>
      </c>
      <c r="B1175" s="83">
        <v>11200</v>
      </c>
      <c r="C1175" s="83">
        <v>6</v>
      </c>
      <c r="D1175" s="83">
        <f t="shared" si="117"/>
        <v>9000</v>
      </c>
      <c r="E1175" s="83">
        <f t="shared" si="118"/>
        <v>9250</v>
      </c>
      <c r="F1175" s="83"/>
      <c r="G1175" s="83">
        <v>95104039</v>
      </c>
      <c r="H1175" s="83" t="s">
        <v>207</v>
      </c>
      <c r="I1175" s="83" t="s">
        <v>233</v>
      </c>
      <c r="J1175" s="83" t="s">
        <v>200</v>
      </c>
      <c r="K1175" s="83">
        <v>1</v>
      </c>
      <c r="L1175" s="83" t="s">
        <v>131</v>
      </c>
      <c r="M1175" s="83">
        <f>ROUNDDOWN(VLOOKUP(J1175,Sheet1!$N$32:$O$37,2,0)*1000,0)</f>
        <v>250</v>
      </c>
      <c r="N1175" s="83"/>
      <c r="O1175" s="83">
        <f t="shared" si="116"/>
        <v>0.00263721425783516</v>
      </c>
      <c r="P1175" s="83">
        <v>11400</v>
      </c>
    </row>
    <row r="1176" spans="1:16">
      <c r="A1176" s="76">
        <v>1174</v>
      </c>
      <c r="B1176" s="83">
        <v>11200</v>
      </c>
      <c r="C1176" s="83">
        <v>6</v>
      </c>
      <c r="D1176" s="83">
        <f t="shared" si="117"/>
        <v>9250</v>
      </c>
      <c r="E1176" s="83">
        <f t="shared" si="118"/>
        <v>9500</v>
      </c>
      <c r="F1176" s="83"/>
      <c r="G1176" s="83">
        <v>95106019</v>
      </c>
      <c r="H1176" s="83" t="s">
        <v>208</v>
      </c>
      <c r="I1176" s="83" t="s">
        <v>233</v>
      </c>
      <c r="J1176" s="83" t="s">
        <v>200</v>
      </c>
      <c r="K1176" s="83">
        <v>1</v>
      </c>
      <c r="L1176" s="83" t="s">
        <v>131</v>
      </c>
      <c r="M1176" s="83">
        <f>ROUNDDOWN(VLOOKUP(J1176,Sheet1!$N$32:$O$37,2,0)*1000,0)</f>
        <v>250</v>
      </c>
      <c r="N1176" s="83"/>
      <c r="O1176" s="83">
        <f t="shared" si="116"/>
        <v>0.00263721425783516</v>
      </c>
      <c r="P1176" s="83">
        <v>11400</v>
      </c>
    </row>
    <row r="1177" spans="1:16">
      <c r="A1177" s="76">
        <v>1175</v>
      </c>
      <c r="B1177" s="83">
        <v>11200</v>
      </c>
      <c r="C1177" s="83">
        <v>6</v>
      </c>
      <c r="D1177" s="83">
        <f t="shared" si="117"/>
        <v>9500</v>
      </c>
      <c r="E1177" s="83">
        <f t="shared" si="118"/>
        <v>9750</v>
      </c>
      <c r="F1177" s="83"/>
      <c r="G1177" s="83">
        <v>95109019</v>
      </c>
      <c r="H1177" s="83" t="s">
        <v>209</v>
      </c>
      <c r="I1177" s="83" t="s">
        <v>233</v>
      </c>
      <c r="J1177" s="83" t="s">
        <v>200</v>
      </c>
      <c r="K1177" s="83">
        <v>1</v>
      </c>
      <c r="L1177" s="83" t="s">
        <v>131</v>
      </c>
      <c r="M1177" s="83">
        <f>ROUNDDOWN(VLOOKUP(J1177,Sheet1!$N$32:$O$37,2,0)*1000,0)</f>
        <v>250</v>
      </c>
      <c r="N1177" s="83"/>
      <c r="O1177" s="83">
        <f t="shared" si="116"/>
        <v>0.00263721425783516</v>
      </c>
      <c r="P1177" s="83">
        <v>11400</v>
      </c>
    </row>
    <row r="1178" spans="1:16">
      <c r="A1178" s="76">
        <v>1176</v>
      </c>
      <c r="B1178" s="83">
        <v>11200</v>
      </c>
      <c r="C1178" s="83">
        <v>6</v>
      </c>
      <c r="D1178" s="83">
        <f t="shared" si="117"/>
        <v>9750</v>
      </c>
      <c r="E1178" s="83">
        <f t="shared" si="118"/>
        <v>10000</v>
      </c>
      <c r="F1178" s="83"/>
      <c r="G1178" s="83">
        <v>95110019</v>
      </c>
      <c r="H1178" s="83" t="s">
        <v>210</v>
      </c>
      <c r="I1178" s="83" t="s">
        <v>233</v>
      </c>
      <c r="J1178" s="83" t="s">
        <v>200</v>
      </c>
      <c r="K1178" s="83">
        <v>1</v>
      </c>
      <c r="L1178" s="83" t="s">
        <v>131</v>
      </c>
      <c r="M1178" s="83">
        <f>ROUNDDOWN(VLOOKUP(J1178,Sheet1!$N$32:$O$37,2,0)*1000,0)</f>
        <v>250</v>
      </c>
      <c r="N1178" s="83"/>
      <c r="O1178" s="83">
        <f t="shared" si="116"/>
        <v>0.00263721425783516</v>
      </c>
      <c r="P1178" s="83">
        <v>11400</v>
      </c>
    </row>
    <row r="1179" spans="1:16">
      <c r="A1179" s="76">
        <v>1177</v>
      </c>
      <c r="B1179" s="83">
        <v>11200</v>
      </c>
      <c r="C1179" s="83">
        <v>6</v>
      </c>
      <c r="D1179" s="83">
        <f t="shared" si="117"/>
        <v>10000</v>
      </c>
      <c r="E1179" s="83">
        <f t="shared" si="118"/>
        <v>10250</v>
      </c>
      <c r="F1179" s="83"/>
      <c r="G1179" s="83">
        <v>95111019</v>
      </c>
      <c r="H1179" s="83" t="s">
        <v>211</v>
      </c>
      <c r="I1179" s="83" t="s">
        <v>233</v>
      </c>
      <c r="J1179" s="83" t="s">
        <v>200</v>
      </c>
      <c r="K1179" s="83">
        <v>1</v>
      </c>
      <c r="L1179" s="83" t="s">
        <v>131</v>
      </c>
      <c r="M1179" s="83">
        <f>ROUNDDOWN(VLOOKUP(J1179,Sheet1!$N$32:$O$37,2,0)*1000,0)</f>
        <v>250</v>
      </c>
      <c r="N1179" s="83"/>
      <c r="O1179" s="83">
        <f t="shared" si="116"/>
        <v>0.00263721425783516</v>
      </c>
      <c r="P1179" s="83">
        <v>11400</v>
      </c>
    </row>
    <row r="1180" spans="1:16">
      <c r="A1180" s="76">
        <v>1178</v>
      </c>
      <c r="B1180" s="83">
        <v>11200</v>
      </c>
      <c r="C1180" s="83">
        <v>6</v>
      </c>
      <c r="D1180" s="83">
        <f t="shared" si="117"/>
        <v>10250</v>
      </c>
      <c r="E1180" s="83">
        <f t="shared" si="118"/>
        <v>10500</v>
      </c>
      <c r="F1180" s="83"/>
      <c r="G1180" s="83">
        <v>95120019</v>
      </c>
      <c r="H1180" s="83" t="s">
        <v>212</v>
      </c>
      <c r="I1180" s="83" t="s">
        <v>233</v>
      </c>
      <c r="J1180" s="83" t="s">
        <v>200</v>
      </c>
      <c r="K1180" s="83">
        <v>1</v>
      </c>
      <c r="L1180" s="83" t="s">
        <v>131</v>
      </c>
      <c r="M1180" s="83">
        <f>ROUNDDOWN(VLOOKUP(J1180,Sheet1!$N$32:$O$37,2,0)*1000,0)</f>
        <v>250</v>
      </c>
      <c r="N1180" s="83"/>
      <c r="O1180" s="83">
        <f t="shared" si="116"/>
        <v>0.00263721425783516</v>
      </c>
      <c r="P1180" s="83">
        <v>11400</v>
      </c>
    </row>
    <row r="1181" spans="1:16">
      <c r="A1181" s="76">
        <v>1179</v>
      </c>
      <c r="B1181" s="83">
        <v>11200</v>
      </c>
      <c r="C1181" s="83">
        <v>6</v>
      </c>
      <c r="D1181" s="83">
        <f t="shared" si="117"/>
        <v>10500</v>
      </c>
      <c r="E1181" s="83">
        <f t="shared" si="118"/>
        <v>10750</v>
      </c>
      <c r="F1181" s="83"/>
      <c r="G1181" s="83">
        <v>95140019</v>
      </c>
      <c r="H1181" s="83" t="s">
        <v>213</v>
      </c>
      <c r="I1181" s="83" t="s">
        <v>233</v>
      </c>
      <c r="J1181" s="83" t="s">
        <v>200</v>
      </c>
      <c r="K1181" s="83">
        <v>1</v>
      </c>
      <c r="L1181" s="83" t="s">
        <v>131</v>
      </c>
      <c r="M1181" s="83">
        <f>ROUNDDOWN(VLOOKUP(J1181,Sheet1!$N$32:$O$37,2,0)*1000,0)</f>
        <v>250</v>
      </c>
      <c r="N1181" s="83"/>
      <c r="O1181" s="83">
        <f t="shared" si="116"/>
        <v>0.00263721425783516</v>
      </c>
      <c r="P1181" s="83">
        <v>11400</v>
      </c>
    </row>
    <row r="1182" ht="13.2" customHeight="1" spans="1:16">
      <c r="A1182" s="76">
        <v>1180</v>
      </c>
      <c r="B1182" s="83">
        <v>11200</v>
      </c>
      <c r="C1182" s="83">
        <v>6</v>
      </c>
      <c r="D1182" s="83">
        <f t="shared" si="117"/>
        <v>10750</v>
      </c>
      <c r="E1182" s="83">
        <f t="shared" si="118"/>
        <v>11000</v>
      </c>
      <c r="F1182" s="83"/>
      <c r="G1182" s="83">
        <v>95105029</v>
      </c>
      <c r="H1182" s="83" t="s">
        <v>214</v>
      </c>
      <c r="I1182" s="83" t="s">
        <v>233</v>
      </c>
      <c r="J1182" s="83" t="s">
        <v>200</v>
      </c>
      <c r="K1182" s="83">
        <v>1</v>
      </c>
      <c r="L1182" s="83" t="s">
        <v>131</v>
      </c>
      <c r="M1182" s="83">
        <f>ROUNDDOWN(VLOOKUP(J1182,Sheet1!$N$32:$O$37,2,0)*1000,0)</f>
        <v>250</v>
      </c>
      <c r="N1182" s="83"/>
      <c r="O1182" s="83">
        <f t="shared" si="116"/>
        <v>0.00263721425783516</v>
      </c>
      <c r="P1182" s="83">
        <v>11400</v>
      </c>
    </row>
    <row r="1183" spans="1:16">
      <c r="A1183" s="76">
        <v>1181</v>
      </c>
      <c r="B1183" s="83">
        <v>11200</v>
      </c>
      <c r="C1183" s="83">
        <v>6</v>
      </c>
      <c r="D1183" s="83">
        <f t="shared" si="117"/>
        <v>11000</v>
      </c>
      <c r="E1183" s="83">
        <f t="shared" si="118"/>
        <v>11250</v>
      </c>
      <c r="F1183" s="83"/>
      <c r="G1183" s="83">
        <v>95109029</v>
      </c>
      <c r="H1183" s="83" t="s">
        <v>215</v>
      </c>
      <c r="I1183" s="83" t="s">
        <v>233</v>
      </c>
      <c r="J1183" s="83" t="s">
        <v>200</v>
      </c>
      <c r="K1183" s="83">
        <v>1</v>
      </c>
      <c r="L1183" s="83" t="s">
        <v>131</v>
      </c>
      <c r="M1183" s="83">
        <f>ROUNDDOWN(VLOOKUP(J1183,Sheet1!$N$32:$O$37,2,0)*1000,0)</f>
        <v>250</v>
      </c>
      <c r="N1183" s="83"/>
      <c r="O1183" s="83"/>
      <c r="P1183" s="83"/>
    </row>
    <row r="1184" spans="1:16">
      <c r="A1184" s="76">
        <v>1182</v>
      </c>
      <c r="B1184" s="83">
        <v>11200</v>
      </c>
      <c r="C1184" s="83">
        <v>6</v>
      </c>
      <c r="D1184" s="83">
        <f t="shared" si="117"/>
        <v>11250</v>
      </c>
      <c r="E1184" s="83">
        <f t="shared" si="118"/>
        <v>11500</v>
      </c>
      <c r="F1184" s="83"/>
      <c r="G1184" s="83">
        <v>95110029</v>
      </c>
      <c r="H1184" s="83" t="s">
        <v>216</v>
      </c>
      <c r="I1184" s="83" t="s">
        <v>233</v>
      </c>
      <c r="J1184" s="83" t="s">
        <v>200</v>
      </c>
      <c r="K1184" s="83">
        <v>1</v>
      </c>
      <c r="L1184" s="83" t="s">
        <v>131</v>
      </c>
      <c r="M1184" s="83">
        <f>ROUNDDOWN(VLOOKUP(J1184,Sheet1!$N$32:$O$37,2,0)*1000,0)</f>
        <v>250</v>
      </c>
      <c r="N1184" s="83"/>
      <c r="O1184" s="83"/>
      <c r="P1184" s="83"/>
    </row>
    <row r="1185" spans="1:16">
      <c r="A1185" s="76">
        <v>1183</v>
      </c>
      <c r="B1185" s="83">
        <v>11200</v>
      </c>
      <c r="C1185" s="83">
        <v>6</v>
      </c>
      <c r="D1185" s="83">
        <f t="shared" si="117"/>
        <v>11500</v>
      </c>
      <c r="E1185" s="83">
        <f t="shared" si="118"/>
        <v>11750</v>
      </c>
      <c r="F1185" s="83"/>
      <c r="G1185" s="83">
        <v>95150029</v>
      </c>
      <c r="H1185" s="83" t="s">
        <v>217</v>
      </c>
      <c r="I1185" s="83" t="s">
        <v>233</v>
      </c>
      <c r="J1185" s="83" t="s">
        <v>200</v>
      </c>
      <c r="K1185" s="83">
        <v>1</v>
      </c>
      <c r="L1185" s="83" t="s">
        <v>131</v>
      </c>
      <c r="M1185" s="83">
        <f>ROUNDDOWN(VLOOKUP(J1185,Sheet1!$N$32:$O$37,2,0)*1000,0)</f>
        <v>250</v>
      </c>
      <c r="N1185" s="83"/>
      <c r="O1185" s="83"/>
      <c r="P1185" s="83"/>
    </row>
    <row r="1186" spans="1:16">
      <c r="A1186" s="76">
        <v>1184</v>
      </c>
      <c r="B1186" s="83">
        <v>11200</v>
      </c>
      <c r="C1186" s="83">
        <v>6</v>
      </c>
      <c r="D1186" s="83">
        <f t="shared" si="117"/>
        <v>11750</v>
      </c>
      <c r="E1186" s="83">
        <f t="shared" si="118"/>
        <v>12000</v>
      </c>
      <c r="F1186" s="83"/>
      <c r="G1186" s="83">
        <v>95201039</v>
      </c>
      <c r="H1186" s="83" t="s">
        <v>218</v>
      </c>
      <c r="I1186" s="83" t="s">
        <v>233</v>
      </c>
      <c r="J1186" s="83" t="s">
        <v>200</v>
      </c>
      <c r="K1186" s="83">
        <v>1</v>
      </c>
      <c r="L1186" s="83" t="s">
        <v>131</v>
      </c>
      <c r="M1186" s="83">
        <f>ROUNDDOWN(VLOOKUP(J1186,Sheet1!$N$32:$O$37,2,0)*1000,0)</f>
        <v>250</v>
      </c>
      <c r="N1186" s="83"/>
      <c r="O1186" s="83"/>
      <c r="P1186" s="83"/>
    </row>
    <row r="1187" spans="1:16">
      <c r="A1187" s="76">
        <v>1185</v>
      </c>
      <c r="B1187" s="83">
        <v>11200</v>
      </c>
      <c r="C1187" s="83">
        <v>6</v>
      </c>
      <c r="D1187" s="83">
        <f t="shared" si="117"/>
        <v>12000</v>
      </c>
      <c r="E1187" s="83">
        <f t="shared" si="118"/>
        <v>12250</v>
      </c>
      <c r="F1187" s="83"/>
      <c r="G1187" s="83">
        <v>95201119</v>
      </c>
      <c r="H1187" s="83" t="s">
        <v>219</v>
      </c>
      <c r="I1187" s="83" t="s">
        <v>233</v>
      </c>
      <c r="J1187" s="83" t="s">
        <v>200</v>
      </c>
      <c r="K1187" s="83">
        <v>1</v>
      </c>
      <c r="L1187" s="83" t="s">
        <v>131</v>
      </c>
      <c r="M1187" s="83">
        <f>ROUNDDOWN(VLOOKUP(J1187,Sheet1!$N$32:$O$37,2,0)*1000,0)</f>
        <v>250</v>
      </c>
      <c r="N1187" s="83"/>
      <c r="O1187" s="83">
        <f t="shared" ref="O1187:O1218" si="119">(E1187-D1187)/$E$1238</f>
        <v>0.00263721425783516</v>
      </c>
      <c r="P1187" s="83">
        <v>11400</v>
      </c>
    </row>
    <row r="1188" spans="1:16">
      <c r="A1188" s="76">
        <v>1186</v>
      </c>
      <c r="B1188" s="83">
        <v>11200</v>
      </c>
      <c r="C1188" s="83">
        <v>6</v>
      </c>
      <c r="D1188" s="83">
        <f t="shared" si="117"/>
        <v>12250</v>
      </c>
      <c r="E1188" s="83">
        <f t="shared" si="118"/>
        <v>12500</v>
      </c>
      <c r="F1188" s="83"/>
      <c r="G1188" s="83">
        <v>95201159</v>
      </c>
      <c r="H1188" s="83" t="s">
        <v>220</v>
      </c>
      <c r="I1188" s="83" t="s">
        <v>233</v>
      </c>
      <c r="J1188" s="83" t="s">
        <v>200</v>
      </c>
      <c r="K1188" s="83">
        <v>1</v>
      </c>
      <c r="L1188" s="83" t="s">
        <v>131</v>
      </c>
      <c r="M1188" s="83">
        <f>ROUNDDOWN(VLOOKUP(J1188,Sheet1!$N$32:$O$37,2,0)*1000,0)</f>
        <v>250</v>
      </c>
      <c r="N1188" s="83"/>
      <c r="O1188" s="83">
        <f t="shared" si="119"/>
        <v>0.00263721425783516</v>
      </c>
      <c r="P1188" s="83">
        <v>11400</v>
      </c>
    </row>
    <row r="1189" spans="1:16">
      <c r="A1189" s="76">
        <v>1187</v>
      </c>
      <c r="B1189" s="83">
        <v>11200</v>
      </c>
      <c r="C1189" s="83">
        <v>6</v>
      </c>
      <c r="D1189" s="83">
        <f t="shared" si="117"/>
        <v>12500</v>
      </c>
      <c r="E1189" s="83">
        <f t="shared" si="118"/>
        <v>12750</v>
      </c>
      <c r="F1189" s="83"/>
      <c r="G1189" s="83">
        <v>95201169</v>
      </c>
      <c r="H1189" s="83" t="s">
        <v>221</v>
      </c>
      <c r="I1189" s="83" t="s">
        <v>233</v>
      </c>
      <c r="J1189" s="83" t="s">
        <v>200</v>
      </c>
      <c r="K1189" s="83">
        <v>1</v>
      </c>
      <c r="L1189" s="83" t="s">
        <v>131</v>
      </c>
      <c r="M1189" s="83">
        <f>ROUNDDOWN(VLOOKUP(J1189,Sheet1!$N$32:$O$37,2,0)*1000,0)</f>
        <v>250</v>
      </c>
      <c r="N1189" s="83"/>
      <c r="O1189" s="83">
        <f t="shared" si="119"/>
        <v>0.00263721425783516</v>
      </c>
      <c r="P1189" s="83">
        <v>11400</v>
      </c>
    </row>
    <row r="1190" spans="1:16">
      <c r="A1190" s="76">
        <v>1188</v>
      </c>
      <c r="B1190" s="83">
        <v>11200</v>
      </c>
      <c r="C1190" s="83">
        <v>6</v>
      </c>
      <c r="D1190" s="83">
        <f t="shared" si="117"/>
        <v>12750</v>
      </c>
      <c r="E1190" s="83">
        <f t="shared" si="118"/>
        <v>13000</v>
      </c>
      <c r="F1190" s="83"/>
      <c r="G1190" s="83">
        <v>95301029</v>
      </c>
      <c r="H1190" s="83" t="s">
        <v>222</v>
      </c>
      <c r="I1190" s="83" t="s">
        <v>233</v>
      </c>
      <c r="J1190" s="83" t="s">
        <v>200</v>
      </c>
      <c r="K1190" s="83">
        <v>1</v>
      </c>
      <c r="L1190" s="83" t="s">
        <v>131</v>
      </c>
      <c r="M1190" s="83">
        <f>ROUNDDOWN(VLOOKUP(J1190,Sheet1!$N$32:$O$37,2,0)*1000,0)</f>
        <v>250</v>
      </c>
      <c r="N1190" s="83"/>
      <c r="O1190" s="83">
        <f t="shared" si="119"/>
        <v>0.00263721425783516</v>
      </c>
      <c r="P1190" s="83">
        <v>11400</v>
      </c>
    </row>
    <row r="1191" spans="1:16">
      <c r="A1191" s="76">
        <v>1189</v>
      </c>
      <c r="B1191" s="83">
        <v>11200</v>
      </c>
      <c r="C1191" s="83">
        <v>6</v>
      </c>
      <c r="D1191" s="83">
        <f t="shared" si="117"/>
        <v>13000</v>
      </c>
      <c r="E1191" s="83">
        <f t="shared" si="118"/>
        <v>13250</v>
      </c>
      <c r="F1191" s="83"/>
      <c r="G1191" s="83">
        <v>95301049</v>
      </c>
      <c r="H1191" s="83" t="s">
        <v>223</v>
      </c>
      <c r="I1191" s="83" t="s">
        <v>233</v>
      </c>
      <c r="J1191" s="83" t="s">
        <v>200</v>
      </c>
      <c r="K1191" s="83">
        <v>1</v>
      </c>
      <c r="L1191" s="83" t="s">
        <v>131</v>
      </c>
      <c r="M1191" s="83">
        <f>ROUNDDOWN(VLOOKUP(J1191,Sheet1!$N$32:$O$37,2,0)*1000,0)</f>
        <v>250</v>
      </c>
      <c r="N1191" s="83"/>
      <c r="O1191" s="83">
        <f t="shared" si="119"/>
        <v>0.00263721425783516</v>
      </c>
      <c r="P1191" s="83">
        <v>11400</v>
      </c>
    </row>
    <row r="1192" spans="1:16">
      <c r="A1192" s="76">
        <v>1190</v>
      </c>
      <c r="B1192" s="83">
        <v>11200</v>
      </c>
      <c r="C1192" s="83">
        <v>6</v>
      </c>
      <c r="D1192" s="83">
        <f t="shared" si="117"/>
        <v>13250</v>
      </c>
      <c r="E1192" s="83">
        <f t="shared" si="118"/>
        <v>13500</v>
      </c>
      <c r="F1192" s="83"/>
      <c r="G1192" s="83">
        <v>95301059</v>
      </c>
      <c r="H1192" s="83" t="s">
        <v>224</v>
      </c>
      <c r="I1192" s="83" t="s">
        <v>233</v>
      </c>
      <c r="J1192" s="83" t="s">
        <v>200</v>
      </c>
      <c r="K1192" s="83">
        <v>1</v>
      </c>
      <c r="L1192" s="83" t="s">
        <v>131</v>
      </c>
      <c r="M1192" s="83">
        <f>ROUNDDOWN(VLOOKUP(J1192,Sheet1!$N$32:$O$37,2,0)*1000,0)</f>
        <v>250</v>
      </c>
      <c r="N1192" s="83"/>
      <c r="O1192" s="83">
        <f t="shared" si="119"/>
        <v>0.00263721425783516</v>
      </c>
      <c r="P1192" s="83">
        <v>11400</v>
      </c>
    </row>
    <row r="1193" spans="1:16">
      <c r="A1193" s="76">
        <v>1191</v>
      </c>
      <c r="B1193" s="83">
        <v>11200</v>
      </c>
      <c r="C1193" s="83">
        <v>6</v>
      </c>
      <c r="D1193" s="83">
        <f t="shared" si="117"/>
        <v>13500</v>
      </c>
      <c r="E1193" s="83">
        <f t="shared" si="118"/>
        <v>13750</v>
      </c>
      <c r="F1193" s="83"/>
      <c r="G1193" s="83">
        <v>95301139</v>
      </c>
      <c r="H1193" s="83" t="s">
        <v>225</v>
      </c>
      <c r="I1193" s="83" t="s">
        <v>233</v>
      </c>
      <c r="J1193" s="83" t="s">
        <v>200</v>
      </c>
      <c r="K1193" s="83">
        <v>1</v>
      </c>
      <c r="L1193" s="83" t="s">
        <v>131</v>
      </c>
      <c r="M1193" s="83">
        <f>ROUNDDOWN(VLOOKUP(J1193,Sheet1!$N$32:$O$37,2,0)*1000,0)</f>
        <v>250</v>
      </c>
      <c r="N1193" s="83"/>
      <c r="O1193" s="83">
        <f t="shared" si="119"/>
        <v>0.00263721425783516</v>
      </c>
      <c r="P1193" s="83">
        <v>11400</v>
      </c>
    </row>
    <row r="1194" spans="1:16">
      <c r="A1194" s="76">
        <v>1192</v>
      </c>
      <c r="B1194" s="83">
        <v>11200</v>
      </c>
      <c r="C1194" s="83">
        <v>6</v>
      </c>
      <c r="D1194" s="83">
        <f t="shared" si="117"/>
        <v>13750</v>
      </c>
      <c r="E1194" s="83">
        <f t="shared" si="118"/>
        <v>14000</v>
      </c>
      <c r="F1194" s="83"/>
      <c r="G1194" s="83">
        <v>95301099</v>
      </c>
      <c r="H1194" s="83" t="s">
        <v>226</v>
      </c>
      <c r="I1194" s="83" t="s">
        <v>233</v>
      </c>
      <c r="J1194" s="83" t="s">
        <v>200</v>
      </c>
      <c r="K1194" s="83">
        <v>1</v>
      </c>
      <c r="L1194" s="83" t="s">
        <v>131</v>
      </c>
      <c r="M1194" s="83">
        <f>ROUNDDOWN(VLOOKUP(J1194,Sheet1!$N$32:$O$37,2,0)*1000,0)</f>
        <v>250</v>
      </c>
      <c r="N1194" s="83"/>
      <c r="O1194" s="83">
        <f t="shared" si="119"/>
        <v>0.00263721425783516</v>
      </c>
      <c r="P1194" s="83">
        <v>11400</v>
      </c>
    </row>
    <row r="1195" spans="1:16">
      <c r="A1195" s="76">
        <v>1193</v>
      </c>
      <c r="B1195" s="83">
        <v>11200</v>
      </c>
      <c r="C1195" s="83">
        <v>6</v>
      </c>
      <c r="D1195" s="83">
        <f t="shared" si="117"/>
        <v>14000</v>
      </c>
      <c r="E1195" s="83">
        <f t="shared" si="118"/>
        <v>14250</v>
      </c>
      <c r="F1195" s="83"/>
      <c r="G1195" s="83">
        <v>95201189</v>
      </c>
      <c r="H1195" s="83" t="s">
        <v>227</v>
      </c>
      <c r="I1195" s="83" t="s">
        <v>233</v>
      </c>
      <c r="J1195" s="83" t="s">
        <v>200</v>
      </c>
      <c r="K1195" s="83">
        <v>1</v>
      </c>
      <c r="L1195" s="83" t="s">
        <v>131</v>
      </c>
      <c r="M1195" s="83">
        <f>ROUNDDOWN(VLOOKUP(J1195,Sheet1!$N$32:$O$37,2,0)*1000,0)</f>
        <v>250</v>
      </c>
      <c r="N1195" s="83"/>
      <c r="O1195" s="83">
        <f t="shared" si="119"/>
        <v>0.00263721425783516</v>
      </c>
      <c r="P1195" s="83">
        <v>11400</v>
      </c>
    </row>
    <row r="1196" spans="1:16">
      <c r="A1196" s="76">
        <v>1194</v>
      </c>
      <c r="B1196" s="83">
        <v>11200</v>
      </c>
      <c r="C1196" s="83">
        <v>6</v>
      </c>
      <c r="D1196" s="83">
        <f t="shared" si="117"/>
        <v>14250</v>
      </c>
      <c r="E1196" s="83">
        <f t="shared" si="118"/>
        <v>14500</v>
      </c>
      <c r="F1196" s="83"/>
      <c r="G1196" s="83">
        <v>95301149</v>
      </c>
      <c r="H1196" s="83" t="s">
        <v>228</v>
      </c>
      <c r="I1196" s="83" t="s">
        <v>233</v>
      </c>
      <c r="J1196" s="83" t="s">
        <v>200</v>
      </c>
      <c r="K1196" s="83">
        <v>1</v>
      </c>
      <c r="L1196" s="83" t="s">
        <v>131</v>
      </c>
      <c r="M1196" s="83">
        <f>ROUNDDOWN(VLOOKUP(J1196,Sheet1!$N$32:$O$37,2,0)*1000,0)</f>
        <v>250</v>
      </c>
      <c r="N1196" s="83"/>
      <c r="O1196" s="83">
        <f t="shared" si="119"/>
        <v>0.00263721425783516</v>
      </c>
      <c r="P1196" s="83">
        <v>11400</v>
      </c>
    </row>
    <row r="1197" spans="1:16">
      <c r="A1197" s="76">
        <v>1195</v>
      </c>
      <c r="B1197" s="83">
        <v>11200</v>
      </c>
      <c r="C1197" s="83">
        <v>6</v>
      </c>
      <c r="D1197" s="83">
        <f t="shared" si="117"/>
        <v>14500</v>
      </c>
      <c r="E1197" s="83">
        <f t="shared" si="118"/>
        <v>14750</v>
      </c>
      <c r="F1197" s="83"/>
      <c r="G1197" s="83">
        <v>95301159</v>
      </c>
      <c r="H1197" s="83" t="s">
        <v>229</v>
      </c>
      <c r="I1197" s="83" t="s">
        <v>233</v>
      </c>
      <c r="J1197" s="83" t="s">
        <v>200</v>
      </c>
      <c r="K1197" s="83">
        <v>1</v>
      </c>
      <c r="L1197" s="83" t="s">
        <v>131</v>
      </c>
      <c r="M1197" s="83">
        <f>ROUNDDOWN(VLOOKUP(J1197,Sheet1!$N$32:$O$37,2,0)*1000,0)</f>
        <v>250</v>
      </c>
      <c r="N1197" s="83"/>
      <c r="O1197" s="83">
        <f t="shared" si="119"/>
        <v>0.00263721425783516</v>
      </c>
      <c r="P1197" s="83">
        <v>11400</v>
      </c>
    </row>
    <row r="1198" spans="1:16">
      <c r="A1198" s="76">
        <v>1196</v>
      </c>
      <c r="B1198" s="83">
        <v>11200</v>
      </c>
      <c r="C1198" s="83">
        <v>1</v>
      </c>
      <c r="D1198" s="83">
        <f t="shared" si="117"/>
        <v>14750</v>
      </c>
      <c r="E1198" s="83">
        <f t="shared" ref="E1198:E1261" si="120">D1198+M1198</f>
        <v>19125</v>
      </c>
      <c r="F1198" s="83"/>
      <c r="G1198" s="83">
        <v>901000</v>
      </c>
      <c r="H1198" s="83" t="s">
        <v>234</v>
      </c>
      <c r="I1198" s="83"/>
      <c r="J1198" s="83" t="s">
        <v>235</v>
      </c>
      <c r="K1198" s="83">
        <v>1</v>
      </c>
      <c r="L1198" s="83" t="s">
        <v>131</v>
      </c>
      <c r="M1198" s="83">
        <f>ROUNDDOWN(VLOOKUP(J1198,Sheet1!$N$32:$O$37,2,0)*1000,0)</f>
        <v>4375</v>
      </c>
      <c r="N1198" s="83"/>
      <c r="O1198" s="83">
        <f t="shared" si="119"/>
        <v>0.0461512495121154</v>
      </c>
      <c r="P1198" s="83">
        <v>11000</v>
      </c>
    </row>
    <row r="1199" spans="1:16">
      <c r="A1199" s="76">
        <v>1197</v>
      </c>
      <c r="B1199" s="83">
        <v>11200</v>
      </c>
      <c r="C1199" s="83">
        <v>2</v>
      </c>
      <c r="D1199" s="83">
        <f t="shared" si="117"/>
        <v>19125</v>
      </c>
      <c r="E1199" s="83">
        <f t="shared" si="120"/>
        <v>23500</v>
      </c>
      <c r="F1199" s="83"/>
      <c r="G1199" s="83">
        <v>901001</v>
      </c>
      <c r="H1199" s="83" t="s">
        <v>236</v>
      </c>
      <c r="I1199" s="83"/>
      <c r="J1199" s="83" t="s">
        <v>235</v>
      </c>
      <c r="K1199" s="83">
        <v>1</v>
      </c>
      <c r="L1199" s="83" t="s">
        <v>131</v>
      </c>
      <c r="M1199" s="83">
        <f>ROUNDDOWN(VLOOKUP(J1199,Sheet1!$N$32:$O$37,2,0)*1000,0)</f>
        <v>4375</v>
      </c>
      <c r="N1199" s="83"/>
      <c r="O1199" s="83">
        <f t="shared" si="119"/>
        <v>0.0461512495121154</v>
      </c>
      <c r="P1199" s="83">
        <v>11000</v>
      </c>
    </row>
    <row r="1200" spans="1:16">
      <c r="A1200" s="76">
        <v>1198</v>
      </c>
      <c r="B1200" s="83">
        <v>11200</v>
      </c>
      <c r="C1200" s="83">
        <v>3</v>
      </c>
      <c r="D1200" s="83">
        <f t="shared" si="117"/>
        <v>23500</v>
      </c>
      <c r="E1200" s="83">
        <f t="shared" si="120"/>
        <v>27875</v>
      </c>
      <c r="F1200" s="83"/>
      <c r="G1200" s="83">
        <v>901002</v>
      </c>
      <c r="H1200" s="83" t="s">
        <v>237</v>
      </c>
      <c r="I1200" s="83"/>
      <c r="J1200" s="83" t="s">
        <v>235</v>
      </c>
      <c r="K1200" s="83">
        <v>1</v>
      </c>
      <c r="L1200" s="83" t="s">
        <v>131</v>
      </c>
      <c r="M1200" s="83">
        <f>ROUNDDOWN(VLOOKUP(J1200,Sheet1!$N$32:$O$37,2,0)*1000,0)</f>
        <v>4375</v>
      </c>
      <c r="N1200" s="83"/>
      <c r="O1200" s="83">
        <f t="shared" si="119"/>
        <v>0.0461512495121154</v>
      </c>
      <c r="P1200" s="83">
        <v>11000</v>
      </c>
    </row>
    <row r="1201" spans="1:16">
      <c r="A1201" s="76">
        <v>1199</v>
      </c>
      <c r="B1201" s="83">
        <v>11200</v>
      </c>
      <c r="C1201" s="83">
        <v>4</v>
      </c>
      <c r="D1201" s="83">
        <f t="shared" si="117"/>
        <v>27875</v>
      </c>
      <c r="E1201" s="83">
        <f t="shared" si="120"/>
        <v>32250</v>
      </c>
      <c r="F1201" s="83"/>
      <c r="G1201" s="83">
        <v>901003</v>
      </c>
      <c r="H1201" s="83" t="s">
        <v>238</v>
      </c>
      <c r="I1201" s="83"/>
      <c r="J1201" s="83" t="s">
        <v>235</v>
      </c>
      <c r="K1201" s="83">
        <v>1</v>
      </c>
      <c r="L1201" s="83" t="s">
        <v>131</v>
      </c>
      <c r="M1201" s="83">
        <f>ROUNDDOWN(VLOOKUP(J1201,Sheet1!$N$32:$O$37,2,0)*1000,0)</f>
        <v>4375</v>
      </c>
      <c r="N1201" s="83"/>
      <c r="O1201" s="83">
        <f t="shared" si="119"/>
        <v>0.0461512495121154</v>
      </c>
      <c r="P1201" s="83">
        <v>11000</v>
      </c>
    </row>
    <row r="1202" spans="1:16">
      <c r="A1202" s="76">
        <v>1200</v>
      </c>
      <c r="B1202" s="83">
        <v>11200</v>
      </c>
      <c r="C1202" s="83">
        <v>1</v>
      </c>
      <c r="D1202" s="83">
        <f t="shared" si="117"/>
        <v>32250</v>
      </c>
      <c r="E1202" s="83">
        <f t="shared" si="120"/>
        <v>36625</v>
      </c>
      <c r="F1202" s="83"/>
      <c r="G1202" s="83">
        <v>901100</v>
      </c>
      <c r="H1202" s="83" t="s">
        <v>239</v>
      </c>
      <c r="I1202" s="83"/>
      <c r="J1202" s="83" t="s">
        <v>235</v>
      </c>
      <c r="K1202" s="83">
        <v>1</v>
      </c>
      <c r="L1202" s="83" t="s">
        <v>131</v>
      </c>
      <c r="M1202" s="83">
        <f>ROUNDDOWN(VLOOKUP(J1202,Sheet1!$N$32:$O$37,2,0)*1000,0)</f>
        <v>4375</v>
      </c>
      <c r="N1202" s="83"/>
      <c r="O1202" s="83">
        <f t="shared" si="119"/>
        <v>0.0461512495121154</v>
      </c>
      <c r="P1202" s="83">
        <v>11000</v>
      </c>
    </row>
    <row r="1203" spans="1:16">
      <c r="A1203" s="76">
        <v>1201</v>
      </c>
      <c r="B1203" s="83">
        <v>11200</v>
      </c>
      <c r="C1203" s="83">
        <v>2</v>
      </c>
      <c r="D1203" s="83">
        <f t="shared" si="117"/>
        <v>36625</v>
      </c>
      <c r="E1203" s="83">
        <f t="shared" si="120"/>
        <v>41000</v>
      </c>
      <c r="F1203" s="83"/>
      <c r="G1203" s="83">
        <v>901101</v>
      </c>
      <c r="H1203" s="83" t="s">
        <v>240</v>
      </c>
      <c r="I1203" s="83"/>
      <c r="J1203" s="83" t="s">
        <v>235</v>
      </c>
      <c r="K1203" s="83">
        <v>1</v>
      </c>
      <c r="L1203" s="83" t="s">
        <v>131</v>
      </c>
      <c r="M1203" s="83">
        <f>ROUNDDOWN(VLOOKUP(J1203,Sheet1!$N$32:$O$37,2,0)*1000,0)</f>
        <v>4375</v>
      </c>
      <c r="N1203" s="83"/>
      <c r="O1203" s="83">
        <f t="shared" si="119"/>
        <v>0.0461512495121154</v>
      </c>
      <c r="P1203" s="83">
        <v>11000</v>
      </c>
    </row>
    <row r="1204" spans="1:16">
      <c r="A1204" s="76">
        <v>1202</v>
      </c>
      <c r="B1204" s="83">
        <v>11200</v>
      </c>
      <c r="C1204" s="83">
        <v>3</v>
      </c>
      <c r="D1204" s="83">
        <f t="shared" si="117"/>
        <v>41000</v>
      </c>
      <c r="E1204" s="83">
        <f t="shared" si="120"/>
        <v>45375</v>
      </c>
      <c r="F1204" s="83"/>
      <c r="G1204" s="83">
        <v>901102</v>
      </c>
      <c r="H1204" s="83" t="s">
        <v>241</v>
      </c>
      <c r="I1204" s="83"/>
      <c r="J1204" s="83" t="s">
        <v>235</v>
      </c>
      <c r="K1204" s="83">
        <v>1</v>
      </c>
      <c r="L1204" s="83" t="s">
        <v>131</v>
      </c>
      <c r="M1204" s="83">
        <f>ROUNDDOWN(VLOOKUP(J1204,Sheet1!$N$32:$O$37,2,0)*1000,0)</f>
        <v>4375</v>
      </c>
      <c r="N1204" s="83"/>
      <c r="O1204" s="83">
        <f t="shared" si="119"/>
        <v>0.0461512495121154</v>
      </c>
      <c r="P1204" s="83">
        <v>11000</v>
      </c>
    </row>
    <row r="1205" spans="1:16">
      <c r="A1205" s="76">
        <v>1203</v>
      </c>
      <c r="B1205" s="83">
        <v>11200</v>
      </c>
      <c r="C1205" s="83">
        <v>4</v>
      </c>
      <c r="D1205" s="83">
        <f t="shared" si="117"/>
        <v>45375</v>
      </c>
      <c r="E1205" s="83">
        <f t="shared" si="120"/>
        <v>49750</v>
      </c>
      <c r="F1205" s="83"/>
      <c r="G1205" s="83">
        <v>901103</v>
      </c>
      <c r="H1205" s="83" t="s">
        <v>242</v>
      </c>
      <c r="I1205" s="83"/>
      <c r="J1205" s="83" t="s">
        <v>235</v>
      </c>
      <c r="K1205" s="83">
        <v>1</v>
      </c>
      <c r="L1205" s="83" t="s">
        <v>131</v>
      </c>
      <c r="M1205" s="83">
        <f>ROUNDDOWN(VLOOKUP(J1205,Sheet1!$N$32:$O$37,2,0)*1000,0)</f>
        <v>4375</v>
      </c>
      <c r="N1205" s="83"/>
      <c r="O1205" s="83">
        <f t="shared" si="119"/>
        <v>0.0461512495121154</v>
      </c>
      <c r="P1205" s="83">
        <v>11000</v>
      </c>
    </row>
    <row r="1206" spans="1:16">
      <c r="A1206" s="76">
        <v>1204</v>
      </c>
      <c r="B1206" s="83">
        <v>11200</v>
      </c>
      <c r="C1206" s="83">
        <v>7</v>
      </c>
      <c r="D1206" s="83">
        <f t="shared" si="117"/>
        <v>49750</v>
      </c>
      <c r="E1206" s="83">
        <f t="shared" si="120"/>
        <v>50226</v>
      </c>
      <c r="F1206" s="83"/>
      <c r="G1206" s="83">
        <v>100101</v>
      </c>
      <c r="H1206" s="83" t="s">
        <v>243</v>
      </c>
      <c r="I1206" s="83"/>
      <c r="J1206" s="83" t="s">
        <v>244</v>
      </c>
      <c r="K1206" s="83">
        <v>1</v>
      </c>
      <c r="L1206" s="83" t="s">
        <v>131</v>
      </c>
      <c r="M1206" s="83">
        <f>ROUNDDOWN(VLOOKUP(J1206,Sheet1!$N$32:$O$37,2,0)*1000,0)</f>
        <v>476</v>
      </c>
      <c r="N1206" s="83"/>
      <c r="O1206" s="83">
        <f t="shared" si="119"/>
        <v>0.00502125594691815</v>
      </c>
      <c r="P1206" s="83">
        <v>11000</v>
      </c>
    </row>
    <row r="1207" spans="1:16">
      <c r="A1207" s="76">
        <v>1205</v>
      </c>
      <c r="B1207" s="83">
        <v>11200</v>
      </c>
      <c r="C1207" s="83">
        <v>7</v>
      </c>
      <c r="D1207" s="83">
        <f t="shared" si="117"/>
        <v>50226</v>
      </c>
      <c r="E1207" s="83">
        <f t="shared" si="120"/>
        <v>50702</v>
      </c>
      <c r="F1207" s="83"/>
      <c r="G1207" s="83">
        <v>100103</v>
      </c>
      <c r="H1207" s="83" t="s">
        <v>245</v>
      </c>
      <c r="I1207" s="83"/>
      <c r="J1207" s="83" t="s">
        <v>244</v>
      </c>
      <c r="K1207" s="83">
        <v>1</v>
      </c>
      <c r="L1207" s="83" t="s">
        <v>131</v>
      </c>
      <c r="M1207" s="83">
        <f>ROUNDDOWN(VLOOKUP(J1207,Sheet1!$N$32:$O$37,2,0)*1000,0)</f>
        <v>476</v>
      </c>
      <c r="N1207" s="83"/>
      <c r="O1207" s="83">
        <f t="shared" si="119"/>
        <v>0.00502125594691815</v>
      </c>
      <c r="P1207" s="83">
        <v>11000</v>
      </c>
    </row>
    <row r="1208" spans="1:16">
      <c r="A1208" s="76">
        <v>1206</v>
      </c>
      <c r="B1208" s="83">
        <v>11200</v>
      </c>
      <c r="C1208" s="83">
        <v>7</v>
      </c>
      <c r="D1208" s="83">
        <f t="shared" si="117"/>
        <v>50702</v>
      </c>
      <c r="E1208" s="83">
        <f t="shared" si="120"/>
        <v>51178</v>
      </c>
      <c r="F1208" s="83"/>
      <c r="G1208" s="83">
        <v>100107</v>
      </c>
      <c r="H1208" s="83" t="s">
        <v>246</v>
      </c>
      <c r="I1208" s="83"/>
      <c r="J1208" s="83" t="s">
        <v>244</v>
      </c>
      <c r="K1208" s="83">
        <v>1</v>
      </c>
      <c r="L1208" s="83" t="s">
        <v>131</v>
      </c>
      <c r="M1208" s="83">
        <f>ROUNDDOWN(VLOOKUP(J1208,Sheet1!$N$32:$O$37,2,0)*1000,0)</f>
        <v>476</v>
      </c>
      <c r="N1208" s="83"/>
      <c r="O1208" s="83">
        <f t="shared" si="119"/>
        <v>0.00502125594691815</v>
      </c>
      <c r="P1208" s="83">
        <v>11000</v>
      </c>
    </row>
    <row r="1209" spans="1:16">
      <c r="A1209" s="76">
        <v>1207</v>
      </c>
      <c r="B1209" s="83">
        <v>11200</v>
      </c>
      <c r="C1209" s="83">
        <v>7</v>
      </c>
      <c r="D1209" s="83">
        <f t="shared" si="117"/>
        <v>51178</v>
      </c>
      <c r="E1209" s="83">
        <f t="shared" si="120"/>
        <v>51654</v>
      </c>
      <c r="F1209" s="83"/>
      <c r="G1209" s="83">
        <v>100108</v>
      </c>
      <c r="H1209" s="83" t="s">
        <v>247</v>
      </c>
      <c r="I1209" s="83"/>
      <c r="J1209" s="83" t="s">
        <v>244</v>
      </c>
      <c r="K1209" s="83">
        <v>1</v>
      </c>
      <c r="L1209" s="83" t="s">
        <v>131</v>
      </c>
      <c r="M1209" s="83">
        <f>ROUNDDOWN(VLOOKUP(J1209,Sheet1!$N$32:$O$37,2,0)*1000,0)</f>
        <v>476</v>
      </c>
      <c r="N1209" s="83"/>
      <c r="O1209" s="83">
        <f t="shared" si="119"/>
        <v>0.00502125594691815</v>
      </c>
      <c r="P1209" s="83">
        <v>11000</v>
      </c>
    </row>
    <row r="1210" spans="1:16">
      <c r="A1210" s="76">
        <v>1208</v>
      </c>
      <c r="B1210" s="83">
        <v>11200</v>
      </c>
      <c r="C1210" s="83">
        <v>7</v>
      </c>
      <c r="D1210" s="83">
        <f t="shared" si="117"/>
        <v>51654</v>
      </c>
      <c r="E1210" s="83">
        <f t="shared" si="120"/>
        <v>52130</v>
      </c>
      <c r="F1210" s="83"/>
      <c r="G1210" s="83">
        <v>100113</v>
      </c>
      <c r="H1210" s="83" t="s">
        <v>248</v>
      </c>
      <c r="I1210" s="83"/>
      <c r="J1210" s="83" t="s">
        <v>244</v>
      </c>
      <c r="K1210" s="83">
        <v>1</v>
      </c>
      <c r="L1210" s="83" t="s">
        <v>131</v>
      </c>
      <c r="M1210" s="83">
        <f>ROUNDDOWN(VLOOKUP(J1210,Sheet1!$N$32:$O$37,2,0)*1000,0)</f>
        <v>476</v>
      </c>
      <c r="N1210" s="83"/>
      <c r="O1210" s="83">
        <f t="shared" si="119"/>
        <v>0.00502125594691815</v>
      </c>
      <c r="P1210" s="83">
        <v>11000</v>
      </c>
    </row>
    <row r="1211" spans="1:16">
      <c r="A1211" s="76">
        <v>1209</v>
      </c>
      <c r="B1211" s="83">
        <v>11200</v>
      </c>
      <c r="C1211" s="83">
        <v>7</v>
      </c>
      <c r="D1211" s="83">
        <f t="shared" si="117"/>
        <v>52130</v>
      </c>
      <c r="E1211" s="83">
        <f t="shared" si="120"/>
        <v>52606</v>
      </c>
      <c r="F1211" s="83"/>
      <c r="G1211" s="83">
        <v>100114</v>
      </c>
      <c r="H1211" s="83" t="s">
        <v>249</v>
      </c>
      <c r="I1211" s="83"/>
      <c r="J1211" s="83" t="s">
        <v>244</v>
      </c>
      <c r="K1211" s="83">
        <v>1</v>
      </c>
      <c r="L1211" s="83" t="s">
        <v>131</v>
      </c>
      <c r="M1211" s="83">
        <f>ROUNDDOWN(VLOOKUP(J1211,Sheet1!$N$32:$O$37,2,0)*1000,0)</f>
        <v>476</v>
      </c>
      <c r="N1211" s="83"/>
      <c r="O1211" s="83">
        <f t="shared" si="119"/>
        <v>0.00502125594691815</v>
      </c>
      <c r="P1211" s="83">
        <v>11000</v>
      </c>
    </row>
    <row r="1212" spans="1:16">
      <c r="A1212" s="76">
        <v>1210</v>
      </c>
      <c r="B1212" s="83">
        <v>11200</v>
      </c>
      <c r="C1212" s="83">
        <v>7</v>
      </c>
      <c r="D1212" s="83">
        <f t="shared" si="117"/>
        <v>52606</v>
      </c>
      <c r="E1212" s="83">
        <f t="shared" si="120"/>
        <v>53082</v>
      </c>
      <c r="F1212" s="83"/>
      <c r="G1212" s="83">
        <v>100116</v>
      </c>
      <c r="H1212" s="83" t="s">
        <v>250</v>
      </c>
      <c r="I1212" s="83"/>
      <c r="J1212" s="83" t="s">
        <v>244</v>
      </c>
      <c r="K1212" s="83">
        <v>1</v>
      </c>
      <c r="L1212" s="83" t="s">
        <v>131</v>
      </c>
      <c r="M1212" s="83">
        <f>ROUNDDOWN(VLOOKUP(J1212,Sheet1!$N$32:$O$37,2,0)*1000,0)</f>
        <v>476</v>
      </c>
      <c r="N1212" s="83"/>
      <c r="O1212" s="83">
        <f t="shared" si="119"/>
        <v>0.00502125594691815</v>
      </c>
      <c r="P1212" s="83">
        <v>11000</v>
      </c>
    </row>
    <row r="1213" spans="1:16">
      <c r="A1213" s="76">
        <v>1211</v>
      </c>
      <c r="B1213" s="83">
        <v>11200</v>
      </c>
      <c r="C1213" s="83">
        <v>7</v>
      </c>
      <c r="D1213" s="83">
        <f t="shared" si="117"/>
        <v>53082</v>
      </c>
      <c r="E1213" s="83">
        <f t="shared" si="120"/>
        <v>53558</v>
      </c>
      <c r="F1213" s="83"/>
      <c r="G1213" s="83">
        <v>100120</v>
      </c>
      <c r="H1213" s="83" t="s">
        <v>251</v>
      </c>
      <c r="I1213" s="83"/>
      <c r="J1213" s="83" t="s">
        <v>244</v>
      </c>
      <c r="K1213" s="83">
        <v>1</v>
      </c>
      <c r="L1213" s="83" t="s">
        <v>131</v>
      </c>
      <c r="M1213" s="83">
        <f>ROUNDDOWN(VLOOKUP(J1213,Sheet1!$N$32:$O$37,2,0)*1000,0)</f>
        <v>476</v>
      </c>
      <c r="N1213" s="83"/>
      <c r="O1213" s="83">
        <f t="shared" si="119"/>
        <v>0.00502125594691815</v>
      </c>
      <c r="P1213" s="83">
        <v>11000</v>
      </c>
    </row>
    <row r="1214" spans="1:16">
      <c r="A1214" s="76">
        <v>1212</v>
      </c>
      <c r="B1214" s="83">
        <v>11200</v>
      </c>
      <c r="C1214" s="83">
        <v>7</v>
      </c>
      <c r="D1214" s="83">
        <f t="shared" si="117"/>
        <v>53558</v>
      </c>
      <c r="E1214" s="83">
        <f t="shared" si="120"/>
        <v>54034</v>
      </c>
      <c r="F1214" s="83"/>
      <c r="G1214" s="83">
        <v>100125</v>
      </c>
      <c r="H1214" s="83" t="s">
        <v>252</v>
      </c>
      <c r="I1214" s="83"/>
      <c r="J1214" s="83" t="s">
        <v>244</v>
      </c>
      <c r="K1214" s="83">
        <v>1</v>
      </c>
      <c r="L1214" s="83" t="s">
        <v>131</v>
      </c>
      <c r="M1214" s="83">
        <f>ROUNDDOWN(VLOOKUP(J1214,Sheet1!$N$32:$O$37,2,0)*1000,0)</f>
        <v>476</v>
      </c>
      <c r="N1214" s="83"/>
      <c r="O1214" s="83">
        <f t="shared" si="119"/>
        <v>0.00502125594691815</v>
      </c>
      <c r="P1214" s="83">
        <v>11000</v>
      </c>
    </row>
    <row r="1215" spans="1:16">
      <c r="A1215" s="76">
        <v>1213</v>
      </c>
      <c r="B1215" s="83">
        <v>11200</v>
      </c>
      <c r="C1215" s="83">
        <v>7</v>
      </c>
      <c r="D1215" s="83">
        <f t="shared" si="117"/>
        <v>54034</v>
      </c>
      <c r="E1215" s="83">
        <f t="shared" si="120"/>
        <v>54510</v>
      </c>
      <c r="F1215" s="83"/>
      <c r="G1215" s="83">
        <v>100126</v>
      </c>
      <c r="H1215" s="83" t="s">
        <v>253</v>
      </c>
      <c r="I1215" s="83"/>
      <c r="J1215" s="83" t="s">
        <v>244</v>
      </c>
      <c r="K1215" s="83">
        <v>1</v>
      </c>
      <c r="L1215" s="83" t="s">
        <v>131</v>
      </c>
      <c r="M1215" s="83">
        <f>ROUNDDOWN(VLOOKUP(J1215,Sheet1!$N$32:$O$37,2,0)*1000,0)</f>
        <v>476</v>
      </c>
      <c r="N1215" s="83"/>
      <c r="O1215" s="83">
        <f t="shared" si="119"/>
        <v>0.00502125594691815</v>
      </c>
      <c r="P1215" s="83">
        <v>11000</v>
      </c>
    </row>
    <row r="1216" spans="1:16">
      <c r="A1216" s="76">
        <v>1214</v>
      </c>
      <c r="B1216" s="83">
        <v>11200</v>
      </c>
      <c r="C1216" s="83">
        <v>7</v>
      </c>
      <c r="D1216" s="83">
        <f t="shared" si="117"/>
        <v>54510</v>
      </c>
      <c r="E1216" s="83">
        <f t="shared" si="120"/>
        <v>54986</v>
      </c>
      <c r="F1216" s="83"/>
      <c r="G1216" s="83">
        <v>100127</v>
      </c>
      <c r="H1216" s="83" t="s">
        <v>254</v>
      </c>
      <c r="I1216" s="83"/>
      <c r="J1216" s="83" t="s">
        <v>244</v>
      </c>
      <c r="K1216" s="83">
        <v>1</v>
      </c>
      <c r="L1216" s="83" t="s">
        <v>131</v>
      </c>
      <c r="M1216" s="83">
        <f>ROUNDDOWN(VLOOKUP(J1216,Sheet1!$N$32:$O$37,2,0)*1000,0)</f>
        <v>476</v>
      </c>
      <c r="N1216" s="83"/>
      <c r="O1216" s="83">
        <f t="shared" si="119"/>
        <v>0.00502125594691815</v>
      </c>
      <c r="P1216" s="83">
        <v>11000</v>
      </c>
    </row>
    <row r="1217" spans="1:16">
      <c r="A1217" s="76">
        <v>1215</v>
      </c>
      <c r="B1217" s="83">
        <v>11200</v>
      </c>
      <c r="C1217" s="83">
        <v>7</v>
      </c>
      <c r="D1217" s="83">
        <f t="shared" si="117"/>
        <v>54986</v>
      </c>
      <c r="E1217" s="83">
        <f t="shared" si="120"/>
        <v>55462</v>
      </c>
      <c r="F1217" s="83"/>
      <c r="G1217" s="83">
        <v>100132</v>
      </c>
      <c r="H1217" s="83" t="s">
        <v>255</v>
      </c>
      <c r="I1217" s="83"/>
      <c r="J1217" s="83" t="s">
        <v>244</v>
      </c>
      <c r="K1217" s="83">
        <v>1</v>
      </c>
      <c r="L1217" s="83" t="s">
        <v>131</v>
      </c>
      <c r="M1217" s="83">
        <f>ROUNDDOWN(VLOOKUP(J1217,Sheet1!$N$32:$O$37,2,0)*1000,0)</f>
        <v>476</v>
      </c>
      <c r="N1217" s="83"/>
      <c r="O1217" s="83">
        <f t="shared" si="119"/>
        <v>0.00502125594691815</v>
      </c>
      <c r="P1217" s="83">
        <v>11000</v>
      </c>
    </row>
    <row r="1218" spans="1:16">
      <c r="A1218" s="76">
        <v>1216</v>
      </c>
      <c r="B1218" s="83">
        <v>11200</v>
      </c>
      <c r="C1218" s="83">
        <v>7</v>
      </c>
      <c r="D1218" s="83">
        <f t="shared" si="117"/>
        <v>55462</v>
      </c>
      <c r="E1218" s="83">
        <f t="shared" si="120"/>
        <v>55938</v>
      </c>
      <c r="F1218" s="83"/>
      <c r="G1218" s="83">
        <v>100133</v>
      </c>
      <c r="H1218" s="83" t="s">
        <v>256</v>
      </c>
      <c r="I1218" s="83"/>
      <c r="J1218" s="83" t="s">
        <v>244</v>
      </c>
      <c r="K1218" s="83">
        <v>1</v>
      </c>
      <c r="L1218" s="83" t="s">
        <v>131</v>
      </c>
      <c r="M1218" s="83">
        <f>ROUNDDOWN(VLOOKUP(J1218,Sheet1!$N$32:$O$37,2,0)*1000,0)</f>
        <v>476</v>
      </c>
      <c r="N1218" s="83"/>
      <c r="O1218" s="83">
        <f t="shared" si="119"/>
        <v>0.00502125594691815</v>
      </c>
      <c r="P1218" s="83">
        <v>11000</v>
      </c>
    </row>
    <row r="1219" spans="1:16">
      <c r="A1219" s="76">
        <v>1217</v>
      </c>
      <c r="B1219" s="83">
        <v>11200</v>
      </c>
      <c r="C1219" s="83">
        <v>7</v>
      </c>
      <c r="D1219" s="83">
        <f t="shared" si="117"/>
        <v>55938</v>
      </c>
      <c r="E1219" s="83">
        <f t="shared" si="120"/>
        <v>56414</v>
      </c>
      <c r="F1219" s="83"/>
      <c r="G1219" s="83">
        <v>100134</v>
      </c>
      <c r="H1219" s="83" t="s">
        <v>257</v>
      </c>
      <c r="I1219" s="83"/>
      <c r="J1219" s="83" t="s">
        <v>244</v>
      </c>
      <c r="K1219" s="83">
        <v>1</v>
      </c>
      <c r="L1219" s="83" t="s">
        <v>131</v>
      </c>
      <c r="M1219" s="83">
        <f>ROUNDDOWN(VLOOKUP(J1219,Sheet1!$N$32:$O$37,2,0)*1000,0)</f>
        <v>476</v>
      </c>
      <c r="N1219" s="83"/>
      <c r="O1219" s="83">
        <f t="shared" ref="O1219:O1238" si="121">(E1219-D1219)/$E$1238</f>
        <v>0.00502125594691815</v>
      </c>
      <c r="P1219" s="83">
        <v>11000</v>
      </c>
    </row>
    <row r="1220" spans="1:16">
      <c r="A1220" s="76">
        <v>1218</v>
      </c>
      <c r="B1220" s="83">
        <v>11200</v>
      </c>
      <c r="C1220" s="83">
        <v>7</v>
      </c>
      <c r="D1220" s="83">
        <f t="shared" si="117"/>
        <v>56414</v>
      </c>
      <c r="E1220" s="83">
        <f t="shared" si="120"/>
        <v>56890</v>
      </c>
      <c r="F1220" s="83"/>
      <c r="G1220" s="83">
        <v>100135</v>
      </c>
      <c r="H1220" s="83" t="s">
        <v>258</v>
      </c>
      <c r="I1220" s="83"/>
      <c r="J1220" s="83" t="s">
        <v>244</v>
      </c>
      <c r="K1220" s="83">
        <v>1</v>
      </c>
      <c r="L1220" s="83" t="s">
        <v>131</v>
      </c>
      <c r="M1220" s="83">
        <f>ROUNDDOWN(VLOOKUP(J1220,Sheet1!$N$32:$O$37,2,0)*1000,0)</f>
        <v>476</v>
      </c>
      <c r="N1220" s="83"/>
      <c r="O1220" s="83">
        <f t="shared" si="121"/>
        <v>0.00502125594691815</v>
      </c>
      <c r="P1220" s="83">
        <v>11000</v>
      </c>
    </row>
    <row r="1221" spans="1:16">
      <c r="A1221" s="76">
        <v>1219</v>
      </c>
      <c r="B1221" s="83">
        <v>11200</v>
      </c>
      <c r="C1221" s="83">
        <v>7</v>
      </c>
      <c r="D1221" s="83">
        <f t="shared" si="117"/>
        <v>56890</v>
      </c>
      <c r="E1221" s="83">
        <f t="shared" si="120"/>
        <v>57366</v>
      </c>
      <c r="F1221" s="83"/>
      <c r="G1221" s="83">
        <v>100136</v>
      </c>
      <c r="H1221" s="83" t="s">
        <v>259</v>
      </c>
      <c r="I1221" s="83"/>
      <c r="J1221" s="83" t="s">
        <v>244</v>
      </c>
      <c r="K1221" s="83">
        <v>1</v>
      </c>
      <c r="L1221" s="83" t="s">
        <v>131</v>
      </c>
      <c r="M1221" s="83">
        <f>ROUNDDOWN(VLOOKUP(J1221,Sheet1!$N$32:$O$37,2,0)*1000,0)</f>
        <v>476</v>
      </c>
      <c r="N1221" s="83"/>
      <c r="O1221" s="83">
        <f t="shared" si="121"/>
        <v>0.00502125594691815</v>
      </c>
      <c r="P1221" s="83">
        <v>11000</v>
      </c>
    </row>
    <row r="1222" spans="1:16">
      <c r="A1222" s="76">
        <v>1220</v>
      </c>
      <c r="B1222" s="83">
        <v>11200</v>
      </c>
      <c r="C1222" s="83">
        <v>7</v>
      </c>
      <c r="D1222" s="83">
        <f t="shared" si="117"/>
        <v>57366</v>
      </c>
      <c r="E1222" s="83">
        <f t="shared" si="120"/>
        <v>57842</v>
      </c>
      <c r="F1222" s="83"/>
      <c r="G1222" s="83">
        <v>100137</v>
      </c>
      <c r="H1222" s="83" t="s">
        <v>260</v>
      </c>
      <c r="I1222" s="83"/>
      <c r="J1222" s="83" t="s">
        <v>244</v>
      </c>
      <c r="K1222" s="83">
        <v>1</v>
      </c>
      <c r="L1222" s="83" t="s">
        <v>131</v>
      </c>
      <c r="M1222" s="83">
        <f>ROUNDDOWN(VLOOKUP(J1222,Sheet1!$N$32:$O$37,2,0)*1000,0)</f>
        <v>476</v>
      </c>
      <c r="N1222" s="83"/>
      <c r="O1222" s="83">
        <f t="shared" si="121"/>
        <v>0.00502125594691815</v>
      </c>
      <c r="P1222" s="83">
        <v>11000</v>
      </c>
    </row>
    <row r="1223" spans="1:16">
      <c r="A1223" s="76">
        <v>1221</v>
      </c>
      <c r="B1223" s="83">
        <v>11200</v>
      </c>
      <c r="C1223" s="83">
        <v>7</v>
      </c>
      <c r="D1223" s="83">
        <f t="shared" si="117"/>
        <v>57842</v>
      </c>
      <c r="E1223" s="83">
        <f t="shared" si="120"/>
        <v>58318</v>
      </c>
      <c r="F1223" s="83"/>
      <c r="G1223" s="83">
        <v>100138</v>
      </c>
      <c r="H1223" s="83" t="s">
        <v>261</v>
      </c>
      <c r="I1223" s="83"/>
      <c r="J1223" s="83" t="s">
        <v>244</v>
      </c>
      <c r="K1223" s="83">
        <v>1</v>
      </c>
      <c r="L1223" s="83" t="s">
        <v>131</v>
      </c>
      <c r="M1223" s="83">
        <f>ROUNDDOWN(VLOOKUP(J1223,Sheet1!$N$32:$O$37,2,0)*1000,0)</f>
        <v>476</v>
      </c>
      <c r="N1223" s="83"/>
      <c r="O1223" s="83">
        <f t="shared" si="121"/>
        <v>0.00502125594691815</v>
      </c>
      <c r="P1223" s="83">
        <v>11000</v>
      </c>
    </row>
    <row r="1224" spans="1:16">
      <c r="A1224" s="76">
        <v>1222</v>
      </c>
      <c r="B1224" s="83">
        <v>11200</v>
      </c>
      <c r="C1224" s="83">
        <v>7</v>
      </c>
      <c r="D1224" s="83">
        <f t="shared" si="117"/>
        <v>58318</v>
      </c>
      <c r="E1224" s="83">
        <f t="shared" si="120"/>
        <v>58794</v>
      </c>
      <c r="F1224" s="83"/>
      <c r="G1224" s="83">
        <v>100144</v>
      </c>
      <c r="H1224" s="83" t="s">
        <v>262</v>
      </c>
      <c r="I1224" s="83"/>
      <c r="J1224" s="83" t="s">
        <v>244</v>
      </c>
      <c r="K1224" s="83">
        <v>1</v>
      </c>
      <c r="L1224" s="83" t="s">
        <v>131</v>
      </c>
      <c r="M1224" s="83">
        <f>ROUNDDOWN(VLOOKUP(J1224,Sheet1!$N$32:$O$37,2,0)*1000,0)</f>
        <v>476</v>
      </c>
      <c r="N1224" s="83"/>
      <c r="O1224" s="83">
        <f t="shared" si="121"/>
        <v>0.00502125594691815</v>
      </c>
      <c r="P1224" s="83">
        <v>11000</v>
      </c>
    </row>
    <row r="1225" spans="1:16">
      <c r="A1225" s="76">
        <v>1223</v>
      </c>
      <c r="B1225" s="83">
        <v>11200</v>
      </c>
      <c r="C1225" s="83">
        <v>7</v>
      </c>
      <c r="D1225" s="83">
        <f t="shared" si="117"/>
        <v>58794</v>
      </c>
      <c r="E1225" s="83">
        <f t="shared" si="120"/>
        <v>59270</v>
      </c>
      <c r="F1225" s="83"/>
      <c r="G1225" s="83">
        <v>100148</v>
      </c>
      <c r="H1225" s="83" t="s">
        <v>263</v>
      </c>
      <c r="I1225" s="83"/>
      <c r="J1225" s="83" t="s">
        <v>244</v>
      </c>
      <c r="K1225" s="83">
        <v>1</v>
      </c>
      <c r="L1225" s="83" t="s">
        <v>131</v>
      </c>
      <c r="M1225" s="83">
        <f>ROUNDDOWN(VLOOKUP(J1225,Sheet1!$N$32:$O$37,2,0)*1000,0)</f>
        <v>476</v>
      </c>
      <c r="N1225" s="83"/>
      <c r="O1225" s="83">
        <f t="shared" si="121"/>
        <v>0.00502125594691815</v>
      </c>
      <c r="P1225" s="83">
        <v>11000</v>
      </c>
    </row>
    <row r="1226" spans="1:16">
      <c r="A1226" s="76">
        <v>1224</v>
      </c>
      <c r="B1226" s="83">
        <v>11200</v>
      </c>
      <c r="C1226" s="83">
        <v>7</v>
      </c>
      <c r="D1226" s="83">
        <f t="shared" si="117"/>
        <v>59270</v>
      </c>
      <c r="E1226" s="83">
        <f t="shared" si="120"/>
        <v>59746</v>
      </c>
      <c r="F1226" s="83"/>
      <c r="G1226" s="83">
        <v>100139</v>
      </c>
      <c r="H1226" s="83" t="s">
        <v>264</v>
      </c>
      <c r="I1226" s="83"/>
      <c r="J1226" s="83" t="s">
        <v>244</v>
      </c>
      <c r="K1226" s="83">
        <v>1</v>
      </c>
      <c r="L1226" s="83" t="s">
        <v>131</v>
      </c>
      <c r="M1226" s="83">
        <f>ROUNDDOWN(VLOOKUP(J1226,Sheet1!$N$32:$O$37,2,0)*1000,0)</f>
        <v>476</v>
      </c>
      <c r="N1226" s="83"/>
      <c r="O1226" s="83">
        <f t="shared" si="121"/>
        <v>0.00502125594691815</v>
      </c>
      <c r="P1226" s="83">
        <v>11000</v>
      </c>
    </row>
    <row r="1227" spans="1:16">
      <c r="A1227" s="76">
        <v>1225</v>
      </c>
      <c r="B1227" s="83">
        <v>11200</v>
      </c>
      <c r="C1227" s="83">
        <v>2</v>
      </c>
      <c r="D1227" s="83">
        <f t="shared" si="117"/>
        <v>59746</v>
      </c>
      <c r="E1227" s="83">
        <f t="shared" si="120"/>
        <v>62927</v>
      </c>
      <c r="F1227" s="83"/>
      <c r="G1227" s="83">
        <v>907009</v>
      </c>
      <c r="H1227" s="83" t="s">
        <v>265</v>
      </c>
      <c r="I1227" s="83"/>
      <c r="J1227" s="83" t="s">
        <v>266</v>
      </c>
      <c r="K1227" s="83">
        <v>1</v>
      </c>
      <c r="L1227" s="83" t="s">
        <v>131</v>
      </c>
      <c r="M1227" s="83">
        <f>ROUNDDOWN(VLOOKUP(J1227,Sheet1!$N$32:$O$37,2,0)*1000,0)</f>
        <v>3181</v>
      </c>
      <c r="N1227" s="83"/>
      <c r="O1227" s="83">
        <f t="shared" si="121"/>
        <v>0.0335559142166946</v>
      </c>
      <c r="P1227" s="83">
        <v>11000</v>
      </c>
    </row>
    <row r="1228" spans="1:16">
      <c r="A1228" s="76">
        <v>1226</v>
      </c>
      <c r="B1228" s="83">
        <v>11200</v>
      </c>
      <c r="C1228" s="83">
        <v>2</v>
      </c>
      <c r="D1228" s="83">
        <f t="shared" si="117"/>
        <v>62927</v>
      </c>
      <c r="E1228" s="83">
        <f t="shared" si="120"/>
        <v>66108</v>
      </c>
      <c r="F1228" s="83"/>
      <c r="G1228" s="83">
        <v>907010</v>
      </c>
      <c r="H1228" s="83" t="s">
        <v>267</v>
      </c>
      <c r="I1228" s="83"/>
      <c r="J1228" s="83" t="s">
        <v>266</v>
      </c>
      <c r="K1228" s="83">
        <v>1</v>
      </c>
      <c r="L1228" s="83" t="s">
        <v>131</v>
      </c>
      <c r="M1228" s="83">
        <f>ROUNDDOWN(VLOOKUP(J1228,Sheet1!$N$32:$O$37,2,0)*1000,0)</f>
        <v>3181</v>
      </c>
      <c r="N1228" s="83"/>
      <c r="O1228" s="83">
        <f t="shared" si="121"/>
        <v>0.0335559142166946</v>
      </c>
      <c r="P1228" s="83">
        <v>11000</v>
      </c>
    </row>
    <row r="1229" spans="1:16">
      <c r="A1229" s="76">
        <v>1227</v>
      </c>
      <c r="B1229" s="83">
        <v>11200</v>
      </c>
      <c r="C1229" s="83">
        <v>2</v>
      </c>
      <c r="D1229" s="83">
        <f t="shared" si="117"/>
        <v>66108</v>
      </c>
      <c r="E1229" s="83">
        <f t="shared" si="120"/>
        <v>69289</v>
      </c>
      <c r="F1229" s="83"/>
      <c r="G1229" s="83">
        <v>907011</v>
      </c>
      <c r="H1229" s="83" t="s">
        <v>268</v>
      </c>
      <c r="I1229" s="83"/>
      <c r="J1229" s="83" t="s">
        <v>266</v>
      </c>
      <c r="K1229" s="83">
        <v>1</v>
      </c>
      <c r="L1229" s="83" t="s">
        <v>131</v>
      </c>
      <c r="M1229" s="83">
        <f>ROUNDDOWN(VLOOKUP(J1229,Sheet1!$N$32:$O$37,2,0)*1000,0)</f>
        <v>3181</v>
      </c>
      <c r="N1229" s="83"/>
      <c r="O1229" s="83">
        <f t="shared" si="121"/>
        <v>0.0335559142166946</v>
      </c>
      <c r="P1229" s="83">
        <v>11000</v>
      </c>
    </row>
    <row r="1230" spans="1:16">
      <c r="A1230" s="76">
        <v>1228</v>
      </c>
      <c r="B1230" s="83">
        <v>11200</v>
      </c>
      <c r="C1230" s="83">
        <v>2</v>
      </c>
      <c r="D1230" s="83">
        <f t="shared" si="117"/>
        <v>69289</v>
      </c>
      <c r="E1230" s="83">
        <f t="shared" si="120"/>
        <v>72470</v>
      </c>
      <c r="F1230" s="83"/>
      <c r="G1230" s="83">
        <v>907012</v>
      </c>
      <c r="H1230" s="83" t="s">
        <v>269</v>
      </c>
      <c r="I1230" s="83"/>
      <c r="J1230" s="83" t="s">
        <v>266</v>
      </c>
      <c r="K1230" s="83">
        <v>1</v>
      </c>
      <c r="L1230" s="83" t="s">
        <v>131</v>
      </c>
      <c r="M1230" s="83">
        <f>ROUNDDOWN(VLOOKUP(J1230,Sheet1!$N$32:$O$37,2,0)*1000,0)</f>
        <v>3181</v>
      </c>
      <c r="N1230" s="83"/>
      <c r="O1230" s="83">
        <f t="shared" si="121"/>
        <v>0.0335559142166946</v>
      </c>
      <c r="P1230" s="83">
        <v>11000</v>
      </c>
    </row>
    <row r="1231" spans="1:16">
      <c r="A1231" s="76">
        <v>1229</v>
      </c>
      <c r="B1231" s="83">
        <v>11200</v>
      </c>
      <c r="C1231" s="83">
        <v>2</v>
      </c>
      <c r="D1231" s="83">
        <f t="shared" si="117"/>
        <v>72470</v>
      </c>
      <c r="E1231" s="83">
        <f t="shared" si="120"/>
        <v>75651</v>
      </c>
      <c r="F1231" s="83"/>
      <c r="G1231" s="83">
        <v>907014</v>
      </c>
      <c r="H1231" s="83" t="s">
        <v>270</v>
      </c>
      <c r="I1231" s="83"/>
      <c r="J1231" s="83" t="s">
        <v>266</v>
      </c>
      <c r="K1231" s="83">
        <v>1</v>
      </c>
      <c r="L1231" s="83" t="s">
        <v>131</v>
      </c>
      <c r="M1231" s="83">
        <f>ROUNDDOWN(VLOOKUP(J1231,Sheet1!$N$32:$O$37,2,0)*1000,0)</f>
        <v>3181</v>
      </c>
      <c r="N1231" s="83"/>
      <c r="O1231" s="83">
        <f t="shared" si="121"/>
        <v>0.0335559142166946</v>
      </c>
      <c r="P1231" s="83">
        <v>11000</v>
      </c>
    </row>
    <row r="1232" spans="1:16">
      <c r="A1232" s="76">
        <v>1230</v>
      </c>
      <c r="B1232" s="83">
        <v>11200</v>
      </c>
      <c r="C1232" s="83">
        <v>2</v>
      </c>
      <c r="D1232" s="83">
        <f t="shared" si="117"/>
        <v>75651</v>
      </c>
      <c r="E1232" s="83">
        <f t="shared" si="120"/>
        <v>78832</v>
      </c>
      <c r="F1232" s="83"/>
      <c r="G1232" s="83">
        <v>907017</v>
      </c>
      <c r="H1232" s="83" t="s">
        <v>271</v>
      </c>
      <c r="I1232" s="83"/>
      <c r="J1232" s="83" t="s">
        <v>266</v>
      </c>
      <c r="K1232" s="83">
        <v>1</v>
      </c>
      <c r="L1232" s="83" t="s">
        <v>131</v>
      </c>
      <c r="M1232" s="83">
        <f>ROUNDDOWN(VLOOKUP(J1232,Sheet1!$N$32:$O$37,2,0)*1000,0)</f>
        <v>3181</v>
      </c>
      <c r="N1232" s="83"/>
      <c r="O1232" s="83">
        <f t="shared" si="121"/>
        <v>0.0335559142166946</v>
      </c>
      <c r="P1232" s="83">
        <v>11000</v>
      </c>
    </row>
    <row r="1233" spans="1:16">
      <c r="A1233" s="76">
        <v>1231</v>
      </c>
      <c r="B1233" s="83">
        <v>11200</v>
      </c>
      <c r="C1233" s="83">
        <v>2</v>
      </c>
      <c r="D1233" s="83">
        <f t="shared" ref="D1233:D1296" si="122">E1232</f>
        <v>78832</v>
      </c>
      <c r="E1233" s="83">
        <f t="shared" si="120"/>
        <v>82013</v>
      </c>
      <c r="F1233" s="83"/>
      <c r="G1233" s="83">
        <v>907018</v>
      </c>
      <c r="H1233" s="83" t="s">
        <v>272</v>
      </c>
      <c r="I1233" s="83"/>
      <c r="J1233" s="83" t="s">
        <v>266</v>
      </c>
      <c r="K1233" s="83">
        <v>1</v>
      </c>
      <c r="L1233" s="83" t="s">
        <v>131</v>
      </c>
      <c r="M1233" s="83">
        <f>ROUNDDOWN(VLOOKUP(J1233,Sheet1!$N$32:$O$37,2,0)*1000,0)</f>
        <v>3181</v>
      </c>
      <c r="N1233" s="83"/>
      <c r="O1233" s="83">
        <f t="shared" si="121"/>
        <v>0.0335559142166946</v>
      </c>
      <c r="P1233" s="83">
        <v>11000</v>
      </c>
    </row>
    <row r="1234" spans="1:16">
      <c r="A1234" s="76">
        <v>1232</v>
      </c>
      <c r="B1234" s="83">
        <v>11200</v>
      </c>
      <c r="C1234" s="83">
        <v>2</v>
      </c>
      <c r="D1234" s="83">
        <f t="shared" si="122"/>
        <v>82013</v>
      </c>
      <c r="E1234" s="83">
        <f t="shared" si="120"/>
        <v>85194</v>
      </c>
      <c r="F1234" s="83"/>
      <c r="G1234" s="83">
        <v>907033</v>
      </c>
      <c r="H1234" s="83" t="s">
        <v>273</v>
      </c>
      <c r="I1234" s="83"/>
      <c r="J1234" s="83" t="s">
        <v>266</v>
      </c>
      <c r="K1234" s="83">
        <v>1</v>
      </c>
      <c r="L1234" s="83" t="s">
        <v>131</v>
      </c>
      <c r="M1234" s="83">
        <f>ROUNDDOWN(VLOOKUP(J1234,Sheet1!$N$32:$O$37,2,0)*1000,0)</f>
        <v>3181</v>
      </c>
      <c r="N1234" s="83"/>
      <c r="O1234" s="83">
        <f t="shared" si="121"/>
        <v>0.0335559142166946</v>
      </c>
      <c r="P1234" s="83">
        <v>11000</v>
      </c>
    </row>
    <row r="1235" spans="1:16">
      <c r="A1235" s="76">
        <v>1233</v>
      </c>
      <c r="B1235" s="83">
        <v>11200</v>
      </c>
      <c r="C1235" s="83">
        <v>2</v>
      </c>
      <c r="D1235" s="83">
        <f t="shared" si="122"/>
        <v>85194</v>
      </c>
      <c r="E1235" s="83">
        <f t="shared" si="120"/>
        <v>88375</v>
      </c>
      <c r="F1235" s="83"/>
      <c r="G1235" s="83">
        <v>907035</v>
      </c>
      <c r="H1235" s="83" t="s">
        <v>274</v>
      </c>
      <c r="I1235" s="83"/>
      <c r="J1235" s="83" t="s">
        <v>266</v>
      </c>
      <c r="K1235" s="83">
        <v>1</v>
      </c>
      <c r="L1235" s="83" t="s">
        <v>131</v>
      </c>
      <c r="M1235" s="83">
        <f>ROUNDDOWN(VLOOKUP(J1235,Sheet1!$N$32:$O$37,2,0)*1000,0)</f>
        <v>3181</v>
      </c>
      <c r="N1235" s="83"/>
      <c r="O1235" s="83">
        <f t="shared" si="121"/>
        <v>0.0335559142166946</v>
      </c>
      <c r="P1235" s="83">
        <v>11000</v>
      </c>
    </row>
    <row r="1236" spans="1:16">
      <c r="A1236" s="76">
        <v>1234</v>
      </c>
      <c r="B1236" s="83">
        <v>11200</v>
      </c>
      <c r="C1236" s="83">
        <v>2</v>
      </c>
      <c r="D1236" s="83">
        <f t="shared" si="122"/>
        <v>88375</v>
      </c>
      <c r="E1236" s="83">
        <f t="shared" si="120"/>
        <v>91556</v>
      </c>
      <c r="F1236" s="83"/>
      <c r="G1236" s="83">
        <v>907036</v>
      </c>
      <c r="H1236" s="83" t="s">
        <v>275</v>
      </c>
      <c r="I1236" s="83"/>
      <c r="J1236" s="83" t="s">
        <v>266</v>
      </c>
      <c r="K1236" s="83">
        <v>1</v>
      </c>
      <c r="L1236" s="83" t="s">
        <v>131</v>
      </c>
      <c r="M1236" s="83">
        <f>ROUNDDOWN(VLOOKUP(J1236,Sheet1!$N$32:$O$37,2,0)*1000,0)</f>
        <v>3181</v>
      </c>
      <c r="N1236" s="83"/>
      <c r="O1236" s="83">
        <f t="shared" si="121"/>
        <v>0.0335559142166946</v>
      </c>
      <c r="P1236" s="83">
        <v>11000</v>
      </c>
    </row>
    <row r="1237" spans="1:16">
      <c r="A1237" s="76">
        <v>1235</v>
      </c>
      <c r="B1237" s="83">
        <v>11200</v>
      </c>
      <c r="C1237" s="83">
        <v>2</v>
      </c>
      <c r="D1237" s="83">
        <f t="shared" si="122"/>
        <v>91556</v>
      </c>
      <c r="E1237" s="83">
        <f t="shared" si="120"/>
        <v>94737</v>
      </c>
      <c r="F1237" s="83"/>
      <c r="G1237" s="83">
        <v>907038</v>
      </c>
      <c r="H1237" s="83" t="s">
        <v>276</v>
      </c>
      <c r="I1237" s="83"/>
      <c r="J1237" s="83" t="s">
        <v>266</v>
      </c>
      <c r="K1237" s="83">
        <v>1</v>
      </c>
      <c r="L1237" s="83" t="s">
        <v>131</v>
      </c>
      <c r="M1237" s="83">
        <f>ROUNDDOWN(VLOOKUP(J1237,Sheet1!$N$32:$O$37,2,0)*1000,0)</f>
        <v>3181</v>
      </c>
      <c r="N1237" s="83"/>
      <c r="O1237" s="83">
        <f t="shared" si="121"/>
        <v>0.0335559142166946</v>
      </c>
      <c r="P1237" s="83">
        <v>11000</v>
      </c>
    </row>
    <row r="1238" spans="1:16">
      <c r="A1238" s="76">
        <v>1236</v>
      </c>
      <c r="B1238" s="83">
        <v>11200</v>
      </c>
      <c r="C1238" s="83">
        <v>6</v>
      </c>
      <c r="D1238" s="83">
        <f t="shared" si="122"/>
        <v>94737</v>
      </c>
      <c r="E1238" s="83">
        <f t="shared" si="120"/>
        <v>94797</v>
      </c>
      <c r="F1238" s="83"/>
      <c r="G1238" s="83" t="s">
        <v>277</v>
      </c>
      <c r="H1238" s="83" t="s">
        <v>278</v>
      </c>
      <c r="I1238" s="83"/>
      <c r="J1238" s="83" t="s">
        <v>279</v>
      </c>
      <c r="K1238" s="83">
        <v>1</v>
      </c>
      <c r="L1238" s="83" t="s">
        <v>131</v>
      </c>
      <c r="M1238" s="83">
        <f>ROUNDDOWN(VLOOKUP(J1238,Sheet1!$N$32:$O$37,2,0)*1000,0)</f>
        <v>60</v>
      </c>
      <c r="N1238" s="83"/>
      <c r="O1238" s="83">
        <f t="shared" si="121"/>
        <v>0.000632931421880439</v>
      </c>
      <c r="P1238" s="83">
        <v>11000</v>
      </c>
    </row>
    <row r="1239" spans="1:16">
      <c r="A1239" s="76">
        <v>1237</v>
      </c>
      <c r="B1239" s="83">
        <v>11200</v>
      </c>
      <c r="C1239" s="83">
        <v>6</v>
      </c>
      <c r="D1239" s="83">
        <f t="shared" si="122"/>
        <v>94797</v>
      </c>
      <c r="E1239" s="83">
        <f t="shared" si="120"/>
        <v>94857</v>
      </c>
      <c r="F1239" s="83"/>
      <c r="G1239" s="83" t="s">
        <v>280</v>
      </c>
      <c r="H1239" s="83" t="s">
        <v>281</v>
      </c>
      <c r="I1239" s="83"/>
      <c r="J1239" s="83" t="s">
        <v>279</v>
      </c>
      <c r="K1239" s="83">
        <v>1</v>
      </c>
      <c r="L1239" s="83" t="s">
        <v>131</v>
      </c>
      <c r="M1239" s="83">
        <f>ROUNDDOWN(VLOOKUP(J1239,Sheet1!$N$32:$O$37,2,0)*1000,0)</f>
        <v>60</v>
      </c>
      <c r="N1239" s="83"/>
      <c r="O1239" s="83">
        <f t="shared" ref="O1239:O1321" si="123">(E1239-D1239)/$E$438</f>
        <v>0.000659145088819801</v>
      </c>
      <c r="P1239" s="83">
        <v>11001</v>
      </c>
    </row>
    <row r="1240" spans="1:16">
      <c r="A1240" s="76">
        <v>1238</v>
      </c>
      <c r="B1240" s="83">
        <v>11200</v>
      </c>
      <c r="C1240" s="83">
        <v>6</v>
      </c>
      <c r="D1240" s="83">
        <f t="shared" si="122"/>
        <v>94857</v>
      </c>
      <c r="E1240" s="83">
        <f t="shared" si="120"/>
        <v>94917</v>
      </c>
      <c r="F1240" s="83"/>
      <c r="G1240" s="83" t="s">
        <v>282</v>
      </c>
      <c r="H1240" s="83" t="s">
        <v>283</v>
      </c>
      <c r="I1240" s="83"/>
      <c r="J1240" s="83" t="s">
        <v>279</v>
      </c>
      <c r="K1240" s="83">
        <v>1</v>
      </c>
      <c r="L1240" s="83" t="s">
        <v>131</v>
      </c>
      <c r="M1240" s="83">
        <f>ROUNDDOWN(VLOOKUP(J1240,Sheet1!$N$32:$O$37,2,0)*1000,0)</f>
        <v>60</v>
      </c>
      <c r="N1240" s="83"/>
      <c r="O1240" s="83">
        <f t="shared" si="123"/>
        <v>0.000659145088819801</v>
      </c>
      <c r="P1240" s="83">
        <v>11002</v>
      </c>
    </row>
    <row r="1241" spans="1:16">
      <c r="A1241" s="76">
        <v>1239</v>
      </c>
      <c r="B1241" s="83">
        <v>11200</v>
      </c>
      <c r="C1241" s="83">
        <v>6</v>
      </c>
      <c r="D1241" s="83">
        <f t="shared" si="122"/>
        <v>94917</v>
      </c>
      <c r="E1241" s="83">
        <f t="shared" si="120"/>
        <v>94977</v>
      </c>
      <c r="F1241" s="83"/>
      <c r="G1241" s="83" t="s">
        <v>284</v>
      </c>
      <c r="H1241" s="83" t="s">
        <v>285</v>
      </c>
      <c r="I1241" s="83"/>
      <c r="J1241" s="83" t="s">
        <v>279</v>
      </c>
      <c r="K1241" s="83">
        <v>1</v>
      </c>
      <c r="L1241" s="83" t="s">
        <v>131</v>
      </c>
      <c r="M1241" s="83">
        <f>ROUNDDOWN(VLOOKUP(J1241,Sheet1!$N$32:$O$37,2,0)*1000,0)</f>
        <v>60</v>
      </c>
      <c r="N1241" s="83"/>
      <c r="O1241" s="83">
        <f t="shared" si="123"/>
        <v>0.000659145088819801</v>
      </c>
      <c r="P1241" s="83">
        <v>11003</v>
      </c>
    </row>
    <row r="1242" spans="1:16">
      <c r="A1242" s="76">
        <v>1240</v>
      </c>
      <c r="B1242" s="83">
        <v>11200</v>
      </c>
      <c r="C1242" s="83">
        <v>6</v>
      </c>
      <c r="D1242" s="83">
        <f t="shared" si="122"/>
        <v>94977</v>
      </c>
      <c r="E1242" s="83">
        <f t="shared" si="120"/>
        <v>95037</v>
      </c>
      <c r="F1242" s="83"/>
      <c r="G1242" s="83" t="s">
        <v>286</v>
      </c>
      <c r="H1242" s="83" t="s">
        <v>287</v>
      </c>
      <c r="I1242" s="83"/>
      <c r="J1242" s="83" t="s">
        <v>279</v>
      </c>
      <c r="K1242" s="83">
        <v>1</v>
      </c>
      <c r="L1242" s="83" t="s">
        <v>131</v>
      </c>
      <c r="M1242" s="83">
        <f>ROUNDDOWN(VLOOKUP(J1242,Sheet1!$N$32:$O$37,2,0)*1000,0)</f>
        <v>60</v>
      </c>
      <c r="N1242" s="83"/>
      <c r="O1242" s="83">
        <f t="shared" si="123"/>
        <v>0.000659145088819801</v>
      </c>
      <c r="P1242" s="83">
        <v>11004</v>
      </c>
    </row>
    <row r="1243" spans="1:16">
      <c r="A1243" s="76">
        <v>1241</v>
      </c>
      <c r="B1243" s="83">
        <v>11200</v>
      </c>
      <c r="C1243" s="83">
        <v>6</v>
      </c>
      <c r="D1243" s="83">
        <f t="shared" si="122"/>
        <v>95037</v>
      </c>
      <c r="E1243" s="83">
        <f t="shared" si="120"/>
        <v>95097</v>
      </c>
      <c r="F1243" s="83"/>
      <c r="G1243" s="83" t="s">
        <v>288</v>
      </c>
      <c r="H1243" s="83" t="s">
        <v>289</v>
      </c>
      <c r="I1243" s="83"/>
      <c r="J1243" s="83" t="s">
        <v>279</v>
      </c>
      <c r="K1243" s="83">
        <v>1</v>
      </c>
      <c r="L1243" s="83" t="s">
        <v>131</v>
      </c>
      <c r="M1243" s="83">
        <f>ROUNDDOWN(VLOOKUP(J1243,Sheet1!$N$32:$O$37,2,0)*1000,0)</f>
        <v>60</v>
      </c>
      <c r="N1243" s="83"/>
      <c r="O1243" s="83">
        <f t="shared" si="123"/>
        <v>0.000659145088819801</v>
      </c>
      <c r="P1243" s="83">
        <v>11005</v>
      </c>
    </row>
    <row r="1244" spans="1:16">
      <c r="A1244" s="76">
        <v>1242</v>
      </c>
      <c r="B1244" s="83">
        <v>11200</v>
      </c>
      <c r="C1244" s="83">
        <v>6</v>
      </c>
      <c r="D1244" s="83">
        <f t="shared" si="122"/>
        <v>95097</v>
      </c>
      <c r="E1244" s="83">
        <f t="shared" si="120"/>
        <v>95157</v>
      </c>
      <c r="F1244" s="83"/>
      <c r="G1244" s="83" t="s">
        <v>290</v>
      </c>
      <c r="H1244" s="83" t="s">
        <v>291</v>
      </c>
      <c r="I1244" s="83"/>
      <c r="J1244" s="83" t="s">
        <v>279</v>
      </c>
      <c r="K1244" s="83">
        <v>1</v>
      </c>
      <c r="L1244" s="83" t="s">
        <v>131</v>
      </c>
      <c r="M1244" s="83">
        <f>ROUNDDOWN(VLOOKUP(J1244,Sheet1!$N$32:$O$37,2,0)*1000,0)</f>
        <v>60</v>
      </c>
      <c r="N1244" s="83"/>
      <c r="O1244" s="83">
        <f t="shared" si="123"/>
        <v>0.000659145088819801</v>
      </c>
      <c r="P1244" s="83">
        <v>11006</v>
      </c>
    </row>
    <row r="1245" spans="1:16">
      <c r="A1245" s="76">
        <v>1243</v>
      </c>
      <c r="B1245" s="83">
        <v>11200</v>
      </c>
      <c r="C1245" s="83">
        <v>6</v>
      </c>
      <c r="D1245" s="83">
        <f t="shared" si="122"/>
        <v>95157</v>
      </c>
      <c r="E1245" s="83">
        <f t="shared" si="120"/>
        <v>95217</v>
      </c>
      <c r="F1245" s="83"/>
      <c r="G1245" s="83" t="s">
        <v>292</v>
      </c>
      <c r="H1245" s="83" t="s">
        <v>293</v>
      </c>
      <c r="I1245" s="83"/>
      <c r="J1245" s="83" t="s">
        <v>279</v>
      </c>
      <c r="K1245" s="83">
        <v>1</v>
      </c>
      <c r="L1245" s="83" t="s">
        <v>131</v>
      </c>
      <c r="M1245" s="83">
        <f>ROUNDDOWN(VLOOKUP(J1245,Sheet1!$N$32:$O$37,2,0)*1000,0)</f>
        <v>60</v>
      </c>
      <c r="N1245" s="83"/>
      <c r="O1245" s="83">
        <f t="shared" si="123"/>
        <v>0.000659145088819801</v>
      </c>
      <c r="P1245" s="83">
        <v>11007</v>
      </c>
    </row>
    <row r="1246" spans="1:16">
      <c r="A1246" s="76">
        <v>1244</v>
      </c>
      <c r="B1246" s="83">
        <v>11200</v>
      </c>
      <c r="C1246" s="83">
        <v>6</v>
      </c>
      <c r="D1246" s="83">
        <f t="shared" si="122"/>
        <v>95217</v>
      </c>
      <c r="E1246" s="83">
        <f t="shared" si="120"/>
        <v>95277</v>
      </c>
      <c r="F1246" s="83"/>
      <c r="G1246" s="83" t="s">
        <v>294</v>
      </c>
      <c r="H1246" s="83" t="s">
        <v>295</v>
      </c>
      <c r="I1246" s="83"/>
      <c r="J1246" s="83" t="s">
        <v>279</v>
      </c>
      <c r="K1246" s="83">
        <v>1</v>
      </c>
      <c r="L1246" s="83" t="s">
        <v>131</v>
      </c>
      <c r="M1246" s="83">
        <f>ROUNDDOWN(VLOOKUP(J1246,Sheet1!$N$32:$O$37,2,0)*1000,0)</f>
        <v>60</v>
      </c>
      <c r="N1246" s="83"/>
      <c r="O1246" s="83">
        <f t="shared" si="123"/>
        <v>0.000659145088819801</v>
      </c>
      <c r="P1246" s="83">
        <v>11008</v>
      </c>
    </row>
    <row r="1247" spans="1:16">
      <c r="A1247" s="76">
        <v>1245</v>
      </c>
      <c r="B1247" s="83">
        <v>11200</v>
      </c>
      <c r="C1247" s="83">
        <v>6</v>
      </c>
      <c r="D1247" s="83">
        <f t="shared" si="122"/>
        <v>95277</v>
      </c>
      <c r="E1247" s="83">
        <f t="shared" si="120"/>
        <v>95337</v>
      </c>
      <c r="F1247" s="83"/>
      <c r="G1247" s="83" t="s">
        <v>296</v>
      </c>
      <c r="H1247" s="83" t="s">
        <v>297</v>
      </c>
      <c r="I1247" s="83"/>
      <c r="J1247" s="83" t="s">
        <v>279</v>
      </c>
      <c r="K1247" s="83">
        <v>1</v>
      </c>
      <c r="L1247" s="83" t="s">
        <v>131</v>
      </c>
      <c r="M1247" s="83">
        <f>ROUNDDOWN(VLOOKUP(J1247,Sheet1!$N$32:$O$37,2,0)*1000,0)</f>
        <v>60</v>
      </c>
      <c r="N1247" s="83"/>
      <c r="O1247" s="83">
        <f t="shared" si="123"/>
        <v>0.000659145088819801</v>
      </c>
      <c r="P1247" s="83">
        <v>11009</v>
      </c>
    </row>
    <row r="1248" spans="1:16">
      <c r="A1248" s="76">
        <v>1246</v>
      </c>
      <c r="B1248" s="83">
        <v>11200</v>
      </c>
      <c r="C1248" s="83">
        <v>6</v>
      </c>
      <c r="D1248" s="83">
        <f t="shared" si="122"/>
        <v>95337</v>
      </c>
      <c r="E1248" s="83">
        <f t="shared" si="120"/>
        <v>95397</v>
      </c>
      <c r="F1248" s="83"/>
      <c r="G1248" s="83" t="s">
        <v>298</v>
      </c>
      <c r="H1248" s="83" t="s">
        <v>299</v>
      </c>
      <c r="I1248" s="83"/>
      <c r="J1248" s="83" t="s">
        <v>279</v>
      </c>
      <c r="K1248" s="83">
        <v>1</v>
      </c>
      <c r="L1248" s="83" t="s">
        <v>131</v>
      </c>
      <c r="M1248" s="83">
        <f>ROUNDDOWN(VLOOKUP(J1248,Sheet1!$N$32:$O$37,2,0)*1000,0)</f>
        <v>60</v>
      </c>
      <c r="N1248" s="83"/>
      <c r="O1248" s="83">
        <f t="shared" si="123"/>
        <v>0.000659145088819801</v>
      </c>
      <c r="P1248" s="83">
        <v>11010</v>
      </c>
    </row>
    <row r="1249" spans="1:16">
      <c r="A1249" s="76">
        <v>1247</v>
      </c>
      <c r="B1249" s="83">
        <v>11200</v>
      </c>
      <c r="C1249" s="83">
        <v>6</v>
      </c>
      <c r="D1249" s="83">
        <f t="shared" si="122"/>
        <v>95397</v>
      </c>
      <c r="E1249" s="83">
        <f t="shared" si="120"/>
        <v>95457</v>
      </c>
      <c r="F1249" s="83"/>
      <c r="G1249" s="83" t="s">
        <v>300</v>
      </c>
      <c r="H1249" s="83" t="s">
        <v>301</v>
      </c>
      <c r="I1249" s="83"/>
      <c r="J1249" s="83" t="s">
        <v>279</v>
      </c>
      <c r="K1249" s="83">
        <v>1</v>
      </c>
      <c r="L1249" s="83" t="s">
        <v>131</v>
      </c>
      <c r="M1249" s="83">
        <f>ROUNDDOWN(VLOOKUP(J1249,Sheet1!$N$32:$O$37,2,0)*1000,0)</f>
        <v>60</v>
      </c>
      <c r="N1249" s="83"/>
      <c r="O1249" s="83">
        <f t="shared" si="123"/>
        <v>0.000659145088819801</v>
      </c>
      <c r="P1249" s="83">
        <v>11011</v>
      </c>
    </row>
    <row r="1250" spans="1:16">
      <c r="A1250" s="76">
        <v>1248</v>
      </c>
      <c r="B1250" s="83">
        <v>11200</v>
      </c>
      <c r="C1250" s="83">
        <v>6</v>
      </c>
      <c r="D1250" s="83">
        <f t="shared" si="122"/>
        <v>95457</v>
      </c>
      <c r="E1250" s="83">
        <f t="shared" si="120"/>
        <v>95517</v>
      </c>
      <c r="F1250" s="83"/>
      <c r="G1250" s="83" t="s">
        <v>302</v>
      </c>
      <c r="H1250" s="83" t="s">
        <v>303</v>
      </c>
      <c r="I1250" s="83"/>
      <c r="J1250" s="83" t="s">
        <v>279</v>
      </c>
      <c r="K1250" s="83">
        <v>1</v>
      </c>
      <c r="L1250" s="83" t="s">
        <v>131</v>
      </c>
      <c r="M1250" s="83">
        <f>ROUNDDOWN(VLOOKUP(J1250,Sheet1!$N$32:$O$37,2,0)*1000,0)</f>
        <v>60</v>
      </c>
      <c r="N1250" s="83"/>
      <c r="O1250" s="83">
        <f t="shared" si="123"/>
        <v>0.000659145088819801</v>
      </c>
      <c r="P1250" s="83">
        <v>11012</v>
      </c>
    </row>
    <row r="1251" spans="1:16">
      <c r="A1251" s="76">
        <v>1249</v>
      </c>
      <c r="B1251" s="83">
        <v>11200</v>
      </c>
      <c r="C1251" s="83">
        <v>6</v>
      </c>
      <c r="D1251" s="83">
        <f t="shared" si="122"/>
        <v>95517</v>
      </c>
      <c r="E1251" s="83">
        <f t="shared" si="120"/>
        <v>95577</v>
      </c>
      <c r="F1251" s="83"/>
      <c r="G1251" s="83" t="s">
        <v>304</v>
      </c>
      <c r="H1251" s="83" t="s">
        <v>305</v>
      </c>
      <c r="I1251" s="83"/>
      <c r="J1251" s="83" t="s">
        <v>279</v>
      </c>
      <c r="K1251" s="83">
        <v>1</v>
      </c>
      <c r="L1251" s="83" t="s">
        <v>131</v>
      </c>
      <c r="M1251" s="83">
        <f>ROUNDDOWN(VLOOKUP(J1251,Sheet1!$N$32:$O$37,2,0)*1000,0)</f>
        <v>60</v>
      </c>
      <c r="N1251" s="83"/>
      <c r="O1251" s="83">
        <f t="shared" si="123"/>
        <v>0.000659145088819801</v>
      </c>
      <c r="P1251" s="83">
        <v>11013</v>
      </c>
    </row>
    <row r="1252" spans="1:16">
      <c r="A1252" s="76">
        <v>1250</v>
      </c>
      <c r="B1252" s="83">
        <v>11200</v>
      </c>
      <c r="C1252" s="83">
        <v>6</v>
      </c>
      <c r="D1252" s="83">
        <f t="shared" si="122"/>
        <v>95577</v>
      </c>
      <c r="E1252" s="83">
        <f t="shared" si="120"/>
        <v>95637</v>
      </c>
      <c r="F1252" s="83"/>
      <c r="G1252" s="83" t="s">
        <v>306</v>
      </c>
      <c r="H1252" s="83" t="s">
        <v>307</v>
      </c>
      <c r="I1252" s="83"/>
      <c r="J1252" s="83" t="s">
        <v>279</v>
      </c>
      <c r="K1252" s="83">
        <v>1</v>
      </c>
      <c r="L1252" s="83" t="s">
        <v>131</v>
      </c>
      <c r="M1252" s="83">
        <f>ROUNDDOWN(VLOOKUP(J1252,Sheet1!$N$32:$O$37,2,0)*1000,0)</f>
        <v>60</v>
      </c>
      <c r="N1252" s="83"/>
      <c r="O1252" s="83">
        <f t="shared" si="123"/>
        <v>0.000659145088819801</v>
      </c>
      <c r="P1252" s="83">
        <v>11014</v>
      </c>
    </row>
    <row r="1253" spans="1:16">
      <c r="A1253" s="76">
        <v>1251</v>
      </c>
      <c r="B1253" s="83">
        <v>11200</v>
      </c>
      <c r="C1253" s="83">
        <v>6</v>
      </c>
      <c r="D1253" s="83">
        <f t="shared" si="122"/>
        <v>95637</v>
      </c>
      <c r="E1253" s="83">
        <f t="shared" si="120"/>
        <v>95697</v>
      </c>
      <c r="F1253" s="83"/>
      <c r="G1253" s="83" t="s">
        <v>308</v>
      </c>
      <c r="H1253" s="83" t="s">
        <v>309</v>
      </c>
      <c r="I1253" s="83"/>
      <c r="J1253" s="83" t="s">
        <v>279</v>
      </c>
      <c r="K1253" s="83">
        <v>1</v>
      </c>
      <c r="L1253" s="83" t="s">
        <v>131</v>
      </c>
      <c r="M1253" s="83">
        <f>ROUNDDOWN(VLOOKUP(J1253,Sheet1!$N$32:$O$37,2,0)*1000,0)</f>
        <v>60</v>
      </c>
      <c r="N1253" s="83"/>
      <c r="O1253" s="83">
        <f t="shared" si="123"/>
        <v>0.000659145088819801</v>
      </c>
      <c r="P1253" s="83">
        <v>11015</v>
      </c>
    </row>
    <row r="1254" spans="1:16">
      <c r="A1254" s="76">
        <v>1252</v>
      </c>
      <c r="B1254" s="83">
        <v>11200</v>
      </c>
      <c r="C1254" s="83">
        <v>6</v>
      </c>
      <c r="D1254" s="83">
        <f t="shared" si="122"/>
        <v>95697</v>
      </c>
      <c r="E1254" s="83">
        <f t="shared" si="120"/>
        <v>95757</v>
      </c>
      <c r="F1254" s="83"/>
      <c r="G1254" s="83" t="s">
        <v>310</v>
      </c>
      <c r="H1254" s="83" t="s">
        <v>311</v>
      </c>
      <c r="I1254" s="83"/>
      <c r="J1254" s="83" t="s">
        <v>279</v>
      </c>
      <c r="K1254" s="83">
        <v>1</v>
      </c>
      <c r="L1254" s="83" t="s">
        <v>131</v>
      </c>
      <c r="M1254" s="83">
        <f>ROUNDDOWN(VLOOKUP(J1254,Sheet1!$N$32:$O$37,2,0)*1000,0)</f>
        <v>60</v>
      </c>
      <c r="N1254" s="83"/>
      <c r="O1254" s="83">
        <f t="shared" si="123"/>
        <v>0.000659145088819801</v>
      </c>
      <c r="P1254" s="83">
        <v>11016</v>
      </c>
    </row>
    <row r="1255" spans="1:16">
      <c r="A1255" s="76">
        <v>1253</v>
      </c>
      <c r="B1255" s="83">
        <v>11200</v>
      </c>
      <c r="C1255" s="83">
        <v>6</v>
      </c>
      <c r="D1255" s="83">
        <f t="shared" si="122"/>
        <v>95757</v>
      </c>
      <c r="E1255" s="83">
        <f t="shared" si="120"/>
        <v>95817</v>
      </c>
      <c r="F1255" s="83"/>
      <c r="G1255" s="83" t="s">
        <v>312</v>
      </c>
      <c r="H1255" s="83" t="s">
        <v>313</v>
      </c>
      <c r="I1255" s="83"/>
      <c r="J1255" s="83" t="s">
        <v>279</v>
      </c>
      <c r="K1255" s="83">
        <v>1</v>
      </c>
      <c r="L1255" s="83" t="s">
        <v>131</v>
      </c>
      <c r="M1255" s="83">
        <f>ROUNDDOWN(VLOOKUP(J1255,Sheet1!$N$32:$O$37,2,0)*1000,0)</f>
        <v>60</v>
      </c>
      <c r="N1255" s="83"/>
      <c r="O1255" s="83">
        <f t="shared" si="123"/>
        <v>0.000659145088819801</v>
      </c>
      <c r="P1255" s="83">
        <v>11017</v>
      </c>
    </row>
    <row r="1256" spans="1:16">
      <c r="A1256" s="76">
        <v>1254</v>
      </c>
      <c r="B1256" s="83">
        <v>11200</v>
      </c>
      <c r="C1256" s="83">
        <v>6</v>
      </c>
      <c r="D1256" s="83">
        <f t="shared" si="122"/>
        <v>95817</v>
      </c>
      <c r="E1256" s="83">
        <f t="shared" si="120"/>
        <v>95877</v>
      </c>
      <c r="F1256" s="83"/>
      <c r="G1256" s="83" t="s">
        <v>314</v>
      </c>
      <c r="H1256" s="83" t="s">
        <v>315</v>
      </c>
      <c r="I1256" s="83"/>
      <c r="J1256" s="83" t="s">
        <v>279</v>
      </c>
      <c r="K1256" s="83">
        <v>1</v>
      </c>
      <c r="L1256" s="83" t="s">
        <v>131</v>
      </c>
      <c r="M1256" s="83">
        <f>ROUNDDOWN(VLOOKUP(J1256,Sheet1!$N$32:$O$37,2,0)*1000,0)</f>
        <v>60</v>
      </c>
      <c r="N1256" s="83"/>
      <c r="O1256" s="83">
        <f t="shared" si="123"/>
        <v>0.000659145088819801</v>
      </c>
      <c r="P1256" s="83">
        <v>11018</v>
      </c>
    </row>
    <row r="1257" spans="1:16">
      <c r="A1257" s="76">
        <v>1255</v>
      </c>
      <c r="B1257" s="83">
        <v>11200</v>
      </c>
      <c r="C1257" s="83">
        <v>6</v>
      </c>
      <c r="D1257" s="83">
        <f t="shared" si="122"/>
        <v>95877</v>
      </c>
      <c r="E1257" s="83">
        <f t="shared" si="120"/>
        <v>95937</v>
      </c>
      <c r="F1257" s="83"/>
      <c r="G1257" s="83" t="s">
        <v>316</v>
      </c>
      <c r="H1257" s="83" t="s">
        <v>317</v>
      </c>
      <c r="I1257" s="83"/>
      <c r="J1257" s="83" t="s">
        <v>279</v>
      </c>
      <c r="K1257" s="83">
        <v>1</v>
      </c>
      <c r="L1257" s="83" t="s">
        <v>131</v>
      </c>
      <c r="M1257" s="83">
        <f>ROUNDDOWN(VLOOKUP(J1257,Sheet1!$N$32:$O$37,2,0)*1000,0)</f>
        <v>60</v>
      </c>
      <c r="N1257" s="83"/>
      <c r="O1257" s="83">
        <f t="shared" si="123"/>
        <v>0.000659145088819801</v>
      </c>
      <c r="P1257" s="83">
        <v>11019</v>
      </c>
    </row>
    <row r="1258" spans="1:16">
      <c r="A1258" s="76">
        <v>1256</v>
      </c>
      <c r="B1258" s="83">
        <v>11200</v>
      </c>
      <c r="C1258" s="83">
        <v>6</v>
      </c>
      <c r="D1258" s="83">
        <f t="shared" si="122"/>
        <v>95937</v>
      </c>
      <c r="E1258" s="83">
        <f t="shared" si="120"/>
        <v>95997</v>
      </c>
      <c r="F1258" s="83"/>
      <c r="G1258" s="83" t="s">
        <v>318</v>
      </c>
      <c r="H1258" s="83" t="s">
        <v>319</v>
      </c>
      <c r="I1258" s="83"/>
      <c r="J1258" s="83" t="s">
        <v>279</v>
      </c>
      <c r="K1258" s="83">
        <v>1</v>
      </c>
      <c r="L1258" s="83" t="s">
        <v>131</v>
      </c>
      <c r="M1258" s="83">
        <f>ROUNDDOWN(VLOOKUP(J1258,Sheet1!$N$32:$O$37,2,0)*1000,0)</f>
        <v>60</v>
      </c>
      <c r="N1258" s="83"/>
      <c r="O1258" s="83">
        <f t="shared" si="123"/>
        <v>0.000659145088819801</v>
      </c>
      <c r="P1258" s="83">
        <v>11020</v>
      </c>
    </row>
    <row r="1259" spans="1:16">
      <c r="A1259" s="76">
        <v>1257</v>
      </c>
      <c r="B1259" s="83">
        <v>11200</v>
      </c>
      <c r="C1259" s="83">
        <v>6</v>
      </c>
      <c r="D1259" s="83">
        <f t="shared" si="122"/>
        <v>95997</v>
      </c>
      <c r="E1259" s="83">
        <f t="shared" si="120"/>
        <v>96057</v>
      </c>
      <c r="F1259" s="83"/>
      <c r="G1259" s="83" t="s">
        <v>320</v>
      </c>
      <c r="H1259" s="83" t="s">
        <v>321</v>
      </c>
      <c r="I1259" s="83"/>
      <c r="J1259" s="83" t="s">
        <v>279</v>
      </c>
      <c r="K1259" s="83">
        <v>1</v>
      </c>
      <c r="L1259" s="83" t="s">
        <v>131</v>
      </c>
      <c r="M1259" s="83">
        <f>ROUNDDOWN(VLOOKUP(J1259,Sheet1!$N$32:$O$37,2,0)*1000,0)</f>
        <v>60</v>
      </c>
      <c r="N1259" s="83"/>
      <c r="O1259" s="83">
        <f t="shared" si="123"/>
        <v>0.000659145088819801</v>
      </c>
      <c r="P1259" s="83">
        <v>11021</v>
      </c>
    </row>
    <row r="1260" spans="1:16">
      <c r="A1260" s="76">
        <v>1258</v>
      </c>
      <c r="B1260" s="83">
        <v>11200</v>
      </c>
      <c r="C1260" s="83">
        <v>6</v>
      </c>
      <c r="D1260" s="83">
        <f t="shared" si="122"/>
        <v>96057</v>
      </c>
      <c r="E1260" s="83">
        <f t="shared" si="120"/>
        <v>96117</v>
      </c>
      <c r="F1260" s="83"/>
      <c r="G1260" s="83" t="s">
        <v>322</v>
      </c>
      <c r="H1260" s="83" t="s">
        <v>323</v>
      </c>
      <c r="I1260" s="83"/>
      <c r="J1260" s="83" t="s">
        <v>279</v>
      </c>
      <c r="K1260" s="83">
        <v>1</v>
      </c>
      <c r="L1260" s="83" t="s">
        <v>131</v>
      </c>
      <c r="M1260" s="83">
        <f>ROUNDDOWN(VLOOKUP(J1260,Sheet1!$N$32:$O$37,2,0)*1000,0)</f>
        <v>60</v>
      </c>
      <c r="N1260" s="83"/>
      <c r="O1260" s="83">
        <f t="shared" si="123"/>
        <v>0.000659145088819801</v>
      </c>
      <c r="P1260" s="83">
        <v>11022</v>
      </c>
    </row>
    <row r="1261" spans="1:16">
      <c r="A1261" s="76">
        <v>1259</v>
      </c>
      <c r="B1261" s="83">
        <v>11200</v>
      </c>
      <c r="C1261" s="83">
        <v>6</v>
      </c>
      <c r="D1261" s="83">
        <f t="shared" si="122"/>
        <v>96117</v>
      </c>
      <c r="E1261" s="83">
        <f t="shared" si="120"/>
        <v>96177</v>
      </c>
      <c r="F1261" s="83"/>
      <c r="G1261" s="83" t="s">
        <v>324</v>
      </c>
      <c r="H1261" s="83" t="s">
        <v>325</v>
      </c>
      <c r="I1261" s="83"/>
      <c r="J1261" s="83" t="s">
        <v>279</v>
      </c>
      <c r="K1261" s="83">
        <v>1</v>
      </c>
      <c r="L1261" s="83" t="s">
        <v>131</v>
      </c>
      <c r="M1261" s="83">
        <f>ROUNDDOWN(VLOOKUP(J1261,Sheet1!$N$32:$O$37,2,0)*1000,0)</f>
        <v>60</v>
      </c>
      <c r="N1261" s="83"/>
      <c r="O1261" s="83">
        <f t="shared" si="123"/>
        <v>0.000659145088819801</v>
      </c>
      <c r="P1261" s="83">
        <v>11023</v>
      </c>
    </row>
    <row r="1262" spans="1:16">
      <c r="A1262" s="76">
        <v>1260</v>
      </c>
      <c r="B1262" s="83">
        <v>11200</v>
      </c>
      <c r="C1262" s="83">
        <v>6</v>
      </c>
      <c r="D1262" s="83">
        <f t="shared" si="122"/>
        <v>96177</v>
      </c>
      <c r="E1262" s="83">
        <f t="shared" ref="E1262:E1320" si="124">D1262+M1262</f>
        <v>96237</v>
      </c>
      <c r="F1262" s="83"/>
      <c r="G1262" s="83" t="s">
        <v>326</v>
      </c>
      <c r="H1262" s="83" t="s">
        <v>327</v>
      </c>
      <c r="I1262" s="83"/>
      <c r="J1262" s="83" t="s">
        <v>279</v>
      </c>
      <c r="K1262" s="83">
        <v>1</v>
      </c>
      <c r="L1262" s="83" t="s">
        <v>131</v>
      </c>
      <c r="M1262" s="83">
        <f>ROUNDDOWN(VLOOKUP(J1262,Sheet1!$N$32:$O$37,2,0)*1000,0)</f>
        <v>60</v>
      </c>
      <c r="N1262" s="83"/>
      <c r="O1262" s="83">
        <f t="shared" si="123"/>
        <v>0.000659145088819801</v>
      </c>
      <c r="P1262" s="83">
        <v>11024</v>
      </c>
    </row>
    <row r="1263" spans="1:16">
      <c r="A1263" s="76">
        <v>1261</v>
      </c>
      <c r="B1263" s="83">
        <v>11200</v>
      </c>
      <c r="C1263" s="83">
        <v>6</v>
      </c>
      <c r="D1263" s="83">
        <f t="shared" si="122"/>
        <v>96237</v>
      </c>
      <c r="E1263" s="83">
        <f t="shared" si="124"/>
        <v>96297</v>
      </c>
      <c r="F1263" s="83"/>
      <c r="G1263" s="83" t="s">
        <v>328</v>
      </c>
      <c r="H1263" s="83" t="s">
        <v>329</v>
      </c>
      <c r="I1263" s="83"/>
      <c r="J1263" s="83" t="s">
        <v>279</v>
      </c>
      <c r="K1263" s="83">
        <v>1</v>
      </c>
      <c r="L1263" s="83" t="s">
        <v>131</v>
      </c>
      <c r="M1263" s="83">
        <f>ROUNDDOWN(VLOOKUP(J1263,Sheet1!$N$32:$O$37,2,0)*1000,0)</f>
        <v>60</v>
      </c>
      <c r="N1263" s="83"/>
      <c r="O1263" s="83">
        <f t="shared" si="123"/>
        <v>0.000659145088819801</v>
      </c>
      <c r="P1263" s="83">
        <v>11025</v>
      </c>
    </row>
    <row r="1264" spans="1:16">
      <c r="A1264" s="76">
        <v>1262</v>
      </c>
      <c r="B1264" s="83">
        <v>11200</v>
      </c>
      <c r="C1264" s="83">
        <v>6</v>
      </c>
      <c r="D1264" s="83">
        <f t="shared" si="122"/>
        <v>96297</v>
      </c>
      <c r="E1264" s="83">
        <f t="shared" si="124"/>
        <v>96357</v>
      </c>
      <c r="F1264" s="83"/>
      <c r="G1264" s="83" t="s">
        <v>330</v>
      </c>
      <c r="H1264" s="83" t="s">
        <v>331</v>
      </c>
      <c r="I1264" s="83"/>
      <c r="J1264" s="83" t="s">
        <v>279</v>
      </c>
      <c r="K1264" s="83">
        <v>1</v>
      </c>
      <c r="L1264" s="83" t="s">
        <v>131</v>
      </c>
      <c r="M1264" s="83">
        <f>ROUNDDOWN(VLOOKUP(J1264,Sheet1!$N$32:$O$37,2,0)*1000,0)</f>
        <v>60</v>
      </c>
      <c r="N1264" s="83"/>
      <c r="O1264" s="83">
        <f t="shared" si="123"/>
        <v>0.000659145088819801</v>
      </c>
      <c r="P1264" s="83">
        <v>11026</v>
      </c>
    </row>
    <row r="1265" spans="1:16">
      <c r="A1265" s="76">
        <v>1263</v>
      </c>
      <c r="B1265" s="83">
        <v>11200</v>
      </c>
      <c r="C1265" s="83">
        <v>6</v>
      </c>
      <c r="D1265" s="83">
        <f t="shared" si="122"/>
        <v>96357</v>
      </c>
      <c r="E1265" s="83">
        <f t="shared" si="124"/>
        <v>96417</v>
      </c>
      <c r="F1265" s="83"/>
      <c r="G1265" s="83" t="s">
        <v>332</v>
      </c>
      <c r="H1265" s="83" t="s">
        <v>333</v>
      </c>
      <c r="I1265" s="83"/>
      <c r="J1265" s="83" t="s">
        <v>279</v>
      </c>
      <c r="K1265" s="83">
        <v>1</v>
      </c>
      <c r="L1265" s="83" t="s">
        <v>131</v>
      </c>
      <c r="M1265" s="83">
        <f>ROUNDDOWN(VLOOKUP(J1265,Sheet1!$N$32:$O$37,2,0)*1000,0)</f>
        <v>60</v>
      </c>
      <c r="N1265" s="83"/>
      <c r="O1265" s="83">
        <f t="shared" si="123"/>
        <v>0.000659145088819801</v>
      </c>
      <c r="P1265" s="83">
        <v>11027</v>
      </c>
    </row>
    <row r="1266" spans="1:16">
      <c r="A1266" s="76">
        <v>1264</v>
      </c>
      <c r="B1266" s="83">
        <v>11200</v>
      </c>
      <c r="C1266" s="83">
        <v>6</v>
      </c>
      <c r="D1266" s="83">
        <f t="shared" si="122"/>
        <v>96417</v>
      </c>
      <c r="E1266" s="83">
        <f t="shared" si="124"/>
        <v>96477</v>
      </c>
      <c r="F1266" s="83"/>
      <c r="G1266" s="83" t="s">
        <v>334</v>
      </c>
      <c r="H1266" s="83" t="s">
        <v>335</v>
      </c>
      <c r="I1266" s="83"/>
      <c r="J1266" s="83" t="s">
        <v>279</v>
      </c>
      <c r="K1266" s="83">
        <v>1</v>
      </c>
      <c r="L1266" s="83" t="s">
        <v>131</v>
      </c>
      <c r="M1266" s="83">
        <f>ROUNDDOWN(VLOOKUP(J1266,Sheet1!$N$32:$O$37,2,0)*1000,0)</f>
        <v>60</v>
      </c>
      <c r="N1266" s="83"/>
      <c r="O1266" s="83">
        <f t="shared" si="123"/>
        <v>0.000659145088819801</v>
      </c>
      <c r="P1266" s="83">
        <v>11028</v>
      </c>
    </row>
    <row r="1267" spans="1:16">
      <c r="A1267" s="76">
        <v>1265</v>
      </c>
      <c r="B1267" s="83">
        <v>11200</v>
      </c>
      <c r="C1267" s="83">
        <v>6</v>
      </c>
      <c r="D1267" s="83">
        <f t="shared" si="122"/>
        <v>96477</v>
      </c>
      <c r="E1267" s="83">
        <f t="shared" si="124"/>
        <v>96537</v>
      </c>
      <c r="F1267" s="83"/>
      <c r="G1267" s="83" t="s">
        <v>336</v>
      </c>
      <c r="H1267" s="83" t="s">
        <v>337</v>
      </c>
      <c r="I1267" s="83"/>
      <c r="J1267" s="83" t="s">
        <v>279</v>
      </c>
      <c r="K1267" s="83">
        <v>1</v>
      </c>
      <c r="L1267" s="83" t="s">
        <v>131</v>
      </c>
      <c r="M1267" s="83">
        <f>ROUNDDOWN(VLOOKUP(J1267,Sheet1!$N$32:$O$37,2,0)*1000,0)</f>
        <v>60</v>
      </c>
      <c r="N1267" s="83"/>
      <c r="O1267" s="83">
        <f t="shared" si="123"/>
        <v>0.000659145088819801</v>
      </c>
      <c r="P1267" s="83">
        <v>11029</v>
      </c>
    </row>
    <row r="1268" spans="1:16">
      <c r="A1268" s="76">
        <v>1266</v>
      </c>
      <c r="B1268" s="83">
        <v>11200</v>
      </c>
      <c r="C1268" s="83">
        <v>6</v>
      </c>
      <c r="D1268" s="83">
        <f t="shared" si="122"/>
        <v>96537</v>
      </c>
      <c r="E1268" s="83">
        <f t="shared" si="124"/>
        <v>96597</v>
      </c>
      <c r="F1268" s="83"/>
      <c r="G1268" s="83" t="s">
        <v>338</v>
      </c>
      <c r="H1268" s="83" t="s">
        <v>339</v>
      </c>
      <c r="I1268" s="83"/>
      <c r="J1268" s="83" t="s">
        <v>279</v>
      </c>
      <c r="K1268" s="83">
        <v>1</v>
      </c>
      <c r="L1268" s="83" t="s">
        <v>131</v>
      </c>
      <c r="M1268" s="83">
        <f>ROUNDDOWN(VLOOKUP(J1268,Sheet1!$N$32:$O$37,2,0)*1000,0)</f>
        <v>60</v>
      </c>
      <c r="N1268" s="83"/>
      <c r="O1268" s="83">
        <f t="shared" si="123"/>
        <v>0.000659145088819801</v>
      </c>
      <c r="P1268" s="83">
        <v>11030</v>
      </c>
    </row>
    <row r="1269" spans="1:16">
      <c r="A1269" s="76">
        <v>1267</v>
      </c>
      <c r="B1269" s="83">
        <v>11200</v>
      </c>
      <c r="C1269" s="83">
        <v>6</v>
      </c>
      <c r="D1269" s="83">
        <f t="shared" si="122"/>
        <v>96597</v>
      </c>
      <c r="E1269" s="83">
        <f t="shared" si="124"/>
        <v>96657</v>
      </c>
      <c r="F1269" s="83"/>
      <c r="G1269" s="83" t="s">
        <v>340</v>
      </c>
      <c r="H1269" s="83" t="s">
        <v>341</v>
      </c>
      <c r="I1269" s="83"/>
      <c r="J1269" s="83" t="s">
        <v>279</v>
      </c>
      <c r="K1269" s="83">
        <v>1</v>
      </c>
      <c r="L1269" s="83" t="s">
        <v>131</v>
      </c>
      <c r="M1269" s="83">
        <f>ROUNDDOWN(VLOOKUP(J1269,Sheet1!$N$32:$O$37,2,0)*1000,0)</f>
        <v>60</v>
      </c>
      <c r="N1269" s="83"/>
      <c r="O1269" s="83">
        <f t="shared" si="123"/>
        <v>0.000659145088819801</v>
      </c>
      <c r="P1269" s="83">
        <v>11031</v>
      </c>
    </row>
    <row r="1270" spans="1:16">
      <c r="A1270" s="76">
        <v>1268</v>
      </c>
      <c r="B1270" s="83">
        <v>11200</v>
      </c>
      <c r="C1270" s="83">
        <v>6</v>
      </c>
      <c r="D1270" s="83">
        <f t="shared" si="122"/>
        <v>96657</v>
      </c>
      <c r="E1270" s="83">
        <f t="shared" si="124"/>
        <v>96717</v>
      </c>
      <c r="F1270" s="83"/>
      <c r="G1270" s="83" t="s">
        <v>342</v>
      </c>
      <c r="H1270" s="83" t="s">
        <v>343</v>
      </c>
      <c r="I1270" s="83"/>
      <c r="J1270" s="83" t="s">
        <v>279</v>
      </c>
      <c r="K1270" s="83">
        <v>1</v>
      </c>
      <c r="L1270" s="83" t="s">
        <v>131</v>
      </c>
      <c r="M1270" s="83">
        <f>ROUNDDOWN(VLOOKUP(J1270,Sheet1!$N$32:$O$37,2,0)*1000,0)</f>
        <v>60</v>
      </c>
      <c r="N1270" s="83"/>
      <c r="O1270" s="83">
        <f t="shared" si="123"/>
        <v>0.000659145088819801</v>
      </c>
      <c r="P1270" s="83">
        <v>11032</v>
      </c>
    </row>
    <row r="1271" spans="1:16">
      <c r="A1271" s="76">
        <v>1269</v>
      </c>
      <c r="B1271" s="83">
        <v>11200</v>
      </c>
      <c r="C1271" s="83">
        <v>6</v>
      </c>
      <c r="D1271" s="83">
        <f t="shared" si="122"/>
        <v>96717</v>
      </c>
      <c r="E1271" s="83">
        <f t="shared" si="124"/>
        <v>96777</v>
      </c>
      <c r="F1271" s="83"/>
      <c r="G1271" s="83" t="s">
        <v>344</v>
      </c>
      <c r="H1271" s="83" t="s">
        <v>345</v>
      </c>
      <c r="I1271" s="83"/>
      <c r="J1271" s="83" t="s">
        <v>279</v>
      </c>
      <c r="K1271" s="83">
        <v>1</v>
      </c>
      <c r="L1271" s="83" t="s">
        <v>131</v>
      </c>
      <c r="M1271" s="83">
        <f>ROUNDDOWN(VLOOKUP(J1271,Sheet1!$N$32:$O$37,2,0)*1000,0)</f>
        <v>60</v>
      </c>
      <c r="N1271" s="83"/>
      <c r="O1271" s="83">
        <f t="shared" si="123"/>
        <v>0.000659145088819801</v>
      </c>
      <c r="P1271" s="83">
        <v>11033</v>
      </c>
    </row>
    <row r="1272" spans="1:16">
      <c r="A1272" s="76">
        <v>1270</v>
      </c>
      <c r="B1272" s="83">
        <v>11200</v>
      </c>
      <c r="C1272" s="83">
        <v>6</v>
      </c>
      <c r="D1272" s="83">
        <f t="shared" si="122"/>
        <v>96777</v>
      </c>
      <c r="E1272" s="83">
        <f t="shared" si="124"/>
        <v>96837</v>
      </c>
      <c r="F1272" s="83"/>
      <c r="G1272" s="83" t="s">
        <v>346</v>
      </c>
      <c r="H1272" s="83" t="s">
        <v>347</v>
      </c>
      <c r="I1272" s="83"/>
      <c r="J1272" s="83" t="s">
        <v>279</v>
      </c>
      <c r="K1272" s="83">
        <v>1</v>
      </c>
      <c r="L1272" s="83" t="s">
        <v>131</v>
      </c>
      <c r="M1272" s="83">
        <f>ROUNDDOWN(VLOOKUP(J1272,Sheet1!$N$32:$O$37,2,0)*1000,0)</f>
        <v>60</v>
      </c>
      <c r="N1272" s="83"/>
      <c r="O1272" s="83">
        <f t="shared" si="123"/>
        <v>0.000659145088819801</v>
      </c>
      <c r="P1272" s="83">
        <v>11034</v>
      </c>
    </row>
    <row r="1273" spans="1:16">
      <c r="A1273" s="76">
        <v>1271</v>
      </c>
      <c r="B1273" s="83">
        <v>11200</v>
      </c>
      <c r="C1273" s="83">
        <v>6</v>
      </c>
      <c r="D1273" s="83">
        <f t="shared" si="122"/>
        <v>96837</v>
      </c>
      <c r="E1273" s="83">
        <f t="shared" si="124"/>
        <v>96897</v>
      </c>
      <c r="F1273" s="83"/>
      <c r="G1273" s="83" t="s">
        <v>348</v>
      </c>
      <c r="H1273" s="83" t="s">
        <v>349</v>
      </c>
      <c r="I1273" s="83"/>
      <c r="J1273" s="83" t="s">
        <v>279</v>
      </c>
      <c r="K1273" s="83">
        <v>1</v>
      </c>
      <c r="L1273" s="83" t="s">
        <v>131</v>
      </c>
      <c r="M1273" s="83">
        <f>ROUNDDOWN(VLOOKUP(J1273,Sheet1!$N$32:$O$37,2,0)*1000,0)</f>
        <v>60</v>
      </c>
      <c r="N1273" s="83"/>
      <c r="O1273" s="83">
        <f t="shared" si="123"/>
        <v>0.000659145088819801</v>
      </c>
      <c r="P1273" s="83">
        <v>11035</v>
      </c>
    </row>
    <row r="1274" spans="1:16">
      <c r="A1274" s="76">
        <v>1272</v>
      </c>
      <c r="B1274" s="83">
        <v>11200</v>
      </c>
      <c r="C1274" s="83">
        <v>6</v>
      </c>
      <c r="D1274" s="83">
        <f t="shared" si="122"/>
        <v>96897</v>
      </c>
      <c r="E1274" s="83">
        <f t="shared" si="124"/>
        <v>96957</v>
      </c>
      <c r="F1274" s="83"/>
      <c r="G1274" s="83" t="s">
        <v>350</v>
      </c>
      <c r="H1274" s="83" t="s">
        <v>351</v>
      </c>
      <c r="I1274" s="83"/>
      <c r="J1274" s="83" t="s">
        <v>279</v>
      </c>
      <c r="K1274" s="83">
        <v>1</v>
      </c>
      <c r="L1274" s="83" t="s">
        <v>131</v>
      </c>
      <c r="M1274" s="83">
        <f>ROUNDDOWN(VLOOKUP(J1274,Sheet1!$N$32:$O$37,2,0)*1000,0)</f>
        <v>60</v>
      </c>
      <c r="N1274" s="83"/>
      <c r="O1274" s="83">
        <f t="shared" si="123"/>
        <v>0.000659145088819801</v>
      </c>
      <c r="P1274" s="83">
        <v>11036</v>
      </c>
    </row>
    <row r="1275" spans="1:16">
      <c r="A1275" s="76">
        <v>1273</v>
      </c>
      <c r="B1275" s="83">
        <v>11200</v>
      </c>
      <c r="C1275" s="83">
        <v>6</v>
      </c>
      <c r="D1275" s="83">
        <f t="shared" si="122"/>
        <v>96957</v>
      </c>
      <c r="E1275" s="83">
        <f t="shared" si="124"/>
        <v>97017</v>
      </c>
      <c r="F1275" s="83"/>
      <c r="G1275" s="83" t="s">
        <v>352</v>
      </c>
      <c r="H1275" s="83" t="s">
        <v>353</v>
      </c>
      <c r="I1275" s="83"/>
      <c r="J1275" s="83" t="s">
        <v>279</v>
      </c>
      <c r="K1275" s="83">
        <v>1</v>
      </c>
      <c r="L1275" s="83" t="s">
        <v>131</v>
      </c>
      <c r="M1275" s="83">
        <f>ROUNDDOWN(VLOOKUP(J1275,Sheet1!$N$32:$O$37,2,0)*1000,0)</f>
        <v>60</v>
      </c>
      <c r="N1275" s="83"/>
      <c r="O1275" s="83">
        <f t="shared" si="123"/>
        <v>0.000659145088819801</v>
      </c>
      <c r="P1275" s="83">
        <v>11037</v>
      </c>
    </row>
    <row r="1276" spans="1:16">
      <c r="A1276" s="76">
        <v>1274</v>
      </c>
      <c r="B1276" s="83">
        <v>11200</v>
      </c>
      <c r="C1276" s="83">
        <v>6</v>
      </c>
      <c r="D1276" s="83">
        <f t="shared" si="122"/>
        <v>97017</v>
      </c>
      <c r="E1276" s="83">
        <f t="shared" si="124"/>
        <v>97077</v>
      </c>
      <c r="F1276" s="83"/>
      <c r="G1276" s="83" t="s">
        <v>354</v>
      </c>
      <c r="H1276" s="83" t="s">
        <v>355</v>
      </c>
      <c r="I1276" s="83"/>
      <c r="J1276" s="83" t="s">
        <v>279</v>
      </c>
      <c r="K1276" s="83">
        <v>1</v>
      </c>
      <c r="L1276" s="83" t="s">
        <v>131</v>
      </c>
      <c r="M1276" s="83">
        <f>ROUNDDOWN(VLOOKUP(J1276,Sheet1!$N$32:$O$37,2,0)*1000,0)</f>
        <v>60</v>
      </c>
      <c r="N1276" s="83"/>
      <c r="O1276" s="83">
        <f t="shared" si="123"/>
        <v>0.000659145088819801</v>
      </c>
      <c r="P1276" s="83">
        <v>11038</v>
      </c>
    </row>
    <row r="1277" s="66" customFormat="1" spans="1:16">
      <c r="A1277" s="70">
        <v>1275</v>
      </c>
      <c r="B1277" s="83">
        <v>11200</v>
      </c>
      <c r="C1277" s="83">
        <v>6</v>
      </c>
      <c r="D1277" s="83">
        <f t="shared" si="122"/>
        <v>97077</v>
      </c>
      <c r="E1277" s="83">
        <f t="shared" si="124"/>
        <v>97137</v>
      </c>
      <c r="F1277" s="83"/>
      <c r="G1277" s="83" t="s">
        <v>277</v>
      </c>
      <c r="H1277" s="83" t="s">
        <v>356</v>
      </c>
      <c r="I1277" s="83"/>
      <c r="J1277" s="83" t="s">
        <v>279</v>
      </c>
      <c r="K1277" s="83">
        <v>1</v>
      </c>
      <c r="L1277" s="83" t="s">
        <v>131</v>
      </c>
      <c r="M1277" s="83">
        <f>ROUNDDOWN(VLOOKUP(J1277,Sheet1!$N$32:$O$37,2,0)*1000,0)</f>
        <v>60</v>
      </c>
      <c r="N1277" s="83"/>
      <c r="O1277" s="83">
        <f t="shared" si="123"/>
        <v>0.000659145088819801</v>
      </c>
      <c r="P1277" s="83">
        <v>11000</v>
      </c>
    </row>
    <row r="1278" s="66" customFormat="1" spans="1:16">
      <c r="A1278" s="70">
        <v>1276</v>
      </c>
      <c r="B1278" s="83">
        <v>11200</v>
      </c>
      <c r="C1278" s="83">
        <v>6</v>
      </c>
      <c r="D1278" s="83">
        <f t="shared" si="122"/>
        <v>97137</v>
      </c>
      <c r="E1278" s="83">
        <f t="shared" si="124"/>
        <v>97197</v>
      </c>
      <c r="F1278" s="83"/>
      <c r="G1278" s="83" t="s">
        <v>280</v>
      </c>
      <c r="H1278" s="83" t="s">
        <v>357</v>
      </c>
      <c r="I1278" s="83"/>
      <c r="J1278" s="83" t="s">
        <v>279</v>
      </c>
      <c r="K1278" s="83">
        <v>1</v>
      </c>
      <c r="L1278" s="83" t="s">
        <v>131</v>
      </c>
      <c r="M1278" s="83">
        <f>ROUNDDOWN(VLOOKUP(J1278,Sheet1!$N$32:$O$37,2,0)*1000,0)</f>
        <v>60</v>
      </c>
      <c r="N1278" s="83"/>
      <c r="O1278" s="83">
        <f t="shared" si="123"/>
        <v>0.000659145088819801</v>
      </c>
      <c r="P1278" s="83">
        <v>11001</v>
      </c>
    </row>
    <row r="1279" s="66" customFormat="1" spans="1:16">
      <c r="A1279" s="70">
        <v>1277</v>
      </c>
      <c r="B1279" s="83">
        <v>11200</v>
      </c>
      <c r="C1279" s="83">
        <v>6</v>
      </c>
      <c r="D1279" s="83">
        <f t="shared" si="122"/>
        <v>97197</v>
      </c>
      <c r="E1279" s="83">
        <f t="shared" si="124"/>
        <v>97257</v>
      </c>
      <c r="F1279" s="83"/>
      <c r="G1279" s="83" t="s">
        <v>282</v>
      </c>
      <c r="H1279" s="83" t="s">
        <v>358</v>
      </c>
      <c r="I1279" s="83"/>
      <c r="J1279" s="83" t="s">
        <v>279</v>
      </c>
      <c r="K1279" s="83">
        <v>1</v>
      </c>
      <c r="L1279" s="83" t="s">
        <v>131</v>
      </c>
      <c r="M1279" s="83">
        <f>ROUNDDOWN(VLOOKUP(J1279,Sheet1!$N$32:$O$37,2,0)*1000,0)</f>
        <v>60</v>
      </c>
      <c r="N1279" s="83"/>
      <c r="O1279" s="83">
        <f t="shared" si="123"/>
        <v>0.000659145088819801</v>
      </c>
      <c r="P1279" s="83">
        <v>11002</v>
      </c>
    </row>
    <row r="1280" s="66" customFormat="1" spans="1:16">
      <c r="A1280" s="70">
        <v>1278</v>
      </c>
      <c r="B1280" s="83">
        <v>11200</v>
      </c>
      <c r="C1280" s="83">
        <v>6</v>
      </c>
      <c r="D1280" s="83">
        <f t="shared" si="122"/>
        <v>97257</v>
      </c>
      <c r="E1280" s="83">
        <f t="shared" si="124"/>
        <v>97317</v>
      </c>
      <c r="F1280" s="83"/>
      <c r="G1280" s="83" t="s">
        <v>284</v>
      </c>
      <c r="H1280" s="83" t="s">
        <v>359</v>
      </c>
      <c r="I1280" s="83"/>
      <c r="J1280" s="83" t="s">
        <v>279</v>
      </c>
      <c r="K1280" s="83">
        <v>1</v>
      </c>
      <c r="L1280" s="83" t="s">
        <v>131</v>
      </c>
      <c r="M1280" s="83">
        <f>ROUNDDOWN(VLOOKUP(J1280,Sheet1!$N$32:$O$37,2,0)*1000,0)</f>
        <v>60</v>
      </c>
      <c r="N1280" s="83"/>
      <c r="O1280" s="83">
        <f t="shared" si="123"/>
        <v>0.000659145088819801</v>
      </c>
      <c r="P1280" s="83">
        <v>11003</v>
      </c>
    </row>
    <row r="1281" s="66" customFormat="1" spans="1:16">
      <c r="A1281" s="70">
        <v>1279</v>
      </c>
      <c r="B1281" s="83">
        <v>11200</v>
      </c>
      <c r="C1281" s="83">
        <v>6</v>
      </c>
      <c r="D1281" s="83">
        <f t="shared" si="122"/>
        <v>97317</v>
      </c>
      <c r="E1281" s="83">
        <f t="shared" si="124"/>
        <v>97377</v>
      </c>
      <c r="F1281" s="83"/>
      <c r="G1281" s="83" t="s">
        <v>286</v>
      </c>
      <c r="H1281" s="83" t="s">
        <v>360</v>
      </c>
      <c r="I1281" s="83"/>
      <c r="J1281" s="83" t="s">
        <v>279</v>
      </c>
      <c r="K1281" s="83">
        <v>1</v>
      </c>
      <c r="L1281" s="83" t="s">
        <v>131</v>
      </c>
      <c r="M1281" s="83">
        <f>ROUNDDOWN(VLOOKUP(J1281,Sheet1!$N$32:$O$37,2,0)*1000,0)</f>
        <v>60</v>
      </c>
      <c r="N1281" s="83"/>
      <c r="O1281" s="83">
        <f t="shared" si="123"/>
        <v>0.000659145088819801</v>
      </c>
      <c r="P1281" s="83">
        <v>11004</v>
      </c>
    </row>
    <row r="1282" s="66" customFormat="1" spans="1:16">
      <c r="A1282" s="70">
        <v>1280</v>
      </c>
      <c r="B1282" s="83">
        <v>11200</v>
      </c>
      <c r="C1282" s="83">
        <v>6</v>
      </c>
      <c r="D1282" s="83">
        <f t="shared" si="122"/>
        <v>97377</v>
      </c>
      <c r="E1282" s="83">
        <f t="shared" si="124"/>
        <v>97437</v>
      </c>
      <c r="F1282" s="83"/>
      <c r="G1282" s="83" t="s">
        <v>288</v>
      </c>
      <c r="H1282" s="83" t="s">
        <v>361</v>
      </c>
      <c r="I1282" s="83"/>
      <c r="J1282" s="83" t="s">
        <v>279</v>
      </c>
      <c r="K1282" s="83">
        <v>1</v>
      </c>
      <c r="L1282" s="83" t="s">
        <v>131</v>
      </c>
      <c r="M1282" s="83">
        <f>ROUNDDOWN(VLOOKUP(J1282,Sheet1!$N$32:$O$37,2,0)*1000,0)</f>
        <v>60</v>
      </c>
      <c r="N1282" s="83"/>
      <c r="O1282" s="83">
        <f t="shared" si="123"/>
        <v>0.000659145088819801</v>
      </c>
      <c r="P1282" s="83">
        <v>11005</v>
      </c>
    </row>
    <row r="1283" s="66" customFormat="1" spans="1:16">
      <c r="A1283" s="70">
        <v>1281</v>
      </c>
      <c r="B1283" s="83">
        <v>11200</v>
      </c>
      <c r="C1283" s="83">
        <v>6</v>
      </c>
      <c r="D1283" s="83">
        <f t="shared" si="122"/>
        <v>97437</v>
      </c>
      <c r="E1283" s="83">
        <f t="shared" si="124"/>
        <v>97497</v>
      </c>
      <c r="F1283" s="83"/>
      <c r="G1283" s="83" t="s">
        <v>290</v>
      </c>
      <c r="H1283" s="83" t="s">
        <v>362</v>
      </c>
      <c r="I1283" s="83"/>
      <c r="J1283" s="83" t="s">
        <v>279</v>
      </c>
      <c r="K1283" s="83">
        <v>1</v>
      </c>
      <c r="L1283" s="83" t="s">
        <v>131</v>
      </c>
      <c r="M1283" s="83">
        <f>ROUNDDOWN(VLOOKUP(J1283,Sheet1!$N$32:$O$37,2,0)*1000,0)</f>
        <v>60</v>
      </c>
      <c r="N1283" s="83"/>
      <c r="O1283" s="83">
        <f t="shared" si="123"/>
        <v>0.000659145088819801</v>
      </c>
      <c r="P1283" s="83">
        <v>11006</v>
      </c>
    </row>
    <row r="1284" s="66" customFormat="1" spans="1:16">
      <c r="A1284" s="70">
        <v>1282</v>
      </c>
      <c r="B1284" s="83">
        <v>11200</v>
      </c>
      <c r="C1284" s="83">
        <v>6</v>
      </c>
      <c r="D1284" s="83">
        <f t="shared" si="122"/>
        <v>97497</v>
      </c>
      <c r="E1284" s="83">
        <f t="shared" si="124"/>
        <v>97557</v>
      </c>
      <c r="F1284" s="83"/>
      <c r="G1284" s="83" t="s">
        <v>292</v>
      </c>
      <c r="H1284" s="83" t="s">
        <v>363</v>
      </c>
      <c r="I1284" s="83"/>
      <c r="J1284" s="83" t="s">
        <v>279</v>
      </c>
      <c r="K1284" s="83">
        <v>1</v>
      </c>
      <c r="L1284" s="83" t="s">
        <v>131</v>
      </c>
      <c r="M1284" s="83">
        <f>ROUNDDOWN(VLOOKUP(J1284,Sheet1!$N$32:$O$37,2,0)*1000,0)</f>
        <v>60</v>
      </c>
      <c r="N1284" s="83"/>
      <c r="O1284" s="83">
        <f t="shared" si="123"/>
        <v>0.000659145088819801</v>
      </c>
      <c r="P1284" s="83">
        <v>11007</v>
      </c>
    </row>
    <row r="1285" s="66" customFormat="1" spans="1:16">
      <c r="A1285" s="70">
        <v>1283</v>
      </c>
      <c r="B1285" s="83">
        <v>11200</v>
      </c>
      <c r="C1285" s="83">
        <v>6</v>
      </c>
      <c r="D1285" s="83">
        <f t="shared" si="122"/>
        <v>97557</v>
      </c>
      <c r="E1285" s="83">
        <f t="shared" si="124"/>
        <v>97617</v>
      </c>
      <c r="F1285" s="83"/>
      <c r="G1285" s="83" t="s">
        <v>294</v>
      </c>
      <c r="H1285" s="83" t="s">
        <v>364</v>
      </c>
      <c r="I1285" s="83"/>
      <c r="J1285" s="83" t="s">
        <v>279</v>
      </c>
      <c r="K1285" s="83">
        <v>1</v>
      </c>
      <c r="L1285" s="83" t="s">
        <v>131</v>
      </c>
      <c r="M1285" s="83">
        <f>ROUNDDOWN(VLOOKUP(J1285,Sheet1!$N$32:$O$37,2,0)*1000,0)</f>
        <v>60</v>
      </c>
      <c r="N1285" s="83"/>
      <c r="O1285" s="83">
        <f t="shared" si="123"/>
        <v>0.000659145088819801</v>
      </c>
      <c r="P1285" s="83">
        <v>11008</v>
      </c>
    </row>
    <row r="1286" s="66" customFormat="1" spans="1:16">
      <c r="A1286" s="70">
        <v>1284</v>
      </c>
      <c r="B1286" s="83">
        <v>11200</v>
      </c>
      <c r="C1286" s="83">
        <v>6</v>
      </c>
      <c r="D1286" s="83">
        <f t="shared" si="122"/>
        <v>97617</v>
      </c>
      <c r="E1286" s="83">
        <f t="shared" si="124"/>
        <v>97677</v>
      </c>
      <c r="F1286" s="83"/>
      <c r="G1286" s="83" t="s">
        <v>296</v>
      </c>
      <c r="H1286" s="83" t="s">
        <v>365</v>
      </c>
      <c r="I1286" s="83"/>
      <c r="J1286" s="83" t="s">
        <v>279</v>
      </c>
      <c r="K1286" s="83">
        <v>1</v>
      </c>
      <c r="L1286" s="83" t="s">
        <v>131</v>
      </c>
      <c r="M1286" s="83">
        <f>ROUNDDOWN(VLOOKUP(J1286,Sheet1!$N$32:$O$37,2,0)*1000,0)</f>
        <v>60</v>
      </c>
      <c r="N1286" s="83"/>
      <c r="O1286" s="83">
        <f t="shared" si="123"/>
        <v>0.000659145088819801</v>
      </c>
      <c r="P1286" s="83">
        <v>11009</v>
      </c>
    </row>
    <row r="1287" s="66" customFormat="1" spans="1:16">
      <c r="A1287" s="70">
        <v>1285</v>
      </c>
      <c r="B1287" s="83">
        <v>11200</v>
      </c>
      <c r="C1287" s="83">
        <v>6</v>
      </c>
      <c r="D1287" s="83">
        <f t="shared" si="122"/>
        <v>97677</v>
      </c>
      <c r="E1287" s="83">
        <f t="shared" si="124"/>
        <v>97737</v>
      </c>
      <c r="F1287" s="83"/>
      <c r="G1287" s="83" t="s">
        <v>298</v>
      </c>
      <c r="H1287" s="83" t="s">
        <v>366</v>
      </c>
      <c r="I1287" s="83"/>
      <c r="J1287" s="83" t="s">
        <v>279</v>
      </c>
      <c r="K1287" s="83">
        <v>1</v>
      </c>
      <c r="L1287" s="83" t="s">
        <v>131</v>
      </c>
      <c r="M1287" s="83">
        <f>ROUNDDOWN(VLOOKUP(J1287,Sheet1!$N$32:$O$37,2,0)*1000,0)</f>
        <v>60</v>
      </c>
      <c r="N1287" s="83"/>
      <c r="O1287" s="83">
        <f t="shared" si="123"/>
        <v>0.000659145088819801</v>
      </c>
      <c r="P1287" s="83">
        <v>11010</v>
      </c>
    </row>
    <row r="1288" s="66" customFormat="1" spans="1:16">
      <c r="A1288" s="70">
        <v>1286</v>
      </c>
      <c r="B1288" s="83">
        <v>11200</v>
      </c>
      <c r="C1288" s="83">
        <v>6</v>
      </c>
      <c r="D1288" s="83">
        <f t="shared" si="122"/>
        <v>97737</v>
      </c>
      <c r="E1288" s="83">
        <f t="shared" si="124"/>
        <v>97797</v>
      </c>
      <c r="F1288" s="83"/>
      <c r="G1288" s="83" t="s">
        <v>300</v>
      </c>
      <c r="H1288" s="83" t="s">
        <v>367</v>
      </c>
      <c r="I1288" s="83"/>
      <c r="J1288" s="83" t="s">
        <v>279</v>
      </c>
      <c r="K1288" s="83">
        <v>1</v>
      </c>
      <c r="L1288" s="83" t="s">
        <v>131</v>
      </c>
      <c r="M1288" s="83">
        <f>ROUNDDOWN(VLOOKUP(J1288,Sheet1!$N$32:$O$37,2,0)*1000,0)</f>
        <v>60</v>
      </c>
      <c r="N1288" s="83"/>
      <c r="O1288" s="83">
        <f t="shared" si="123"/>
        <v>0.000659145088819801</v>
      </c>
      <c r="P1288" s="83">
        <v>11011</v>
      </c>
    </row>
    <row r="1289" s="66" customFormat="1" spans="1:16">
      <c r="A1289" s="70">
        <v>1287</v>
      </c>
      <c r="B1289" s="83">
        <v>11200</v>
      </c>
      <c r="C1289" s="83">
        <v>6</v>
      </c>
      <c r="D1289" s="83">
        <f t="shared" si="122"/>
        <v>97797</v>
      </c>
      <c r="E1289" s="83">
        <f t="shared" si="124"/>
        <v>97857</v>
      </c>
      <c r="F1289" s="83"/>
      <c r="G1289" s="83" t="s">
        <v>302</v>
      </c>
      <c r="H1289" s="83" t="s">
        <v>368</v>
      </c>
      <c r="I1289" s="83"/>
      <c r="J1289" s="83" t="s">
        <v>279</v>
      </c>
      <c r="K1289" s="83">
        <v>1</v>
      </c>
      <c r="L1289" s="83" t="s">
        <v>131</v>
      </c>
      <c r="M1289" s="83">
        <f>ROUNDDOWN(VLOOKUP(J1289,Sheet1!$N$32:$O$37,2,0)*1000,0)</f>
        <v>60</v>
      </c>
      <c r="N1289" s="83"/>
      <c r="O1289" s="83">
        <f t="shared" si="123"/>
        <v>0.000659145088819801</v>
      </c>
      <c r="P1289" s="83">
        <v>11012</v>
      </c>
    </row>
    <row r="1290" s="66" customFormat="1" spans="1:16">
      <c r="A1290" s="70">
        <v>1288</v>
      </c>
      <c r="B1290" s="83">
        <v>11200</v>
      </c>
      <c r="C1290" s="83">
        <v>6</v>
      </c>
      <c r="D1290" s="83">
        <f t="shared" si="122"/>
        <v>97857</v>
      </c>
      <c r="E1290" s="83">
        <f t="shared" si="124"/>
        <v>97917</v>
      </c>
      <c r="F1290" s="83"/>
      <c r="G1290" s="83" t="s">
        <v>304</v>
      </c>
      <c r="H1290" s="83" t="s">
        <v>369</v>
      </c>
      <c r="I1290" s="83"/>
      <c r="J1290" s="83" t="s">
        <v>279</v>
      </c>
      <c r="K1290" s="83">
        <v>1</v>
      </c>
      <c r="L1290" s="83" t="s">
        <v>131</v>
      </c>
      <c r="M1290" s="83">
        <f>ROUNDDOWN(VLOOKUP(J1290,Sheet1!$N$32:$O$37,2,0)*1000,0)</f>
        <v>60</v>
      </c>
      <c r="N1290" s="83"/>
      <c r="O1290" s="83">
        <f t="shared" si="123"/>
        <v>0.000659145088819801</v>
      </c>
      <c r="P1290" s="83">
        <v>11013</v>
      </c>
    </row>
    <row r="1291" s="66" customFormat="1" spans="1:16">
      <c r="A1291" s="70">
        <v>1289</v>
      </c>
      <c r="B1291" s="83">
        <v>11200</v>
      </c>
      <c r="C1291" s="83">
        <v>6</v>
      </c>
      <c r="D1291" s="83">
        <f t="shared" si="122"/>
        <v>97917</v>
      </c>
      <c r="E1291" s="83">
        <f t="shared" si="124"/>
        <v>97977</v>
      </c>
      <c r="F1291" s="83"/>
      <c r="G1291" s="83" t="s">
        <v>306</v>
      </c>
      <c r="H1291" s="83" t="s">
        <v>370</v>
      </c>
      <c r="I1291" s="83"/>
      <c r="J1291" s="83" t="s">
        <v>279</v>
      </c>
      <c r="K1291" s="83">
        <v>1</v>
      </c>
      <c r="L1291" s="83" t="s">
        <v>131</v>
      </c>
      <c r="M1291" s="83">
        <f>ROUNDDOWN(VLOOKUP(J1291,Sheet1!$N$32:$O$37,2,0)*1000,0)</f>
        <v>60</v>
      </c>
      <c r="N1291" s="83"/>
      <c r="O1291" s="83">
        <f t="shared" si="123"/>
        <v>0.000659145088819801</v>
      </c>
      <c r="P1291" s="83">
        <v>11014</v>
      </c>
    </row>
    <row r="1292" s="66" customFormat="1" spans="1:16">
      <c r="A1292" s="70">
        <v>1290</v>
      </c>
      <c r="B1292" s="83">
        <v>11200</v>
      </c>
      <c r="C1292" s="83">
        <v>6</v>
      </c>
      <c r="D1292" s="83">
        <f t="shared" si="122"/>
        <v>97977</v>
      </c>
      <c r="E1292" s="83">
        <f t="shared" si="124"/>
        <v>98037</v>
      </c>
      <c r="F1292" s="83"/>
      <c r="G1292" s="83" t="s">
        <v>308</v>
      </c>
      <c r="H1292" s="83" t="s">
        <v>371</v>
      </c>
      <c r="I1292" s="83"/>
      <c r="J1292" s="83" t="s">
        <v>279</v>
      </c>
      <c r="K1292" s="83">
        <v>1</v>
      </c>
      <c r="L1292" s="83" t="s">
        <v>131</v>
      </c>
      <c r="M1292" s="83">
        <f>ROUNDDOWN(VLOOKUP(J1292,Sheet1!$N$32:$O$37,2,0)*1000,0)</f>
        <v>60</v>
      </c>
      <c r="N1292" s="83"/>
      <c r="O1292" s="83">
        <f t="shared" si="123"/>
        <v>0.000659145088819801</v>
      </c>
      <c r="P1292" s="83">
        <v>11015</v>
      </c>
    </row>
    <row r="1293" s="66" customFormat="1" spans="1:16">
      <c r="A1293" s="70">
        <v>1291</v>
      </c>
      <c r="B1293" s="83">
        <v>11200</v>
      </c>
      <c r="C1293" s="83">
        <v>6</v>
      </c>
      <c r="D1293" s="83">
        <f t="shared" si="122"/>
        <v>98037</v>
      </c>
      <c r="E1293" s="83">
        <f t="shared" si="124"/>
        <v>98097</v>
      </c>
      <c r="F1293" s="83"/>
      <c r="G1293" s="83" t="s">
        <v>310</v>
      </c>
      <c r="H1293" s="83" t="s">
        <v>372</v>
      </c>
      <c r="I1293" s="83"/>
      <c r="J1293" s="83" t="s">
        <v>279</v>
      </c>
      <c r="K1293" s="83">
        <v>1</v>
      </c>
      <c r="L1293" s="83" t="s">
        <v>131</v>
      </c>
      <c r="M1293" s="83">
        <f>ROUNDDOWN(VLOOKUP(J1293,Sheet1!$N$32:$O$37,2,0)*1000,0)</f>
        <v>60</v>
      </c>
      <c r="N1293" s="83"/>
      <c r="O1293" s="83">
        <f t="shared" si="123"/>
        <v>0.000659145088819801</v>
      </c>
      <c r="P1293" s="83">
        <v>11016</v>
      </c>
    </row>
    <row r="1294" s="66" customFormat="1" spans="1:16">
      <c r="A1294" s="70">
        <v>1292</v>
      </c>
      <c r="B1294" s="83">
        <v>11200</v>
      </c>
      <c r="C1294" s="83">
        <v>6</v>
      </c>
      <c r="D1294" s="83">
        <f t="shared" si="122"/>
        <v>98097</v>
      </c>
      <c r="E1294" s="83">
        <f t="shared" si="124"/>
        <v>98157</v>
      </c>
      <c r="F1294" s="83"/>
      <c r="G1294" s="83" t="s">
        <v>312</v>
      </c>
      <c r="H1294" s="83" t="s">
        <v>373</v>
      </c>
      <c r="I1294" s="83"/>
      <c r="J1294" s="83" t="s">
        <v>279</v>
      </c>
      <c r="K1294" s="83">
        <v>1</v>
      </c>
      <c r="L1294" s="83" t="s">
        <v>131</v>
      </c>
      <c r="M1294" s="83">
        <f>ROUNDDOWN(VLOOKUP(J1294,Sheet1!$N$32:$O$37,2,0)*1000,0)</f>
        <v>60</v>
      </c>
      <c r="N1294" s="83"/>
      <c r="O1294" s="83">
        <f t="shared" si="123"/>
        <v>0.000659145088819801</v>
      </c>
      <c r="P1294" s="83">
        <v>11017</v>
      </c>
    </row>
    <row r="1295" s="66" customFormat="1" spans="1:16">
      <c r="A1295" s="70">
        <v>1293</v>
      </c>
      <c r="B1295" s="83">
        <v>11200</v>
      </c>
      <c r="C1295" s="83">
        <v>6</v>
      </c>
      <c r="D1295" s="83">
        <f t="shared" si="122"/>
        <v>98157</v>
      </c>
      <c r="E1295" s="83">
        <f t="shared" si="124"/>
        <v>98217</v>
      </c>
      <c r="F1295" s="83"/>
      <c r="G1295" s="83" t="s">
        <v>314</v>
      </c>
      <c r="H1295" s="83" t="s">
        <v>374</v>
      </c>
      <c r="I1295" s="83"/>
      <c r="J1295" s="83" t="s">
        <v>279</v>
      </c>
      <c r="K1295" s="83">
        <v>1</v>
      </c>
      <c r="L1295" s="83" t="s">
        <v>131</v>
      </c>
      <c r="M1295" s="83">
        <f>ROUNDDOWN(VLOOKUP(J1295,Sheet1!$N$32:$O$37,2,0)*1000,0)</f>
        <v>60</v>
      </c>
      <c r="N1295" s="83"/>
      <c r="O1295" s="83">
        <f t="shared" si="123"/>
        <v>0.000659145088819801</v>
      </c>
      <c r="P1295" s="83">
        <v>11018</v>
      </c>
    </row>
    <row r="1296" s="66" customFormat="1" spans="1:16">
      <c r="A1296" s="70">
        <v>1294</v>
      </c>
      <c r="B1296" s="83">
        <v>11200</v>
      </c>
      <c r="C1296" s="83">
        <v>6</v>
      </c>
      <c r="D1296" s="83">
        <f t="shared" si="122"/>
        <v>98217</v>
      </c>
      <c r="E1296" s="83">
        <f t="shared" si="124"/>
        <v>98277</v>
      </c>
      <c r="F1296" s="83"/>
      <c r="G1296" s="83" t="s">
        <v>316</v>
      </c>
      <c r="H1296" s="83" t="s">
        <v>375</v>
      </c>
      <c r="I1296" s="83"/>
      <c r="J1296" s="83" t="s">
        <v>279</v>
      </c>
      <c r="K1296" s="83">
        <v>1</v>
      </c>
      <c r="L1296" s="83" t="s">
        <v>131</v>
      </c>
      <c r="M1296" s="83">
        <f>ROUNDDOWN(VLOOKUP(J1296,Sheet1!$N$32:$O$37,2,0)*1000,0)</f>
        <v>60</v>
      </c>
      <c r="N1296" s="83"/>
      <c r="O1296" s="83">
        <f t="shared" si="123"/>
        <v>0.000659145088819801</v>
      </c>
      <c r="P1296" s="83">
        <v>11019</v>
      </c>
    </row>
    <row r="1297" s="66" customFormat="1" spans="1:16">
      <c r="A1297" s="70">
        <v>1295</v>
      </c>
      <c r="B1297" s="83">
        <v>11200</v>
      </c>
      <c r="C1297" s="83">
        <v>6</v>
      </c>
      <c r="D1297" s="83">
        <f t="shared" ref="D1297:D1320" si="125">E1296</f>
        <v>98277</v>
      </c>
      <c r="E1297" s="83">
        <f t="shared" si="124"/>
        <v>98337</v>
      </c>
      <c r="F1297" s="83"/>
      <c r="G1297" s="83" t="s">
        <v>318</v>
      </c>
      <c r="H1297" s="83" t="s">
        <v>376</v>
      </c>
      <c r="I1297" s="83"/>
      <c r="J1297" s="83" t="s">
        <v>279</v>
      </c>
      <c r="K1297" s="83">
        <v>1</v>
      </c>
      <c r="L1297" s="83" t="s">
        <v>131</v>
      </c>
      <c r="M1297" s="83">
        <f>ROUNDDOWN(VLOOKUP(J1297,Sheet1!$N$32:$O$37,2,0)*1000,0)</f>
        <v>60</v>
      </c>
      <c r="N1297" s="83"/>
      <c r="O1297" s="83">
        <f t="shared" si="123"/>
        <v>0.000659145088819801</v>
      </c>
      <c r="P1297" s="83">
        <v>11020</v>
      </c>
    </row>
    <row r="1298" s="66" customFormat="1" spans="1:16">
      <c r="A1298" s="70">
        <v>1296</v>
      </c>
      <c r="B1298" s="83">
        <v>11200</v>
      </c>
      <c r="C1298" s="83">
        <v>6</v>
      </c>
      <c r="D1298" s="83">
        <f t="shared" si="125"/>
        <v>98337</v>
      </c>
      <c r="E1298" s="83">
        <f t="shared" si="124"/>
        <v>98397</v>
      </c>
      <c r="F1298" s="83"/>
      <c r="G1298" s="83" t="s">
        <v>320</v>
      </c>
      <c r="H1298" s="83" t="s">
        <v>377</v>
      </c>
      <c r="I1298" s="83"/>
      <c r="J1298" s="83" t="s">
        <v>279</v>
      </c>
      <c r="K1298" s="83">
        <v>1</v>
      </c>
      <c r="L1298" s="83" t="s">
        <v>131</v>
      </c>
      <c r="M1298" s="83">
        <f>ROUNDDOWN(VLOOKUP(J1298,Sheet1!$N$32:$O$37,2,0)*1000,0)</f>
        <v>60</v>
      </c>
      <c r="N1298" s="83"/>
      <c r="O1298" s="83">
        <f t="shared" si="123"/>
        <v>0.000659145088819801</v>
      </c>
      <c r="P1298" s="83">
        <v>11021</v>
      </c>
    </row>
    <row r="1299" s="66" customFormat="1" spans="1:16">
      <c r="A1299" s="70">
        <v>1297</v>
      </c>
      <c r="B1299" s="83">
        <v>11200</v>
      </c>
      <c r="C1299" s="83">
        <v>6</v>
      </c>
      <c r="D1299" s="83">
        <f t="shared" si="125"/>
        <v>98397</v>
      </c>
      <c r="E1299" s="83">
        <f t="shared" si="124"/>
        <v>98457</v>
      </c>
      <c r="F1299" s="83"/>
      <c r="G1299" s="83" t="s">
        <v>322</v>
      </c>
      <c r="H1299" s="83" t="s">
        <v>378</v>
      </c>
      <c r="I1299" s="83"/>
      <c r="J1299" s="83" t="s">
        <v>279</v>
      </c>
      <c r="K1299" s="83">
        <v>1</v>
      </c>
      <c r="L1299" s="83" t="s">
        <v>131</v>
      </c>
      <c r="M1299" s="83">
        <f>ROUNDDOWN(VLOOKUP(J1299,Sheet1!$N$32:$O$37,2,0)*1000,0)</f>
        <v>60</v>
      </c>
      <c r="N1299" s="83"/>
      <c r="O1299" s="83">
        <f t="shared" si="123"/>
        <v>0.000659145088819801</v>
      </c>
      <c r="P1299" s="83">
        <v>11022</v>
      </c>
    </row>
    <row r="1300" s="66" customFormat="1" spans="1:16">
      <c r="A1300" s="70">
        <v>1298</v>
      </c>
      <c r="B1300" s="83">
        <v>11200</v>
      </c>
      <c r="C1300" s="83">
        <v>6</v>
      </c>
      <c r="D1300" s="83">
        <f t="shared" si="125"/>
        <v>98457</v>
      </c>
      <c r="E1300" s="83">
        <f t="shared" si="124"/>
        <v>98517</v>
      </c>
      <c r="F1300" s="83"/>
      <c r="G1300" s="83" t="s">
        <v>324</v>
      </c>
      <c r="H1300" s="83" t="s">
        <v>379</v>
      </c>
      <c r="I1300" s="83"/>
      <c r="J1300" s="83" t="s">
        <v>279</v>
      </c>
      <c r="K1300" s="83">
        <v>1</v>
      </c>
      <c r="L1300" s="83" t="s">
        <v>131</v>
      </c>
      <c r="M1300" s="83">
        <f>ROUNDDOWN(VLOOKUP(J1300,Sheet1!$N$32:$O$37,2,0)*1000,0)</f>
        <v>60</v>
      </c>
      <c r="N1300" s="83"/>
      <c r="O1300" s="83">
        <f t="shared" si="123"/>
        <v>0.000659145088819801</v>
      </c>
      <c r="P1300" s="83">
        <v>11023</v>
      </c>
    </row>
    <row r="1301" s="66" customFormat="1" spans="1:16">
      <c r="A1301" s="70">
        <v>1299</v>
      </c>
      <c r="B1301" s="83">
        <v>11200</v>
      </c>
      <c r="C1301" s="83">
        <v>6</v>
      </c>
      <c r="D1301" s="83">
        <f t="shared" si="125"/>
        <v>98517</v>
      </c>
      <c r="E1301" s="83">
        <f t="shared" si="124"/>
        <v>98577</v>
      </c>
      <c r="F1301" s="83"/>
      <c r="G1301" s="83" t="s">
        <v>326</v>
      </c>
      <c r="H1301" s="83" t="s">
        <v>380</v>
      </c>
      <c r="I1301" s="83"/>
      <c r="J1301" s="83" t="s">
        <v>279</v>
      </c>
      <c r="K1301" s="83">
        <v>1</v>
      </c>
      <c r="L1301" s="83" t="s">
        <v>131</v>
      </c>
      <c r="M1301" s="83">
        <f>ROUNDDOWN(VLOOKUP(J1301,Sheet1!$N$32:$O$37,2,0)*1000,0)</f>
        <v>60</v>
      </c>
      <c r="N1301" s="83"/>
      <c r="O1301" s="83">
        <f t="shared" si="123"/>
        <v>0.000659145088819801</v>
      </c>
      <c r="P1301" s="83">
        <v>11024</v>
      </c>
    </row>
    <row r="1302" s="66" customFormat="1" spans="1:16">
      <c r="A1302" s="70">
        <v>1300</v>
      </c>
      <c r="B1302" s="83">
        <v>11200</v>
      </c>
      <c r="C1302" s="83">
        <v>6</v>
      </c>
      <c r="D1302" s="83">
        <f t="shared" si="125"/>
        <v>98577</v>
      </c>
      <c r="E1302" s="83">
        <f t="shared" si="124"/>
        <v>98637</v>
      </c>
      <c r="F1302" s="83"/>
      <c r="G1302" s="83" t="s">
        <v>328</v>
      </c>
      <c r="H1302" s="83" t="s">
        <v>381</v>
      </c>
      <c r="I1302" s="83"/>
      <c r="J1302" s="83" t="s">
        <v>279</v>
      </c>
      <c r="K1302" s="83">
        <v>1</v>
      </c>
      <c r="L1302" s="83" t="s">
        <v>131</v>
      </c>
      <c r="M1302" s="83">
        <f>ROUNDDOWN(VLOOKUP(J1302,Sheet1!$N$32:$O$37,2,0)*1000,0)</f>
        <v>60</v>
      </c>
      <c r="N1302" s="83"/>
      <c r="O1302" s="83">
        <f t="shared" si="123"/>
        <v>0.000659145088819801</v>
      </c>
      <c r="P1302" s="83">
        <v>11025</v>
      </c>
    </row>
    <row r="1303" s="66" customFormat="1" spans="1:16">
      <c r="A1303" s="70">
        <v>1301</v>
      </c>
      <c r="B1303" s="83">
        <v>11200</v>
      </c>
      <c r="C1303" s="83">
        <v>6</v>
      </c>
      <c r="D1303" s="83">
        <f t="shared" si="125"/>
        <v>98637</v>
      </c>
      <c r="E1303" s="83">
        <f t="shared" si="124"/>
        <v>98697</v>
      </c>
      <c r="F1303" s="83"/>
      <c r="G1303" s="83" t="s">
        <v>330</v>
      </c>
      <c r="H1303" s="83" t="s">
        <v>382</v>
      </c>
      <c r="I1303" s="83"/>
      <c r="J1303" s="83" t="s">
        <v>279</v>
      </c>
      <c r="K1303" s="83">
        <v>1</v>
      </c>
      <c r="L1303" s="83" t="s">
        <v>131</v>
      </c>
      <c r="M1303" s="83">
        <f>ROUNDDOWN(VLOOKUP(J1303,Sheet1!$N$32:$O$37,2,0)*1000,0)</f>
        <v>60</v>
      </c>
      <c r="N1303" s="83"/>
      <c r="O1303" s="83">
        <f t="shared" si="123"/>
        <v>0.000659145088819801</v>
      </c>
      <c r="P1303" s="83">
        <v>11026</v>
      </c>
    </row>
    <row r="1304" s="66" customFormat="1" spans="1:16">
      <c r="A1304" s="70">
        <v>1302</v>
      </c>
      <c r="B1304" s="83">
        <v>11200</v>
      </c>
      <c r="C1304" s="83">
        <v>6</v>
      </c>
      <c r="D1304" s="83">
        <f t="shared" si="125"/>
        <v>98697</v>
      </c>
      <c r="E1304" s="83">
        <f t="shared" si="124"/>
        <v>98757</v>
      </c>
      <c r="F1304" s="83"/>
      <c r="G1304" s="83" t="s">
        <v>332</v>
      </c>
      <c r="H1304" s="83" t="s">
        <v>383</v>
      </c>
      <c r="I1304" s="83"/>
      <c r="J1304" s="83" t="s">
        <v>279</v>
      </c>
      <c r="K1304" s="83">
        <v>1</v>
      </c>
      <c r="L1304" s="83" t="s">
        <v>131</v>
      </c>
      <c r="M1304" s="83">
        <f>ROUNDDOWN(VLOOKUP(J1304,Sheet1!$N$32:$O$37,2,0)*1000,0)</f>
        <v>60</v>
      </c>
      <c r="N1304" s="83"/>
      <c r="O1304" s="83">
        <f t="shared" si="123"/>
        <v>0.000659145088819801</v>
      </c>
      <c r="P1304" s="83">
        <v>11027</v>
      </c>
    </row>
    <row r="1305" s="66" customFormat="1" spans="1:16">
      <c r="A1305" s="70">
        <v>1303</v>
      </c>
      <c r="B1305" s="83">
        <v>11200</v>
      </c>
      <c r="C1305" s="83">
        <v>6</v>
      </c>
      <c r="D1305" s="83">
        <f t="shared" si="125"/>
        <v>98757</v>
      </c>
      <c r="E1305" s="83">
        <f t="shared" si="124"/>
        <v>98817</v>
      </c>
      <c r="F1305" s="83"/>
      <c r="G1305" s="83" t="s">
        <v>334</v>
      </c>
      <c r="H1305" s="83" t="s">
        <v>384</v>
      </c>
      <c r="I1305" s="83"/>
      <c r="J1305" s="83" t="s">
        <v>279</v>
      </c>
      <c r="K1305" s="83">
        <v>1</v>
      </c>
      <c r="L1305" s="83" t="s">
        <v>131</v>
      </c>
      <c r="M1305" s="83">
        <f>ROUNDDOWN(VLOOKUP(J1305,Sheet1!$N$32:$O$37,2,0)*1000,0)</f>
        <v>60</v>
      </c>
      <c r="N1305" s="83"/>
      <c r="O1305" s="83">
        <f t="shared" si="123"/>
        <v>0.000659145088819801</v>
      </c>
      <c r="P1305" s="83">
        <v>11028</v>
      </c>
    </row>
    <row r="1306" s="66" customFormat="1" spans="1:16">
      <c r="A1306" s="70">
        <v>1304</v>
      </c>
      <c r="B1306" s="83">
        <v>11200</v>
      </c>
      <c r="C1306" s="83">
        <v>6</v>
      </c>
      <c r="D1306" s="83">
        <f t="shared" si="125"/>
        <v>98817</v>
      </c>
      <c r="E1306" s="83">
        <f t="shared" si="124"/>
        <v>98877</v>
      </c>
      <c r="F1306" s="83"/>
      <c r="G1306" s="83" t="s">
        <v>336</v>
      </c>
      <c r="H1306" s="83" t="s">
        <v>385</v>
      </c>
      <c r="I1306" s="83"/>
      <c r="J1306" s="83" t="s">
        <v>279</v>
      </c>
      <c r="K1306" s="83">
        <v>1</v>
      </c>
      <c r="L1306" s="83" t="s">
        <v>131</v>
      </c>
      <c r="M1306" s="83">
        <f>ROUNDDOWN(VLOOKUP(J1306,Sheet1!$N$32:$O$37,2,0)*1000,0)</f>
        <v>60</v>
      </c>
      <c r="N1306" s="83"/>
      <c r="O1306" s="83">
        <f t="shared" si="123"/>
        <v>0.000659145088819801</v>
      </c>
      <c r="P1306" s="83">
        <v>11029</v>
      </c>
    </row>
    <row r="1307" s="66" customFormat="1" spans="1:16">
      <c r="A1307" s="70">
        <v>1305</v>
      </c>
      <c r="B1307" s="83">
        <v>11200</v>
      </c>
      <c r="C1307" s="83">
        <v>6</v>
      </c>
      <c r="D1307" s="83">
        <f t="shared" si="125"/>
        <v>98877</v>
      </c>
      <c r="E1307" s="83">
        <f t="shared" si="124"/>
        <v>98937</v>
      </c>
      <c r="F1307" s="83"/>
      <c r="G1307" s="83" t="s">
        <v>338</v>
      </c>
      <c r="H1307" s="83" t="s">
        <v>386</v>
      </c>
      <c r="I1307" s="83"/>
      <c r="J1307" s="83" t="s">
        <v>279</v>
      </c>
      <c r="K1307" s="83">
        <v>1</v>
      </c>
      <c r="L1307" s="83" t="s">
        <v>131</v>
      </c>
      <c r="M1307" s="83">
        <f>ROUNDDOWN(VLOOKUP(J1307,Sheet1!$N$32:$O$37,2,0)*1000,0)</f>
        <v>60</v>
      </c>
      <c r="N1307" s="83"/>
      <c r="O1307" s="83">
        <f t="shared" si="123"/>
        <v>0.000659145088819801</v>
      </c>
      <c r="P1307" s="83">
        <v>11030</v>
      </c>
    </row>
    <row r="1308" s="66" customFormat="1" spans="1:16">
      <c r="A1308" s="70">
        <v>1306</v>
      </c>
      <c r="B1308" s="83">
        <v>11200</v>
      </c>
      <c r="C1308" s="83">
        <v>6</v>
      </c>
      <c r="D1308" s="83">
        <f t="shared" si="125"/>
        <v>98937</v>
      </c>
      <c r="E1308" s="83">
        <f t="shared" si="124"/>
        <v>98997</v>
      </c>
      <c r="F1308" s="83"/>
      <c r="G1308" s="83" t="s">
        <v>340</v>
      </c>
      <c r="H1308" s="83" t="s">
        <v>387</v>
      </c>
      <c r="I1308" s="83"/>
      <c r="J1308" s="83" t="s">
        <v>279</v>
      </c>
      <c r="K1308" s="83">
        <v>1</v>
      </c>
      <c r="L1308" s="83" t="s">
        <v>131</v>
      </c>
      <c r="M1308" s="83">
        <f>ROUNDDOWN(VLOOKUP(J1308,Sheet1!$N$32:$O$37,2,0)*1000,0)</f>
        <v>60</v>
      </c>
      <c r="N1308" s="83"/>
      <c r="O1308" s="83">
        <f t="shared" si="123"/>
        <v>0.000659145088819801</v>
      </c>
      <c r="P1308" s="83">
        <v>11031</v>
      </c>
    </row>
    <row r="1309" s="66" customFormat="1" spans="1:16">
      <c r="A1309" s="70">
        <v>1307</v>
      </c>
      <c r="B1309" s="83">
        <v>11200</v>
      </c>
      <c r="C1309" s="83">
        <v>6</v>
      </c>
      <c r="D1309" s="83">
        <f t="shared" si="125"/>
        <v>98997</v>
      </c>
      <c r="E1309" s="83">
        <f t="shared" si="124"/>
        <v>99057</v>
      </c>
      <c r="F1309" s="83"/>
      <c r="G1309" s="83" t="s">
        <v>342</v>
      </c>
      <c r="H1309" s="83" t="s">
        <v>388</v>
      </c>
      <c r="I1309" s="83"/>
      <c r="J1309" s="83" t="s">
        <v>279</v>
      </c>
      <c r="K1309" s="83">
        <v>1</v>
      </c>
      <c r="L1309" s="83" t="s">
        <v>131</v>
      </c>
      <c r="M1309" s="83">
        <f>ROUNDDOWN(VLOOKUP(J1309,Sheet1!$N$32:$O$37,2,0)*1000,0)</f>
        <v>60</v>
      </c>
      <c r="N1309" s="83"/>
      <c r="O1309" s="83">
        <f t="shared" si="123"/>
        <v>0.000659145088819801</v>
      </c>
      <c r="P1309" s="83">
        <v>11032</v>
      </c>
    </row>
    <row r="1310" s="66" customFormat="1" spans="1:16">
      <c r="A1310" s="70">
        <v>1308</v>
      </c>
      <c r="B1310" s="83">
        <v>11200</v>
      </c>
      <c r="C1310" s="83">
        <v>6</v>
      </c>
      <c r="D1310" s="83">
        <f t="shared" si="125"/>
        <v>99057</v>
      </c>
      <c r="E1310" s="83">
        <f t="shared" si="124"/>
        <v>99117</v>
      </c>
      <c r="F1310" s="83"/>
      <c r="G1310" s="83" t="s">
        <v>344</v>
      </c>
      <c r="H1310" s="83" t="s">
        <v>389</v>
      </c>
      <c r="I1310" s="83"/>
      <c r="J1310" s="83" t="s">
        <v>279</v>
      </c>
      <c r="K1310" s="83">
        <v>1</v>
      </c>
      <c r="L1310" s="83" t="s">
        <v>131</v>
      </c>
      <c r="M1310" s="83">
        <f>ROUNDDOWN(VLOOKUP(J1310,Sheet1!$N$32:$O$37,2,0)*1000,0)</f>
        <v>60</v>
      </c>
      <c r="N1310" s="83"/>
      <c r="O1310" s="83">
        <f t="shared" si="123"/>
        <v>0.000659145088819801</v>
      </c>
      <c r="P1310" s="83">
        <v>11033</v>
      </c>
    </row>
    <row r="1311" s="66" customFormat="1" spans="1:16">
      <c r="A1311" s="70">
        <v>1309</v>
      </c>
      <c r="B1311" s="83">
        <v>11200</v>
      </c>
      <c r="C1311" s="83">
        <v>6</v>
      </c>
      <c r="D1311" s="83">
        <f t="shared" si="125"/>
        <v>99117</v>
      </c>
      <c r="E1311" s="83">
        <f t="shared" si="124"/>
        <v>99177</v>
      </c>
      <c r="F1311" s="83"/>
      <c r="G1311" s="83" t="s">
        <v>346</v>
      </c>
      <c r="H1311" s="83" t="s">
        <v>390</v>
      </c>
      <c r="I1311" s="83"/>
      <c r="J1311" s="83" t="s">
        <v>279</v>
      </c>
      <c r="K1311" s="83">
        <v>1</v>
      </c>
      <c r="L1311" s="83" t="s">
        <v>131</v>
      </c>
      <c r="M1311" s="83">
        <f>ROUNDDOWN(VLOOKUP(J1311,Sheet1!$N$32:$O$37,2,0)*1000,0)</f>
        <v>60</v>
      </c>
      <c r="N1311" s="83"/>
      <c r="O1311" s="83">
        <f t="shared" si="123"/>
        <v>0.000659145088819801</v>
      </c>
      <c r="P1311" s="83">
        <v>11034</v>
      </c>
    </row>
    <row r="1312" s="66" customFormat="1" spans="1:16">
      <c r="A1312" s="70">
        <v>1310</v>
      </c>
      <c r="B1312" s="83">
        <v>11200</v>
      </c>
      <c r="C1312" s="83">
        <v>6</v>
      </c>
      <c r="D1312" s="83">
        <f t="shared" si="125"/>
        <v>99177</v>
      </c>
      <c r="E1312" s="83">
        <f t="shared" si="124"/>
        <v>99237</v>
      </c>
      <c r="F1312" s="83"/>
      <c r="G1312" s="83" t="s">
        <v>348</v>
      </c>
      <c r="H1312" s="83" t="s">
        <v>391</v>
      </c>
      <c r="I1312" s="83"/>
      <c r="J1312" s="83" t="s">
        <v>279</v>
      </c>
      <c r="K1312" s="83">
        <v>1</v>
      </c>
      <c r="L1312" s="83" t="s">
        <v>131</v>
      </c>
      <c r="M1312" s="83">
        <f>ROUNDDOWN(VLOOKUP(J1312,Sheet1!$N$32:$O$37,2,0)*1000,0)</f>
        <v>60</v>
      </c>
      <c r="N1312" s="83"/>
      <c r="O1312" s="83">
        <f t="shared" si="123"/>
        <v>0.000659145088819801</v>
      </c>
      <c r="P1312" s="83">
        <v>11035</v>
      </c>
    </row>
    <row r="1313" s="66" customFormat="1" spans="1:16">
      <c r="A1313" s="70">
        <v>1311</v>
      </c>
      <c r="B1313" s="83">
        <v>11200</v>
      </c>
      <c r="C1313" s="83">
        <v>6</v>
      </c>
      <c r="D1313" s="83">
        <f t="shared" si="125"/>
        <v>99237</v>
      </c>
      <c r="E1313" s="83">
        <f t="shared" si="124"/>
        <v>99297</v>
      </c>
      <c r="F1313" s="83"/>
      <c r="G1313" s="83" t="s">
        <v>350</v>
      </c>
      <c r="H1313" s="83" t="s">
        <v>392</v>
      </c>
      <c r="I1313" s="83"/>
      <c r="J1313" s="83" t="s">
        <v>279</v>
      </c>
      <c r="K1313" s="83">
        <v>1</v>
      </c>
      <c r="L1313" s="83" t="s">
        <v>131</v>
      </c>
      <c r="M1313" s="83">
        <f>ROUNDDOWN(VLOOKUP(J1313,Sheet1!$N$32:$O$37,2,0)*1000,0)</f>
        <v>60</v>
      </c>
      <c r="N1313" s="83"/>
      <c r="O1313" s="83">
        <f t="shared" si="123"/>
        <v>0.000659145088819801</v>
      </c>
      <c r="P1313" s="83">
        <v>11036</v>
      </c>
    </row>
    <row r="1314" s="66" customFormat="1" spans="1:16">
      <c r="A1314" s="70">
        <v>1312</v>
      </c>
      <c r="B1314" s="83">
        <v>11200</v>
      </c>
      <c r="C1314" s="83">
        <v>6</v>
      </c>
      <c r="D1314" s="83">
        <f t="shared" si="125"/>
        <v>99297</v>
      </c>
      <c r="E1314" s="83">
        <f t="shared" si="124"/>
        <v>99357</v>
      </c>
      <c r="F1314" s="83"/>
      <c r="G1314" s="83" t="s">
        <v>352</v>
      </c>
      <c r="H1314" s="83" t="s">
        <v>393</v>
      </c>
      <c r="I1314" s="83"/>
      <c r="J1314" s="83" t="s">
        <v>279</v>
      </c>
      <c r="K1314" s="83">
        <v>1</v>
      </c>
      <c r="L1314" s="83" t="s">
        <v>131</v>
      </c>
      <c r="M1314" s="83">
        <f>ROUNDDOWN(VLOOKUP(J1314,Sheet1!$N$32:$O$37,2,0)*1000,0)</f>
        <v>60</v>
      </c>
      <c r="N1314" s="83"/>
      <c r="O1314" s="83">
        <f t="shared" si="123"/>
        <v>0.000659145088819801</v>
      </c>
      <c r="P1314" s="83">
        <v>11037</v>
      </c>
    </row>
    <row r="1315" s="66" customFormat="1" spans="1:16">
      <c r="A1315" s="70">
        <v>1313</v>
      </c>
      <c r="B1315" s="83">
        <v>11200</v>
      </c>
      <c r="C1315" s="83">
        <v>6</v>
      </c>
      <c r="D1315" s="83">
        <f t="shared" si="125"/>
        <v>99357</v>
      </c>
      <c r="E1315" s="83">
        <f t="shared" si="124"/>
        <v>99417</v>
      </c>
      <c r="F1315" s="83"/>
      <c r="G1315" s="83" t="s">
        <v>354</v>
      </c>
      <c r="H1315" s="83" t="s">
        <v>394</v>
      </c>
      <c r="I1315" s="83"/>
      <c r="J1315" s="83" t="s">
        <v>279</v>
      </c>
      <c r="K1315" s="83">
        <v>1</v>
      </c>
      <c r="L1315" s="83" t="s">
        <v>131</v>
      </c>
      <c r="M1315" s="83">
        <f>ROUNDDOWN(VLOOKUP(J1315,Sheet1!$N$32:$O$37,2,0)*1000,0)</f>
        <v>60</v>
      </c>
      <c r="N1315" s="83"/>
      <c r="O1315" s="83">
        <f t="shared" si="123"/>
        <v>0.000659145088819801</v>
      </c>
      <c r="P1315" s="83">
        <v>11038</v>
      </c>
    </row>
    <row r="1316" s="66" customFormat="1" spans="1:16">
      <c r="A1316" s="70">
        <v>1314</v>
      </c>
      <c r="B1316" s="83">
        <v>11200</v>
      </c>
      <c r="C1316" s="83">
        <v>6</v>
      </c>
      <c r="D1316" s="83">
        <f t="shared" si="125"/>
        <v>99417</v>
      </c>
      <c r="E1316" s="83">
        <f t="shared" si="124"/>
        <v>99477</v>
      </c>
      <c r="F1316" s="83"/>
      <c r="G1316" s="83" t="s">
        <v>346</v>
      </c>
      <c r="H1316" s="83" t="s">
        <v>395</v>
      </c>
      <c r="I1316" s="83"/>
      <c r="J1316" s="83" t="s">
        <v>279</v>
      </c>
      <c r="K1316" s="83">
        <v>1</v>
      </c>
      <c r="L1316" s="83" t="s">
        <v>131</v>
      </c>
      <c r="M1316" s="83">
        <f>ROUNDDOWN(VLOOKUP(J1316,Sheet1!$N$32:$O$37,2,0)*1000,0)</f>
        <v>60</v>
      </c>
      <c r="N1316" s="83"/>
      <c r="O1316" s="83">
        <f t="shared" si="123"/>
        <v>0.000659145088819801</v>
      </c>
      <c r="P1316" s="83">
        <v>11034</v>
      </c>
    </row>
    <row r="1317" s="66" customFormat="1" spans="1:16">
      <c r="A1317" s="70">
        <v>1315</v>
      </c>
      <c r="B1317" s="83">
        <v>11200</v>
      </c>
      <c r="C1317" s="83">
        <v>6</v>
      </c>
      <c r="D1317" s="83">
        <f t="shared" si="125"/>
        <v>99477</v>
      </c>
      <c r="E1317" s="83">
        <f t="shared" si="124"/>
        <v>99537</v>
      </c>
      <c r="F1317" s="83"/>
      <c r="G1317" s="83" t="s">
        <v>348</v>
      </c>
      <c r="H1317" s="83" t="s">
        <v>396</v>
      </c>
      <c r="I1317" s="83"/>
      <c r="J1317" s="83" t="s">
        <v>279</v>
      </c>
      <c r="K1317" s="83">
        <v>1</v>
      </c>
      <c r="L1317" s="83" t="s">
        <v>131</v>
      </c>
      <c r="M1317" s="83">
        <f>ROUNDDOWN(VLOOKUP(J1317,Sheet1!$N$32:$O$37,2,0)*1000,0)</f>
        <v>60</v>
      </c>
      <c r="N1317" s="83"/>
      <c r="O1317" s="83">
        <f t="shared" si="123"/>
        <v>0.000659145088819801</v>
      </c>
      <c r="P1317" s="83">
        <v>11035</v>
      </c>
    </row>
    <row r="1318" s="66" customFormat="1" spans="1:16">
      <c r="A1318" s="70">
        <v>1316</v>
      </c>
      <c r="B1318" s="83">
        <v>11200</v>
      </c>
      <c r="C1318" s="83">
        <v>6</v>
      </c>
      <c r="D1318" s="83">
        <f t="shared" si="125"/>
        <v>99537</v>
      </c>
      <c r="E1318" s="83">
        <f t="shared" si="124"/>
        <v>99597</v>
      </c>
      <c r="F1318" s="83"/>
      <c r="G1318" s="83" t="s">
        <v>350</v>
      </c>
      <c r="H1318" s="83" t="s">
        <v>397</v>
      </c>
      <c r="I1318" s="83"/>
      <c r="J1318" s="83" t="s">
        <v>279</v>
      </c>
      <c r="K1318" s="83">
        <v>1</v>
      </c>
      <c r="L1318" s="83" t="s">
        <v>131</v>
      </c>
      <c r="M1318" s="83">
        <f>ROUNDDOWN(VLOOKUP(J1318,Sheet1!$N$32:$O$37,2,0)*1000,0)</f>
        <v>60</v>
      </c>
      <c r="N1318" s="83"/>
      <c r="O1318" s="83">
        <f t="shared" si="123"/>
        <v>0.000659145088819801</v>
      </c>
      <c r="P1318" s="83">
        <v>11036</v>
      </c>
    </row>
    <row r="1319" s="66" customFormat="1" spans="1:16">
      <c r="A1319" s="70">
        <v>1317</v>
      </c>
      <c r="B1319" s="83">
        <v>11200</v>
      </c>
      <c r="C1319" s="83">
        <v>6</v>
      </c>
      <c r="D1319" s="83">
        <f t="shared" si="125"/>
        <v>99597</v>
      </c>
      <c r="E1319" s="83">
        <f t="shared" si="124"/>
        <v>99657</v>
      </c>
      <c r="F1319" s="83"/>
      <c r="G1319" s="83" t="s">
        <v>352</v>
      </c>
      <c r="H1319" s="83" t="s">
        <v>398</v>
      </c>
      <c r="I1319" s="83"/>
      <c r="J1319" s="83" t="s">
        <v>279</v>
      </c>
      <c r="K1319" s="83">
        <v>1</v>
      </c>
      <c r="L1319" s="83" t="s">
        <v>131</v>
      </c>
      <c r="M1319" s="83">
        <f>ROUNDDOWN(VLOOKUP(J1319,Sheet1!$N$32:$O$37,2,0)*1000,0)</f>
        <v>60</v>
      </c>
      <c r="N1319" s="83"/>
      <c r="O1319" s="83">
        <f t="shared" si="123"/>
        <v>0.000659145088819801</v>
      </c>
      <c r="P1319" s="83">
        <v>11037</v>
      </c>
    </row>
    <row r="1320" s="66" customFormat="1" spans="1:16">
      <c r="A1320" s="70">
        <v>1318</v>
      </c>
      <c r="B1320" s="83">
        <v>11200</v>
      </c>
      <c r="C1320" s="83">
        <v>6</v>
      </c>
      <c r="D1320" s="83">
        <f t="shared" si="125"/>
        <v>99657</v>
      </c>
      <c r="E1320" s="83">
        <f t="shared" si="124"/>
        <v>99717</v>
      </c>
      <c r="F1320" s="83"/>
      <c r="G1320" s="83" t="s">
        <v>354</v>
      </c>
      <c r="H1320" s="83" t="s">
        <v>399</v>
      </c>
      <c r="I1320" s="83"/>
      <c r="J1320" s="83" t="s">
        <v>279</v>
      </c>
      <c r="K1320" s="83">
        <v>1</v>
      </c>
      <c r="L1320" s="83" t="s">
        <v>131</v>
      </c>
      <c r="M1320" s="83">
        <f>ROUNDDOWN(VLOOKUP(J1320,Sheet1!$N$32:$O$37,2,0)*1000,0)</f>
        <v>60</v>
      </c>
      <c r="N1320" s="83"/>
      <c r="O1320" s="83">
        <f t="shared" si="123"/>
        <v>0.000659145088819801</v>
      </c>
      <c r="P1320" s="83">
        <v>11038</v>
      </c>
    </row>
    <row r="1321" spans="1:16">
      <c r="A1321" s="76">
        <v>1319</v>
      </c>
      <c r="B1321" s="83">
        <v>11200</v>
      </c>
      <c r="C1321" s="83">
        <v>3</v>
      </c>
      <c r="D1321" s="83">
        <v>924</v>
      </c>
      <c r="E1321" s="83">
        <v>925</v>
      </c>
      <c r="F1321" s="83"/>
      <c r="G1321" s="83">
        <v>909131</v>
      </c>
      <c r="H1321" s="83" t="s">
        <v>431</v>
      </c>
      <c r="I1321" s="83"/>
      <c r="J1321" s="83" t="s">
        <v>266</v>
      </c>
      <c r="K1321" s="83">
        <v>1</v>
      </c>
      <c r="L1321" s="83" t="s">
        <v>131</v>
      </c>
      <c r="M1321" s="83">
        <v>128</v>
      </c>
      <c r="N1321" s="83"/>
      <c r="O1321" s="83">
        <f t="shared" si="123"/>
        <v>1.098575148033e-5</v>
      </c>
      <c r="P1321" s="83">
        <v>11038</v>
      </c>
    </row>
    <row r="1322" spans="1:16">
      <c r="A1322" s="77">
        <v>1320</v>
      </c>
      <c r="B1322" s="83">
        <v>11300</v>
      </c>
      <c r="C1322" s="83">
        <v>6</v>
      </c>
      <c r="D1322" s="83">
        <v>0</v>
      </c>
      <c r="E1322" s="83">
        <f>M1322</f>
        <v>350</v>
      </c>
      <c r="F1322" s="83"/>
      <c r="G1322" s="83">
        <v>95101018</v>
      </c>
      <c r="H1322" s="83" t="s">
        <v>198</v>
      </c>
      <c r="I1322" s="83" t="s">
        <v>199</v>
      </c>
      <c r="J1322" s="83" t="s">
        <v>200</v>
      </c>
      <c r="K1322" s="83">
        <v>1</v>
      </c>
      <c r="L1322" s="83" t="s">
        <v>153</v>
      </c>
      <c r="M1322" s="83">
        <f>ROUNDDOWN(VLOOKUP(J1322,Sheet1!$N$32:$O$37,2,0)*1000,0)+100</f>
        <v>350</v>
      </c>
      <c r="N1322" s="83"/>
      <c r="O1322" s="83">
        <f>(E1322-D1322)/$E$1422</f>
        <v>0.00347577385622213</v>
      </c>
      <c r="P1322" s="83">
        <v>11500</v>
      </c>
    </row>
    <row r="1323" spans="1:16">
      <c r="A1323" s="77">
        <v>1321</v>
      </c>
      <c r="B1323" s="83">
        <v>11300</v>
      </c>
      <c r="C1323" s="83">
        <v>6</v>
      </c>
      <c r="D1323" s="83">
        <f>E1322</f>
        <v>350</v>
      </c>
      <c r="E1323" s="83">
        <f t="shared" ref="E1323:E1354" si="126">D1323+M1323</f>
        <v>700</v>
      </c>
      <c r="F1323" s="83"/>
      <c r="G1323" s="83">
        <v>95101028</v>
      </c>
      <c r="H1323" s="83" t="s">
        <v>201</v>
      </c>
      <c r="I1323" s="83" t="s">
        <v>199</v>
      </c>
      <c r="J1323" s="83" t="s">
        <v>200</v>
      </c>
      <c r="K1323" s="83">
        <v>1</v>
      </c>
      <c r="L1323" s="83" t="s">
        <v>153</v>
      </c>
      <c r="M1323" s="83">
        <f>ROUNDDOWN(VLOOKUP(J1323,Sheet1!$N$32:$O$37,2,0)*1000,0)+100</f>
        <v>350</v>
      </c>
      <c r="N1323" s="83"/>
      <c r="O1323" s="83"/>
      <c r="P1323" s="83"/>
    </row>
    <row r="1324" spans="1:16">
      <c r="A1324" s="77">
        <v>1322</v>
      </c>
      <c r="B1324" s="83">
        <v>11300</v>
      </c>
      <c r="C1324" s="83">
        <v>6</v>
      </c>
      <c r="D1324" s="83">
        <f t="shared" ref="D1324:D1351" si="127">E1323</f>
        <v>700</v>
      </c>
      <c r="E1324" s="83">
        <f t="shared" si="126"/>
        <v>1050</v>
      </c>
      <c r="F1324" s="83"/>
      <c r="G1324" s="83">
        <v>95102018</v>
      </c>
      <c r="H1324" s="83" t="s">
        <v>202</v>
      </c>
      <c r="I1324" s="83" t="s">
        <v>199</v>
      </c>
      <c r="J1324" s="83" t="s">
        <v>200</v>
      </c>
      <c r="K1324" s="83">
        <v>1</v>
      </c>
      <c r="L1324" s="83" t="s">
        <v>153</v>
      </c>
      <c r="M1324" s="83">
        <f>ROUNDDOWN(VLOOKUP(J1324,Sheet1!$N$32:$O$37,2,0)*1000,0)+100</f>
        <v>350</v>
      </c>
      <c r="N1324" s="83"/>
      <c r="O1324" s="83"/>
      <c r="P1324" s="83"/>
    </row>
    <row r="1325" spans="1:16">
      <c r="A1325" s="77">
        <v>1323</v>
      </c>
      <c r="B1325" s="83">
        <v>11300</v>
      </c>
      <c r="C1325" s="83">
        <v>6</v>
      </c>
      <c r="D1325" s="83">
        <f t="shared" si="127"/>
        <v>1050</v>
      </c>
      <c r="E1325" s="83">
        <f t="shared" si="126"/>
        <v>1400</v>
      </c>
      <c r="F1325" s="83"/>
      <c r="G1325" s="83">
        <v>95102028</v>
      </c>
      <c r="H1325" s="83" t="s">
        <v>203</v>
      </c>
      <c r="I1325" s="83" t="s">
        <v>199</v>
      </c>
      <c r="J1325" s="83" t="s">
        <v>200</v>
      </c>
      <c r="K1325" s="83">
        <v>1</v>
      </c>
      <c r="L1325" s="83" t="s">
        <v>153</v>
      </c>
      <c r="M1325" s="83">
        <f>ROUNDDOWN(VLOOKUP(J1325,Sheet1!$N$32:$O$37,2,0)*1000,0)+100</f>
        <v>350</v>
      </c>
      <c r="N1325" s="83"/>
      <c r="O1325" s="83">
        <f t="shared" ref="O1325:O1337" si="128">(E1325-D1325)/$E$1422</f>
        <v>0.00347577385622213</v>
      </c>
      <c r="P1325" s="83">
        <v>11500</v>
      </c>
    </row>
    <row r="1326" spans="1:16">
      <c r="A1326" s="77">
        <v>1324</v>
      </c>
      <c r="B1326" s="83">
        <v>11300</v>
      </c>
      <c r="C1326" s="83">
        <v>6</v>
      </c>
      <c r="D1326" s="83">
        <f t="shared" si="127"/>
        <v>1400</v>
      </c>
      <c r="E1326" s="83">
        <f t="shared" si="126"/>
        <v>1750</v>
      </c>
      <c r="F1326" s="83"/>
      <c r="G1326" s="83">
        <v>95103018</v>
      </c>
      <c r="H1326" s="83" t="s">
        <v>204</v>
      </c>
      <c r="I1326" s="83" t="s">
        <v>199</v>
      </c>
      <c r="J1326" s="83" t="s">
        <v>200</v>
      </c>
      <c r="K1326" s="83">
        <v>1</v>
      </c>
      <c r="L1326" s="83" t="s">
        <v>153</v>
      </c>
      <c r="M1326" s="83">
        <f>ROUNDDOWN(VLOOKUP(J1326,Sheet1!$N$32:$O$37,2,0)*1000,0)+100</f>
        <v>350</v>
      </c>
      <c r="N1326" s="83"/>
      <c r="O1326" s="83">
        <f t="shared" si="128"/>
        <v>0.00347577385622213</v>
      </c>
      <c r="P1326" s="83">
        <v>11500</v>
      </c>
    </row>
    <row r="1327" spans="1:16">
      <c r="A1327" s="77">
        <v>1325</v>
      </c>
      <c r="B1327" s="83">
        <v>11300</v>
      </c>
      <c r="C1327" s="83">
        <v>6</v>
      </c>
      <c r="D1327" s="83">
        <f t="shared" si="127"/>
        <v>1750</v>
      </c>
      <c r="E1327" s="83">
        <f t="shared" si="126"/>
        <v>2100</v>
      </c>
      <c r="F1327" s="83"/>
      <c r="G1327" s="83">
        <v>95104018</v>
      </c>
      <c r="H1327" s="83" t="s">
        <v>205</v>
      </c>
      <c r="I1327" s="83" t="s">
        <v>199</v>
      </c>
      <c r="J1327" s="83" t="s">
        <v>200</v>
      </c>
      <c r="K1327" s="83">
        <v>1</v>
      </c>
      <c r="L1327" s="83" t="s">
        <v>153</v>
      </c>
      <c r="M1327" s="83">
        <f>ROUNDDOWN(VLOOKUP(J1327,Sheet1!$N$32:$O$37,2,0)*1000,0)+100</f>
        <v>350</v>
      </c>
      <c r="N1327" s="83"/>
      <c r="O1327" s="83">
        <f t="shared" si="128"/>
        <v>0.00347577385622213</v>
      </c>
      <c r="P1327" s="83">
        <v>11500</v>
      </c>
    </row>
    <row r="1328" spans="1:16">
      <c r="A1328" s="77">
        <v>1326</v>
      </c>
      <c r="B1328" s="83">
        <v>11300</v>
      </c>
      <c r="C1328" s="83">
        <v>6</v>
      </c>
      <c r="D1328" s="83">
        <f t="shared" si="127"/>
        <v>2100</v>
      </c>
      <c r="E1328" s="83">
        <f t="shared" si="126"/>
        <v>2450</v>
      </c>
      <c r="F1328" s="83"/>
      <c r="G1328" s="83">
        <v>95104028</v>
      </c>
      <c r="H1328" s="83" t="s">
        <v>206</v>
      </c>
      <c r="I1328" s="83" t="s">
        <v>199</v>
      </c>
      <c r="J1328" s="83" t="s">
        <v>200</v>
      </c>
      <c r="K1328" s="83">
        <v>1</v>
      </c>
      <c r="L1328" s="83" t="s">
        <v>153</v>
      </c>
      <c r="M1328" s="83">
        <f>ROUNDDOWN(VLOOKUP(J1328,Sheet1!$N$32:$O$37,2,0)*1000,0)+100</f>
        <v>350</v>
      </c>
      <c r="N1328" s="83"/>
      <c r="O1328" s="83">
        <f t="shared" si="128"/>
        <v>0.00347577385622213</v>
      </c>
      <c r="P1328" s="83">
        <v>11500</v>
      </c>
    </row>
    <row r="1329" spans="1:16">
      <c r="A1329" s="77">
        <v>1327</v>
      </c>
      <c r="B1329" s="83">
        <v>11300</v>
      </c>
      <c r="C1329" s="83">
        <v>6</v>
      </c>
      <c r="D1329" s="83">
        <f t="shared" si="127"/>
        <v>2450</v>
      </c>
      <c r="E1329" s="83">
        <f t="shared" si="126"/>
        <v>2800</v>
      </c>
      <c r="F1329" s="83"/>
      <c r="G1329" s="83">
        <v>95104038</v>
      </c>
      <c r="H1329" s="83" t="s">
        <v>207</v>
      </c>
      <c r="I1329" s="83" t="s">
        <v>199</v>
      </c>
      <c r="J1329" s="83" t="s">
        <v>200</v>
      </c>
      <c r="K1329" s="83">
        <v>1</v>
      </c>
      <c r="L1329" s="83" t="s">
        <v>153</v>
      </c>
      <c r="M1329" s="83">
        <f>ROUNDDOWN(VLOOKUP(J1329,Sheet1!$N$32:$O$37,2,0)*1000,0)+100</f>
        <v>350</v>
      </c>
      <c r="N1329" s="83"/>
      <c r="O1329" s="83">
        <f t="shared" si="128"/>
        <v>0.00347577385622213</v>
      </c>
      <c r="P1329" s="83">
        <v>11500</v>
      </c>
    </row>
    <row r="1330" spans="1:16">
      <c r="A1330" s="77">
        <v>1328</v>
      </c>
      <c r="B1330" s="83">
        <v>11300</v>
      </c>
      <c r="C1330" s="83">
        <v>6</v>
      </c>
      <c r="D1330" s="83">
        <f t="shared" si="127"/>
        <v>2800</v>
      </c>
      <c r="E1330" s="83">
        <f t="shared" si="126"/>
        <v>3150</v>
      </c>
      <c r="F1330" s="83"/>
      <c r="G1330" s="83">
        <v>95106018</v>
      </c>
      <c r="H1330" s="83" t="s">
        <v>208</v>
      </c>
      <c r="I1330" s="83" t="s">
        <v>199</v>
      </c>
      <c r="J1330" s="83" t="s">
        <v>200</v>
      </c>
      <c r="K1330" s="83">
        <v>1</v>
      </c>
      <c r="L1330" s="83" t="s">
        <v>153</v>
      </c>
      <c r="M1330" s="83">
        <f>ROUNDDOWN(VLOOKUP(J1330,Sheet1!$N$32:$O$37,2,0)*1000,0)+100</f>
        <v>350</v>
      </c>
      <c r="N1330" s="83"/>
      <c r="O1330" s="83">
        <f t="shared" si="128"/>
        <v>0.00347577385622213</v>
      </c>
      <c r="P1330" s="83">
        <v>11500</v>
      </c>
    </row>
    <row r="1331" spans="1:16">
      <c r="A1331" s="77">
        <v>1329</v>
      </c>
      <c r="B1331" s="83">
        <v>11300</v>
      </c>
      <c r="C1331" s="83">
        <v>6</v>
      </c>
      <c r="D1331" s="83">
        <f t="shared" si="127"/>
        <v>3150</v>
      </c>
      <c r="E1331" s="83">
        <f t="shared" si="126"/>
        <v>3500</v>
      </c>
      <c r="F1331" s="83"/>
      <c r="G1331" s="83">
        <v>95109018</v>
      </c>
      <c r="H1331" s="83" t="s">
        <v>209</v>
      </c>
      <c r="I1331" s="83" t="s">
        <v>199</v>
      </c>
      <c r="J1331" s="83" t="s">
        <v>200</v>
      </c>
      <c r="K1331" s="83">
        <v>1</v>
      </c>
      <c r="L1331" s="83" t="s">
        <v>153</v>
      </c>
      <c r="M1331" s="83">
        <f>ROUNDDOWN(VLOOKUP(J1331,Sheet1!$N$32:$O$37,2,0)*1000,0)+100</f>
        <v>350</v>
      </c>
      <c r="N1331" s="83"/>
      <c r="O1331" s="83">
        <f t="shared" si="128"/>
        <v>0.00347577385622213</v>
      </c>
      <c r="P1331" s="83">
        <v>11500</v>
      </c>
    </row>
    <row r="1332" spans="1:16">
      <c r="A1332" s="77">
        <v>1330</v>
      </c>
      <c r="B1332" s="83">
        <v>11300</v>
      </c>
      <c r="C1332" s="83">
        <v>6</v>
      </c>
      <c r="D1332" s="83">
        <f t="shared" si="127"/>
        <v>3500</v>
      </c>
      <c r="E1332" s="83">
        <f t="shared" si="126"/>
        <v>3850</v>
      </c>
      <c r="F1332" s="83"/>
      <c r="G1332" s="83">
        <v>95110018</v>
      </c>
      <c r="H1332" s="83" t="s">
        <v>210</v>
      </c>
      <c r="I1332" s="83" t="s">
        <v>199</v>
      </c>
      <c r="J1332" s="83" t="s">
        <v>200</v>
      </c>
      <c r="K1332" s="83">
        <v>1</v>
      </c>
      <c r="L1332" s="83" t="s">
        <v>153</v>
      </c>
      <c r="M1332" s="83">
        <f>ROUNDDOWN(VLOOKUP(J1332,Sheet1!$N$32:$O$37,2,0)*1000,0)+100</f>
        <v>350</v>
      </c>
      <c r="N1332" s="83"/>
      <c r="O1332" s="83">
        <f t="shared" si="128"/>
        <v>0.00347577385622213</v>
      </c>
      <c r="P1332" s="83">
        <v>11500</v>
      </c>
    </row>
    <row r="1333" spans="1:16">
      <c r="A1333" s="77">
        <v>1331</v>
      </c>
      <c r="B1333" s="83">
        <v>11300</v>
      </c>
      <c r="C1333" s="83">
        <v>6</v>
      </c>
      <c r="D1333" s="83">
        <f t="shared" si="127"/>
        <v>3850</v>
      </c>
      <c r="E1333" s="83">
        <f t="shared" si="126"/>
        <v>4200</v>
      </c>
      <c r="F1333" s="83"/>
      <c r="G1333" s="83">
        <v>95111018</v>
      </c>
      <c r="H1333" s="83" t="s">
        <v>211</v>
      </c>
      <c r="I1333" s="83" t="s">
        <v>199</v>
      </c>
      <c r="J1333" s="83" t="s">
        <v>200</v>
      </c>
      <c r="K1333" s="83">
        <v>1</v>
      </c>
      <c r="L1333" s="83" t="s">
        <v>153</v>
      </c>
      <c r="M1333" s="83">
        <f>ROUNDDOWN(VLOOKUP(J1333,Sheet1!$N$32:$O$37,2,0)*1000,0)+100</f>
        <v>350</v>
      </c>
      <c r="N1333" s="83"/>
      <c r="O1333" s="83">
        <f t="shared" si="128"/>
        <v>0.00347577385622213</v>
      </c>
      <c r="P1333" s="83">
        <v>11500</v>
      </c>
    </row>
    <row r="1334" spans="1:16">
      <c r="A1334" s="77">
        <v>1332</v>
      </c>
      <c r="B1334" s="83">
        <v>11300</v>
      </c>
      <c r="C1334" s="83">
        <v>6</v>
      </c>
      <c r="D1334" s="83">
        <f t="shared" si="127"/>
        <v>4200</v>
      </c>
      <c r="E1334" s="83">
        <f t="shared" si="126"/>
        <v>4550</v>
      </c>
      <c r="F1334" s="83"/>
      <c r="G1334" s="83">
        <v>95120018</v>
      </c>
      <c r="H1334" s="83" t="s">
        <v>212</v>
      </c>
      <c r="I1334" s="83" t="s">
        <v>199</v>
      </c>
      <c r="J1334" s="83" t="s">
        <v>200</v>
      </c>
      <c r="K1334" s="83">
        <v>1</v>
      </c>
      <c r="L1334" s="83" t="s">
        <v>153</v>
      </c>
      <c r="M1334" s="83">
        <f>ROUNDDOWN(VLOOKUP(J1334,Sheet1!$N$32:$O$37,2,0)*1000,0)+100</f>
        <v>350</v>
      </c>
      <c r="N1334" s="83"/>
      <c r="O1334" s="83">
        <f t="shared" si="128"/>
        <v>0.00347577385622213</v>
      </c>
      <c r="P1334" s="83">
        <v>11500</v>
      </c>
    </row>
    <row r="1335" spans="1:16">
      <c r="A1335" s="77">
        <v>1333</v>
      </c>
      <c r="B1335" s="83">
        <v>11300</v>
      </c>
      <c r="C1335" s="83">
        <v>6</v>
      </c>
      <c r="D1335" s="83">
        <f t="shared" si="127"/>
        <v>4550</v>
      </c>
      <c r="E1335" s="83">
        <f t="shared" si="126"/>
        <v>4900</v>
      </c>
      <c r="F1335" s="83"/>
      <c r="G1335" s="83">
        <v>95140018</v>
      </c>
      <c r="H1335" s="83" t="s">
        <v>213</v>
      </c>
      <c r="I1335" s="83" t="s">
        <v>199</v>
      </c>
      <c r="J1335" s="83" t="s">
        <v>200</v>
      </c>
      <c r="K1335" s="83">
        <v>1</v>
      </c>
      <c r="L1335" s="83" t="s">
        <v>153</v>
      </c>
      <c r="M1335" s="83">
        <f>ROUNDDOWN(VLOOKUP(J1335,Sheet1!$N$32:$O$37,2,0)*1000,0)+100</f>
        <v>350</v>
      </c>
      <c r="N1335" s="83"/>
      <c r="O1335" s="83">
        <f t="shared" si="128"/>
        <v>0.00347577385622213</v>
      </c>
      <c r="P1335" s="83">
        <v>11500</v>
      </c>
    </row>
    <row r="1336" spans="1:16">
      <c r="A1336" s="77">
        <v>1334</v>
      </c>
      <c r="B1336" s="83">
        <v>11300</v>
      </c>
      <c r="C1336" s="83">
        <v>6</v>
      </c>
      <c r="D1336" s="83">
        <f t="shared" si="127"/>
        <v>4900</v>
      </c>
      <c r="E1336" s="83">
        <f t="shared" si="126"/>
        <v>5250</v>
      </c>
      <c r="F1336" s="83"/>
      <c r="G1336" s="83">
        <v>95105028</v>
      </c>
      <c r="H1336" s="83" t="s">
        <v>214</v>
      </c>
      <c r="I1336" s="83" t="s">
        <v>199</v>
      </c>
      <c r="J1336" s="83" t="s">
        <v>200</v>
      </c>
      <c r="K1336" s="83">
        <v>1</v>
      </c>
      <c r="L1336" s="83" t="s">
        <v>153</v>
      </c>
      <c r="M1336" s="83">
        <f>ROUNDDOWN(VLOOKUP(J1336,Sheet1!$N$32:$O$37,2,0)*1000,0)+100</f>
        <v>350</v>
      </c>
      <c r="N1336" s="83"/>
      <c r="O1336" s="83">
        <f t="shared" si="128"/>
        <v>0.00347577385622213</v>
      </c>
      <c r="P1336" s="83">
        <v>11500</v>
      </c>
    </row>
    <row r="1337" spans="1:16">
      <c r="A1337" s="77">
        <v>1335</v>
      </c>
      <c r="B1337" s="83">
        <v>11300</v>
      </c>
      <c r="C1337" s="83">
        <v>6</v>
      </c>
      <c r="D1337" s="83">
        <f t="shared" si="127"/>
        <v>5250</v>
      </c>
      <c r="E1337" s="83">
        <f t="shared" si="126"/>
        <v>5600</v>
      </c>
      <c r="F1337" s="83"/>
      <c r="G1337" s="83">
        <v>95109028</v>
      </c>
      <c r="H1337" s="83" t="s">
        <v>215</v>
      </c>
      <c r="I1337" s="83" t="s">
        <v>199</v>
      </c>
      <c r="J1337" s="83" t="s">
        <v>200</v>
      </c>
      <c r="K1337" s="83">
        <v>1</v>
      </c>
      <c r="L1337" s="83" t="s">
        <v>153</v>
      </c>
      <c r="M1337" s="83">
        <f>ROUNDDOWN(VLOOKUP(J1337,Sheet1!$N$32:$O$37,2,0)*1000,0)+100</f>
        <v>350</v>
      </c>
      <c r="N1337" s="83"/>
      <c r="O1337" s="83">
        <f t="shared" si="128"/>
        <v>0.00347577385622213</v>
      </c>
      <c r="P1337" s="83">
        <v>11500</v>
      </c>
    </row>
    <row r="1338" spans="1:16">
      <c r="A1338" s="77">
        <v>1336</v>
      </c>
      <c r="B1338" s="83">
        <v>11300</v>
      </c>
      <c r="C1338" s="83">
        <v>6</v>
      </c>
      <c r="D1338" s="83">
        <f t="shared" si="127"/>
        <v>5600</v>
      </c>
      <c r="E1338" s="83">
        <f t="shared" si="126"/>
        <v>5950</v>
      </c>
      <c r="F1338" s="83"/>
      <c r="G1338" s="83">
        <v>95110028</v>
      </c>
      <c r="H1338" s="83" t="s">
        <v>216</v>
      </c>
      <c r="I1338" s="83" t="s">
        <v>199</v>
      </c>
      <c r="J1338" s="83" t="s">
        <v>200</v>
      </c>
      <c r="K1338" s="83">
        <v>1</v>
      </c>
      <c r="L1338" s="83" t="s">
        <v>153</v>
      </c>
      <c r="M1338" s="83">
        <f>ROUNDDOWN(VLOOKUP(J1338,Sheet1!$N$32:$O$37,2,0)*1000,0)+100</f>
        <v>350</v>
      </c>
      <c r="N1338" s="83"/>
      <c r="O1338" s="83"/>
      <c r="P1338" s="83"/>
    </row>
    <row r="1339" spans="1:16">
      <c r="A1339" s="77">
        <v>1337</v>
      </c>
      <c r="B1339" s="83">
        <v>11300</v>
      </c>
      <c r="C1339" s="83">
        <v>6</v>
      </c>
      <c r="D1339" s="83">
        <f t="shared" si="127"/>
        <v>5950</v>
      </c>
      <c r="E1339" s="83">
        <f t="shared" si="126"/>
        <v>6300</v>
      </c>
      <c r="F1339" s="83"/>
      <c r="G1339" s="83">
        <v>95150028</v>
      </c>
      <c r="H1339" s="83" t="s">
        <v>217</v>
      </c>
      <c r="I1339" s="83" t="s">
        <v>199</v>
      </c>
      <c r="J1339" s="83" t="s">
        <v>200</v>
      </c>
      <c r="K1339" s="83">
        <v>1</v>
      </c>
      <c r="L1339" s="83" t="s">
        <v>153</v>
      </c>
      <c r="M1339" s="83">
        <f>ROUNDDOWN(VLOOKUP(J1339,Sheet1!$N$32:$O$37,2,0)*1000,0)+100</f>
        <v>350</v>
      </c>
      <c r="N1339" s="83"/>
      <c r="O1339" s="83"/>
      <c r="P1339" s="83"/>
    </row>
    <row r="1340" spans="1:16">
      <c r="A1340" s="77">
        <v>1338</v>
      </c>
      <c r="B1340" s="83">
        <v>11300</v>
      </c>
      <c r="C1340" s="83">
        <v>6</v>
      </c>
      <c r="D1340" s="83">
        <f t="shared" si="127"/>
        <v>6300</v>
      </c>
      <c r="E1340" s="83">
        <f t="shared" si="126"/>
        <v>6650</v>
      </c>
      <c r="F1340" s="83"/>
      <c r="G1340" s="83">
        <v>95201038</v>
      </c>
      <c r="H1340" s="83" t="s">
        <v>218</v>
      </c>
      <c r="I1340" s="83" t="s">
        <v>199</v>
      </c>
      <c r="J1340" s="83" t="s">
        <v>200</v>
      </c>
      <c r="K1340" s="83">
        <v>1</v>
      </c>
      <c r="L1340" s="83" t="s">
        <v>153</v>
      </c>
      <c r="M1340" s="83">
        <f>ROUNDDOWN(VLOOKUP(J1340,Sheet1!$N$32:$O$37,2,0)*1000,0)+100</f>
        <v>350</v>
      </c>
      <c r="N1340" s="83"/>
      <c r="O1340" s="83"/>
      <c r="P1340" s="83"/>
    </row>
    <row r="1341" spans="1:16">
      <c r="A1341" s="77">
        <v>1339</v>
      </c>
      <c r="B1341" s="83">
        <v>11300</v>
      </c>
      <c r="C1341" s="83">
        <v>6</v>
      </c>
      <c r="D1341" s="83">
        <f t="shared" si="127"/>
        <v>6650</v>
      </c>
      <c r="E1341" s="83">
        <f t="shared" si="126"/>
        <v>7000</v>
      </c>
      <c r="F1341" s="83"/>
      <c r="G1341" s="83">
        <v>95201118</v>
      </c>
      <c r="H1341" s="83" t="s">
        <v>219</v>
      </c>
      <c r="I1341" s="83" t="s">
        <v>199</v>
      </c>
      <c r="J1341" s="83" t="s">
        <v>200</v>
      </c>
      <c r="K1341" s="83">
        <v>1</v>
      </c>
      <c r="L1341" s="83" t="s">
        <v>153</v>
      </c>
      <c r="M1341" s="83">
        <f>ROUNDDOWN(VLOOKUP(J1341,Sheet1!$N$32:$O$37,2,0)*1000,0)+100</f>
        <v>350</v>
      </c>
      <c r="N1341" s="83"/>
      <c r="O1341" s="83"/>
      <c r="P1341" s="83"/>
    </row>
    <row r="1342" spans="1:16">
      <c r="A1342" s="77">
        <v>1340</v>
      </c>
      <c r="B1342" s="83">
        <v>11300</v>
      </c>
      <c r="C1342" s="83">
        <v>6</v>
      </c>
      <c r="D1342" s="83">
        <f t="shared" si="127"/>
        <v>7000</v>
      </c>
      <c r="E1342" s="83">
        <f t="shared" si="126"/>
        <v>7350</v>
      </c>
      <c r="F1342" s="83"/>
      <c r="G1342" s="83">
        <v>95201158</v>
      </c>
      <c r="H1342" s="83" t="s">
        <v>220</v>
      </c>
      <c r="I1342" s="83" t="s">
        <v>199</v>
      </c>
      <c r="J1342" s="83" t="s">
        <v>200</v>
      </c>
      <c r="K1342" s="83">
        <v>1</v>
      </c>
      <c r="L1342" s="83" t="s">
        <v>153</v>
      </c>
      <c r="M1342" s="83">
        <f>ROUNDDOWN(VLOOKUP(J1342,Sheet1!$N$32:$O$37,2,0)*1000,0)+100</f>
        <v>350</v>
      </c>
      <c r="N1342" s="83"/>
      <c r="O1342" s="83">
        <f t="shared" ref="O1342:O1366" si="129">(E1342-D1342)/$E$1422</f>
        <v>0.00347577385622213</v>
      </c>
      <c r="P1342" s="83">
        <v>11500</v>
      </c>
    </row>
    <row r="1343" spans="1:16">
      <c r="A1343" s="77">
        <v>1341</v>
      </c>
      <c r="B1343" s="83">
        <v>11300</v>
      </c>
      <c r="C1343" s="83">
        <v>6</v>
      </c>
      <c r="D1343" s="83">
        <f t="shared" si="127"/>
        <v>7350</v>
      </c>
      <c r="E1343" s="83">
        <f t="shared" si="126"/>
        <v>7700</v>
      </c>
      <c r="F1343" s="83"/>
      <c r="G1343" s="83">
        <v>95201168</v>
      </c>
      <c r="H1343" s="83" t="s">
        <v>221</v>
      </c>
      <c r="I1343" s="83" t="s">
        <v>199</v>
      </c>
      <c r="J1343" s="83" t="s">
        <v>200</v>
      </c>
      <c r="K1343" s="83">
        <v>1</v>
      </c>
      <c r="L1343" s="83" t="s">
        <v>153</v>
      </c>
      <c r="M1343" s="83">
        <f>ROUNDDOWN(VLOOKUP(J1343,Sheet1!$N$32:$O$37,2,0)*1000,0)+100</f>
        <v>350</v>
      </c>
      <c r="N1343" s="83"/>
      <c r="O1343" s="83">
        <f t="shared" si="129"/>
        <v>0.00347577385622213</v>
      </c>
      <c r="P1343" s="83">
        <v>11500</v>
      </c>
    </row>
    <row r="1344" spans="1:16">
      <c r="A1344" s="77">
        <v>1342</v>
      </c>
      <c r="B1344" s="83">
        <v>11300</v>
      </c>
      <c r="C1344" s="83">
        <v>6</v>
      </c>
      <c r="D1344" s="83">
        <f t="shared" si="127"/>
        <v>7700</v>
      </c>
      <c r="E1344" s="83">
        <f t="shared" si="126"/>
        <v>8050</v>
      </c>
      <c r="F1344" s="83"/>
      <c r="G1344" s="83">
        <v>95301028</v>
      </c>
      <c r="H1344" s="83" t="s">
        <v>222</v>
      </c>
      <c r="I1344" s="83" t="s">
        <v>199</v>
      </c>
      <c r="J1344" s="83" t="s">
        <v>200</v>
      </c>
      <c r="K1344" s="83">
        <v>1</v>
      </c>
      <c r="L1344" s="83" t="s">
        <v>153</v>
      </c>
      <c r="M1344" s="83">
        <f>ROUNDDOWN(VLOOKUP(J1344,Sheet1!$N$32:$O$37,2,0)*1000,0)+100</f>
        <v>350</v>
      </c>
      <c r="N1344" s="83"/>
      <c r="O1344" s="83">
        <f t="shared" si="129"/>
        <v>0.00347577385622213</v>
      </c>
      <c r="P1344" s="83">
        <v>11500</v>
      </c>
    </row>
    <row r="1345" spans="1:16">
      <c r="A1345" s="77">
        <v>1343</v>
      </c>
      <c r="B1345" s="83">
        <v>11300</v>
      </c>
      <c r="C1345" s="83">
        <v>6</v>
      </c>
      <c r="D1345" s="83">
        <f t="shared" si="127"/>
        <v>8050</v>
      </c>
      <c r="E1345" s="83">
        <f t="shared" si="126"/>
        <v>8400</v>
      </c>
      <c r="F1345" s="83"/>
      <c r="G1345" s="83">
        <v>95301048</v>
      </c>
      <c r="H1345" s="83" t="s">
        <v>223</v>
      </c>
      <c r="I1345" s="83" t="s">
        <v>199</v>
      </c>
      <c r="J1345" s="83" t="s">
        <v>200</v>
      </c>
      <c r="K1345" s="83">
        <v>1</v>
      </c>
      <c r="L1345" s="83" t="s">
        <v>153</v>
      </c>
      <c r="M1345" s="83">
        <f>ROUNDDOWN(VLOOKUP(J1345,Sheet1!$N$32:$O$37,2,0)*1000,0)+100</f>
        <v>350</v>
      </c>
      <c r="N1345" s="83"/>
      <c r="O1345" s="83">
        <f t="shared" si="129"/>
        <v>0.00347577385622213</v>
      </c>
      <c r="P1345" s="83">
        <v>11500</v>
      </c>
    </row>
    <row r="1346" spans="1:16">
      <c r="A1346" s="77">
        <v>1344</v>
      </c>
      <c r="B1346" s="83">
        <v>11300</v>
      </c>
      <c r="C1346" s="83">
        <v>6</v>
      </c>
      <c r="D1346" s="83">
        <f t="shared" si="127"/>
        <v>8400</v>
      </c>
      <c r="E1346" s="83">
        <f t="shared" si="126"/>
        <v>8750</v>
      </c>
      <c r="F1346" s="83"/>
      <c r="G1346" s="83">
        <v>95301058</v>
      </c>
      <c r="H1346" s="83" t="s">
        <v>224</v>
      </c>
      <c r="I1346" s="83" t="s">
        <v>199</v>
      </c>
      <c r="J1346" s="83" t="s">
        <v>200</v>
      </c>
      <c r="K1346" s="83">
        <v>1</v>
      </c>
      <c r="L1346" s="83" t="s">
        <v>153</v>
      </c>
      <c r="M1346" s="83">
        <f>ROUNDDOWN(VLOOKUP(J1346,Sheet1!$N$32:$O$37,2,0)*1000,0)+100</f>
        <v>350</v>
      </c>
      <c r="N1346" s="83"/>
      <c r="O1346" s="83">
        <f t="shared" si="129"/>
        <v>0.00347577385622213</v>
      </c>
      <c r="P1346" s="83">
        <v>11500</v>
      </c>
    </row>
    <row r="1347" spans="1:16">
      <c r="A1347" s="77">
        <v>1345</v>
      </c>
      <c r="B1347" s="83">
        <v>11300</v>
      </c>
      <c r="C1347" s="83">
        <v>6</v>
      </c>
      <c r="D1347" s="83">
        <f t="shared" si="127"/>
        <v>8750</v>
      </c>
      <c r="E1347" s="83">
        <f t="shared" si="126"/>
        <v>9100</v>
      </c>
      <c r="F1347" s="83"/>
      <c r="G1347" s="83">
        <v>95301138</v>
      </c>
      <c r="H1347" s="83" t="s">
        <v>225</v>
      </c>
      <c r="I1347" s="83" t="s">
        <v>199</v>
      </c>
      <c r="J1347" s="83" t="s">
        <v>200</v>
      </c>
      <c r="K1347" s="83">
        <v>1</v>
      </c>
      <c r="L1347" s="83" t="s">
        <v>153</v>
      </c>
      <c r="M1347" s="83">
        <f>ROUNDDOWN(VLOOKUP(J1347,Sheet1!$N$32:$O$37,2,0)*1000,0)+100</f>
        <v>350</v>
      </c>
      <c r="N1347" s="83"/>
      <c r="O1347" s="83">
        <f t="shared" si="129"/>
        <v>0.00347577385622213</v>
      </c>
      <c r="P1347" s="83">
        <v>11500</v>
      </c>
    </row>
    <row r="1348" spans="1:16">
      <c r="A1348" s="77">
        <v>1346</v>
      </c>
      <c r="B1348" s="83">
        <v>11300</v>
      </c>
      <c r="C1348" s="83">
        <v>6</v>
      </c>
      <c r="D1348" s="83">
        <f t="shared" si="127"/>
        <v>9100</v>
      </c>
      <c r="E1348" s="83">
        <f t="shared" si="126"/>
        <v>9450</v>
      </c>
      <c r="F1348" s="83"/>
      <c r="G1348" s="83">
        <v>95301098</v>
      </c>
      <c r="H1348" s="83" t="s">
        <v>226</v>
      </c>
      <c r="I1348" s="83" t="s">
        <v>199</v>
      </c>
      <c r="J1348" s="83" t="s">
        <v>200</v>
      </c>
      <c r="K1348" s="83">
        <v>1</v>
      </c>
      <c r="L1348" s="83" t="s">
        <v>153</v>
      </c>
      <c r="M1348" s="83">
        <f>ROUNDDOWN(VLOOKUP(J1348,Sheet1!$N$32:$O$37,2,0)*1000,0)+100</f>
        <v>350</v>
      </c>
      <c r="N1348" s="83"/>
      <c r="O1348" s="83">
        <f t="shared" si="129"/>
        <v>0.00347577385622213</v>
      </c>
      <c r="P1348" s="83">
        <v>11500</v>
      </c>
    </row>
    <row r="1349" spans="1:16">
      <c r="A1349" s="77">
        <v>1347</v>
      </c>
      <c r="B1349" s="83">
        <v>11300</v>
      </c>
      <c r="C1349" s="83">
        <v>6</v>
      </c>
      <c r="D1349" s="83">
        <f t="shared" si="127"/>
        <v>9450</v>
      </c>
      <c r="E1349" s="83">
        <f t="shared" si="126"/>
        <v>9800</v>
      </c>
      <c r="F1349" s="83"/>
      <c r="G1349" s="83">
        <v>95201188</v>
      </c>
      <c r="H1349" s="83" t="s">
        <v>227</v>
      </c>
      <c r="I1349" s="83" t="s">
        <v>199</v>
      </c>
      <c r="J1349" s="83" t="s">
        <v>200</v>
      </c>
      <c r="K1349" s="83">
        <v>1</v>
      </c>
      <c r="L1349" s="83" t="s">
        <v>153</v>
      </c>
      <c r="M1349" s="83">
        <f>ROUNDDOWN(VLOOKUP(J1349,Sheet1!$N$32:$O$37,2,0)*1000,0)+100</f>
        <v>350</v>
      </c>
      <c r="N1349" s="83"/>
      <c r="O1349" s="83">
        <f t="shared" si="129"/>
        <v>0.00347577385622213</v>
      </c>
      <c r="P1349" s="83">
        <v>11500</v>
      </c>
    </row>
    <row r="1350" spans="1:16">
      <c r="A1350" s="77">
        <v>1348</v>
      </c>
      <c r="B1350" s="83">
        <v>11300</v>
      </c>
      <c r="C1350" s="83">
        <v>6</v>
      </c>
      <c r="D1350" s="83">
        <f t="shared" si="127"/>
        <v>9800</v>
      </c>
      <c r="E1350" s="83">
        <f t="shared" si="126"/>
        <v>10150</v>
      </c>
      <c r="F1350" s="83"/>
      <c r="G1350" s="83">
        <v>95301148</v>
      </c>
      <c r="H1350" s="83" t="s">
        <v>228</v>
      </c>
      <c r="I1350" s="83" t="s">
        <v>199</v>
      </c>
      <c r="J1350" s="83" t="s">
        <v>200</v>
      </c>
      <c r="K1350" s="83">
        <v>1</v>
      </c>
      <c r="L1350" s="83" t="s">
        <v>153</v>
      </c>
      <c r="M1350" s="83">
        <f>ROUNDDOWN(VLOOKUP(J1350,Sheet1!$N$32:$O$37,2,0)*1000,0)+100</f>
        <v>350</v>
      </c>
      <c r="N1350" s="83"/>
      <c r="O1350" s="83">
        <f t="shared" si="129"/>
        <v>0.00347577385622213</v>
      </c>
      <c r="P1350" s="83">
        <v>11500</v>
      </c>
    </row>
    <row r="1351" spans="1:16">
      <c r="A1351" s="77">
        <v>1349</v>
      </c>
      <c r="B1351" s="83">
        <v>11300</v>
      </c>
      <c r="C1351" s="83">
        <v>6</v>
      </c>
      <c r="D1351" s="83">
        <f t="shared" si="127"/>
        <v>10150</v>
      </c>
      <c r="E1351" s="83">
        <f t="shared" si="126"/>
        <v>10500</v>
      </c>
      <c r="F1351" s="83"/>
      <c r="G1351" s="83">
        <v>95301158</v>
      </c>
      <c r="H1351" s="83" t="s">
        <v>229</v>
      </c>
      <c r="I1351" s="83" t="s">
        <v>199</v>
      </c>
      <c r="J1351" s="83" t="s">
        <v>200</v>
      </c>
      <c r="K1351" s="83">
        <v>1</v>
      </c>
      <c r="L1351" s="83" t="s">
        <v>153</v>
      </c>
      <c r="M1351" s="83">
        <f>ROUNDDOWN(VLOOKUP(J1351,Sheet1!$N$32:$O$37,2,0)*1000,0)+100</f>
        <v>350</v>
      </c>
      <c r="N1351" s="83"/>
      <c r="O1351" s="83">
        <f t="shared" si="129"/>
        <v>0.00347577385622213</v>
      </c>
      <c r="P1351" s="83">
        <v>11500</v>
      </c>
    </row>
    <row r="1352" spans="1:16">
      <c r="A1352" s="77">
        <v>1350</v>
      </c>
      <c r="B1352" s="83">
        <v>11300</v>
      </c>
      <c r="C1352" s="83">
        <v>6</v>
      </c>
      <c r="D1352" s="83">
        <f>E1350</f>
        <v>10150</v>
      </c>
      <c r="E1352" s="83">
        <f t="shared" si="126"/>
        <v>10500</v>
      </c>
      <c r="F1352" s="83"/>
      <c r="G1352" s="83">
        <v>95101019</v>
      </c>
      <c r="H1352" s="83" t="s">
        <v>198</v>
      </c>
      <c r="I1352" s="83" t="s">
        <v>233</v>
      </c>
      <c r="J1352" s="83" t="s">
        <v>200</v>
      </c>
      <c r="K1352" s="83">
        <v>1</v>
      </c>
      <c r="L1352" s="83" t="s">
        <v>153</v>
      </c>
      <c r="M1352" s="83">
        <f>ROUNDDOWN(VLOOKUP(J1352,Sheet1!$N$32:$O$37,2,0)*1000,0)+100</f>
        <v>350</v>
      </c>
      <c r="N1352" s="83"/>
      <c r="O1352" s="83">
        <f t="shared" si="129"/>
        <v>0.00347577385622213</v>
      </c>
      <c r="P1352" s="83">
        <v>11500</v>
      </c>
    </row>
    <row r="1353" spans="1:16">
      <c r="A1353" s="77">
        <v>1351</v>
      </c>
      <c r="B1353" s="83">
        <v>11300</v>
      </c>
      <c r="C1353" s="83">
        <v>6</v>
      </c>
      <c r="D1353" s="83">
        <f t="shared" ref="D1353:D1416" si="130">E1352</f>
        <v>10500</v>
      </c>
      <c r="E1353" s="83">
        <f t="shared" si="126"/>
        <v>10850</v>
      </c>
      <c r="F1353" s="83"/>
      <c r="G1353" s="83">
        <v>95101029</v>
      </c>
      <c r="H1353" s="83" t="s">
        <v>201</v>
      </c>
      <c r="I1353" s="83" t="s">
        <v>233</v>
      </c>
      <c r="J1353" s="83" t="s">
        <v>200</v>
      </c>
      <c r="K1353" s="83">
        <v>1</v>
      </c>
      <c r="L1353" s="83" t="s">
        <v>153</v>
      </c>
      <c r="M1353" s="83">
        <f>ROUNDDOWN(VLOOKUP(J1353,Sheet1!$N$32:$O$37,2,0)*1000,0)+100</f>
        <v>350</v>
      </c>
      <c r="N1353" s="83"/>
      <c r="O1353" s="83">
        <f t="shared" si="129"/>
        <v>0.00347577385622213</v>
      </c>
      <c r="P1353" s="83">
        <v>11500</v>
      </c>
    </row>
    <row r="1354" spans="1:16">
      <c r="A1354" s="77">
        <v>1352</v>
      </c>
      <c r="B1354" s="83">
        <v>11300</v>
      </c>
      <c r="C1354" s="83">
        <v>6</v>
      </c>
      <c r="D1354" s="83">
        <f t="shared" si="130"/>
        <v>10850</v>
      </c>
      <c r="E1354" s="83">
        <f t="shared" si="126"/>
        <v>11200</v>
      </c>
      <c r="F1354" s="83"/>
      <c r="G1354" s="83">
        <v>95102019</v>
      </c>
      <c r="H1354" s="83" t="s">
        <v>202</v>
      </c>
      <c r="I1354" s="83" t="s">
        <v>233</v>
      </c>
      <c r="J1354" s="83" t="s">
        <v>200</v>
      </c>
      <c r="K1354" s="83">
        <v>1</v>
      </c>
      <c r="L1354" s="83" t="s">
        <v>153</v>
      </c>
      <c r="M1354" s="83">
        <f>ROUNDDOWN(VLOOKUP(J1354,Sheet1!$N$32:$O$37,2,0)*1000,0)+100</f>
        <v>350</v>
      </c>
      <c r="N1354" s="83"/>
      <c r="O1354" s="83">
        <f t="shared" si="129"/>
        <v>0.00347577385622213</v>
      </c>
      <c r="P1354" s="83">
        <v>11500</v>
      </c>
    </row>
    <row r="1355" spans="1:16">
      <c r="A1355" s="77">
        <v>1353</v>
      </c>
      <c r="B1355" s="83">
        <v>11300</v>
      </c>
      <c r="C1355" s="83">
        <v>6</v>
      </c>
      <c r="D1355" s="83">
        <f t="shared" si="130"/>
        <v>11200</v>
      </c>
      <c r="E1355" s="83">
        <f t="shared" ref="E1355:E1381" si="131">D1355+M1355</f>
        <v>11550</v>
      </c>
      <c r="F1355" s="83"/>
      <c r="G1355" s="83">
        <v>95102029</v>
      </c>
      <c r="H1355" s="83" t="s">
        <v>203</v>
      </c>
      <c r="I1355" s="83" t="s">
        <v>233</v>
      </c>
      <c r="J1355" s="83" t="s">
        <v>200</v>
      </c>
      <c r="K1355" s="83">
        <v>1</v>
      </c>
      <c r="L1355" s="83" t="s">
        <v>153</v>
      </c>
      <c r="M1355" s="83">
        <f>ROUNDDOWN(VLOOKUP(J1355,Sheet1!$N$32:$O$37,2,0)*1000,0)+100</f>
        <v>350</v>
      </c>
      <c r="N1355" s="83"/>
      <c r="O1355" s="83">
        <f t="shared" si="129"/>
        <v>0.00347577385622213</v>
      </c>
      <c r="P1355" s="83">
        <v>11500</v>
      </c>
    </row>
    <row r="1356" spans="1:16">
      <c r="A1356" s="77">
        <v>1354</v>
      </c>
      <c r="B1356" s="83">
        <v>11300</v>
      </c>
      <c r="C1356" s="83">
        <v>6</v>
      </c>
      <c r="D1356" s="83">
        <f t="shared" si="130"/>
        <v>11550</v>
      </c>
      <c r="E1356" s="83">
        <f t="shared" si="131"/>
        <v>11900</v>
      </c>
      <c r="F1356" s="83"/>
      <c r="G1356" s="83">
        <v>95103019</v>
      </c>
      <c r="H1356" s="83" t="s">
        <v>204</v>
      </c>
      <c r="I1356" s="83" t="s">
        <v>233</v>
      </c>
      <c r="J1356" s="83" t="s">
        <v>200</v>
      </c>
      <c r="K1356" s="83">
        <v>1</v>
      </c>
      <c r="L1356" s="83" t="s">
        <v>153</v>
      </c>
      <c r="M1356" s="83">
        <f>ROUNDDOWN(VLOOKUP(J1356,Sheet1!$N$32:$O$37,2,0)*1000,0)+100</f>
        <v>350</v>
      </c>
      <c r="N1356" s="83"/>
      <c r="O1356" s="83">
        <f t="shared" si="129"/>
        <v>0.00347577385622213</v>
      </c>
      <c r="P1356" s="83">
        <v>11500</v>
      </c>
    </row>
    <row r="1357" spans="1:16">
      <c r="A1357" s="77">
        <v>1355</v>
      </c>
      <c r="B1357" s="83">
        <v>11300</v>
      </c>
      <c r="C1357" s="83">
        <v>6</v>
      </c>
      <c r="D1357" s="83">
        <f t="shared" si="130"/>
        <v>11900</v>
      </c>
      <c r="E1357" s="83">
        <f t="shared" si="131"/>
        <v>12250</v>
      </c>
      <c r="F1357" s="83"/>
      <c r="G1357" s="83">
        <v>95104019</v>
      </c>
      <c r="H1357" s="83" t="s">
        <v>205</v>
      </c>
      <c r="I1357" s="83" t="s">
        <v>233</v>
      </c>
      <c r="J1357" s="83" t="s">
        <v>200</v>
      </c>
      <c r="K1357" s="83">
        <v>1</v>
      </c>
      <c r="L1357" s="83" t="s">
        <v>153</v>
      </c>
      <c r="M1357" s="83">
        <f>ROUNDDOWN(VLOOKUP(J1357,Sheet1!$N$32:$O$37,2,0)*1000,0)+100</f>
        <v>350</v>
      </c>
      <c r="N1357" s="83"/>
      <c r="O1357" s="83">
        <f t="shared" si="129"/>
        <v>0.00347577385622213</v>
      </c>
      <c r="P1357" s="83">
        <v>11500</v>
      </c>
    </row>
    <row r="1358" spans="1:16">
      <c r="A1358" s="77">
        <v>1356</v>
      </c>
      <c r="B1358" s="83">
        <v>11300</v>
      </c>
      <c r="C1358" s="83">
        <v>6</v>
      </c>
      <c r="D1358" s="83">
        <f t="shared" si="130"/>
        <v>12250</v>
      </c>
      <c r="E1358" s="83">
        <f t="shared" si="131"/>
        <v>12600</v>
      </c>
      <c r="F1358" s="83"/>
      <c r="G1358" s="83">
        <v>95104029</v>
      </c>
      <c r="H1358" s="83" t="s">
        <v>206</v>
      </c>
      <c r="I1358" s="83" t="s">
        <v>233</v>
      </c>
      <c r="J1358" s="83" t="s">
        <v>200</v>
      </c>
      <c r="K1358" s="83">
        <v>1</v>
      </c>
      <c r="L1358" s="83" t="s">
        <v>153</v>
      </c>
      <c r="M1358" s="83">
        <f>ROUNDDOWN(VLOOKUP(J1358,Sheet1!$N$32:$O$37,2,0)*1000,0)+100</f>
        <v>350</v>
      </c>
      <c r="N1358" s="83"/>
      <c r="O1358" s="83">
        <f t="shared" si="129"/>
        <v>0.00347577385622213</v>
      </c>
      <c r="P1358" s="83">
        <v>11500</v>
      </c>
    </row>
    <row r="1359" spans="1:16">
      <c r="A1359" s="77">
        <v>1357</v>
      </c>
      <c r="B1359" s="83">
        <v>11300</v>
      </c>
      <c r="C1359" s="83">
        <v>6</v>
      </c>
      <c r="D1359" s="83">
        <f t="shared" si="130"/>
        <v>12600</v>
      </c>
      <c r="E1359" s="83">
        <f t="shared" si="131"/>
        <v>12950</v>
      </c>
      <c r="F1359" s="83"/>
      <c r="G1359" s="83">
        <v>95104039</v>
      </c>
      <c r="H1359" s="83" t="s">
        <v>207</v>
      </c>
      <c r="I1359" s="83" t="s">
        <v>233</v>
      </c>
      <c r="J1359" s="83" t="s">
        <v>200</v>
      </c>
      <c r="K1359" s="83">
        <v>1</v>
      </c>
      <c r="L1359" s="83" t="s">
        <v>153</v>
      </c>
      <c r="M1359" s="83">
        <f>ROUNDDOWN(VLOOKUP(J1359,Sheet1!$N$32:$O$37,2,0)*1000,0)+100</f>
        <v>350</v>
      </c>
      <c r="N1359" s="83"/>
      <c r="O1359" s="83">
        <f t="shared" si="129"/>
        <v>0.00347577385622213</v>
      </c>
      <c r="P1359" s="83">
        <v>11500</v>
      </c>
    </row>
    <row r="1360" spans="1:16">
      <c r="A1360" s="77">
        <v>1358</v>
      </c>
      <c r="B1360" s="83">
        <v>11300</v>
      </c>
      <c r="C1360" s="83">
        <v>6</v>
      </c>
      <c r="D1360" s="83">
        <f t="shared" si="130"/>
        <v>12950</v>
      </c>
      <c r="E1360" s="83">
        <f t="shared" si="131"/>
        <v>13300</v>
      </c>
      <c r="F1360" s="83"/>
      <c r="G1360" s="83">
        <v>95106019</v>
      </c>
      <c r="H1360" s="83" t="s">
        <v>208</v>
      </c>
      <c r="I1360" s="83" t="s">
        <v>233</v>
      </c>
      <c r="J1360" s="83" t="s">
        <v>200</v>
      </c>
      <c r="K1360" s="83">
        <v>1</v>
      </c>
      <c r="L1360" s="83" t="s">
        <v>153</v>
      </c>
      <c r="M1360" s="83">
        <f>ROUNDDOWN(VLOOKUP(J1360,Sheet1!$N$32:$O$37,2,0)*1000,0)+100</f>
        <v>350</v>
      </c>
      <c r="N1360" s="83"/>
      <c r="O1360" s="83">
        <f t="shared" si="129"/>
        <v>0.00347577385622213</v>
      </c>
      <c r="P1360" s="83">
        <v>11500</v>
      </c>
    </row>
    <row r="1361" spans="1:16">
      <c r="A1361" s="77">
        <v>1359</v>
      </c>
      <c r="B1361" s="83">
        <v>11300</v>
      </c>
      <c r="C1361" s="83">
        <v>6</v>
      </c>
      <c r="D1361" s="83">
        <f t="shared" si="130"/>
        <v>13300</v>
      </c>
      <c r="E1361" s="83">
        <f t="shared" si="131"/>
        <v>13650</v>
      </c>
      <c r="F1361" s="83"/>
      <c r="G1361" s="83">
        <v>95109019</v>
      </c>
      <c r="H1361" s="83" t="s">
        <v>209</v>
      </c>
      <c r="I1361" s="83" t="s">
        <v>233</v>
      </c>
      <c r="J1361" s="83" t="s">
        <v>200</v>
      </c>
      <c r="K1361" s="83">
        <v>1</v>
      </c>
      <c r="L1361" s="83" t="s">
        <v>153</v>
      </c>
      <c r="M1361" s="83">
        <f>ROUNDDOWN(VLOOKUP(J1361,Sheet1!$N$32:$O$37,2,0)*1000,0)+100</f>
        <v>350</v>
      </c>
      <c r="N1361" s="83"/>
      <c r="O1361" s="83">
        <f t="shared" si="129"/>
        <v>0.00347577385622213</v>
      </c>
      <c r="P1361" s="83">
        <v>11500</v>
      </c>
    </row>
    <row r="1362" spans="1:16">
      <c r="A1362" s="77">
        <v>1360</v>
      </c>
      <c r="B1362" s="83">
        <v>11300</v>
      </c>
      <c r="C1362" s="83">
        <v>6</v>
      </c>
      <c r="D1362" s="83">
        <f t="shared" si="130"/>
        <v>13650</v>
      </c>
      <c r="E1362" s="83">
        <f t="shared" si="131"/>
        <v>14000</v>
      </c>
      <c r="F1362" s="83"/>
      <c r="G1362" s="83">
        <v>95110019</v>
      </c>
      <c r="H1362" s="83" t="s">
        <v>210</v>
      </c>
      <c r="I1362" s="83" t="s">
        <v>233</v>
      </c>
      <c r="J1362" s="83" t="s">
        <v>200</v>
      </c>
      <c r="K1362" s="83">
        <v>1</v>
      </c>
      <c r="L1362" s="83" t="s">
        <v>153</v>
      </c>
      <c r="M1362" s="83">
        <f>ROUNDDOWN(VLOOKUP(J1362,Sheet1!$N$32:$O$37,2,0)*1000,0)+100</f>
        <v>350</v>
      </c>
      <c r="N1362" s="83"/>
      <c r="O1362" s="83">
        <f t="shared" si="129"/>
        <v>0.00347577385622213</v>
      </c>
      <c r="P1362" s="83">
        <v>11500</v>
      </c>
    </row>
    <row r="1363" spans="1:16">
      <c r="A1363" s="77">
        <v>1361</v>
      </c>
      <c r="B1363" s="83">
        <v>11300</v>
      </c>
      <c r="C1363" s="83">
        <v>6</v>
      </c>
      <c r="D1363" s="83">
        <f t="shared" si="130"/>
        <v>14000</v>
      </c>
      <c r="E1363" s="83">
        <f t="shared" si="131"/>
        <v>14350</v>
      </c>
      <c r="F1363" s="83"/>
      <c r="G1363" s="83">
        <v>95111019</v>
      </c>
      <c r="H1363" s="83" t="s">
        <v>211</v>
      </c>
      <c r="I1363" s="83" t="s">
        <v>233</v>
      </c>
      <c r="J1363" s="83" t="s">
        <v>200</v>
      </c>
      <c r="K1363" s="83">
        <v>1</v>
      </c>
      <c r="L1363" s="83" t="s">
        <v>153</v>
      </c>
      <c r="M1363" s="83">
        <f>ROUNDDOWN(VLOOKUP(J1363,Sheet1!$N$32:$O$37,2,0)*1000,0)+100</f>
        <v>350</v>
      </c>
      <c r="N1363" s="83"/>
      <c r="O1363" s="83">
        <f t="shared" si="129"/>
        <v>0.00347577385622213</v>
      </c>
      <c r="P1363" s="83">
        <v>11500</v>
      </c>
    </row>
    <row r="1364" spans="1:16">
      <c r="A1364" s="77">
        <v>1362</v>
      </c>
      <c r="B1364" s="83">
        <v>11300</v>
      </c>
      <c r="C1364" s="83">
        <v>6</v>
      </c>
      <c r="D1364" s="83">
        <f t="shared" si="130"/>
        <v>14350</v>
      </c>
      <c r="E1364" s="83">
        <f t="shared" si="131"/>
        <v>14700</v>
      </c>
      <c r="F1364" s="83"/>
      <c r="G1364" s="83">
        <v>95120019</v>
      </c>
      <c r="H1364" s="83" t="s">
        <v>212</v>
      </c>
      <c r="I1364" s="83" t="s">
        <v>233</v>
      </c>
      <c r="J1364" s="83" t="s">
        <v>200</v>
      </c>
      <c r="K1364" s="83">
        <v>1</v>
      </c>
      <c r="L1364" s="83" t="s">
        <v>153</v>
      </c>
      <c r="M1364" s="83">
        <f>ROUNDDOWN(VLOOKUP(J1364,Sheet1!$N$32:$O$37,2,0)*1000,0)+100</f>
        <v>350</v>
      </c>
      <c r="N1364" s="83"/>
      <c r="O1364" s="83">
        <f t="shared" si="129"/>
        <v>0.00347577385622213</v>
      </c>
      <c r="P1364" s="83">
        <v>11500</v>
      </c>
    </row>
    <row r="1365" spans="1:16">
      <c r="A1365" s="77">
        <v>1363</v>
      </c>
      <c r="B1365" s="83">
        <v>11300</v>
      </c>
      <c r="C1365" s="83">
        <v>6</v>
      </c>
      <c r="D1365" s="83">
        <f t="shared" si="130"/>
        <v>14700</v>
      </c>
      <c r="E1365" s="83">
        <f t="shared" si="131"/>
        <v>15050</v>
      </c>
      <c r="F1365" s="83"/>
      <c r="G1365" s="83">
        <v>95140019</v>
      </c>
      <c r="H1365" s="83" t="s">
        <v>213</v>
      </c>
      <c r="I1365" s="83" t="s">
        <v>233</v>
      </c>
      <c r="J1365" s="83" t="s">
        <v>200</v>
      </c>
      <c r="K1365" s="83">
        <v>1</v>
      </c>
      <c r="L1365" s="83" t="s">
        <v>153</v>
      </c>
      <c r="M1365" s="83">
        <f>ROUNDDOWN(VLOOKUP(J1365,Sheet1!$N$32:$O$37,2,0)*1000,0)+100</f>
        <v>350</v>
      </c>
      <c r="N1365" s="83"/>
      <c r="O1365" s="83">
        <f t="shared" si="129"/>
        <v>0.00347577385622213</v>
      </c>
      <c r="P1365" s="83">
        <v>11500</v>
      </c>
    </row>
    <row r="1366" spans="1:16">
      <c r="A1366" s="77">
        <v>1364</v>
      </c>
      <c r="B1366" s="83">
        <v>11300</v>
      </c>
      <c r="C1366" s="83">
        <v>6</v>
      </c>
      <c r="D1366" s="83">
        <f t="shared" si="130"/>
        <v>15050</v>
      </c>
      <c r="E1366" s="83">
        <f t="shared" si="131"/>
        <v>15400</v>
      </c>
      <c r="F1366" s="83"/>
      <c r="G1366" s="83">
        <v>95105029</v>
      </c>
      <c r="H1366" s="83" t="s">
        <v>214</v>
      </c>
      <c r="I1366" s="83" t="s">
        <v>233</v>
      </c>
      <c r="J1366" s="83" t="s">
        <v>200</v>
      </c>
      <c r="K1366" s="83">
        <v>1</v>
      </c>
      <c r="L1366" s="83" t="s">
        <v>153</v>
      </c>
      <c r="M1366" s="83">
        <f>ROUNDDOWN(VLOOKUP(J1366,Sheet1!$N$32:$O$37,2,0)*1000,0)+100</f>
        <v>350</v>
      </c>
      <c r="N1366" s="83"/>
      <c r="O1366" s="83">
        <f t="shared" si="129"/>
        <v>0.00347577385622213</v>
      </c>
      <c r="P1366" s="83">
        <v>11500</v>
      </c>
    </row>
    <row r="1367" spans="1:16">
      <c r="A1367" s="77">
        <v>1365</v>
      </c>
      <c r="B1367" s="83">
        <v>11300</v>
      </c>
      <c r="C1367" s="83">
        <v>6</v>
      </c>
      <c r="D1367" s="83">
        <f t="shared" si="130"/>
        <v>15400</v>
      </c>
      <c r="E1367" s="83">
        <f t="shared" si="131"/>
        <v>15750</v>
      </c>
      <c r="F1367" s="83"/>
      <c r="G1367" s="83">
        <v>95109029</v>
      </c>
      <c r="H1367" s="83" t="s">
        <v>215</v>
      </c>
      <c r="I1367" s="83" t="s">
        <v>233</v>
      </c>
      <c r="J1367" s="83" t="s">
        <v>200</v>
      </c>
      <c r="K1367" s="83">
        <v>1</v>
      </c>
      <c r="L1367" s="83" t="s">
        <v>153</v>
      </c>
      <c r="M1367" s="83">
        <f>ROUNDDOWN(VLOOKUP(J1367,Sheet1!$N$32:$O$37,2,0)*1000,0)+100</f>
        <v>350</v>
      </c>
      <c r="N1367" s="83"/>
      <c r="O1367" s="83"/>
      <c r="P1367" s="83"/>
    </row>
    <row r="1368" spans="1:16">
      <c r="A1368" s="77">
        <v>1366</v>
      </c>
      <c r="B1368" s="83">
        <v>11300</v>
      </c>
      <c r="C1368" s="83">
        <v>6</v>
      </c>
      <c r="D1368" s="83">
        <f t="shared" si="130"/>
        <v>15750</v>
      </c>
      <c r="E1368" s="83">
        <f t="shared" si="131"/>
        <v>16100</v>
      </c>
      <c r="F1368" s="83"/>
      <c r="G1368" s="83">
        <v>95110029</v>
      </c>
      <c r="H1368" s="83" t="s">
        <v>216</v>
      </c>
      <c r="I1368" s="83" t="s">
        <v>233</v>
      </c>
      <c r="J1368" s="83" t="s">
        <v>200</v>
      </c>
      <c r="K1368" s="83">
        <v>1</v>
      </c>
      <c r="L1368" s="83" t="s">
        <v>153</v>
      </c>
      <c r="M1368" s="83">
        <f>ROUNDDOWN(VLOOKUP(J1368,Sheet1!$N$32:$O$37,2,0)*1000,0)+100</f>
        <v>350</v>
      </c>
      <c r="N1368" s="83"/>
      <c r="O1368" s="83"/>
      <c r="P1368" s="83"/>
    </row>
    <row r="1369" spans="1:16">
      <c r="A1369" s="77">
        <v>1367</v>
      </c>
      <c r="B1369" s="83">
        <v>11300</v>
      </c>
      <c r="C1369" s="83">
        <v>6</v>
      </c>
      <c r="D1369" s="83">
        <f t="shared" si="130"/>
        <v>16100</v>
      </c>
      <c r="E1369" s="83">
        <f t="shared" si="131"/>
        <v>16450</v>
      </c>
      <c r="F1369" s="83"/>
      <c r="G1369" s="83">
        <v>95150029</v>
      </c>
      <c r="H1369" s="83" t="s">
        <v>217</v>
      </c>
      <c r="I1369" s="83" t="s">
        <v>233</v>
      </c>
      <c r="J1369" s="83" t="s">
        <v>200</v>
      </c>
      <c r="K1369" s="83">
        <v>1</v>
      </c>
      <c r="L1369" s="83" t="s">
        <v>153</v>
      </c>
      <c r="M1369" s="83">
        <f>ROUNDDOWN(VLOOKUP(J1369,Sheet1!$N$32:$O$37,2,0)*1000,0)+100</f>
        <v>350</v>
      </c>
      <c r="N1369" s="83"/>
      <c r="O1369" s="83"/>
      <c r="P1369" s="83"/>
    </row>
    <row r="1370" spans="1:16">
      <c r="A1370" s="77">
        <v>1368</v>
      </c>
      <c r="B1370" s="83">
        <v>11300</v>
      </c>
      <c r="C1370" s="83">
        <v>6</v>
      </c>
      <c r="D1370" s="83">
        <f t="shared" si="130"/>
        <v>16450</v>
      </c>
      <c r="E1370" s="83">
        <f t="shared" si="131"/>
        <v>16800</v>
      </c>
      <c r="F1370" s="83"/>
      <c r="G1370" s="83">
        <v>95201039</v>
      </c>
      <c r="H1370" s="83" t="s">
        <v>218</v>
      </c>
      <c r="I1370" s="83" t="s">
        <v>233</v>
      </c>
      <c r="J1370" s="83" t="s">
        <v>200</v>
      </c>
      <c r="K1370" s="83">
        <v>1</v>
      </c>
      <c r="L1370" s="83" t="s">
        <v>153</v>
      </c>
      <c r="M1370" s="83">
        <f>ROUNDDOWN(VLOOKUP(J1370,Sheet1!$N$32:$O$37,2,0)*1000,0)+100</f>
        <v>350</v>
      </c>
      <c r="N1370" s="83"/>
      <c r="O1370" s="83"/>
      <c r="P1370" s="83"/>
    </row>
    <row r="1371" spans="1:16">
      <c r="A1371" s="77">
        <v>1369</v>
      </c>
      <c r="B1371" s="83">
        <v>11300</v>
      </c>
      <c r="C1371" s="83">
        <v>6</v>
      </c>
      <c r="D1371" s="83">
        <f t="shared" si="130"/>
        <v>16800</v>
      </c>
      <c r="E1371" s="83">
        <f t="shared" si="131"/>
        <v>17150</v>
      </c>
      <c r="F1371" s="83"/>
      <c r="G1371" s="83">
        <v>95201119</v>
      </c>
      <c r="H1371" s="83" t="s">
        <v>219</v>
      </c>
      <c r="I1371" s="83" t="s">
        <v>233</v>
      </c>
      <c r="J1371" s="83" t="s">
        <v>200</v>
      </c>
      <c r="K1371" s="83">
        <v>1</v>
      </c>
      <c r="L1371" s="83" t="s">
        <v>153</v>
      </c>
      <c r="M1371" s="83">
        <f>ROUNDDOWN(VLOOKUP(J1371,Sheet1!$N$32:$O$37,2,0)*1000,0)+100</f>
        <v>350</v>
      </c>
      <c r="N1371" s="83"/>
      <c r="O1371" s="83">
        <f t="shared" ref="O1371:O1402" si="132">(E1371-D1371)/$E$1422</f>
        <v>0.00347577385622213</v>
      </c>
      <c r="P1371" s="83">
        <v>11500</v>
      </c>
    </row>
    <row r="1372" spans="1:16">
      <c r="A1372" s="77">
        <v>1370</v>
      </c>
      <c r="B1372" s="83">
        <v>11300</v>
      </c>
      <c r="C1372" s="83">
        <v>6</v>
      </c>
      <c r="D1372" s="83">
        <f t="shared" si="130"/>
        <v>17150</v>
      </c>
      <c r="E1372" s="83">
        <f t="shared" si="131"/>
        <v>17500</v>
      </c>
      <c r="F1372" s="83"/>
      <c r="G1372" s="83">
        <v>95201159</v>
      </c>
      <c r="H1372" s="83" t="s">
        <v>220</v>
      </c>
      <c r="I1372" s="83" t="s">
        <v>233</v>
      </c>
      <c r="J1372" s="83" t="s">
        <v>200</v>
      </c>
      <c r="K1372" s="83">
        <v>1</v>
      </c>
      <c r="L1372" s="83" t="s">
        <v>153</v>
      </c>
      <c r="M1372" s="83">
        <f>ROUNDDOWN(VLOOKUP(J1372,Sheet1!$N$32:$O$37,2,0)*1000,0)+100</f>
        <v>350</v>
      </c>
      <c r="N1372" s="83"/>
      <c r="O1372" s="83">
        <f t="shared" si="132"/>
        <v>0.00347577385622213</v>
      </c>
      <c r="P1372" s="83">
        <v>11500</v>
      </c>
    </row>
    <row r="1373" spans="1:16">
      <c r="A1373" s="77">
        <v>1371</v>
      </c>
      <c r="B1373" s="83">
        <v>11300</v>
      </c>
      <c r="C1373" s="83">
        <v>6</v>
      </c>
      <c r="D1373" s="83">
        <f t="shared" si="130"/>
        <v>17500</v>
      </c>
      <c r="E1373" s="83">
        <f t="shared" si="131"/>
        <v>17850</v>
      </c>
      <c r="F1373" s="83"/>
      <c r="G1373" s="83">
        <v>95201169</v>
      </c>
      <c r="H1373" s="83" t="s">
        <v>221</v>
      </c>
      <c r="I1373" s="83" t="s">
        <v>233</v>
      </c>
      <c r="J1373" s="83" t="s">
        <v>200</v>
      </c>
      <c r="K1373" s="83">
        <v>1</v>
      </c>
      <c r="L1373" s="83" t="s">
        <v>153</v>
      </c>
      <c r="M1373" s="83">
        <f>ROUNDDOWN(VLOOKUP(J1373,Sheet1!$N$32:$O$37,2,0)*1000,0)+100</f>
        <v>350</v>
      </c>
      <c r="N1373" s="83"/>
      <c r="O1373" s="83">
        <f t="shared" si="132"/>
        <v>0.00347577385622213</v>
      </c>
      <c r="P1373" s="83">
        <v>11500</v>
      </c>
    </row>
    <row r="1374" spans="1:16">
      <c r="A1374" s="77">
        <v>1372</v>
      </c>
      <c r="B1374" s="83">
        <v>11300</v>
      </c>
      <c r="C1374" s="83">
        <v>6</v>
      </c>
      <c r="D1374" s="83">
        <f t="shared" si="130"/>
        <v>17850</v>
      </c>
      <c r="E1374" s="83">
        <f t="shared" si="131"/>
        <v>18200</v>
      </c>
      <c r="F1374" s="83"/>
      <c r="G1374" s="83">
        <v>95301029</v>
      </c>
      <c r="H1374" s="83" t="s">
        <v>222</v>
      </c>
      <c r="I1374" s="83" t="s">
        <v>233</v>
      </c>
      <c r="J1374" s="83" t="s">
        <v>200</v>
      </c>
      <c r="K1374" s="83">
        <v>1</v>
      </c>
      <c r="L1374" s="83" t="s">
        <v>153</v>
      </c>
      <c r="M1374" s="83">
        <f>ROUNDDOWN(VLOOKUP(J1374,Sheet1!$N$32:$O$37,2,0)*1000,0)+100</f>
        <v>350</v>
      </c>
      <c r="N1374" s="83"/>
      <c r="O1374" s="83">
        <f t="shared" si="132"/>
        <v>0.00347577385622213</v>
      </c>
      <c r="P1374" s="83">
        <v>11500</v>
      </c>
    </row>
    <row r="1375" spans="1:16">
      <c r="A1375" s="77">
        <v>1373</v>
      </c>
      <c r="B1375" s="83">
        <v>11300</v>
      </c>
      <c r="C1375" s="83">
        <v>6</v>
      </c>
      <c r="D1375" s="83">
        <f t="shared" si="130"/>
        <v>18200</v>
      </c>
      <c r="E1375" s="83">
        <f t="shared" si="131"/>
        <v>18550</v>
      </c>
      <c r="F1375" s="83"/>
      <c r="G1375" s="83">
        <v>95301049</v>
      </c>
      <c r="H1375" s="83" t="s">
        <v>223</v>
      </c>
      <c r="I1375" s="83" t="s">
        <v>233</v>
      </c>
      <c r="J1375" s="83" t="s">
        <v>200</v>
      </c>
      <c r="K1375" s="83">
        <v>1</v>
      </c>
      <c r="L1375" s="83" t="s">
        <v>153</v>
      </c>
      <c r="M1375" s="83">
        <f>ROUNDDOWN(VLOOKUP(J1375,Sheet1!$N$32:$O$37,2,0)*1000,0)+100</f>
        <v>350</v>
      </c>
      <c r="N1375" s="83"/>
      <c r="O1375" s="83">
        <f t="shared" si="132"/>
        <v>0.00347577385622213</v>
      </c>
      <c r="P1375" s="83">
        <v>11500</v>
      </c>
    </row>
    <row r="1376" spans="1:16">
      <c r="A1376" s="77">
        <v>1374</v>
      </c>
      <c r="B1376" s="83">
        <v>11300</v>
      </c>
      <c r="C1376" s="83">
        <v>6</v>
      </c>
      <c r="D1376" s="83">
        <f t="shared" si="130"/>
        <v>18550</v>
      </c>
      <c r="E1376" s="83">
        <f t="shared" si="131"/>
        <v>18900</v>
      </c>
      <c r="F1376" s="83"/>
      <c r="G1376" s="83">
        <v>95301059</v>
      </c>
      <c r="H1376" s="83" t="s">
        <v>224</v>
      </c>
      <c r="I1376" s="83" t="s">
        <v>233</v>
      </c>
      <c r="J1376" s="83" t="s">
        <v>200</v>
      </c>
      <c r="K1376" s="83">
        <v>1</v>
      </c>
      <c r="L1376" s="83" t="s">
        <v>153</v>
      </c>
      <c r="M1376" s="83">
        <f>ROUNDDOWN(VLOOKUP(J1376,Sheet1!$N$32:$O$37,2,0)*1000,0)+100</f>
        <v>350</v>
      </c>
      <c r="N1376" s="83"/>
      <c r="O1376" s="83">
        <f t="shared" si="132"/>
        <v>0.00347577385622213</v>
      </c>
      <c r="P1376" s="83">
        <v>11500</v>
      </c>
    </row>
    <row r="1377" spans="1:16">
      <c r="A1377" s="77">
        <v>1375</v>
      </c>
      <c r="B1377" s="83">
        <v>11300</v>
      </c>
      <c r="C1377" s="83">
        <v>6</v>
      </c>
      <c r="D1377" s="83">
        <f t="shared" si="130"/>
        <v>18900</v>
      </c>
      <c r="E1377" s="83">
        <f t="shared" si="131"/>
        <v>19250</v>
      </c>
      <c r="F1377" s="83"/>
      <c r="G1377" s="83">
        <v>95301139</v>
      </c>
      <c r="H1377" s="83" t="s">
        <v>225</v>
      </c>
      <c r="I1377" s="83" t="s">
        <v>233</v>
      </c>
      <c r="J1377" s="83" t="s">
        <v>200</v>
      </c>
      <c r="K1377" s="83">
        <v>1</v>
      </c>
      <c r="L1377" s="83" t="s">
        <v>153</v>
      </c>
      <c r="M1377" s="83">
        <f>ROUNDDOWN(VLOOKUP(J1377,Sheet1!$N$32:$O$37,2,0)*1000,0)+100</f>
        <v>350</v>
      </c>
      <c r="N1377" s="83"/>
      <c r="O1377" s="83">
        <f t="shared" si="132"/>
        <v>0.00347577385622213</v>
      </c>
      <c r="P1377" s="83">
        <v>11500</v>
      </c>
    </row>
    <row r="1378" spans="1:16">
      <c r="A1378" s="77">
        <v>1376</v>
      </c>
      <c r="B1378" s="83">
        <v>11300</v>
      </c>
      <c r="C1378" s="83">
        <v>6</v>
      </c>
      <c r="D1378" s="83">
        <f t="shared" si="130"/>
        <v>19250</v>
      </c>
      <c r="E1378" s="83">
        <f t="shared" si="131"/>
        <v>19600</v>
      </c>
      <c r="F1378" s="83"/>
      <c r="G1378" s="83">
        <v>95301099</v>
      </c>
      <c r="H1378" s="83" t="s">
        <v>226</v>
      </c>
      <c r="I1378" s="83" t="s">
        <v>233</v>
      </c>
      <c r="J1378" s="83" t="s">
        <v>200</v>
      </c>
      <c r="K1378" s="83">
        <v>1</v>
      </c>
      <c r="L1378" s="83" t="s">
        <v>153</v>
      </c>
      <c r="M1378" s="83">
        <f>ROUNDDOWN(VLOOKUP(J1378,Sheet1!$N$32:$O$37,2,0)*1000,0)+100</f>
        <v>350</v>
      </c>
      <c r="N1378" s="83"/>
      <c r="O1378" s="83">
        <f t="shared" si="132"/>
        <v>0.00347577385622213</v>
      </c>
      <c r="P1378" s="83">
        <v>11500</v>
      </c>
    </row>
    <row r="1379" spans="1:16">
      <c r="A1379" s="77">
        <v>1377</v>
      </c>
      <c r="B1379" s="83">
        <v>11300</v>
      </c>
      <c r="C1379" s="83">
        <v>6</v>
      </c>
      <c r="D1379" s="83">
        <f t="shared" si="130"/>
        <v>19600</v>
      </c>
      <c r="E1379" s="83">
        <f t="shared" si="131"/>
        <v>19950</v>
      </c>
      <c r="F1379" s="83"/>
      <c r="G1379" s="83">
        <v>95201189</v>
      </c>
      <c r="H1379" s="83" t="s">
        <v>227</v>
      </c>
      <c r="I1379" s="83" t="s">
        <v>233</v>
      </c>
      <c r="J1379" s="83" t="s">
        <v>200</v>
      </c>
      <c r="K1379" s="83">
        <v>1</v>
      </c>
      <c r="L1379" s="83" t="s">
        <v>153</v>
      </c>
      <c r="M1379" s="83">
        <f>ROUNDDOWN(VLOOKUP(J1379,Sheet1!$N$32:$O$37,2,0)*1000,0)+100</f>
        <v>350</v>
      </c>
      <c r="N1379" s="83"/>
      <c r="O1379" s="83">
        <f t="shared" si="132"/>
        <v>0.00347577385622213</v>
      </c>
      <c r="P1379" s="83">
        <v>11500</v>
      </c>
    </row>
    <row r="1380" spans="1:16">
      <c r="A1380" s="77">
        <v>1378</v>
      </c>
      <c r="B1380" s="83">
        <v>11300</v>
      </c>
      <c r="C1380" s="83">
        <v>6</v>
      </c>
      <c r="D1380" s="83">
        <f t="shared" si="130"/>
        <v>19950</v>
      </c>
      <c r="E1380" s="83">
        <f t="shared" si="131"/>
        <v>20300</v>
      </c>
      <c r="F1380" s="83"/>
      <c r="G1380" s="83">
        <v>95301149</v>
      </c>
      <c r="H1380" s="83" t="s">
        <v>228</v>
      </c>
      <c r="I1380" s="83" t="s">
        <v>233</v>
      </c>
      <c r="J1380" s="83" t="s">
        <v>200</v>
      </c>
      <c r="K1380" s="83">
        <v>1</v>
      </c>
      <c r="L1380" s="83" t="s">
        <v>153</v>
      </c>
      <c r="M1380" s="83">
        <f>ROUNDDOWN(VLOOKUP(J1380,Sheet1!$N$32:$O$37,2,0)*1000,0)+100</f>
        <v>350</v>
      </c>
      <c r="N1380" s="83"/>
      <c r="O1380" s="83">
        <f t="shared" si="132"/>
        <v>0.00347577385622213</v>
      </c>
      <c r="P1380" s="83">
        <v>11500</v>
      </c>
    </row>
    <row r="1381" spans="1:16">
      <c r="A1381" s="77">
        <v>1379</v>
      </c>
      <c r="B1381" s="83">
        <v>11300</v>
      </c>
      <c r="C1381" s="83">
        <v>6</v>
      </c>
      <c r="D1381" s="83">
        <f t="shared" si="130"/>
        <v>20300</v>
      </c>
      <c r="E1381" s="83">
        <f t="shared" si="131"/>
        <v>20650</v>
      </c>
      <c r="F1381" s="83"/>
      <c r="G1381" s="83">
        <v>95301159</v>
      </c>
      <c r="H1381" s="83" t="s">
        <v>229</v>
      </c>
      <c r="I1381" s="83" t="s">
        <v>233</v>
      </c>
      <c r="J1381" s="83" t="s">
        <v>200</v>
      </c>
      <c r="K1381" s="83">
        <v>1</v>
      </c>
      <c r="L1381" s="83" t="s">
        <v>153</v>
      </c>
      <c r="M1381" s="83">
        <f>ROUNDDOWN(VLOOKUP(J1381,Sheet1!$N$32:$O$37,2,0)*1000,0)+100</f>
        <v>350</v>
      </c>
      <c r="N1381" s="83"/>
      <c r="O1381" s="83">
        <f t="shared" si="132"/>
        <v>0.00347577385622213</v>
      </c>
      <c r="P1381" s="83">
        <v>11500</v>
      </c>
    </row>
    <row r="1382" spans="1:16">
      <c r="A1382" s="77">
        <v>1380</v>
      </c>
      <c r="B1382" s="83">
        <v>11300</v>
      </c>
      <c r="C1382" s="83">
        <v>1</v>
      </c>
      <c r="D1382" s="83">
        <f t="shared" si="130"/>
        <v>20650</v>
      </c>
      <c r="E1382" s="83">
        <f t="shared" ref="E1382:E1445" si="133">D1382+M1382</f>
        <v>25025</v>
      </c>
      <c r="F1382" s="83"/>
      <c r="G1382" s="83">
        <v>901000</v>
      </c>
      <c r="H1382" s="83" t="s">
        <v>234</v>
      </c>
      <c r="I1382" s="83"/>
      <c r="J1382" s="83" t="s">
        <v>235</v>
      </c>
      <c r="K1382" s="83">
        <v>1</v>
      </c>
      <c r="L1382" s="83" t="s">
        <v>153</v>
      </c>
      <c r="M1382" s="83">
        <f>ROUNDDOWN(VLOOKUP(J1382,Sheet1!$N$32:$O$37,2,0)*1000,0)</f>
        <v>4375</v>
      </c>
      <c r="N1382" s="83"/>
      <c r="O1382" s="83">
        <f t="shared" si="132"/>
        <v>0.0434471732027766</v>
      </c>
      <c r="P1382" s="83">
        <v>11000</v>
      </c>
    </row>
    <row r="1383" spans="1:16">
      <c r="A1383" s="77">
        <v>1381</v>
      </c>
      <c r="B1383" s="83">
        <v>11300</v>
      </c>
      <c r="C1383" s="83">
        <v>2</v>
      </c>
      <c r="D1383" s="83">
        <f t="shared" si="130"/>
        <v>25025</v>
      </c>
      <c r="E1383" s="83">
        <f t="shared" si="133"/>
        <v>29400</v>
      </c>
      <c r="F1383" s="83"/>
      <c r="G1383" s="83">
        <v>901001</v>
      </c>
      <c r="H1383" s="83" t="s">
        <v>236</v>
      </c>
      <c r="I1383" s="83"/>
      <c r="J1383" s="83" t="s">
        <v>235</v>
      </c>
      <c r="K1383" s="83">
        <v>1</v>
      </c>
      <c r="L1383" s="83" t="s">
        <v>153</v>
      </c>
      <c r="M1383" s="83">
        <f>ROUNDDOWN(VLOOKUP(J1383,Sheet1!$N$32:$O$37,2,0)*1000,0)</f>
        <v>4375</v>
      </c>
      <c r="N1383" s="83"/>
      <c r="O1383" s="83">
        <f t="shared" si="132"/>
        <v>0.0434471732027766</v>
      </c>
      <c r="P1383" s="83">
        <v>11000</v>
      </c>
    </row>
    <row r="1384" spans="1:16">
      <c r="A1384" s="77">
        <v>1382</v>
      </c>
      <c r="B1384" s="83">
        <v>11300</v>
      </c>
      <c r="C1384" s="83">
        <v>3</v>
      </c>
      <c r="D1384" s="83">
        <f t="shared" si="130"/>
        <v>29400</v>
      </c>
      <c r="E1384" s="83">
        <f t="shared" si="133"/>
        <v>33775</v>
      </c>
      <c r="F1384" s="83"/>
      <c r="G1384" s="83">
        <v>901002</v>
      </c>
      <c r="H1384" s="83" t="s">
        <v>237</v>
      </c>
      <c r="I1384" s="83"/>
      <c r="J1384" s="83" t="s">
        <v>235</v>
      </c>
      <c r="K1384" s="83">
        <v>1</v>
      </c>
      <c r="L1384" s="83" t="s">
        <v>153</v>
      </c>
      <c r="M1384" s="83">
        <f>ROUNDDOWN(VLOOKUP(J1384,Sheet1!$N$32:$O$37,2,0)*1000,0)</f>
        <v>4375</v>
      </c>
      <c r="N1384" s="83"/>
      <c r="O1384" s="83">
        <f t="shared" si="132"/>
        <v>0.0434471732027766</v>
      </c>
      <c r="P1384" s="83">
        <v>11000</v>
      </c>
    </row>
    <row r="1385" spans="1:16">
      <c r="A1385" s="77">
        <v>1383</v>
      </c>
      <c r="B1385" s="83">
        <v>11300</v>
      </c>
      <c r="C1385" s="83">
        <v>4</v>
      </c>
      <c r="D1385" s="83">
        <f t="shared" si="130"/>
        <v>33775</v>
      </c>
      <c r="E1385" s="83">
        <f t="shared" si="133"/>
        <v>38150</v>
      </c>
      <c r="F1385" s="83"/>
      <c r="G1385" s="83">
        <v>901003</v>
      </c>
      <c r="H1385" s="83" t="s">
        <v>238</v>
      </c>
      <c r="I1385" s="83"/>
      <c r="J1385" s="83" t="s">
        <v>235</v>
      </c>
      <c r="K1385" s="83">
        <v>1</v>
      </c>
      <c r="L1385" s="83" t="s">
        <v>153</v>
      </c>
      <c r="M1385" s="83">
        <f>ROUNDDOWN(VLOOKUP(J1385,Sheet1!$N$32:$O$37,2,0)*1000,0)</f>
        <v>4375</v>
      </c>
      <c r="N1385" s="83"/>
      <c r="O1385" s="83">
        <f t="shared" si="132"/>
        <v>0.0434471732027766</v>
      </c>
      <c r="P1385" s="83">
        <v>11000</v>
      </c>
    </row>
    <row r="1386" spans="1:16">
      <c r="A1386" s="77">
        <v>1384</v>
      </c>
      <c r="B1386" s="83">
        <v>11300</v>
      </c>
      <c r="C1386" s="83">
        <v>1</v>
      </c>
      <c r="D1386" s="83">
        <f t="shared" si="130"/>
        <v>38150</v>
      </c>
      <c r="E1386" s="83">
        <f t="shared" si="133"/>
        <v>42525</v>
      </c>
      <c r="F1386" s="83"/>
      <c r="G1386" s="83">
        <v>901100</v>
      </c>
      <c r="H1386" s="83" t="s">
        <v>239</v>
      </c>
      <c r="I1386" s="83"/>
      <c r="J1386" s="83" t="s">
        <v>235</v>
      </c>
      <c r="K1386" s="83">
        <v>1</v>
      </c>
      <c r="L1386" s="83" t="s">
        <v>153</v>
      </c>
      <c r="M1386" s="83">
        <f>ROUNDDOWN(VLOOKUP(J1386,Sheet1!$N$32:$O$37,2,0)*1000,0)</f>
        <v>4375</v>
      </c>
      <c r="N1386" s="83"/>
      <c r="O1386" s="83">
        <f t="shared" si="132"/>
        <v>0.0434471732027766</v>
      </c>
      <c r="P1386" s="83">
        <v>11000</v>
      </c>
    </row>
    <row r="1387" spans="1:16">
      <c r="A1387" s="77">
        <v>1385</v>
      </c>
      <c r="B1387" s="83">
        <v>11300</v>
      </c>
      <c r="C1387" s="83">
        <v>2</v>
      </c>
      <c r="D1387" s="83">
        <f t="shared" si="130"/>
        <v>42525</v>
      </c>
      <c r="E1387" s="83">
        <f t="shared" si="133"/>
        <v>46900</v>
      </c>
      <c r="F1387" s="83"/>
      <c r="G1387" s="83">
        <v>901101</v>
      </c>
      <c r="H1387" s="83" t="s">
        <v>240</v>
      </c>
      <c r="I1387" s="83"/>
      <c r="J1387" s="83" t="s">
        <v>235</v>
      </c>
      <c r="K1387" s="83">
        <v>1</v>
      </c>
      <c r="L1387" s="83" t="s">
        <v>153</v>
      </c>
      <c r="M1387" s="83">
        <f>ROUNDDOWN(VLOOKUP(J1387,Sheet1!$N$32:$O$37,2,0)*1000,0)</f>
        <v>4375</v>
      </c>
      <c r="N1387" s="83"/>
      <c r="O1387" s="83">
        <f t="shared" si="132"/>
        <v>0.0434471732027766</v>
      </c>
      <c r="P1387" s="83">
        <v>11000</v>
      </c>
    </row>
    <row r="1388" spans="1:16">
      <c r="A1388" s="77">
        <v>1386</v>
      </c>
      <c r="B1388" s="83">
        <v>11300</v>
      </c>
      <c r="C1388" s="83">
        <v>3</v>
      </c>
      <c r="D1388" s="83">
        <f t="shared" si="130"/>
        <v>46900</v>
      </c>
      <c r="E1388" s="83">
        <f t="shared" si="133"/>
        <v>51275</v>
      </c>
      <c r="F1388" s="83"/>
      <c r="G1388" s="83">
        <v>901102</v>
      </c>
      <c r="H1388" s="83" t="s">
        <v>241</v>
      </c>
      <c r="I1388" s="83"/>
      <c r="J1388" s="83" t="s">
        <v>235</v>
      </c>
      <c r="K1388" s="83">
        <v>1</v>
      </c>
      <c r="L1388" s="83" t="s">
        <v>153</v>
      </c>
      <c r="M1388" s="83">
        <f>ROUNDDOWN(VLOOKUP(J1388,Sheet1!$N$32:$O$37,2,0)*1000,0)</f>
        <v>4375</v>
      </c>
      <c r="N1388" s="83"/>
      <c r="O1388" s="83">
        <f t="shared" si="132"/>
        <v>0.0434471732027766</v>
      </c>
      <c r="P1388" s="83">
        <v>11000</v>
      </c>
    </row>
    <row r="1389" spans="1:16">
      <c r="A1389" s="77">
        <v>1387</v>
      </c>
      <c r="B1389" s="83">
        <v>11300</v>
      </c>
      <c r="C1389" s="83">
        <v>4</v>
      </c>
      <c r="D1389" s="83">
        <f t="shared" si="130"/>
        <v>51275</v>
      </c>
      <c r="E1389" s="83">
        <f t="shared" si="133"/>
        <v>55650</v>
      </c>
      <c r="F1389" s="83"/>
      <c r="G1389" s="83">
        <v>901103</v>
      </c>
      <c r="H1389" s="83" t="s">
        <v>242</v>
      </c>
      <c r="I1389" s="83"/>
      <c r="J1389" s="83" t="s">
        <v>235</v>
      </c>
      <c r="K1389" s="83">
        <v>1</v>
      </c>
      <c r="L1389" s="83" t="s">
        <v>153</v>
      </c>
      <c r="M1389" s="83">
        <f>ROUNDDOWN(VLOOKUP(J1389,Sheet1!$N$32:$O$37,2,0)*1000,0)</f>
        <v>4375</v>
      </c>
      <c r="N1389" s="83"/>
      <c r="O1389" s="83">
        <f t="shared" si="132"/>
        <v>0.0434471732027766</v>
      </c>
      <c r="P1389" s="83">
        <v>11000</v>
      </c>
    </row>
    <row r="1390" spans="1:16">
      <c r="A1390" s="77">
        <v>1388</v>
      </c>
      <c r="B1390" s="83">
        <v>11300</v>
      </c>
      <c r="C1390" s="83">
        <v>7</v>
      </c>
      <c r="D1390" s="83">
        <f t="shared" si="130"/>
        <v>55650</v>
      </c>
      <c r="E1390" s="83">
        <f t="shared" si="133"/>
        <v>56126</v>
      </c>
      <c r="F1390" s="83"/>
      <c r="G1390" s="83">
        <v>100101</v>
      </c>
      <c r="H1390" s="83" t="s">
        <v>243</v>
      </c>
      <c r="I1390" s="83"/>
      <c r="J1390" s="83" t="s">
        <v>244</v>
      </c>
      <c r="K1390" s="83">
        <v>1</v>
      </c>
      <c r="L1390" s="83" t="s">
        <v>153</v>
      </c>
      <c r="M1390" s="83">
        <f>ROUNDDOWN(VLOOKUP(J1390,Sheet1!$N$32:$O$37,2,0)*1000,0)</f>
        <v>476</v>
      </c>
      <c r="N1390" s="83"/>
      <c r="O1390" s="83">
        <f t="shared" si="132"/>
        <v>0.0047270524444621</v>
      </c>
      <c r="P1390" s="83">
        <v>11000</v>
      </c>
    </row>
    <row r="1391" spans="1:16">
      <c r="A1391" s="77">
        <v>1389</v>
      </c>
      <c r="B1391" s="83">
        <v>11300</v>
      </c>
      <c r="C1391" s="83">
        <v>7</v>
      </c>
      <c r="D1391" s="83">
        <f t="shared" si="130"/>
        <v>56126</v>
      </c>
      <c r="E1391" s="83">
        <f t="shared" si="133"/>
        <v>56602</v>
      </c>
      <c r="F1391" s="83"/>
      <c r="G1391" s="83">
        <v>100103</v>
      </c>
      <c r="H1391" s="83" t="s">
        <v>245</v>
      </c>
      <c r="I1391" s="83"/>
      <c r="J1391" s="83" t="s">
        <v>244</v>
      </c>
      <c r="K1391" s="83">
        <v>1</v>
      </c>
      <c r="L1391" s="83" t="s">
        <v>153</v>
      </c>
      <c r="M1391" s="83">
        <f>ROUNDDOWN(VLOOKUP(J1391,Sheet1!$N$32:$O$37,2,0)*1000,0)</f>
        <v>476</v>
      </c>
      <c r="N1391" s="83"/>
      <c r="O1391" s="83">
        <f t="shared" si="132"/>
        <v>0.0047270524444621</v>
      </c>
      <c r="P1391" s="83">
        <v>11000</v>
      </c>
    </row>
    <row r="1392" spans="1:16">
      <c r="A1392" s="77">
        <v>1390</v>
      </c>
      <c r="B1392" s="83">
        <v>11300</v>
      </c>
      <c r="C1392" s="83">
        <v>7</v>
      </c>
      <c r="D1392" s="83">
        <f t="shared" si="130"/>
        <v>56602</v>
      </c>
      <c r="E1392" s="83">
        <f t="shared" si="133"/>
        <v>57078</v>
      </c>
      <c r="F1392" s="83"/>
      <c r="G1392" s="83">
        <v>100107</v>
      </c>
      <c r="H1392" s="83" t="s">
        <v>246</v>
      </c>
      <c r="I1392" s="83"/>
      <c r="J1392" s="83" t="s">
        <v>244</v>
      </c>
      <c r="K1392" s="83">
        <v>1</v>
      </c>
      <c r="L1392" s="83" t="s">
        <v>153</v>
      </c>
      <c r="M1392" s="83">
        <f>ROUNDDOWN(VLOOKUP(J1392,Sheet1!$N$32:$O$37,2,0)*1000,0)</f>
        <v>476</v>
      </c>
      <c r="N1392" s="83"/>
      <c r="O1392" s="83">
        <f t="shared" si="132"/>
        <v>0.0047270524444621</v>
      </c>
      <c r="P1392" s="83">
        <v>11000</v>
      </c>
    </row>
    <row r="1393" spans="1:16">
      <c r="A1393" s="77">
        <v>1391</v>
      </c>
      <c r="B1393" s="83">
        <v>11300</v>
      </c>
      <c r="C1393" s="83">
        <v>7</v>
      </c>
      <c r="D1393" s="83">
        <f t="shared" si="130"/>
        <v>57078</v>
      </c>
      <c r="E1393" s="83">
        <f t="shared" si="133"/>
        <v>57554</v>
      </c>
      <c r="F1393" s="83"/>
      <c r="G1393" s="83">
        <v>100108</v>
      </c>
      <c r="H1393" s="83" t="s">
        <v>247</v>
      </c>
      <c r="I1393" s="83"/>
      <c r="J1393" s="83" t="s">
        <v>244</v>
      </c>
      <c r="K1393" s="83">
        <v>1</v>
      </c>
      <c r="L1393" s="83" t="s">
        <v>153</v>
      </c>
      <c r="M1393" s="83">
        <f>ROUNDDOWN(VLOOKUP(J1393,Sheet1!$N$32:$O$37,2,0)*1000,0)</f>
        <v>476</v>
      </c>
      <c r="N1393" s="83"/>
      <c r="O1393" s="83">
        <f t="shared" si="132"/>
        <v>0.0047270524444621</v>
      </c>
      <c r="P1393" s="83">
        <v>11000</v>
      </c>
    </row>
    <row r="1394" spans="1:16">
      <c r="A1394" s="77">
        <v>1392</v>
      </c>
      <c r="B1394" s="83">
        <v>11300</v>
      </c>
      <c r="C1394" s="83">
        <v>7</v>
      </c>
      <c r="D1394" s="83">
        <f t="shared" si="130"/>
        <v>57554</v>
      </c>
      <c r="E1394" s="83">
        <f t="shared" si="133"/>
        <v>58030</v>
      </c>
      <c r="F1394" s="83"/>
      <c r="G1394" s="83">
        <v>100113</v>
      </c>
      <c r="H1394" s="83" t="s">
        <v>248</v>
      </c>
      <c r="I1394" s="83"/>
      <c r="J1394" s="83" t="s">
        <v>244</v>
      </c>
      <c r="K1394" s="83">
        <v>1</v>
      </c>
      <c r="L1394" s="83" t="s">
        <v>153</v>
      </c>
      <c r="M1394" s="83">
        <f>ROUNDDOWN(VLOOKUP(J1394,Sheet1!$N$32:$O$37,2,0)*1000,0)</f>
        <v>476</v>
      </c>
      <c r="N1394" s="83"/>
      <c r="O1394" s="83">
        <f t="shared" si="132"/>
        <v>0.0047270524444621</v>
      </c>
      <c r="P1394" s="83">
        <v>11000</v>
      </c>
    </row>
    <row r="1395" spans="1:16">
      <c r="A1395" s="77">
        <v>1393</v>
      </c>
      <c r="B1395" s="83">
        <v>11300</v>
      </c>
      <c r="C1395" s="83">
        <v>7</v>
      </c>
      <c r="D1395" s="83">
        <f t="shared" si="130"/>
        <v>58030</v>
      </c>
      <c r="E1395" s="83">
        <f t="shared" si="133"/>
        <v>58506</v>
      </c>
      <c r="F1395" s="83"/>
      <c r="G1395" s="83">
        <v>100114</v>
      </c>
      <c r="H1395" s="83" t="s">
        <v>249</v>
      </c>
      <c r="I1395" s="83"/>
      <c r="J1395" s="83" t="s">
        <v>244</v>
      </c>
      <c r="K1395" s="83">
        <v>1</v>
      </c>
      <c r="L1395" s="83" t="s">
        <v>153</v>
      </c>
      <c r="M1395" s="83">
        <f>ROUNDDOWN(VLOOKUP(J1395,Sheet1!$N$32:$O$37,2,0)*1000,0)</f>
        <v>476</v>
      </c>
      <c r="N1395" s="83"/>
      <c r="O1395" s="83">
        <f t="shared" si="132"/>
        <v>0.0047270524444621</v>
      </c>
      <c r="P1395" s="83">
        <v>11000</v>
      </c>
    </row>
    <row r="1396" spans="1:16">
      <c r="A1396" s="77">
        <v>1394</v>
      </c>
      <c r="B1396" s="83">
        <v>11300</v>
      </c>
      <c r="C1396" s="83">
        <v>7</v>
      </c>
      <c r="D1396" s="83">
        <f t="shared" si="130"/>
        <v>58506</v>
      </c>
      <c r="E1396" s="83">
        <f t="shared" si="133"/>
        <v>58982</v>
      </c>
      <c r="F1396" s="83"/>
      <c r="G1396" s="83">
        <v>100116</v>
      </c>
      <c r="H1396" s="83" t="s">
        <v>250</v>
      </c>
      <c r="I1396" s="83"/>
      <c r="J1396" s="83" t="s">
        <v>244</v>
      </c>
      <c r="K1396" s="83">
        <v>1</v>
      </c>
      <c r="L1396" s="83" t="s">
        <v>153</v>
      </c>
      <c r="M1396" s="83">
        <f>ROUNDDOWN(VLOOKUP(J1396,Sheet1!$N$32:$O$37,2,0)*1000,0)</f>
        <v>476</v>
      </c>
      <c r="N1396" s="83"/>
      <c r="O1396" s="83">
        <f t="shared" si="132"/>
        <v>0.0047270524444621</v>
      </c>
      <c r="P1396" s="83">
        <v>11000</v>
      </c>
    </row>
    <row r="1397" spans="1:16">
      <c r="A1397" s="77">
        <v>1395</v>
      </c>
      <c r="B1397" s="83">
        <v>11300</v>
      </c>
      <c r="C1397" s="83">
        <v>7</v>
      </c>
      <c r="D1397" s="83">
        <f t="shared" si="130"/>
        <v>58982</v>
      </c>
      <c r="E1397" s="83">
        <f t="shared" si="133"/>
        <v>59458</v>
      </c>
      <c r="F1397" s="83"/>
      <c r="G1397" s="83">
        <v>100120</v>
      </c>
      <c r="H1397" s="83" t="s">
        <v>251</v>
      </c>
      <c r="I1397" s="83"/>
      <c r="J1397" s="83" t="s">
        <v>244</v>
      </c>
      <c r="K1397" s="83">
        <v>1</v>
      </c>
      <c r="L1397" s="83" t="s">
        <v>153</v>
      </c>
      <c r="M1397" s="83">
        <f>ROUNDDOWN(VLOOKUP(J1397,Sheet1!$N$32:$O$37,2,0)*1000,0)</f>
        <v>476</v>
      </c>
      <c r="N1397" s="83"/>
      <c r="O1397" s="83">
        <f t="shared" si="132"/>
        <v>0.0047270524444621</v>
      </c>
      <c r="P1397" s="83">
        <v>11000</v>
      </c>
    </row>
    <row r="1398" spans="1:16">
      <c r="A1398" s="77">
        <v>1396</v>
      </c>
      <c r="B1398" s="83">
        <v>11300</v>
      </c>
      <c r="C1398" s="83">
        <v>7</v>
      </c>
      <c r="D1398" s="83">
        <f t="shared" si="130"/>
        <v>59458</v>
      </c>
      <c r="E1398" s="83">
        <f t="shared" si="133"/>
        <v>59934</v>
      </c>
      <c r="F1398" s="83"/>
      <c r="G1398" s="83">
        <v>100125</v>
      </c>
      <c r="H1398" s="83" t="s">
        <v>252</v>
      </c>
      <c r="I1398" s="83"/>
      <c r="J1398" s="83" t="s">
        <v>244</v>
      </c>
      <c r="K1398" s="83">
        <v>1</v>
      </c>
      <c r="L1398" s="83" t="s">
        <v>153</v>
      </c>
      <c r="M1398" s="83">
        <f>ROUNDDOWN(VLOOKUP(J1398,Sheet1!$N$32:$O$37,2,0)*1000,0)</f>
        <v>476</v>
      </c>
      <c r="N1398" s="83"/>
      <c r="O1398" s="83">
        <f t="shared" si="132"/>
        <v>0.0047270524444621</v>
      </c>
      <c r="P1398" s="83">
        <v>11000</v>
      </c>
    </row>
    <row r="1399" spans="1:16">
      <c r="A1399" s="77">
        <v>1397</v>
      </c>
      <c r="B1399" s="83">
        <v>11300</v>
      </c>
      <c r="C1399" s="83">
        <v>7</v>
      </c>
      <c r="D1399" s="83">
        <f t="shared" si="130"/>
        <v>59934</v>
      </c>
      <c r="E1399" s="83">
        <f t="shared" si="133"/>
        <v>60410</v>
      </c>
      <c r="F1399" s="83"/>
      <c r="G1399" s="83">
        <v>100126</v>
      </c>
      <c r="H1399" s="83" t="s">
        <v>253</v>
      </c>
      <c r="I1399" s="83"/>
      <c r="J1399" s="83" t="s">
        <v>244</v>
      </c>
      <c r="K1399" s="83">
        <v>1</v>
      </c>
      <c r="L1399" s="83" t="s">
        <v>153</v>
      </c>
      <c r="M1399" s="83">
        <f>ROUNDDOWN(VLOOKUP(J1399,Sheet1!$N$32:$O$37,2,0)*1000,0)</f>
        <v>476</v>
      </c>
      <c r="N1399" s="83"/>
      <c r="O1399" s="83">
        <f t="shared" si="132"/>
        <v>0.0047270524444621</v>
      </c>
      <c r="P1399" s="83">
        <v>11000</v>
      </c>
    </row>
    <row r="1400" spans="1:16">
      <c r="A1400" s="77">
        <v>1398</v>
      </c>
      <c r="B1400" s="83">
        <v>11300</v>
      </c>
      <c r="C1400" s="83">
        <v>7</v>
      </c>
      <c r="D1400" s="83">
        <f t="shared" si="130"/>
        <v>60410</v>
      </c>
      <c r="E1400" s="83">
        <f t="shared" si="133"/>
        <v>60886</v>
      </c>
      <c r="F1400" s="83"/>
      <c r="G1400" s="83">
        <v>100127</v>
      </c>
      <c r="H1400" s="83" t="s">
        <v>254</v>
      </c>
      <c r="I1400" s="83"/>
      <c r="J1400" s="83" t="s">
        <v>244</v>
      </c>
      <c r="K1400" s="83">
        <v>1</v>
      </c>
      <c r="L1400" s="83" t="s">
        <v>153</v>
      </c>
      <c r="M1400" s="83">
        <f>ROUNDDOWN(VLOOKUP(J1400,Sheet1!$N$32:$O$37,2,0)*1000,0)</f>
        <v>476</v>
      </c>
      <c r="N1400" s="83"/>
      <c r="O1400" s="83">
        <f t="shared" si="132"/>
        <v>0.0047270524444621</v>
      </c>
      <c r="P1400" s="83">
        <v>11000</v>
      </c>
    </row>
    <row r="1401" spans="1:16">
      <c r="A1401" s="77">
        <v>1399</v>
      </c>
      <c r="B1401" s="83">
        <v>11300</v>
      </c>
      <c r="C1401" s="83">
        <v>7</v>
      </c>
      <c r="D1401" s="83">
        <f t="shared" si="130"/>
        <v>60886</v>
      </c>
      <c r="E1401" s="83">
        <f t="shared" si="133"/>
        <v>61362</v>
      </c>
      <c r="F1401" s="83"/>
      <c r="G1401" s="83">
        <v>100132</v>
      </c>
      <c r="H1401" s="83" t="s">
        <v>255</v>
      </c>
      <c r="I1401" s="83"/>
      <c r="J1401" s="83" t="s">
        <v>244</v>
      </c>
      <c r="K1401" s="83">
        <v>1</v>
      </c>
      <c r="L1401" s="83" t="s">
        <v>153</v>
      </c>
      <c r="M1401" s="83">
        <f>ROUNDDOWN(VLOOKUP(J1401,Sheet1!$N$32:$O$37,2,0)*1000,0)</f>
        <v>476</v>
      </c>
      <c r="N1401" s="83"/>
      <c r="O1401" s="83">
        <f t="shared" si="132"/>
        <v>0.0047270524444621</v>
      </c>
      <c r="P1401" s="83">
        <v>11000</v>
      </c>
    </row>
    <row r="1402" spans="1:16">
      <c r="A1402" s="77">
        <v>1400</v>
      </c>
      <c r="B1402" s="83">
        <v>11300</v>
      </c>
      <c r="C1402" s="83">
        <v>7</v>
      </c>
      <c r="D1402" s="83">
        <f t="shared" si="130"/>
        <v>61362</v>
      </c>
      <c r="E1402" s="83">
        <f t="shared" si="133"/>
        <v>61838</v>
      </c>
      <c r="F1402" s="83"/>
      <c r="G1402" s="83">
        <v>100133</v>
      </c>
      <c r="H1402" s="83" t="s">
        <v>256</v>
      </c>
      <c r="I1402" s="83"/>
      <c r="J1402" s="83" t="s">
        <v>244</v>
      </c>
      <c r="K1402" s="83">
        <v>1</v>
      </c>
      <c r="L1402" s="83" t="s">
        <v>153</v>
      </c>
      <c r="M1402" s="83">
        <f>ROUNDDOWN(VLOOKUP(J1402,Sheet1!$N$32:$O$37,2,0)*1000,0)</f>
        <v>476</v>
      </c>
      <c r="N1402" s="83"/>
      <c r="O1402" s="83">
        <f t="shared" si="132"/>
        <v>0.0047270524444621</v>
      </c>
      <c r="P1402" s="83">
        <v>11000</v>
      </c>
    </row>
    <row r="1403" spans="1:16">
      <c r="A1403" s="77">
        <v>1401</v>
      </c>
      <c r="B1403" s="83">
        <v>11300</v>
      </c>
      <c r="C1403" s="83">
        <v>7</v>
      </c>
      <c r="D1403" s="83">
        <f t="shared" si="130"/>
        <v>61838</v>
      </c>
      <c r="E1403" s="83">
        <f t="shared" si="133"/>
        <v>62314</v>
      </c>
      <c r="F1403" s="83"/>
      <c r="G1403" s="83">
        <v>100134</v>
      </c>
      <c r="H1403" s="83" t="s">
        <v>257</v>
      </c>
      <c r="I1403" s="83"/>
      <c r="J1403" s="83" t="s">
        <v>244</v>
      </c>
      <c r="K1403" s="83">
        <v>1</v>
      </c>
      <c r="L1403" s="83" t="s">
        <v>153</v>
      </c>
      <c r="M1403" s="83">
        <f>ROUNDDOWN(VLOOKUP(J1403,Sheet1!$N$32:$O$37,2,0)*1000,0)</f>
        <v>476</v>
      </c>
      <c r="N1403" s="83"/>
      <c r="O1403" s="83">
        <f t="shared" ref="O1403:O1422" si="134">(E1403-D1403)/$E$1422</f>
        <v>0.0047270524444621</v>
      </c>
      <c r="P1403" s="83">
        <v>11000</v>
      </c>
    </row>
    <row r="1404" spans="1:16">
      <c r="A1404" s="77">
        <v>1402</v>
      </c>
      <c r="B1404" s="83">
        <v>11300</v>
      </c>
      <c r="C1404" s="83">
        <v>7</v>
      </c>
      <c r="D1404" s="83">
        <f t="shared" si="130"/>
        <v>62314</v>
      </c>
      <c r="E1404" s="83">
        <f t="shared" si="133"/>
        <v>62790</v>
      </c>
      <c r="F1404" s="83"/>
      <c r="G1404" s="83">
        <v>100135</v>
      </c>
      <c r="H1404" s="83" t="s">
        <v>258</v>
      </c>
      <c r="I1404" s="83"/>
      <c r="J1404" s="83" t="s">
        <v>244</v>
      </c>
      <c r="K1404" s="83">
        <v>1</v>
      </c>
      <c r="L1404" s="83" t="s">
        <v>153</v>
      </c>
      <c r="M1404" s="83">
        <f>ROUNDDOWN(VLOOKUP(J1404,Sheet1!$N$32:$O$37,2,0)*1000,0)</f>
        <v>476</v>
      </c>
      <c r="N1404" s="83"/>
      <c r="O1404" s="83">
        <f t="shared" si="134"/>
        <v>0.0047270524444621</v>
      </c>
      <c r="P1404" s="83">
        <v>11000</v>
      </c>
    </row>
    <row r="1405" spans="1:16">
      <c r="A1405" s="77">
        <v>1403</v>
      </c>
      <c r="B1405" s="83">
        <v>11300</v>
      </c>
      <c r="C1405" s="83">
        <v>7</v>
      </c>
      <c r="D1405" s="83">
        <f t="shared" si="130"/>
        <v>62790</v>
      </c>
      <c r="E1405" s="83">
        <f t="shared" si="133"/>
        <v>63266</v>
      </c>
      <c r="F1405" s="83"/>
      <c r="G1405" s="83">
        <v>100136</v>
      </c>
      <c r="H1405" s="83" t="s">
        <v>259</v>
      </c>
      <c r="I1405" s="83"/>
      <c r="J1405" s="83" t="s">
        <v>244</v>
      </c>
      <c r="K1405" s="83">
        <v>1</v>
      </c>
      <c r="L1405" s="83" t="s">
        <v>153</v>
      </c>
      <c r="M1405" s="83">
        <f>ROUNDDOWN(VLOOKUP(J1405,Sheet1!$N$32:$O$37,2,0)*1000,0)</f>
        <v>476</v>
      </c>
      <c r="N1405" s="83"/>
      <c r="O1405" s="83">
        <f t="shared" si="134"/>
        <v>0.0047270524444621</v>
      </c>
      <c r="P1405" s="83">
        <v>11000</v>
      </c>
    </row>
    <row r="1406" spans="1:16">
      <c r="A1406" s="77">
        <v>1404</v>
      </c>
      <c r="B1406" s="83">
        <v>11300</v>
      </c>
      <c r="C1406" s="83">
        <v>7</v>
      </c>
      <c r="D1406" s="83">
        <f t="shared" si="130"/>
        <v>63266</v>
      </c>
      <c r="E1406" s="83">
        <f t="shared" si="133"/>
        <v>63742</v>
      </c>
      <c r="F1406" s="83"/>
      <c r="G1406" s="83">
        <v>100137</v>
      </c>
      <c r="H1406" s="83" t="s">
        <v>260</v>
      </c>
      <c r="I1406" s="83"/>
      <c r="J1406" s="83" t="s">
        <v>244</v>
      </c>
      <c r="K1406" s="83">
        <v>1</v>
      </c>
      <c r="L1406" s="83" t="s">
        <v>153</v>
      </c>
      <c r="M1406" s="83">
        <f>ROUNDDOWN(VLOOKUP(J1406,Sheet1!$N$32:$O$37,2,0)*1000,0)</f>
        <v>476</v>
      </c>
      <c r="N1406" s="83"/>
      <c r="O1406" s="83">
        <f t="shared" si="134"/>
        <v>0.0047270524444621</v>
      </c>
      <c r="P1406" s="83">
        <v>11000</v>
      </c>
    </row>
    <row r="1407" spans="1:16">
      <c r="A1407" s="77">
        <v>1405</v>
      </c>
      <c r="B1407" s="83">
        <v>11300</v>
      </c>
      <c r="C1407" s="83">
        <v>7</v>
      </c>
      <c r="D1407" s="83">
        <f t="shared" si="130"/>
        <v>63742</v>
      </c>
      <c r="E1407" s="83">
        <f t="shared" si="133"/>
        <v>64218</v>
      </c>
      <c r="F1407" s="83"/>
      <c r="G1407" s="83">
        <v>100138</v>
      </c>
      <c r="H1407" s="83" t="s">
        <v>261</v>
      </c>
      <c r="I1407" s="83"/>
      <c r="J1407" s="83" t="s">
        <v>244</v>
      </c>
      <c r="K1407" s="83">
        <v>1</v>
      </c>
      <c r="L1407" s="83" t="s">
        <v>153</v>
      </c>
      <c r="M1407" s="83">
        <f>ROUNDDOWN(VLOOKUP(J1407,Sheet1!$N$32:$O$37,2,0)*1000,0)</f>
        <v>476</v>
      </c>
      <c r="N1407" s="83"/>
      <c r="O1407" s="83">
        <f t="shared" si="134"/>
        <v>0.0047270524444621</v>
      </c>
      <c r="P1407" s="83">
        <v>11000</v>
      </c>
    </row>
    <row r="1408" spans="1:16">
      <c r="A1408" s="77">
        <v>1406</v>
      </c>
      <c r="B1408" s="83">
        <v>11300</v>
      </c>
      <c r="C1408" s="83">
        <v>7</v>
      </c>
      <c r="D1408" s="83">
        <f t="shared" si="130"/>
        <v>64218</v>
      </c>
      <c r="E1408" s="83">
        <f t="shared" si="133"/>
        <v>64694</v>
      </c>
      <c r="F1408" s="83"/>
      <c r="G1408" s="83">
        <v>100144</v>
      </c>
      <c r="H1408" s="83" t="s">
        <v>262</v>
      </c>
      <c r="I1408" s="83"/>
      <c r="J1408" s="83" t="s">
        <v>244</v>
      </c>
      <c r="K1408" s="83">
        <v>1</v>
      </c>
      <c r="L1408" s="83" t="s">
        <v>153</v>
      </c>
      <c r="M1408" s="83">
        <f>ROUNDDOWN(VLOOKUP(J1408,Sheet1!$N$32:$O$37,2,0)*1000,0)</f>
        <v>476</v>
      </c>
      <c r="N1408" s="83"/>
      <c r="O1408" s="83">
        <f t="shared" si="134"/>
        <v>0.0047270524444621</v>
      </c>
      <c r="P1408" s="83">
        <v>11000</v>
      </c>
    </row>
    <row r="1409" spans="1:16">
      <c r="A1409" s="77">
        <v>1407</v>
      </c>
      <c r="B1409" s="83">
        <v>11300</v>
      </c>
      <c r="C1409" s="83">
        <v>7</v>
      </c>
      <c r="D1409" s="83">
        <f t="shared" si="130"/>
        <v>64694</v>
      </c>
      <c r="E1409" s="83">
        <f t="shared" si="133"/>
        <v>65170</v>
      </c>
      <c r="F1409" s="83"/>
      <c r="G1409" s="83">
        <v>100148</v>
      </c>
      <c r="H1409" s="83" t="s">
        <v>263</v>
      </c>
      <c r="I1409" s="83"/>
      <c r="J1409" s="83" t="s">
        <v>244</v>
      </c>
      <c r="K1409" s="83">
        <v>1</v>
      </c>
      <c r="L1409" s="83" t="s">
        <v>153</v>
      </c>
      <c r="M1409" s="83">
        <f>ROUNDDOWN(VLOOKUP(J1409,Sheet1!$N$32:$O$37,2,0)*1000,0)</f>
        <v>476</v>
      </c>
      <c r="N1409" s="83"/>
      <c r="O1409" s="83">
        <f t="shared" si="134"/>
        <v>0.0047270524444621</v>
      </c>
      <c r="P1409" s="83">
        <v>11000</v>
      </c>
    </row>
    <row r="1410" spans="1:16">
      <c r="A1410" s="77">
        <v>1408</v>
      </c>
      <c r="B1410" s="83">
        <v>11300</v>
      </c>
      <c r="C1410" s="83">
        <v>7</v>
      </c>
      <c r="D1410" s="83">
        <f t="shared" si="130"/>
        <v>65170</v>
      </c>
      <c r="E1410" s="83">
        <f t="shared" si="133"/>
        <v>65646</v>
      </c>
      <c r="F1410" s="83"/>
      <c r="G1410" s="83">
        <v>100139</v>
      </c>
      <c r="H1410" s="83" t="s">
        <v>264</v>
      </c>
      <c r="I1410" s="83"/>
      <c r="J1410" s="83" t="s">
        <v>244</v>
      </c>
      <c r="K1410" s="83">
        <v>1</v>
      </c>
      <c r="L1410" s="83" t="s">
        <v>153</v>
      </c>
      <c r="M1410" s="83">
        <f>ROUNDDOWN(VLOOKUP(J1410,Sheet1!$N$32:$O$37,2,0)*1000,0)</f>
        <v>476</v>
      </c>
      <c r="N1410" s="83"/>
      <c r="O1410" s="83">
        <f t="shared" si="134"/>
        <v>0.0047270524444621</v>
      </c>
      <c r="P1410" s="83">
        <v>11000</v>
      </c>
    </row>
    <row r="1411" spans="1:16">
      <c r="A1411" s="77">
        <v>1409</v>
      </c>
      <c r="B1411" s="83">
        <v>11300</v>
      </c>
      <c r="C1411" s="83">
        <v>2</v>
      </c>
      <c r="D1411" s="83">
        <f t="shared" si="130"/>
        <v>65646</v>
      </c>
      <c r="E1411" s="83">
        <f t="shared" si="133"/>
        <v>68827</v>
      </c>
      <c r="F1411" s="83"/>
      <c r="G1411" s="83">
        <v>907009</v>
      </c>
      <c r="H1411" s="83" t="s">
        <v>265</v>
      </c>
      <c r="I1411" s="83"/>
      <c r="J1411" s="83" t="s">
        <v>266</v>
      </c>
      <c r="K1411" s="83">
        <v>1</v>
      </c>
      <c r="L1411" s="83" t="s">
        <v>153</v>
      </c>
      <c r="M1411" s="83">
        <f>ROUNDDOWN(VLOOKUP(J1411,Sheet1!$N$32:$O$37,2,0)*1000,0)</f>
        <v>3181</v>
      </c>
      <c r="N1411" s="83"/>
      <c r="O1411" s="83">
        <f t="shared" si="134"/>
        <v>0.031589818961836</v>
      </c>
      <c r="P1411" s="83">
        <v>11000</v>
      </c>
    </row>
    <row r="1412" spans="1:16">
      <c r="A1412" s="77">
        <v>1410</v>
      </c>
      <c r="B1412" s="83">
        <v>11300</v>
      </c>
      <c r="C1412" s="83">
        <v>2</v>
      </c>
      <c r="D1412" s="83">
        <f t="shared" si="130"/>
        <v>68827</v>
      </c>
      <c r="E1412" s="83">
        <f t="shared" si="133"/>
        <v>72008</v>
      </c>
      <c r="F1412" s="83"/>
      <c r="G1412" s="83">
        <v>907010</v>
      </c>
      <c r="H1412" s="83" t="s">
        <v>267</v>
      </c>
      <c r="I1412" s="83"/>
      <c r="J1412" s="83" t="s">
        <v>266</v>
      </c>
      <c r="K1412" s="83">
        <v>1</v>
      </c>
      <c r="L1412" s="83" t="s">
        <v>153</v>
      </c>
      <c r="M1412" s="83">
        <f>ROUNDDOWN(VLOOKUP(J1412,Sheet1!$N$32:$O$37,2,0)*1000,0)</f>
        <v>3181</v>
      </c>
      <c r="N1412" s="83"/>
      <c r="O1412" s="83">
        <f t="shared" si="134"/>
        <v>0.031589818961836</v>
      </c>
      <c r="P1412" s="83">
        <v>11000</v>
      </c>
    </row>
    <row r="1413" spans="1:16">
      <c r="A1413" s="77">
        <v>1411</v>
      </c>
      <c r="B1413" s="83">
        <v>11300</v>
      </c>
      <c r="C1413" s="83">
        <v>2</v>
      </c>
      <c r="D1413" s="83">
        <f t="shared" si="130"/>
        <v>72008</v>
      </c>
      <c r="E1413" s="83">
        <f t="shared" si="133"/>
        <v>75189</v>
      </c>
      <c r="F1413" s="83"/>
      <c r="G1413" s="83">
        <v>907011</v>
      </c>
      <c r="H1413" s="83" t="s">
        <v>268</v>
      </c>
      <c r="I1413" s="83"/>
      <c r="J1413" s="83" t="s">
        <v>266</v>
      </c>
      <c r="K1413" s="83">
        <v>1</v>
      </c>
      <c r="L1413" s="83" t="s">
        <v>153</v>
      </c>
      <c r="M1413" s="83">
        <f>ROUNDDOWN(VLOOKUP(J1413,Sheet1!$N$32:$O$37,2,0)*1000,0)</f>
        <v>3181</v>
      </c>
      <c r="N1413" s="83"/>
      <c r="O1413" s="83">
        <f t="shared" si="134"/>
        <v>0.031589818961836</v>
      </c>
      <c r="P1413" s="83">
        <v>11000</v>
      </c>
    </row>
    <row r="1414" spans="1:16">
      <c r="A1414" s="77">
        <v>1412</v>
      </c>
      <c r="B1414" s="83">
        <v>11300</v>
      </c>
      <c r="C1414" s="83">
        <v>2</v>
      </c>
      <c r="D1414" s="83">
        <f t="shared" si="130"/>
        <v>75189</v>
      </c>
      <c r="E1414" s="83">
        <f t="shared" si="133"/>
        <v>78370</v>
      </c>
      <c r="F1414" s="83"/>
      <c r="G1414" s="83">
        <v>907012</v>
      </c>
      <c r="H1414" s="83" t="s">
        <v>269</v>
      </c>
      <c r="I1414" s="83"/>
      <c r="J1414" s="83" t="s">
        <v>266</v>
      </c>
      <c r="K1414" s="83">
        <v>1</v>
      </c>
      <c r="L1414" s="83" t="s">
        <v>153</v>
      </c>
      <c r="M1414" s="83">
        <f>ROUNDDOWN(VLOOKUP(J1414,Sheet1!$N$32:$O$37,2,0)*1000,0)</f>
        <v>3181</v>
      </c>
      <c r="N1414" s="83"/>
      <c r="O1414" s="83">
        <f t="shared" si="134"/>
        <v>0.031589818961836</v>
      </c>
      <c r="P1414" s="83">
        <v>11000</v>
      </c>
    </row>
    <row r="1415" spans="1:16">
      <c r="A1415" s="77">
        <v>1413</v>
      </c>
      <c r="B1415" s="83">
        <v>11300</v>
      </c>
      <c r="C1415" s="83">
        <v>2</v>
      </c>
      <c r="D1415" s="83">
        <f t="shared" si="130"/>
        <v>78370</v>
      </c>
      <c r="E1415" s="83">
        <f t="shared" si="133"/>
        <v>81551</v>
      </c>
      <c r="F1415" s="83"/>
      <c r="G1415" s="83">
        <v>907014</v>
      </c>
      <c r="H1415" s="83" t="s">
        <v>270</v>
      </c>
      <c r="I1415" s="83"/>
      <c r="J1415" s="83" t="s">
        <v>266</v>
      </c>
      <c r="K1415" s="83">
        <v>1</v>
      </c>
      <c r="L1415" s="83" t="s">
        <v>153</v>
      </c>
      <c r="M1415" s="83">
        <f>ROUNDDOWN(VLOOKUP(J1415,Sheet1!$N$32:$O$37,2,0)*1000,0)</f>
        <v>3181</v>
      </c>
      <c r="N1415" s="83"/>
      <c r="O1415" s="83">
        <f t="shared" si="134"/>
        <v>0.031589818961836</v>
      </c>
      <c r="P1415" s="83">
        <v>11000</v>
      </c>
    </row>
    <row r="1416" spans="1:16">
      <c r="A1416" s="77">
        <v>1414</v>
      </c>
      <c r="B1416" s="83">
        <v>11300</v>
      </c>
      <c r="C1416" s="83">
        <v>2</v>
      </c>
      <c r="D1416" s="83">
        <f t="shared" si="130"/>
        <v>81551</v>
      </c>
      <c r="E1416" s="83">
        <f t="shared" si="133"/>
        <v>84732</v>
      </c>
      <c r="F1416" s="83"/>
      <c r="G1416" s="83">
        <v>907017</v>
      </c>
      <c r="H1416" s="83" t="s">
        <v>271</v>
      </c>
      <c r="I1416" s="83"/>
      <c r="J1416" s="83" t="s">
        <v>266</v>
      </c>
      <c r="K1416" s="83">
        <v>1</v>
      </c>
      <c r="L1416" s="83" t="s">
        <v>153</v>
      </c>
      <c r="M1416" s="83">
        <f>ROUNDDOWN(VLOOKUP(J1416,Sheet1!$N$32:$O$37,2,0)*1000,0)</f>
        <v>3181</v>
      </c>
      <c r="N1416" s="83"/>
      <c r="O1416" s="83">
        <f t="shared" si="134"/>
        <v>0.031589818961836</v>
      </c>
      <c r="P1416" s="83">
        <v>11000</v>
      </c>
    </row>
    <row r="1417" spans="1:16">
      <c r="A1417" s="77">
        <v>1415</v>
      </c>
      <c r="B1417" s="83">
        <v>11300</v>
      </c>
      <c r="C1417" s="83">
        <v>2</v>
      </c>
      <c r="D1417" s="83">
        <f t="shared" ref="D1417:D1480" si="135">E1416</f>
        <v>84732</v>
      </c>
      <c r="E1417" s="83">
        <f t="shared" si="133"/>
        <v>87913</v>
      </c>
      <c r="F1417" s="83"/>
      <c r="G1417" s="83">
        <v>907018</v>
      </c>
      <c r="H1417" s="83" t="s">
        <v>272</v>
      </c>
      <c r="I1417" s="83"/>
      <c r="J1417" s="83" t="s">
        <v>266</v>
      </c>
      <c r="K1417" s="83">
        <v>1</v>
      </c>
      <c r="L1417" s="83" t="s">
        <v>153</v>
      </c>
      <c r="M1417" s="83">
        <f>ROUNDDOWN(VLOOKUP(J1417,Sheet1!$N$32:$O$37,2,0)*1000,0)</f>
        <v>3181</v>
      </c>
      <c r="N1417" s="83"/>
      <c r="O1417" s="83">
        <f t="shared" si="134"/>
        <v>0.031589818961836</v>
      </c>
      <c r="P1417" s="83">
        <v>11000</v>
      </c>
    </row>
    <row r="1418" spans="1:16">
      <c r="A1418" s="77">
        <v>1416</v>
      </c>
      <c r="B1418" s="83">
        <v>11300</v>
      </c>
      <c r="C1418" s="83">
        <v>2</v>
      </c>
      <c r="D1418" s="83">
        <f t="shared" si="135"/>
        <v>87913</v>
      </c>
      <c r="E1418" s="83">
        <f t="shared" si="133"/>
        <v>91094</v>
      </c>
      <c r="F1418" s="83"/>
      <c r="G1418" s="83">
        <v>907033</v>
      </c>
      <c r="H1418" s="83" t="s">
        <v>273</v>
      </c>
      <c r="I1418" s="83"/>
      <c r="J1418" s="83" t="s">
        <v>266</v>
      </c>
      <c r="K1418" s="83">
        <v>1</v>
      </c>
      <c r="L1418" s="83" t="s">
        <v>153</v>
      </c>
      <c r="M1418" s="83">
        <f>ROUNDDOWN(VLOOKUP(J1418,Sheet1!$N$32:$O$37,2,0)*1000,0)</f>
        <v>3181</v>
      </c>
      <c r="N1418" s="83"/>
      <c r="O1418" s="83">
        <f t="shared" si="134"/>
        <v>0.031589818961836</v>
      </c>
      <c r="P1418" s="83">
        <v>11000</v>
      </c>
    </row>
    <row r="1419" spans="1:16">
      <c r="A1419" s="77">
        <v>1417</v>
      </c>
      <c r="B1419" s="83">
        <v>11300</v>
      </c>
      <c r="C1419" s="83">
        <v>2</v>
      </c>
      <c r="D1419" s="83">
        <f t="shared" si="135"/>
        <v>91094</v>
      </c>
      <c r="E1419" s="83">
        <f t="shared" si="133"/>
        <v>94275</v>
      </c>
      <c r="F1419" s="83"/>
      <c r="G1419" s="83">
        <v>907035</v>
      </c>
      <c r="H1419" s="83" t="s">
        <v>274</v>
      </c>
      <c r="I1419" s="83"/>
      <c r="J1419" s="83" t="s">
        <v>266</v>
      </c>
      <c r="K1419" s="83">
        <v>1</v>
      </c>
      <c r="L1419" s="83" t="s">
        <v>153</v>
      </c>
      <c r="M1419" s="83">
        <f>ROUNDDOWN(VLOOKUP(J1419,Sheet1!$N$32:$O$37,2,0)*1000,0)</f>
        <v>3181</v>
      </c>
      <c r="N1419" s="83"/>
      <c r="O1419" s="83">
        <f t="shared" si="134"/>
        <v>0.031589818961836</v>
      </c>
      <c r="P1419" s="83">
        <v>11000</v>
      </c>
    </row>
    <row r="1420" spans="1:16">
      <c r="A1420" s="77">
        <v>1418</v>
      </c>
      <c r="B1420" s="83">
        <v>11300</v>
      </c>
      <c r="C1420" s="83">
        <v>2</v>
      </c>
      <c r="D1420" s="83">
        <f t="shared" si="135"/>
        <v>94275</v>
      </c>
      <c r="E1420" s="83">
        <f t="shared" si="133"/>
        <v>97456</v>
      </c>
      <c r="F1420" s="83"/>
      <c r="G1420" s="83">
        <v>907036</v>
      </c>
      <c r="H1420" s="83" t="s">
        <v>275</v>
      </c>
      <c r="I1420" s="83"/>
      <c r="J1420" s="83" t="s">
        <v>266</v>
      </c>
      <c r="K1420" s="83">
        <v>1</v>
      </c>
      <c r="L1420" s="83" t="s">
        <v>153</v>
      </c>
      <c r="M1420" s="83">
        <f>ROUNDDOWN(VLOOKUP(J1420,Sheet1!$N$32:$O$37,2,0)*1000,0)</f>
        <v>3181</v>
      </c>
      <c r="N1420" s="83"/>
      <c r="O1420" s="83">
        <f t="shared" si="134"/>
        <v>0.031589818961836</v>
      </c>
      <c r="P1420" s="83">
        <v>11000</v>
      </c>
    </row>
    <row r="1421" spans="1:16">
      <c r="A1421" s="77">
        <v>1419</v>
      </c>
      <c r="B1421" s="83">
        <v>11300</v>
      </c>
      <c r="C1421" s="83">
        <v>2</v>
      </c>
      <c r="D1421" s="83">
        <f t="shared" si="135"/>
        <v>97456</v>
      </c>
      <c r="E1421" s="83">
        <f t="shared" si="133"/>
        <v>100637</v>
      </c>
      <c r="F1421" s="83"/>
      <c r="G1421" s="83">
        <v>907038</v>
      </c>
      <c r="H1421" s="83" t="s">
        <v>276</v>
      </c>
      <c r="I1421" s="83"/>
      <c r="J1421" s="83" t="s">
        <v>266</v>
      </c>
      <c r="K1421" s="83">
        <v>1</v>
      </c>
      <c r="L1421" s="83" t="s">
        <v>153</v>
      </c>
      <c r="M1421" s="83">
        <f>ROUNDDOWN(VLOOKUP(J1421,Sheet1!$N$32:$O$37,2,0)*1000,0)</f>
        <v>3181</v>
      </c>
      <c r="N1421" s="83"/>
      <c r="O1421" s="83">
        <f t="shared" si="134"/>
        <v>0.031589818961836</v>
      </c>
      <c r="P1421" s="83">
        <v>11000</v>
      </c>
    </row>
    <row r="1422" spans="1:16">
      <c r="A1422" s="77">
        <v>1420</v>
      </c>
      <c r="B1422" s="83">
        <v>11300</v>
      </c>
      <c r="C1422" s="83">
        <v>6</v>
      </c>
      <c r="D1422" s="83">
        <f t="shared" si="135"/>
        <v>100637</v>
      </c>
      <c r="E1422" s="83">
        <f t="shared" si="133"/>
        <v>100697</v>
      </c>
      <c r="F1422" s="83"/>
      <c r="G1422" s="83" t="s">
        <v>277</v>
      </c>
      <c r="H1422" s="83" t="s">
        <v>278</v>
      </c>
      <c r="I1422" s="83"/>
      <c r="J1422" s="83" t="s">
        <v>279</v>
      </c>
      <c r="K1422" s="83">
        <v>1</v>
      </c>
      <c r="L1422" s="83" t="s">
        <v>153</v>
      </c>
      <c r="M1422" s="83">
        <f>ROUNDDOWN(VLOOKUP(J1422,Sheet1!$N$32:$O$37,2,0)*1000,0)</f>
        <v>60</v>
      </c>
      <c r="N1422" s="83"/>
      <c r="O1422" s="83">
        <f t="shared" si="134"/>
        <v>0.000595846946780937</v>
      </c>
      <c r="P1422" s="83">
        <v>11000</v>
      </c>
    </row>
    <row r="1423" spans="1:16">
      <c r="A1423" s="77">
        <v>1421</v>
      </c>
      <c r="B1423" s="83">
        <v>11300</v>
      </c>
      <c r="C1423" s="83">
        <v>6</v>
      </c>
      <c r="D1423" s="83">
        <f t="shared" si="135"/>
        <v>100697</v>
      </c>
      <c r="E1423" s="83">
        <f t="shared" si="133"/>
        <v>100757</v>
      </c>
      <c r="F1423" s="83"/>
      <c r="G1423" s="83" t="s">
        <v>280</v>
      </c>
      <c r="H1423" s="83" t="s">
        <v>281</v>
      </c>
      <c r="I1423" s="83"/>
      <c r="J1423" s="83" t="s">
        <v>279</v>
      </c>
      <c r="K1423" s="83">
        <v>1</v>
      </c>
      <c r="L1423" s="83" t="s">
        <v>153</v>
      </c>
      <c r="M1423" s="83">
        <f>ROUNDDOWN(VLOOKUP(J1423,Sheet1!$N$32:$O$37,2,0)*1000,0)</f>
        <v>60</v>
      </c>
      <c r="N1423" s="83"/>
      <c r="O1423" s="83">
        <f t="shared" ref="O1423:O1505" si="136">(E1423-D1423)/$E$438</f>
        <v>0.000659145088819801</v>
      </c>
      <c r="P1423" s="83">
        <v>11001</v>
      </c>
    </row>
    <row r="1424" spans="1:16">
      <c r="A1424" s="77">
        <v>1422</v>
      </c>
      <c r="B1424" s="83">
        <v>11300</v>
      </c>
      <c r="C1424" s="83">
        <v>6</v>
      </c>
      <c r="D1424" s="83">
        <f t="shared" si="135"/>
        <v>100757</v>
      </c>
      <c r="E1424" s="83">
        <f t="shared" si="133"/>
        <v>100817</v>
      </c>
      <c r="F1424" s="83"/>
      <c r="G1424" s="83" t="s">
        <v>282</v>
      </c>
      <c r="H1424" s="83" t="s">
        <v>283</v>
      </c>
      <c r="I1424" s="83"/>
      <c r="J1424" s="83" t="s">
        <v>279</v>
      </c>
      <c r="K1424" s="83">
        <v>1</v>
      </c>
      <c r="L1424" s="83" t="s">
        <v>153</v>
      </c>
      <c r="M1424" s="83">
        <f>ROUNDDOWN(VLOOKUP(J1424,Sheet1!$N$32:$O$37,2,0)*1000,0)</f>
        <v>60</v>
      </c>
      <c r="N1424" s="83"/>
      <c r="O1424" s="83">
        <f t="shared" si="136"/>
        <v>0.000659145088819801</v>
      </c>
      <c r="P1424" s="83">
        <v>11002</v>
      </c>
    </row>
    <row r="1425" spans="1:16">
      <c r="A1425" s="77">
        <v>1423</v>
      </c>
      <c r="B1425" s="83">
        <v>11300</v>
      </c>
      <c r="C1425" s="83">
        <v>6</v>
      </c>
      <c r="D1425" s="83">
        <f t="shared" si="135"/>
        <v>100817</v>
      </c>
      <c r="E1425" s="83">
        <f t="shared" si="133"/>
        <v>100877</v>
      </c>
      <c r="F1425" s="83"/>
      <c r="G1425" s="83" t="s">
        <v>284</v>
      </c>
      <c r="H1425" s="83" t="s">
        <v>285</v>
      </c>
      <c r="I1425" s="83"/>
      <c r="J1425" s="83" t="s">
        <v>279</v>
      </c>
      <c r="K1425" s="83">
        <v>1</v>
      </c>
      <c r="L1425" s="83" t="s">
        <v>153</v>
      </c>
      <c r="M1425" s="83">
        <f>ROUNDDOWN(VLOOKUP(J1425,Sheet1!$N$32:$O$37,2,0)*1000,0)</f>
        <v>60</v>
      </c>
      <c r="N1425" s="83"/>
      <c r="O1425" s="83">
        <f t="shared" si="136"/>
        <v>0.000659145088819801</v>
      </c>
      <c r="P1425" s="83">
        <v>11003</v>
      </c>
    </row>
    <row r="1426" spans="1:16">
      <c r="A1426" s="77">
        <v>1424</v>
      </c>
      <c r="B1426" s="83">
        <v>11300</v>
      </c>
      <c r="C1426" s="83">
        <v>6</v>
      </c>
      <c r="D1426" s="83">
        <f t="shared" si="135"/>
        <v>100877</v>
      </c>
      <c r="E1426" s="83">
        <f t="shared" si="133"/>
        <v>100937</v>
      </c>
      <c r="F1426" s="83"/>
      <c r="G1426" s="83" t="s">
        <v>286</v>
      </c>
      <c r="H1426" s="83" t="s">
        <v>287</v>
      </c>
      <c r="I1426" s="83"/>
      <c r="J1426" s="83" t="s">
        <v>279</v>
      </c>
      <c r="K1426" s="83">
        <v>1</v>
      </c>
      <c r="L1426" s="83" t="s">
        <v>153</v>
      </c>
      <c r="M1426" s="83">
        <f>ROUNDDOWN(VLOOKUP(J1426,Sheet1!$N$32:$O$37,2,0)*1000,0)</f>
        <v>60</v>
      </c>
      <c r="N1426" s="83"/>
      <c r="O1426" s="83">
        <f t="shared" si="136"/>
        <v>0.000659145088819801</v>
      </c>
      <c r="P1426" s="83">
        <v>11004</v>
      </c>
    </row>
    <row r="1427" spans="1:16">
      <c r="A1427" s="77">
        <v>1425</v>
      </c>
      <c r="B1427" s="83">
        <v>11300</v>
      </c>
      <c r="C1427" s="83">
        <v>6</v>
      </c>
      <c r="D1427" s="83">
        <f t="shared" si="135"/>
        <v>100937</v>
      </c>
      <c r="E1427" s="83">
        <f t="shared" si="133"/>
        <v>100997</v>
      </c>
      <c r="F1427" s="83"/>
      <c r="G1427" s="83" t="s">
        <v>288</v>
      </c>
      <c r="H1427" s="83" t="s">
        <v>289</v>
      </c>
      <c r="I1427" s="83"/>
      <c r="J1427" s="83" t="s">
        <v>279</v>
      </c>
      <c r="K1427" s="83">
        <v>1</v>
      </c>
      <c r="L1427" s="83" t="s">
        <v>153</v>
      </c>
      <c r="M1427" s="83">
        <f>ROUNDDOWN(VLOOKUP(J1427,Sheet1!$N$32:$O$37,2,0)*1000,0)</f>
        <v>60</v>
      </c>
      <c r="N1427" s="83"/>
      <c r="O1427" s="83">
        <f t="shared" si="136"/>
        <v>0.000659145088819801</v>
      </c>
      <c r="P1427" s="83">
        <v>11005</v>
      </c>
    </row>
    <row r="1428" spans="1:16">
      <c r="A1428" s="77">
        <v>1426</v>
      </c>
      <c r="B1428" s="83">
        <v>11300</v>
      </c>
      <c r="C1428" s="83">
        <v>6</v>
      </c>
      <c r="D1428" s="83">
        <f t="shared" si="135"/>
        <v>100997</v>
      </c>
      <c r="E1428" s="83">
        <f t="shared" si="133"/>
        <v>101057</v>
      </c>
      <c r="F1428" s="83"/>
      <c r="G1428" s="83" t="s">
        <v>290</v>
      </c>
      <c r="H1428" s="83" t="s">
        <v>291</v>
      </c>
      <c r="I1428" s="83"/>
      <c r="J1428" s="83" t="s">
        <v>279</v>
      </c>
      <c r="K1428" s="83">
        <v>1</v>
      </c>
      <c r="L1428" s="83" t="s">
        <v>153</v>
      </c>
      <c r="M1428" s="83">
        <f>ROUNDDOWN(VLOOKUP(J1428,Sheet1!$N$32:$O$37,2,0)*1000,0)</f>
        <v>60</v>
      </c>
      <c r="N1428" s="83"/>
      <c r="O1428" s="83">
        <f t="shared" si="136"/>
        <v>0.000659145088819801</v>
      </c>
      <c r="P1428" s="83">
        <v>11006</v>
      </c>
    </row>
    <row r="1429" spans="1:16">
      <c r="A1429" s="77">
        <v>1427</v>
      </c>
      <c r="B1429" s="83">
        <v>11300</v>
      </c>
      <c r="C1429" s="83">
        <v>6</v>
      </c>
      <c r="D1429" s="83">
        <f t="shared" si="135"/>
        <v>101057</v>
      </c>
      <c r="E1429" s="83">
        <f t="shared" si="133"/>
        <v>101117</v>
      </c>
      <c r="F1429" s="83"/>
      <c r="G1429" s="83" t="s">
        <v>292</v>
      </c>
      <c r="H1429" s="83" t="s">
        <v>293</v>
      </c>
      <c r="I1429" s="83"/>
      <c r="J1429" s="83" t="s">
        <v>279</v>
      </c>
      <c r="K1429" s="83">
        <v>1</v>
      </c>
      <c r="L1429" s="83" t="s">
        <v>153</v>
      </c>
      <c r="M1429" s="83">
        <f>ROUNDDOWN(VLOOKUP(J1429,Sheet1!$N$32:$O$37,2,0)*1000,0)</f>
        <v>60</v>
      </c>
      <c r="N1429" s="83"/>
      <c r="O1429" s="83">
        <f t="shared" si="136"/>
        <v>0.000659145088819801</v>
      </c>
      <c r="P1429" s="83">
        <v>11007</v>
      </c>
    </row>
    <row r="1430" spans="1:16">
      <c r="A1430" s="77">
        <v>1428</v>
      </c>
      <c r="B1430" s="83">
        <v>11300</v>
      </c>
      <c r="C1430" s="83">
        <v>6</v>
      </c>
      <c r="D1430" s="83">
        <f t="shared" si="135"/>
        <v>101117</v>
      </c>
      <c r="E1430" s="83">
        <f t="shared" si="133"/>
        <v>101177</v>
      </c>
      <c r="F1430" s="83"/>
      <c r="G1430" s="83" t="s">
        <v>294</v>
      </c>
      <c r="H1430" s="83" t="s">
        <v>295</v>
      </c>
      <c r="I1430" s="83"/>
      <c r="J1430" s="83" t="s">
        <v>279</v>
      </c>
      <c r="K1430" s="83">
        <v>1</v>
      </c>
      <c r="L1430" s="83" t="s">
        <v>153</v>
      </c>
      <c r="M1430" s="83">
        <f>ROUNDDOWN(VLOOKUP(J1430,Sheet1!$N$32:$O$37,2,0)*1000,0)</f>
        <v>60</v>
      </c>
      <c r="N1430" s="83"/>
      <c r="O1430" s="83">
        <f t="shared" si="136"/>
        <v>0.000659145088819801</v>
      </c>
      <c r="P1430" s="83">
        <v>11008</v>
      </c>
    </row>
    <row r="1431" spans="1:16">
      <c r="A1431" s="77">
        <v>1429</v>
      </c>
      <c r="B1431" s="83">
        <v>11300</v>
      </c>
      <c r="C1431" s="83">
        <v>6</v>
      </c>
      <c r="D1431" s="83">
        <f t="shared" si="135"/>
        <v>101177</v>
      </c>
      <c r="E1431" s="83">
        <f t="shared" si="133"/>
        <v>101237</v>
      </c>
      <c r="F1431" s="83"/>
      <c r="G1431" s="83" t="s">
        <v>296</v>
      </c>
      <c r="H1431" s="83" t="s">
        <v>297</v>
      </c>
      <c r="I1431" s="83"/>
      <c r="J1431" s="83" t="s">
        <v>279</v>
      </c>
      <c r="K1431" s="83">
        <v>1</v>
      </c>
      <c r="L1431" s="83" t="s">
        <v>153</v>
      </c>
      <c r="M1431" s="83">
        <f>ROUNDDOWN(VLOOKUP(J1431,Sheet1!$N$32:$O$37,2,0)*1000,0)</f>
        <v>60</v>
      </c>
      <c r="N1431" s="83"/>
      <c r="O1431" s="83">
        <f t="shared" si="136"/>
        <v>0.000659145088819801</v>
      </c>
      <c r="P1431" s="83">
        <v>11009</v>
      </c>
    </row>
    <row r="1432" spans="1:16">
      <c r="A1432" s="77">
        <v>1430</v>
      </c>
      <c r="B1432" s="83">
        <v>11300</v>
      </c>
      <c r="C1432" s="83">
        <v>6</v>
      </c>
      <c r="D1432" s="83">
        <f t="shared" si="135"/>
        <v>101237</v>
      </c>
      <c r="E1432" s="83">
        <f t="shared" si="133"/>
        <v>101297</v>
      </c>
      <c r="F1432" s="83"/>
      <c r="G1432" s="83" t="s">
        <v>298</v>
      </c>
      <c r="H1432" s="83" t="s">
        <v>299</v>
      </c>
      <c r="I1432" s="83"/>
      <c r="J1432" s="83" t="s">
        <v>279</v>
      </c>
      <c r="K1432" s="83">
        <v>1</v>
      </c>
      <c r="L1432" s="83" t="s">
        <v>153</v>
      </c>
      <c r="M1432" s="83">
        <f>ROUNDDOWN(VLOOKUP(J1432,Sheet1!$N$32:$O$37,2,0)*1000,0)</f>
        <v>60</v>
      </c>
      <c r="N1432" s="83"/>
      <c r="O1432" s="83">
        <f t="shared" si="136"/>
        <v>0.000659145088819801</v>
      </c>
      <c r="P1432" s="83">
        <v>11010</v>
      </c>
    </row>
    <row r="1433" spans="1:16">
      <c r="A1433" s="77">
        <v>1431</v>
      </c>
      <c r="B1433" s="83">
        <v>11300</v>
      </c>
      <c r="C1433" s="83">
        <v>6</v>
      </c>
      <c r="D1433" s="83">
        <f t="shared" si="135"/>
        <v>101297</v>
      </c>
      <c r="E1433" s="83">
        <f t="shared" si="133"/>
        <v>101357</v>
      </c>
      <c r="F1433" s="83"/>
      <c r="G1433" s="83" t="s">
        <v>300</v>
      </c>
      <c r="H1433" s="83" t="s">
        <v>301</v>
      </c>
      <c r="I1433" s="83"/>
      <c r="J1433" s="83" t="s">
        <v>279</v>
      </c>
      <c r="K1433" s="83">
        <v>1</v>
      </c>
      <c r="L1433" s="83" t="s">
        <v>153</v>
      </c>
      <c r="M1433" s="83">
        <f>ROUNDDOWN(VLOOKUP(J1433,Sheet1!$N$32:$O$37,2,0)*1000,0)</f>
        <v>60</v>
      </c>
      <c r="N1433" s="83"/>
      <c r="O1433" s="83">
        <f t="shared" si="136"/>
        <v>0.000659145088819801</v>
      </c>
      <c r="P1433" s="83">
        <v>11011</v>
      </c>
    </row>
    <row r="1434" spans="1:16">
      <c r="A1434" s="77">
        <v>1432</v>
      </c>
      <c r="B1434" s="83">
        <v>11300</v>
      </c>
      <c r="C1434" s="83">
        <v>6</v>
      </c>
      <c r="D1434" s="83">
        <f t="shared" si="135"/>
        <v>101357</v>
      </c>
      <c r="E1434" s="83">
        <f t="shared" si="133"/>
        <v>101417</v>
      </c>
      <c r="F1434" s="83"/>
      <c r="G1434" s="83" t="s">
        <v>302</v>
      </c>
      <c r="H1434" s="83" t="s">
        <v>303</v>
      </c>
      <c r="I1434" s="83"/>
      <c r="J1434" s="83" t="s">
        <v>279</v>
      </c>
      <c r="K1434" s="83">
        <v>1</v>
      </c>
      <c r="L1434" s="83" t="s">
        <v>153</v>
      </c>
      <c r="M1434" s="83">
        <f>ROUNDDOWN(VLOOKUP(J1434,Sheet1!$N$32:$O$37,2,0)*1000,0)</f>
        <v>60</v>
      </c>
      <c r="N1434" s="83"/>
      <c r="O1434" s="83">
        <f t="shared" si="136"/>
        <v>0.000659145088819801</v>
      </c>
      <c r="P1434" s="83">
        <v>11012</v>
      </c>
    </row>
    <row r="1435" spans="1:16">
      <c r="A1435" s="77">
        <v>1433</v>
      </c>
      <c r="B1435" s="83">
        <v>11300</v>
      </c>
      <c r="C1435" s="83">
        <v>6</v>
      </c>
      <c r="D1435" s="83">
        <f t="shared" si="135"/>
        <v>101417</v>
      </c>
      <c r="E1435" s="83">
        <f t="shared" si="133"/>
        <v>101477</v>
      </c>
      <c r="F1435" s="83"/>
      <c r="G1435" s="83" t="s">
        <v>304</v>
      </c>
      <c r="H1435" s="83" t="s">
        <v>305</v>
      </c>
      <c r="I1435" s="83"/>
      <c r="J1435" s="83" t="s">
        <v>279</v>
      </c>
      <c r="K1435" s="83">
        <v>1</v>
      </c>
      <c r="L1435" s="83" t="s">
        <v>153</v>
      </c>
      <c r="M1435" s="83">
        <f>ROUNDDOWN(VLOOKUP(J1435,Sheet1!$N$32:$O$37,2,0)*1000,0)</f>
        <v>60</v>
      </c>
      <c r="N1435" s="83"/>
      <c r="O1435" s="83">
        <f t="shared" si="136"/>
        <v>0.000659145088819801</v>
      </c>
      <c r="P1435" s="83">
        <v>11013</v>
      </c>
    </row>
    <row r="1436" spans="1:16">
      <c r="A1436" s="77">
        <v>1434</v>
      </c>
      <c r="B1436" s="83">
        <v>11300</v>
      </c>
      <c r="C1436" s="83">
        <v>6</v>
      </c>
      <c r="D1436" s="83">
        <f t="shared" si="135"/>
        <v>101477</v>
      </c>
      <c r="E1436" s="83">
        <f t="shared" si="133"/>
        <v>101537</v>
      </c>
      <c r="F1436" s="83"/>
      <c r="G1436" s="83" t="s">
        <v>306</v>
      </c>
      <c r="H1436" s="83" t="s">
        <v>307</v>
      </c>
      <c r="I1436" s="83"/>
      <c r="J1436" s="83" t="s">
        <v>279</v>
      </c>
      <c r="K1436" s="83">
        <v>1</v>
      </c>
      <c r="L1436" s="83" t="s">
        <v>153</v>
      </c>
      <c r="M1436" s="83">
        <f>ROUNDDOWN(VLOOKUP(J1436,Sheet1!$N$32:$O$37,2,0)*1000,0)</f>
        <v>60</v>
      </c>
      <c r="N1436" s="83"/>
      <c r="O1436" s="83">
        <f t="shared" si="136"/>
        <v>0.000659145088819801</v>
      </c>
      <c r="P1436" s="83">
        <v>11014</v>
      </c>
    </row>
    <row r="1437" spans="1:16">
      <c r="A1437" s="77">
        <v>1435</v>
      </c>
      <c r="B1437" s="83">
        <v>11300</v>
      </c>
      <c r="C1437" s="83">
        <v>6</v>
      </c>
      <c r="D1437" s="83">
        <f t="shared" si="135"/>
        <v>101537</v>
      </c>
      <c r="E1437" s="83">
        <f t="shared" si="133"/>
        <v>101597</v>
      </c>
      <c r="F1437" s="83"/>
      <c r="G1437" s="83" t="s">
        <v>308</v>
      </c>
      <c r="H1437" s="83" t="s">
        <v>309</v>
      </c>
      <c r="I1437" s="83"/>
      <c r="J1437" s="83" t="s">
        <v>279</v>
      </c>
      <c r="K1437" s="83">
        <v>1</v>
      </c>
      <c r="L1437" s="83" t="s">
        <v>153</v>
      </c>
      <c r="M1437" s="83">
        <f>ROUNDDOWN(VLOOKUP(J1437,Sheet1!$N$32:$O$37,2,0)*1000,0)</f>
        <v>60</v>
      </c>
      <c r="N1437" s="83"/>
      <c r="O1437" s="83">
        <f t="shared" si="136"/>
        <v>0.000659145088819801</v>
      </c>
      <c r="P1437" s="83">
        <v>11015</v>
      </c>
    </row>
    <row r="1438" spans="1:16">
      <c r="A1438" s="77">
        <v>1436</v>
      </c>
      <c r="B1438" s="83">
        <v>11300</v>
      </c>
      <c r="C1438" s="83">
        <v>6</v>
      </c>
      <c r="D1438" s="83">
        <f t="shared" si="135"/>
        <v>101597</v>
      </c>
      <c r="E1438" s="83">
        <f t="shared" si="133"/>
        <v>101657</v>
      </c>
      <c r="F1438" s="83"/>
      <c r="G1438" s="83" t="s">
        <v>310</v>
      </c>
      <c r="H1438" s="83" t="s">
        <v>311</v>
      </c>
      <c r="I1438" s="83"/>
      <c r="J1438" s="83" t="s">
        <v>279</v>
      </c>
      <c r="K1438" s="83">
        <v>1</v>
      </c>
      <c r="L1438" s="83" t="s">
        <v>153</v>
      </c>
      <c r="M1438" s="83">
        <f>ROUNDDOWN(VLOOKUP(J1438,Sheet1!$N$32:$O$37,2,0)*1000,0)</f>
        <v>60</v>
      </c>
      <c r="N1438" s="83"/>
      <c r="O1438" s="83">
        <f t="shared" si="136"/>
        <v>0.000659145088819801</v>
      </c>
      <c r="P1438" s="83">
        <v>11016</v>
      </c>
    </row>
    <row r="1439" spans="1:16">
      <c r="A1439" s="77">
        <v>1437</v>
      </c>
      <c r="B1439" s="83">
        <v>11300</v>
      </c>
      <c r="C1439" s="83">
        <v>6</v>
      </c>
      <c r="D1439" s="83">
        <f t="shared" si="135"/>
        <v>101657</v>
      </c>
      <c r="E1439" s="83">
        <f t="shared" si="133"/>
        <v>101717</v>
      </c>
      <c r="F1439" s="83"/>
      <c r="G1439" s="83" t="s">
        <v>312</v>
      </c>
      <c r="H1439" s="83" t="s">
        <v>313</v>
      </c>
      <c r="I1439" s="83"/>
      <c r="J1439" s="83" t="s">
        <v>279</v>
      </c>
      <c r="K1439" s="83">
        <v>1</v>
      </c>
      <c r="L1439" s="83" t="s">
        <v>153</v>
      </c>
      <c r="M1439" s="83">
        <f>ROUNDDOWN(VLOOKUP(J1439,Sheet1!$N$32:$O$37,2,0)*1000,0)</f>
        <v>60</v>
      </c>
      <c r="N1439" s="83"/>
      <c r="O1439" s="83">
        <f t="shared" si="136"/>
        <v>0.000659145088819801</v>
      </c>
      <c r="P1439" s="83">
        <v>11017</v>
      </c>
    </row>
    <row r="1440" spans="1:16">
      <c r="A1440" s="77">
        <v>1438</v>
      </c>
      <c r="B1440" s="83">
        <v>11300</v>
      </c>
      <c r="C1440" s="83">
        <v>6</v>
      </c>
      <c r="D1440" s="83">
        <f t="shared" si="135"/>
        <v>101717</v>
      </c>
      <c r="E1440" s="83">
        <f t="shared" si="133"/>
        <v>101777</v>
      </c>
      <c r="F1440" s="83"/>
      <c r="G1440" s="83" t="s">
        <v>314</v>
      </c>
      <c r="H1440" s="83" t="s">
        <v>315</v>
      </c>
      <c r="I1440" s="83"/>
      <c r="J1440" s="83" t="s">
        <v>279</v>
      </c>
      <c r="K1440" s="83">
        <v>1</v>
      </c>
      <c r="L1440" s="83" t="s">
        <v>153</v>
      </c>
      <c r="M1440" s="83">
        <f>ROUNDDOWN(VLOOKUP(J1440,Sheet1!$N$32:$O$37,2,0)*1000,0)</f>
        <v>60</v>
      </c>
      <c r="N1440" s="83"/>
      <c r="O1440" s="83">
        <f t="shared" si="136"/>
        <v>0.000659145088819801</v>
      </c>
      <c r="P1440" s="83">
        <v>11018</v>
      </c>
    </row>
    <row r="1441" spans="1:16">
      <c r="A1441" s="77">
        <v>1439</v>
      </c>
      <c r="B1441" s="83">
        <v>11300</v>
      </c>
      <c r="C1441" s="83">
        <v>6</v>
      </c>
      <c r="D1441" s="83">
        <f t="shared" si="135"/>
        <v>101777</v>
      </c>
      <c r="E1441" s="83">
        <f t="shared" si="133"/>
        <v>101837</v>
      </c>
      <c r="F1441" s="83"/>
      <c r="G1441" s="83" t="s">
        <v>316</v>
      </c>
      <c r="H1441" s="83" t="s">
        <v>317</v>
      </c>
      <c r="I1441" s="83"/>
      <c r="J1441" s="83" t="s">
        <v>279</v>
      </c>
      <c r="K1441" s="83">
        <v>1</v>
      </c>
      <c r="L1441" s="83" t="s">
        <v>153</v>
      </c>
      <c r="M1441" s="83">
        <f>ROUNDDOWN(VLOOKUP(J1441,Sheet1!$N$32:$O$37,2,0)*1000,0)</f>
        <v>60</v>
      </c>
      <c r="N1441" s="83"/>
      <c r="O1441" s="83">
        <f t="shared" si="136"/>
        <v>0.000659145088819801</v>
      </c>
      <c r="P1441" s="83">
        <v>11019</v>
      </c>
    </row>
    <row r="1442" spans="1:16">
      <c r="A1442" s="77">
        <v>1440</v>
      </c>
      <c r="B1442" s="83">
        <v>11300</v>
      </c>
      <c r="C1442" s="83">
        <v>6</v>
      </c>
      <c r="D1442" s="83">
        <f t="shared" si="135"/>
        <v>101837</v>
      </c>
      <c r="E1442" s="83">
        <f t="shared" si="133"/>
        <v>101897</v>
      </c>
      <c r="F1442" s="83"/>
      <c r="G1442" s="83" t="s">
        <v>318</v>
      </c>
      <c r="H1442" s="83" t="s">
        <v>319</v>
      </c>
      <c r="I1442" s="83"/>
      <c r="J1442" s="83" t="s">
        <v>279</v>
      </c>
      <c r="K1442" s="83">
        <v>1</v>
      </c>
      <c r="L1442" s="83" t="s">
        <v>153</v>
      </c>
      <c r="M1442" s="83">
        <f>ROUNDDOWN(VLOOKUP(J1442,Sheet1!$N$32:$O$37,2,0)*1000,0)</f>
        <v>60</v>
      </c>
      <c r="N1442" s="83"/>
      <c r="O1442" s="83">
        <f t="shared" si="136"/>
        <v>0.000659145088819801</v>
      </c>
      <c r="P1442" s="83">
        <v>11020</v>
      </c>
    </row>
    <row r="1443" spans="1:16">
      <c r="A1443" s="77">
        <v>1441</v>
      </c>
      <c r="B1443" s="83">
        <v>11300</v>
      </c>
      <c r="C1443" s="83">
        <v>6</v>
      </c>
      <c r="D1443" s="83">
        <f t="shared" si="135"/>
        <v>101897</v>
      </c>
      <c r="E1443" s="83">
        <f t="shared" si="133"/>
        <v>101957</v>
      </c>
      <c r="F1443" s="83"/>
      <c r="G1443" s="83" t="s">
        <v>320</v>
      </c>
      <c r="H1443" s="83" t="s">
        <v>321</v>
      </c>
      <c r="I1443" s="83"/>
      <c r="J1443" s="83" t="s">
        <v>279</v>
      </c>
      <c r="K1443" s="83">
        <v>1</v>
      </c>
      <c r="L1443" s="83" t="s">
        <v>153</v>
      </c>
      <c r="M1443" s="83">
        <f>ROUNDDOWN(VLOOKUP(J1443,Sheet1!$N$32:$O$37,2,0)*1000,0)</f>
        <v>60</v>
      </c>
      <c r="N1443" s="83"/>
      <c r="O1443" s="83">
        <f t="shared" si="136"/>
        <v>0.000659145088819801</v>
      </c>
      <c r="P1443" s="83">
        <v>11021</v>
      </c>
    </row>
    <row r="1444" spans="1:16">
      <c r="A1444" s="77">
        <v>1442</v>
      </c>
      <c r="B1444" s="83">
        <v>11300</v>
      </c>
      <c r="C1444" s="83">
        <v>6</v>
      </c>
      <c r="D1444" s="83">
        <f t="shared" si="135"/>
        <v>101957</v>
      </c>
      <c r="E1444" s="83">
        <f t="shared" si="133"/>
        <v>102017</v>
      </c>
      <c r="F1444" s="83"/>
      <c r="G1444" s="83" t="s">
        <v>322</v>
      </c>
      <c r="H1444" s="83" t="s">
        <v>323</v>
      </c>
      <c r="I1444" s="83"/>
      <c r="J1444" s="83" t="s">
        <v>279</v>
      </c>
      <c r="K1444" s="83">
        <v>1</v>
      </c>
      <c r="L1444" s="83" t="s">
        <v>153</v>
      </c>
      <c r="M1444" s="83">
        <f>ROUNDDOWN(VLOOKUP(J1444,Sheet1!$N$32:$O$37,2,0)*1000,0)</f>
        <v>60</v>
      </c>
      <c r="N1444" s="83"/>
      <c r="O1444" s="83">
        <f t="shared" si="136"/>
        <v>0.000659145088819801</v>
      </c>
      <c r="P1444" s="83">
        <v>11022</v>
      </c>
    </row>
    <row r="1445" spans="1:16">
      <c r="A1445" s="77">
        <v>1443</v>
      </c>
      <c r="B1445" s="83">
        <v>11300</v>
      </c>
      <c r="C1445" s="83">
        <v>6</v>
      </c>
      <c r="D1445" s="83">
        <f t="shared" si="135"/>
        <v>102017</v>
      </c>
      <c r="E1445" s="83">
        <f t="shared" si="133"/>
        <v>102077</v>
      </c>
      <c r="F1445" s="83"/>
      <c r="G1445" s="83" t="s">
        <v>324</v>
      </c>
      <c r="H1445" s="83" t="s">
        <v>325</v>
      </c>
      <c r="I1445" s="83"/>
      <c r="J1445" s="83" t="s">
        <v>279</v>
      </c>
      <c r="K1445" s="83">
        <v>1</v>
      </c>
      <c r="L1445" s="83" t="s">
        <v>153</v>
      </c>
      <c r="M1445" s="83">
        <f>ROUNDDOWN(VLOOKUP(J1445,Sheet1!$N$32:$O$37,2,0)*1000,0)</f>
        <v>60</v>
      </c>
      <c r="N1445" s="83"/>
      <c r="O1445" s="83">
        <f t="shared" si="136"/>
        <v>0.000659145088819801</v>
      </c>
      <c r="P1445" s="83">
        <v>11023</v>
      </c>
    </row>
    <row r="1446" spans="1:16">
      <c r="A1446" s="77">
        <v>1444</v>
      </c>
      <c r="B1446" s="83">
        <v>11300</v>
      </c>
      <c r="C1446" s="83">
        <v>6</v>
      </c>
      <c r="D1446" s="83">
        <f t="shared" si="135"/>
        <v>102077</v>
      </c>
      <c r="E1446" s="83">
        <f t="shared" ref="E1446:E1504" si="137">D1446+M1446</f>
        <v>102137</v>
      </c>
      <c r="F1446" s="83"/>
      <c r="G1446" s="83" t="s">
        <v>326</v>
      </c>
      <c r="H1446" s="83" t="s">
        <v>327</v>
      </c>
      <c r="I1446" s="83"/>
      <c r="J1446" s="83" t="s">
        <v>279</v>
      </c>
      <c r="K1446" s="83">
        <v>1</v>
      </c>
      <c r="L1446" s="83" t="s">
        <v>153</v>
      </c>
      <c r="M1446" s="83">
        <f>ROUNDDOWN(VLOOKUP(J1446,Sheet1!$N$32:$O$37,2,0)*1000,0)</f>
        <v>60</v>
      </c>
      <c r="N1446" s="83"/>
      <c r="O1446" s="83">
        <f t="shared" si="136"/>
        <v>0.000659145088819801</v>
      </c>
      <c r="P1446" s="83">
        <v>11024</v>
      </c>
    </row>
    <row r="1447" spans="1:16">
      <c r="A1447" s="77">
        <v>1445</v>
      </c>
      <c r="B1447" s="83">
        <v>11300</v>
      </c>
      <c r="C1447" s="83">
        <v>6</v>
      </c>
      <c r="D1447" s="83">
        <f t="shared" si="135"/>
        <v>102137</v>
      </c>
      <c r="E1447" s="83">
        <f t="shared" si="137"/>
        <v>102197</v>
      </c>
      <c r="F1447" s="83"/>
      <c r="G1447" s="83" t="s">
        <v>328</v>
      </c>
      <c r="H1447" s="83" t="s">
        <v>329</v>
      </c>
      <c r="I1447" s="83"/>
      <c r="J1447" s="83" t="s">
        <v>279</v>
      </c>
      <c r="K1447" s="83">
        <v>1</v>
      </c>
      <c r="L1447" s="83" t="s">
        <v>153</v>
      </c>
      <c r="M1447" s="83">
        <f>ROUNDDOWN(VLOOKUP(J1447,Sheet1!$N$32:$O$37,2,0)*1000,0)</f>
        <v>60</v>
      </c>
      <c r="N1447" s="83"/>
      <c r="O1447" s="83">
        <f t="shared" si="136"/>
        <v>0.000659145088819801</v>
      </c>
      <c r="P1447" s="83">
        <v>11025</v>
      </c>
    </row>
    <row r="1448" spans="1:16">
      <c r="A1448" s="77">
        <v>1446</v>
      </c>
      <c r="B1448" s="83">
        <v>11300</v>
      </c>
      <c r="C1448" s="83">
        <v>6</v>
      </c>
      <c r="D1448" s="83">
        <f t="shared" si="135"/>
        <v>102197</v>
      </c>
      <c r="E1448" s="83">
        <f t="shared" si="137"/>
        <v>102257</v>
      </c>
      <c r="F1448" s="83"/>
      <c r="G1448" s="83" t="s">
        <v>330</v>
      </c>
      <c r="H1448" s="83" t="s">
        <v>331</v>
      </c>
      <c r="I1448" s="83"/>
      <c r="J1448" s="83" t="s">
        <v>279</v>
      </c>
      <c r="K1448" s="83">
        <v>1</v>
      </c>
      <c r="L1448" s="83" t="s">
        <v>153</v>
      </c>
      <c r="M1448" s="83">
        <f>ROUNDDOWN(VLOOKUP(J1448,Sheet1!$N$32:$O$37,2,0)*1000,0)</f>
        <v>60</v>
      </c>
      <c r="N1448" s="83"/>
      <c r="O1448" s="83">
        <f t="shared" si="136"/>
        <v>0.000659145088819801</v>
      </c>
      <c r="P1448" s="83">
        <v>11026</v>
      </c>
    </row>
    <row r="1449" spans="1:16">
      <c r="A1449" s="77">
        <v>1447</v>
      </c>
      <c r="B1449" s="83">
        <v>11300</v>
      </c>
      <c r="C1449" s="83">
        <v>6</v>
      </c>
      <c r="D1449" s="83">
        <f t="shared" si="135"/>
        <v>102257</v>
      </c>
      <c r="E1449" s="83">
        <f t="shared" si="137"/>
        <v>102317</v>
      </c>
      <c r="F1449" s="83"/>
      <c r="G1449" s="83" t="s">
        <v>332</v>
      </c>
      <c r="H1449" s="83" t="s">
        <v>333</v>
      </c>
      <c r="I1449" s="83"/>
      <c r="J1449" s="83" t="s">
        <v>279</v>
      </c>
      <c r="K1449" s="83">
        <v>1</v>
      </c>
      <c r="L1449" s="83" t="s">
        <v>153</v>
      </c>
      <c r="M1449" s="83">
        <f>ROUNDDOWN(VLOOKUP(J1449,Sheet1!$N$32:$O$37,2,0)*1000,0)</f>
        <v>60</v>
      </c>
      <c r="N1449" s="83"/>
      <c r="O1449" s="83">
        <f t="shared" si="136"/>
        <v>0.000659145088819801</v>
      </c>
      <c r="P1449" s="83">
        <v>11027</v>
      </c>
    </row>
    <row r="1450" spans="1:16">
      <c r="A1450" s="77">
        <v>1448</v>
      </c>
      <c r="B1450" s="83">
        <v>11300</v>
      </c>
      <c r="C1450" s="83">
        <v>6</v>
      </c>
      <c r="D1450" s="83">
        <f t="shared" si="135"/>
        <v>102317</v>
      </c>
      <c r="E1450" s="83">
        <f t="shared" si="137"/>
        <v>102377</v>
      </c>
      <c r="F1450" s="83"/>
      <c r="G1450" s="83" t="s">
        <v>334</v>
      </c>
      <c r="H1450" s="83" t="s">
        <v>335</v>
      </c>
      <c r="I1450" s="83"/>
      <c r="J1450" s="83" t="s">
        <v>279</v>
      </c>
      <c r="K1450" s="83">
        <v>1</v>
      </c>
      <c r="L1450" s="83" t="s">
        <v>153</v>
      </c>
      <c r="M1450" s="83">
        <f>ROUNDDOWN(VLOOKUP(J1450,Sheet1!$N$32:$O$37,2,0)*1000,0)</f>
        <v>60</v>
      </c>
      <c r="N1450" s="83"/>
      <c r="O1450" s="83">
        <f t="shared" si="136"/>
        <v>0.000659145088819801</v>
      </c>
      <c r="P1450" s="83">
        <v>11028</v>
      </c>
    </row>
    <row r="1451" spans="1:16">
      <c r="A1451" s="77">
        <v>1449</v>
      </c>
      <c r="B1451" s="83">
        <v>11300</v>
      </c>
      <c r="C1451" s="83">
        <v>6</v>
      </c>
      <c r="D1451" s="83">
        <f t="shared" si="135"/>
        <v>102377</v>
      </c>
      <c r="E1451" s="83">
        <f t="shared" si="137"/>
        <v>102437</v>
      </c>
      <c r="F1451" s="83"/>
      <c r="G1451" s="83" t="s">
        <v>336</v>
      </c>
      <c r="H1451" s="83" t="s">
        <v>337</v>
      </c>
      <c r="I1451" s="83"/>
      <c r="J1451" s="83" t="s">
        <v>279</v>
      </c>
      <c r="K1451" s="83">
        <v>1</v>
      </c>
      <c r="L1451" s="83" t="s">
        <v>153</v>
      </c>
      <c r="M1451" s="83">
        <f>ROUNDDOWN(VLOOKUP(J1451,Sheet1!$N$32:$O$37,2,0)*1000,0)</f>
        <v>60</v>
      </c>
      <c r="N1451" s="83"/>
      <c r="O1451" s="83">
        <f t="shared" si="136"/>
        <v>0.000659145088819801</v>
      </c>
      <c r="P1451" s="83">
        <v>11029</v>
      </c>
    </row>
    <row r="1452" spans="1:16">
      <c r="A1452" s="77">
        <v>1450</v>
      </c>
      <c r="B1452" s="83">
        <v>11300</v>
      </c>
      <c r="C1452" s="83">
        <v>6</v>
      </c>
      <c r="D1452" s="83">
        <f t="shared" si="135"/>
        <v>102437</v>
      </c>
      <c r="E1452" s="83">
        <f t="shared" si="137"/>
        <v>102497</v>
      </c>
      <c r="F1452" s="83"/>
      <c r="G1452" s="83" t="s">
        <v>338</v>
      </c>
      <c r="H1452" s="83" t="s">
        <v>339</v>
      </c>
      <c r="I1452" s="83"/>
      <c r="J1452" s="83" t="s">
        <v>279</v>
      </c>
      <c r="K1452" s="83">
        <v>1</v>
      </c>
      <c r="L1452" s="83" t="s">
        <v>153</v>
      </c>
      <c r="M1452" s="83">
        <f>ROUNDDOWN(VLOOKUP(J1452,Sheet1!$N$32:$O$37,2,0)*1000,0)</f>
        <v>60</v>
      </c>
      <c r="N1452" s="83"/>
      <c r="O1452" s="83">
        <f t="shared" si="136"/>
        <v>0.000659145088819801</v>
      </c>
      <c r="P1452" s="83">
        <v>11030</v>
      </c>
    </row>
    <row r="1453" spans="1:16">
      <c r="A1453" s="77">
        <v>1451</v>
      </c>
      <c r="B1453" s="83">
        <v>11300</v>
      </c>
      <c r="C1453" s="83">
        <v>6</v>
      </c>
      <c r="D1453" s="83">
        <f t="shared" si="135"/>
        <v>102497</v>
      </c>
      <c r="E1453" s="83">
        <f t="shared" si="137"/>
        <v>102557</v>
      </c>
      <c r="F1453" s="83"/>
      <c r="G1453" s="83" t="s">
        <v>340</v>
      </c>
      <c r="H1453" s="83" t="s">
        <v>341</v>
      </c>
      <c r="I1453" s="83"/>
      <c r="J1453" s="83" t="s">
        <v>279</v>
      </c>
      <c r="K1453" s="83">
        <v>1</v>
      </c>
      <c r="L1453" s="83" t="s">
        <v>153</v>
      </c>
      <c r="M1453" s="83">
        <f>ROUNDDOWN(VLOOKUP(J1453,Sheet1!$N$32:$O$37,2,0)*1000,0)</f>
        <v>60</v>
      </c>
      <c r="N1453" s="83"/>
      <c r="O1453" s="83">
        <f t="shared" si="136"/>
        <v>0.000659145088819801</v>
      </c>
      <c r="P1453" s="83">
        <v>11031</v>
      </c>
    </row>
    <row r="1454" spans="1:16">
      <c r="A1454" s="77">
        <v>1452</v>
      </c>
      <c r="B1454" s="83">
        <v>11300</v>
      </c>
      <c r="C1454" s="83">
        <v>6</v>
      </c>
      <c r="D1454" s="83">
        <f t="shared" si="135"/>
        <v>102557</v>
      </c>
      <c r="E1454" s="83">
        <f t="shared" si="137"/>
        <v>102617</v>
      </c>
      <c r="F1454" s="83"/>
      <c r="G1454" s="83" t="s">
        <v>342</v>
      </c>
      <c r="H1454" s="83" t="s">
        <v>343</v>
      </c>
      <c r="I1454" s="83"/>
      <c r="J1454" s="83" t="s">
        <v>279</v>
      </c>
      <c r="K1454" s="83">
        <v>1</v>
      </c>
      <c r="L1454" s="83" t="s">
        <v>153</v>
      </c>
      <c r="M1454" s="83">
        <f>ROUNDDOWN(VLOOKUP(J1454,Sheet1!$N$32:$O$37,2,0)*1000,0)</f>
        <v>60</v>
      </c>
      <c r="N1454" s="83"/>
      <c r="O1454" s="83">
        <f t="shared" si="136"/>
        <v>0.000659145088819801</v>
      </c>
      <c r="P1454" s="83">
        <v>11032</v>
      </c>
    </row>
    <row r="1455" spans="1:16">
      <c r="A1455" s="77">
        <v>1453</v>
      </c>
      <c r="B1455" s="83">
        <v>11300</v>
      </c>
      <c r="C1455" s="83">
        <v>6</v>
      </c>
      <c r="D1455" s="83">
        <f t="shared" si="135"/>
        <v>102617</v>
      </c>
      <c r="E1455" s="83">
        <f t="shared" si="137"/>
        <v>102677</v>
      </c>
      <c r="F1455" s="83"/>
      <c r="G1455" s="83" t="s">
        <v>344</v>
      </c>
      <c r="H1455" s="83" t="s">
        <v>345</v>
      </c>
      <c r="I1455" s="83"/>
      <c r="J1455" s="83" t="s">
        <v>279</v>
      </c>
      <c r="K1455" s="83">
        <v>1</v>
      </c>
      <c r="L1455" s="83" t="s">
        <v>153</v>
      </c>
      <c r="M1455" s="83">
        <f>ROUNDDOWN(VLOOKUP(J1455,Sheet1!$N$32:$O$37,2,0)*1000,0)</f>
        <v>60</v>
      </c>
      <c r="N1455" s="83"/>
      <c r="O1455" s="83">
        <f t="shared" si="136"/>
        <v>0.000659145088819801</v>
      </c>
      <c r="P1455" s="83">
        <v>11033</v>
      </c>
    </row>
    <row r="1456" spans="1:16">
      <c r="A1456" s="77">
        <v>1454</v>
      </c>
      <c r="B1456" s="83">
        <v>11300</v>
      </c>
      <c r="C1456" s="83">
        <v>6</v>
      </c>
      <c r="D1456" s="83">
        <f t="shared" si="135"/>
        <v>102677</v>
      </c>
      <c r="E1456" s="83">
        <f t="shared" si="137"/>
        <v>102737</v>
      </c>
      <c r="F1456" s="83"/>
      <c r="G1456" s="83" t="s">
        <v>346</v>
      </c>
      <c r="H1456" s="83" t="s">
        <v>347</v>
      </c>
      <c r="I1456" s="83"/>
      <c r="J1456" s="83" t="s">
        <v>279</v>
      </c>
      <c r="K1456" s="83">
        <v>1</v>
      </c>
      <c r="L1456" s="83" t="s">
        <v>153</v>
      </c>
      <c r="M1456" s="83">
        <f>ROUNDDOWN(VLOOKUP(J1456,Sheet1!$N$32:$O$37,2,0)*1000,0)</f>
        <v>60</v>
      </c>
      <c r="N1456" s="83"/>
      <c r="O1456" s="83">
        <f t="shared" si="136"/>
        <v>0.000659145088819801</v>
      </c>
      <c r="P1456" s="83">
        <v>11034</v>
      </c>
    </row>
    <row r="1457" spans="1:16">
      <c r="A1457" s="77">
        <v>1455</v>
      </c>
      <c r="B1457" s="83">
        <v>11300</v>
      </c>
      <c r="C1457" s="83">
        <v>6</v>
      </c>
      <c r="D1457" s="83">
        <f t="shared" si="135"/>
        <v>102737</v>
      </c>
      <c r="E1457" s="83">
        <f t="shared" si="137"/>
        <v>102797</v>
      </c>
      <c r="F1457" s="83"/>
      <c r="G1457" s="83" t="s">
        <v>348</v>
      </c>
      <c r="H1457" s="83" t="s">
        <v>349</v>
      </c>
      <c r="I1457" s="83"/>
      <c r="J1457" s="83" t="s">
        <v>279</v>
      </c>
      <c r="K1457" s="83">
        <v>1</v>
      </c>
      <c r="L1457" s="83" t="s">
        <v>153</v>
      </c>
      <c r="M1457" s="83">
        <f>ROUNDDOWN(VLOOKUP(J1457,Sheet1!$N$32:$O$37,2,0)*1000,0)</f>
        <v>60</v>
      </c>
      <c r="N1457" s="83"/>
      <c r="O1457" s="83">
        <f t="shared" si="136"/>
        <v>0.000659145088819801</v>
      </c>
      <c r="P1457" s="83">
        <v>11035</v>
      </c>
    </row>
    <row r="1458" spans="1:16">
      <c r="A1458" s="77">
        <v>1456</v>
      </c>
      <c r="B1458" s="83">
        <v>11300</v>
      </c>
      <c r="C1458" s="83">
        <v>6</v>
      </c>
      <c r="D1458" s="83">
        <f t="shared" si="135"/>
        <v>102797</v>
      </c>
      <c r="E1458" s="83">
        <f t="shared" si="137"/>
        <v>102857</v>
      </c>
      <c r="F1458" s="83"/>
      <c r="G1458" s="83" t="s">
        <v>350</v>
      </c>
      <c r="H1458" s="83" t="s">
        <v>351</v>
      </c>
      <c r="I1458" s="83"/>
      <c r="J1458" s="83" t="s">
        <v>279</v>
      </c>
      <c r="K1458" s="83">
        <v>1</v>
      </c>
      <c r="L1458" s="83" t="s">
        <v>153</v>
      </c>
      <c r="M1458" s="83">
        <f>ROUNDDOWN(VLOOKUP(J1458,Sheet1!$N$32:$O$37,2,0)*1000,0)</f>
        <v>60</v>
      </c>
      <c r="N1458" s="83"/>
      <c r="O1458" s="83">
        <f t="shared" si="136"/>
        <v>0.000659145088819801</v>
      </c>
      <c r="P1458" s="83">
        <v>11036</v>
      </c>
    </row>
    <row r="1459" spans="1:16">
      <c r="A1459" s="77">
        <v>1457</v>
      </c>
      <c r="B1459" s="83">
        <v>11300</v>
      </c>
      <c r="C1459" s="83">
        <v>6</v>
      </c>
      <c r="D1459" s="83">
        <f t="shared" si="135"/>
        <v>102857</v>
      </c>
      <c r="E1459" s="83">
        <f t="shared" si="137"/>
        <v>102917</v>
      </c>
      <c r="F1459" s="83"/>
      <c r="G1459" s="83" t="s">
        <v>352</v>
      </c>
      <c r="H1459" s="83" t="s">
        <v>353</v>
      </c>
      <c r="I1459" s="83"/>
      <c r="J1459" s="83" t="s">
        <v>279</v>
      </c>
      <c r="K1459" s="83">
        <v>1</v>
      </c>
      <c r="L1459" s="83" t="s">
        <v>153</v>
      </c>
      <c r="M1459" s="83">
        <f>ROUNDDOWN(VLOOKUP(J1459,Sheet1!$N$32:$O$37,2,0)*1000,0)</f>
        <v>60</v>
      </c>
      <c r="N1459" s="83"/>
      <c r="O1459" s="83">
        <f t="shared" si="136"/>
        <v>0.000659145088819801</v>
      </c>
      <c r="P1459" s="83">
        <v>11037</v>
      </c>
    </row>
    <row r="1460" spans="1:16">
      <c r="A1460" s="77">
        <v>1458</v>
      </c>
      <c r="B1460" s="83">
        <v>11300</v>
      </c>
      <c r="C1460" s="83">
        <v>6</v>
      </c>
      <c r="D1460" s="83">
        <f t="shared" si="135"/>
        <v>102917</v>
      </c>
      <c r="E1460" s="83">
        <f t="shared" si="137"/>
        <v>102977</v>
      </c>
      <c r="F1460" s="83"/>
      <c r="G1460" s="83" t="s">
        <v>354</v>
      </c>
      <c r="H1460" s="83" t="s">
        <v>355</v>
      </c>
      <c r="I1460" s="83"/>
      <c r="J1460" s="83" t="s">
        <v>279</v>
      </c>
      <c r="K1460" s="83">
        <v>1</v>
      </c>
      <c r="L1460" s="83" t="s">
        <v>153</v>
      </c>
      <c r="M1460" s="83">
        <f>ROUNDDOWN(VLOOKUP(J1460,Sheet1!$N$32:$O$37,2,0)*1000,0)</f>
        <v>60</v>
      </c>
      <c r="N1460" s="83"/>
      <c r="O1460" s="83">
        <f t="shared" si="136"/>
        <v>0.000659145088819801</v>
      </c>
      <c r="P1460" s="83">
        <v>11038</v>
      </c>
    </row>
    <row r="1461" s="66" customFormat="1" spans="1:16">
      <c r="A1461" s="70">
        <v>1459</v>
      </c>
      <c r="B1461" s="83">
        <v>11300</v>
      </c>
      <c r="C1461" s="83">
        <v>6</v>
      </c>
      <c r="D1461" s="83">
        <f t="shared" si="135"/>
        <v>102977</v>
      </c>
      <c r="E1461" s="83">
        <f t="shared" si="137"/>
        <v>103037</v>
      </c>
      <c r="F1461" s="83"/>
      <c r="G1461" s="83" t="s">
        <v>277</v>
      </c>
      <c r="H1461" s="83" t="s">
        <v>356</v>
      </c>
      <c r="I1461" s="83"/>
      <c r="J1461" s="83" t="s">
        <v>279</v>
      </c>
      <c r="K1461" s="83">
        <v>1</v>
      </c>
      <c r="L1461" s="83" t="s">
        <v>153</v>
      </c>
      <c r="M1461" s="83">
        <f>ROUNDDOWN(VLOOKUP(J1461,Sheet1!$N$32:$O$37,2,0)*1000,0)</f>
        <v>60</v>
      </c>
      <c r="N1461" s="83"/>
      <c r="O1461" s="83">
        <f t="shared" si="136"/>
        <v>0.000659145088819801</v>
      </c>
      <c r="P1461" s="83">
        <v>11000</v>
      </c>
    </row>
    <row r="1462" s="66" customFormat="1" spans="1:16">
      <c r="A1462" s="70">
        <v>1460</v>
      </c>
      <c r="B1462" s="83">
        <v>11300</v>
      </c>
      <c r="C1462" s="83">
        <v>6</v>
      </c>
      <c r="D1462" s="83">
        <f t="shared" si="135"/>
        <v>103037</v>
      </c>
      <c r="E1462" s="83">
        <f t="shared" si="137"/>
        <v>103097</v>
      </c>
      <c r="F1462" s="83"/>
      <c r="G1462" s="83" t="s">
        <v>280</v>
      </c>
      <c r="H1462" s="83" t="s">
        <v>357</v>
      </c>
      <c r="I1462" s="83"/>
      <c r="J1462" s="83" t="s">
        <v>279</v>
      </c>
      <c r="K1462" s="83">
        <v>1</v>
      </c>
      <c r="L1462" s="83" t="s">
        <v>153</v>
      </c>
      <c r="M1462" s="83">
        <f>ROUNDDOWN(VLOOKUP(J1462,Sheet1!$N$32:$O$37,2,0)*1000,0)</f>
        <v>60</v>
      </c>
      <c r="N1462" s="83"/>
      <c r="O1462" s="83">
        <f t="shared" si="136"/>
        <v>0.000659145088819801</v>
      </c>
      <c r="P1462" s="83">
        <v>11001</v>
      </c>
    </row>
    <row r="1463" s="66" customFormat="1" spans="1:16">
      <c r="A1463" s="70">
        <v>1461</v>
      </c>
      <c r="B1463" s="83">
        <v>11300</v>
      </c>
      <c r="C1463" s="83">
        <v>6</v>
      </c>
      <c r="D1463" s="83">
        <f t="shared" si="135"/>
        <v>103097</v>
      </c>
      <c r="E1463" s="83">
        <f t="shared" si="137"/>
        <v>103157</v>
      </c>
      <c r="F1463" s="83"/>
      <c r="G1463" s="83" t="s">
        <v>282</v>
      </c>
      <c r="H1463" s="83" t="s">
        <v>358</v>
      </c>
      <c r="I1463" s="83"/>
      <c r="J1463" s="83" t="s">
        <v>279</v>
      </c>
      <c r="K1463" s="83">
        <v>1</v>
      </c>
      <c r="L1463" s="83" t="s">
        <v>153</v>
      </c>
      <c r="M1463" s="83">
        <f>ROUNDDOWN(VLOOKUP(J1463,Sheet1!$N$32:$O$37,2,0)*1000,0)</f>
        <v>60</v>
      </c>
      <c r="N1463" s="83"/>
      <c r="O1463" s="83">
        <f t="shared" si="136"/>
        <v>0.000659145088819801</v>
      </c>
      <c r="P1463" s="83">
        <v>11002</v>
      </c>
    </row>
    <row r="1464" s="66" customFormat="1" spans="1:16">
      <c r="A1464" s="70">
        <v>1462</v>
      </c>
      <c r="B1464" s="83">
        <v>11300</v>
      </c>
      <c r="C1464" s="83">
        <v>6</v>
      </c>
      <c r="D1464" s="83">
        <f t="shared" si="135"/>
        <v>103157</v>
      </c>
      <c r="E1464" s="83">
        <f t="shared" si="137"/>
        <v>103217</v>
      </c>
      <c r="F1464" s="83"/>
      <c r="G1464" s="83" t="s">
        <v>284</v>
      </c>
      <c r="H1464" s="83" t="s">
        <v>359</v>
      </c>
      <c r="I1464" s="83"/>
      <c r="J1464" s="83" t="s">
        <v>279</v>
      </c>
      <c r="K1464" s="83">
        <v>1</v>
      </c>
      <c r="L1464" s="83" t="s">
        <v>153</v>
      </c>
      <c r="M1464" s="83">
        <f>ROUNDDOWN(VLOOKUP(J1464,Sheet1!$N$32:$O$37,2,0)*1000,0)</f>
        <v>60</v>
      </c>
      <c r="N1464" s="83"/>
      <c r="O1464" s="83">
        <f t="shared" si="136"/>
        <v>0.000659145088819801</v>
      </c>
      <c r="P1464" s="83">
        <v>11003</v>
      </c>
    </row>
    <row r="1465" s="66" customFormat="1" spans="1:16">
      <c r="A1465" s="70">
        <v>1463</v>
      </c>
      <c r="B1465" s="83">
        <v>11300</v>
      </c>
      <c r="C1465" s="83">
        <v>6</v>
      </c>
      <c r="D1465" s="83">
        <f t="shared" si="135"/>
        <v>103217</v>
      </c>
      <c r="E1465" s="83">
        <f t="shared" si="137"/>
        <v>103277</v>
      </c>
      <c r="F1465" s="83"/>
      <c r="G1465" s="83" t="s">
        <v>286</v>
      </c>
      <c r="H1465" s="83" t="s">
        <v>360</v>
      </c>
      <c r="I1465" s="83"/>
      <c r="J1465" s="83" t="s">
        <v>279</v>
      </c>
      <c r="K1465" s="83">
        <v>1</v>
      </c>
      <c r="L1465" s="83" t="s">
        <v>153</v>
      </c>
      <c r="M1465" s="83">
        <f>ROUNDDOWN(VLOOKUP(J1465,Sheet1!$N$32:$O$37,2,0)*1000,0)</f>
        <v>60</v>
      </c>
      <c r="N1465" s="83"/>
      <c r="O1465" s="83">
        <f t="shared" si="136"/>
        <v>0.000659145088819801</v>
      </c>
      <c r="P1465" s="83">
        <v>11004</v>
      </c>
    </row>
    <row r="1466" s="66" customFormat="1" spans="1:16">
      <c r="A1466" s="70">
        <v>1464</v>
      </c>
      <c r="B1466" s="83">
        <v>11300</v>
      </c>
      <c r="C1466" s="83">
        <v>6</v>
      </c>
      <c r="D1466" s="83">
        <f t="shared" si="135"/>
        <v>103277</v>
      </c>
      <c r="E1466" s="83">
        <f t="shared" si="137"/>
        <v>103337</v>
      </c>
      <c r="F1466" s="83"/>
      <c r="G1466" s="83" t="s">
        <v>288</v>
      </c>
      <c r="H1466" s="83" t="s">
        <v>361</v>
      </c>
      <c r="I1466" s="83"/>
      <c r="J1466" s="83" t="s">
        <v>279</v>
      </c>
      <c r="K1466" s="83">
        <v>1</v>
      </c>
      <c r="L1466" s="83" t="s">
        <v>153</v>
      </c>
      <c r="M1466" s="83">
        <f>ROUNDDOWN(VLOOKUP(J1466,Sheet1!$N$32:$O$37,2,0)*1000,0)</f>
        <v>60</v>
      </c>
      <c r="N1466" s="83"/>
      <c r="O1466" s="83">
        <f t="shared" si="136"/>
        <v>0.000659145088819801</v>
      </c>
      <c r="P1466" s="83">
        <v>11005</v>
      </c>
    </row>
    <row r="1467" s="66" customFormat="1" spans="1:16">
      <c r="A1467" s="70">
        <v>1465</v>
      </c>
      <c r="B1467" s="83">
        <v>11300</v>
      </c>
      <c r="C1467" s="83">
        <v>6</v>
      </c>
      <c r="D1467" s="83">
        <f t="shared" si="135"/>
        <v>103337</v>
      </c>
      <c r="E1467" s="83">
        <f t="shared" si="137"/>
        <v>103397</v>
      </c>
      <c r="F1467" s="83"/>
      <c r="G1467" s="83" t="s">
        <v>290</v>
      </c>
      <c r="H1467" s="83" t="s">
        <v>362</v>
      </c>
      <c r="I1467" s="83"/>
      <c r="J1467" s="83" t="s">
        <v>279</v>
      </c>
      <c r="K1467" s="83">
        <v>1</v>
      </c>
      <c r="L1467" s="83" t="s">
        <v>153</v>
      </c>
      <c r="M1467" s="83">
        <f>ROUNDDOWN(VLOOKUP(J1467,Sheet1!$N$32:$O$37,2,0)*1000,0)</f>
        <v>60</v>
      </c>
      <c r="N1467" s="83"/>
      <c r="O1467" s="83">
        <f t="shared" si="136"/>
        <v>0.000659145088819801</v>
      </c>
      <c r="P1467" s="83">
        <v>11006</v>
      </c>
    </row>
    <row r="1468" s="66" customFormat="1" spans="1:16">
      <c r="A1468" s="70">
        <v>1466</v>
      </c>
      <c r="B1468" s="83">
        <v>11300</v>
      </c>
      <c r="C1468" s="83">
        <v>6</v>
      </c>
      <c r="D1468" s="83">
        <f t="shared" si="135"/>
        <v>103397</v>
      </c>
      <c r="E1468" s="83">
        <f t="shared" si="137"/>
        <v>103457</v>
      </c>
      <c r="F1468" s="83"/>
      <c r="G1468" s="83" t="s">
        <v>292</v>
      </c>
      <c r="H1468" s="83" t="s">
        <v>363</v>
      </c>
      <c r="I1468" s="83"/>
      <c r="J1468" s="83" t="s">
        <v>279</v>
      </c>
      <c r="K1468" s="83">
        <v>1</v>
      </c>
      <c r="L1468" s="83" t="s">
        <v>153</v>
      </c>
      <c r="M1468" s="83">
        <f>ROUNDDOWN(VLOOKUP(J1468,Sheet1!$N$32:$O$37,2,0)*1000,0)</f>
        <v>60</v>
      </c>
      <c r="N1468" s="83"/>
      <c r="O1468" s="83">
        <f t="shared" si="136"/>
        <v>0.000659145088819801</v>
      </c>
      <c r="P1468" s="83">
        <v>11007</v>
      </c>
    </row>
    <row r="1469" s="66" customFormat="1" spans="1:16">
      <c r="A1469" s="70">
        <v>1467</v>
      </c>
      <c r="B1469" s="83">
        <v>11300</v>
      </c>
      <c r="C1469" s="83">
        <v>6</v>
      </c>
      <c r="D1469" s="83">
        <f t="shared" si="135"/>
        <v>103457</v>
      </c>
      <c r="E1469" s="83">
        <f t="shared" si="137"/>
        <v>103517</v>
      </c>
      <c r="F1469" s="83"/>
      <c r="G1469" s="83" t="s">
        <v>294</v>
      </c>
      <c r="H1469" s="83" t="s">
        <v>364</v>
      </c>
      <c r="I1469" s="83"/>
      <c r="J1469" s="83" t="s">
        <v>279</v>
      </c>
      <c r="K1469" s="83">
        <v>1</v>
      </c>
      <c r="L1469" s="83" t="s">
        <v>153</v>
      </c>
      <c r="M1469" s="83">
        <f>ROUNDDOWN(VLOOKUP(J1469,Sheet1!$N$32:$O$37,2,0)*1000,0)</f>
        <v>60</v>
      </c>
      <c r="N1469" s="83"/>
      <c r="O1469" s="83">
        <f t="shared" si="136"/>
        <v>0.000659145088819801</v>
      </c>
      <c r="P1469" s="83">
        <v>11008</v>
      </c>
    </row>
    <row r="1470" s="66" customFormat="1" spans="1:16">
      <c r="A1470" s="70">
        <v>1468</v>
      </c>
      <c r="B1470" s="83">
        <v>11300</v>
      </c>
      <c r="C1470" s="83">
        <v>6</v>
      </c>
      <c r="D1470" s="83">
        <f t="shared" si="135"/>
        <v>103517</v>
      </c>
      <c r="E1470" s="83">
        <f t="shared" si="137"/>
        <v>103577</v>
      </c>
      <c r="F1470" s="83"/>
      <c r="G1470" s="83" t="s">
        <v>296</v>
      </c>
      <c r="H1470" s="83" t="s">
        <v>365</v>
      </c>
      <c r="I1470" s="83"/>
      <c r="J1470" s="83" t="s">
        <v>279</v>
      </c>
      <c r="K1470" s="83">
        <v>1</v>
      </c>
      <c r="L1470" s="83" t="s">
        <v>153</v>
      </c>
      <c r="M1470" s="83">
        <f>ROUNDDOWN(VLOOKUP(J1470,Sheet1!$N$32:$O$37,2,0)*1000,0)</f>
        <v>60</v>
      </c>
      <c r="N1470" s="83"/>
      <c r="O1470" s="83">
        <f t="shared" si="136"/>
        <v>0.000659145088819801</v>
      </c>
      <c r="P1470" s="83">
        <v>11009</v>
      </c>
    </row>
    <row r="1471" s="66" customFormat="1" spans="1:16">
      <c r="A1471" s="70">
        <v>1469</v>
      </c>
      <c r="B1471" s="83">
        <v>11300</v>
      </c>
      <c r="C1471" s="83">
        <v>6</v>
      </c>
      <c r="D1471" s="83">
        <f t="shared" si="135"/>
        <v>103577</v>
      </c>
      <c r="E1471" s="83">
        <f t="shared" si="137"/>
        <v>103637</v>
      </c>
      <c r="F1471" s="83"/>
      <c r="G1471" s="83" t="s">
        <v>298</v>
      </c>
      <c r="H1471" s="83" t="s">
        <v>366</v>
      </c>
      <c r="I1471" s="83"/>
      <c r="J1471" s="83" t="s">
        <v>279</v>
      </c>
      <c r="K1471" s="83">
        <v>1</v>
      </c>
      <c r="L1471" s="83" t="s">
        <v>153</v>
      </c>
      <c r="M1471" s="83">
        <f>ROUNDDOWN(VLOOKUP(J1471,Sheet1!$N$32:$O$37,2,0)*1000,0)</f>
        <v>60</v>
      </c>
      <c r="N1471" s="83"/>
      <c r="O1471" s="83">
        <f t="shared" si="136"/>
        <v>0.000659145088819801</v>
      </c>
      <c r="P1471" s="83">
        <v>11010</v>
      </c>
    </row>
    <row r="1472" s="66" customFormat="1" spans="1:16">
      <c r="A1472" s="70">
        <v>1470</v>
      </c>
      <c r="B1472" s="83">
        <v>11300</v>
      </c>
      <c r="C1472" s="83">
        <v>6</v>
      </c>
      <c r="D1472" s="83">
        <f t="shared" si="135"/>
        <v>103637</v>
      </c>
      <c r="E1472" s="83">
        <f t="shared" si="137"/>
        <v>103697</v>
      </c>
      <c r="F1472" s="83"/>
      <c r="G1472" s="83" t="s">
        <v>300</v>
      </c>
      <c r="H1472" s="83" t="s">
        <v>367</v>
      </c>
      <c r="I1472" s="83"/>
      <c r="J1472" s="83" t="s">
        <v>279</v>
      </c>
      <c r="K1472" s="83">
        <v>1</v>
      </c>
      <c r="L1472" s="83" t="s">
        <v>153</v>
      </c>
      <c r="M1472" s="83">
        <f>ROUNDDOWN(VLOOKUP(J1472,Sheet1!$N$32:$O$37,2,0)*1000,0)</f>
        <v>60</v>
      </c>
      <c r="N1472" s="83"/>
      <c r="O1472" s="83">
        <f t="shared" si="136"/>
        <v>0.000659145088819801</v>
      </c>
      <c r="P1472" s="83">
        <v>11011</v>
      </c>
    </row>
    <row r="1473" s="66" customFormat="1" spans="1:16">
      <c r="A1473" s="70">
        <v>1471</v>
      </c>
      <c r="B1473" s="83">
        <v>11300</v>
      </c>
      <c r="C1473" s="83">
        <v>6</v>
      </c>
      <c r="D1473" s="83">
        <f t="shared" si="135"/>
        <v>103697</v>
      </c>
      <c r="E1473" s="83">
        <f t="shared" si="137"/>
        <v>103757</v>
      </c>
      <c r="F1473" s="83"/>
      <c r="G1473" s="83" t="s">
        <v>302</v>
      </c>
      <c r="H1473" s="83" t="s">
        <v>368</v>
      </c>
      <c r="I1473" s="83"/>
      <c r="J1473" s="83" t="s">
        <v>279</v>
      </c>
      <c r="K1473" s="83">
        <v>1</v>
      </c>
      <c r="L1473" s="83" t="s">
        <v>153</v>
      </c>
      <c r="M1473" s="83">
        <f>ROUNDDOWN(VLOOKUP(J1473,Sheet1!$N$32:$O$37,2,0)*1000,0)</f>
        <v>60</v>
      </c>
      <c r="N1473" s="83"/>
      <c r="O1473" s="83">
        <f t="shared" si="136"/>
        <v>0.000659145088819801</v>
      </c>
      <c r="P1473" s="83">
        <v>11012</v>
      </c>
    </row>
    <row r="1474" s="66" customFormat="1" spans="1:16">
      <c r="A1474" s="70">
        <v>1472</v>
      </c>
      <c r="B1474" s="83">
        <v>11300</v>
      </c>
      <c r="C1474" s="83">
        <v>6</v>
      </c>
      <c r="D1474" s="83">
        <f t="shared" si="135"/>
        <v>103757</v>
      </c>
      <c r="E1474" s="83">
        <f t="shared" si="137"/>
        <v>103817</v>
      </c>
      <c r="F1474" s="83"/>
      <c r="G1474" s="83" t="s">
        <v>304</v>
      </c>
      <c r="H1474" s="83" t="s">
        <v>369</v>
      </c>
      <c r="I1474" s="83"/>
      <c r="J1474" s="83" t="s">
        <v>279</v>
      </c>
      <c r="K1474" s="83">
        <v>1</v>
      </c>
      <c r="L1474" s="83" t="s">
        <v>153</v>
      </c>
      <c r="M1474" s="83">
        <f>ROUNDDOWN(VLOOKUP(J1474,Sheet1!$N$32:$O$37,2,0)*1000,0)</f>
        <v>60</v>
      </c>
      <c r="N1474" s="83"/>
      <c r="O1474" s="83">
        <f t="shared" si="136"/>
        <v>0.000659145088819801</v>
      </c>
      <c r="P1474" s="83">
        <v>11013</v>
      </c>
    </row>
    <row r="1475" s="66" customFormat="1" spans="1:16">
      <c r="A1475" s="70">
        <v>1473</v>
      </c>
      <c r="B1475" s="83">
        <v>11300</v>
      </c>
      <c r="C1475" s="83">
        <v>6</v>
      </c>
      <c r="D1475" s="83">
        <f t="shared" si="135"/>
        <v>103817</v>
      </c>
      <c r="E1475" s="83">
        <f t="shared" si="137"/>
        <v>103877</v>
      </c>
      <c r="F1475" s="83"/>
      <c r="G1475" s="83" t="s">
        <v>306</v>
      </c>
      <c r="H1475" s="83" t="s">
        <v>370</v>
      </c>
      <c r="I1475" s="83"/>
      <c r="J1475" s="83" t="s">
        <v>279</v>
      </c>
      <c r="K1475" s="83">
        <v>1</v>
      </c>
      <c r="L1475" s="83" t="s">
        <v>153</v>
      </c>
      <c r="M1475" s="83">
        <f>ROUNDDOWN(VLOOKUP(J1475,Sheet1!$N$32:$O$37,2,0)*1000,0)</f>
        <v>60</v>
      </c>
      <c r="N1475" s="83"/>
      <c r="O1475" s="83">
        <f t="shared" si="136"/>
        <v>0.000659145088819801</v>
      </c>
      <c r="P1475" s="83">
        <v>11014</v>
      </c>
    </row>
    <row r="1476" s="66" customFormat="1" spans="1:16">
      <c r="A1476" s="70">
        <v>1474</v>
      </c>
      <c r="B1476" s="83">
        <v>11300</v>
      </c>
      <c r="C1476" s="83">
        <v>6</v>
      </c>
      <c r="D1476" s="83">
        <f t="shared" si="135"/>
        <v>103877</v>
      </c>
      <c r="E1476" s="83">
        <f t="shared" si="137"/>
        <v>103937</v>
      </c>
      <c r="F1476" s="83"/>
      <c r="G1476" s="83" t="s">
        <v>308</v>
      </c>
      <c r="H1476" s="83" t="s">
        <v>371</v>
      </c>
      <c r="I1476" s="83"/>
      <c r="J1476" s="83" t="s">
        <v>279</v>
      </c>
      <c r="K1476" s="83">
        <v>1</v>
      </c>
      <c r="L1476" s="83" t="s">
        <v>153</v>
      </c>
      <c r="M1476" s="83">
        <f>ROUNDDOWN(VLOOKUP(J1476,Sheet1!$N$32:$O$37,2,0)*1000,0)</f>
        <v>60</v>
      </c>
      <c r="N1476" s="83"/>
      <c r="O1476" s="83">
        <f t="shared" si="136"/>
        <v>0.000659145088819801</v>
      </c>
      <c r="P1476" s="83">
        <v>11015</v>
      </c>
    </row>
    <row r="1477" s="66" customFormat="1" spans="1:16">
      <c r="A1477" s="70">
        <v>1475</v>
      </c>
      <c r="B1477" s="83">
        <v>11300</v>
      </c>
      <c r="C1477" s="83">
        <v>6</v>
      </c>
      <c r="D1477" s="83">
        <f t="shared" si="135"/>
        <v>103937</v>
      </c>
      <c r="E1477" s="83">
        <f t="shared" si="137"/>
        <v>103997</v>
      </c>
      <c r="F1477" s="83"/>
      <c r="G1477" s="83" t="s">
        <v>310</v>
      </c>
      <c r="H1477" s="83" t="s">
        <v>372</v>
      </c>
      <c r="I1477" s="83"/>
      <c r="J1477" s="83" t="s">
        <v>279</v>
      </c>
      <c r="K1477" s="83">
        <v>1</v>
      </c>
      <c r="L1477" s="83" t="s">
        <v>153</v>
      </c>
      <c r="M1477" s="83">
        <f>ROUNDDOWN(VLOOKUP(J1477,Sheet1!$N$32:$O$37,2,0)*1000,0)</f>
        <v>60</v>
      </c>
      <c r="N1477" s="83"/>
      <c r="O1477" s="83">
        <f t="shared" si="136"/>
        <v>0.000659145088819801</v>
      </c>
      <c r="P1477" s="83">
        <v>11016</v>
      </c>
    </row>
    <row r="1478" s="66" customFormat="1" spans="1:16">
      <c r="A1478" s="70">
        <v>1476</v>
      </c>
      <c r="B1478" s="83">
        <v>11300</v>
      </c>
      <c r="C1478" s="83">
        <v>6</v>
      </c>
      <c r="D1478" s="83">
        <f t="shared" si="135"/>
        <v>103997</v>
      </c>
      <c r="E1478" s="83">
        <f t="shared" si="137"/>
        <v>104057</v>
      </c>
      <c r="F1478" s="83"/>
      <c r="G1478" s="83" t="s">
        <v>312</v>
      </c>
      <c r="H1478" s="83" t="s">
        <v>373</v>
      </c>
      <c r="I1478" s="83"/>
      <c r="J1478" s="83" t="s">
        <v>279</v>
      </c>
      <c r="K1478" s="83">
        <v>1</v>
      </c>
      <c r="L1478" s="83" t="s">
        <v>153</v>
      </c>
      <c r="M1478" s="83">
        <f>ROUNDDOWN(VLOOKUP(J1478,Sheet1!$N$32:$O$37,2,0)*1000,0)</f>
        <v>60</v>
      </c>
      <c r="N1478" s="83"/>
      <c r="O1478" s="83">
        <f t="shared" si="136"/>
        <v>0.000659145088819801</v>
      </c>
      <c r="P1478" s="83">
        <v>11017</v>
      </c>
    </row>
    <row r="1479" s="66" customFormat="1" spans="1:16">
      <c r="A1479" s="70">
        <v>1477</v>
      </c>
      <c r="B1479" s="83">
        <v>11300</v>
      </c>
      <c r="C1479" s="83">
        <v>6</v>
      </c>
      <c r="D1479" s="83">
        <f t="shared" si="135"/>
        <v>104057</v>
      </c>
      <c r="E1479" s="83">
        <f t="shared" si="137"/>
        <v>104117</v>
      </c>
      <c r="F1479" s="83"/>
      <c r="G1479" s="83" t="s">
        <v>314</v>
      </c>
      <c r="H1479" s="83" t="s">
        <v>374</v>
      </c>
      <c r="I1479" s="83"/>
      <c r="J1479" s="83" t="s">
        <v>279</v>
      </c>
      <c r="K1479" s="83">
        <v>1</v>
      </c>
      <c r="L1479" s="83" t="s">
        <v>153</v>
      </c>
      <c r="M1479" s="83">
        <f>ROUNDDOWN(VLOOKUP(J1479,Sheet1!$N$32:$O$37,2,0)*1000,0)</f>
        <v>60</v>
      </c>
      <c r="N1479" s="83"/>
      <c r="O1479" s="83">
        <f t="shared" si="136"/>
        <v>0.000659145088819801</v>
      </c>
      <c r="P1479" s="83">
        <v>11018</v>
      </c>
    </row>
    <row r="1480" s="66" customFormat="1" spans="1:16">
      <c r="A1480" s="70">
        <v>1478</v>
      </c>
      <c r="B1480" s="83">
        <v>11300</v>
      </c>
      <c r="C1480" s="83">
        <v>6</v>
      </c>
      <c r="D1480" s="83">
        <f t="shared" si="135"/>
        <v>104117</v>
      </c>
      <c r="E1480" s="83">
        <f t="shared" si="137"/>
        <v>104177</v>
      </c>
      <c r="F1480" s="83"/>
      <c r="G1480" s="83" t="s">
        <v>316</v>
      </c>
      <c r="H1480" s="83" t="s">
        <v>375</v>
      </c>
      <c r="I1480" s="83"/>
      <c r="J1480" s="83" t="s">
        <v>279</v>
      </c>
      <c r="K1480" s="83">
        <v>1</v>
      </c>
      <c r="L1480" s="83" t="s">
        <v>153</v>
      </c>
      <c r="M1480" s="83">
        <f>ROUNDDOWN(VLOOKUP(J1480,Sheet1!$N$32:$O$37,2,0)*1000,0)</f>
        <v>60</v>
      </c>
      <c r="N1480" s="83"/>
      <c r="O1480" s="83">
        <f t="shared" si="136"/>
        <v>0.000659145088819801</v>
      </c>
      <c r="P1480" s="83">
        <v>11019</v>
      </c>
    </row>
    <row r="1481" s="66" customFormat="1" spans="1:16">
      <c r="A1481" s="70">
        <v>1479</v>
      </c>
      <c r="B1481" s="83">
        <v>11300</v>
      </c>
      <c r="C1481" s="83">
        <v>6</v>
      </c>
      <c r="D1481" s="83">
        <f t="shared" ref="D1481:D1504" si="138">E1480</f>
        <v>104177</v>
      </c>
      <c r="E1481" s="83">
        <f t="shared" si="137"/>
        <v>104237</v>
      </c>
      <c r="F1481" s="83"/>
      <c r="G1481" s="83" t="s">
        <v>318</v>
      </c>
      <c r="H1481" s="83" t="s">
        <v>376</v>
      </c>
      <c r="I1481" s="83"/>
      <c r="J1481" s="83" t="s">
        <v>279</v>
      </c>
      <c r="K1481" s="83">
        <v>1</v>
      </c>
      <c r="L1481" s="83" t="s">
        <v>153</v>
      </c>
      <c r="M1481" s="83">
        <f>ROUNDDOWN(VLOOKUP(J1481,Sheet1!$N$32:$O$37,2,0)*1000,0)</f>
        <v>60</v>
      </c>
      <c r="N1481" s="83"/>
      <c r="O1481" s="83">
        <f t="shared" si="136"/>
        <v>0.000659145088819801</v>
      </c>
      <c r="P1481" s="83">
        <v>11020</v>
      </c>
    </row>
    <row r="1482" s="66" customFormat="1" spans="1:16">
      <c r="A1482" s="70">
        <v>1480</v>
      </c>
      <c r="B1482" s="83">
        <v>11300</v>
      </c>
      <c r="C1482" s="83">
        <v>6</v>
      </c>
      <c r="D1482" s="83">
        <f t="shared" si="138"/>
        <v>104237</v>
      </c>
      <c r="E1482" s="83">
        <f t="shared" si="137"/>
        <v>104297</v>
      </c>
      <c r="F1482" s="83"/>
      <c r="G1482" s="83" t="s">
        <v>320</v>
      </c>
      <c r="H1482" s="83" t="s">
        <v>377</v>
      </c>
      <c r="I1482" s="83"/>
      <c r="J1482" s="83" t="s">
        <v>279</v>
      </c>
      <c r="K1482" s="83">
        <v>1</v>
      </c>
      <c r="L1482" s="83" t="s">
        <v>153</v>
      </c>
      <c r="M1482" s="83">
        <f>ROUNDDOWN(VLOOKUP(J1482,Sheet1!$N$32:$O$37,2,0)*1000,0)</f>
        <v>60</v>
      </c>
      <c r="N1482" s="83"/>
      <c r="O1482" s="83">
        <f t="shared" si="136"/>
        <v>0.000659145088819801</v>
      </c>
      <c r="P1482" s="83">
        <v>11021</v>
      </c>
    </row>
    <row r="1483" s="66" customFormat="1" spans="1:16">
      <c r="A1483" s="70">
        <v>1481</v>
      </c>
      <c r="B1483" s="83">
        <v>11300</v>
      </c>
      <c r="C1483" s="83">
        <v>6</v>
      </c>
      <c r="D1483" s="83">
        <f t="shared" si="138"/>
        <v>104297</v>
      </c>
      <c r="E1483" s="83">
        <f t="shared" si="137"/>
        <v>104357</v>
      </c>
      <c r="F1483" s="83"/>
      <c r="G1483" s="83" t="s">
        <v>322</v>
      </c>
      <c r="H1483" s="83" t="s">
        <v>378</v>
      </c>
      <c r="I1483" s="83"/>
      <c r="J1483" s="83" t="s">
        <v>279</v>
      </c>
      <c r="K1483" s="83">
        <v>1</v>
      </c>
      <c r="L1483" s="83" t="s">
        <v>153</v>
      </c>
      <c r="M1483" s="83">
        <f>ROUNDDOWN(VLOOKUP(J1483,Sheet1!$N$32:$O$37,2,0)*1000,0)</f>
        <v>60</v>
      </c>
      <c r="N1483" s="83"/>
      <c r="O1483" s="83">
        <f t="shared" si="136"/>
        <v>0.000659145088819801</v>
      </c>
      <c r="P1483" s="83">
        <v>11022</v>
      </c>
    </row>
    <row r="1484" s="66" customFormat="1" spans="1:16">
      <c r="A1484" s="70">
        <v>1482</v>
      </c>
      <c r="B1484" s="83">
        <v>11300</v>
      </c>
      <c r="C1484" s="83">
        <v>6</v>
      </c>
      <c r="D1484" s="83">
        <f t="shared" si="138"/>
        <v>104357</v>
      </c>
      <c r="E1484" s="83">
        <f t="shared" si="137"/>
        <v>104417</v>
      </c>
      <c r="F1484" s="83"/>
      <c r="G1484" s="83" t="s">
        <v>324</v>
      </c>
      <c r="H1484" s="83" t="s">
        <v>379</v>
      </c>
      <c r="I1484" s="83"/>
      <c r="J1484" s="83" t="s">
        <v>279</v>
      </c>
      <c r="K1484" s="83">
        <v>1</v>
      </c>
      <c r="L1484" s="83" t="s">
        <v>153</v>
      </c>
      <c r="M1484" s="83">
        <f>ROUNDDOWN(VLOOKUP(J1484,Sheet1!$N$32:$O$37,2,0)*1000,0)</f>
        <v>60</v>
      </c>
      <c r="N1484" s="83"/>
      <c r="O1484" s="83">
        <f t="shared" si="136"/>
        <v>0.000659145088819801</v>
      </c>
      <c r="P1484" s="83">
        <v>11023</v>
      </c>
    </row>
    <row r="1485" s="66" customFormat="1" spans="1:16">
      <c r="A1485" s="70">
        <v>1483</v>
      </c>
      <c r="B1485" s="83">
        <v>11300</v>
      </c>
      <c r="C1485" s="83">
        <v>6</v>
      </c>
      <c r="D1485" s="83">
        <f t="shared" si="138"/>
        <v>104417</v>
      </c>
      <c r="E1485" s="83">
        <f t="shared" si="137"/>
        <v>104477</v>
      </c>
      <c r="F1485" s="83"/>
      <c r="G1485" s="83" t="s">
        <v>326</v>
      </c>
      <c r="H1485" s="83" t="s">
        <v>380</v>
      </c>
      <c r="I1485" s="83"/>
      <c r="J1485" s="83" t="s">
        <v>279</v>
      </c>
      <c r="K1485" s="83">
        <v>1</v>
      </c>
      <c r="L1485" s="83" t="s">
        <v>153</v>
      </c>
      <c r="M1485" s="83">
        <f>ROUNDDOWN(VLOOKUP(J1485,Sheet1!$N$32:$O$37,2,0)*1000,0)</f>
        <v>60</v>
      </c>
      <c r="N1485" s="83"/>
      <c r="O1485" s="83">
        <f t="shared" si="136"/>
        <v>0.000659145088819801</v>
      </c>
      <c r="P1485" s="83">
        <v>11024</v>
      </c>
    </row>
    <row r="1486" s="66" customFormat="1" spans="1:16">
      <c r="A1486" s="70">
        <v>1484</v>
      </c>
      <c r="B1486" s="83">
        <v>11300</v>
      </c>
      <c r="C1486" s="83">
        <v>6</v>
      </c>
      <c r="D1486" s="83">
        <f t="shared" si="138"/>
        <v>104477</v>
      </c>
      <c r="E1486" s="83">
        <f t="shared" si="137"/>
        <v>104537</v>
      </c>
      <c r="F1486" s="83"/>
      <c r="G1486" s="83" t="s">
        <v>328</v>
      </c>
      <c r="H1486" s="83" t="s">
        <v>381</v>
      </c>
      <c r="I1486" s="83"/>
      <c r="J1486" s="83" t="s">
        <v>279</v>
      </c>
      <c r="K1486" s="83">
        <v>1</v>
      </c>
      <c r="L1486" s="83" t="s">
        <v>153</v>
      </c>
      <c r="M1486" s="83">
        <f>ROUNDDOWN(VLOOKUP(J1486,Sheet1!$N$32:$O$37,2,0)*1000,0)</f>
        <v>60</v>
      </c>
      <c r="N1486" s="83"/>
      <c r="O1486" s="83">
        <f t="shared" si="136"/>
        <v>0.000659145088819801</v>
      </c>
      <c r="P1486" s="83">
        <v>11025</v>
      </c>
    </row>
    <row r="1487" s="66" customFormat="1" spans="1:16">
      <c r="A1487" s="70">
        <v>1485</v>
      </c>
      <c r="B1487" s="83">
        <v>11300</v>
      </c>
      <c r="C1487" s="83">
        <v>6</v>
      </c>
      <c r="D1487" s="83">
        <f t="shared" si="138"/>
        <v>104537</v>
      </c>
      <c r="E1487" s="83">
        <f t="shared" si="137"/>
        <v>104597</v>
      </c>
      <c r="F1487" s="83"/>
      <c r="G1487" s="83" t="s">
        <v>330</v>
      </c>
      <c r="H1487" s="83" t="s">
        <v>382</v>
      </c>
      <c r="I1487" s="83"/>
      <c r="J1487" s="83" t="s">
        <v>279</v>
      </c>
      <c r="K1487" s="83">
        <v>1</v>
      </c>
      <c r="L1487" s="83" t="s">
        <v>153</v>
      </c>
      <c r="M1487" s="83">
        <f>ROUNDDOWN(VLOOKUP(J1487,Sheet1!$N$32:$O$37,2,0)*1000,0)</f>
        <v>60</v>
      </c>
      <c r="N1487" s="83"/>
      <c r="O1487" s="83">
        <f t="shared" si="136"/>
        <v>0.000659145088819801</v>
      </c>
      <c r="P1487" s="83">
        <v>11026</v>
      </c>
    </row>
    <row r="1488" s="66" customFormat="1" spans="1:16">
      <c r="A1488" s="70">
        <v>1486</v>
      </c>
      <c r="B1488" s="83">
        <v>11300</v>
      </c>
      <c r="C1488" s="83">
        <v>6</v>
      </c>
      <c r="D1488" s="83">
        <f t="shared" si="138"/>
        <v>104597</v>
      </c>
      <c r="E1488" s="83">
        <f t="shared" si="137"/>
        <v>104657</v>
      </c>
      <c r="F1488" s="83"/>
      <c r="G1488" s="83" t="s">
        <v>332</v>
      </c>
      <c r="H1488" s="83" t="s">
        <v>383</v>
      </c>
      <c r="I1488" s="83"/>
      <c r="J1488" s="83" t="s">
        <v>279</v>
      </c>
      <c r="K1488" s="83">
        <v>1</v>
      </c>
      <c r="L1488" s="83" t="s">
        <v>153</v>
      </c>
      <c r="M1488" s="83">
        <f>ROUNDDOWN(VLOOKUP(J1488,Sheet1!$N$32:$O$37,2,0)*1000,0)</f>
        <v>60</v>
      </c>
      <c r="N1488" s="83"/>
      <c r="O1488" s="83">
        <f t="shared" si="136"/>
        <v>0.000659145088819801</v>
      </c>
      <c r="P1488" s="83">
        <v>11027</v>
      </c>
    </row>
    <row r="1489" s="66" customFormat="1" spans="1:16">
      <c r="A1489" s="70">
        <v>1487</v>
      </c>
      <c r="B1489" s="83">
        <v>11300</v>
      </c>
      <c r="C1489" s="83">
        <v>6</v>
      </c>
      <c r="D1489" s="83">
        <f t="shared" si="138"/>
        <v>104657</v>
      </c>
      <c r="E1489" s="83">
        <f t="shared" si="137"/>
        <v>104717</v>
      </c>
      <c r="F1489" s="83"/>
      <c r="G1489" s="83" t="s">
        <v>334</v>
      </c>
      <c r="H1489" s="83" t="s">
        <v>384</v>
      </c>
      <c r="I1489" s="83"/>
      <c r="J1489" s="83" t="s">
        <v>279</v>
      </c>
      <c r="K1489" s="83">
        <v>1</v>
      </c>
      <c r="L1489" s="83" t="s">
        <v>153</v>
      </c>
      <c r="M1489" s="83">
        <f>ROUNDDOWN(VLOOKUP(J1489,Sheet1!$N$32:$O$37,2,0)*1000,0)</f>
        <v>60</v>
      </c>
      <c r="N1489" s="83"/>
      <c r="O1489" s="83">
        <f t="shared" si="136"/>
        <v>0.000659145088819801</v>
      </c>
      <c r="P1489" s="83">
        <v>11028</v>
      </c>
    </row>
    <row r="1490" s="66" customFormat="1" spans="1:16">
      <c r="A1490" s="70">
        <v>1488</v>
      </c>
      <c r="B1490" s="83">
        <v>11300</v>
      </c>
      <c r="C1490" s="83">
        <v>6</v>
      </c>
      <c r="D1490" s="83">
        <f t="shared" si="138"/>
        <v>104717</v>
      </c>
      <c r="E1490" s="83">
        <f t="shared" si="137"/>
        <v>104777</v>
      </c>
      <c r="F1490" s="83"/>
      <c r="G1490" s="83" t="s">
        <v>336</v>
      </c>
      <c r="H1490" s="83" t="s">
        <v>385</v>
      </c>
      <c r="I1490" s="83"/>
      <c r="J1490" s="83" t="s">
        <v>279</v>
      </c>
      <c r="K1490" s="83">
        <v>1</v>
      </c>
      <c r="L1490" s="83" t="s">
        <v>153</v>
      </c>
      <c r="M1490" s="83">
        <f>ROUNDDOWN(VLOOKUP(J1490,Sheet1!$N$32:$O$37,2,0)*1000,0)</f>
        <v>60</v>
      </c>
      <c r="N1490" s="83"/>
      <c r="O1490" s="83">
        <f t="shared" si="136"/>
        <v>0.000659145088819801</v>
      </c>
      <c r="P1490" s="83">
        <v>11029</v>
      </c>
    </row>
    <row r="1491" s="66" customFormat="1" spans="1:16">
      <c r="A1491" s="70">
        <v>1489</v>
      </c>
      <c r="B1491" s="83">
        <v>11300</v>
      </c>
      <c r="C1491" s="83">
        <v>6</v>
      </c>
      <c r="D1491" s="83">
        <f t="shared" si="138"/>
        <v>104777</v>
      </c>
      <c r="E1491" s="83">
        <f t="shared" si="137"/>
        <v>104837</v>
      </c>
      <c r="F1491" s="83"/>
      <c r="G1491" s="83" t="s">
        <v>338</v>
      </c>
      <c r="H1491" s="83" t="s">
        <v>386</v>
      </c>
      <c r="I1491" s="83"/>
      <c r="J1491" s="83" t="s">
        <v>279</v>
      </c>
      <c r="K1491" s="83">
        <v>1</v>
      </c>
      <c r="L1491" s="83" t="s">
        <v>153</v>
      </c>
      <c r="M1491" s="83">
        <f>ROUNDDOWN(VLOOKUP(J1491,Sheet1!$N$32:$O$37,2,0)*1000,0)</f>
        <v>60</v>
      </c>
      <c r="N1491" s="83"/>
      <c r="O1491" s="83">
        <f t="shared" si="136"/>
        <v>0.000659145088819801</v>
      </c>
      <c r="P1491" s="83">
        <v>11030</v>
      </c>
    </row>
    <row r="1492" s="66" customFormat="1" spans="1:16">
      <c r="A1492" s="70">
        <v>1490</v>
      </c>
      <c r="B1492" s="83">
        <v>11300</v>
      </c>
      <c r="C1492" s="83">
        <v>6</v>
      </c>
      <c r="D1492" s="83">
        <f t="shared" si="138"/>
        <v>104837</v>
      </c>
      <c r="E1492" s="83">
        <f t="shared" si="137"/>
        <v>104897</v>
      </c>
      <c r="F1492" s="83"/>
      <c r="G1492" s="83" t="s">
        <v>340</v>
      </c>
      <c r="H1492" s="83" t="s">
        <v>387</v>
      </c>
      <c r="I1492" s="83"/>
      <c r="J1492" s="83" t="s">
        <v>279</v>
      </c>
      <c r="K1492" s="83">
        <v>1</v>
      </c>
      <c r="L1492" s="83" t="s">
        <v>153</v>
      </c>
      <c r="M1492" s="83">
        <f>ROUNDDOWN(VLOOKUP(J1492,Sheet1!$N$32:$O$37,2,0)*1000,0)</f>
        <v>60</v>
      </c>
      <c r="N1492" s="83"/>
      <c r="O1492" s="83">
        <f t="shared" si="136"/>
        <v>0.000659145088819801</v>
      </c>
      <c r="P1492" s="83">
        <v>11031</v>
      </c>
    </row>
    <row r="1493" s="66" customFormat="1" spans="1:16">
      <c r="A1493" s="70">
        <v>1491</v>
      </c>
      <c r="B1493" s="83">
        <v>11300</v>
      </c>
      <c r="C1493" s="83">
        <v>6</v>
      </c>
      <c r="D1493" s="83">
        <f t="shared" si="138"/>
        <v>104897</v>
      </c>
      <c r="E1493" s="83">
        <f t="shared" si="137"/>
        <v>104957</v>
      </c>
      <c r="F1493" s="83"/>
      <c r="G1493" s="83" t="s">
        <v>342</v>
      </c>
      <c r="H1493" s="83" t="s">
        <v>388</v>
      </c>
      <c r="I1493" s="83"/>
      <c r="J1493" s="83" t="s">
        <v>279</v>
      </c>
      <c r="K1493" s="83">
        <v>1</v>
      </c>
      <c r="L1493" s="83" t="s">
        <v>153</v>
      </c>
      <c r="M1493" s="83">
        <f>ROUNDDOWN(VLOOKUP(J1493,Sheet1!$N$32:$O$37,2,0)*1000,0)</f>
        <v>60</v>
      </c>
      <c r="N1493" s="83"/>
      <c r="O1493" s="83">
        <f t="shared" si="136"/>
        <v>0.000659145088819801</v>
      </c>
      <c r="P1493" s="83">
        <v>11032</v>
      </c>
    </row>
    <row r="1494" s="66" customFormat="1" spans="1:16">
      <c r="A1494" s="70">
        <v>1492</v>
      </c>
      <c r="B1494" s="83">
        <v>11300</v>
      </c>
      <c r="C1494" s="83">
        <v>6</v>
      </c>
      <c r="D1494" s="83">
        <f t="shared" si="138"/>
        <v>104957</v>
      </c>
      <c r="E1494" s="83">
        <f t="shared" si="137"/>
        <v>105017</v>
      </c>
      <c r="F1494" s="83"/>
      <c r="G1494" s="83" t="s">
        <v>344</v>
      </c>
      <c r="H1494" s="83" t="s">
        <v>389</v>
      </c>
      <c r="I1494" s="83"/>
      <c r="J1494" s="83" t="s">
        <v>279</v>
      </c>
      <c r="K1494" s="83">
        <v>1</v>
      </c>
      <c r="L1494" s="83" t="s">
        <v>153</v>
      </c>
      <c r="M1494" s="83">
        <f>ROUNDDOWN(VLOOKUP(J1494,Sheet1!$N$32:$O$37,2,0)*1000,0)</f>
        <v>60</v>
      </c>
      <c r="N1494" s="83"/>
      <c r="O1494" s="83">
        <f t="shared" si="136"/>
        <v>0.000659145088819801</v>
      </c>
      <c r="P1494" s="83">
        <v>11033</v>
      </c>
    </row>
    <row r="1495" s="66" customFormat="1" spans="1:16">
      <c r="A1495" s="70">
        <v>1493</v>
      </c>
      <c r="B1495" s="83">
        <v>11300</v>
      </c>
      <c r="C1495" s="83">
        <v>6</v>
      </c>
      <c r="D1495" s="83">
        <f t="shared" si="138"/>
        <v>105017</v>
      </c>
      <c r="E1495" s="83">
        <f t="shared" si="137"/>
        <v>105077</v>
      </c>
      <c r="F1495" s="83"/>
      <c r="G1495" s="83" t="s">
        <v>346</v>
      </c>
      <c r="H1495" s="83" t="s">
        <v>390</v>
      </c>
      <c r="I1495" s="83"/>
      <c r="J1495" s="83" t="s">
        <v>279</v>
      </c>
      <c r="K1495" s="83">
        <v>1</v>
      </c>
      <c r="L1495" s="83" t="s">
        <v>153</v>
      </c>
      <c r="M1495" s="83">
        <f>ROUNDDOWN(VLOOKUP(J1495,Sheet1!$N$32:$O$37,2,0)*1000,0)</f>
        <v>60</v>
      </c>
      <c r="N1495" s="83"/>
      <c r="O1495" s="83">
        <f t="shared" si="136"/>
        <v>0.000659145088819801</v>
      </c>
      <c r="P1495" s="83">
        <v>11034</v>
      </c>
    </row>
    <row r="1496" s="66" customFormat="1" spans="1:16">
      <c r="A1496" s="70">
        <v>1494</v>
      </c>
      <c r="B1496" s="83">
        <v>11300</v>
      </c>
      <c r="C1496" s="83">
        <v>6</v>
      </c>
      <c r="D1496" s="83">
        <f t="shared" si="138"/>
        <v>105077</v>
      </c>
      <c r="E1496" s="83">
        <f t="shared" si="137"/>
        <v>105137</v>
      </c>
      <c r="F1496" s="83"/>
      <c r="G1496" s="83" t="s">
        <v>348</v>
      </c>
      <c r="H1496" s="83" t="s">
        <v>391</v>
      </c>
      <c r="I1496" s="83"/>
      <c r="J1496" s="83" t="s">
        <v>279</v>
      </c>
      <c r="K1496" s="83">
        <v>1</v>
      </c>
      <c r="L1496" s="83" t="s">
        <v>153</v>
      </c>
      <c r="M1496" s="83">
        <f>ROUNDDOWN(VLOOKUP(J1496,Sheet1!$N$32:$O$37,2,0)*1000,0)</f>
        <v>60</v>
      </c>
      <c r="N1496" s="83"/>
      <c r="O1496" s="83">
        <f t="shared" si="136"/>
        <v>0.000659145088819801</v>
      </c>
      <c r="P1496" s="83">
        <v>11035</v>
      </c>
    </row>
    <row r="1497" s="66" customFormat="1" spans="1:16">
      <c r="A1497" s="70">
        <v>1495</v>
      </c>
      <c r="B1497" s="83">
        <v>11300</v>
      </c>
      <c r="C1497" s="83">
        <v>6</v>
      </c>
      <c r="D1497" s="83">
        <f t="shared" si="138"/>
        <v>105137</v>
      </c>
      <c r="E1497" s="83">
        <f t="shared" si="137"/>
        <v>105197</v>
      </c>
      <c r="F1497" s="83"/>
      <c r="G1497" s="83" t="s">
        <v>350</v>
      </c>
      <c r="H1497" s="83" t="s">
        <v>392</v>
      </c>
      <c r="I1497" s="83"/>
      <c r="J1497" s="83" t="s">
        <v>279</v>
      </c>
      <c r="K1497" s="83">
        <v>1</v>
      </c>
      <c r="L1497" s="83" t="s">
        <v>153</v>
      </c>
      <c r="M1497" s="83">
        <f>ROUNDDOWN(VLOOKUP(J1497,Sheet1!$N$32:$O$37,2,0)*1000,0)</f>
        <v>60</v>
      </c>
      <c r="N1497" s="83"/>
      <c r="O1497" s="83">
        <f t="shared" si="136"/>
        <v>0.000659145088819801</v>
      </c>
      <c r="P1497" s="83">
        <v>11036</v>
      </c>
    </row>
    <row r="1498" s="66" customFormat="1" spans="1:16">
      <c r="A1498" s="70">
        <v>1496</v>
      </c>
      <c r="B1498" s="83">
        <v>11300</v>
      </c>
      <c r="C1498" s="83">
        <v>6</v>
      </c>
      <c r="D1498" s="83">
        <f t="shared" si="138"/>
        <v>105197</v>
      </c>
      <c r="E1498" s="83">
        <f t="shared" si="137"/>
        <v>105257</v>
      </c>
      <c r="F1498" s="83"/>
      <c r="G1498" s="83" t="s">
        <v>352</v>
      </c>
      <c r="H1498" s="83" t="s">
        <v>393</v>
      </c>
      <c r="I1498" s="83"/>
      <c r="J1498" s="83" t="s">
        <v>279</v>
      </c>
      <c r="K1498" s="83">
        <v>1</v>
      </c>
      <c r="L1498" s="83" t="s">
        <v>153</v>
      </c>
      <c r="M1498" s="83">
        <f>ROUNDDOWN(VLOOKUP(J1498,Sheet1!$N$32:$O$37,2,0)*1000,0)</f>
        <v>60</v>
      </c>
      <c r="N1498" s="83"/>
      <c r="O1498" s="83">
        <f t="shared" si="136"/>
        <v>0.000659145088819801</v>
      </c>
      <c r="P1498" s="83">
        <v>11037</v>
      </c>
    </row>
    <row r="1499" s="66" customFormat="1" spans="1:16">
      <c r="A1499" s="70">
        <v>1497</v>
      </c>
      <c r="B1499" s="83">
        <v>11300</v>
      </c>
      <c r="C1499" s="83">
        <v>6</v>
      </c>
      <c r="D1499" s="83">
        <f t="shared" si="138"/>
        <v>105257</v>
      </c>
      <c r="E1499" s="83">
        <f t="shared" si="137"/>
        <v>105317</v>
      </c>
      <c r="F1499" s="83"/>
      <c r="G1499" s="83" t="s">
        <v>354</v>
      </c>
      <c r="H1499" s="83" t="s">
        <v>394</v>
      </c>
      <c r="I1499" s="83"/>
      <c r="J1499" s="83" t="s">
        <v>279</v>
      </c>
      <c r="K1499" s="83">
        <v>1</v>
      </c>
      <c r="L1499" s="83" t="s">
        <v>153</v>
      </c>
      <c r="M1499" s="83">
        <f>ROUNDDOWN(VLOOKUP(J1499,Sheet1!$N$32:$O$37,2,0)*1000,0)</f>
        <v>60</v>
      </c>
      <c r="N1499" s="83"/>
      <c r="O1499" s="83">
        <f t="shared" si="136"/>
        <v>0.000659145088819801</v>
      </c>
      <c r="P1499" s="83">
        <v>11038</v>
      </c>
    </row>
    <row r="1500" s="66" customFormat="1" spans="1:16">
      <c r="A1500" s="70">
        <v>1498</v>
      </c>
      <c r="B1500" s="83">
        <v>11300</v>
      </c>
      <c r="C1500" s="83">
        <v>6</v>
      </c>
      <c r="D1500" s="83">
        <f t="shared" si="138"/>
        <v>105317</v>
      </c>
      <c r="E1500" s="83">
        <f t="shared" si="137"/>
        <v>105377</v>
      </c>
      <c r="F1500" s="83"/>
      <c r="G1500" s="83" t="s">
        <v>346</v>
      </c>
      <c r="H1500" s="83" t="s">
        <v>395</v>
      </c>
      <c r="I1500" s="83"/>
      <c r="J1500" s="83" t="s">
        <v>279</v>
      </c>
      <c r="K1500" s="83">
        <v>1</v>
      </c>
      <c r="L1500" s="83" t="s">
        <v>153</v>
      </c>
      <c r="M1500" s="83">
        <f>ROUNDDOWN(VLOOKUP(J1500,Sheet1!$N$32:$O$37,2,0)*1000,0)</f>
        <v>60</v>
      </c>
      <c r="N1500" s="83"/>
      <c r="O1500" s="83">
        <f t="shared" si="136"/>
        <v>0.000659145088819801</v>
      </c>
      <c r="P1500" s="83">
        <v>11034</v>
      </c>
    </row>
    <row r="1501" s="66" customFormat="1" spans="1:16">
      <c r="A1501" s="70">
        <v>1499</v>
      </c>
      <c r="B1501" s="83">
        <v>11300</v>
      </c>
      <c r="C1501" s="83">
        <v>6</v>
      </c>
      <c r="D1501" s="83">
        <f t="shared" si="138"/>
        <v>105377</v>
      </c>
      <c r="E1501" s="83">
        <f t="shared" si="137"/>
        <v>105437</v>
      </c>
      <c r="F1501" s="83"/>
      <c r="G1501" s="83" t="s">
        <v>348</v>
      </c>
      <c r="H1501" s="83" t="s">
        <v>396</v>
      </c>
      <c r="I1501" s="83"/>
      <c r="J1501" s="83" t="s">
        <v>279</v>
      </c>
      <c r="K1501" s="83">
        <v>1</v>
      </c>
      <c r="L1501" s="83" t="s">
        <v>153</v>
      </c>
      <c r="M1501" s="83">
        <f>ROUNDDOWN(VLOOKUP(J1501,Sheet1!$N$32:$O$37,2,0)*1000,0)</f>
        <v>60</v>
      </c>
      <c r="N1501" s="83"/>
      <c r="O1501" s="83">
        <f t="shared" si="136"/>
        <v>0.000659145088819801</v>
      </c>
      <c r="P1501" s="83">
        <v>11035</v>
      </c>
    </row>
    <row r="1502" s="66" customFormat="1" spans="1:16">
      <c r="A1502" s="70">
        <v>1500</v>
      </c>
      <c r="B1502" s="83">
        <v>11300</v>
      </c>
      <c r="C1502" s="83">
        <v>6</v>
      </c>
      <c r="D1502" s="83">
        <f t="shared" si="138"/>
        <v>105437</v>
      </c>
      <c r="E1502" s="83">
        <f t="shared" si="137"/>
        <v>105497</v>
      </c>
      <c r="F1502" s="83"/>
      <c r="G1502" s="83" t="s">
        <v>350</v>
      </c>
      <c r="H1502" s="83" t="s">
        <v>397</v>
      </c>
      <c r="I1502" s="83"/>
      <c r="J1502" s="83" t="s">
        <v>279</v>
      </c>
      <c r="K1502" s="83">
        <v>1</v>
      </c>
      <c r="L1502" s="83" t="s">
        <v>153</v>
      </c>
      <c r="M1502" s="83">
        <f>ROUNDDOWN(VLOOKUP(J1502,Sheet1!$N$32:$O$37,2,0)*1000,0)</f>
        <v>60</v>
      </c>
      <c r="N1502" s="83"/>
      <c r="O1502" s="83">
        <f t="shared" si="136"/>
        <v>0.000659145088819801</v>
      </c>
      <c r="P1502" s="83">
        <v>11036</v>
      </c>
    </row>
    <row r="1503" s="66" customFormat="1" spans="1:16">
      <c r="A1503" s="70">
        <v>1501</v>
      </c>
      <c r="B1503" s="83">
        <v>11300</v>
      </c>
      <c r="C1503" s="83">
        <v>6</v>
      </c>
      <c r="D1503" s="83">
        <f t="shared" si="138"/>
        <v>105497</v>
      </c>
      <c r="E1503" s="83">
        <f t="shared" si="137"/>
        <v>105557</v>
      </c>
      <c r="F1503" s="83"/>
      <c r="G1503" s="83" t="s">
        <v>352</v>
      </c>
      <c r="H1503" s="83" t="s">
        <v>398</v>
      </c>
      <c r="I1503" s="83"/>
      <c r="J1503" s="83" t="s">
        <v>279</v>
      </c>
      <c r="K1503" s="83">
        <v>1</v>
      </c>
      <c r="L1503" s="83" t="s">
        <v>153</v>
      </c>
      <c r="M1503" s="83">
        <f>ROUNDDOWN(VLOOKUP(J1503,Sheet1!$N$32:$O$37,2,0)*1000,0)</f>
        <v>60</v>
      </c>
      <c r="N1503" s="83"/>
      <c r="O1503" s="83">
        <f t="shared" si="136"/>
        <v>0.000659145088819801</v>
      </c>
      <c r="P1503" s="83">
        <v>11037</v>
      </c>
    </row>
    <row r="1504" s="66" customFormat="1" spans="1:16">
      <c r="A1504" s="70">
        <v>1502</v>
      </c>
      <c r="B1504" s="83">
        <v>11300</v>
      </c>
      <c r="C1504" s="83">
        <v>6</v>
      </c>
      <c r="D1504" s="83">
        <f t="shared" si="138"/>
        <v>105557</v>
      </c>
      <c r="E1504" s="83">
        <f t="shared" si="137"/>
        <v>105617</v>
      </c>
      <c r="F1504" s="83"/>
      <c r="G1504" s="83" t="s">
        <v>354</v>
      </c>
      <c r="H1504" s="83" t="s">
        <v>399</v>
      </c>
      <c r="I1504" s="83"/>
      <c r="J1504" s="83" t="s">
        <v>279</v>
      </c>
      <c r="K1504" s="83">
        <v>1</v>
      </c>
      <c r="L1504" s="83" t="s">
        <v>153</v>
      </c>
      <c r="M1504" s="83">
        <f>ROUNDDOWN(VLOOKUP(J1504,Sheet1!$N$32:$O$37,2,0)*1000,0)</f>
        <v>60</v>
      </c>
      <c r="N1504" s="83"/>
      <c r="O1504" s="83">
        <f t="shared" si="136"/>
        <v>0.000659145088819801</v>
      </c>
      <c r="P1504" s="83">
        <v>11038</v>
      </c>
    </row>
    <row r="1505" spans="1:16">
      <c r="A1505" s="77">
        <v>1503</v>
      </c>
      <c r="B1505" s="83">
        <v>11300</v>
      </c>
      <c r="C1505" s="83">
        <v>3</v>
      </c>
      <c r="D1505" s="83">
        <v>924</v>
      </c>
      <c r="E1505" s="83">
        <v>925</v>
      </c>
      <c r="F1505" s="83"/>
      <c r="G1505" s="83">
        <v>909131</v>
      </c>
      <c r="H1505" s="83" t="s">
        <v>431</v>
      </c>
      <c r="I1505" s="83"/>
      <c r="J1505" s="83" t="s">
        <v>266</v>
      </c>
      <c r="K1505" s="83">
        <v>1</v>
      </c>
      <c r="L1505" s="83" t="s">
        <v>153</v>
      </c>
      <c r="M1505" s="83">
        <v>128</v>
      </c>
      <c r="N1505" s="83"/>
      <c r="O1505" s="83">
        <f t="shared" si="136"/>
        <v>1.098575148033e-5</v>
      </c>
      <c r="P1505" s="83">
        <v>11038</v>
      </c>
    </row>
    <row r="1506" spans="1:16">
      <c r="A1506" s="71">
        <v>1504</v>
      </c>
      <c r="B1506" s="83">
        <v>11400</v>
      </c>
      <c r="C1506" s="83">
        <v>6</v>
      </c>
      <c r="D1506" s="83">
        <v>0</v>
      </c>
      <c r="E1506" s="83">
        <f>M1506</f>
        <v>150</v>
      </c>
      <c r="F1506" s="83"/>
      <c r="G1506" s="83">
        <v>95101018</v>
      </c>
      <c r="H1506" s="83" t="s">
        <v>198</v>
      </c>
      <c r="I1506" s="83" t="s">
        <v>199</v>
      </c>
      <c r="J1506" s="83" t="s">
        <v>200</v>
      </c>
      <c r="K1506" s="83">
        <v>1</v>
      </c>
      <c r="L1506" s="83" t="s">
        <v>174</v>
      </c>
      <c r="M1506" s="83">
        <f>ROUNDDOWN(VLOOKUP(J1506,Sheet1!$N$32:$O$37,2,0)*1000,0)-100</f>
        <v>150</v>
      </c>
      <c r="N1506" s="83"/>
      <c r="O1506" s="83">
        <f>(E1506-D1506)/$E$1606</f>
        <v>0.00168734602967479</v>
      </c>
      <c r="P1506" s="83">
        <v>11600</v>
      </c>
    </row>
    <row r="1507" spans="1:16">
      <c r="A1507" s="71">
        <v>1505</v>
      </c>
      <c r="B1507" s="83">
        <v>11400</v>
      </c>
      <c r="C1507" s="83">
        <v>6</v>
      </c>
      <c r="D1507" s="83">
        <f>E1506</f>
        <v>150</v>
      </c>
      <c r="E1507" s="83">
        <f t="shared" ref="E1507:E1538" si="139">D1507+M1507</f>
        <v>300</v>
      </c>
      <c r="F1507" s="83"/>
      <c r="G1507" s="83">
        <v>95101028</v>
      </c>
      <c r="H1507" s="83" t="s">
        <v>201</v>
      </c>
      <c r="I1507" s="83" t="s">
        <v>199</v>
      </c>
      <c r="J1507" s="83" t="s">
        <v>200</v>
      </c>
      <c r="K1507" s="83">
        <v>1</v>
      </c>
      <c r="L1507" s="83" t="s">
        <v>174</v>
      </c>
      <c r="M1507" s="83">
        <f>ROUNDDOWN(VLOOKUP(J1507,Sheet1!$N$32:$O$37,2,0)*1000,0)-100</f>
        <v>150</v>
      </c>
      <c r="N1507" s="83"/>
      <c r="O1507" s="83"/>
      <c r="P1507" s="83"/>
    </row>
    <row r="1508" spans="1:16">
      <c r="A1508" s="71">
        <v>1506</v>
      </c>
      <c r="B1508" s="83">
        <v>11400</v>
      </c>
      <c r="C1508" s="83">
        <v>6</v>
      </c>
      <c r="D1508" s="83">
        <f t="shared" ref="D1508:D1535" si="140">E1507</f>
        <v>300</v>
      </c>
      <c r="E1508" s="83">
        <f t="shared" si="139"/>
        <v>450</v>
      </c>
      <c r="F1508" s="83"/>
      <c r="G1508" s="83">
        <v>95102018</v>
      </c>
      <c r="H1508" s="83" t="s">
        <v>202</v>
      </c>
      <c r="I1508" s="83" t="s">
        <v>199</v>
      </c>
      <c r="J1508" s="83" t="s">
        <v>200</v>
      </c>
      <c r="K1508" s="83">
        <v>1</v>
      </c>
      <c r="L1508" s="83" t="s">
        <v>174</v>
      </c>
      <c r="M1508" s="83">
        <f>ROUNDDOWN(VLOOKUP(J1508,Sheet1!$N$32:$O$37,2,0)*1000,0)-100</f>
        <v>150</v>
      </c>
      <c r="N1508" s="83"/>
      <c r="O1508" s="83"/>
      <c r="P1508" s="83"/>
    </row>
    <row r="1509" spans="1:16">
      <c r="A1509" s="71">
        <v>1507</v>
      </c>
      <c r="B1509" s="83">
        <v>11400</v>
      </c>
      <c r="C1509" s="83">
        <v>6</v>
      </c>
      <c r="D1509" s="83">
        <f t="shared" si="140"/>
        <v>450</v>
      </c>
      <c r="E1509" s="83">
        <f t="shared" si="139"/>
        <v>600</v>
      </c>
      <c r="F1509" s="83"/>
      <c r="G1509" s="83">
        <v>95102028</v>
      </c>
      <c r="H1509" s="83" t="s">
        <v>203</v>
      </c>
      <c r="I1509" s="83" t="s">
        <v>199</v>
      </c>
      <c r="J1509" s="83" t="s">
        <v>200</v>
      </c>
      <c r="K1509" s="83">
        <v>1</v>
      </c>
      <c r="L1509" s="83" t="s">
        <v>174</v>
      </c>
      <c r="M1509" s="83">
        <f>ROUNDDOWN(VLOOKUP(J1509,Sheet1!$N$32:$O$37,2,0)*1000,0)-100</f>
        <v>150</v>
      </c>
      <c r="N1509" s="83"/>
      <c r="O1509" s="83">
        <f t="shared" ref="O1509:O1521" si="141">(E1509-D1509)/$E$1606</f>
        <v>0.00168734602967479</v>
      </c>
      <c r="P1509" s="83">
        <v>11600</v>
      </c>
    </row>
    <row r="1510" spans="1:16">
      <c r="A1510" s="71">
        <v>1508</v>
      </c>
      <c r="B1510" s="83">
        <v>11400</v>
      </c>
      <c r="C1510" s="83">
        <v>6</v>
      </c>
      <c r="D1510" s="83">
        <f t="shared" si="140"/>
        <v>600</v>
      </c>
      <c r="E1510" s="83">
        <f t="shared" si="139"/>
        <v>750</v>
      </c>
      <c r="F1510" s="83"/>
      <c r="G1510" s="83">
        <v>95103018</v>
      </c>
      <c r="H1510" s="83" t="s">
        <v>204</v>
      </c>
      <c r="I1510" s="83" t="s">
        <v>199</v>
      </c>
      <c r="J1510" s="83" t="s">
        <v>200</v>
      </c>
      <c r="K1510" s="83">
        <v>1</v>
      </c>
      <c r="L1510" s="83" t="s">
        <v>174</v>
      </c>
      <c r="M1510" s="83">
        <f>ROUNDDOWN(VLOOKUP(J1510,Sheet1!$N$32:$O$37,2,0)*1000,0)-100</f>
        <v>150</v>
      </c>
      <c r="N1510" s="83"/>
      <c r="O1510" s="83">
        <f t="shared" si="141"/>
        <v>0.00168734602967479</v>
      </c>
      <c r="P1510" s="83">
        <v>11600</v>
      </c>
    </row>
    <row r="1511" spans="1:16">
      <c r="A1511" s="71">
        <v>1509</v>
      </c>
      <c r="B1511" s="83">
        <v>11400</v>
      </c>
      <c r="C1511" s="83">
        <v>6</v>
      </c>
      <c r="D1511" s="83">
        <f t="shared" si="140"/>
        <v>750</v>
      </c>
      <c r="E1511" s="83">
        <f t="shared" si="139"/>
        <v>900</v>
      </c>
      <c r="F1511" s="83"/>
      <c r="G1511" s="83">
        <v>95104018</v>
      </c>
      <c r="H1511" s="83" t="s">
        <v>205</v>
      </c>
      <c r="I1511" s="83" t="s">
        <v>199</v>
      </c>
      <c r="J1511" s="83" t="s">
        <v>200</v>
      </c>
      <c r="K1511" s="83">
        <v>1</v>
      </c>
      <c r="L1511" s="83" t="s">
        <v>174</v>
      </c>
      <c r="M1511" s="83">
        <f>ROUNDDOWN(VLOOKUP(J1511,Sheet1!$N$32:$O$37,2,0)*1000,0)-100</f>
        <v>150</v>
      </c>
      <c r="N1511" s="83"/>
      <c r="O1511" s="83">
        <f t="shared" si="141"/>
        <v>0.00168734602967479</v>
      </c>
      <c r="P1511" s="83">
        <v>11600</v>
      </c>
    </row>
    <row r="1512" spans="1:16">
      <c r="A1512" s="71">
        <v>1510</v>
      </c>
      <c r="B1512" s="83">
        <v>11400</v>
      </c>
      <c r="C1512" s="83">
        <v>6</v>
      </c>
      <c r="D1512" s="83">
        <f t="shared" si="140"/>
        <v>900</v>
      </c>
      <c r="E1512" s="83">
        <f t="shared" si="139"/>
        <v>1050</v>
      </c>
      <c r="F1512" s="83"/>
      <c r="G1512" s="83">
        <v>95104028</v>
      </c>
      <c r="H1512" s="83" t="s">
        <v>206</v>
      </c>
      <c r="I1512" s="83" t="s">
        <v>199</v>
      </c>
      <c r="J1512" s="83" t="s">
        <v>200</v>
      </c>
      <c r="K1512" s="83">
        <v>1</v>
      </c>
      <c r="L1512" s="83" t="s">
        <v>174</v>
      </c>
      <c r="M1512" s="83">
        <f>ROUNDDOWN(VLOOKUP(J1512,Sheet1!$N$32:$O$37,2,0)*1000,0)-100</f>
        <v>150</v>
      </c>
      <c r="N1512" s="83"/>
      <c r="O1512" s="83">
        <f t="shared" si="141"/>
        <v>0.00168734602967479</v>
      </c>
      <c r="P1512" s="83">
        <v>11600</v>
      </c>
    </row>
    <row r="1513" spans="1:16">
      <c r="A1513" s="71">
        <v>1511</v>
      </c>
      <c r="B1513" s="83">
        <v>11400</v>
      </c>
      <c r="C1513" s="83">
        <v>6</v>
      </c>
      <c r="D1513" s="83">
        <f t="shared" si="140"/>
        <v>1050</v>
      </c>
      <c r="E1513" s="83">
        <f t="shared" si="139"/>
        <v>1200</v>
      </c>
      <c r="F1513" s="83"/>
      <c r="G1513" s="83">
        <v>95104038</v>
      </c>
      <c r="H1513" s="83" t="s">
        <v>207</v>
      </c>
      <c r="I1513" s="83" t="s">
        <v>199</v>
      </c>
      <c r="J1513" s="83" t="s">
        <v>200</v>
      </c>
      <c r="K1513" s="83">
        <v>1</v>
      </c>
      <c r="L1513" s="83" t="s">
        <v>174</v>
      </c>
      <c r="M1513" s="83">
        <f>ROUNDDOWN(VLOOKUP(J1513,Sheet1!$N$32:$O$37,2,0)*1000,0)-100</f>
        <v>150</v>
      </c>
      <c r="N1513" s="83"/>
      <c r="O1513" s="83">
        <f t="shared" si="141"/>
        <v>0.00168734602967479</v>
      </c>
      <c r="P1513" s="83">
        <v>11600</v>
      </c>
    </row>
    <row r="1514" spans="1:16">
      <c r="A1514" s="71">
        <v>1512</v>
      </c>
      <c r="B1514" s="83">
        <v>11400</v>
      </c>
      <c r="C1514" s="83">
        <v>6</v>
      </c>
      <c r="D1514" s="83">
        <f t="shared" si="140"/>
        <v>1200</v>
      </c>
      <c r="E1514" s="83">
        <f t="shared" si="139"/>
        <v>1350</v>
      </c>
      <c r="F1514" s="83"/>
      <c r="G1514" s="83">
        <v>95106018</v>
      </c>
      <c r="H1514" s="83" t="s">
        <v>208</v>
      </c>
      <c r="I1514" s="83" t="s">
        <v>199</v>
      </c>
      <c r="J1514" s="83" t="s">
        <v>200</v>
      </c>
      <c r="K1514" s="83">
        <v>1</v>
      </c>
      <c r="L1514" s="83" t="s">
        <v>174</v>
      </c>
      <c r="M1514" s="83">
        <f>ROUNDDOWN(VLOOKUP(J1514,Sheet1!$N$32:$O$37,2,0)*1000,0)-100</f>
        <v>150</v>
      </c>
      <c r="N1514" s="83"/>
      <c r="O1514" s="83">
        <f t="shared" si="141"/>
        <v>0.00168734602967479</v>
      </c>
      <c r="P1514" s="83">
        <v>11600</v>
      </c>
    </row>
    <row r="1515" spans="1:16">
      <c r="A1515" s="71">
        <v>1513</v>
      </c>
      <c r="B1515" s="83">
        <v>11400</v>
      </c>
      <c r="C1515" s="83">
        <v>6</v>
      </c>
      <c r="D1515" s="83">
        <f t="shared" si="140"/>
        <v>1350</v>
      </c>
      <c r="E1515" s="83">
        <f t="shared" si="139"/>
        <v>1500</v>
      </c>
      <c r="F1515" s="83"/>
      <c r="G1515" s="83">
        <v>95109018</v>
      </c>
      <c r="H1515" s="83" t="s">
        <v>209</v>
      </c>
      <c r="I1515" s="83" t="s">
        <v>199</v>
      </c>
      <c r="J1515" s="83" t="s">
        <v>200</v>
      </c>
      <c r="K1515" s="83">
        <v>1</v>
      </c>
      <c r="L1515" s="83" t="s">
        <v>174</v>
      </c>
      <c r="M1515" s="83">
        <f>ROUNDDOWN(VLOOKUP(J1515,Sheet1!$N$32:$O$37,2,0)*1000,0)-100</f>
        <v>150</v>
      </c>
      <c r="N1515" s="83"/>
      <c r="O1515" s="83">
        <f t="shared" si="141"/>
        <v>0.00168734602967479</v>
      </c>
      <c r="P1515" s="83">
        <v>11600</v>
      </c>
    </row>
    <row r="1516" spans="1:16">
      <c r="A1516" s="71">
        <v>1514</v>
      </c>
      <c r="B1516" s="83">
        <v>11400</v>
      </c>
      <c r="C1516" s="83">
        <v>6</v>
      </c>
      <c r="D1516" s="83">
        <f t="shared" si="140"/>
        <v>1500</v>
      </c>
      <c r="E1516" s="83">
        <f t="shared" si="139"/>
        <v>1650</v>
      </c>
      <c r="F1516" s="83"/>
      <c r="G1516" s="83">
        <v>95110018</v>
      </c>
      <c r="H1516" s="83" t="s">
        <v>210</v>
      </c>
      <c r="I1516" s="83" t="s">
        <v>199</v>
      </c>
      <c r="J1516" s="83" t="s">
        <v>200</v>
      </c>
      <c r="K1516" s="83">
        <v>1</v>
      </c>
      <c r="L1516" s="83" t="s">
        <v>174</v>
      </c>
      <c r="M1516" s="83">
        <f>ROUNDDOWN(VLOOKUP(J1516,Sheet1!$N$32:$O$37,2,0)*1000,0)-100</f>
        <v>150</v>
      </c>
      <c r="N1516" s="83"/>
      <c r="O1516" s="83">
        <f t="shared" si="141"/>
        <v>0.00168734602967479</v>
      </c>
      <c r="P1516" s="83">
        <v>11600</v>
      </c>
    </row>
    <row r="1517" spans="1:16">
      <c r="A1517" s="71">
        <v>1515</v>
      </c>
      <c r="B1517" s="83">
        <v>11400</v>
      </c>
      <c r="C1517" s="83">
        <v>6</v>
      </c>
      <c r="D1517" s="83">
        <f t="shared" si="140"/>
        <v>1650</v>
      </c>
      <c r="E1517" s="83">
        <f t="shared" si="139"/>
        <v>1800</v>
      </c>
      <c r="F1517" s="83"/>
      <c r="G1517" s="83">
        <v>95111018</v>
      </c>
      <c r="H1517" s="83" t="s">
        <v>211</v>
      </c>
      <c r="I1517" s="83" t="s">
        <v>199</v>
      </c>
      <c r="J1517" s="83" t="s">
        <v>200</v>
      </c>
      <c r="K1517" s="83">
        <v>1</v>
      </c>
      <c r="L1517" s="83" t="s">
        <v>174</v>
      </c>
      <c r="M1517" s="83">
        <f>ROUNDDOWN(VLOOKUP(J1517,Sheet1!$N$32:$O$37,2,0)*1000,0)-100</f>
        <v>150</v>
      </c>
      <c r="N1517" s="83"/>
      <c r="O1517" s="83">
        <f t="shared" si="141"/>
        <v>0.00168734602967479</v>
      </c>
      <c r="P1517" s="83">
        <v>11600</v>
      </c>
    </row>
    <row r="1518" spans="1:16">
      <c r="A1518" s="71">
        <v>1516</v>
      </c>
      <c r="B1518" s="83">
        <v>11400</v>
      </c>
      <c r="C1518" s="83">
        <v>6</v>
      </c>
      <c r="D1518" s="83">
        <f t="shared" si="140"/>
        <v>1800</v>
      </c>
      <c r="E1518" s="83">
        <f t="shared" si="139"/>
        <v>1950</v>
      </c>
      <c r="F1518" s="83"/>
      <c r="G1518" s="83">
        <v>95120018</v>
      </c>
      <c r="H1518" s="83" t="s">
        <v>212</v>
      </c>
      <c r="I1518" s="83" t="s">
        <v>199</v>
      </c>
      <c r="J1518" s="83" t="s">
        <v>200</v>
      </c>
      <c r="K1518" s="83">
        <v>1</v>
      </c>
      <c r="L1518" s="83" t="s">
        <v>174</v>
      </c>
      <c r="M1518" s="83">
        <f>ROUNDDOWN(VLOOKUP(J1518,Sheet1!$N$32:$O$37,2,0)*1000,0)-100</f>
        <v>150</v>
      </c>
      <c r="N1518" s="83"/>
      <c r="O1518" s="83">
        <f t="shared" si="141"/>
        <v>0.00168734602967479</v>
      </c>
      <c r="P1518" s="83">
        <v>11600</v>
      </c>
    </row>
    <row r="1519" spans="1:16">
      <c r="A1519" s="71">
        <v>1517</v>
      </c>
      <c r="B1519" s="83">
        <v>11400</v>
      </c>
      <c r="C1519" s="83">
        <v>6</v>
      </c>
      <c r="D1519" s="83">
        <f t="shared" si="140"/>
        <v>1950</v>
      </c>
      <c r="E1519" s="83">
        <f t="shared" si="139"/>
        <v>2100</v>
      </c>
      <c r="F1519" s="83"/>
      <c r="G1519" s="83">
        <v>95140018</v>
      </c>
      <c r="H1519" s="83" t="s">
        <v>213</v>
      </c>
      <c r="I1519" s="83" t="s">
        <v>199</v>
      </c>
      <c r="J1519" s="83" t="s">
        <v>200</v>
      </c>
      <c r="K1519" s="83">
        <v>1</v>
      </c>
      <c r="L1519" s="83" t="s">
        <v>174</v>
      </c>
      <c r="M1519" s="83">
        <f>ROUNDDOWN(VLOOKUP(J1519,Sheet1!$N$32:$O$37,2,0)*1000,0)-100</f>
        <v>150</v>
      </c>
      <c r="N1519" s="83"/>
      <c r="O1519" s="83">
        <f t="shared" si="141"/>
        <v>0.00168734602967479</v>
      </c>
      <c r="P1519" s="83">
        <v>11600</v>
      </c>
    </row>
    <row r="1520" spans="1:16">
      <c r="A1520" s="71">
        <v>1518</v>
      </c>
      <c r="B1520" s="83">
        <v>11400</v>
      </c>
      <c r="C1520" s="83">
        <v>6</v>
      </c>
      <c r="D1520" s="83">
        <f t="shared" si="140"/>
        <v>2100</v>
      </c>
      <c r="E1520" s="83">
        <f t="shared" si="139"/>
        <v>2250</v>
      </c>
      <c r="F1520" s="83"/>
      <c r="G1520" s="83">
        <v>95105028</v>
      </c>
      <c r="H1520" s="83" t="s">
        <v>214</v>
      </c>
      <c r="I1520" s="83" t="s">
        <v>199</v>
      </c>
      <c r="J1520" s="83" t="s">
        <v>200</v>
      </c>
      <c r="K1520" s="83">
        <v>1</v>
      </c>
      <c r="L1520" s="83" t="s">
        <v>174</v>
      </c>
      <c r="M1520" s="83">
        <f>ROUNDDOWN(VLOOKUP(J1520,Sheet1!$N$32:$O$37,2,0)*1000,0)-100</f>
        <v>150</v>
      </c>
      <c r="N1520" s="83"/>
      <c r="O1520" s="83">
        <f t="shared" si="141"/>
        <v>0.00168734602967479</v>
      </c>
      <c r="P1520" s="83">
        <v>11600</v>
      </c>
    </row>
    <row r="1521" spans="1:16">
      <c r="A1521" s="71">
        <v>1519</v>
      </c>
      <c r="B1521" s="83">
        <v>11400</v>
      </c>
      <c r="C1521" s="83">
        <v>6</v>
      </c>
      <c r="D1521" s="83">
        <f t="shared" si="140"/>
        <v>2250</v>
      </c>
      <c r="E1521" s="83">
        <f t="shared" si="139"/>
        <v>2400</v>
      </c>
      <c r="F1521" s="83"/>
      <c r="G1521" s="83">
        <v>95109028</v>
      </c>
      <c r="H1521" s="83" t="s">
        <v>215</v>
      </c>
      <c r="I1521" s="83" t="s">
        <v>199</v>
      </c>
      <c r="J1521" s="83" t="s">
        <v>200</v>
      </c>
      <c r="K1521" s="83">
        <v>1</v>
      </c>
      <c r="L1521" s="83" t="s">
        <v>174</v>
      </c>
      <c r="M1521" s="83">
        <f>ROUNDDOWN(VLOOKUP(J1521,Sheet1!$N$32:$O$37,2,0)*1000,0)-100</f>
        <v>150</v>
      </c>
      <c r="N1521" s="83"/>
      <c r="O1521" s="83">
        <f t="shared" si="141"/>
        <v>0.00168734602967479</v>
      </c>
      <c r="P1521" s="83">
        <v>11600</v>
      </c>
    </row>
    <row r="1522" spans="1:16">
      <c r="A1522" s="71">
        <v>1520</v>
      </c>
      <c r="B1522" s="83">
        <v>11400</v>
      </c>
      <c r="C1522" s="83">
        <v>6</v>
      </c>
      <c r="D1522" s="83">
        <f t="shared" si="140"/>
        <v>2400</v>
      </c>
      <c r="E1522" s="83">
        <f t="shared" si="139"/>
        <v>2550</v>
      </c>
      <c r="F1522" s="83"/>
      <c r="G1522" s="83">
        <v>95110028</v>
      </c>
      <c r="H1522" s="83" t="s">
        <v>216</v>
      </c>
      <c r="I1522" s="83" t="s">
        <v>199</v>
      </c>
      <c r="J1522" s="83" t="s">
        <v>200</v>
      </c>
      <c r="K1522" s="83">
        <v>1</v>
      </c>
      <c r="L1522" s="83" t="s">
        <v>174</v>
      </c>
      <c r="M1522" s="83">
        <f>ROUNDDOWN(VLOOKUP(J1522,Sheet1!$N$32:$O$37,2,0)*1000,0)-100</f>
        <v>150</v>
      </c>
      <c r="N1522" s="83"/>
      <c r="O1522" s="83"/>
      <c r="P1522" s="83"/>
    </row>
    <row r="1523" spans="1:16">
      <c r="A1523" s="71">
        <v>1521</v>
      </c>
      <c r="B1523" s="83">
        <v>11400</v>
      </c>
      <c r="C1523" s="83">
        <v>6</v>
      </c>
      <c r="D1523" s="83">
        <f t="shared" si="140"/>
        <v>2550</v>
      </c>
      <c r="E1523" s="83">
        <f t="shared" si="139"/>
        <v>2700</v>
      </c>
      <c r="F1523" s="83"/>
      <c r="G1523" s="83">
        <v>95150028</v>
      </c>
      <c r="H1523" s="83" t="s">
        <v>217</v>
      </c>
      <c r="I1523" s="83" t="s">
        <v>199</v>
      </c>
      <c r="J1523" s="83" t="s">
        <v>200</v>
      </c>
      <c r="K1523" s="83">
        <v>1</v>
      </c>
      <c r="L1523" s="83" t="s">
        <v>174</v>
      </c>
      <c r="M1523" s="83">
        <f>ROUNDDOWN(VLOOKUP(J1523,Sheet1!$N$32:$O$37,2,0)*1000,0)-100</f>
        <v>150</v>
      </c>
      <c r="N1523" s="83"/>
      <c r="O1523" s="83"/>
      <c r="P1523" s="83"/>
    </row>
    <row r="1524" spans="1:16">
      <c r="A1524" s="71">
        <v>1522</v>
      </c>
      <c r="B1524" s="83">
        <v>11400</v>
      </c>
      <c r="C1524" s="83">
        <v>6</v>
      </c>
      <c r="D1524" s="83">
        <f t="shared" si="140"/>
        <v>2700</v>
      </c>
      <c r="E1524" s="83">
        <f t="shared" si="139"/>
        <v>2850</v>
      </c>
      <c r="F1524" s="83"/>
      <c r="G1524" s="83">
        <v>95201038</v>
      </c>
      <c r="H1524" s="83" t="s">
        <v>218</v>
      </c>
      <c r="I1524" s="83" t="s">
        <v>199</v>
      </c>
      <c r="J1524" s="83" t="s">
        <v>200</v>
      </c>
      <c r="K1524" s="83">
        <v>1</v>
      </c>
      <c r="L1524" s="83" t="s">
        <v>174</v>
      </c>
      <c r="M1524" s="83">
        <f>ROUNDDOWN(VLOOKUP(J1524,Sheet1!$N$32:$O$37,2,0)*1000,0)-100</f>
        <v>150</v>
      </c>
      <c r="N1524" s="83"/>
      <c r="O1524" s="83"/>
      <c r="P1524" s="83"/>
    </row>
    <row r="1525" spans="1:16">
      <c r="A1525" s="71">
        <v>1523</v>
      </c>
      <c r="B1525" s="83">
        <v>11400</v>
      </c>
      <c r="C1525" s="83">
        <v>6</v>
      </c>
      <c r="D1525" s="83">
        <f t="shared" si="140"/>
        <v>2850</v>
      </c>
      <c r="E1525" s="83">
        <f t="shared" si="139"/>
        <v>3000</v>
      </c>
      <c r="F1525" s="83"/>
      <c r="G1525" s="83">
        <v>95201118</v>
      </c>
      <c r="H1525" s="83" t="s">
        <v>219</v>
      </c>
      <c r="I1525" s="83" t="s">
        <v>199</v>
      </c>
      <c r="J1525" s="83" t="s">
        <v>200</v>
      </c>
      <c r="K1525" s="83">
        <v>1</v>
      </c>
      <c r="L1525" s="83" t="s">
        <v>174</v>
      </c>
      <c r="M1525" s="83">
        <f>ROUNDDOWN(VLOOKUP(J1525,Sheet1!$N$32:$O$37,2,0)*1000,0)-100</f>
        <v>150</v>
      </c>
      <c r="N1525" s="83"/>
      <c r="O1525" s="83"/>
      <c r="P1525" s="83"/>
    </row>
    <row r="1526" spans="1:16">
      <c r="A1526" s="71">
        <v>1524</v>
      </c>
      <c r="B1526" s="83">
        <v>11400</v>
      </c>
      <c r="C1526" s="83">
        <v>6</v>
      </c>
      <c r="D1526" s="83">
        <f t="shared" si="140"/>
        <v>3000</v>
      </c>
      <c r="E1526" s="83">
        <f t="shared" si="139"/>
        <v>3150</v>
      </c>
      <c r="F1526" s="83"/>
      <c r="G1526" s="83">
        <v>95201158</v>
      </c>
      <c r="H1526" s="83" t="s">
        <v>220</v>
      </c>
      <c r="I1526" s="83" t="s">
        <v>199</v>
      </c>
      <c r="J1526" s="83" t="s">
        <v>200</v>
      </c>
      <c r="K1526" s="83">
        <v>1</v>
      </c>
      <c r="L1526" s="83" t="s">
        <v>174</v>
      </c>
      <c r="M1526" s="83">
        <f>ROUNDDOWN(VLOOKUP(J1526,Sheet1!$N$32:$O$37,2,0)*1000,0)-100</f>
        <v>150</v>
      </c>
      <c r="N1526" s="83"/>
      <c r="O1526" s="83">
        <f t="shared" ref="O1526:O1550" si="142">(E1526-D1526)/$E$1606</f>
        <v>0.00168734602967479</v>
      </c>
      <c r="P1526" s="83">
        <v>11600</v>
      </c>
    </row>
    <row r="1527" spans="1:16">
      <c r="A1527" s="71">
        <v>1525</v>
      </c>
      <c r="B1527" s="83">
        <v>11400</v>
      </c>
      <c r="C1527" s="83">
        <v>6</v>
      </c>
      <c r="D1527" s="83">
        <f t="shared" si="140"/>
        <v>3150</v>
      </c>
      <c r="E1527" s="83">
        <f t="shared" si="139"/>
        <v>3300</v>
      </c>
      <c r="F1527" s="83"/>
      <c r="G1527" s="83">
        <v>95201168</v>
      </c>
      <c r="H1527" s="83" t="s">
        <v>221</v>
      </c>
      <c r="I1527" s="83" t="s">
        <v>199</v>
      </c>
      <c r="J1527" s="83" t="s">
        <v>200</v>
      </c>
      <c r="K1527" s="83">
        <v>1</v>
      </c>
      <c r="L1527" s="83" t="s">
        <v>174</v>
      </c>
      <c r="M1527" s="83">
        <f>ROUNDDOWN(VLOOKUP(J1527,Sheet1!$N$32:$O$37,2,0)*1000,0)-100</f>
        <v>150</v>
      </c>
      <c r="N1527" s="83"/>
      <c r="O1527" s="83">
        <f t="shared" si="142"/>
        <v>0.00168734602967479</v>
      </c>
      <c r="P1527" s="83">
        <v>11600</v>
      </c>
    </row>
    <row r="1528" spans="1:16">
      <c r="A1528" s="71">
        <v>1526</v>
      </c>
      <c r="B1528" s="83">
        <v>11400</v>
      </c>
      <c r="C1528" s="83">
        <v>6</v>
      </c>
      <c r="D1528" s="83">
        <f t="shared" si="140"/>
        <v>3300</v>
      </c>
      <c r="E1528" s="83">
        <f t="shared" si="139"/>
        <v>3450</v>
      </c>
      <c r="F1528" s="83"/>
      <c r="G1528" s="83">
        <v>95301028</v>
      </c>
      <c r="H1528" s="83" t="s">
        <v>222</v>
      </c>
      <c r="I1528" s="83" t="s">
        <v>199</v>
      </c>
      <c r="J1528" s="83" t="s">
        <v>200</v>
      </c>
      <c r="K1528" s="83">
        <v>1</v>
      </c>
      <c r="L1528" s="83" t="s">
        <v>174</v>
      </c>
      <c r="M1528" s="83">
        <f>ROUNDDOWN(VLOOKUP(J1528,Sheet1!$N$32:$O$37,2,0)*1000,0)-100</f>
        <v>150</v>
      </c>
      <c r="N1528" s="83"/>
      <c r="O1528" s="83">
        <f t="shared" si="142"/>
        <v>0.00168734602967479</v>
      </c>
      <c r="P1528" s="83">
        <v>11600</v>
      </c>
    </row>
    <row r="1529" spans="1:16">
      <c r="A1529" s="71">
        <v>1527</v>
      </c>
      <c r="B1529" s="83">
        <v>11400</v>
      </c>
      <c r="C1529" s="83">
        <v>6</v>
      </c>
      <c r="D1529" s="83">
        <f t="shared" si="140"/>
        <v>3450</v>
      </c>
      <c r="E1529" s="83">
        <f t="shared" si="139"/>
        <v>3600</v>
      </c>
      <c r="F1529" s="83"/>
      <c r="G1529" s="83">
        <v>95301048</v>
      </c>
      <c r="H1529" s="83" t="s">
        <v>223</v>
      </c>
      <c r="I1529" s="83" t="s">
        <v>199</v>
      </c>
      <c r="J1529" s="83" t="s">
        <v>200</v>
      </c>
      <c r="K1529" s="83">
        <v>1</v>
      </c>
      <c r="L1529" s="83" t="s">
        <v>174</v>
      </c>
      <c r="M1529" s="83">
        <f>ROUNDDOWN(VLOOKUP(J1529,Sheet1!$N$32:$O$37,2,0)*1000,0)-100</f>
        <v>150</v>
      </c>
      <c r="N1529" s="83"/>
      <c r="O1529" s="83">
        <f t="shared" si="142"/>
        <v>0.00168734602967479</v>
      </c>
      <c r="P1529" s="83">
        <v>11600</v>
      </c>
    </row>
    <row r="1530" spans="1:16">
      <c r="A1530" s="71">
        <v>1528</v>
      </c>
      <c r="B1530" s="83">
        <v>11400</v>
      </c>
      <c r="C1530" s="83">
        <v>6</v>
      </c>
      <c r="D1530" s="83">
        <f t="shared" si="140"/>
        <v>3600</v>
      </c>
      <c r="E1530" s="83">
        <f t="shared" si="139"/>
        <v>3750</v>
      </c>
      <c r="F1530" s="83"/>
      <c r="G1530" s="83">
        <v>95301058</v>
      </c>
      <c r="H1530" s="83" t="s">
        <v>224</v>
      </c>
      <c r="I1530" s="83" t="s">
        <v>199</v>
      </c>
      <c r="J1530" s="83" t="s">
        <v>200</v>
      </c>
      <c r="K1530" s="83">
        <v>1</v>
      </c>
      <c r="L1530" s="83" t="s">
        <v>174</v>
      </c>
      <c r="M1530" s="83">
        <f>ROUNDDOWN(VLOOKUP(J1530,Sheet1!$N$32:$O$37,2,0)*1000,0)-100</f>
        <v>150</v>
      </c>
      <c r="N1530" s="83"/>
      <c r="O1530" s="83">
        <f t="shared" si="142"/>
        <v>0.00168734602967479</v>
      </c>
      <c r="P1530" s="83">
        <v>11600</v>
      </c>
    </row>
    <row r="1531" spans="1:16">
      <c r="A1531" s="71">
        <v>1529</v>
      </c>
      <c r="B1531" s="83">
        <v>11400</v>
      </c>
      <c r="C1531" s="83">
        <v>6</v>
      </c>
      <c r="D1531" s="83">
        <f t="shared" si="140"/>
        <v>3750</v>
      </c>
      <c r="E1531" s="83">
        <f t="shared" si="139"/>
        <v>3900</v>
      </c>
      <c r="F1531" s="83"/>
      <c r="G1531" s="83">
        <v>95301138</v>
      </c>
      <c r="H1531" s="83" t="s">
        <v>225</v>
      </c>
      <c r="I1531" s="83" t="s">
        <v>199</v>
      </c>
      <c r="J1531" s="83" t="s">
        <v>200</v>
      </c>
      <c r="K1531" s="83">
        <v>1</v>
      </c>
      <c r="L1531" s="83" t="s">
        <v>174</v>
      </c>
      <c r="M1531" s="83">
        <f>ROUNDDOWN(VLOOKUP(J1531,Sheet1!$N$32:$O$37,2,0)*1000,0)-100</f>
        <v>150</v>
      </c>
      <c r="N1531" s="83"/>
      <c r="O1531" s="83">
        <f t="shared" si="142"/>
        <v>0.00168734602967479</v>
      </c>
      <c r="P1531" s="83">
        <v>11600</v>
      </c>
    </row>
    <row r="1532" spans="1:16">
      <c r="A1532" s="71">
        <v>1530</v>
      </c>
      <c r="B1532" s="83">
        <v>11400</v>
      </c>
      <c r="C1532" s="83">
        <v>6</v>
      </c>
      <c r="D1532" s="83">
        <f t="shared" si="140"/>
        <v>3900</v>
      </c>
      <c r="E1532" s="83">
        <f t="shared" si="139"/>
        <v>4050</v>
      </c>
      <c r="F1532" s="83"/>
      <c r="G1532" s="83">
        <v>95301098</v>
      </c>
      <c r="H1532" s="83" t="s">
        <v>226</v>
      </c>
      <c r="I1532" s="83" t="s">
        <v>199</v>
      </c>
      <c r="J1532" s="83" t="s">
        <v>200</v>
      </c>
      <c r="K1532" s="83">
        <v>1</v>
      </c>
      <c r="L1532" s="83" t="s">
        <v>174</v>
      </c>
      <c r="M1532" s="83">
        <f>ROUNDDOWN(VLOOKUP(J1532,Sheet1!$N$32:$O$37,2,0)*1000,0)-100</f>
        <v>150</v>
      </c>
      <c r="N1532" s="83"/>
      <c r="O1532" s="83">
        <f t="shared" si="142"/>
        <v>0.00168734602967479</v>
      </c>
      <c r="P1532" s="83">
        <v>11600</v>
      </c>
    </row>
    <row r="1533" spans="1:16">
      <c r="A1533" s="71">
        <v>1531</v>
      </c>
      <c r="B1533" s="83">
        <v>11400</v>
      </c>
      <c r="C1533" s="83">
        <v>6</v>
      </c>
      <c r="D1533" s="83">
        <f t="shared" si="140"/>
        <v>4050</v>
      </c>
      <c r="E1533" s="83">
        <f t="shared" si="139"/>
        <v>4200</v>
      </c>
      <c r="F1533" s="83"/>
      <c r="G1533" s="83">
        <v>95201188</v>
      </c>
      <c r="H1533" s="83" t="s">
        <v>227</v>
      </c>
      <c r="I1533" s="83" t="s">
        <v>199</v>
      </c>
      <c r="J1533" s="83" t="s">
        <v>200</v>
      </c>
      <c r="K1533" s="83">
        <v>1</v>
      </c>
      <c r="L1533" s="83" t="s">
        <v>174</v>
      </c>
      <c r="M1533" s="83">
        <f>ROUNDDOWN(VLOOKUP(J1533,Sheet1!$N$32:$O$37,2,0)*1000,0)-100</f>
        <v>150</v>
      </c>
      <c r="N1533" s="83"/>
      <c r="O1533" s="83">
        <f t="shared" si="142"/>
        <v>0.00168734602967479</v>
      </c>
      <c r="P1533" s="83">
        <v>11600</v>
      </c>
    </row>
    <row r="1534" spans="1:16">
      <c r="A1534" s="71">
        <v>1532</v>
      </c>
      <c r="B1534" s="83">
        <v>11400</v>
      </c>
      <c r="C1534" s="83">
        <v>6</v>
      </c>
      <c r="D1534" s="83">
        <f t="shared" si="140"/>
        <v>4200</v>
      </c>
      <c r="E1534" s="83">
        <f t="shared" si="139"/>
        <v>4350</v>
      </c>
      <c r="F1534" s="83"/>
      <c r="G1534" s="83">
        <v>95301148</v>
      </c>
      <c r="H1534" s="83" t="s">
        <v>228</v>
      </c>
      <c r="I1534" s="83" t="s">
        <v>199</v>
      </c>
      <c r="J1534" s="83" t="s">
        <v>200</v>
      </c>
      <c r="K1534" s="83">
        <v>1</v>
      </c>
      <c r="L1534" s="83" t="s">
        <v>174</v>
      </c>
      <c r="M1534" s="83">
        <f>ROUNDDOWN(VLOOKUP(J1534,Sheet1!$N$32:$O$37,2,0)*1000,0)-100</f>
        <v>150</v>
      </c>
      <c r="N1534" s="83"/>
      <c r="O1534" s="83">
        <f t="shared" si="142"/>
        <v>0.00168734602967479</v>
      </c>
      <c r="P1534" s="83">
        <v>11600</v>
      </c>
    </row>
    <row r="1535" spans="1:16">
      <c r="A1535" s="71">
        <v>1533</v>
      </c>
      <c r="B1535" s="83">
        <v>11400</v>
      </c>
      <c r="C1535" s="83">
        <v>6</v>
      </c>
      <c r="D1535" s="83">
        <f t="shared" si="140"/>
        <v>4350</v>
      </c>
      <c r="E1535" s="83">
        <f t="shared" si="139"/>
        <v>4500</v>
      </c>
      <c r="F1535" s="83"/>
      <c r="G1535" s="83">
        <v>95301158</v>
      </c>
      <c r="H1535" s="83" t="s">
        <v>229</v>
      </c>
      <c r="I1535" s="83" t="s">
        <v>199</v>
      </c>
      <c r="J1535" s="83" t="s">
        <v>200</v>
      </c>
      <c r="K1535" s="83">
        <v>1</v>
      </c>
      <c r="L1535" s="83" t="s">
        <v>174</v>
      </c>
      <c r="M1535" s="83">
        <f>ROUNDDOWN(VLOOKUP(J1535,Sheet1!$N$32:$O$37,2,0)*1000,0)-100</f>
        <v>150</v>
      </c>
      <c r="N1535" s="83"/>
      <c r="O1535" s="83">
        <f t="shared" si="142"/>
        <v>0.00168734602967479</v>
      </c>
      <c r="P1535" s="83">
        <v>11600</v>
      </c>
    </row>
    <row r="1536" spans="1:16">
      <c r="A1536" s="71">
        <v>1534</v>
      </c>
      <c r="B1536" s="83">
        <v>11400</v>
      </c>
      <c r="C1536" s="83">
        <v>6</v>
      </c>
      <c r="D1536" s="83">
        <f>E1534</f>
        <v>4350</v>
      </c>
      <c r="E1536" s="83">
        <f t="shared" si="139"/>
        <v>4500</v>
      </c>
      <c r="F1536" s="83"/>
      <c r="G1536" s="83">
        <v>95101019</v>
      </c>
      <c r="H1536" s="83" t="s">
        <v>198</v>
      </c>
      <c r="I1536" s="83" t="s">
        <v>233</v>
      </c>
      <c r="J1536" s="83" t="s">
        <v>200</v>
      </c>
      <c r="K1536" s="83">
        <v>1</v>
      </c>
      <c r="L1536" s="83" t="s">
        <v>174</v>
      </c>
      <c r="M1536" s="83">
        <f>ROUNDDOWN(VLOOKUP(J1536,Sheet1!$N$32:$O$37,2,0)*1000,0)-100</f>
        <v>150</v>
      </c>
      <c r="N1536" s="83"/>
      <c r="O1536" s="83">
        <f t="shared" si="142"/>
        <v>0.00168734602967479</v>
      </c>
      <c r="P1536" s="83">
        <v>11600</v>
      </c>
    </row>
    <row r="1537" spans="1:16">
      <c r="A1537" s="71">
        <v>1535</v>
      </c>
      <c r="B1537" s="83">
        <v>11400</v>
      </c>
      <c r="C1537" s="83">
        <v>6</v>
      </c>
      <c r="D1537" s="83">
        <f t="shared" ref="D1537:D1600" si="143">E1536</f>
        <v>4500</v>
      </c>
      <c r="E1537" s="83">
        <f t="shared" si="139"/>
        <v>4650</v>
      </c>
      <c r="F1537" s="83"/>
      <c r="G1537" s="83">
        <v>95101029</v>
      </c>
      <c r="H1537" s="83" t="s">
        <v>201</v>
      </c>
      <c r="I1537" s="83" t="s">
        <v>233</v>
      </c>
      <c r="J1537" s="83" t="s">
        <v>200</v>
      </c>
      <c r="K1537" s="83">
        <v>1</v>
      </c>
      <c r="L1537" s="83" t="s">
        <v>174</v>
      </c>
      <c r="M1537" s="83">
        <f>ROUNDDOWN(VLOOKUP(J1537,Sheet1!$N$32:$O$37,2,0)*1000,0)-100</f>
        <v>150</v>
      </c>
      <c r="N1537" s="83"/>
      <c r="O1537" s="83">
        <f t="shared" si="142"/>
        <v>0.00168734602967479</v>
      </c>
      <c r="P1537" s="83">
        <v>11600</v>
      </c>
    </row>
    <row r="1538" spans="1:16">
      <c r="A1538" s="71">
        <v>1536</v>
      </c>
      <c r="B1538" s="83">
        <v>11400</v>
      </c>
      <c r="C1538" s="83">
        <v>6</v>
      </c>
      <c r="D1538" s="83">
        <f t="shared" si="143"/>
        <v>4650</v>
      </c>
      <c r="E1538" s="83">
        <f t="shared" si="139"/>
        <v>4800</v>
      </c>
      <c r="F1538" s="83"/>
      <c r="G1538" s="83">
        <v>95102019</v>
      </c>
      <c r="H1538" s="83" t="s">
        <v>202</v>
      </c>
      <c r="I1538" s="83" t="s">
        <v>233</v>
      </c>
      <c r="J1538" s="83" t="s">
        <v>200</v>
      </c>
      <c r="K1538" s="83">
        <v>1</v>
      </c>
      <c r="L1538" s="83" t="s">
        <v>174</v>
      </c>
      <c r="M1538" s="83">
        <f>ROUNDDOWN(VLOOKUP(J1538,Sheet1!$N$32:$O$37,2,0)*1000,0)-100</f>
        <v>150</v>
      </c>
      <c r="N1538" s="83"/>
      <c r="O1538" s="83">
        <f t="shared" si="142"/>
        <v>0.00168734602967479</v>
      </c>
      <c r="P1538" s="83">
        <v>11600</v>
      </c>
    </row>
    <row r="1539" spans="1:16">
      <c r="A1539" s="71">
        <v>1537</v>
      </c>
      <c r="B1539" s="83">
        <v>11400</v>
      </c>
      <c r="C1539" s="83">
        <v>6</v>
      </c>
      <c r="D1539" s="83">
        <f t="shared" si="143"/>
        <v>4800</v>
      </c>
      <c r="E1539" s="83">
        <f t="shared" ref="E1539:E1565" si="144">D1539+M1539</f>
        <v>4950</v>
      </c>
      <c r="F1539" s="83"/>
      <c r="G1539" s="83">
        <v>95102029</v>
      </c>
      <c r="H1539" s="83" t="s">
        <v>203</v>
      </c>
      <c r="I1539" s="83" t="s">
        <v>233</v>
      </c>
      <c r="J1539" s="83" t="s">
        <v>200</v>
      </c>
      <c r="K1539" s="83">
        <v>1</v>
      </c>
      <c r="L1539" s="83" t="s">
        <v>174</v>
      </c>
      <c r="M1539" s="83">
        <f>ROUNDDOWN(VLOOKUP(J1539,Sheet1!$N$32:$O$37,2,0)*1000,0)-100</f>
        <v>150</v>
      </c>
      <c r="N1539" s="83"/>
      <c r="O1539" s="83">
        <f t="shared" si="142"/>
        <v>0.00168734602967479</v>
      </c>
      <c r="P1539" s="83">
        <v>11600</v>
      </c>
    </row>
    <row r="1540" spans="1:16">
      <c r="A1540" s="71">
        <v>1538</v>
      </c>
      <c r="B1540" s="83">
        <v>11400</v>
      </c>
      <c r="C1540" s="83">
        <v>6</v>
      </c>
      <c r="D1540" s="83">
        <f t="shared" si="143"/>
        <v>4950</v>
      </c>
      <c r="E1540" s="83">
        <f t="shared" si="144"/>
        <v>5100</v>
      </c>
      <c r="F1540" s="83"/>
      <c r="G1540" s="83">
        <v>95103019</v>
      </c>
      <c r="H1540" s="83" t="s">
        <v>204</v>
      </c>
      <c r="I1540" s="83" t="s">
        <v>233</v>
      </c>
      <c r="J1540" s="83" t="s">
        <v>200</v>
      </c>
      <c r="K1540" s="83">
        <v>1</v>
      </c>
      <c r="L1540" s="83" t="s">
        <v>174</v>
      </c>
      <c r="M1540" s="83">
        <f>ROUNDDOWN(VLOOKUP(J1540,Sheet1!$N$32:$O$37,2,0)*1000,0)-100</f>
        <v>150</v>
      </c>
      <c r="N1540" s="83"/>
      <c r="O1540" s="83">
        <f t="shared" si="142"/>
        <v>0.00168734602967479</v>
      </c>
      <c r="P1540" s="83">
        <v>11600</v>
      </c>
    </row>
    <row r="1541" spans="1:16">
      <c r="A1541" s="71">
        <v>1539</v>
      </c>
      <c r="B1541" s="83">
        <v>11400</v>
      </c>
      <c r="C1541" s="83">
        <v>6</v>
      </c>
      <c r="D1541" s="83">
        <f t="shared" si="143"/>
        <v>5100</v>
      </c>
      <c r="E1541" s="83">
        <f t="shared" si="144"/>
        <v>5250</v>
      </c>
      <c r="F1541" s="83"/>
      <c r="G1541" s="83">
        <v>95104019</v>
      </c>
      <c r="H1541" s="83" t="s">
        <v>205</v>
      </c>
      <c r="I1541" s="83" t="s">
        <v>233</v>
      </c>
      <c r="J1541" s="83" t="s">
        <v>200</v>
      </c>
      <c r="K1541" s="83">
        <v>1</v>
      </c>
      <c r="L1541" s="83" t="s">
        <v>174</v>
      </c>
      <c r="M1541" s="83">
        <f>ROUNDDOWN(VLOOKUP(J1541,Sheet1!$N$32:$O$37,2,0)*1000,0)-100</f>
        <v>150</v>
      </c>
      <c r="N1541" s="83"/>
      <c r="O1541" s="83">
        <f t="shared" si="142"/>
        <v>0.00168734602967479</v>
      </c>
      <c r="P1541" s="83">
        <v>11600</v>
      </c>
    </row>
    <row r="1542" spans="1:16">
      <c r="A1542" s="71">
        <v>1540</v>
      </c>
      <c r="B1542" s="83">
        <v>11400</v>
      </c>
      <c r="C1542" s="83">
        <v>6</v>
      </c>
      <c r="D1542" s="83">
        <f t="shared" si="143"/>
        <v>5250</v>
      </c>
      <c r="E1542" s="83">
        <f t="shared" si="144"/>
        <v>5400</v>
      </c>
      <c r="F1542" s="83"/>
      <c r="G1542" s="83">
        <v>95104029</v>
      </c>
      <c r="H1542" s="83" t="s">
        <v>206</v>
      </c>
      <c r="I1542" s="83" t="s">
        <v>233</v>
      </c>
      <c r="J1542" s="83" t="s">
        <v>200</v>
      </c>
      <c r="K1542" s="83">
        <v>1</v>
      </c>
      <c r="L1542" s="83" t="s">
        <v>174</v>
      </c>
      <c r="M1542" s="83">
        <f>ROUNDDOWN(VLOOKUP(J1542,Sheet1!$N$32:$O$37,2,0)*1000,0)-100</f>
        <v>150</v>
      </c>
      <c r="N1542" s="83"/>
      <c r="O1542" s="83">
        <f t="shared" si="142"/>
        <v>0.00168734602967479</v>
      </c>
      <c r="P1542" s="83">
        <v>11600</v>
      </c>
    </row>
    <row r="1543" spans="1:16">
      <c r="A1543" s="71">
        <v>1541</v>
      </c>
      <c r="B1543" s="83">
        <v>11400</v>
      </c>
      <c r="C1543" s="83">
        <v>6</v>
      </c>
      <c r="D1543" s="83">
        <f t="shared" si="143"/>
        <v>5400</v>
      </c>
      <c r="E1543" s="83">
        <f t="shared" si="144"/>
        <v>5550</v>
      </c>
      <c r="F1543" s="83"/>
      <c r="G1543" s="83">
        <v>95104039</v>
      </c>
      <c r="H1543" s="83" t="s">
        <v>207</v>
      </c>
      <c r="I1543" s="83" t="s">
        <v>233</v>
      </c>
      <c r="J1543" s="83" t="s">
        <v>200</v>
      </c>
      <c r="K1543" s="83">
        <v>1</v>
      </c>
      <c r="L1543" s="83" t="s">
        <v>174</v>
      </c>
      <c r="M1543" s="83">
        <f>ROUNDDOWN(VLOOKUP(J1543,Sheet1!$N$32:$O$37,2,0)*1000,0)-100</f>
        <v>150</v>
      </c>
      <c r="N1543" s="83"/>
      <c r="O1543" s="83">
        <f t="shared" si="142"/>
        <v>0.00168734602967479</v>
      </c>
      <c r="P1543" s="83">
        <v>11600</v>
      </c>
    </row>
    <row r="1544" spans="1:16">
      <c r="A1544" s="71">
        <v>1542</v>
      </c>
      <c r="B1544" s="83">
        <v>11400</v>
      </c>
      <c r="C1544" s="83">
        <v>6</v>
      </c>
      <c r="D1544" s="83">
        <f t="shared" si="143"/>
        <v>5550</v>
      </c>
      <c r="E1544" s="83">
        <f t="shared" si="144"/>
        <v>5700</v>
      </c>
      <c r="F1544" s="83"/>
      <c r="G1544" s="83">
        <v>95106019</v>
      </c>
      <c r="H1544" s="83" t="s">
        <v>208</v>
      </c>
      <c r="I1544" s="83" t="s">
        <v>233</v>
      </c>
      <c r="J1544" s="83" t="s">
        <v>200</v>
      </c>
      <c r="K1544" s="83">
        <v>1</v>
      </c>
      <c r="L1544" s="83" t="s">
        <v>174</v>
      </c>
      <c r="M1544" s="83">
        <f>ROUNDDOWN(VLOOKUP(J1544,Sheet1!$N$32:$O$37,2,0)*1000,0)-100</f>
        <v>150</v>
      </c>
      <c r="N1544" s="83"/>
      <c r="O1544" s="83">
        <f t="shared" si="142"/>
        <v>0.00168734602967479</v>
      </c>
      <c r="P1544" s="83">
        <v>11600</v>
      </c>
    </row>
    <row r="1545" spans="1:16">
      <c r="A1545" s="71">
        <v>1543</v>
      </c>
      <c r="B1545" s="83">
        <v>11400</v>
      </c>
      <c r="C1545" s="83">
        <v>6</v>
      </c>
      <c r="D1545" s="83">
        <f t="shared" si="143"/>
        <v>5700</v>
      </c>
      <c r="E1545" s="83">
        <f t="shared" si="144"/>
        <v>5850</v>
      </c>
      <c r="F1545" s="83"/>
      <c r="G1545" s="83">
        <v>95109019</v>
      </c>
      <c r="H1545" s="83" t="s">
        <v>209</v>
      </c>
      <c r="I1545" s="83" t="s">
        <v>233</v>
      </c>
      <c r="J1545" s="83" t="s">
        <v>200</v>
      </c>
      <c r="K1545" s="83">
        <v>1</v>
      </c>
      <c r="L1545" s="83" t="s">
        <v>174</v>
      </c>
      <c r="M1545" s="83">
        <f>ROUNDDOWN(VLOOKUP(J1545,Sheet1!$N$32:$O$37,2,0)*1000,0)-100</f>
        <v>150</v>
      </c>
      <c r="N1545" s="83"/>
      <c r="O1545" s="83">
        <f t="shared" si="142"/>
        <v>0.00168734602967479</v>
      </c>
      <c r="P1545" s="83">
        <v>11600</v>
      </c>
    </row>
    <row r="1546" spans="1:16">
      <c r="A1546" s="71">
        <v>1544</v>
      </c>
      <c r="B1546" s="83">
        <v>11400</v>
      </c>
      <c r="C1546" s="83">
        <v>6</v>
      </c>
      <c r="D1546" s="83">
        <f t="shared" si="143"/>
        <v>5850</v>
      </c>
      <c r="E1546" s="83">
        <f t="shared" si="144"/>
        <v>6000</v>
      </c>
      <c r="F1546" s="83"/>
      <c r="G1546" s="83">
        <v>95110019</v>
      </c>
      <c r="H1546" s="83" t="s">
        <v>210</v>
      </c>
      <c r="I1546" s="83" t="s">
        <v>233</v>
      </c>
      <c r="J1546" s="83" t="s">
        <v>200</v>
      </c>
      <c r="K1546" s="83">
        <v>1</v>
      </c>
      <c r="L1546" s="83" t="s">
        <v>174</v>
      </c>
      <c r="M1546" s="83">
        <f>ROUNDDOWN(VLOOKUP(J1546,Sheet1!$N$32:$O$37,2,0)*1000,0)-100</f>
        <v>150</v>
      </c>
      <c r="N1546" s="83"/>
      <c r="O1546" s="83">
        <f t="shared" si="142"/>
        <v>0.00168734602967479</v>
      </c>
      <c r="P1546" s="83">
        <v>11600</v>
      </c>
    </row>
    <row r="1547" spans="1:16">
      <c r="A1547" s="71">
        <v>1545</v>
      </c>
      <c r="B1547" s="83">
        <v>11400</v>
      </c>
      <c r="C1547" s="83">
        <v>6</v>
      </c>
      <c r="D1547" s="83">
        <f t="shared" si="143"/>
        <v>6000</v>
      </c>
      <c r="E1547" s="83">
        <f t="shared" si="144"/>
        <v>6150</v>
      </c>
      <c r="F1547" s="83"/>
      <c r="G1547" s="83">
        <v>95111019</v>
      </c>
      <c r="H1547" s="83" t="s">
        <v>211</v>
      </c>
      <c r="I1547" s="83" t="s">
        <v>233</v>
      </c>
      <c r="J1547" s="83" t="s">
        <v>200</v>
      </c>
      <c r="K1547" s="83">
        <v>1</v>
      </c>
      <c r="L1547" s="83" t="s">
        <v>174</v>
      </c>
      <c r="M1547" s="83">
        <f>ROUNDDOWN(VLOOKUP(J1547,Sheet1!$N$32:$O$37,2,0)*1000,0)-100</f>
        <v>150</v>
      </c>
      <c r="N1547" s="83"/>
      <c r="O1547" s="83">
        <f t="shared" si="142"/>
        <v>0.00168734602967479</v>
      </c>
      <c r="P1547" s="83">
        <v>11600</v>
      </c>
    </row>
    <row r="1548" spans="1:16">
      <c r="A1548" s="71">
        <v>1546</v>
      </c>
      <c r="B1548" s="83">
        <v>11400</v>
      </c>
      <c r="C1548" s="83">
        <v>6</v>
      </c>
      <c r="D1548" s="83">
        <f t="shared" si="143"/>
        <v>6150</v>
      </c>
      <c r="E1548" s="83">
        <f t="shared" si="144"/>
        <v>6300</v>
      </c>
      <c r="F1548" s="83"/>
      <c r="G1548" s="83">
        <v>95120019</v>
      </c>
      <c r="H1548" s="83" t="s">
        <v>212</v>
      </c>
      <c r="I1548" s="83" t="s">
        <v>233</v>
      </c>
      <c r="J1548" s="83" t="s">
        <v>200</v>
      </c>
      <c r="K1548" s="83">
        <v>1</v>
      </c>
      <c r="L1548" s="83" t="s">
        <v>174</v>
      </c>
      <c r="M1548" s="83">
        <f>ROUNDDOWN(VLOOKUP(J1548,Sheet1!$N$32:$O$37,2,0)*1000,0)-100</f>
        <v>150</v>
      </c>
      <c r="N1548" s="83"/>
      <c r="O1548" s="83">
        <f t="shared" si="142"/>
        <v>0.00168734602967479</v>
      </c>
      <c r="P1548" s="83">
        <v>11600</v>
      </c>
    </row>
    <row r="1549" spans="1:16">
      <c r="A1549" s="71">
        <v>1547</v>
      </c>
      <c r="B1549" s="83">
        <v>11400</v>
      </c>
      <c r="C1549" s="83">
        <v>6</v>
      </c>
      <c r="D1549" s="83">
        <f t="shared" si="143"/>
        <v>6300</v>
      </c>
      <c r="E1549" s="83">
        <f t="shared" si="144"/>
        <v>6450</v>
      </c>
      <c r="F1549" s="83"/>
      <c r="G1549" s="83">
        <v>95140019</v>
      </c>
      <c r="H1549" s="83" t="s">
        <v>213</v>
      </c>
      <c r="I1549" s="83" t="s">
        <v>233</v>
      </c>
      <c r="J1549" s="83" t="s">
        <v>200</v>
      </c>
      <c r="K1549" s="83">
        <v>1</v>
      </c>
      <c r="L1549" s="83" t="s">
        <v>174</v>
      </c>
      <c r="M1549" s="83">
        <f>ROUNDDOWN(VLOOKUP(J1549,Sheet1!$N$32:$O$37,2,0)*1000,0)-100</f>
        <v>150</v>
      </c>
      <c r="N1549" s="83"/>
      <c r="O1549" s="83">
        <f t="shared" si="142"/>
        <v>0.00168734602967479</v>
      </c>
      <c r="P1549" s="83">
        <v>11600</v>
      </c>
    </row>
    <row r="1550" spans="1:16">
      <c r="A1550" s="71">
        <v>1548</v>
      </c>
      <c r="B1550" s="83">
        <v>11400</v>
      </c>
      <c r="C1550" s="83">
        <v>6</v>
      </c>
      <c r="D1550" s="83">
        <f t="shared" si="143"/>
        <v>6450</v>
      </c>
      <c r="E1550" s="83">
        <f t="shared" si="144"/>
        <v>6600</v>
      </c>
      <c r="F1550" s="83"/>
      <c r="G1550" s="83">
        <v>95105029</v>
      </c>
      <c r="H1550" s="83" t="s">
        <v>214</v>
      </c>
      <c r="I1550" s="83" t="s">
        <v>233</v>
      </c>
      <c r="J1550" s="83" t="s">
        <v>200</v>
      </c>
      <c r="K1550" s="83">
        <v>1</v>
      </c>
      <c r="L1550" s="83" t="s">
        <v>174</v>
      </c>
      <c r="M1550" s="83">
        <f>ROUNDDOWN(VLOOKUP(J1550,Sheet1!$N$32:$O$37,2,0)*1000,0)-100</f>
        <v>150</v>
      </c>
      <c r="N1550" s="83"/>
      <c r="O1550" s="83">
        <f t="shared" si="142"/>
        <v>0.00168734602967479</v>
      </c>
      <c r="P1550" s="83">
        <v>11600</v>
      </c>
    </row>
    <row r="1551" spans="1:16">
      <c r="A1551" s="71">
        <v>1549</v>
      </c>
      <c r="B1551" s="83">
        <v>11400</v>
      </c>
      <c r="C1551" s="83">
        <v>6</v>
      </c>
      <c r="D1551" s="83">
        <f t="shared" si="143"/>
        <v>6600</v>
      </c>
      <c r="E1551" s="83">
        <f t="shared" si="144"/>
        <v>6750</v>
      </c>
      <c r="F1551" s="83"/>
      <c r="G1551" s="83">
        <v>95109029</v>
      </c>
      <c r="H1551" s="83" t="s">
        <v>215</v>
      </c>
      <c r="I1551" s="83" t="s">
        <v>233</v>
      </c>
      <c r="J1551" s="83" t="s">
        <v>200</v>
      </c>
      <c r="K1551" s="83">
        <v>1</v>
      </c>
      <c r="L1551" s="83" t="s">
        <v>174</v>
      </c>
      <c r="M1551" s="83">
        <f>ROUNDDOWN(VLOOKUP(J1551,Sheet1!$N$32:$O$37,2,0)*1000,0)-100</f>
        <v>150</v>
      </c>
      <c r="N1551" s="83"/>
      <c r="O1551" s="83"/>
      <c r="P1551" s="83"/>
    </row>
    <row r="1552" spans="1:16">
      <c r="A1552" s="71">
        <v>1550</v>
      </c>
      <c r="B1552" s="83">
        <v>11400</v>
      </c>
      <c r="C1552" s="83">
        <v>6</v>
      </c>
      <c r="D1552" s="83">
        <f t="shared" si="143"/>
        <v>6750</v>
      </c>
      <c r="E1552" s="83">
        <f t="shared" si="144"/>
        <v>6900</v>
      </c>
      <c r="F1552" s="83"/>
      <c r="G1552" s="83">
        <v>95110029</v>
      </c>
      <c r="H1552" s="83" t="s">
        <v>216</v>
      </c>
      <c r="I1552" s="83" t="s">
        <v>233</v>
      </c>
      <c r="J1552" s="83" t="s">
        <v>200</v>
      </c>
      <c r="K1552" s="83">
        <v>1</v>
      </c>
      <c r="L1552" s="83" t="s">
        <v>174</v>
      </c>
      <c r="M1552" s="83">
        <f>ROUNDDOWN(VLOOKUP(J1552,Sheet1!$N$32:$O$37,2,0)*1000,0)-100</f>
        <v>150</v>
      </c>
      <c r="N1552" s="83"/>
      <c r="O1552" s="83"/>
      <c r="P1552" s="83"/>
    </row>
    <row r="1553" spans="1:16">
      <c r="A1553" s="71">
        <v>1551</v>
      </c>
      <c r="B1553" s="83">
        <v>11400</v>
      </c>
      <c r="C1553" s="83">
        <v>6</v>
      </c>
      <c r="D1553" s="83">
        <f t="shared" si="143"/>
        <v>6900</v>
      </c>
      <c r="E1553" s="83">
        <f t="shared" si="144"/>
        <v>7050</v>
      </c>
      <c r="F1553" s="83"/>
      <c r="G1553" s="83">
        <v>95150029</v>
      </c>
      <c r="H1553" s="83" t="s">
        <v>217</v>
      </c>
      <c r="I1553" s="83" t="s">
        <v>233</v>
      </c>
      <c r="J1553" s="83" t="s">
        <v>200</v>
      </c>
      <c r="K1553" s="83">
        <v>1</v>
      </c>
      <c r="L1553" s="83" t="s">
        <v>174</v>
      </c>
      <c r="M1553" s="83">
        <f>ROUNDDOWN(VLOOKUP(J1553,Sheet1!$N$32:$O$37,2,0)*1000,0)-100</f>
        <v>150</v>
      </c>
      <c r="N1553" s="83"/>
      <c r="O1553" s="83"/>
      <c r="P1553" s="83"/>
    </row>
    <row r="1554" spans="1:16">
      <c r="A1554" s="71">
        <v>1552</v>
      </c>
      <c r="B1554" s="83">
        <v>11400</v>
      </c>
      <c r="C1554" s="83">
        <v>6</v>
      </c>
      <c r="D1554" s="83">
        <f t="shared" si="143"/>
        <v>7050</v>
      </c>
      <c r="E1554" s="83">
        <f t="shared" si="144"/>
        <v>7200</v>
      </c>
      <c r="F1554" s="83"/>
      <c r="G1554" s="83">
        <v>95201039</v>
      </c>
      <c r="H1554" s="83" t="s">
        <v>218</v>
      </c>
      <c r="I1554" s="83" t="s">
        <v>233</v>
      </c>
      <c r="J1554" s="83" t="s">
        <v>200</v>
      </c>
      <c r="K1554" s="83">
        <v>1</v>
      </c>
      <c r="L1554" s="83" t="s">
        <v>174</v>
      </c>
      <c r="M1554" s="83">
        <f>ROUNDDOWN(VLOOKUP(J1554,Sheet1!$N$32:$O$37,2,0)*1000,0)-100</f>
        <v>150</v>
      </c>
      <c r="N1554" s="83"/>
      <c r="O1554" s="83"/>
      <c r="P1554" s="83"/>
    </row>
    <row r="1555" spans="1:16">
      <c r="A1555" s="71">
        <v>1553</v>
      </c>
      <c r="B1555" s="83">
        <v>11400</v>
      </c>
      <c r="C1555" s="83">
        <v>6</v>
      </c>
      <c r="D1555" s="83">
        <f t="shared" si="143"/>
        <v>7200</v>
      </c>
      <c r="E1555" s="83">
        <f t="shared" si="144"/>
        <v>7350</v>
      </c>
      <c r="F1555" s="83"/>
      <c r="G1555" s="83">
        <v>95201119</v>
      </c>
      <c r="H1555" s="83" t="s">
        <v>219</v>
      </c>
      <c r="I1555" s="83" t="s">
        <v>233</v>
      </c>
      <c r="J1555" s="83" t="s">
        <v>200</v>
      </c>
      <c r="K1555" s="83">
        <v>1</v>
      </c>
      <c r="L1555" s="83" t="s">
        <v>174</v>
      </c>
      <c r="M1555" s="83">
        <f>ROUNDDOWN(VLOOKUP(J1555,Sheet1!$N$32:$O$37,2,0)*1000,0)-100</f>
        <v>150</v>
      </c>
      <c r="N1555" s="83"/>
      <c r="O1555" s="83">
        <f t="shared" ref="O1555:O1586" si="145">(E1555-D1555)/$E$1606</f>
        <v>0.00168734602967479</v>
      </c>
      <c r="P1555" s="83">
        <v>11600</v>
      </c>
    </row>
    <row r="1556" spans="1:16">
      <c r="A1556" s="71">
        <v>1554</v>
      </c>
      <c r="B1556" s="83">
        <v>11400</v>
      </c>
      <c r="C1556" s="83">
        <v>6</v>
      </c>
      <c r="D1556" s="83">
        <f t="shared" si="143"/>
        <v>7350</v>
      </c>
      <c r="E1556" s="83">
        <f t="shared" si="144"/>
        <v>7500</v>
      </c>
      <c r="F1556" s="83"/>
      <c r="G1556" s="83">
        <v>95201159</v>
      </c>
      <c r="H1556" s="83" t="s">
        <v>220</v>
      </c>
      <c r="I1556" s="83" t="s">
        <v>233</v>
      </c>
      <c r="J1556" s="83" t="s">
        <v>200</v>
      </c>
      <c r="K1556" s="83">
        <v>1</v>
      </c>
      <c r="L1556" s="83" t="s">
        <v>174</v>
      </c>
      <c r="M1556" s="83">
        <f>ROUNDDOWN(VLOOKUP(J1556,Sheet1!$N$32:$O$37,2,0)*1000,0)-100</f>
        <v>150</v>
      </c>
      <c r="N1556" s="83"/>
      <c r="O1556" s="83">
        <f t="shared" si="145"/>
        <v>0.00168734602967479</v>
      </c>
      <c r="P1556" s="83">
        <v>11600</v>
      </c>
    </row>
    <row r="1557" spans="1:16">
      <c r="A1557" s="71">
        <v>1555</v>
      </c>
      <c r="B1557" s="83">
        <v>11400</v>
      </c>
      <c r="C1557" s="83">
        <v>6</v>
      </c>
      <c r="D1557" s="83">
        <f t="shared" si="143"/>
        <v>7500</v>
      </c>
      <c r="E1557" s="83">
        <f t="shared" si="144"/>
        <v>7650</v>
      </c>
      <c r="F1557" s="83"/>
      <c r="G1557" s="83">
        <v>95201169</v>
      </c>
      <c r="H1557" s="83" t="s">
        <v>221</v>
      </c>
      <c r="I1557" s="83" t="s">
        <v>233</v>
      </c>
      <c r="J1557" s="83" t="s">
        <v>200</v>
      </c>
      <c r="K1557" s="83">
        <v>1</v>
      </c>
      <c r="L1557" s="83" t="s">
        <v>174</v>
      </c>
      <c r="M1557" s="83">
        <f>ROUNDDOWN(VLOOKUP(J1557,Sheet1!$N$32:$O$37,2,0)*1000,0)-100</f>
        <v>150</v>
      </c>
      <c r="N1557" s="83"/>
      <c r="O1557" s="83">
        <f t="shared" si="145"/>
        <v>0.00168734602967479</v>
      </c>
      <c r="P1557" s="83">
        <v>11600</v>
      </c>
    </row>
    <row r="1558" spans="1:16">
      <c r="A1558" s="71">
        <v>1556</v>
      </c>
      <c r="B1558" s="83">
        <v>11400</v>
      </c>
      <c r="C1558" s="83">
        <v>6</v>
      </c>
      <c r="D1558" s="83">
        <f t="shared" si="143"/>
        <v>7650</v>
      </c>
      <c r="E1558" s="83">
        <f t="shared" si="144"/>
        <v>7800</v>
      </c>
      <c r="F1558" s="83"/>
      <c r="G1558" s="83">
        <v>95301029</v>
      </c>
      <c r="H1558" s="83" t="s">
        <v>222</v>
      </c>
      <c r="I1558" s="83" t="s">
        <v>233</v>
      </c>
      <c r="J1558" s="83" t="s">
        <v>200</v>
      </c>
      <c r="K1558" s="83">
        <v>1</v>
      </c>
      <c r="L1558" s="83" t="s">
        <v>174</v>
      </c>
      <c r="M1558" s="83">
        <f>ROUNDDOWN(VLOOKUP(J1558,Sheet1!$N$32:$O$37,2,0)*1000,0)-100</f>
        <v>150</v>
      </c>
      <c r="N1558" s="83"/>
      <c r="O1558" s="83">
        <f t="shared" si="145"/>
        <v>0.00168734602967479</v>
      </c>
      <c r="P1558" s="83">
        <v>11600</v>
      </c>
    </row>
    <row r="1559" spans="1:16">
      <c r="A1559" s="71">
        <v>1557</v>
      </c>
      <c r="B1559" s="83">
        <v>11400</v>
      </c>
      <c r="C1559" s="83">
        <v>6</v>
      </c>
      <c r="D1559" s="83">
        <f t="shared" si="143"/>
        <v>7800</v>
      </c>
      <c r="E1559" s="83">
        <f t="shared" si="144"/>
        <v>7950</v>
      </c>
      <c r="F1559" s="83"/>
      <c r="G1559" s="83">
        <v>95301049</v>
      </c>
      <c r="H1559" s="83" t="s">
        <v>223</v>
      </c>
      <c r="I1559" s="83" t="s">
        <v>233</v>
      </c>
      <c r="J1559" s="83" t="s">
        <v>200</v>
      </c>
      <c r="K1559" s="83">
        <v>1</v>
      </c>
      <c r="L1559" s="83" t="s">
        <v>174</v>
      </c>
      <c r="M1559" s="83">
        <f>ROUNDDOWN(VLOOKUP(J1559,Sheet1!$N$32:$O$37,2,0)*1000,0)-100</f>
        <v>150</v>
      </c>
      <c r="N1559" s="83"/>
      <c r="O1559" s="83">
        <f t="shared" si="145"/>
        <v>0.00168734602967479</v>
      </c>
      <c r="P1559" s="83">
        <v>11600</v>
      </c>
    </row>
    <row r="1560" spans="1:16">
      <c r="A1560" s="71">
        <v>1558</v>
      </c>
      <c r="B1560" s="83">
        <v>11400</v>
      </c>
      <c r="C1560" s="83">
        <v>6</v>
      </c>
      <c r="D1560" s="83">
        <f t="shared" si="143"/>
        <v>7950</v>
      </c>
      <c r="E1560" s="83">
        <f t="shared" si="144"/>
        <v>8100</v>
      </c>
      <c r="F1560" s="83"/>
      <c r="G1560" s="83">
        <v>95301059</v>
      </c>
      <c r="H1560" s="83" t="s">
        <v>224</v>
      </c>
      <c r="I1560" s="83" t="s">
        <v>233</v>
      </c>
      <c r="J1560" s="83" t="s">
        <v>200</v>
      </c>
      <c r="K1560" s="83">
        <v>1</v>
      </c>
      <c r="L1560" s="83" t="s">
        <v>174</v>
      </c>
      <c r="M1560" s="83">
        <f>ROUNDDOWN(VLOOKUP(J1560,Sheet1!$N$32:$O$37,2,0)*1000,0)-100</f>
        <v>150</v>
      </c>
      <c r="N1560" s="83"/>
      <c r="O1560" s="83">
        <f t="shared" si="145"/>
        <v>0.00168734602967479</v>
      </c>
      <c r="P1560" s="83">
        <v>11600</v>
      </c>
    </row>
    <row r="1561" spans="1:16">
      <c r="A1561" s="71">
        <v>1559</v>
      </c>
      <c r="B1561" s="83">
        <v>11400</v>
      </c>
      <c r="C1561" s="83">
        <v>6</v>
      </c>
      <c r="D1561" s="83">
        <f t="shared" si="143"/>
        <v>8100</v>
      </c>
      <c r="E1561" s="83">
        <f t="shared" si="144"/>
        <v>8250</v>
      </c>
      <c r="F1561" s="83"/>
      <c r="G1561" s="83">
        <v>95301139</v>
      </c>
      <c r="H1561" s="83" t="s">
        <v>225</v>
      </c>
      <c r="I1561" s="83" t="s">
        <v>233</v>
      </c>
      <c r="J1561" s="83" t="s">
        <v>200</v>
      </c>
      <c r="K1561" s="83">
        <v>1</v>
      </c>
      <c r="L1561" s="83" t="s">
        <v>174</v>
      </c>
      <c r="M1561" s="83">
        <f>ROUNDDOWN(VLOOKUP(J1561,Sheet1!$N$32:$O$37,2,0)*1000,0)-100</f>
        <v>150</v>
      </c>
      <c r="N1561" s="83"/>
      <c r="O1561" s="83">
        <f t="shared" si="145"/>
        <v>0.00168734602967479</v>
      </c>
      <c r="P1561" s="83">
        <v>11600</v>
      </c>
    </row>
    <row r="1562" spans="1:16">
      <c r="A1562" s="71">
        <v>1560</v>
      </c>
      <c r="B1562" s="83">
        <v>11400</v>
      </c>
      <c r="C1562" s="83">
        <v>6</v>
      </c>
      <c r="D1562" s="83">
        <f t="shared" si="143"/>
        <v>8250</v>
      </c>
      <c r="E1562" s="83">
        <f t="shared" si="144"/>
        <v>8400</v>
      </c>
      <c r="F1562" s="83"/>
      <c r="G1562" s="83">
        <v>95301099</v>
      </c>
      <c r="H1562" s="83" t="s">
        <v>226</v>
      </c>
      <c r="I1562" s="83" t="s">
        <v>233</v>
      </c>
      <c r="J1562" s="83" t="s">
        <v>200</v>
      </c>
      <c r="K1562" s="83">
        <v>1</v>
      </c>
      <c r="L1562" s="83" t="s">
        <v>174</v>
      </c>
      <c r="M1562" s="83">
        <f>ROUNDDOWN(VLOOKUP(J1562,Sheet1!$N$32:$O$37,2,0)*1000,0)-100</f>
        <v>150</v>
      </c>
      <c r="N1562" s="83"/>
      <c r="O1562" s="83">
        <f t="shared" si="145"/>
        <v>0.00168734602967479</v>
      </c>
      <c r="P1562" s="83">
        <v>11600</v>
      </c>
    </row>
    <row r="1563" spans="1:16">
      <c r="A1563" s="71">
        <v>1561</v>
      </c>
      <c r="B1563" s="83">
        <v>11400</v>
      </c>
      <c r="C1563" s="83">
        <v>6</v>
      </c>
      <c r="D1563" s="83">
        <f t="shared" si="143"/>
        <v>8400</v>
      </c>
      <c r="E1563" s="83">
        <f t="shared" si="144"/>
        <v>8550</v>
      </c>
      <c r="F1563" s="83"/>
      <c r="G1563" s="83">
        <v>95201189</v>
      </c>
      <c r="H1563" s="83" t="s">
        <v>227</v>
      </c>
      <c r="I1563" s="83" t="s">
        <v>233</v>
      </c>
      <c r="J1563" s="83" t="s">
        <v>200</v>
      </c>
      <c r="K1563" s="83">
        <v>1</v>
      </c>
      <c r="L1563" s="83" t="s">
        <v>174</v>
      </c>
      <c r="M1563" s="83">
        <f>ROUNDDOWN(VLOOKUP(J1563,Sheet1!$N$32:$O$37,2,0)*1000,0)-100</f>
        <v>150</v>
      </c>
      <c r="N1563" s="83"/>
      <c r="O1563" s="83">
        <f t="shared" si="145"/>
        <v>0.00168734602967479</v>
      </c>
      <c r="P1563" s="83">
        <v>11600</v>
      </c>
    </row>
    <row r="1564" spans="1:16">
      <c r="A1564" s="71">
        <v>1562</v>
      </c>
      <c r="B1564" s="83">
        <v>11400</v>
      </c>
      <c r="C1564" s="83">
        <v>6</v>
      </c>
      <c r="D1564" s="83">
        <f t="shared" si="143"/>
        <v>8550</v>
      </c>
      <c r="E1564" s="83">
        <f t="shared" si="144"/>
        <v>8700</v>
      </c>
      <c r="F1564" s="83"/>
      <c r="G1564" s="83">
        <v>95301149</v>
      </c>
      <c r="H1564" s="83" t="s">
        <v>228</v>
      </c>
      <c r="I1564" s="83" t="s">
        <v>233</v>
      </c>
      <c r="J1564" s="83" t="s">
        <v>200</v>
      </c>
      <c r="K1564" s="83">
        <v>1</v>
      </c>
      <c r="L1564" s="83" t="s">
        <v>174</v>
      </c>
      <c r="M1564" s="83">
        <f>ROUNDDOWN(VLOOKUP(J1564,Sheet1!$N$32:$O$37,2,0)*1000,0)-100</f>
        <v>150</v>
      </c>
      <c r="N1564" s="83"/>
      <c r="O1564" s="83">
        <f t="shared" si="145"/>
        <v>0.00168734602967479</v>
      </c>
      <c r="P1564" s="83">
        <v>11600</v>
      </c>
    </row>
    <row r="1565" spans="1:16">
      <c r="A1565" s="71">
        <v>1563</v>
      </c>
      <c r="B1565" s="83">
        <v>11400</v>
      </c>
      <c r="C1565" s="83">
        <v>6</v>
      </c>
      <c r="D1565" s="83">
        <f t="shared" si="143"/>
        <v>8700</v>
      </c>
      <c r="E1565" s="83">
        <f t="shared" si="144"/>
        <v>8850</v>
      </c>
      <c r="F1565" s="83"/>
      <c r="G1565" s="83">
        <v>95301159</v>
      </c>
      <c r="H1565" s="83" t="s">
        <v>229</v>
      </c>
      <c r="I1565" s="83" t="s">
        <v>233</v>
      </c>
      <c r="J1565" s="83" t="s">
        <v>200</v>
      </c>
      <c r="K1565" s="83">
        <v>1</v>
      </c>
      <c r="L1565" s="83" t="s">
        <v>174</v>
      </c>
      <c r="M1565" s="83">
        <f>ROUNDDOWN(VLOOKUP(J1565,Sheet1!$N$32:$O$37,2,0)*1000,0)-100</f>
        <v>150</v>
      </c>
      <c r="N1565" s="83"/>
      <c r="O1565" s="83">
        <f t="shared" si="145"/>
        <v>0.00168734602967479</v>
      </c>
      <c r="P1565" s="83">
        <v>11600</v>
      </c>
    </row>
    <row r="1566" spans="1:16">
      <c r="A1566" s="71">
        <v>1564</v>
      </c>
      <c r="B1566" s="83">
        <v>11400</v>
      </c>
      <c r="C1566" s="83">
        <v>1</v>
      </c>
      <c r="D1566" s="83">
        <f t="shared" si="143"/>
        <v>8850</v>
      </c>
      <c r="E1566" s="83">
        <f t="shared" ref="E1566:E1629" si="146">D1566+M1566</f>
        <v>13225</v>
      </c>
      <c r="F1566" s="83"/>
      <c r="G1566" s="83">
        <v>901000</v>
      </c>
      <c r="H1566" s="83" t="s">
        <v>234</v>
      </c>
      <c r="I1566" s="83"/>
      <c r="J1566" s="83" t="s">
        <v>235</v>
      </c>
      <c r="K1566" s="83">
        <v>1</v>
      </c>
      <c r="L1566" s="83" t="s">
        <v>174</v>
      </c>
      <c r="M1566" s="83">
        <f>ROUNDDOWN(VLOOKUP(J1566,Sheet1!$N$32:$O$37,2,0)*1000,0)</f>
        <v>4375</v>
      </c>
      <c r="N1566" s="83"/>
      <c r="O1566" s="83">
        <f t="shared" si="145"/>
        <v>0.0492142591988481</v>
      </c>
      <c r="P1566" s="83">
        <v>11000</v>
      </c>
    </row>
    <row r="1567" spans="1:16">
      <c r="A1567" s="71">
        <v>1565</v>
      </c>
      <c r="B1567" s="83">
        <v>11400</v>
      </c>
      <c r="C1567" s="83">
        <v>2</v>
      </c>
      <c r="D1567" s="83">
        <f t="shared" si="143"/>
        <v>13225</v>
      </c>
      <c r="E1567" s="83">
        <f t="shared" si="146"/>
        <v>17600</v>
      </c>
      <c r="F1567" s="83"/>
      <c r="G1567" s="83">
        <v>901001</v>
      </c>
      <c r="H1567" s="83" t="s">
        <v>236</v>
      </c>
      <c r="I1567" s="83"/>
      <c r="J1567" s="83" t="s">
        <v>235</v>
      </c>
      <c r="K1567" s="83">
        <v>1</v>
      </c>
      <c r="L1567" s="83" t="s">
        <v>174</v>
      </c>
      <c r="M1567" s="83">
        <f>ROUNDDOWN(VLOOKUP(J1567,Sheet1!$N$32:$O$37,2,0)*1000,0)</f>
        <v>4375</v>
      </c>
      <c r="N1567" s="83"/>
      <c r="O1567" s="83">
        <f t="shared" si="145"/>
        <v>0.0492142591988481</v>
      </c>
      <c r="P1567" s="83">
        <v>11000</v>
      </c>
    </row>
    <row r="1568" spans="1:16">
      <c r="A1568" s="71">
        <v>1566</v>
      </c>
      <c r="B1568" s="83">
        <v>11400</v>
      </c>
      <c r="C1568" s="83">
        <v>3</v>
      </c>
      <c r="D1568" s="83">
        <f t="shared" si="143"/>
        <v>17600</v>
      </c>
      <c r="E1568" s="83">
        <f t="shared" si="146"/>
        <v>21975</v>
      </c>
      <c r="F1568" s="83"/>
      <c r="G1568" s="83">
        <v>901002</v>
      </c>
      <c r="H1568" s="83" t="s">
        <v>237</v>
      </c>
      <c r="I1568" s="83"/>
      <c r="J1568" s="83" t="s">
        <v>235</v>
      </c>
      <c r="K1568" s="83">
        <v>1</v>
      </c>
      <c r="L1568" s="83" t="s">
        <v>174</v>
      </c>
      <c r="M1568" s="83">
        <f>ROUNDDOWN(VLOOKUP(J1568,Sheet1!$N$32:$O$37,2,0)*1000,0)</f>
        <v>4375</v>
      </c>
      <c r="N1568" s="83"/>
      <c r="O1568" s="83">
        <f t="shared" si="145"/>
        <v>0.0492142591988481</v>
      </c>
      <c r="P1568" s="83">
        <v>11000</v>
      </c>
    </row>
    <row r="1569" spans="1:16">
      <c r="A1569" s="71">
        <v>1567</v>
      </c>
      <c r="B1569" s="83">
        <v>11400</v>
      </c>
      <c r="C1569" s="83">
        <v>4</v>
      </c>
      <c r="D1569" s="83">
        <f t="shared" si="143"/>
        <v>21975</v>
      </c>
      <c r="E1569" s="83">
        <f t="shared" si="146"/>
        <v>26350</v>
      </c>
      <c r="F1569" s="83"/>
      <c r="G1569" s="83">
        <v>901003</v>
      </c>
      <c r="H1569" s="83" t="s">
        <v>238</v>
      </c>
      <c r="I1569" s="83"/>
      <c r="J1569" s="83" t="s">
        <v>235</v>
      </c>
      <c r="K1569" s="83">
        <v>1</v>
      </c>
      <c r="L1569" s="83" t="s">
        <v>174</v>
      </c>
      <c r="M1569" s="83">
        <f>ROUNDDOWN(VLOOKUP(J1569,Sheet1!$N$32:$O$37,2,0)*1000,0)</f>
        <v>4375</v>
      </c>
      <c r="N1569" s="83"/>
      <c r="O1569" s="83">
        <f t="shared" si="145"/>
        <v>0.0492142591988481</v>
      </c>
      <c r="P1569" s="83">
        <v>11000</v>
      </c>
    </row>
    <row r="1570" spans="1:16">
      <c r="A1570" s="71">
        <v>1568</v>
      </c>
      <c r="B1570" s="83">
        <v>11400</v>
      </c>
      <c r="C1570" s="83">
        <v>1</v>
      </c>
      <c r="D1570" s="83">
        <f t="shared" si="143"/>
        <v>26350</v>
      </c>
      <c r="E1570" s="83">
        <f t="shared" si="146"/>
        <v>30725</v>
      </c>
      <c r="F1570" s="83"/>
      <c r="G1570" s="83">
        <v>901100</v>
      </c>
      <c r="H1570" s="83" t="s">
        <v>239</v>
      </c>
      <c r="I1570" s="83"/>
      <c r="J1570" s="83" t="s">
        <v>235</v>
      </c>
      <c r="K1570" s="83">
        <v>1</v>
      </c>
      <c r="L1570" s="83" t="s">
        <v>174</v>
      </c>
      <c r="M1570" s="83">
        <f>ROUNDDOWN(VLOOKUP(J1570,Sheet1!$N$32:$O$37,2,0)*1000,0)</f>
        <v>4375</v>
      </c>
      <c r="N1570" s="83"/>
      <c r="O1570" s="83">
        <f t="shared" si="145"/>
        <v>0.0492142591988481</v>
      </c>
      <c r="P1570" s="83">
        <v>11000</v>
      </c>
    </row>
    <row r="1571" spans="1:16">
      <c r="A1571" s="71">
        <v>1569</v>
      </c>
      <c r="B1571" s="83">
        <v>11400</v>
      </c>
      <c r="C1571" s="83">
        <v>2</v>
      </c>
      <c r="D1571" s="83">
        <f t="shared" si="143"/>
        <v>30725</v>
      </c>
      <c r="E1571" s="83">
        <f t="shared" si="146"/>
        <v>35100</v>
      </c>
      <c r="F1571" s="83"/>
      <c r="G1571" s="83">
        <v>901101</v>
      </c>
      <c r="H1571" s="83" t="s">
        <v>240</v>
      </c>
      <c r="I1571" s="83"/>
      <c r="J1571" s="83" t="s">
        <v>235</v>
      </c>
      <c r="K1571" s="83">
        <v>1</v>
      </c>
      <c r="L1571" s="83" t="s">
        <v>174</v>
      </c>
      <c r="M1571" s="83">
        <f>ROUNDDOWN(VLOOKUP(J1571,Sheet1!$N$32:$O$37,2,0)*1000,0)</f>
        <v>4375</v>
      </c>
      <c r="N1571" s="83"/>
      <c r="O1571" s="83">
        <f t="shared" si="145"/>
        <v>0.0492142591988481</v>
      </c>
      <c r="P1571" s="83">
        <v>11000</v>
      </c>
    </row>
    <row r="1572" spans="1:16">
      <c r="A1572" s="71">
        <v>1570</v>
      </c>
      <c r="B1572" s="83">
        <v>11400</v>
      </c>
      <c r="C1572" s="83">
        <v>3</v>
      </c>
      <c r="D1572" s="83">
        <f t="shared" si="143"/>
        <v>35100</v>
      </c>
      <c r="E1572" s="83">
        <f t="shared" si="146"/>
        <v>39475</v>
      </c>
      <c r="F1572" s="83"/>
      <c r="G1572" s="83">
        <v>901102</v>
      </c>
      <c r="H1572" s="83" t="s">
        <v>241</v>
      </c>
      <c r="I1572" s="83"/>
      <c r="J1572" s="83" t="s">
        <v>235</v>
      </c>
      <c r="K1572" s="83">
        <v>1</v>
      </c>
      <c r="L1572" s="83" t="s">
        <v>174</v>
      </c>
      <c r="M1572" s="83">
        <f>ROUNDDOWN(VLOOKUP(J1572,Sheet1!$N$32:$O$37,2,0)*1000,0)</f>
        <v>4375</v>
      </c>
      <c r="N1572" s="83"/>
      <c r="O1572" s="83">
        <f t="shared" si="145"/>
        <v>0.0492142591988481</v>
      </c>
      <c r="P1572" s="83">
        <v>11000</v>
      </c>
    </row>
    <row r="1573" spans="1:16">
      <c r="A1573" s="71">
        <v>1571</v>
      </c>
      <c r="B1573" s="83">
        <v>11400</v>
      </c>
      <c r="C1573" s="83">
        <v>4</v>
      </c>
      <c r="D1573" s="83">
        <f t="shared" si="143"/>
        <v>39475</v>
      </c>
      <c r="E1573" s="83">
        <f t="shared" si="146"/>
        <v>43850</v>
      </c>
      <c r="F1573" s="83"/>
      <c r="G1573" s="83">
        <v>901103</v>
      </c>
      <c r="H1573" s="83" t="s">
        <v>242</v>
      </c>
      <c r="I1573" s="83"/>
      <c r="J1573" s="83" t="s">
        <v>235</v>
      </c>
      <c r="K1573" s="83">
        <v>1</v>
      </c>
      <c r="L1573" s="83" t="s">
        <v>174</v>
      </c>
      <c r="M1573" s="83">
        <f>ROUNDDOWN(VLOOKUP(J1573,Sheet1!$N$32:$O$37,2,0)*1000,0)</f>
        <v>4375</v>
      </c>
      <c r="N1573" s="83"/>
      <c r="O1573" s="83">
        <f t="shared" si="145"/>
        <v>0.0492142591988481</v>
      </c>
      <c r="P1573" s="83">
        <v>11000</v>
      </c>
    </row>
    <row r="1574" spans="1:16">
      <c r="A1574" s="71">
        <v>1572</v>
      </c>
      <c r="B1574" s="83">
        <v>11400</v>
      </c>
      <c r="C1574" s="83">
        <v>7</v>
      </c>
      <c r="D1574" s="83">
        <f t="shared" si="143"/>
        <v>43850</v>
      </c>
      <c r="E1574" s="83">
        <f t="shared" si="146"/>
        <v>44326</v>
      </c>
      <c r="F1574" s="83"/>
      <c r="G1574" s="83">
        <v>100101</v>
      </c>
      <c r="H1574" s="83" t="s">
        <v>243</v>
      </c>
      <c r="I1574" s="83"/>
      <c r="J1574" s="83" t="s">
        <v>244</v>
      </c>
      <c r="K1574" s="83">
        <v>1</v>
      </c>
      <c r="L1574" s="83" t="s">
        <v>174</v>
      </c>
      <c r="M1574" s="83">
        <f>ROUNDDOWN(VLOOKUP(J1574,Sheet1!$N$32:$O$37,2,0)*1000,0)</f>
        <v>476</v>
      </c>
      <c r="N1574" s="83"/>
      <c r="O1574" s="83">
        <f t="shared" si="145"/>
        <v>0.00535451140083467</v>
      </c>
      <c r="P1574" s="83">
        <v>11000</v>
      </c>
    </row>
    <row r="1575" spans="1:16">
      <c r="A1575" s="71">
        <v>1573</v>
      </c>
      <c r="B1575" s="83">
        <v>11400</v>
      </c>
      <c r="C1575" s="83">
        <v>7</v>
      </c>
      <c r="D1575" s="83">
        <f t="shared" si="143"/>
        <v>44326</v>
      </c>
      <c r="E1575" s="83">
        <f t="shared" si="146"/>
        <v>44802</v>
      </c>
      <c r="F1575" s="83"/>
      <c r="G1575" s="83">
        <v>100103</v>
      </c>
      <c r="H1575" s="83" t="s">
        <v>245</v>
      </c>
      <c r="I1575" s="83"/>
      <c r="J1575" s="83" t="s">
        <v>244</v>
      </c>
      <c r="K1575" s="83">
        <v>1</v>
      </c>
      <c r="L1575" s="83" t="s">
        <v>174</v>
      </c>
      <c r="M1575" s="83">
        <f>ROUNDDOWN(VLOOKUP(J1575,Sheet1!$N$32:$O$37,2,0)*1000,0)</f>
        <v>476</v>
      </c>
      <c r="N1575" s="83"/>
      <c r="O1575" s="83">
        <f t="shared" si="145"/>
        <v>0.00535451140083467</v>
      </c>
      <c r="P1575" s="83">
        <v>11000</v>
      </c>
    </row>
    <row r="1576" spans="1:16">
      <c r="A1576" s="71">
        <v>1574</v>
      </c>
      <c r="B1576" s="83">
        <v>11400</v>
      </c>
      <c r="C1576" s="83">
        <v>7</v>
      </c>
      <c r="D1576" s="83">
        <f t="shared" si="143"/>
        <v>44802</v>
      </c>
      <c r="E1576" s="83">
        <f t="shared" si="146"/>
        <v>45278</v>
      </c>
      <c r="F1576" s="83"/>
      <c r="G1576" s="83">
        <v>100107</v>
      </c>
      <c r="H1576" s="83" t="s">
        <v>246</v>
      </c>
      <c r="I1576" s="83"/>
      <c r="J1576" s="83" t="s">
        <v>244</v>
      </c>
      <c r="K1576" s="83">
        <v>1</v>
      </c>
      <c r="L1576" s="83" t="s">
        <v>174</v>
      </c>
      <c r="M1576" s="83">
        <f>ROUNDDOWN(VLOOKUP(J1576,Sheet1!$N$32:$O$37,2,0)*1000,0)</f>
        <v>476</v>
      </c>
      <c r="N1576" s="83"/>
      <c r="O1576" s="83">
        <f t="shared" si="145"/>
        <v>0.00535451140083467</v>
      </c>
      <c r="P1576" s="83">
        <v>11000</v>
      </c>
    </row>
    <row r="1577" spans="1:16">
      <c r="A1577" s="71">
        <v>1575</v>
      </c>
      <c r="B1577" s="83">
        <v>11400</v>
      </c>
      <c r="C1577" s="83">
        <v>7</v>
      </c>
      <c r="D1577" s="83">
        <f t="shared" si="143"/>
        <v>45278</v>
      </c>
      <c r="E1577" s="83">
        <f t="shared" si="146"/>
        <v>45754</v>
      </c>
      <c r="F1577" s="83"/>
      <c r="G1577" s="83">
        <v>100108</v>
      </c>
      <c r="H1577" s="83" t="s">
        <v>247</v>
      </c>
      <c r="I1577" s="83"/>
      <c r="J1577" s="83" t="s">
        <v>244</v>
      </c>
      <c r="K1577" s="83">
        <v>1</v>
      </c>
      <c r="L1577" s="83" t="s">
        <v>174</v>
      </c>
      <c r="M1577" s="83">
        <f>ROUNDDOWN(VLOOKUP(J1577,Sheet1!$N$32:$O$37,2,0)*1000,0)</f>
        <v>476</v>
      </c>
      <c r="N1577" s="83"/>
      <c r="O1577" s="83">
        <f t="shared" si="145"/>
        <v>0.00535451140083467</v>
      </c>
      <c r="P1577" s="83">
        <v>11000</v>
      </c>
    </row>
    <row r="1578" spans="1:16">
      <c r="A1578" s="71">
        <v>1576</v>
      </c>
      <c r="B1578" s="83">
        <v>11400</v>
      </c>
      <c r="C1578" s="83">
        <v>7</v>
      </c>
      <c r="D1578" s="83">
        <f t="shared" si="143"/>
        <v>45754</v>
      </c>
      <c r="E1578" s="83">
        <f t="shared" si="146"/>
        <v>46230</v>
      </c>
      <c r="F1578" s="83"/>
      <c r="G1578" s="83">
        <v>100113</v>
      </c>
      <c r="H1578" s="83" t="s">
        <v>248</v>
      </c>
      <c r="I1578" s="83"/>
      <c r="J1578" s="83" t="s">
        <v>244</v>
      </c>
      <c r="K1578" s="83">
        <v>1</v>
      </c>
      <c r="L1578" s="83" t="s">
        <v>174</v>
      </c>
      <c r="M1578" s="83">
        <f>ROUNDDOWN(VLOOKUP(J1578,Sheet1!$N$32:$O$37,2,0)*1000,0)</f>
        <v>476</v>
      </c>
      <c r="N1578" s="83"/>
      <c r="O1578" s="83">
        <f t="shared" si="145"/>
        <v>0.00535451140083467</v>
      </c>
      <c r="P1578" s="83">
        <v>11000</v>
      </c>
    </row>
    <row r="1579" spans="1:16">
      <c r="A1579" s="71">
        <v>1577</v>
      </c>
      <c r="B1579" s="83">
        <v>11400</v>
      </c>
      <c r="C1579" s="83">
        <v>7</v>
      </c>
      <c r="D1579" s="83">
        <f t="shared" si="143"/>
        <v>46230</v>
      </c>
      <c r="E1579" s="83">
        <f t="shared" si="146"/>
        <v>46706</v>
      </c>
      <c r="F1579" s="83"/>
      <c r="G1579" s="83">
        <v>100114</v>
      </c>
      <c r="H1579" s="83" t="s">
        <v>249</v>
      </c>
      <c r="I1579" s="83"/>
      <c r="J1579" s="83" t="s">
        <v>244</v>
      </c>
      <c r="K1579" s="83">
        <v>1</v>
      </c>
      <c r="L1579" s="83" t="s">
        <v>174</v>
      </c>
      <c r="M1579" s="83">
        <f>ROUNDDOWN(VLOOKUP(J1579,Sheet1!$N$32:$O$37,2,0)*1000,0)</f>
        <v>476</v>
      </c>
      <c r="N1579" s="83"/>
      <c r="O1579" s="83">
        <f t="shared" si="145"/>
        <v>0.00535451140083467</v>
      </c>
      <c r="P1579" s="83">
        <v>11000</v>
      </c>
    </row>
    <row r="1580" spans="1:16">
      <c r="A1580" s="71">
        <v>1578</v>
      </c>
      <c r="B1580" s="83">
        <v>11400</v>
      </c>
      <c r="C1580" s="83">
        <v>7</v>
      </c>
      <c r="D1580" s="83">
        <f t="shared" si="143"/>
        <v>46706</v>
      </c>
      <c r="E1580" s="83">
        <f t="shared" si="146"/>
        <v>47182</v>
      </c>
      <c r="F1580" s="83"/>
      <c r="G1580" s="83">
        <v>100116</v>
      </c>
      <c r="H1580" s="83" t="s">
        <v>250</v>
      </c>
      <c r="I1580" s="83"/>
      <c r="J1580" s="83" t="s">
        <v>244</v>
      </c>
      <c r="K1580" s="83">
        <v>1</v>
      </c>
      <c r="L1580" s="83" t="s">
        <v>174</v>
      </c>
      <c r="M1580" s="83">
        <f>ROUNDDOWN(VLOOKUP(J1580,Sheet1!$N$32:$O$37,2,0)*1000,0)</f>
        <v>476</v>
      </c>
      <c r="N1580" s="83"/>
      <c r="O1580" s="83">
        <f t="shared" si="145"/>
        <v>0.00535451140083467</v>
      </c>
      <c r="P1580" s="83">
        <v>11000</v>
      </c>
    </row>
    <row r="1581" spans="1:16">
      <c r="A1581" s="71">
        <v>1579</v>
      </c>
      <c r="B1581" s="83">
        <v>11400</v>
      </c>
      <c r="C1581" s="83">
        <v>7</v>
      </c>
      <c r="D1581" s="83">
        <f t="shared" si="143"/>
        <v>47182</v>
      </c>
      <c r="E1581" s="83">
        <f t="shared" si="146"/>
        <v>47658</v>
      </c>
      <c r="F1581" s="83"/>
      <c r="G1581" s="83">
        <v>100120</v>
      </c>
      <c r="H1581" s="83" t="s">
        <v>251</v>
      </c>
      <c r="I1581" s="83"/>
      <c r="J1581" s="83" t="s">
        <v>244</v>
      </c>
      <c r="K1581" s="83">
        <v>1</v>
      </c>
      <c r="L1581" s="83" t="s">
        <v>174</v>
      </c>
      <c r="M1581" s="83">
        <f>ROUNDDOWN(VLOOKUP(J1581,Sheet1!$N$32:$O$37,2,0)*1000,0)</f>
        <v>476</v>
      </c>
      <c r="N1581" s="83"/>
      <c r="O1581" s="83">
        <f t="shared" si="145"/>
        <v>0.00535451140083467</v>
      </c>
      <c r="P1581" s="83">
        <v>11000</v>
      </c>
    </row>
    <row r="1582" spans="1:16">
      <c r="A1582" s="71">
        <v>1580</v>
      </c>
      <c r="B1582" s="83">
        <v>11400</v>
      </c>
      <c r="C1582" s="83">
        <v>7</v>
      </c>
      <c r="D1582" s="83">
        <f t="shared" si="143"/>
        <v>47658</v>
      </c>
      <c r="E1582" s="83">
        <f t="shared" si="146"/>
        <v>48134</v>
      </c>
      <c r="F1582" s="83"/>
      <c r="G1582" s="83">
        <v>100125</v>
      </c>
      <c r="H1582" s="83" t="s">
        <v>252</v>
      </c>
      <c r="I1582" s="83"/>
      <c r="J1582" s="83" t="s">
        <v>244</v>
      </c>
      <c r="K1582" s="83">
        <v>1</v>
      </c>
      <c r="L1582" s="83" t="s">
        <v>174</v>
      </c>
      <c r="M1582" s="83">
        <f>ROUNDDOWN(VLOOKUP(J1582,Sheet1!$N$32:$O$37,2,0)*1000,0)</f>
        <v>476</v>
      </c>
      <c r="N1582" s="83"/>
      <c r="O1582" s="83">
        <f t="shared" si="145"/>
        <v>0.00535451140083467</v>
      </c>
      <c r="P1582" s="83">
        <v>11000</v>
      </c>
    </row>
    <row r="1583" spans="1:16">
      <c r="A1583" s="71">
        <v>1581</v>
      </c>
      <c r="B1583" s="83">
        <v>11400</v>
      </c>
      <c r="C1583" s="83">
        <v>7</v>
      </c>
      <c r="D1583" s="83">
        <f t="shared" si="143"/>
        <v>48134</v>
      </c>
      <c r="E1583" s="83">
        <f t="shared" si="146"/>
        <v>48610</v>
      </c>
      <c r="F1583" s="83"/>
      <c r="G1583" s="83">
        <v>100126</v>
      </c>
      <c r="H1583" s="83" t="s">
        <v>253</v>
      </c>
      <c r="I1583" s="83"/>
      <c r="J1583" s="83" t="s">
        <v>244</v>
      </c>
      <c r="K1583" s="83">
        <v>1</v>
      </c>
      <c r="L1583" s="83" t="s">
        <v>174</v>
      </c>
      <c r="M1583" s="83">
        <f>ROUNDDOWN(VLOOKUP(J1583,Sheet1!$N$32:$O$37,2,0)*1000,0)</f>
        <v>476</v>
      </c>
      <c r="N1583" s="83"/>
      <c r="O1583" s="83">
        <f t="shared" si="145"/>
        <v>0.00535451140083467</v>
      </c>
      <c r="P1583" s="83">
        <v>11000</v>
      </c>
    </row>
    <row r="1584" spans="1:16">
      <c r="A1584" s="71">
        <v>1582</v>
      </c>
      <c r="B1584" s="83">
        <v>11400</v>
      </c>
      <c r="C1584" s="83">
        <v>7</v>
      </c>
      <c r="D1584" s="83">
        <f t="shared" si="143"/>
        <v>48610</v>
      </c>
      <c r="E1584" s="83">
        <f t="shared" si="146"/>
        <v>49086</v>
      </c>
      <c r="F1584" s="83"/>
      <c r="G1584" s="83">
        <v>100127</v>
      </c>
      <c r="H1584" s="83" t="s">
        <v>254</v>
      </c>
      <c r="I1584" s="83"/>
      <c r="J1584" s="83" t="s">
        <v>244</v>
      </c>
      <c r="K1584" s="83">
        <v>1</v>
      </c>
      <c r="L1584" s="83" t="s">
        <v>174</v>
      </c>
      <c r="M1584" s="83">
        <f>ROUNDDOWN(VLOOKUP(J1584,Sheet1!$N$32:$O$37,2,0)*1000,0)</f>
        <v>476</v>
      </c>
      <c r="N1584" s="83"/>
      <c r="O1584" s="83">
        <f t="shared" si="145"/>
        <v>0.00535451140083467</v>
      </c>
      <c r="P1584" s="83">
        <v>11000</v>
      </c>
    </row>
    <row r="1585" spans="1:16">
      <c r="A1585" s="71">
        <v>1583</v>
      </c>
      <c r="B1585" s="83">
        <v>11400</v>
      </c>
      <c r="C1585" s="83">
        <v>7</v>
      </c>
      <c r="D1585" s="83">
        <f t="shared" si="143"/>
        <v>49086</v>
      </c>
      <c r="E1585" s="83">
        <f t="shared" si="146"/>
        <v>49562</v>
      </c>
      <c r="F1585" s="83"/>
      <c r="G1585" s="83">
        <v>100132</v>
      </c>
      <c r="H1585" s="83" t="s">
        <v>255</v>
      </c>
      <c r="I1585" s="83"/>
      <c r="J1585" s="83" t="s">
        <v>244</v>
      </c>
      <c r="K1585" s="83">
        <v>1</v>
      </c>
      <c r="L1585" s="83" t="s">
        <v>174</v>
      </c>
      <c r="M1585" s="83">
        <f>ROUNDDOWN(VLOOKUP(J1585,Sheet1!$N$32:$O$37,2,0)*1000,0)</f>
        <v>476</v>
      </c>
      <c r="N1585" s="83"/>
      <c r="O1585" s="83">
        <f t="shared" si="145"/>
        <v>0.00535451140083467</v>
      </c>
      <c r="P1585" s="83">
        <v>11000</v>
      </c>
    </row>
    <row r="1586" spans="1:16">
      <c r="A1586" s="71">
        <v>1584</v>
      </c>
      <c r="B1586" s="83">
        <v>11400</v>
      </c>
      <c r="C1586" s="83">
        <v>7</v>
      </c>
      <c r="D1586" s="83">
        <f t="shared" si="143"/>
        <v>49562</v>
      </c>
      <c r="E1586" s="83">
        <f t="shared" si="146"/>
        <v>50038</v>
      </c>
      <c r="F1586" s="83"/>
      <c r="G1586" s="83">
        <v>100133</v>
      </c>
      <c r="H1586" s="83" t="s">
        <v>256</v>
      </c>
      <c r="I1586" s="83"/>
      <c r="J1586" s="83" t="s">
        <v>244</v>
      </c>
      <c r="K1586" s="83">
        <v>1</v>
      </c>
      <c r="L1586" s="83" t="s">
        <v>174</v>
      </c>
      <c r="M1586" s="83">
        <f>ROUNDDOWN(VLOOKUP(J1586,Sheet1!$N$32:$O$37,2,0)*1000,0)</f>
        <v>476</v>
      </c>
      <c r="N1586" s="83"/>
      <c r="O1586" s="83">
        <f t="shared" si="145"/>
        <v>0.00535451140083467</v>
      </c>
      <c r="P1586" s="83">
        <v>11000</v>
      </c>
    </row>
    <row r="1587" spans="1:16">
      <c r="A1587" s="71">
        <v>1585</v>
      </c>
      <c r="B1587" s="83">
        <v>11400</v>
      </c>
      <c r="C1587" s="83">
        <v>7</v>
      </c>
      <c r="D1587" s="83">
        <f t="shared" si="143"/>
        <v>50038</v>
      </c>
      <c r="E1587" s="83">
        <f t="shared" si="146"/>
        <v>50514</v>
      </c>
      <c r="F1587" s="83"/>
      <c r="G1587" s="83">
        <v>100134</v>
      </c>
      <c r="H1587" s="83" t="s">
        <v>257</v>
      </c>
      <c r="I1587" s="83"/>
      <c r="J1587" s="83" t="s">
        <v>244</v>
      </c>
      <c r="K1587" s="83">
        <v>1</v>
      </c>
      <c r="L1587" s="83" t="s">
        <v>174</v>
      </c>
      <c r="M1587" s="83">
        <f>ROUNDDOWN(VLOOKUP(J1587,Sheet1!$N$32:$O$37,2,0)*1000,0)</f>
        <v>476</v>
      </c>
      <c r="N1587" s="83"/>
      <c r="O1587" s="83">
        <f t="shared" ref="O1587:O1606" si="147">(E1587-D1587)/$E$1606</f>
        <v>0.00535451140083467</v>
      </c>
      <c r="P1587" s="83">
        <v>11000</v>
      </c>
    </row>
    <row r="1588" spans="1:16">
      <c r="A1588" s="71">
        <v>1586</v>
      </c>
      <c r="B1588" s="83">
        <v>11400</v>
      </c>
      <c r="C1588" s="83">
        <v>7</v>
      </c>
      <c r="D1588" s="83">
        <f t="shared" si="143"/>
        <v>50514</v>
      </c>
      <c r="E1588" s="83">
        <f t="shared" si="146"/>
        <v>50990</v>
      </c>
      <c r="F1588" s="83"/>
      <c r="G1588" s="83">
        <v>100135</v>
      </c>
      <c r="H1588" s="83" t="s">
        <v>258</v>
      </c>
      <c r="I1588" s="83"/>
      <c r="J1588" s="83" t="s">
        <v>244</v>
      </c>
      <c r="K1588" s="83">
        <v>1</v>
      </c>
      <c r="L1588" s="83" t="s">
        <v>174</v>
      </c>
      <c r="M1588" s="83">
        <f>ROUNDDOWN(VLOOKUP(J1588,Sheet1!$N$32:$O$37,2,0)*1000,0)</f>
        <v>476</v>
      </c>
      <c r="N1588" s="83"/>
      <c r="O1588" s="83">
        <f t="shared" si="147"/>
        <v>0.00535451140083467</v>
      </c>
      <c r="P1588" s="83">
        <v>11000</v>
      </c>
    </row>
    <row r="1589" spans="1:16">
      <c r="A1589" s="71">
        <v>1587</v>
      </c>
      <c r="B1589" s="83">
        <v>11400</v>
      </c>
      <c r="C1589" s="83">
        <v>7</v>
      </c>
      <c r="D1589" s="83">
        <f t="shared" si="143"/>
        <v>50990</v>
      </c>
      <c r="E1589" s="83">
        <f t="shared" si="146"/>
        <v>51466</v>
      </c>
      <c r="F1589" s="83"/>
      <c r="G1589" s="83">
        <v>100136</v>
      </c>
      <c r="H1589" s="83" t="s">
        <v>259</v>
      </c>
      <c r="I1589" s="83"/>
      <c r="J1589" s="83" t="s">
        <v>244</v>
      </c>
      <c r="K1589" s="83">
        <v>1</v>
      </c>
      <c r="L1589" s="83" t="s">
        <v>174</v>
      </c>
      <c r="M1589" s="83">
        <f>ROUNDDOWN(VLOOKUP(J1589,Sheet1!$N$32:$O$37,2,0)*1000,0)</f>
        <v>476</v>
      </c>
      <c r="N1589" s="83"/>
      <c r="O1589" s="83">
        <f t="shared" si="147"/>
        <v>0.00535451140083467</v>
      </c>
      <c r="P1589" s="83">
        <v>11000</v>
      </c>
    </row>
    <row r="1590" spans="1:16">
      <c r="A1590" s="71">
        <v>1588</v>
      </c>
      <c r="B1590" s="83">
        <v>11400</v>
      </c>
      <c r="C1590" s="83">
        <v>7</v>
      </c>
      <c r="D1590" s="83">
        <f t="shared" si="143"/>
        <v>51466</v>
      </c>
      <c r="E1590" s="83">
        <f t="shared" si="146"/>
        <v>51942</v>
      </c>
      <c r="F1590" s="83"/>
      <c r="G1590" s="83">
        <v>100137</v>
      </c>
      <c r="H1590" s="83" t="s">
        <v>260</v>
      </c>
      <c r="I1590" s="83"/>
      <c r="J1590" s="83" t="s">
        <v>244</v>
      </c>
      <c r="K1590" s="83">
        <v>1</v>
      </c>
      <c r="L1590" s="83" t="s">
        <v>174</v>
      </c>
      <c r="M1590" s="83">
        <f>ROUNDDOWN(VLOOKUP(J1590,Sheet1!$N$32:$O$37,2,0)*1000,0)</f>
        <v>476</v>
      </c>
      <c r="N1590" s="83"/>
      <c r="O1590" s="83">
        <f t="shared" si="147"/>
        <v>0.00535451140083467</v>
      </c>
      <c r="P1590" s="83">
        <v>11000</v>
      </c>
    </row>
    <row r="1591" spans="1:16">
      <c r="A1591" s="71">
        <v>1589</v>
      </c>
      <c r="B1591" s="83">
        <v>11400</v>
      </c>
      <c r="C1591" s="83">
        <v>7</v>
      </c>
      <c r="D1591" s="83">
        <f t="shared" si="143"/>
        <v>51942</v>
      </c>
      <c r="E1591" s="83">
        <f t="shared" si="146"/>
        <v>52418</v>
      </c>
      <c r="F1591" s="83"/>
      <c r="G1591" s="83">
        <v>100138</v>
      </c>
      <c r="H1591" s="83" t="s">
        <v>261</v>
      </c>
      <c r="I1591" s="83"/>
      <c r="J1591" s="83" t="s">
        <v>244</v>
      </c>
      <c r="K1591" s="83">
        <v>1</v>
      </c>
      <c r="L1591" s="83" t="s">
        <v>174</v>
      </c>
      <c r="M1591" s="83">
        <f>ROUNDDOWN(VLOOKUP(J1591,Sheet1!$N$32:$O$37,2,0)*1000,0)</f>
        <v>476</v>
      </c>
      <c r="N1591" s="83"/>
      <c r="O1591" s="83">
        <f t="shared" si="147"/>
        <v>0.00535451140083467</v>
      </c>
      <c r="P1591" s="83">
        <v>11000</v>
      </c>
    </row>
    <row r="1592" spans="1:16">
      <c r="A1592" s="71">
        <v>1590</v>
      </c>
      <c r="B1592" s="83">
        <v>11400</v>
      </c>
      <c r="C1592" s="83">
        <v>7</v>
      </c>
      <c r="D1592" s="83">
        <f t="shared" si="143"/>
        <v>52418</v>
      </c>
      <c r="E1592" s="83">
        <f t="shared" si="146"/>
        <v>52894</v>
      </c>
      <c r="F1592" s="83"/>
      <c r="G1592" s="83">
        <v>100144</v>
      </c>
      <c r="H1592" s="83" t="s">
        <v>262</v>
      </c>
      <c r="I1592" s="83"/>
      <c r="J1592" s="83" t="s">
        <v>244</v>
      </c>
      <c r="K1592" s="83">
        <v>1</v>
      </c>
      <c r="L1592" s="83" t="s">
        <v>174</v>
      </c>
      <c r="M1592" s="83">
        <f>ROUNDDOWN(VLOOKUP(J1592,Sheet1!$N$32:$O$37,2,0)*1000,0)</f>
        <v>476</v>
      </c>
      <c r="N1592" s="83"/>
      <c r="O1592" s="83">
        <f t="shared" si="147"/>
        <v>0.00535451140083467</v>
      </c>
      <c r="P1592" s="83">
        <v>11000</v>
      </c>
    </row>
    <row r="1593" spans="1:16">
      <c r="A1593" s="71">
        <v>1591</v>
      </c>
      <c r="B1593" s="83">
        <v>11400</v>
      </c>
      <c r="C1593" s="83">
        <v>7</v>
      </c>
      <c r="D1593" s="83">
        <f t="shared" si="143"/>
        <v>52894</v>
      </c>
      <c r="E1593" s="83">
        <f t="shared" si="146"/>
        <v>53370</v>
      </c>
      <c r="F1593" s="83"/>
      <c r="G1593" s="83">
        <v>100148</v>
      </c>
      <c r="H1593" s="83" t="s">
        <v>263</v>
      </c>
      <c r="I1593" s="83"/>
      <c r="J1593" s="83" t="s">
        <v>244</v>
      </c>
      <c r="K1593" s="83">
        <v>1</v>
      </c>
      <c r="L1593" s="83" t="s">
        <v>174</v>
      </c>
      <c r="M1593" s="83">
        <f>ROUNDDOWN(VLOOKUP(J1593,Sheet1!$N$32:$O$37,2,0)*1000,0)</f>
        <v>476</v>
      </c>
      <c r="N1593" s="83"/>
      <c r="O1593" s="83">
        <f t="shared" si="147"/>
        <v>0.00535451140083467</v>
      </c>
      <c r="P1593" s="83">
        <v>11000</v>
      </c>
    </row>
    <row r="1594" spans="1:16">
      <c r="A1594" s="71">
        <v>1592</v>
      </c>
      <c r="B1594" s="83">
        <v>11400</v>
      </c>
      <c r="C1594" s="83">
        <v>7</v>
      </c>
      <c r="D1594" s="83">
        <f t="shared" si="143"/>
        <v>53370</v>
      </c>
      <c r="E1594" s="83">
        <f t="shared" si="146"/>
        <v>53846</v>
      </c>
      <c r="F1594" s="83"/>
      <c r="G1594" s="83">
        <v>100139</v>
      </c>
      <c r="H1594" s="83" t="s">
        <v>264</v>
      </c>
      <c r="I1594" s="83"/>
      <c r="J1594" s="83" t="s">
        <v>244</v>
      </c>
      <c r="K1594" s="83">
        <v>1</v>
      </c>
      <c r="L1594" s="83" t="s">
        <v>174</v>
      </c>
      <c r="M1594" s="83">
        <f>ROUNDDOWN(VLOOKUP(J1594,Sheet1!$N$32:$O$37,2,0)*1000,0)</f>
        <v>476</v>
      </c>
      <c r="N1594" s="83"/>
      <c r="O1594" s="83">
        <f t="shared" si="147"/>
        <v>0.00535451140083467</v>
      </c>
      <c r="P1594" s="83">
        <v>11000</v>
      </c>
    </row>
    <row r="1595" spans="1:16">
      <c r="A1595" s="71">
        <v>1593</v>
      </c>
      <c r="B1595" s="83">
        <v>11400</v>
      </c>
      <c r="C1595" s="83">
        <v>2</v>
      </c>
      <c r="D1595" s="83">
        <f t="shared" si="143"/>
        <v>53846</v>
      </c>
      <c r="E1595" s="83">
        <f t="shared" si="146"/>
        <v>57027</v>
      </c>
      <c r="F1595" s="83"/>
      <c r="G1595" s="83">
        <v>907009</v>
      </c>
      <c r="H1595" s="83" t="s">
        <v>265</v>
      </c>
      <c r="I1595" s="83"/>
      <c r="J1595" s="83" t="s">
        <v>266</v>
      </c>
      <c r="K1595" s="83">
        <v>1</v>
      </c>
      <c r="L1595" s="83" t="s">
        <v>174</v>
      </c>
      <c r="M1595" s="83">
        <f>ROUNDDOWN(VLOOKUP(J1595,Sheet1!$N$32:$O$37,2,0)*1000,0)</f>
        <v>3181</v>
      </c>
      <c r="N1595" s="83"/>
      <c r="O1595" s="83">
        <f t="shared" si="147"/>
        <v>0.0357829848026368</v>
      </c>
      <c r="P1595" s="83">
        <v>11000</v>
      </c>
    </row>
    <row r="1596" spans="1:16">
      <c r="A1596" s="71">
        <v>1594</v>
      </c>
      <c r="B1596" s="83">
        <v>11400</v>
      </c>
      <c r="C1596" s="83">
        <v>2</v>
      </c>
      <c r="D1596" s="83">
        <f t="shared" si="143"/>
        <v>57027</v>
      </c>
      <c r="E1596" s="83">
        <f t="shared" si="146"/>
        <v>60208</v>
      </c>
      <c r="F1596" s="83"/>
      <c r="G1596" s="83">
        <v>907010</v>
      </c>
      <c r="H1596" s="83" t="s">
        <v>267</v>
      </c>
      <c r="I1596" s="83"/>
      <c r="J1596" s="83" t="s">
        <v>266</v>
      </c>
      <c r="K1596" s="83">
        <v>1</v>
      </c>
      <c r="L1596" s="83" t="s">
        <v>174</v>
      </c>
      <c r="M1596" s="83">
        <f>ROUNDDOWN(VLOOKUP(J1596,Sheet1!$N$32:$O$37,2,0)*1000,0)</f>
        <v>3181</v>
      </c>
      <c r="N1596" s="83"/>
      <c r="O1596" s="83">
        <f t="shared" si="147"/>
        <v>0.0357829848026368</v>
      </c>
      <c r="P1596" s="83">
        <v>11000</v>
      </c>
    </row>
    <row r="1597" spans="1:16">
      <c r="A1597" s="71">
        <v>1595</v>
      </c>
      <c r="B1597" s="83">
        <v>11400</v>
      </c>
      <c r="C1597" s="83">
        <v>2</v>
      </c>
      <c r="D1597" s="83">
        <f t="shared" si="143"/>
        <v>60208</v>
      </c>
      <c r="E1597" s="83">
        <f t="shared" si="146"/>
        <v>63389</v>
      </c>
      <c r="F1597" s="83"/>
      <c r="G1597" s="83">
        <v>907011</v>
      </c>
      <c r="H1597" s="83" t="s">
        <v>268</v>
      </c>
      <c r="I1597" s="83"/>
      <c r="J1597" s="83" t="s">
        <v>266</v>
      </c>
      <c r="K1597" s="83">
        <v>1</v>
      </c>
      <c r="L1597" s="83" t="s">
        <v>174</v>
      </c>
      <c r="M1597" s="83">
        <f>ROUNDDOWN(VLOOKUP(J1597,Sheet1!$N$32:$O$37,2,0)*1000,0)</f>
        <v>3181</v>
      </c>
      <c r="N1597" s="83"/>
      <c r="O1597" s="83">
        <f t="shared" si="147"/>
        <v>0.0357829848026368</v>
      </c>
      <c r="P1597" s="83">
        <v>11000</v>
      </c>
    </row>
    <row r="1598" spans="1:16">
      <c r="A1598" s="71">
        <v>1596</v>
      </c>
      <c r="B1598" s="83">
        <v>11400</v>
      </c>
      <c r="C1598" s="83">
        <v>2</v>
      </c>
      <c r="D1598" s="83">
        <f t="shared" si="143"/>
        <v>63389</v>
      </c>
      <c r="E1598" s="83">
        <f t="shared" si="146"/>
        <v>66570</v>
      </c>
      <c r="F1598" s="83"/>
      <c r="G1598" s="83">
        <v>907012</v>
      </c>
      <c r="H1598" s="83" t="s">
        <v>269</v>
      </c>
      <c r="I1598" s="83"/>
      <c r="J1598" s="83" t="s">
        <v>266</v>
      </c>
      <c r="K1598" s="83">
        <v>1</v>
      </c>
      <c r="L1598" s="83" t="s">
        <v>174</v>
      </c>
      <c r="M1598" s="83">
        <f>ROUNDDOWN(VLOOKUP(J1598,Sheet1!$N$32:$O$37,2,0)*1000,0)</f>
        <v>3181</v>
      </c>
      <c r="N1598" s="83"/>
      <c r="O1598" s="83">
        <f t="shared" si="147"/>
        <v>0.0357829848026368</v>
      </c>
      <c r="P1598" s="83">
        <v>11000</v>
      </c>
    </row>
    <row r="1599" spans="1:16">
      <c r="A1599" s="71">
        <v>1597</v>
      </c>
      <c r="B1599" s="83">
        <v>11400</v>
      </c>
      <c r="C1599" s="83">
        <v>2</v>
      </c>
      <c r="D1599" s="83">
        <f t="shared" si="143"/>
        <v>66570</v>
      </c>
      <c r="E1599" s="83">
        <f t="shared" si="146"/>
        <v>69751</v>
      </c>
      <c r="F1599" s="83"/>
      <c r="G1599" s="83">
        <v>907014</v>
      </c>
      <c r="H1599" s="83" t="s">
        <v>270</v>
      </c>
      <c r="I1599" s="83"/>
      <c r="J1599" s="83" t="s">
        <v>266</v>
      </c>
      <c r="K1599" s="83">
        <v>1</v>
      </c>
      <c r="L1599" s="83" t="s">
        <v>174</v>
      </c>
      <c r="M1599" s="83">
        <f>ROUNDDOWN(VLOOKUP(J1599,Sheet1!$N$32:$O$37,2,0)*1000,0)</f>
        <v>3181</v>
      </c>
      <c r="N1599" s="83"/>
      <c r="O1599" s="83">
        <f t="shared" si="147"/>
        <v>0.0357829848026368</v>
      </c>
      <c r="P1599" s="83">
        <v>11000</v>
      </c>
    </row>
    <row r="1600" spans="1:16">
      <c r="A1600" s="71">
        <v>1598</v>
      </c>
      <c r="B1600" s="83">
        <v>11400</v>
      </c>
      <c r="C1600" s="83">
        <v>2</v>
      </c>
      <c r="D1600" s="83">
        <f t="shared" si="143"/>
        <v>69751</v>
      </c>
      <c r="E1600" s="83">
        <f t="shared" si="146"/>
        <v>72932</v>
      </c>
      <c r="F1600" s="83"/>
      <c r="G1600" s="83">
        <v>907017</v>
      </c>
      <c r="H1600" s="83" t="s">
        <v>271</v>
      </c>
      <c r="I1600" s="83"/>
      <c r="J1600" s="83" t="s">
        <v>266</v>
      </c>
      <c r="K1600" s="83">
        <v>1</v>
      </c>
      <c r="L1600" s="83" t="s">
        <v>174</v>
      </c>
      <c r="M1600" s="83">
        <f>ROUNDDOWN(VLOOKUP(J1600,Sheet1!$N$32:$O$37,2,0)*1000,0)</f>
        <v>3181</v>
      </c>
      <c r="N1600" s="83"/>
      <c r="O1600" s="83">
        <f t="shared" si="147"/>
        <v>0.0357829848026368</v>
      </c>
      <c r="P1600" s="83">
        <v>11000</v>
      </c>
    </row>
    <row r="1601" spans="1:16">
      <c r="A1601" s="71">
        <v>1599</v>
      </c>
      <c r="B1601" s="83">
        <v>11400</v>
      </c>
      <c r="C1601" s="83">
        <v>2</v>
      </c>
      <c r="D1601" s="83">
        <f t="shared" ref="D1601:D1664" si="148">E1600</f>
        <v>72932</v>
      </c>
      <c r="E1601" s="83">
        <f t="shared" si="146"/>
        <v>76113</v>
      </c>
      <c r="F1601" s="83"/>
      <c r="G1601" s="83">
        <v>907018</v>
      </c>
      <c r="H1601" s="83" t="s">
        <v>272</v>
      </c>
      <c r="I1601" s="83"/>
      <c r="J1601" s="83" t="s">
        <v>266</v>
      </c>
      <c r="K1601" s="83">
        <v>1</v>
      </c>
      <c r="L1601" s="83" t="s">
        <v>174</v>
      </c>
      <c r="M1601" s="83">
        <f>ROUNDDOWN(VLOOKUP(J1601,Sheet1!$N$32:$O$37,2,0)*1000,0)</f>
        <v>3181</v>
      </c>
      <c r="N1601" s="83"/>
      <c r="O1601" s="83">
        <f t="shared" si="147"/>
        <v>0.0357829848026368</v>
      </c>
      <c r="P1601" s="83">
        <v>11000</v>
      </c>
    </row>
    <row r="1602" spans="1:16">
      <c r="A1602" s="71">
        <v>1600</v>
      </c>
      <c r="B1602" s="83">
        <v>11400</v>
      </c>
      <c r="C1602" s="83">
        <v>2</v>
      </c>
      <c r="D1602" s="83">
        <f t="shared" si="148"/>
        <v>76113</v>
      </c>
      <c r="E1602" s="83">
        <f t="shared" si="146"/>
        <v>79294</v>
      </c>
      <c r="F1602" s="83"/>
      <c r="G1602" s="83">
        <v>907033</v>
      </c>
      <c r="H1602" s="83" t="s">
        <v>273</v>
      </c>
      <c r="I1602" s="83"/>
      <c r="J1602" s="83" t="s">
        <v>266</v>
      </c>
      <c r="K1602" s="83">
        <v>1</v>
      </c>
      <c r="L1602" s="83" t="s">
        <v>174</v>
      </c>
      <c r="M1602" s="83">
        <f>ROUNDDOWN(VLOOKUP(J1602,Sheet1!$N$32:$O$37,2,0)*1000,0)</f>
        <v>3181</v>
      </c>
      <c r="N1602" s="83"/>
      <c r="O1602" s="83">
        <f t="shared" si="147"/>
        <v>0.0357829848026368</v>
      </c>
      <c r="P1602" s="83">
        <v>11000</v>
      </c>
    </row>
    <row r="1603" spans="1:16">
      <c r="A1603" s="71">
        <v>1601</v>
      </c>
      <c r="B1603" s="83">
        <v>11400</v>
      </c>
      <c r="C1603" s="83">
        <v>2</v>
      </c>
      <c r="D1603" s="83">
        <f t="shared" si="148"/>
        <v>79294</v>
      </c>
      <c r="E1603" s="83">
        <f t="shared" si="146"/>
        <v>82475</v>
      </c>
      <c r="F1603" s="83"/>
      <c r="G1603" s="83">
        <v>907035</v>
      </c>
      <c r="H1603" s="83" t="s">
        <v>274</v>
      </c>
      <c r="I1603" s="83"/>
      <c r="J1603" s="83" t="s">
        <v>266</v>
      </c>
      <c r="K1603" s="83">
        <v>1</v>
      </c>
      <c r="L1603" s="83" t="s">
        <v>174</v>
      </c>
      <c r="M1603" s="83">
        <f>ROUNDDOWN(VLOOKUP(J1603,Sheet1!$N$32:$O$37,2,0)*1000,0)</f>
        <v>3181</v>
      </c>
      <c r="N1603" s="83"/>
      <c r="O1603" s="83">
        <f t="shared" si="147"/>
        <v>0.0357829848026368</v>
      </c>
      <c r="P1603" s="83">
        <v>11000</v>
      </c>
    </row>
    <row r="1604" spans="1:16">
      <c r="A1604" s="71">
        <v>1602</v>
      </c>
      <c r="B1604" s="83">
        <v>11400</v>
      </c>
      <c r="C1604" s="83">
        <v>2</v>
      </c>
      <c r="D1604" s="83">
        <f t="shared" si="148"/>
        <v>82475</v>
      </c>
      <c r="E1604" s="83">
        <f t="shared" si="146"/>
        <v>85656</v>
      </c>
      <c r="F1604" s="83"/>
      <c r="G1604" s="83">
        <v>907036</v>
      </c>
      <c r="H1604" s="83" t="s">
        <v>275</v>
      </c>
      <c r="I1604" s="83"/>
      <c r="J1604" s="83" t="s">
        <v>266</v>
      </c>
      <c r="K1604" s="83">
        <v>1</v>
      </c>
      <c r="L1604" s="83" t="s">
        <v>174</v>
      </c>
      <c r="M1604" s="83">
        <f>ROUNDDOWN(VLOOKUP(J1604,Sheet1!$N$32:$O$37,2,0)*1000,0)</f>
        <v>3181</v>
      </c>
      <c r="N1604" s="83"/>
      <c r="O1604" s="83">
        <f t="shared" si="147"/>
        <v>0.0357829848026368</v>
      </c>
      <c r="P1604" s="83">
        <v>11000</v>
      </c>
    </row>
    <row r="1605" spans="1:16">
      <c r="A1605" s="71">
        <v>1603</v>
      </c>
      <c r="B1605" s="83">
        <v>11400</v>
      </c>
      <c r="C1605" s="83">
        <v>2</v>
      </c>
      <c r="D1605" s="83">
        <f t="shared" si="148"/>
        <v>85656</v>
      </c>
      <c r="E1605" s="83">
        <f t="shared" si="146"/>
        <v>88837</v>
      </c>
      <c r="F1605" s="83"/>
      <c r="G1605" s="83">
        <v>907038</v>
      </c>
      <c r="H1605" s="83" t="s">
        <v>276</v>
      </c>
      <c r="I1605" s="83"/>
      <c r="J1605" s="83" t="s">
        <v>266</v>
      </c>
      <c r="K1605" s="83">
        <v>1</v>
      </c>
      <c r="L1605" s="83" t="s">
        <v>174</v>
      </c>
      <c r="M1605" s="83">
        <f>ROUNDDOWN(VLOOKUP(J1605,Sheet1!$N$32:$O$37,2,0)*1000,0)</f>
        <v>3181</v>
      </c>
      <c r="N1605" s="83"/>
      <c r="O1605" s="83">
        <f t="shared" si="147"/>
        <v>0.0357829848026368</v>
      </c>
      <c r="P1605" s="83">
        <v>11000</v>
      </c>
    </row>
    <row r="1606" spans="1:16">
      <c r="A1606" s="71">
        <v>1604</v>
      </c>
      <c r="B1606" s="83">
        <v>11400</v>
      </c>
      <c r="C1606" s="83">
        <v>6</v>
      </c>
      <c r="D1606" s="83">
        <f t="shared" si="148"/>
        <v>88837</v>
      </c>
      <c r="E1606" s="83">
        <f t="shared" si="146"/>
        <v>88897</v>
      </c>
      <c r="F1606" s="83"/>
      <c r="G1606" s="83" t="s">
        <v>277</v>
      </c>
      <c r="H1606" s="83" t="s">
        <v>278</v>
      </c>
      <c r="I1606" s="83"/>
      <c r="J1606" s="83" t="s">
        <v>279</v>
      </c>
      <c r="K1606" s="83">
        <v>1</v>
      </c>
      <c r="L1606" s="83" t="s">
        <v>174</v>
      </c>
      <c r="M1606" s="83">
        <f>ROUNDDOWN(VLOOKUP(J1606,Sheet1!$N$32:$O$37,2,0)*1000,0)</f>
        <v>60</v>
      </c>
      <c r="N1606" s="83"/>
      <c r="O1606" s="83">
        <f t="shared" si="147"/>
        <v>0.000674938411869917</v>
      </c>
      <c r="P1606" s="83">
        <v>11000</v>
      </c>
    </row>
    <row r="1607" spans="1:16">
      <c r="A1607" s="71">
        <v>1605</v>
      </c>
      <c r="B1607" s="83">
        <v>11400</v>
      </c>
      <c r="C1607" s="83">
        <v>6</v>
      </c>
      <c r="D1607" s="83">
        <f t="shared" si="148"/>
        <v>88897</v>
      </c>
      <c r="E1607" s="83">
        <f t="shared" si="146"/>
        <v>88957</v>
      </c>
      <c r="F1607" s="83"/>
      <c r="G1607" s="83" t="s">
        <v>280</v>
      </c>
      <c r="H1607" s="83" t="s">
        <v>281</v>
      </c>
      <c r="I1607" s="83"/>
      <c r="J1607" s="83" t="s">
        <v>279</v>
      </c>
      <c r="K1607" s="83">
        <v>1</v>
      </c>
      <c r="L1607" s="83" t="s">
        <v>174</v>
      </c>
      <c r="M1607" s="83">
        <f>ROUNDDOWN(VLOOKUP(J1607,Sheet1!$N$32:$O$37,2,0)*1000,0)</f>
        <v>60</v>
      </c>
      <c r="N1607" s="83"/>
      <c r="O1607" s="83">
        <f t="shared" ref="O1607:O1670" si="149">(E1607-D1607)/$E$438</f>
        <v>0.000659145088819801</v>
      </c>
      <c r="P1607" s="83">
        <v>11001</v>
      </c>
    </row>
    <row r="1608" spans="1:16">
      <c r="A1608" s="71">
        <v>1606</v>
      </c>
      <c r="B1608" s="83">
        <v>11400</v>
      </c>
      <c r="C1608" s="83">
        <v>6</v>
      </c>
      <c r="D1608" s="83">
        <f t="shared" si="148"/>
        <v>88957</v>
      </c>
      <c r="E1608" s="83">
        <f t="shared" si="146"/>
        <v>89017</v>
      </c>
      <c r="F1608" s="83"/>
      <c r="G1608" s="83" t="s">
        <v>282</v>
      </c>
      <c r="H1608" s="83" t="s">
        <v>283</v>
      </c>
      <c r="I1608" s="83"/>
      <c r="J1608" s="83" t="s">
        <v>279</v>
      </c>
      <c r="K1608" s="83">
        <v>1</v>
      </c>
      <c r="L1608" s="83" t="s">
        <v>174</v>
      </c>
      <c r="M1608" s="83">
        <f>ROUNDDOWN(VLOOKUP(J1608,Sheet1!$N$32:$O$37,2,0)*1000,0)</f>
        <v>60</v>
      </c>
      <c r="N1608" s="83"/>
      <c r="O1608" s="83">
        <f t="shared" si="149"/>
        <v>0.000659145088819801</v>
      </c>
      <c r="P1608" s="83">
        <v>11002</v>
      </c>
    </row>
    <row r="1609" spans="1:16">
      <c r="A1609" s="71">
        <v>1607</v>
      </c>
      <c r="B1609" s="83">
        <v>11400</v>
      </c>
      <c r="C1609" s="83">
        <v>6</v>
      </c>
      <c r="D1609" s="83">
        <f t="shared" si="148"/>
        <v>89017</v>
      </c>
      <c r="E1609" s="83">
        <f t="shared" si="146"/>
        <v>89077</v>
      </c>
      <c r="F1609" s="83"/>
      <c r="G1609" s="83" t="s">
        <v>284</v>
      </c>
      <c r="H1609" s="83" t="s">
        <v>285</v>
      </c>
      <c r="I1609" s="83"/>
      <c r="J1609" s="83" t="s">
        <v>279</v>
      </c>
      <c r="K1609" s="83">
        <v>1</v>
      </c>
      <c r="L1609" s="83" t="s">
        <v>174</v>
      </c>
      <c r="M1609" s="83">
        <f>ROUNDDOWN(VLOOKUP(J1609,Sheet1!$N$32:$O$37,2,0)*1000,0)</f>
        <v>60</v>
      </c>
      <c r="N1609" s="83"/>
      <c r="O1609" s="83">
        <f t="shared" si="149"/>
        <v>0.000659145088819801</v>
      </c>
      <c r="P1609" s="83">
        <v>11003</v>
      </c>
    </row>
    <row r="1610" spans="1:16">
      <c r="A1610" s="71">
        <v>1608</v>
      </c>
      <c r="B1610" s="83">
        <v>11400</v>
      </c>
      <c r="C1610" s="83">
        <v>6</v>
      </c>
      <c r="D1610" s="83">
        <f t="shared" si="148"/>
        <v>89077</v>
      </c>
      <c r="E1610" s="83">
        <f t="shared" si="146"/>
        <v>89137</v>
      </c>
      <c r="F1610" s="83"/>
      <c r="G1610" s="83" t="s">
        <v>286</v>
      </c>
      <c r="H1610" s="83" t="s">
        <v>287</v>
      </c>
      <c r="I1610" s="83"/>
      <c r="J1610" s="83" t="s">
        <v>279</v>
      </c>
      <c r="K1610" s="83">
        <v>1</v>
      </c>
      <c r="L1610" s="83" t="s">
        <v>174</v>
      </c>
      <c r="M1610" s="83">
        <f>ROUNDDOWN(VLOOKUP(J1610,Sheet1!$N$32:$O$37,2,0)*1000,0)</f>
        <v>60</v>
      </c>
      <c r="N1610" s="83"/>
      <c r="O1610" s="83">
        <f t="shared" si="149"/>
        <v>0.000659145088819801</v>
      </c>
      <c r="P1610" s="83">
        <v>11004</v>
      </c>
    </row>
    <row r="1611" spans="1:16">
      <c r="A1611" s="71">
        <v>1609</v>
      </c>
      <c r="B1611" s="83">
        <v>11400</v>
      </c>
      <c r="C1611" s="83">
        <v>6</v>
      </c>
      <c r="D1611" s="83">
        <f t="shared" si="148"/>
        <v>89137</v>
      </c>
      <c r="E1611" s="83">
        <f t="shared" si="146"/>
        <v>89197</v>
      </c>
      <c r="F1611" s="83"/>
      <c r="G1611" s="83" t="s">
        <v>288</v>
      </c>
      <c r="H1611" s="83" t="s">
        <v>289</v>
      </c>
      <c r="I1611" s="83"/>
      <c r="J1611" s="83" t="s">
        <v>279</v>
      </c>
      <c r="K1611" s="83">
        <v>1</v>
      </c>
      <c r="L1611" s="83" t="s">
        <v>174</v>
      </c>
      <c r="M1611" s="83">
        <f>ROUNDDOWN(VLOOKUP(J1611,Sheet1!$N$32:$O$37,2,0)*1000,0)</f>
        <v>60</v>
      </c>
      <c r="N1611" s="83"/>
      <c r="O1611" s="83">
        <f t="shared" si="149"/>
        <v>0.000659145088819801</v>
      </c>
      <c r="P1611" s="83">
        <v>11005</v>
      </c>
    </row>
    <row r="1612" spans="1:16">
      <c r="A1612" s="71">
        <v>1610</v>
      </c>
      <c r="B1612" s="83">
        <v>11400</v>
      </c>
      <c r="C1612" s="83">
        <v>6</v>
      </c>
      <c r="D1612" s="83">
        <f t="shared" si="148"/>
        <v>89197</v>
      </c>
      <c r="E1612" s="83">
        <f t="shared" si="146"/>
        <v>89257</v>
      </c>
      <c r="F1612" s="83"/>
      <c r="G1612" s="83" t="s">
        <v>290</v>
      </c>
      <c r="H1612" s="83" t="s">
        <v>291</v>
      </c>
      <c r="I1612" s="83"/>
      <c r="J1612" s="83" t="s">
        <v>279</v>
      </c>
      <c r="K1612" s="83">
        <v>1</v>
      </c>
      <c r="L1612" s="83" t="s">
        <v>174</v>
      </c>
      <c r="M1612" s="83">
        <f>ROUNDDOWN(VLOOKUP(J1612,Sheet1!$N$32:$O$37,2,0)*1000,0)</f>
        <v>60</v>
      </c>
      <c r="N1612" s="83"/>
      <c r="O1612" s="83">
        <f t="shared" si="149"/>
        <v>0.000659145088819801</v>
      </c>
      <c r="P1612" s="83">
        <v>11006</v>
      </c>
    </row>
    <row r="1613" spans="1:16">
      <c r="A1613" s="71">
        <v>1611</v>
      </c>
      <c r="B1613" s="83">
        <v>11400</v>
      </c>
      <c r="C1613" s="83">
        <v>6</v>
      </c>
      <c r="D1613" s="83">
        <f t="shared" si="148"/>
        <v>89257</v>
      </c>
      <c r="E1613" s="83">
        <f t="shared" si="146"/>
        <v>89317</v>
      </c>
      <c r="F1613" s="83"/>
      <c r="G1613" s="83" t="s">
        <v>292</v>
      </c>
      <c r="H1613" s="83" t="s">
        <v>293</v>
      </c>
      <c r="I1613" s="83"/>
      <c r="J1613" s="83" t="s">
        <v>279</v>
      </c>
      <c r="K1613" s="83">
        <v>1</v>
      </c>
      <c r="L1613" s="83" t="s">
        <v>174</v>
      </c>
      <c r="M1613" s="83">
        <f>ROUNDDOWN(VLOOKUP(J1613,Sheet1!$N$32:$O$37,2,0)*1000,0)</f>
        <v>60</v>
      </c>
      <c r="N1613" s="83"/>
      <c r="O1613" s="83">
        <f t="shared" si="149"/>
        <v>0.000659145088819801</v>
      </c>
      <c r="P1613" s="83">
        <v>11007</v>
      </c>
    </row>
    <row r="1614" spans="1:16">
      <c r="A1614" s="71">
        <v>1612</v>
      </c>
      <c r="B1614" s="83">
        <v>11400</v>
      </c>
      <c r="C1614" s="83">
        <v>6</v>
      </c>
      <c r="D1614" s="83">
        <f t="shared" si="148"/>
        <v>89317</v>
      </c>
      <c r="E1614" s="83">
        <f t="shared" si="146"/>
        <v>89377</v>
      </c>
      <c r="F1614" s="83"/>
      <c r="G1614" s="83" t="s">
        <v>294</v>
      </c>
      <c r="H1614" s="83" t="s">
        <v>295</v>
      </c>
      <c r="I1614" s="83"/>
      <c r="J1614" s="83" t="s">
        <v>279</v>
      </c>
      <c r="K1614" s="83">
        <v>1</v>
      </c>
      <c r="L1614" s="83" t="s">
        <v>174</v>
      </c>
      <c r="M1614" s="83">
        <f>ROUNDDOWN(VLOOKUP(J1614,Sheet1!$N$32:$O$37,2,0)*1000,0)</f>
        <v>60</v>
      </c>
      <c r="N1614" s="83"/>
      <c r="O1614" s="83">
        <f t="shared" si="149"/>
        <v>0.000659145088819801</v>
      </c>
      <c r="P1614" s="83">
        <v>11008</v>
      </c>
    </row>
    <row r="1615" spans="1:16">
      <c r="A1615" s="71">
        <v>1613</v>
      </c>
      <c r="B1615" s="83">
        <v>11400</v>
      </c>
      <c r="C1615" s="83">
        <v>6</v>
      </c>
      <c r="D1615" s="83">
        <f t="shared" si="148"/>
        <v>89377</v>
      </c>
      <c r="E1615" s="83">
        <f t="shared" si="146"/>
        <v>89437</v>
      </c>
      <c r="F1615" s="83"/>
      <c r="G1615" s="83" t="s">
        <v>296</v>
      </c>
      <c r="H1615" s="83" t="s">
        <v>297</v>
      </c>
      <c r="I1615" s="83"/>
      <c r="J1615" s="83" t="s">
        <v>279</v>
      </c>
      <c r="K1615" s="83">
        <v>1</v>
      </c>
      <c r="L1615" s="83" t="s">
        <v>174</v>
      </c>
      <c r="M1615" s="83">
        <f>ROUNDDOWN(VLOOKUP(J1615,Sheet1!$N$32:$O$37,2,0)*1000,0)</f>
        <v>60</v>
      </c>
      <c r="N1615" s="83"/>
      <c r="O1615" s="83">
        <f t="shared" si="149"/>
        <v>0.000659145088819801</v>
      </c>
      <c r="P1615" s="83">
        <v>11009</v>
      </c>
    </row>
    <row r="1616" spans="1:16">
      <c r="A1616" s="71">
        <v>1614</v>
      </c>
      <c r="B1616" s="83">
        <v>11400</v>
      </c>
      <c r="C1616" s="83">
        <v>6</v>
      </c>
      <c r="D1616" s="83">
        <f t="shared" si="148"/>
        <v>89437</v>
      </c>
      <c r="E1616" s="83">
        <f t="shared" si="146"/>
        <v>89497</v>
      </c>
      <c r="F1616" s="83"/>
      <c r="G1616" s="83" t="s">
        <v>298</v>
      </c>
      <c r="H1616" s="83" t="s">
        <v>299</v>
      </c>
      <c r="I1616" s="83"/>
      <c r="J1616" s="83" t="s">
        <v>279</v>
      </c>
      <c r="K1616" s="83">
        <v>1</v>
      </c>
      <c r="L1616" s="83" t="s">
        <v>174</v>
      </c>
      <c r="M1616" s="83">
        <f>ROUNDDOWN(VLOOKUP(J1616,Sheet1!$N$32:$O$37,2,0)*1000,0)</f>
        <v>60</v>
      </c>
      <c r="N1616" s="83"/>
      <c r="O1616" s="83">
        <f t="shared" si="149"/>
        <v>0.000659145088819801</v>
      </c>
      <c r="P1616" s="83">
        <v>11010</v>
      </c>
    </row>
    <row r="1617" spans="1:16">
      <c r="A1617" s="71">
        <v>1615</v>
      </c>
      <c r="B1617" s="83">
        <v>11400</v>
      </c>
      <c r="C1617" s="83">
        <v>6</v>
      </c>
      <c r="D1617" s="83">
        <f t="shared" si="148"/>
        <v>89497</v>
      </c>
      <c r="E1617" s="83">
        <f t="shared" si="146"/>
        <v>89557</v>
      </c>
      <c r="F1617" s="83"/>
      <c r="G1617" s="83" t="s">
        <v>300</v>
      </c>
      <c r="H1617" s="83" t="s">
        <v>301</v>
      </c>
      <c r="I1617" s="83"/>
      <c r="J1617" s="83" t="s">
        <v>279</v>
      </c>
      <c r="K1617" s="83">
        <v>1</v>
      </c>
      <c r="L1617" s="83" t="s">
        <v>174</v>
      </c>
      <c r="M1617" s="83">
        <f>ROUNDDOWN(VLOOKUP(J1617,Sheet1!$N$32:$O$37,2,0)*1000,0)</f>
        <v>60</v>
      </c>
      <c r="N1617" s="83"/>
      <c r="O1617" s="83">
        <f t="shared" si="149"/>
        <v>0.000659145088819801</v>
      </c>
      <c r="P1617" s="83">
        <v>11011</v>
      </c>
    </row>
    <row r="1618" spans="1:16">
      <c r="A1618" s="71">
        <v>1616</v>
      </c>
      <c r="B1618" s="83">
        <v>11400</v>
      </c>
      <c r="C1618" s="83">
        <v>6</v>
      </c>
      <c r="D1618" s="83">
        <f t="shared" si="148"/>
        <v>89557</v>
      </c>
      <c r="E1618" s="83">
        <f t="shared" si="146"/>
        <v>89617</v>
      </c>
      <c r="F1618" s="83"/>
      <c r="G1618" s="83" t="s">
        <v>302</v>
      </c>
      <c r="H1618" s="83" t="s">
        <v>303</v>
      </c>
      <c r="I1618" s="83"/>
      <c r="J1618" s="83" t="s">
        <v>279</v>
      </c>
      <c r="K1618" s="83">
        <v>1</v>
      </c>
      <c r="L1618" s="83" t="s">
        <v>174</v>
      </c>
      <c r="M1618" s="83">
        <f>ROUNDDOWN(VLOOKUP(J1618,Sheet1!$N$32:$O$37,2,0)*1000,0)</f>
        <v>60</v>
      </c>
      <c r="N1618" s="83"/>
      <c r="O1618" s="83">
        <f t="shared" si="149"/>
        <v>0.000659145088819801</v>
      </c>
      <c r="P1618" s="83">
        <v>11012</v>
      </c>
    </row>
    <row r="1619" spans="1:16">
      <c r="A1619" s="71">
        <v>1617</v>
      </c>
      <c r="B1619" s="83">
        <v>11400</v>
      </c>
      <c r="C1619" s="83">
        <v>6</v>
      </c>
      <c r="D1619" s="83">
        <f t="shared" si="148"/>
        <v>89617</v>
      </c>
      <c r="E1619" s="83">
        <f t="shared" si="146"/>
        <v>89677</v>
      </c>
      <c r="F1619" s="83"/>
      <c r="G1619" s="83" t="s">
        <v>304</v>
      </c>
      <c r="H1619" s="83" t="s">
        <v>305</v>
      </c>
      <c r="I1619" s="83"/>
      <c r="J1619" s="83" t="s">
        <v>279</v>
      </c>
      <c r="K1619" s="83">
        <v>1</v>
      </c>
      <c r="L1619" s="83" t="s">
        <v>174</v>
      </c>
      <c r="M1619" s="83">
        <f>ROUNDDOWN(VLOOKUP(J1619,Sheet1!$N$32:$O$37,2,0)*1000,0)</f>
        <v>60</v>
      </c>
      <c r="N1619" s="83"/>
      <c r="O1619" s="83">
        <f t="shared" si="149"/>
        <v>0.000659145088819801</v>
      </c>
      <c r="P1619" s="83">
        <v>11013</v>
      </c>
    </row>
    <row r="1620" spans="1:16">
      <c r="A1620" s="71">
        <v>1618</v>
      </c>
      <c r="B1620" s="83">
        <v>11400</v>
      </c>
      <c r="C1620" s="83">
        <v>6</v>
      </c>
      <c r="D1620" s="83">
        <f t="shared" si="148"/>
        <v>89677</v>
      </c>
      <c r="E1620" s="83">
        <f t="shared" si="146"/>
        <v>89737</v>
      </c>
      <c r="F1620" s="83"/>
      <c r="G1620" s="83" t="s">
        <v>306</v>
      </c>
      <c r="H1620" s="83" t="s">
        <v>307</v>
      </c>
      <c r="I1620" s="83"/>
      <c r="J1620" s="83" t="s">
        <v>279</v>
      </c>
      <c r="K1620" s="83">
        <v>1</v>
      </c>
      <c r="L1620" s="83" t="s">
        <v>174</v>
      </c>
      <c r="M1620" s="83">
        <f>ROUNDDOWN(VLOOKUP(J1620,Sheet1!$N$32:$O$37,2,0)*1000,0)</f>
        <v>60</v>
      </c>
      <c r="N1620" s="83"/>
      <c r="O1620" s="83">
        <f t="shared" si="149"/>
        <v>0.000659145088819801</v>
      </c>
      <c r="P1620" s="83">
        <v>11014</v>
      </c>
    </row>
    <row r="1621" spans="1:16">
      <c r="A1621" s="71">
        <v>1619</v>
      </c>
      <c r="B1621" s="83">
        <v>11400</v>
      </c>
      <c r="C1621" s="83">
        <v>6</v>
      </c>
      <c r="D1621" s="83">
        <f t="shared" si="148"/>
        <v>89737</v>
      </c>
      <c r="E1621" s="83">
        <f t="shared" si="146"/>
        <v>89797</v>
      </c>
      <c r="F1621" s="83"/>
      <c r="G1621" s="83" t="s">
        <v>308</v>
      </c>
      <c r="H1621" s="83" t="s">
        <v>309</v>
      </c>
      <c r="I1621" s="83"/>
      <c r="J1621" s="83" t="s">
        <v>279</v>
      </c>
      <c r="K1621" s="83">
        <v>1</v>
      </c>
      <c r="L1621" s="83" t="s">
        <v>174</v>
      </c>
      <c r="M1621" s="83">
        <f>ROUNDDOWN(VLOOKUP(J1621,Sheet1!$N$32:$O$37,2,0)*1000,0)</f>
        <v>60</v>
      </c>
      <c r="N1621" s="83"/>
      <c r="O1621" s="83">
        <f t="shared" si="149"/>
        <v>0.000659145088819801</v>
      </c>
      <c r="P1621" s="83">
        <v>11015</v>
      </c>
    </row>
    <row r="1622" spans="1:16">
      <c r="A1622" s="71">
        <v>1620</v>
      </c>
      <c r="B1622" s="83">
        <v>11400</v>
      </c>
      <c r="C1622" s="83">
        <v>6</v>
      </c>
      <c r="D1622" s="83">
        <f t="shared" si="148"/>
        <v>89797</v>
      </c>
      <c r="E1622" s="83">
        <f t="shared" si="146"/>
        <v>89857</v>
      </c>
      <c r="F1622" s="83"/>
      <c r="G1622" s="83" t="s">
        <v>310</v>
      </c>
      <c r="H1622" s="83" t="s">
        <v>311</v>
      </c>
      <c r="I1622" s="83"/>
      <c r="J1622" s="83" t="s">
        <v>279</v>
      </c>
      <c r="K1622" s="83">
        <v>1</v>
      </c>
      <c r="L1622" s="83" t="s">
        <v>174</v>
      </c>
      <c r="M1622" s="83">
        <f>ROUNDDOWN(VLOOKUP(J1622,Sheet1!$N$32:$O$37,2,0)*1000,0)</f>
        <v>60</v>
      </c>
      <c r="N1622" s="83"/>
      <c r="O1622" s="83">
        <f t="shared" si="149"/>
        <v>0.000659145088819801</v>
      </c>
      <c r="P1622" s="83">
        <v>11016</v>
      </c>
    </row>
    <row r="1623" spans="1:16">
      <c r="A1623" s="71">
        <v>1621</v>
      </c>
      <c r="B1623" s="83">
        <v>11400</v>
      </c>
      <c r="C1623" s="83">
        <v>6</v>
      </c>
      <c r="D1623" s="83">
        <f t="shared" si="148"/>
        <v>89857</v>
      </c>
      <c r="E1623" s="83">
        <f t="shared" si="146"/>
        <v>89917</v>
      </c>
      <c r="F1623" s="83"/>
      <c r="G1623" s="83" t="s">
        <v>312</v>
      </c>
      <c r="H1623" s="83" t="s">
        <v>313</v>
      </c>
      <c r="I1623" s="83"/>
      <c r="J1623" s="83" t="s">
        <v>279</v>
      </c>
      <c r="K1623" s="83">
        <v>1</v>
      </c>
      <c r="L1623" s="83" t="s">
        <v>174</v>
      </c>
      <c r="M1623" s="83">
        <f>ROUNDDOWN(VLOOKUP(J1623,Sheet1!$N$32:$O$37,2,0)*1000,0)</f>
        <v>60</v>
      </c>
      <c r="N1623" s="83"/>
      <c r="O1623" s="83">
        <f t="shared" si="149"/>
        <v>0.000659145088819801</v>
      </c>
      <c r="P1623" s="83">
        <v>11017</v>
      </c>
    </row>
    <row r="1624" spans="1:16">
      <c r="A1624" s="71">
        <v>1622</v>
      </c>
      <c r="B1624" s="83">
        <v>11400</v>
      </c>
      <c r="C1624" s="83">
        <v>6</v>
      </c>
      <c r="D1624" s="83">
        <f t="shared" si="148"/>
        <v>89917</v>
      </c>
      <c r="E1624" s="83">
        <f t="shared" si="146"/>
        <v>89977</v>
      </c>
      <c r="F1624" s="83"/>
      <c r="G1624" s="83" t="s">
        <v>314</v>
      </c>
      <c r="H1624" s="83" t="s">
        <v>315</v>
      </c>
      <c r="I1624" s="83"/>
      <c r="J1624" s="83" t="s">
        <v>279</v>
      </c>
      <c r="K1624" s="83">
        <v>1</v>
      </c>
      <c r="L1624" s="83" t="s">
        <v>174</v>
      </c>
      <c r="M1624" s="83">
        <f>ROUNDDOWN(VLOOKUP(J1624,Sheet1!$N$32:$O$37,2,0)*1000,0)</f>
        <v>60</v>
      </c>
      <c r="N1624" s="83"/>
      <c r="O1624" s="83">
        <f t="shared" si="149"/>
        <v>0.000659145088819801</v>
      </c>
      <c r="P1624" s="83">
        <v>11018</v>
      </c>
    </row>
    <row r="1625" spans="1:16">
      <c r="A1625" s="71">
        <v>1623</v>
      </c>
      <c r="B1625" s="83">
        <v>11400</v>
      </c>
      <c r="C1625" s="83">
        <v>6</v>
      </c>
      <c r="D1625" s="83">
        <f t="shared" si="148"/>
        <v>89977</v>
      </c>
      <c r="E1625" s="83">
        <f t="shared" si="146"/>
        <v>90037</v>
      </c>
      <c r="F1625" s="83"/>
      <c r="G1625" s="83" t="s">
        <v>316</v>
      </c>
      <c r="H1625" s="83" t="s">
        <v>317</v>
      </c>
      <c r="I1625" s="83"/>
      <c r="J1625" s="83" t="s">
        <v>279</v>
      </c>
      <c r="K1625" s="83">
        <v>1</v>
      </c>
      <c r="L1625" s="83" t="s">
        <v>174</v>
      </c>
      <c r="M1625" s="83">
        <f>ROUNDDOWN(VLOOKUP(J1625,Sheet1!$N$32:$O$37,2,0)*1000,0)</f>
        <v>60</v>
      </c>
      <c r="N1625" s="83"/>
      <c r="O1625" s="83">
        <f t="shared" si="149"/>
        <v>0.000659145088819801</v>
      </c>
      <c r="P1625" s="83">
        <v>11019</v>
      </c>
    </row>
    <row r="1626" spans="1:16">
      <c r="A1626" s="71">
        <v>1624</v>
      </c>
      <c r="B1626" s="83">
        <v>11400</v>
      </c>
      <c r="C1626" s="83">
        <v>6</v>
      </c>
      <c r="D1626" s="83">
        <f t="shared" si="148"/>
        <v>90037</v>
      </c>
      <c r="E1626" s="83">
        <f t="shared" si="146"/>
        <v>90097</v>
      </c>
      <c r="F1626" s="83"/>
      <c r="G1626" s="83" t="s">
        <v>318</v>
      </c>
      <c r="H1626" s="83" t="s">
        <v>319</v>
      </c>
      <c r="I1626" s="83"/>
      <c r="J1626" s="83" t="s">
        <v>279</v>
      </c>
      <c r="K1626" s="83">
        <v>1</v>
      </c>
      <c r="L1626" s="83" t="s">
        <v>174</v>
      </c>
      <c r="M1626" s="83">
        <f>ROUNDDOWN(VLOOKUP(J1626,Sheet1!$N$32:$O$37,2,0)*1000,0)</f>
        <v>60</v>
      </c>
      <c r="N1626" s="83"/>
      <c r="O1626" s="83">
        <f t="shared" si="149"/>
        <v>0.000659145088819801</v>
      </c>
      <c r="P1626" s="83">
        <v>11020</v>
      </c>
    </row>
    <row r="1627" spans="1:16">
      <c r="A1627" s="71">
        <v>1625</v>
      </c>
      <c r="B1627" s="83">
        <v>11400</v>
      </c>
      <c r="C1627" s="83">
        <v>6</v>
      </c>
      <c r="D1627" s="83">
        <f t="shared" si="148"/>
        <v>90097</v>
      </c>
      <c r="E1627" s="83">
        <f t="shared" si="146"/>
        <v>90157</v>
      </c>
      <c r="F1627" s="83"/>
      <c r="G1627" s="83" t="s">
        <v>320</v>
      </c>
      <c r="H1627" s="83" t="s">
        <v>321</v>
      </c>
      <c r="I1627" s="83"/>
      <c r="J1627" s="83" t="s">
        <v>279</v>
      </c>
      <c r="K1627" s="83">
        <v>1</v>
      </c>
      <c r="L1627" s="83" t="s">
        <v>174</v>
      </c>
      <c r="M1627" s="83">
        <f>ROUNDDOWN(VLOOKUP(J1627,Sheet1!$N$32:$O$37,2,0)*1000,0)</f>
        <v>60</v>
      </c>
      <c r="N1627" s="83"/>
      <c r="O1627" s="83">
        <f t="shared" si="149"/>
        <v>0.000659145088819801</v>
      </c>
      <c r="P1627" s="83">
        <v>11021</v>
      </c>
    </row>
    <row r="1628" spans="1:16">
      <c r="A1628" s="71">
        <v>1626</v>
      </c>
      <c r="B1628" s="83">
        <v>11400</v>
      </c>
      <c r="C1628" s="83">
        <v>6</v>
      </c>
      <c r="D1628" s="83">
        <f t="shared" si="148"/>
        <v>90157</v>
      </c>
      <c r="E1628" s="83">
        <f t="shared" si="146"/>
        <v>90217</v>
      </c>
      <c r="F1628" s="83"/>
      <c r="G1628" s="83" t="s">
        <v>322</v>
      </c>
      <c r="H1628" s="83" t="s">
        <v>323</v>
      </c>
      <c r="I1628" s="83"/>
      <c r="J1628" s="83" t="s">
        <v>279</v>
      </c>
      <c r="K1628" s="83">
        <v>1</v>
      </c>
      <c r="L1628" s="83" t="s">
        <v>174</v>
      </c>
      <c r="M1628" s="83">
        <f>ROUNDDOWN(VLOOKUP(J1628,Sheet1!$N$32:$O$37,2,0)*1000,0)</f>
        <v>60</v>
      </c>
      <c r="N1628" s="83"/>
      <c r="O1628" s="83">
        <f t="shared" si="149"/>
        <v>0.000659145088819801</v>
      </c>
      <c r="P1628" s="83">
        <v>11022</v>
      </c>
    </row>
    <row r="1629" spans="1:16">
      <c r="A1629" s="71">
        <v>1627</v>
      </c>
      <c r="B1629" s="83">
        <v>11400</v>
      </c>
      <c r="C1629" s="83">
        <v>6</v>
      </c>
      <c r="D1629" s="83">
        <f t="shared" si="148"/>
        <v>90217</v>
      </c>
      <c r="E1629" s="83">
        <f t="shared" si="146"/>
        <v>90277</v>
      </c>
      <c r="F1629" s="83"/>
      <c r="G1629" s="83" t="s">
        <v>324</v>
      </c>
      <c r="H1629" s="83" t="s">
        <v>325</v>
      </c>
      <c r="I1629" s="83"/>
      <c r="J1629" s="83" t="s">
        <v>279</v>
      </c>
      <c r="K1629" s="83">
        <v>1</v>
      </c>
      <c r="L1629" s="83" t="s">
        <v>174</v>
      </c>
      <c r="M1629" s="83">
        <f>ROUNDDOWN(VLOOKUP(J1629,Sheet1!$N$32:$O$37,2,0)*1000,0)</f>
        <v>60</v>
      </c>
      <c r="N1629" s="83"/>
      <c r="O1629" s="83">
        <f t="shared" si="149"/>
        <v>0.000659145088819801</v>
      </c>
      <c r="P1629" s="83">
        <v>11023</v>
      </c>
    </row>
    <row r="1630" spans="1:16">
      <c r="A1630" s="71">
        <v>1628</v>
      </c>
      <c r="B1630" s="83">
        <v>11400</v>
      </c>
      <c r="C1630" s="83">
        <v>6</v>
      </c>
      <c r="D1630" s="83">
        <f t="shared" si="148"/>
        <v>90277</v>
      </c>
      <c r="E1630" s="83">
        <f t="shared" ref="E1630:E1688" si="150">D1630+M1630</f>
        <v>90337</v>
      </c>
      <c r="F1630" s="83"/>
      <c r="G1630" s="83" t="s">
        <v>326</v>
      </c>
      <c r="H1630" s="83" t="s">
        <v>327</v>
      </c>
      <c r="I1630" s="83"/>
      <c r="J1630" s="83" t="s">
        <v>279</v>
      </c>
      <c r="K1630" s="83">
        <v>1</v>
      </c>
      <c r="L1630" s="83" t="s">
        <v>174</v>
      </c>
      <c r="M1630" s="83">
        <f>ROUNDDOWN(VLOOKUP(J1630,Sheet1!$N$32:$O$37,2,0)*1000,0)</f>
        <v>60</v>
      </c>
      <c r="N1630" s="83"/>
      <c r="O1630" s="83">
        <f t="shared" si="149"/>
        <v>0.000659145088819801</v>
      </c>
      <c r="P1630" s="83">
        <v>11024</v>
      </c>
    </row>
    <row r="1631" spans="1:16">
      <c r="A1631" s="71">
        <v>1629</v>
      </c>
      <c r="B1631" s="83">
        <v>11400</v>
      </c>
      <c r="C1631" s="83">
        <v>6</v>
      </c>
      <c r="D1631" s="83">
        <f t="shared" si="148"/>
        <v>90337</v>
      </c>
      <c r="E1631" s="83">
        <f t="shared" si="150"/>
        <v>90397</v>
      </c>
      <c r="F1631" s="83"/>
      <c r="G1631" s="83" t="s">
        <v>328</v>
      </c>
      <c r="H1631" s="83" t="s">
        <v>329</v>
      </c>
      <c r="I1631" s="83"/>
      <c r="J1631" s="83" t="s">
        <v>279</v>
      </c>
      <c r="K1631" s="83">
        <v>1</v>
      </c>
      <c r="L1631" s="83" t="s">
        <v>174</v>
      </c>
      <c r="M1631" s="83">
        <f>ROUNDDOWN(VLOOKUP(J1631,Sheet1!$N$32:$O$37,2,0)*1000,0)</f>
        <v>60</v>
      </c>
      <c r="N1631" s="83"/>
      <c r="O1631" s="83">
        <f t="shared" si="149"/>
        <v>0.000659145088819801</v>
      </c>
      <c r="P1631" s="83">
        <v>11025</v>
      </c>
    </row>
    <row r="1632" spans="1:16">
      <c r="A1632" s="71">
        <v>1630</v>
      </c>
      <c r="B1632" s="83">
        <v>11400</v>
      </c>
      <c r="C1632" s="83">
        <v>6</v>
      </c>
      <c r="D1632" s="83">
        <f t="shared" si="148"/>
        <v>90397</v>
      </c>
      <c r="E1632" s="83">
        <f t="shared" si="150"/>
        <v>90457</v>
      </c>
      <c r="F1632" s="83"/>
      <c r="G1632" s="83" t="s">
        <v>330</v>
      </c>
      <c r="H1632" s="83" t="s">
        <v>331</v>
      </c>
      <c r="I1632" s="83"/>
      <c r="J1632" s="83" t="s">
        <v>279</v>
      </c>
      <c r="K1632" s="83">
        <v>1</v>
      </c>
      <c r="L1632" s="83" t="s">
        <v>174</v>
      </c>
      <c r="M1632" s="83">
        <f>ROUNDDOWN(VLOOKUP(J1632,Sheet1!$N$32:$O$37,2,0)*1000,0)</f>
        <v>60</v>
      </c>
      <c r="N1632" s="83"/>
      <c r="O1632" s="83">
        <f t="shared" si="149"/>
        <v>0.000659145088819801</v>
      </c>
      <c r="P1632" s="83">
        <v>11026</v>
      </c>
    </row>
    <row r="1633" spans="1:16">
      <c r="A1633" s="71">
        <v>1631</v>
      </c>
      <c r="B1633" s="83">
        <v>11400</v>
      </c>
      <c r="C1633" s="83">
        <v>6</v>
      </c>
      <c r="D1633" s="83">
        <f t="shared" si="148"/>
        <v>90457</v>
      </c>
      <c r="E1633" s="83">
        <f t="shared" si="150"/>
        <v>90517</v>
      </c>
      <c r="F1633" s="83"/>
      <c r="G1633" s="83" t="s">
        <v>332</v>
      </c>
      <c r="H1633" s="83" t="s">
        <v>333</v>
      </c>
      <c r="I1633" s="83"/>
      <c r="J1633" s="83" t="s">
        <v>279</v>
      </c>
      <c r="K1633" s="83">
        <v>1</v>
      </c>
      <c r="L1633" s="83" t="s">
        <v>174</v>
      </c>
      <c r="M1633" s="83">
        <f>ROUNDDOWN(VLOOKUP(J1633,Sheet1!$N$32:$O$37,2,0)*1000,0)</f>
        <v>60</v>
      </c>
      <c r="N1633" s="83"/>
      <c r="O1633" s="83">
        <f t="shared" si="149"/>
        <v>0.000659145088819801</v>
      </c>
      <c r="P1633" s="83">
        <v>11027</v>
      </c>
    </row>
    <row r="1634" spans="1:16">
      <c r="A1634" s="71">
        <v>1632</v>
      </c>
      <c r="B1634" s="83">
        <v>11400</v>
      </c>
      <c r="C1634" s="83">
        <v>6</v>
      </c>
      <c r="D1634" s="83">
        <f t="shared" si="148"/>
        <v>90517</v>
      </c>
      <c r="E1634" s="83">
        <f t="shared" si="150"/>
        <v>90577</v>
      </c>
      <c r="F1634" s="83"/>
      <c r="G1634" s="83" t="s">
        <v>334</v>
      </c>
      <c r="H1634" s="83" t="s">
        <v>335</v>
      </c>
      <c r="I1634" s="83"/>
      <c r="J1634" s="83" t="s">
        <v>279</v>
      </c>
      <c r="K1634" s="83">
        <v>1</v>
      </c>
      <c r="L1634" s="83" t="s">
        <v>174</v>
      </c>
      <c r="M1634" s="83">
        <f>ROUNDDOWN(VLOOKUP(J1634,Sheet1!$N$32:$O$37,2,0)*1000,0)</f>
        <v>60</v>
      </c>
      <c r="N1634" s="83"/>
      <c r="O1634" s="83">
        <f t="shared" si="149"/>
        <v>0.000659145088819801</v>
      </c>
      <c r="P1634" s="83">
        <v>11028</v>
      </c>
    </row>
    <row r="1635" spans="1:16">
      <c r="A1635" s="71">
        <v>1633</v>
      </c>
      <c r="B1635" s="83">
        <v>11400</v>
      </c>
      <c r="C1635" s="83">
        <v>6</v>
      </c>
      <c r="D1635" s="83">
        <f t="shared" si="148"/>
        <v>90577</v>
      </c>
      <c r="E1635" s="83">
        <f t="shared" si="150"/>
        <v>90637</v>
      </c>
      <c r="F1635" s="83"/>
      <c r="G1635" s="83" t="s">
        <v>336</v>
      </c>
      <c r="H1635" s="83" t="s">
        <v>337</v>
      </c>
      <c r="I1635" s="83"/>
      <c r="J1635" s="83" t="s">
        <v>279</v>
      </c>
      <c r="K1635" s="83">
        <v>1</v>
      </c>
      <c r="L1635" s="83" t="s">
        <v>174</v>
      </c>
      <c r="M1635" s="83">
        <f>ROUNDDOWN(VLOOKUP(J1635,Sheet1!$N$32:$O$37,2,0)*1000,0)</f>
        <v>60</v>
      </c>
      <c r="N1635" s="83"/>
      <c r="O1635" s="83">
        <f t="shared" si="149"/>
        <v>0.000659145088819801</v>
      </c>
      <c r="P1635" s="83">
        <v>11029</v>
      </c>
    </row>
    <row r="1636" spans="1:16">
      <c r="A1636" s="71">
        <v>1634</v>
      </c>
      <c r="B1636" s="83">
        <v>11400</v>
      </c>
      <c r="C1636" s="83">
        <v>6</v>
      </c>
      <c r="D1636" s="83">
        <f t="shared" si="148"/>
        <v>90637</v>
      </c>
      <c r="E1636" s="83">
        <f t="shared" si="150"/>
        <v>90697</v>
      </c>
      <c r="F1636" s="83"/>
      <c r="G1636" s="83" t="s">
        <v>338</v>
      </c>
      <c r="H1636" s="83" t="s">
        <v>339</v>
      </c>
      <c r="I1636" s="83"/>
      <c r="J1636" s="83" t="s">
        <v>279</v>
      </c>
      <c r="K1636" s="83">
        <v>1</v>
      </c>
      <c r="L1636" s="83" t="s">
        <v>174</v>
      </c>
      <c r="M1636" s="83">
        <f>ROUNDDOWN(VLOOKUP(J1636,Sheet1!$N$32:$O$37,2,0)*1000,0)</f>
        <v>60</v>
      </c>
      <c r="N1636" s="83"/>
      <c r="O1636" s="83">
        <f t="shared" si="149"/>
        <v>0.000659145088819801</v>
      </c>
      <c r="P1636" s="83">
        <v>11030</v>
      </c>
    </row>
    <row r="1637" spans="1:16">
      <c r="A1637" s="71">
        <v>1635</v>
      </c>
      <c r="B1637" s="83">
        <v>11400</v>
      </c>
      <c r="C1637" s="83">
        <v>6</v>
      </c>
      <c r="D1637" s="83">
        <f t="shared" si="148"/>
        <v>90697</v>
      </c>
      <c r="E1637" s="83">
        <f t="shared" si="150"/>
        <v>90757</v>
      </c>
      <c r="F1637" s="83"/>
      <c r="G1637" s="83" t="s">
        <v>340</v>
      </c>
      <c r="H1637" s="83" t="s">
        <v>341</v>
      </c>
      <c r="I1637" s="83"/>
      <c r="J1637" s="83" t="s">
        <v>279</v>
      </c>
      <c r="K1637" s="83">
        <v>1</v>
      </c>
      <c r="L1637" s="83" t="s">
        <v>174</v>
      </c>
      <c r="M1637" s="83">
        <f>ROUNDDOWN(VLOOKUP(J1637,Sheet1!$N$32:$O$37,2,0)*1000,0)</f>
        <v>60</v>
      </c>
      <c r="N1637" s="83"/>
      <c r="O1637" s="83">
        <f t="shared" si="149"/>
        <v>0.000659145088819801</v>
      </c>
      <c r="P1637" s="83">
        <v>11031</v>
      </c>
    </row>
    <row r="1638" spans="1:16">
      <c r="A1638" s="71">
        <v>1636</v>
      </c>
      <c r="B1638" s="83">
        <v>11400</v>
      </c>
      <c r="C1638" s="83">
        <v>6</v>
      </c>
      <c r="D1638" s="83">
        <f t="shared" si="148"/>
        <v>90757</v>
      </c>
      <c r="E1638" s="83">
        <f t="shared" si="150"/>
        <v>90817</v>
      </c>
      <c r="F1638" s="83"/>
      <c r="G1638" s="83" t="s">
        <v>342</v>
      </c>
      <c r="H1638" s="83" t="s">
        <v>343</v>
      </c>
      <c r="I1638" s="83"/>
      <c r="J1638" s="83" t="s">
        <v>279</v>
      </c>
      <c r="K1638" s="83">
        <v>1</v>
      </c>
      <c r="L1638" s="83" t="s">
        <v>174</v>
      </c>
      <c r="M1638" s="83">
        <f>ROUNDDOWN(VLOOKUP(J1638,Sheet1!$N$32:$O$37,2,0)*1000,0)</f>
        <v>60</v>
      </c>
      <c r="N1638" s="83"/>
      <c r="O1638" s="83">
        <f t="shared" si="149"/>
        <v>0.000659145088819801</v>
      </c>
      <c r="P1638" s="83">
        <v>11032</v>
      </c>
    </row>
    <row r="1639" spans="1:16">
      <c r="A1639" s="71">
        <v>1637</v>
      </c>
      <c r="B1639" s="83">
        <v>11400</v>
      </c>
      <c r="C1639" s="83">
        <v>6</v>
      </c>
      <c r="D1639" s="83">
        <f t="shared" si="148"/>
        <v>90817</v>
      </c>
      <c r="E1639" s="83">
        <f t="shared" si="150"/>
        <v>90877</v>
      </c>
      <c r="F1639" s="83"/>
      <c r="G1639" s="83" t="s">
        <v>344</v>
      </c>
      <c r="H1639" s="83" t="s">
        <v>345</v>
      </c>
      <c r="I1639" s="83"/>
      <c r="J1639" s="83" t="s">
        <v>279</v>
      </c>
      <c r="K1639" s="83">
        <v>1</v>
      </c>
      <c r="L1639" s="83" t="s">
        <v>174</v>
      </c>
      <c r="M1639" s="83">
        <f>ROUNDDOWN(VLOOKUP(J1639,Sheet1!$N$32:$O$37,2,0)*1000,0)</f>
        <v>60</v>
      </c>
      <c r="N1639" s="83"/>
      <c r="O1639" s="83">
        <f t="shared" si="149"/>
        <v>0.000659145088819801</v>
      </c>
      <c r="P1639" s="83">
        <v>11033</v>
      </c>
    </row>
    <row r="1640" spans="1:16">
      <c r="A1640" s="71">
        <v>1638</v>
      </c>
      <c r="B1640" s="83">
        <v>11400</v>
      </c>
      <c r="C1640" s="83">
        <v>6</v>
      </c>
      <c r="D1640" s="83">
        <f t="shared" si="148"/>
        <v>90877</v>
      </c>
      <c r="E1640" s="83">
        <f t="shared" si="150"/>
        <v>90937</v>
      </c>
      <c r="F1640" s="83"/>
      <c r="G1640" s="83" t="s">
        <v>346</v>
      </c>
      <c r="H1640" s="83" t="s">
        <v>347</v>
      </c>
      <c r="I1640" s="83"/>
      <c r="J1640" s="83" t="s">
        <v>279</v>
      </c>
      <c r="K1640" s="83">
        <v>1</v>
      </c>
      <c r="L1640" s="83" t="s">
        <v>174</v>
      </c>
      <c r="M1640" s="83">
        <f>ROUNDDOWN(VLOOKUP(J1640,Sheet1!$N$32:$O$37,2,0)*1000,0)</f>
        <v>60</v>
      </c>
      <c r="N1640" s="83"/>
      <c r="O1640" s="83">
        <f t="shared" si="149"/>
        <v>0.000659145088819801</v>
      </c>
      <c r="P1640" s="83">
        <v>11034</v>
      </c>
    </row>
    <row r="1641" spans="1:16">
      <c r="A1641" s="71">
        <v>1639</v>
      </c>
      <c r="B1641" s="83">
        <v>11400</v>
      </c>
      <c r="C1641" s="83">
        <v>6</v>
      </c>
      <c r="D1641" s="83">
        <f t="shared" si="148"/>
        <v>90937</v>
      </c>
      <c r="E1641" s="83">
        <f t="shared" si="150"/>
        <v>90997</v>
      </c>
      <c r="F1641" s="83"/>
      <c r="G1641" s="83" t="s">
        <v>348</v>
      </c>
      <c r="H1641" s="83" t="s">
        <v>349</v>
      </c>
      <c r="I1641" s="83"/>
      <c r="J1641" s="83" t="s">
        <v>279</v>
      </c>
      <c r="K1641" s="83">
        <v>1</v>
      </c>
      <c r="L1641" s="83" t="s">
        <v>174</v>
      </c>
      <c r="M1641" s="83">
        <f>ROUNDDOWN(VLOOKUP(J1641,Sheet1!$N$32:$O$37,2,0)*1000,0)</f>
        <v>60</v>
      </c>
      <c r="N1641" s="83"/>
      <c r="O1641" s="83">
        <f t="shared" si="149"/>
        <v>0.000659145088819801</v>
      </c>
      <c r="P1641" s="83">
        <v>11035</v>
      </c>
    </row>
    <row r="1642" spans="1:16">
      <c r="A1642" s="71">
        <v>1640</v>
      </c>
      <c r="B1642" s="83">
        <v>11400</v>
      </c>
      <c r="C1642" s="83">
        <v>6</v>
      </c>
      <c r="D1642" s="83">
        <f t="shared" si="148"/>
        <v>90997</v>
      </c>
      <c r="E1642" s="83">
        <f t="shared" si="150"/>
        <v>91057</v>
      </c>
      <c r="F1642" s="83"/>
      <c r="G1642" s="83" t="s">
        <v>350</v>
      </c>
      <c r="H1642" s="83" t="s">
        <v>351</v>
      </c>
      <c r="I1642" s="83"/>
      <c r="J1642" s="83" t="s">
        <v>279</v>
      </c>
      <c r="K1642" s="83">
        <v>1</v>
      </c>
      <c r="L1642" s="83" t="s">
        <v>174</v>
      </c>
      <c r="M1642" s="83">
        <f>ROUNDDOWN(VLOOKUP(J1642,Sheet1!$N$32:$O$37,2,0)*1000,0)</f>
        <v>60</v>
      </c>
      <c r="N1642" s="83"/>
      <c r="O1642" s="83">
        <f t="shared" si="149"/>
        <v>0.000659145088819801</v>
      </c>
      <c r="P1642" s="83">
        <v>11036</v>
      </c>
    </row>
    <row r="1643" spans="1:16">
      <c r="A1643" s="71">
        <v>1641</v>
      </c>
      <c r="B1643" s="83">
        <v>11400</v>
      </c>
      <c r="C1643" s="83">
        <v>6</v>
      </c>
      <c r="D1643" s="83">
        <f t="shared" si="148"/>
        <v>91057</v>
      </c>
      <c r="E1643" s="83">
        <f t="shared" si="150"/>
        <v>91117</v>
      </c>
      <c r="F1643" s="83"/>
      <c r="G1643" s="83" t="s">
        <v>352</v>
      </c>
      <c r="H1643" s="83" t="s">
        <v>353</v>
      </c>
      <c r="I1643" s="83"/>
      <c r="J1643" s="83" t="s">
        <v>279</v>
      </c>
      <c r="K1643" s="83">
        <v>1</v>
      </c>
      <c r="L1643" s="83" t="s">
        <v>174</v>
      </c>
      <c r="M1643" s="83">
        <f>ROUNDDOWN(VLOOKUP(J1643,Sheet1!$N$32:$O$37,2,0)*1000,0)</f>
        <v>60</v>
      </c>
      <c r="N1643" s="83"/>
      <c r="O1643" s="83">
        <f t="shared" si="149"/>
        <v>0.000659145088819801</v>
      </c>
      <c r="P1643" s="83">
        <v>11037</v>
      </c>
    </row>
    <row r="1644" spans="1:16">
      <c r="A1644" s="71">
        <v>1642</v>
      </c>
      <c r="B1644" s="83">
        <v>11400</v>
      </c>
      <c r="C1644" s="83">
        <v>6</v>
      </c>
      <c r="D1644" s="83">
        <f t="shared" si="148"/>
        <v>91117</v>
      </c>
      <c r="E1644" s="83">
        <f t="shared" si="150"/>
        <v>91177</v>
      </c>
      <c r="F1644" s="83"/>
      <c r="G1644" s="83" t="s">
        <v>354</v>
      </c>
      <c r="H1644" s="83" t="s">
        <v>355</v>
      </c>
      <c r="I1644" s="83"/>
      <c r="J1644" s="83" t="s">
        <v>279</v>
      </c>
      <c r="K1644" s="83">
        <v>1</v>
      </c>
      <c r="L1644" s="83" t="s">
        <v>174</v>
      </c>
      <c r="M1644" s="83">
        <f>ROUNDDOWN(VLOOKUP(J1644,Sheet1!$N$32:$O$37,2,0)*1000,0)</f>
        <v>60</v>
      </c>
      <c r="N1644" s="83"/>
      <c r="O1644" s="83">
        <f t="shared" si="149"/>
        <v>0.000659145088819801</v>
      </c>
      <c r="P1644" s="83">
        <v>11038</v>
      </c>
    </row>
    <row r="1645" s="66" customFormat="1" spans="1:16">
      <c r="A1645" s="70">
        <v>1643</v>
      </c>
      <c r="B1645" s="83">
        <v>11400</v>
      </c>
      <c r="C1645" s="83">
        <v>6</v>
      </c>
      <c r="D1645" s="83">
        <f t="shared" si="148"/>
        <v>91177</v>
      </c>
      <c r="E1645" s="83">
        <f t="shared" si="150"/>
        <v>91237</v>
      </c>
      <c r="F1645" s="83"/>
      <c r="G1645" s="83" t="s">
        <v>277</v>
      </c>
      <c r="H1645" s="83" t="s">
        <v>356</v>
      </c>
      <c r="I1645" s="83"/>
      <c r="J1645" s="83" t="s">
        <v>279</v>
      </c>
      <c r="K1645" s="83">
        <v>1</v>
      </c>
      <c r="L1645" s="83" t="s">
        <v>174</v>
      </c>
      <c r="M1645" s="83">
        <f>ROUNDDOWN(VLOOKUP(J1645,Sheet1!$N$32:$O$37,2,0)*1000,0)</f>
        <v>60</v>
      </c>
      <c r="N1645" s="83"/>
      <c r="O1645" s="83">
        <f t="shared" si="149"/>
        <v>0.000659145088819801</v>
      </c>
      <c r="P1645" s="83">
        <v>11000</v>
      </c>
    </row>
    <row r="1646" s="66" customFormat="1" spans="1:16">
      <c r="A1646" s="70">
        <v>1644</v>
      </c>
      <c r="B1646" s="83">
        <v>11400</v>
      </c>
      <c r="C1646" s="83">
        <v>6</v>
      </c>
      <c r="D1646" s="83">
        <f t="shared" si="148"/>
        <v>91237</v>
      </c>
      <c r="E1646" s="83">
        <f t="shared" si="150"/>
        <v>91297</v>
      </c>
      <c r="F1646" s="83"/>
      <c r="G1646" s="83" t="s">
        <v>280</v>
      </c>
      <c r="H1646" s="83" t="s">
        <v>357</v>
      </c>
      <c r="I1646" s="83"/>
      <c r="J1646" s="83" t="s">
        <v>279</v>
      </c>
      <c r="K1646" s="83">
        <v>1</v>
      </c>
      <c r="L1646" s="83" t="s">
        <v>174</v>
      </c>
      <c r="M1646" s="83">
        <f>ROUNDDOWN(VLOOKUP(J1646,Sheet1!$N$32:$O$37,2,0)*1000,0)</f>
        <v>60</v>
      </c>
      <c r="N1646" s="83"/>
      <c r="O1646" s="83">
        <f t="shared" si="149"/>
        <v>0.000659145088819801</v>
      </c>
      <c r="P1646" s="83">
        <v>11001</v>
      </c>
    </row>
    <row r="1647" s="66" customFormat="1" spans="1:16">
      <c r="A1647" s="70">
        <v>1645</v>
      </c>
      <c r="B1647" s="83">
        <v>11400</v>
      </c>
      <c r="C1647" s="83">
        <v>6</v>
      </c>
      <c r="D1647" s="83">
        <f t="shared" si="148"/>
        <v>91297</v>
      </c>
      <c r="E1647" s="83">
        <f t="shared" si="150"/>
        <v>91357</v>
      </c>
      <c r="F1647" s="83"/>
      <c r="G1647" s="83" t="s">
        <v>282</v>
      </c>
      <c r="H1647" s="83" t="s">
        <v>358</v>
      </c>
      <c r="I1647" s="83"/>
      <c r="J1647" s="83" t="s">
        <v>279</v>
      </c>
      <c r="K1647" s="83">
        <v>1</v>
      </c>
      <c r="L1647" s="83" t="s">
        <v>174</v>
      </c>
      <c r="M1647" s="83">
        <f>ROUNDDOWN(VLOOKUP(J1647,Sheet1!$N$32:$O$37,2,0)*1000,0)</f>
        <v>60</v>
      </c>
      <c r="N1647" s="83"/>
      <c r="O1647" s="83">
        <f t="shared" si="149"/>
        <v>0.000659145088819801</v>
      </c>
      <c r="P1647" s="83">
        <v>11002</v>
      </c>
    </row>
    <row r="1648" s="66" customFormat="1" spans="1:16">
      <c r="A1648" s="70">
        <v>1646</v>
      </c>
      <c r="B1648" s="83">
        <v>11400</v>
      </c>
      <c r="C1648" s="83">
        <v>6</v>
      </c>
      <c r="D1648" s="83">
        <f t="shared" si="148"/>
        <v>91357</v>
      </c>
      <c r="E1648" s="83">
        <f t="shared" si="150"/>
        <v>91417</v>
      </c>
      <c r="F1648" s="83"/>
      <c r="G1648" s="83" t="s">
        <v>284</v>
      </c>
      <c r="H1648" s="83" t="s">
        <v>359</v>
      </c>
      <c r="I1648" s="83"/>
      <c r="J1648" s="83" t="s">
        <v>279</v>
      </c>
      <c r="K1648" s="83">
        <v>1</v>
      </c>
      <c r="L1648" s="83" t="s">
        <v>174</v>
      </c>
      <c r="M1648" s="83">
        <f>ROUNDDOWN(VLOOKUP(J1648,Sheet1!$N$32:$O$37,2,0)*1000,0)</f>
        <v>60</v>
      </c>
      <c r="N1648" s="83"/>
      <c r="O1648" s="83">
        <f t="shared" si="149"/>
        <v>0.000659145088819801</v>
      </c>
      <c r="P1648" s="83">
        <v>11003</v>
      </c>
    </row>
    <row r="1649" s="66" customFormat="1" spans="1:16">
      <c r="A1649" s="70">
        <v>1647</v>
      </c>
      <c r="B1649" s="83">
        <v>11400</v>
      </c>
      <c r="C1649" s="83">
        <v>6</v>
      </c>
      <c r="D1649" s="83">
        <f t="shared" si="148"/>
        <v>91417</v>
      </c>
      <c r="E1649" s="83">
        <f t="shared" si="150"/>
        <v>91477</v>
      </c>
      <c r="F1649" s="83"/>
      <c r="G1649" s="83" t="s">
        <v>286</v>
      </c>
      <c r="H1649" s="83" t="s">
        <v>360</v>
      </c>
      <c r="I1649" s="83"/>
      <c r="J1649" s="83" t="s">
        <v>279</v>
      </c>
      <c r="K1649" s="83">
        <v>1</v>
      </c>
      <c r="L1649" s="83" t="s">
        <v>174</v>
      </c>
      <c r="M1649" s="83">
        <f>ROUNDDOWN(VLOOKUP(J1649,Sheet1!$N$32:$O$37,2,0)*1000,0)</f>
        <v>60</v>
      </c>
      <c r="N1649" s="83"/>
      <c r="O1649" s="83">
        <f t="shared" si="149"/>
        <v>0.000659145088819801</v>
      </c>
      <c r="P1649" s="83">
        <v>11004</v>
      </c>
    </row>
    <row r="1650" s="66" customFormat="1" spans="1:16">
      <c r="A1650" s="70">
        <v>1648</v>
      </c>
      <c r="B1650" s="83">
        <v>11400</v>
      </c>
      <c r="C1650" s="83">
        <v>6</v>
      </c>
      <c r="D1650" s="83">
        <f t="shared" si="148"/>
        <v>91477</v>
      </c>
      <c r="E1650" s="83">
        <f t="shared" si="150"/>
        <v>91537</v>
      </c>
      <c r="F1650" s="83"/>
      <c r="G1650" s="83" t="s">
        <v>288</v>
      </c>
      <c r="H1650" s="83" t="s">
        <v>361</v>
      </c>
      <c r="I1650" s="83"/>
      <c r="J1650" s="83" t="s">
        <v>279</v>
      </c>
      <c r="K1650" s="83">
        <v>1</v>
      </c>
      <c r="L1650" s="83" t="s">
        <v>174</v>
      </c>
      <c r="M1650" s="83">
        <f>ROUNDDOWN(VLOOKUP(J1650,Sheet1!$N$32:$O$37,2,0)*1000,0)</f>
        <v>60</v>
      </c>
      <c r="N1650" s="83"/>
      <c r="O1650" s="83">
        <f t="shared" si="149"/>
        <v>0.000659145088819801</v>
      </c>
      <c r="P1650" s="83">
        <v>11005</v>
      </c>
    </row>
    <row r="1651" s="66" customFormat="1" spans="1:16">
      <c r="A1651" s="70">
        <v>1649</v>
      </c>
      <c r="B1651" s="83">
        <v>11400</v>
      </c>
      <c r="C1651" s="83">
        <v>6</v>
      </c>
      <c r="D1651" s="83">
        <f t="shared" si="148"/>
        <v>91537</v>
      </c>
      <c r="E1651" s="83">
        <f t="shared" si="150"/>
        <v>91597</v>
      </c>
      <c r="F1651" s="83"/>
      <c r="G1651" s="83" t="s">
        <v>290</v>
      </c>
      <c r="H1651" s="83" t="s">
        <v>362</v>
      </c>
      <c r="I1651" s="83"/>
      <c r="J1651" s="83" t="s">
        <v>279</v>
      </c>
      <c r="K1651" s="83">
        <v>1</v>
      </c>
      <c r="L1651" s="83" t="s">
        <v>174</v>
      </c>
      <c r="M1651" s="83">
        <f>ROUNDDOWN(VLOOKUP(J1651,Sheet1!$N$32:$O$37,2,0)*1000,0)</f>
        <v>60</v>
      </c>
      <c r="N1651" s="83"/>
      <c r="O1651" s="83">
        <f t="shared" si="149"/>
        <v>0.000659145088819801</v>
      </c>
      <c r="P1651" s="83">
        <v>11006</v>
      </c>
    </row>
    <row r="1652" s="66" customFormat="1" spans="1:16">
      <c r="A1652" s="70">
        <v>1650</v>
      </c>
      <c r="B1652" s="83">
        <v>11400</v>
      </c>
      <c r="C1652" s="83">
        <v>6</v>
      </c>
      <c r="D1652" s="83">
        <f t="shared" si="148"/>
        <v>91597</v>
      </c>
      <c r="E1652" s="83">
        <f t="shared" si="150"/>
        <v>91657</v>
      </c>
      <c r="F1652" s="83"/>
      <c r="G1652" s="83" t="s">
        <v>292</v>
      </c>
      <c r="H1652" s="83" t="s">
        <v>363</v>
      </c>
      <c r="I1652" s="83"/>
      <c r="J1652" s="83" t="s">
        <v>279</v>
      </c>
      <c r="K1652" s="83">
        <v>1</v>
      </c>
      <c r="L1652" s="83" t="s">
        <v>174</v>
      </c>
      <c r="M1652" s="83">
        <f>ROUNDDOWN(VLOOKUP(J1652,Sheet1!$N$32:$O$37,2,0)*1000,0)</f>
        <v>60</v>
      </c>
      <c r="N1652" s="83"/>
      <c r="O1652" s="83">
        <f t="shared" si="149"/>
        <v>0.000659145088819801</v>
      </c>
      <c r="P1652" s="83">
        <v>11007</v>
      </c>
    </row>
    <row r="1653" s="66" customFormat="1" spans="1:16">
      <c r="A1653" s="70">
        <v>1651</v>
      </c>
      <c r="B1653" s="83">
        <v>11400</v>
      </c>
      <c r="C1653" s="83">
        <v>6</v>
      </c>
      <c r="D1653" s="83">
        <f t="shared" si="148"/>
        <v>91657</v>
      </c>
      <c r="E1653" s="83">
        <f t="shared" si="150"/>
        <v>91717</v>
      </c>
      <c r="F1653" s="83"/>
      <c r="G1653" s="83" t="s">
        <v>294</v>
      </c>
      <c r="H1653" s="83" t="s">
        <v>364</v>
      </c>
      <c r="I1653" s="83"/>
      <c r="J1653" s="83" t="s">
        <v>279</v>
      </c>
      <c r="K1653" s="83">
        <v>1</v>
      </c>
      <c r="L1653" s="83" t="s">
        <v>174</v>
      </c>
      <c r="M1653" s="83">
        <f>ROUNDDOWN(VLOOKUP(J1653,Sheet1!$N$32:$O$37,2,0)*1000,0)</f>
        <v>60</v>
      </c>
      <c r="N1653" s="83"/>
      <c r="O1653" s="83">
        <f t="shared" si="149"/>
        <v>0.000659145088819801</v>
      </c>
      <c r="P1653" s="83">
        <v>11008</v>
      </c>
    </row>
    <row r="1654" s="66" customFormat="1" spans="1:16">
      <c r="A1654" s="70">
        <v>1652</v>
      </c>
      <c r="B1654" s="83">
        <v>11400</v>
      </c>
      <c r="C1654" s="83">
        <v>6</v>
      </c>
      <c r="D1654" s="83">
        <f t="shared" si="148"/>
        <v>91717</v>
      </c>
      <c r="E1654" s="83">
        <f t="shared" si="150"/>
        <v>91777</v>
      </c>
      <c r="F1654" s="83"/>
      <c r="G1654" s="83" t="s">
        <v>296</v>
      </c>
      <c r="H1654" s="83" t="s">
        <v>365</v>
      </c>
      <c r="I1654" s="83"/>
      <c r="J1654" s="83" t="s">
        <v>279</v>
      </c>
      <c r="K1654" s="83">
        <v>1</v>
      </c>
      <c r="L1654" s="83" t="s">
        <v>174</v>
      </c>
      <c r="M1654" s="83">
        <f>ROUNDDOWN(VLOOKUP(J1654,Sheet1!$N$32:$O$37,2,0)*1000,0)</f>
        <v>60</v>
      </c>
      <c r="N1654" s="83"/>
      <c r="O1654" s="83">
        <f t="shared" si="149"/>
        <v>0.000659145088819801</v>
      </c>
      <c r="P1654" s="83">
        <v>11009</v>
      </c>
    </row>
    <row r="1655" s="66" customFormat="1" spans="1:16">
      <c r="A1655" s="70">
        <v>1653</v>
      </c>
      <c r="B1655" s="83">
        <v>11400</v>
      </c>
      <c r="C1655" s="83">
        <v>6</v>
      </c>
      <c r="D1655" s="83">
        <f t="shared" si="148"/>
        <v>91777</v>
      </c>
      <c r="E1655" s="83">
        <f t="shared" si="150"/>
        <v>91837</v>
      </c>
      <c r="F1655" s="83"/>
      <c r="G1655" s="83" t="s">
        <v>298</v>
      </c>
      <c r="H1655" s="83" t="s">
        <v>366</v>
      </c>
      <c r="I1655" s="83"/>
      <c r="J1655" s="83" t="s">
        <v>279</v>
      </c>
      <c r="K1655" s="83">
        <v>1</v>
      </c>
      <c r="L1655" s="83" t="s">
        <v>174</v>
      </c>
      <c r="M1655" s="83">
        <f>ROUNDDOWN(VLOOKUP(J1655,Sheet1!$N$32:$O$37,2,0)*1000,0)</f>
        <v>60</v>
      </c>
      <c r="N1655" s="83"/>
      <c r="O1655" s="83">
        <f t="shared" si="149"/>
        <v>0.000659145088819801</v>
      </c>
      <c r="P1655" s="83">
        <v>11010</v>
      </c>
    </row>
    <row r="1656" s="66" customFormat="1" spans="1:16">
      <c r="A1656" s="70">
        <v>1654</v>
      </c>
      <c r="B1656" s="83">
        <v>11400</v>
      </c>
      <c r="C1656" s="83">
        <v>6</v>
      </c>
      <c r="D1656" s="83">
        <f t="shared" si="148"/>
        <v>91837</v>
      </c>
      <c r="E1656" s="83">
        <f t="shared" si="150"/>
        <v>91897</v>
      </c>
      <c r="F1656" s="83"/>
      <c r="G1656" s="83" t="s">
        <v>300</v>
      </c>
      <c r="H1656" s="83" t="s">
        <v>367</v>
      </c>
      <c r="I1656" s="83"/>
      <c r="J1656" s="83" t="s">
        <v>279</v>
      </c>
      <c r="K1656" s="83">
        <v>1</v>
      </c>
      <c r="L1656" s="83" t="s">
        <v>174</v>
      </c>
      <c r="M1656" s="83">
        <f>ROUNDDOWN(VLOOKUP(J1656,Sheet1!$N$32:$O$37,2,0)*1000,0)</f>
        <v>60</v>
      </c>
      <c r="N1656" s="83"/>
      <c r="O1656" s="83">
        <f t="shared" si="149"/>
        <v>0.000659145088819801</v>
      </c>
      <c r="P1656" s="83">
        <v>11011</v>
      </c>
    </row>
    <row r="1657" s="66" customFormat="1" spans="1:16">
      <c r="A1657" s="70">
        <v>1655</v>
      </c>
      <c r="B1657" s="83">
        <v>11400</v>
      </c>
      <c r="C1657" s="83">
        <v>6</v>
      </c>
      <c r="D1657" s="83">
        <f t="shared" si="148"/>
        <v>91897</v>
      </c>
      <c r="E1657" s="83">
        <f t="shared" si="150"/>
        <v>91957</v>
      </c>
      <c r="F1657" s="83"/>
      <c r="G1657" s="83" t="s">
        <v>302</v>
      </c>
      <c r="H1657" s="83" t="s">
        <v>368</v>
      </c>
      <c r="I1657" s="83"/>
      <c r="J1657" s="83" t="s">
        <v>279</v>
      </c>
      <c r="K1657" s="83">
        <v>1</v>
      </c>
      <c r="L1657" s="83" t="s">
        <v>174</v>
      </c>
      <c r="M1657" s="83">
        <f>ROUNDDOWN(VLOOKUP(J1657,Sheet1!$N$32:$O$37,2,0)*1000,0)</f>
        <v>60</v>
      </c>
      <c r="N1657" s="83"/>
      <c r="O1657" s="83">
        <f t="shared" si="149"/>
        <v>0.000659145088819801</v>
      </c>
      <c r="P1657" s="83">
        <v>11012</v>
      </c>
    </row>
    <row r="1658" s="66" customFormat="1" spans="1:16">
      <c r="A1658" s="70">
        <v>1656</v>
      </c>
      <c r="B1658" s="83">
        <v>11400</v>
      </c>
      <c r="C1658" s="83">
        <v>6</v>
      </c>
      <c r="D1658" s="83">
        <f t="shared" si="148"/>
        <v>91957</v>
      </c>
      <c r="E1658" s="83">
        <f t="shared" si="150"/>
        <v>92017</v>
      </c>
      <c r="F1658" s="83"/>
      <c r="G1658" s="83" t="s">
        <v>304</v>
      </c>
      <c r="H1658" s="83" t="s">
        <v>369</v>
      </c>
      <c r="I1658" s="83"/>
      <c r="J1658" s="83" t="s">
        <v>279</v>
      </c>
      <c r="K1658" s="83">
        <v>1</v>
      </c>
      <c r="L1658" s="83" t="s">
        <v>174</v>
      </c>
      <c r="M1658" s="83">
        <f>ROUNDDOWN(VLOOKUP(J1658,Sheet1!$N$32:$O$37,2,0)*1000,0)</f>
        <v>60</v>
      </c>
      <c r="N1658" s="83"/>
      <c r="O1658" s="83">
        <f t="shared" si="149"/>
        <v>0.000659145088819801</v>
      </c>
      <c r="P1658" s="83">
        <v>11013</v>
      </c>
    </row>
    <row r="1659" s="66" customFormat="1" spans="1:16">
      <c r="A1659" s="70">
        <v>1657</v>
      </c>
      <c r="B1659" s="83">
        <v>11400</v>
      </c>
      <c r="C1659" s="83">
        <v>6</v>
      </c>
      <c r="D1659" s="83">
        <f t="shared" si="148"/>
        <v>92017</v>
      </c>
      <c r="E1659" s="83">
        <f t="shared" si="150"/>
        <v>92077</v>
      </c>
      <c r="F1659" s="83"/>
      <c r="G1659" s="83" t="s">
        <v>306</v>
      </c>
      <c r="H1659" s="83" t="s">
        <v>370</v>
      </c>
      <c r="I1659" s="83"/>
      <c r="J1659" s="83" t="s">
        <v>279</v>
      </c>
      <c r="K1659" s="83">
        <v>1</v>
      </c>
      <c r="L1659" s="83" t="s">
        <v>174</v>
      </c>
      <c r="M1659" s="83">
        <f>ROUNDDOWN(VLOOKUP(J1659,Sheet1!$N$32:$O$37,2,0)*1000,0)</f>
        <v>60</v>
      </c>
      <c r="N1659" s="83"/>
      <c r="O1659" s="83">
        <f t="shared" si="149"/>
        <v>0.000659145088819801</v>
      </c>
      <c r="P1659" s="83">
        <v>11014</v>
      </c>
    </row>
    <row r="1660" s="66" customFormat="1" spans="1:16">
      <c r="A1660" s="70">
        <v>1658</v>
      </c>
      <c r="B1660" s="83">
        <v>11400</v>
      </c>
      <c r="C1660" s="83">
        <v>6</v>
      </c>
      <c r="D1660" s="83">
        <f t="shared" si="148"/>
        <v>92077</v>
      </c>
      <c r="E1660" s="83">
        <f t="shared" si="150"/>
        <v>92137</v>
      </c>
      <c r="F1660" s="83"/>
      <c r="G1660" s="83" t="s">
        <v>308</v>
      </c>
      <c r="H1660" s="83" t="s">
        <v>371</v>
      </c>
      <c r="I1660" s="83"/>
      <c r="J1660" s="83" t="s">
        <v>279</v>
      </c>
      <c r="K1660" s="83">
        <v>1</v>
      </c>
      <c r="L1660" s="83" t="s">
        <v>174</v>
      </c>
      <c r="M1660" s="83">
        <f>ROUNDDOWN(VLOOKUP(J1660,Sheet1!$N$32:$O$37,2,0)*1000,0)</f>
        <v>60</v>
      </c>
      <c r="N1660" s="83"/>
      <c r="O1660" s="83">
        <f t="shared" si="149"/>
        <v>0.000659145088819801</v>
      </c>
      <c r="P1660" s="83">
        <v>11015</v>
      </c>
    </row>
    <row r="1661" s="66" customFormat="1" spans="1:16">
      <c r="A1661" s="70">
        <v>1659</v>
      </c>
      <c r="B1661" s="83">
        <v>11400</v>
      </c>
      <c r="C1661" s="83">
        <v>6</v>
      </c>
      <c r="D1661" s="83">
        <f t="shared" si="148"/>
        <v>92137</v>
      </c>
      <c r="E1661" s="83">
        <f t="shared" si="150"/>
        <v>92197</v>
      </c>
      <c r="F1661" s="83"/>
      <c r="G1661" s="83" t="s">
        <v>310</v>
      </c>
      <c r="H1661" s="83" t="s">
        <v>372</v>
      </c>
      <c r="I1661" s="83"/>
      <c r="J1661" s="83" t="s">
        <v>279</v>
      </c>
      <c r="K1661" s="83">
        <v>1</v>
      </c>
      <c r="L1661" s="83" t="s">
        <v>174</v>
      </c>
      <c r="M1661" s="83">
        <f>ROUNDDOWN(VLOOKUP(J1661,Sheet1!$N$32:$O$37,2,0)*1000,0)</f>
        <v>60</v>
      </c>
      <c r="N1661" s="83"/>
      <c r="O1661" s="83">
        <f t="shared" si="149"/>
        <v>0.000659145088819801</v>
      </c>
      <c r="P1661" s="83">
        <v>11016</v>
      </c>
    </row>
    <row r="1662" s="66" customFormat="1" spans="1:16">
      <c r="A1662" s="70">
        <v>1660</v>
      </c>
      <c r="B1662" s="83">
        <v>11400</v>
      </c>
      <c r="C1662" s="83">
        <v>6</v>
      </c>
      <c r="D1662" s="83">
        <f t="shared" si="148"/>
        <v>92197</v>
      </c>
      <c r="E1662" s="83">
        <f t="shared" si="150"/>
        <v>92257</v>
      </c>
      <c r="F1662" s="83"/>
      <c r="G1662" s="83" t="s">
        <v>312</v>
      </c>
      <c r="H1662" s="83" t="s">
        <v>373</v>
      </c>
      <c r="I1662" s="83"/>
      <c r="J1662" s="83" t="s">
        <v>279</v>
      </c>
      <c r="K1662" s="83">
        <v>1</v>
      </c>
      <c r="L1662" s="83" t="s">
        <v>174</v>
      </c>
      <c r="M1662" s="83">
        <f>ROUNDDOWN(VLOOKUP(J1662,Sheet1!$N$32:$O$37,2,0)*1000,0)</f>
        <v>60</v>
      </c>
      <c r="N1662" s="83"/>
      <c r="O1662" s="83">
        <f t="shared" si="149"/>
        <v>0.000659145088819801</v>
      </c>
      <c r="P1662" s="83">
        <v>11017</v>
      </c>
    </row>
    <row r="1663" s="66" customFormat="1" spans="1:16">
      <c r="A1663" s="70">
        <v>1661</v>
      </c>
      <c r="B1663" s="83">
        <v>11400</v>
      </c>
      <c r="C1663" s="83">
        <v>6</v>
      </c>
      <c r="D1663" s="83">
        <f t="shared" si="148"/>
        <v>92257</v>
      </c>
      <c r="E1663" s="83">
        <f t="shared" si="150"/>
        <v>92317</v>
      </c>
      <c r="F1663" s="83"/>
      <c r="G1663" s="83" t="s">
        <v>314</v>
      </c>
      <c r="H1663" s="83" t="s">
        <v>374</v>
      </c>
      <c r="I1663" s="83"/>
      <c r="J1663" s="83" t="s">
        <v>279</v>
      </c>
      <c r="K1663" s="83">
        <v>1</v>
      </c>
      <c r="L1663" s="83" t="s">
        <v>174</v>
      </c>
      <c r="M1663" s="83">
        <f>ROUNDDOWN(VLOOKUP(J1663,Sheet1!$N$32:$O$37,2,0)*1000,0)</f>
        <v>60</v>
      </c>
      <c r="N1663" s="83"/>
      <c r="O1663" s="83">
        <f t="shared" si="149"/>
        <v>0.000659145088819801</v>
      </c>
      <c r="P1663" s="83">
        <v>11018</v>
      </c>
    </row>
    <row r="1664" s="66" customFormat="1" spans="1:16">
      <c r="A1664" s="70">
        <v>1662</v>
      </c>
      <c r="B1664" s="83">
        <v>11400</v>
      </c>
      <c r="C1664" s="83">
        <v>6</v>
      </c>
      <c r="D1664" s="83">
        <f t="shared" si="148"/>
        <v>92317</v>
      </c>
      <c r="E1664" s="83">
        <f t="shared" si="150"/>
        <v>92377</v>
      </c>
      <c r="F1664" s="83"/>
      <c r="G1664" s="83" t="s">
        <v>316</v>
      </c>
      <c r="H1664" s="83" t="s">
        <v>375</v>
      </c>
      <c r="I1664" s="83"/>
      <c r="J1664" s="83" t="s">
        <v>279</v>
      </c>
      <c r="K1664" s="83">
        <v>1</v>
      </c>
      <c r="L1664" s="83" t="s">
        <v>174</v>
      </c>
      <c r="M1664" s="83">
        <f>ROUNDDOWN(VLOOKUP(J1664,Sheet1!$N$32:$O$37,2,0)*1000,0)</f>
        <v>60</v>
      </c>
      <c r="N1664" s="83"/>
      <c r="O1664" s="83">
        <f t="shared" si="149"/>
        <v>0.000659145088819801</v>
      </c>
      <c r="P1664" s="83">
        <v>11019</v>
      </c>
    </row>
    <row r="1665" s="66" customFormat="1" spans="1:16">
      <c r="A1665" s="70">
        <v>1663</v>
      </c>
      <c r="B1665" s="83">
        <v>11400</v>
      </c>
      <c r="C1665" s="83">
        <v>6</v>
      </c>
      <c r="D1665" s="83">
        <f t="shared" ref="D1665:D1688" si="151">E1664</f>
        <v>92377</v>
      </c>
      <c r="E1665" s="83">
        <f t="shared" si="150"/>
        <v>92437</v>
      </c>
      <c r="F1665" s="83"/>
      <c r="G1665" s="83" t="s">
        <v>318</v>
      </c>
      <c r="H1665" s="83" t="s">
        <v>376</v>
      </c>
      <c r="I1665" s="83"/>
      <c r="J1665" s="83" t="s">
        <v>279</v>
      </c>
      <c r="K1665" s="83">
        <v>1</v>
      </c>
      <c r="L1665" s="83" t="s">
        <v>174</v>
      </c>
      <c r="M1665" s="83">
        <f>ROUNDDOWN(VLOOKUP(J1665,Sheet1!$N$32:$O$37,2,0)*1000,0)</f>
        <v>60</v>
      </c>
      <c r="N1665" s="83"/>
      <c r="O1665" s="83">
        <f t="shared" si="149"/>
        <v>0.000659145088819801</v>
      </c>
      <c r="P1665" s="83">
        <v>11020</v>
      </c>
    </row>
    <row r="1666" s="66" customFormat="1" spans="1:16">
      <c r="A1666" s="70">
        <v>1664</v>
      </c>
      <c r="B1666" s="83">
        <v>11400</v>
      </c>
      <c r="C1666" s="83">
        <v>6</v>
      </c>
      <c r="D1666" s="83">
        <f t="shared" si="151"/>
        <v>92437</v>
      </c>
      <c r="E1666" s="83">
        <f t="shared" si="150"/>
        <v>92497</v>
      </c>
      <c r="F1666" s="83"/>
      <c r="G1666" s="83" t="s">
        <v>320</v>
      </c>
      <c r="H1666" s="83" t="s">
        <v>377</v>
      </c>
      <c r="I1666" s="83"/>
      <c r="J1666" s="83" t="s">
        <v>279</v>
      </c>
      <c r="K1666" s="83">
        <v>1</v>
      </c>
      <c r="L1666" s="83" t="s">
        <v>174</v>
      </c>
      <c r="M1666" s="83">
        <f>ROUNDDOWN(VLOOKUP(J1666,Sheet1!$N$32:$O$37,2,0)*1000,0)</f>
        <v>60</v>
      </c>
      <c r="N1666" s="83"/>
      <c r="O1666" s="83">
        <f t="shared" si="149"/>
        <v>0.000659145088819801</v>
      </c>
      <c r="P1666" s="83">
        <v>11021</v>
      </c>
    </row>
    <row r="1667" s="66" customFormat="1" spans="1:16">
      <c r="A1667" s="70">
        <v>1665</v>
      </c>
      <c r="B1667" s="83">
        <v>11400</v>
      </c>
      <c r="C1667" s="83">
        <v>6</v>
      </c>
      <c r="D1667" s="83">
        <f t="shared" si="151"/>
        <v>92497</v>
      </c>
      <c r="E1667" s="83">
        <f t="shared" si="150"/>
        <v>92557</v>
      </c>
      <c r="F1667" s="83"/>
      <c r="G1667" s="83" t="s">
        <v>322</v>
      </c>
      <c r="H1667" s="83" t="s">
        <v>378</v>
      </c>
      <c r="I1667" s="83"/>
      <c r="J1667" s="83" t="s">
        <v>279</v>
      </c>
      <c r="K1667" s="83">
        <v>1</v>
      </c>
      <c r="L1667" s="83" t="s">
        <v>174</v>
      </c>
      <c r="M1667" s="83">
        <f>ROUNDDOWN(VLOOKUP(J1667,Sheet1!$N$32:$O$37,2,0)*1000,0)</f>
        <v>60</v>
      </c>
      <c r="N1667" s="83"/>
      <c r="O1667" s="83">
        <f t="shared" si="149"/>
        <v>0.000659145088819801</v>
      </c>
      <c r="P1667" s="83">
        <v>11022</v>
      </c>
    </row>
    <row r="1668" s="66" customFormat="1" spans="1:16">
      <c r="A1668" s="70">
        <v>1666</v>
      </c>
      <c r="B1668" s="83">
        <v>11400</v>
      </c>
      <c r="C1668" s="83">
        <v>6</v>
      </c>
      <c r="D1668" s="83">
        <f t="shared" si="151"/>
        <v>92557</v>
      </c>
      <c r="E1668" s="83">
        <f t="shared" si="150"/>
        <v>92617</v>
      </c>
      <c r="F1668" s="83"/>
      <c r="G1668" s="83" t="s">
        <v>324</v>
      </c>
      <c r="H1668" s="83" t="s">
        <v>379</v>
      </c>
      <c r="I1668" s="83"/>
      <c r="J1668" s="83" t="s">
        <v>279</v>
      </c>
      <c r="K1668" s="83">
        <v>1</v>
      </c>
      <c r="L1668" s="83" t="s">
        <v>174</v>
      </c>
      <c r="M1668" s="83">
        <f>ROUNDDOWN(VLOOKUP(J1668,Sheet1!$N$32:$O$37,2,0)*1000,0)</f>
        <v>60</v>
      </c>
      <c r="N1668" s="83"/>
      <c r="O1668" s="83">
        <f t="shared" si="149"/>
        <v>0.000659145088819801</v>
      </c>
      <c r="P1668" s="83">
        <v>11023</v>
      </c>
    </row>
    <row r="1669" s="66" customFormat="1" spans="1:16">
      <c r="A1669" s="70">
        <v>1667</v>
      </c>
      <c r="B1669" s="83">
        <v>11400</v>
      </c>
      <c r="C1669" s="83">
        <v>6</v>
      </c>
      <c r="D1669" s="83">
        <f t="shared" si="151"/>
        <v>92617</v>
      </c>
      <c r="E1669" s="83">
        <f t="shared" si="150"/>
        <v>92677</v>
      </c>
      <c r="F1669" s="83"/>
      <c r="G1669" s="83" t="s">
        <v>326</v>
      </c>
      <c r="H1669" s="83" t="s">
        <v>380</v>
      </c>
      <c r="I1669" s="83"/>
      <c r="J1669" s="83" t="s">
        <v>279</v>
      </c>
      <c r="K1669" s="83">
        <v>1</v>
      </c>
      <c r="L1669" s="83" t="s">
        <v>174</v>
      </c>
      <c r="M1669" s="83">
        <f>ROUNDDOWN(VLOOKUP(J1669,Sheet1!$N$32:$O$37,2,0)*1000,0)</f>
        <v>60</v>
      </c>
      <c r="N1669" s="83"/>
      <c r="O1669" s="83">
        <f t="shared" si="149"/>
        <v>0.000659145088819801</v>
      </c>
      <c r="P1669" s="83">
        <v>11024</v>
      </c>
    </row>
    <row r="1670" s="66" customFormat="1" spans="1:16">
      <c r="A1670" s="70">
        <v>1668</v>
      </c>
      <c r="B1670" s="83">
        <v>11400</v>
      </c>
      <c r="C1670" s="83">
        <v>6</v>
      </c>
      <c r="D1670" s="83">
        <f t="shared" si="151"/>
        <v>92677</v>
      </c>
      <c r="E1670" s="83">
        <f t="shared" si="150"/>
        <v>92737</v>
      </c>
      <c r="F1670" s="83"/>
      <c r="G1670" s="83" t="s">
        <v>328</v>
      </c>
      <c r="H1670" s="83" t="s">
        <v>381</v>
      </c>
      <c r="I1670" s="83"/>
      <c r="J1670" s="83" t="s">
        <v>279</v>
      </c>
      <c r="K1670" s="83">
        <v>1</v>
      </c>
      <c r="L1670" s="83" t="s">
        <v>174</v>
      </c>
      <c r="M1670" s="83">
        <f>ROUNDDOWN(VLOOKUP(J1670,Sheet1!$N$32:$O$37,2,0)*1000,0)</f>
        <v>60</v>
      </c>
      <c r="N1670" s="83"/>
      <c r="O1670" s="83">
        <f t="shared" si="149"/>
        <v>0.000659145088819801</v>
      </c>
      <c r="P1670" s="83">
        <v>11025</v>
      </c>
    </row>
    <row r="1671" s="66" customFormat="1" spans="1:16">
      <c r="A1671" s="70">
        <v>1669</v>
      </c>
      <c r="B1671" s="83">
        <v>11400</v>
      </c>
      <c r="C1671" s="83">
        <v>6</v>
      </c>
      <c r="D1671" s="83">
        <f t="shared" si="151"/>
        <v>92737</v>
      </c>
      <c r="E1671" s="83">
        <f t="shared" si="150"/>
        <v>92797</v>
      </c>
      <c r="F1671" s="83"/>
      <c r="G1671" s="83" t="s">
        <v>330</v>
      </c>
      <c r="H1671" s="83" t="s">
        <v>382</v>
      </c>
      <c r="I1671" s="83"/>
      <c r="J1671" s="83" t="s">
        <v>279</v>
      </c>
      <c r="K1671" s="83">
        <v>1</v>
      </c>
      <c r="L1671" s="83" t="s">
        <v>174</v>
      </c>
      <c r="M1671" s="83">
        <f>ROUNDDOWN(VLOOKUP(J1671,Sheet1!$N$32:$O$37,2,0)*1000,0)</f>
        <v>60</v>
      </c>
      <c r="N1671" s="83"/>
      <c r="O1671" s="83">
        <f t="shared" ref="O1671:O1688" si="152">(E1671-D1671)/$E$438</f>
        <v>0.000659145088819801</v>
      </c>
      <c r="P1671" s="83">
        <v>11026</v>
      </c>
    </row>
    <row r="1672" s="66" customFormat="1" spans="1:16">
      <c r="A1672" s="70">
        <v>1670</v>
      </c>
      <c r="B1672" s="83">
        <v>11400</v>
      </c>
      <c r="C1672" s="83">
        <v>6</v>
      </c>
      <c r="D1672" s="83">
        <f t="shared" si="151"/>
        <v>92797</v>
      </c>
      <c r="E1672" s="83">
        <f t="shared" si="150"/>
        <v>92857</v>
      </c>
      <c r="F1672" s="83"/>
      <c r="G1672" s="83" t="s">
        <v>332</v>
      </c>
      <c r="H1672" s="83" t="s">
        <v>383</v>
      </c>
      <c r="I1672" s="83"/>
      <c r="J1672" s="83" t="s">
        <v>279</v>
      </c>
      <c r="K1672" s="83">
        <v>1</v>
      </c>
      <c r="L1672" s="83" t="s">
        <v>174</v>
      </c>
      <c r="M1672" s="83">
        <f>ROUNDDOWN(VLOOKUP(J1672,Sheet1!$N$32:$O$37,2,0)*1000,0)</f>
        <v>60</v>
      </c>
      <c r="N1672" s="83"/>
      <c r="O1672" s="83">
        <f t="shared" si="152"/>
        <v>0.000659145088819801</v>
      </c>
      <c r="P1672" s="83">
        <v>11027</v>
      </c>
    </row>
    <row r="1673" s="66" customFormat="1" spans="1:16">
      <c r="A1673" s="70">
        <v>1671</v>
      </c>
      <c r="B1673" s="83">
        <v>11400</v>
      </c>
      <c r="C1673" s="83">
        <v>6</v>
      </c>
      <c r="D1673" s="83">
        <f t="shared" si="151"/>
        <v>92857</v>
      </c>
      <c r="E1673" s="83">
        <f t="shared" si="150"/>
        <v>92917</v>
      </c>
      <c r="F1673" s="83"/>
      <c r="G1673" s="83" t="s">
        <v>334</v>
      </c>
      <c r="H1673" s="83" t="s">
        <v>384</v>
      </c>
      <c r="I1673" s="83"/>
      <c r="J1673" s="83" t="s">
        <v>279</v>
      </c>
      <c r="K1673" s="83">
        <v>1</v>
      </c>
      <c r="L1673" s="83" t="s">
        <v>174</v>
      </c>
      <c r="M1673" s="83">
        <f>ROUNDDOWN(VLOOKUP(J1673,Sheet1!$N$32:$O$37,2,0)*1000,0)</f>
        <v>60</v>
      </c>
      <c r="N1673" s="83"/>
      <c r="O1673" s="83">
        <f t="shared" si="152"/>
        <v>0.000659145088819801</v>
      </c>
      <c r="P1673" s="83">
        <v>11028</v>
      </c>
    </row>
    <row r="1674" s="66" customFormat="1" spans="1:16">
      <c r="A1674" s="70">
        <v>1672</v>
      </c>
      <c r="B1674" s="83">
        <v>11400</v>
      </c>
      <c r="C1674" s="83">
        <v>6</v>
      </c>
      <c r="D1674" s="83">
        <f t="shared" si="151"/>
        <v>92917</v>
      </c>
      <c r="E1674" s="83">
        <f t="shared" si="150"/>
        <v>92977</v>
      </c>
      <c r="F1674" s="83"/>
      <c r="G1674" s="83" t="s">
        <v>336</v>
      </c>
      <c r="H1674" s="83" t="s">
        <v>385</v>
      </c>
      <c r="I1674" s="83"/>
      <c r="J1674" s="83" t="s">
        <v>279</v>
      </c>
      <c r="K1674" s="83">
        <v>1</v>
      </c>
      <c r="L1674" s="83" t="s">
        <v>174</v>
      </c>
      <c r="M1674" s="83">
        <f>ROUNDDOWN(VLOOKUP(J1674,Sheet1!$N$32:$O$37,2,0)*1000,0)</f>
        <v>60</v>
      </c>
      <c r="N1674" s="83"/>
      <c r="O1674" s="83">
        <f t="shared" si="152"/>
        <v>0.000659145088819801</v>
      </c>
      <c r="P1674" s="83">
        <v>11029</v>
      </c>
    </row>
    <row r="1675" s="66" customFormat="1" spans="1:16">
      <c r="A1675" s="70">
        <v>1673</v>
      </c>
      <c r="B1675" s="83">
        <v>11400</v>
      </c>
      <c r="C1675" s="83">
        <v>6</v>
      </c>
      <c r="D1675" s="83">
        <f t="shared" si="151"/>
        <v>92977</v>
      </c>
      <c r="E1675" s="83">
        <f t="shared" si="150"/>
        <v>93037</v>
      </c>
      <c r="F1675" s="83"/>
      <c r="G1675" s="83" t="s">
        <v>338</v>
      </c>
      <c r="H1675" s="83" t="s">
        <v>386</v>
      </c>
      <c r="I1675" s="83"/>
      <c r="J1675" s="83" t="s">
        <v>279</v>
      </c>
      <c r="K1675" s="83">
        <v>1</v>
      </c>
      <c r="L1675" s="83" t="s">
        <v>174</v>
      </c>
      <c r="M1675" s="83">
        <f>ROUNDDOWN(VLOOKUP(J1675,Sheet1!$N$32:$O$37,2,0)*1000,0)</f>
        <v>60</v>
      </c>
      <c r="N1675" s="83"/>
      <c r="O1675" s="83">
        <f t="shared" si="152"/>
        <v>0.000659145088819801</v>
      </c>
      <c r="P1675" s="83">
        <v>11030</v>
      </c>
    </row>
    <row r="1676" s="66" customFormat="1" spans="1:16">
      <c r="A1676" s="70">
        <v>1674</v>
      </c>
      <c r="B1676" s="83">
        <v>11400</v>
      </c>
      <c r="C1676" s="83">
        <v>6</v>
      </c>
      <c r="D1676" s="83">
        <f t="shared" si="151"/>
        <v>93037</v>
      </c>
      <c r="E1676" s="83">
        <f t="shared" si="150"/>
        <v>93097</v>
      </c>
      <c r="F1676" s="83"/>
      <c r="G1676" s="83" t="s">
        <v>340</v>
      </c>
      <c r="H1676" s="83" t="s">
        <v>387</v>
      </c>
      <c r="I1676" s="83"/>
      <c r="J1676" s="83" t="s">
        <v>279</v>
      </c>
      <c r="K1676" s="83">
        <v>1</v>
      </c>
      <c r="L1676" s="83" t="s">
        <v>174</v>
      </c>
      <c r="M1676" s="83">
        <f>ROUNDDOWN(VLOOKUP(J1676,Sheet1!$N$32:$O$37,2,0)*1000,0)</f>
        <v>60</v>
      </c>
      <c r="N1676" s="83"/>
      <c r="O1676" s="83">
        <f t="shared" si="152"/>
        <v>0.000659145088819801</v>
      </c>
      <c r="P1676" s="83">
        <v>11031</v>
      </c>
    </row>
    <row r="1677" s="66" customFormat="1" spans="1:16">
      <c r="A1677" s="70">
        <v>1675</v>
      </c>
      <c r="B1677" s="83">
        <v>11400</v>
      </c>
      <c r="C1677" s="83">
        <v>6</v>
      </c>
      <c r="D1677" s="83">
        <f t="shared" si="151"/>
        <v>93097</v>
      </c>
      <c r="E1677" s="83">
        <f t="shared" si="150"/>
        <v>93157</v>
      </c>
      <c r="F1677" s="83"/>
      <c r="G1677" s="83" t="s">
        <v>342</v>
      </c>
      <c r="H1677" s="83" t="s">
        <v>388</v>
      </c>
      <c r="I1677" s="83"/>
      <c r="J1677" s="83" t="s">
        <v>279</v>
      </c>
      <c r="K1677" s="83">
        <v>1</v>
      </c>
      <c r="L1677" s="83" t="s">
        <v>174</v>
      </c>
      <c r="M1677" s="83">
        <f>ROUNDDOWN(VLOOKUP(J1677,Sheet1!$N$32:$O$37,2,0)*1000,0)</f>
        <v>60</v>
      </c>
      <c r="N1677" s="83"/>
      <c r="O1677" s="83">
        <f t="shared" si="152"/>
        <v>0.000659145088819801</v>
      </c>
      <c r="P1677" s="83">
        <v>11032</v>
      </c>
    </row>
    <row r="1678" s="66" customFormat="1" spans="1:16">
      <c r="A1678" s="70">
        <v>1676</v>
      </c>
      <c r="B1678" s="83">
        <v>11400</v>
      </c>
      <c r="C1678" s="83">
        <v>6</v>
      </c>
      <c r="D1678" s="83">
        <f t="shared" si="151"/>
        <v>93157</v>
      </c>
      <c r="E1678" s="83">
        <f t="shared" si="150"/>
        <v>93217</v>
      </c>
      <c r="F1678" s="83"/>
      <c r="G1678" s="83" t="s">
        <v>344</v>
      </c>
      <c r="H1678" s="83" t="s">
        <v>389</v>
      </c>
      <c r="I1678" s="83"/>
      <c r="J1678" s="83" t="s">
        <v>279</v>
      </c>
      <c r="K1678" s="83">
        <v>1</v>
      </c>
      <c r="L1678" s="83" t="s">
        <v>174</v>
      </c>
      <c r="M1678" s="83">
        <f>ROUNDDOWN(VLOOKUP(J1678,Sheet1!$N$32:$O$37,2,0)*1000,0)</f>
        <v>60</v>
      </c>
      <c r="N1678" s="83"/>
      <c r="O1678" s="83">
        <f t="shared" si="152"/>
        <v>0.000659145088819801</v>
      </c>
      <c r="P1678" s="83">
        <v>11033</v>
      </c>
    </row>
    <row r="1679" s="66" customFormat="1" spans="1:16">
      <c r="A1679" s="70">
        <v>1677</v>
      </c>
      <c r="B1679" s="83">
        <v>11400</v>
      </c>
      <c r="C1679" s="83">
        <v>6</v>
      </c>
      <c r="D1679" s="83">
        <f t="shared" si="151"/>
        <v>93217</v>
      </c>
      <c r="E1679" s="83">
        <f t="shared" si="150"/>
        <v>93277</v>
      </c>
      <c r="F1679" s="83"/>
      <c r="G1679" s="83" t="s">
        <v>346</v>
      </c>
      <c r="H1679" s="83" t="s">
        <v>390</v>
      </c>
      <c r="I1679" s="83"/>
      <c r="J1679" s="83" t="s">
        <v>279</v>
      </c>
      <c r="K1679" s="83">
        <v>1</v>
      </c>
      <c r="L1679" s="83" t="s">
        <v>174</v>
      </c>
      <c r="M1679" s="83">
        <f>ROUNDDOWN(VLOOKUP(J1679,Sheet1!$N$32:$O$37,2,0)*1000,0)</f>
        <v>60</v>
      </c>
      <c r="N1679" s="83"/>
      <c r="O1679" s="83">
        <f t="shared" si="152"/>
        <v>0.000659145088819801</v>
      </c>
      <c r="P1679" s="83">
        <v>11034</v>
      </c>
    </row>
    <row r="1680" s="66" customFormat="1" spans="1:16">
      <c r="A1680" s="70">
        <v>1678</v>
      </c>
      <c r="B1680" s="83">
        <v>11400</v>
      </c>
      <c r="C1680" s="83">
        <v>6</v>
      </c>
      <c r="D1680" s="83">
        <f t="shared" si="151"/>
        <v>93277</v>
      </c>
      <c r="E1680" s="83">
        <f t="shared" si="150"/>
        <v>93337</v>
      </c>
      <c r="F1680" s="83"/>
      <c r="G1680" s="83" t="s">
        <v>348</v>
      </c>
      <c r="H1680" s="83" t="s">
        <v>391</v>
      </c>
      <c r="I1680" s="83"/>
      <c r="J1680" s="83" t="s">
        <v>279</v>
      </c>
      <c r="K1680" s="83">
        <v>1</v>
      </c>
      <c r="L1680" s="83" t="s">
        <v>174</v>
      </c>
      <c r="M1680" s="83">
        <f>ROUNDDOWN(VLOOKUP(J1680,Sheet1!$N$32:$O$37,2,0)*1000,0)</f>
        <v>60</v>
      </c>
      <c r="N1680" s="83"/>
      <c r="O1680" s="83">
        <f t="shared" si="152"/>
        <v>0.000659145088819801</v>
      </c>
      <c r="P1680" s="83">
        <v>11035</v>
      </c>
    </row>
    <row r="1681" s="66" customFormat="1" spans="1:16">
      <c r="A1681" s="70">
        <v>1679</v>
      </c>
      <c r="B1681" s="83">
        <v>11400</v>
      </c>
      <c r="C1681" s="83">
        <v>6</v>
      </c>
      <c r="D1681" s="83">
        <f t="shared" si="151"/>
        <v>93337</v>
      </c>
      <c r="E1681" s="83">
        <f t="shared" si="150"/>
        <v>93397</v>
      </c>
      <c r="F1681" s="83"/>
      <c r="G1681" s="83" t="s">
        <v>350</v>
      </c>
      <c r="H1681" s="83" t="s">
        <v>392</v>
      </c>
      <c r="I1681" s="83"/>
      <c r="J1681" s="83" t="s">
        <v>279</v>
      </c>
      <c r="K1681" s="83">
        <v>1</v>
      </c>
      <c r="L1681" s="83" t="s">
        <v>174</v>
      </c>
      <c r="M1681" s="83">
        <f>ROUNDDOWN(VLOOKUP(J1681,Sheet1!$N$32:$O$37,2,0)*1000,0)</f>
        <v>60</v>
      </c>
      <c r="N1681" s="83"/>
      <c r="O1681" s="83">
        <f t="shared" si="152"/>
        <v>0.000659145088819801</v>
      </c>
      <c r="P1681" s="83">
        <v>11036</v>
      </c>
    </row>
    <row r="1682" s="66" customFormat="1" spans="1:16">
      <c r="A1682" s="70">
        <v>1680</v>
      </c>
      <c r="B1682" s="83">
        <v>11400</v>
      </c>
      <c r="C1682" s="83">
        <v>6</v>
      </c>
      <c r="D1682" s="83">
        <f t="shared" si="151"/>
        <v>93397</v>
      </c>
      <c r="E1682" s="83">
        <f t="shared" si="150"/>
        <v>93457</v>
      </c>
      <c r="F1682" s="83"/>
      <c r="G1682" s="83" t="s">
        <v>352</v>
      </c>
      <c r="H1682" s="83" t="s">
        <v>393</v>
      </c>
      <c r="I1682" s="83"/>
      <c r="J1682" s="83" t="s">
        <v>279</v>
      </c>
      <c r="K1682" s="83">
        <v>1</v>
      </c>
      <c r="L1682" s="83" t="s">
        <v>174</v>
      </c>
      <c r="M1682" s="83">
        <f>ROUNDDOWN(VLOOKUP(J1682,Sheet1!$N$32:$O$37,2,0)*1000,0)</f>
        <v>60</v>
      </c>
      <c r="N1682" s="83"/>
      <c r="O1682" s="83">
        <f t="shared" si="152"/>
        <v>0.000659145088819801</v>
      </c>
      <c r="P1682" s="83">
        <v>11037</v>
      </c>
    </row>
    <row r="1683" s="66" customFormat="1" spans="1:16">
      <c r="A1683" s="70">
        <v>1681</v>
      </c>
      <c r="B1683" s="83">
        <v>11400</v>
      </c>
      <c r="C1683" s="83">
        <v>6</v>
      </c>
      <c r="D1683" s="83">
        <f t="shared" si="151"/>
        <v>93457</v>
      </c>
      <c r="E1683" s="83">
        <f t="shared" si="150"/>
        <v>93517</v>
      </c>
      <c r="F1683" s="83"/>
      <c r="G1683" s="83" t="s">
        <v>354</v>
      </c>
      <c r="H1683" s="83" t="s">
        <v>394</v>
      </c>
      <c r="I1683" s="83"/>
      <c r="J1683" s="83" t="s">
        <v>279</v>
      </c>
      <c r="K1683" s="83">
        <v>1</v>
      </c>
      <c r="L1683" s="83" t="s">
        <v>174</v>
      </c>
      <c r="M1683" s="83">
        <f>ROUNDDOWN(VLOOKUP(J1683,Sheet1!$N$32:$O$37,2,0)*1000,0)</f>
        <v>60</v>
      </c>
      <c r="N1683" s="83"/>
      <c r="O1683" s="83">
        <f t="shared" si="152"/>
        <v>0.000659145088819801</v>
      </c>
      <c r="P1683" s="83">
        <v>11038</v>
      </c>
    </row>
    <row r="1684" s="66" customFormat="1" spans="1:16">
      <c r="A1684" s="70">
        <v>1682</v>
      </c>
      <c r="B1684" s="83">
        <v>11400</v>
      </c>
      <c r="C1684" s="83">
        <v>6</v>
      </c>
      <c r="D1684" s="83">
        <f t="shared" si="151"/>
        <v>93517</v>
      </c>
      <c r="E1684" s="83">
        <f t="shared" si="150"/>
        <v>93577</v>
      </c>
      <c r="F1684" s="83"/>
      <c r="G1684" s="83" t="s">
        <v>346</v>
      </c>
      <c r="H1684" s="83" t="s">
        <v>395</v>
      </c>
      <c r="I1684" s="83"/>
      <c r="J1684" s="83" t="s">
        <v>279</v>
      </c>
      <c r="K1684" s="83">
        <v>1</v>
      </c>
      <c r="L1684" s="83" t="s">
        <v>174</v>
      </c>
      <c r="M1684" s="83">
        <f>ROUNDDOWN(VLOOKUP(J1684,Sheet1!$N$32:$O$37,2,0)*1000,0)</f>
        <v>60</v>
      </c>
      <c r="N1684" s="83"/>
      <c r="O1684" s="83">
        <f t="shared" si="152"/>
        <v>0.000659145088819801</v>
      </c>
      <c r="P1684" s="83">
        <v>11034</v>
      </c>
    </row>
    <row r="1685" s="66" customFormat="1" spans="1:16">
      <c r="A1685" s="70">
        <v>1683</v>
      </c>
      <c r="B1685" s="83">
        <v>11400</v>
      </c>
      <c r="C1685" s="83">
        <v>6</v>
      </c>
      <c r="D1685" s="83">
        <f t="shared" si="151"/>
        <v>93577</v>
      </c>
      <c r="E1685" s="83">
        <f t="shared" si="150"/>
        <v>93637</v>
      </c>
      <c r="F1685" s="83"/>
      <c r="G1685" s="83" t="s">
        <v>348</v>
      </c>
      <c r="H1685" s="83" t="s">
        <v>396</v>
      </c>
      <c r="I1685" s="83"/>
      <c r="J1685" s="83" t="s">
        <v>279</v>
      </c>
      <c r="K1685" s="83">
        <v>1</v>
      </c>
      <c r="L1685" s="83" t="s">
        <v>174</v>
      </c>
      <c r="M1685" s="83">
        <f>ROUNDDOWN(VLOOKUP(J1685,Sheet1!$N$32:$O$37,2,0)*1000,0)</f>
        <v>60</v>
      </c>
      <c r="N1685" s="83"/>
      <c r="O1685" s="83">
        <f t="shared" si="152"/>
        <v>0.000659145088819801</v>
      </c>
      <c r="P1685" s="83">
        <v>11035</v>
      </c>
    </row>
    <row r="1686" s="66" customFormat="1" spans="1:16">
      <c r="A1686" s="70">
        <v>1684</v>
      </c>
      <c r="B1686" s="83">
        <v>11400</v>
      </c>
      <c r="C1686" s="83">
        <v>6</v>
      </c>
      <c r="D1686" s="83">
        <f t="shared" si="151"/>
        <v>93637</v>
      </c>
      <c r="E1686" s="83">
        <f t="shared" si="150"/>
        <v>93697</v>
      </c>
      <c r="F1686" s="83"/>
      <c r="G1686" s="83" t="s">
        <v>350</v>
      </c>
      <c r="H1686" s="83" t="s">
        <v>397</v>
      </c>
      <c r="I1686" s="83"/>
      <c r="J1686" s="83" t="s">
        <v>279</v>
      </c>
      <c r="K1686" s="83">
        <v>1</v>
      </c>
      <c r="L1686" s="83" t="s">
        <v>174</v>
      </c>
      <c r="M1686" s="83">
        <f>ROUNDDOWN(VLOOKUP(J1686,Sheet1!$N$32:$O$37,2,0)*1000,0)</f>
        <v>60</v>
      </c>
      <c r="N1686" s="83"/>
      <c r="O1686" s="83">
        <f t="shared" si="152"/>
        <v>0.000659145088819801</v>
      </c>
      <c r="P1686" s="83">
        <v>11036</v>
      </c>
    </row>
    <row r="1687" s="66" customFormat="1" spans="1:16">
      <c r="A1687" s="70">
        <v>1685</v>
      </c>
      <c r="B1687" s="83">
        <v>11400</v>
      </c>
      <c r="C1687" s="83">
        <v>6</v>
      </c>
      <c r="D1687" s="83">
        <f t="shared" si="151"/>
        <v>93697</v>
      </c>
      <c r="E1687" s="83">
        <f t="shared" si="150"/>
        <v>93757</v>
      </c>
      <c r="F1687" s="83"/>
      <c r="G1687" s="83" t="s">
        <v>352</v>
      </c>
      <c r="H1687" s="83" t="s">
        <v>398</v>
      </c>
      <c r="I1687" s="83"/>
      <c r="J1687" s="83" t="s">
        <v>279</v>
      </c>
      <c r="K1687" s="83">
        <v>1</v>
      </c>
      <c r="L1687" s="83" t="s">
        <v>174</v>
      </c>
      <c r="M1687" s="83">
        <f>ROUNDDOWN(VLOOKUP(J1687,Sheet1!$N$32:$O$37,2,0)*1000,0)</f>
        <v>60</v>
      </c>
      <c r="N1687" s="83"/>
      <c r="O1687" s="83">
        <f t="shared" si="152"/>
        <v>0.000659145088819801</v>
      </c>
      <c r="P1687" s="83">
        <v>11037</v>
      </c>
    </row>
    <row r="1688" s="66" customFormat="1" spans="1:16">
      <c r="A1688" s="70">
        <v>1686</v>
      </c>
      <c r="B1688" s="83">
        <v>11400</v>
      </c>
      <c r="C1688" s="83">
        <v>6</v>
      </c>
      <c r="D1688" s="83">
        <f t="shared" si="151"/>
        <v>93757</v>
      </c>
      <c r="E1688" s="83">
        <f t="shared" si="150"/>
        <v>93817</v>
      </c>
      <c r="F1688" s="83"/>
      <c r="G1688" s="83" t="s">
        <v>354</v>
      </c>
      <c r="H1688" s="83" t="s">
        <v>399</v>
      </c>
      <c r="I1688" s="83"/>
      <c r="J1688" s="83" t="s">
        <v>279</v>
      </c>
      <c r="K1688" s="83">
        <v>1</v>
      </c>
      <c r="L1688" s="83" t="s">
        <v>174</v>
      </c>
      <c r="M1688" s="83">
        <f>ROUNDDOWN(VLOOKUP(J1688,Sheet1!$N$32:$O$37,2,0)*1000,0)</f>
        <v>60</v>
      </c>
      <c r="N1688" s="83"/>
      <c r="O1688" s="83">
        <f t="shared" si="152"/>
        <v>0.000659145088819801</v>
      </c>
      <c r="P1688" s="83">
        <v>11038</v>
      </c>
    </row>
    <row r="1689" spans="1:16">
      <c r="A1689" s="78">
        <v>1687</v>
      </c>
      <c r="B1689" s="83">
        <v>11500</v>
      </c>
      <c r="C1689" s="83">
        <v>6</v>
      </c>
      <c r="D1689" s="83">
        <v>0</v>
      </c>
      <c r="E1689" s="83">
        <f>M1689</f>
        <v>250</v>
      </c>
      <c r="F1689" s="83"/>
      <c r="G1689" s="83">
        <v>95101018</v>
      </c>
      <c r="H1689" s="83" t="s">
        <v>198</v>
      </c>
      <c r="I1689" s="83" t="s">
        <v>199</v>
      </c>
      <c r="J1689" s="83" t="s">
        <v>200</v>
      </c>
      <c r="K1689" s="83">
        <v>1</v>
      </c>
      <c r="L1689" s="83" t="s">
        <v>175</v>
      </c>
      <c r="M1689" s="83">
        <f>ROUNDDOWN(VLOOKUP(J1689,Sheet1!$N$32:$O$37,2,0)*1000,0)</f>
        <v>250</v>
      </c>
      <c r="N1689" s="83"/>
      <c r="O1689" s="83">
        <f>(E1689-D1689)/$E$1789</f>
        <v>0.00263721425783516</v>
      </c>
      <c r="P1689" s="83">
        <v>11700</v>
      </c>
    </row>
    <row r="1690" spans="1:16">
      <c r="A1690" s="78">
        <v>1688</v>
      </c>
      <c r="B1690" s="83">
        <v>11500</v>
      </c>
      <c r="C1690" s="83">
        <v>6</v>
      </c>
      <c r="D1690" s="83">
        <f>E1689</f>
        <v>250</v>
      </c>
      <c r="E1690" s="83">
        <f t="shared" ref="E1690:E1721" si="153">D1690+M1690</f>
        <v>500</v>
      </c>
      <c r="F1690" s="83"/>
      <c r="G1690" s="83">
        <v>95101028</v>
      </c>
      <c r="H1690" s="83" t="s">
        <v>201</v>
      </c>
      <c r="I1690" s="83" t="s">
        <v>199</v>
      </c>
      <c r="J1690" s="83" t="s">
        <v>200</v>
      </c>
      <c r="K1690" s="83">
        <v>1</v>
      </c>
      <c r="L1690" s="83" t="s">
        <v>175</v>
      </c>
      <c r="M1690" s="83">
        <f>ROUNDDOWN(VLOOKUP(J1690,Sheet1!$N$32:$O$37,2,0)*1000,0)</f>
        <v>250</v>
      </c>
      <c r="N1690" s="83"/>
      <c r="O1690" s="83"/>
      <c r="P1690" s="83"/>
    </row>
    <row r="1691" spans="1:16">
      <c r="A1691" s="78">
        <v>1689</v>
      </c>
      <c r="B1691" s="83">
        <v>11500</v>
      </c>
      <c r="C1691" s="83">
        <v>6</v>
      </c>
      <c r="D1691" s="83">
        <f t="shared" ref="D1691:D1718" si="154">E1690</f>
        <v>500</v>
      </c>
      <c r="E1691" s="83">
        <f t="shared" si="153"/>
        <v>750</v>
      </c>
      <c r="F1691" s="83"/>
      <c r="G1691" s="83">
        <v>95102018</v>
      </c>
      <c r="H1691" s="83" t="s">
        <v>202</v>
      </c>
      <c r="I1691" s="83" t="s">
        <v>199</v>
      </c>
      <c r="J1691" s="83" t="s">
        <v>200</v>
      </c>
      <c r="K1691" s="83">
        <v>1</v>
      </c>
      <c r="L1691" s="83" t="s">
        <v>175</v>
      </c>
      <c r="M1691" s="83">
        <f>ROUNDDOWN(VLOOKUP(J1691,Sheet1!$N$32:$O$37,2,0)*1000,0)</f>
        <v>250</v>
      </c>
      <c r="N1691" s="83"/>
      <c r="O1691" s="83"/>
      <c r="P1691" s="83"/>
    </row>
    <row r="1692" spans="1:16">
      <c r="A1692" s="78">
        <v>1690</v>
      </c>
      <c r="B1692" s="83">
        <v>11500</v>
      </c>
      <c r="C1692" s="83">
        <v>6</v>
      </c>
      <c r="D1692" s="83">
        <f t="shared" si="154"/>
        <v>750</v>
      </c>
      <c r="E1692" s="83">
        <f t="shared" si="153"/>
        <v>1000</v>
      </c>
      <c r="F1692" s="83"/>
      <c r="G1692" s="83">
        <v>95102028</v>
      </c>
      <c r="H1692" s="83" t="s">
        <v>203</v>
      </c>
      <c r="I1692" s="83" t="s">
        <v>199</v>
      </c>
      <c r="J1692" s="83" t="s">
        <v>200</v>
      </c>
      <c r="K1692" s="83">
        <v>1</v>
      </c>
      <c r="L1692" s="83" t="s">
        <v>175</v>
      </c>
      <c r="M1692" s="83">
        <f>ROUNDDOWN(VLOOKUP(J1692,Sheet1!$N$32:$O$37,2,0)*1000,0)</f>
        <v>250</v>
      </c>
      <c r="N1692" s="83"/>
      <c r="O1692" s="83">
        <f t="shared" ref="O1692:O1704" si="155">(E1692-D1692)/$E$1789</f>
        <v>0.00263721425783516</v>
      </c>
      <c r="P1692" s="83">
        <v>11700</v>
      </c>
    </row>
    <row r="1693" spans="1:16">
      <c r="A1693" s="78">
        <v>1691</v>
      </c>
      <c r="B1693" s="83">
        <v>11500</v>
      </c>
      <c r="C1693" s="83">
        <v>6</v>
      </c>
      <c r="D1693" s="83">
        <f t="shared" si="154"/>
        <v>1000</v>
      </c>
      <c r="E1693" s="83">
        <f t="shared" si="153"/>
        <v>1250</v>
      </c>
      <c r="F1693" s="83"/>
      <c r="G1693" s="83">
        <v>95103018</v>
      </c>
      <c r="H1693" s="83" t="s">
        <v>204</v>
      </c>
      <c r="I1693" s="83" t="s">
        <v>199</v>
      </c>
      <c r="J1693" s="83" t="s">
        <v>200</v>
      </c>
      <c r="K1693" s="83">
        <v>1</v>
      </c>
      <c r="L1693" s="83" t="s">
        <v>175</v>
      </c>
      <c r="M1693" s="83">
        <f>ROUNDDOWN(VLOOKUP(J1693,Sheet1!$N$32:$O$37,2,0)*1000,0)</f>
        <v>250</v>
      </c>
      <c r="N1693" s="83"/>
      <c r="O1693" s="83">
        <f t="shared" si="155"/>
        <v>0.00263721425783516</v>
      </c>
      <c r="P1693" s="83">
        <v>11700</v>
      </c>
    </row>
    <row r="1694" spans="1:16">
      <c r="A1694" s="78">
        <v>1692</v>
      </c>
      <c r="B1694" s="83">
        <v>11500</v>
      </c>
      <c r="C1694" s="83">
        <v>6</v>
      </c>
      <c r="D1694" s="83">
        <f t="shared" si="154"/>
        <v>1250</v>
      </c>
      <c r="E1694" s="83">
        <f t="shared" si="153"/>
        <v>1500</v>
      </c>
      <c r="F1694" s="83"/>
      <c r="G1694" s="83">
        <v>95104018</v>
      </c>
      <c r="H1694" s="83" t="s">
        <v>205</v>
      </c>
      <c r="I1694" s="83" t="s">
        <v>199</v>
      </c>
      <c r="J1694" s="83" t="s">
        <v>200</v>
      </c>
      <c r="K1694" s="83">
        <v>1</v>
      </c>
      <c r="L1694" s="83" t="s">
        <v>175</v>
      </c>
      <c r="M1694" s="83">
        <f>ROUNDDOWN(VLOOKUP(J1694,Sheet1!$N$32:$O$37,2,0)*1000,0)</f>
        <v>250</v>
      </c>
      <c r="N1694" s="83"/>
      <c r="O1694" s="83">
        <f t="shared" si="155"/>
        <v>0.00263721425783516</v>
      </c>
      <c r="P1694" s="83">
        <v>11700</v>
      </c>
    </row>
    <row r="1695" spans="1:16">
      <c r="A1695" s="78">
        <v>1693</v>
      </c>
      <c r="B1695" s="83">
        <v>11500</v>
      </c>
      <c r="C1695" s="83">
        <v>6</v>
      </c>
      <c r="D1695" s="83">
        <f t="shared" si="154"/>
        <v>1500</v>
      </c>
      <c r="E1695" s="83">
        <f t="shared" si="153"/>
        <v>1750</v>
      </c>
      <c r="F1695" s="83"/>
      <c r="G1695" s="83">
        <v>95104028</v>
      </c>
      <c r="H1695" s="83" t="s">
        <v>206</v>
      </c>
      <c r="I1695" s="83" t="s">
        <v>199</v>
      </c>
      <c r="J1695" s="83" t="s">
        <v>200</v>
      </c>
      <c r="K1695" s="83">
        <v>1</v>
      </c>
      <c r="L1695" s="83" t="s">
        <v>175</v>
      </c>
      <c r="M1695" s="83">
        <f>ROUNDDOWN(VLOOKUP(J1695,Sheet1!$N$32:$O$37,2,0)*1000,0)</f>
        <v>250</v>
      </c>
      <c r="N1695" s="83"/>
      <c r="O1695" s="83">
        <f t="shared" si="155"/>
        <v>0.00263721425783516</v>
      </c>
      <c r="P1695" s="83">
        <v>11700</v>
      </c>
    </row>
    <row r="1696" spans="1:16">
      <c r="A1696" s="78">
        <v>1694</v>
      </c>
      <c r="B1696" s="83">
        <v>11500</v>
      </c>
      <c r="C1696" s="83">
        <v>6</v>
      </c>
      <c r="D1696" s="83">
        <f t="shared" si="154"/>
        <v>1750</v>
      </c>
      <c r="E1696" s="83">
        <f t="shared" si="153"/>
        <v>2000</v>
      </c>
      <c r="F1696" s="83"/>
      <c r="G1696" s="83">
        <v>95104038</v>
      </c>
      <c r="H1696" s="83" t="s">
        <v>207</v>
      </c>
      <c r="I1696" s="83" t="s">
        <v>199</v>
      </c>
      <c r="J1696" s="83" t="s">
        <v>200</v>
      </c>
      <c r="K1696" s="83">
        <v>1</v>
      </c>
      <c r="L1696" s="83" t="s">
        <v>175</v>
      </c>
      <c r="M1696" s="83">
        <f>ROUNDDOWN(VLOOKUP(J1696,Sheet1!$N$32:$O$37,2,0)*1000,0)</f>
        <v>250</v>
      </c>
      <c r="N1696" s="83"/>
      <c r="O1696" s="83">
        <f t="shared" si="155"/>
        <v>0.00263721425783516</v>
      </c>
      <c r="P1696" s="83">
        <v>11700</v>
      </c>
    </row>
    <row r="1697" spans="1:16">
      <c r="A1697" s="78">
        <v>1695</v>
      </c>
      <c r="B1697" s="83">
        <v>11500</v>
      </c>
      <c r="C1697" s="83">
        <v>6</v>
      </c>
      <c r="D1697" s="83">
        <f t="shared" si="154"/>
        <v>2000</v>
      </c>
      <c r="E1697" s="83">
        <f t="shared" si="153"/>
        <v>2250</v>
      </c>
      <c r="F1697" s="83"/>
      <c r="G1697" s="83">
        <v>95106018</v>
      </c>
      <c r="H1697" s="83" t="s">
        <v>208</v>
      </c>
      <c r="I1697" s="83" t="s">
        <v>199</v>
      </c>
      <c r="J1697" s="83" t="s">
        <v>200</v>
      </c>
      <c r="K1697" s="83">
        <v>1</v>
      </c>
      <c r="L1697" s="83" t="s">
        <v>175</v>
      </c>
      <c r="M1697" s="83">
        <f>ROUNDDOWN(VLOOKUP(J1697,Sheet1!$N$32:$O$37,2,0)*1000,0)</f>
        <v>250</v>
      </c>
      <c r="N1697" s="83"/>
      <c r="O1697" s="83">
        <f t="shared" si="155"/>
        <v>0.00263721425783516</v>
      </c>
      <c r="P1697" s="83">
        <v>11700</v>
      </c>
    </row>
    <row r="1698" spans="1:16">
      <c r="A1698" s="78">
        <v>1696</v>
      </c>
      <c r="B1698" s="83">
        <v>11500</v>
      </c>
      <c r="C1698" s="83">
        <v>6</v>
      </c>
      <c r="D1698" s="83">
        <f t="shared" si="154"/>
        <v>2250</v>
      </c>
      <c r="E1698" s="83">
        <f t="shared" si="153"/>
        <v>2500</v>
      </c>
      <c r="F1698" s="83"/>
      <c r="G1698" s="83">
        <v>95109018</v>
      </c>
      <c r="H1698" s="83" t="s">
        <v>209</v>
      </c>
      <c r="I1698" s="83" t="s">
        <v>199</v>
      </c>
      <c r="J1698" s="83" t="s">
        <v>200</v>
      </c>
      <c r="K1698" s="83">
        <v>1</v>
      </c>
      <c r="L1698" s="83" t="s">
        <v>175</v>
      </c>
      <c r="M1698" s="83">
        <f>ROUNDDOWN(VLOOKUP(J1698,Sheet1!$N$32:$O$37,2,0)*1000,0)</f>
        <v>250</v>
      </c>
      <c r="N1698" s="83"/>
      <c r="O1698" s="83">
        <f t="shared" si="155"/>
        <v>0.00263721425783516</v>
      </c>
      <c r="P1698" s="83">
        <v>11700</v>
      </c>
    </row>
    <row r="1699" spans="1:16">
      <c r="A1699" s="78">
        <v>1697</v>
      </c>
      <c r="B1699" s="83">
        <v>11500</v>
      </c>
      <c r="C1699" s="83">
        <v>6</v>
      </c>
      <c r="D1699" s="83">
        <f t="shared" si="154"/>
        <v>2500</v>
      </c>
      <c r="E1699" s="83">
        <f t="shared" si="153"/>
        <v>2750</v>
      </c>
      <c r="F1699" s="83"/>
      <c r="G1699" s="83">
        <v>95110018</v>
      </c>
      <c r="H1699" s="83" t="s">
        <v>210</v>
      </c>
      <c r="I1699" s="83" t="s">
        <v>199</v>
      </c>
      <c r="J1699" s="83" t="s">
        <v>200</v>
      </c>
      <c r="K1699" s="83">
        <v>1</v>
      </c>
      <c r="L1699" s="83" t="s">
        <v>175</v>
      </c>
      <c r="M1699" s="83">
        <f>ROUNDDOWN(VLOOKUP(J1699,Sheet1!$N$32:$O$37,2,0)*1000,0)</f>
        <v>250</v>
      </c>
      <c r="N1699" s="83"/>
      <c r="O1699" s="83">
        <f t="shared" si="155"/>
        <v>0.00263721425783516</v>
      </c>
      <c r="P1699" s="83">
        <v>11700</v>
      </c>
    </row>
    <row r="1700" spans="1:16">
      <c r="A1700" s="78">
        <v>1698</v>
      </c>
      <c r="B1700" s="83">
        <v>11500</v>
      </c>
      <c r="C1700" s="83">
        <v>6</v>
      </c>
      <c r="D1700" s="83">
        <f t="shared" si="154"/>
        <v>2750</v>
      </c>
      <c r="E1700" s="83">
        <f t="shared" si="153"/>
        <v>3000</v>
      </c>
      <c r="F1700" s="83"/>
      <c r="G1700" s="83">
        <v>95111018</v>
      </c>
      <c r="H1700" s="83" t="s">
        <v>211</v>
      </c>
      <c r="I1700" s="83" t="s">
        <v>199</v>
      </c>
      <c r="J1700" s="83" t="s">
        <v>200</v>
      </c>
      <c r="K1700" s="83">
        <v>1</v>
      </c>
      <c r="L1700" s="83" t="s">
        <v>175</v>
      </c>
      <c r="M1700" s="83">
        <f>ROUNDDOWN(VLOOKUP(J1700,Sheet1!$N$32:$O$37,2,0)*1000,0)</f>
        <v>250</v>
      </c>
      <c r="N1700" s="83"/>
      <c r="O1700" s="83">
        <f t="shared" si="155"/>
        <v>0.00263721425783516</v>
      </c>
      <c r="P1700" s="83">
        <v>11700</v>
      </c>
    </row>
    <row r="1701" spans="1:16">
      <c r="A1701" s="78">
        <v>1699</v>
      </c>
      <c r="B1701" s="83">
        <v>11500</v>
      </c>
      <c r="C1701" s="83">
        <v>6</v>
      </c>
      <c r="D1701" s="83">
        <f t="shared" si="154"/>
        <v>3000</v>
      </c>
      <c r="E1701" s="83">
        <f t="shared" si="153"/>
        <v>3250</v>
      </c>
      <c r="F1701" s="83"/>
      <c r="G1701" s="83">
        <v>95120018</v>
      </c>
      <c r="H1701" s="83" t="s">
        <v>212</v>
      </c>
      <c r="I1701" s="83" t="s">
        <v>199</v>
      </c>
      <c r="J1701" s="83" t="s">
        <v>200</v>
      </c>
      <c r="K1701" s="83">
        <v>1</v>
      </c>
      <c r="L1701" s="83" t="s">
        <v>175</v>
      </c>
      <c r="M1701" s="83">
        <f>ROUNDDOWN(VLOOKUP(J1701,Sheet1!$N$32:$O$37,2,0)*1000,0)</f>
        <v>250</v>
      </c>
      <c r="N1701" s="83"/>
      <c r="O1701" s="83">
        <f t="shared" si="155"/>
        <v>0.00263721425783516</v>
      </c>
      <c r="P1701" s="83">
        <v>11700</v>
      </c>
    </row>
    <row r="1702" spans="1:16">
      <c r="A1702" s="78">
        <v>1700</v>
      </c>
      <c r="B1702" s="83">
        <v>11500</v>
      </c>
      <c r="C1702" s="83">
        <v>6</v>
      </c>
      <c r="D1702" s="83">
        <f t="shared" si="154"/>
        <v>3250</v>
      </c>
      <c r="E1702" s="83">
        <f t="shared" si="153"/>
        <v>3500</v>
      </c>
      <c r="F1702" s="83"/>
      <c r="G1702" s="83">
        <v>95140018</v>
      </c>
      <c r="H1702" s="83" t="s">
        <v>213</v>
      </c>
      <c r="I1702" s="83" t="s">
        <v>199</v>
      </c>
      <c r="J1702" s="83" t="s">
        <v>200</v>
      </c>
      <c r="K1702" s="83">
        <v>1</v>
      </c>
      <c r="L1702" s="83" t="s">
        <v>175</v>
      </c>
      <c r="M1702" s="83">
        <f>ROUNDDOWN(VLOOKUP(J1702,Sheet1!$N$32:$O$37,2,0)*1000,0)</f>
        <v>250</v>
      </c>
      <c r="N1702" s="83"/>
      <c r="O1702" s="83">
        <f t="shared" si="155"/>
        <v>0.00263721425783516</v>
      </c>
      <c r="P1702" s="83">
        <v>11700</v>
      </c>
    </row>
    <row r="1703" spans="1:16">
      <c r="A1703" s="78">
        <v>1701</v>
      </c>
      <c r="B1703" s="83">
        <v>11500</v>
      </c>
      <c r="C1703" s="83">
        <v>6</v>
      </c>
      <c r="D1703" s="83">
        <f t="shared" si="154"/>
        <v>3500</v>
      </c>
      <c r="E1703" s="83">
        <f t="shared" si="153"/>
        <v>3750</v>
      </c>
      <c r="F1703" s="83"/>
      <c r="G1703" s="83">
        <v>95105028</v>
      </c>
      <c r="H1703" s="83" t="s">
        <v>214</v>
      </c>
      <c r="I1703" s="83" t="s">
        <v>199</v>
      </c>
      <c r="J1703" s="83" t="s">
        <v>200</v>
      </c>
      <c r="K1703" s="83">
        <v>1</v>
      </c>
      <c r="L1703" s="83" t="s">
        <v>175</v>
      </c>
      <c r="M1703" s="83">
        <f>ROUNDDOWN(VLOOKUP(J1703,Sheet1!$N$32:$O$37,2,0)*1000,0)</f>
        <v>250</v>
      </c>
      <c r="N1703" s="83"/>
      <c r="O1703" s="83">
        <f t="shared" si="155"/>
        <v>0.00263721425783516</v>
      </c>
      <c r="P1703" s="83">
        <v>11700</v>
      </c>
    </row>
    <row r="1704" spans="1:16">
      <c r="A1704" s="78">
        <v>1702</v>
      </c>
      <c r="B1704" s="83">
        <v>11500</v>
      </c>
      <c r="C1704" s="83">
        <v>6</v>
      </c>
      <c r="D1704" s="83">
        <f t="shared" si="154"/>
        <v>3750</v>
      </c>
      <c r="E1704" s="83">
        <f t="shared" si="153"/>
        <v>4000</v>
      </c>
      <c r="F1704" s="83"/>
      <c r="G1704" s="83">
        <v>95109028</v>
      </c>
      <c r="H1704" s="83" t="s">
        <v>215</v>
      </c>
      <c r="I1704" s="83" t="s">
        <v>199</v>
      </c>
      <c r="J1704" s="83" t="s">
        <v>200</v>
      </c>
      <c r="K1704" s="83">
        <v>1</v>
      </c>
      <c r="L1704" s="83" t="s">
        <v>175</v>
      </c>
      <c r="M1704" s="83">
        <f>ROUNDDOWN(VLOOKUP(J1704,Sheet1!$N$32:$O$37,2,0)*1000,0)</f>
        <v>250</v>
      </c>
      <c r="N1704" s="83"/>
      <c r="O1704" s="83">
        <f t="shared" si="155"/>
        <v>0.00263721425783516</v>
      </c>
      <c r="P1704" s="83">
        <v>11700</v>
      </c>
    </row>
    <row r="1705" spans="1:16">
      <c r="A1705" s="78">
        <v>1703</v>
      </c>
      <c r="B1705" s="83">
        <v>11500</v>
      </c>
      <c r="C1705" s="83">
        <v>6</v>
      </c>
      <c r="D1705" s="83">
        <f t="shared" si="154"/>
        <v>4000</v>
      </c>
      <c r="E1705" s="83">
        <f t="shared" si="153"/>
        <v>4250</v>
      </c>
      <c r="F1705" s="83"/>
      <c r="G1705" s="83">
        <v>95110028</v>
      </c>
      <c r="H1705" s="83" t="s">
        <v>216</v>
      </c>
      <c r="I1705" s="83" t="s">
        <v>199</v>
      </c>
      <c r="J1705" s="83" t="s">
        <v>200</v>
      </c>
      <c r="K1705" s="83">
        <v>1</v>
      </c>
      <c r="L1705" s="83" t="s">
        <v>175</v>
      </c>
      <c r="M1705" s="83">
        <f>ROUNDDOWN(VLOOKUP(J1705,Sheet1!$N$32:$O$37,2,0)*1000,0)</f>
        <v>250</v>
      </c>
      <c r="N1705" s="83"/>
      <c r="O1705" s="83"/>
      <c r="P1705" s="83"/>
    </row>
    <row r="1706" spans="1:16">
      <c r="A1706" s="78">
        <v>1704</v>
      </c>
      <c r="B1706" s="83">
        <v>11500</v>
      </c>
      <c r="C1706" s="83">
        <v>6</v>
      </c>
      <c r="D1706" s="83">
        <f t="shared" si="154"/>
        <v>4250</v>
      </c>
      <c r="E1706" s="83">
        <f t="shared" si="153"/>
        <v>4500</v>
      </c>
      <c r="F1706" s="83"/>
      <c r="G1706" s="83">
        <v>95150028</v>
      </c>
      <c r="H1706" s="83" t="s">
        <v>217</v>
      </c>
      <c r="I1706" s="83" t="s">
        <v>199</v>
      </c>
      <c r="J1706" s="83" t="s">
        <v>200</v>
      </c>
      <c r="K1706" s="83">
        <v>1</v>
      </c>
      <c r="L1706" s="83" t="s">
        <v>175</v>
      </c>
      <c r="M1706" s="83">
        <f>ROUNDDOWN(VLOOKUP(J1706,Sheet1!$N$32:$O$37,2,0)*1000,0)</f>
        <v>250</v>
      </c>
      <c r="N1706" s="83"/>
      <c r="O1706" s="83"/>
      <c r="P1706" s="83"/>
    </row>
    <row r="1707" spans="1:16">
      <c r="A1707" s="78">
        <v>1705</v>
      </c>
      <c r="B1707" s="83">
        <v>11500</v>
      </c>
      <c r="C1707" s="83">
        <v>6</v>
      </c>
      <c r="D1707" s="83">
        <f t="shared" si="154"/>
        <v>4500</v>
      </c>
      <c r="E1707" s="83">
        <f t="shared" si="153"/>
        <v>4750</v>
      </c>
      <c r="F1707" s="83"/>
      <c r="G1707" s="83">
        <v>95201038</v>
      </c>
      <c r="H1707" s="83" t="s">
        <v>218</v>
      </c>
      <c r="I1707" s="83" t="s">
        <v>199</v>
      </c>
      <c r="J1707" s="83" t="s">
        <v>200</v>
      </c>
      <c r="K1707" s="83">
        <v>1</v>
      </c>
      <c r="L1707" s="83" t="s">
        <v>175</v>
      </c>
      <c r="M1707" s="83">
        <f>ROUNDDOWN(VLOOKUP(J1707,Sheet1!$N$32:$O$37,2,0)*1000,0)</f>
        <v>250</v>
      </c>
      <c r="N1707" s="83"/>
      <c r="O1707" s="83"/>
      <c r="P1707" s="83"/>
    </row>
    <row r="1708" spans="1:16">
      <c r="A1708" s="78">
        <v>1706</v>
      </c>
      <c r="B1708" s="83">
        <v>11500</v>
      </c>
      <c r="C1708" s="83">
        <v>6</v>
      </c>
      <c r="D1708" s="83">
        <f t="shared" si="154"/>
        <v>4750</v>
      </c>
      <c r="E1708" s="83">
        <f t="shared" si="153"/>
        <v>5000</v>
      </c>
      <c r="F1708" s="83"/>
      <c r="G1708" s="83">
        <v>95201118</v>
      </c>
      <c r="H1708" s="83" t="s">
        <v>219</v>
      </c>
      <c r="I1708" s="83" t="s">
        <v>199</v>
      </c>
      <c r="J1708" s="83" t="s">
        <v>200</v>
      </c>
      <c r="K1708" s="83">
        <v>1</v>
      </c>
      <c r="L1708" s="83" t="s">
        <v>175</v>
      </c>
      <c r="M1708" s="83">
        <f>ROUNDDOWN(VLOOKUP(J1708,Sheet1!$N$32:$O$37,2,0)*1000,0)</f>
        <v>250</v>
      </c>
      <c r="N1708" s="83"/>
      <c r="O1708" s="83"/>
      <c r="P1708" s="83"/>
    </row>
    <row r="1709" spans="1:16">
      <c r="A1709" s="78">
        <v>1707</v>
      </c>
      <c r="B1709" s="83">
        <v>11500</v>
      </c>
      <c r="C1709" s="83">
        <v>6</v>
      </c>
      <c r="D1709" s="83">
        <f t="shared" si="154"/>
        <v>5000</v>
      </c>
      <c r="E1709" s="83">
        <f t="shared" si="153"/>
        <v>5250</v>
      </c>
      <c r="F1709" s="83"/>
      <c r="G1709" s="83">
        <v>95201158</v>
      </c>
      <c r="H1709" s="83" t="s">
        <v>220</v>
      </c>
      <c r="I1709" s="83" t="s">
        <v>199</v>
      </c>
      <c r="J1709" s="83" t="s">
        <v>200</v>
      </c>
      <c r="K1709" s="83">
        <v>1</v>
      </c>
      <c r="L1709" s="83" t="s">
        <v>175</v>
      </c>
      <c r="M1709" s="83">
        <f>ROUNDDOWN(VLOOKUP(J1709,Sheet1!$N$32:$O$37,2,0)*1000,0)</f>
        <v>250</v>
      </c>
      <c r="N1709" s="83"/>
      <c r="O1709" s="83">
        <f t="shared" ref="O1709:O1733" si="156">(E1709-D1709)/$E$1789</f>
        <v>0.00263721425783516</v>
      </c>
      <c r="P1709" s="83">
        <v>11700</v>
      </c>
    </row>
    <row r="1710" spans="1:16">
      <c r="A1710" s="78">
        <v>1708</v>
      </c>
      <c r="B1710" s="83">
        <v>11500</v>
      </c>
      <c r="C1710" s="83">
        <v>6</v>
      </c>
      <c r="D1710" s="83">
        <f t="shared" si="154"/>
        <v>5250</v>
      </c>
      <c r="E1710" s="83">
        <f t="shared" si="153"/>
        <v>5500</v>
      </c>
      <c r="F1710" s="83"/>
      <c r="G1710" s="83">
        <v>95201168</v>
      </c>
      <c r="H1710" s="83" t="s">
        <v>221</v>
      </c>
      <c r="I1710" s="83" t="s">
        <v>199</v>
      </c>
      <c r="J1710" s="83" t="s">
        <v>200</v>
      </c>
      <c r="K1710" s="83">
        <v>1</v>
      </c>
      <c r="L1710" s="83" t="s">
        <v>175</v>
      </c>
      <c r="M1710" s="83">
        <f>ROUNDDOWN(VLOOKUP(J1710,Sheet1!$N$32:$O$37,2,0)*1000,0)</f>
        <v>250</v>
      </c>
      <c r="N1710" s="83"/>
      <c r="O1710" s="83">
        <f t="shared" si="156"/>
        <v>0.00263721425783516</v>
      </c>
      <c r="P1710" s="83">
        <v>11700</v>
      </c>
    </row>
    <row r="1711" spans="1:16">
      <c r="A1711" s="78">
        <v>1709</v>
      </c>
      <c r="B1711" s="83">
        <v>11500</v>
      </c>
      <c r="C1711" s="83">
        <v>6</v>
      </c>
      <c r="D1711" s="83">
        <f t="shared" si="154"/>
        <v>5500</v>
      </c>
      <c r="E1711" s="83">
        <f t="shared" si="153"/>
        <v>5750</v>
      </c>
      <c r="F1711" s="83"/>
      <c r="G1711" s="83">
        <v>95301028</v>
      </c>
      <c r="H1711" s="83" t="s">
        <v>222</v>
      </c>
      <c r="I1711" s="83" t="s">
        <v>199</v>
      </c>
      <c r="J1711" s="83" t="s">
        <v>200</v>
      </c>
      <c r="K1711" s="83">
        <v>1</v>
      </c>
      <c r="L1711" s="83" t="s">
        <v>175</v>
      </c>
      <c r="M1711" s="83">
        <f>ROUNDDOWN(VLOOKUP(J1711,Sheet1!$N$32:$O$37,2,0)*1000,0)</f>
        <v>250</v>
      </c>
      <c r="N1711" s="83"/>
      <c r="O1711" s="83">
        <f t="shared" si="156"/>
        <v>0.00263721425783516</v>
      </c>
      <c r="P1711" s="83">
        <v>11700</v>
      </c>
    </row>
    <row r="1712" spans="1:16">
      <c r="A1712" s="78">
        <v>1710</v>
      </c>
      <c r="B1712" s="83">
        <v>11500</v>
      </c>
      <c r="C1712" s="83">
        <v>6</v>
      </c>
      <c r="D1712" s="83">
        <f t="shared" si="154"/>
        <v>5750</v>
      </c>
      <c r="E1712" s="83">
        <f t="shared" si="153"/>
        <v>6000</v>
      </c>
      <c r="F1712" s="83"/>
      <c r="G1712" s="83">
        <v>95301048</v>
      </c>
      <c r="H1712" s="83" t="s">
        <v>223</v>
      </c>
      <c r="I1712" s="83" t="s">
        <v>199</v>
      </c>
      <c r="J1712" s="83" t="s">
        <v>200</v>
      </c>
      <c r="K1712" s="83">
        <v>1</v>
      </c>
      <c r="L1712" s="83" t="s">
        <v>175</v>
      </c>
      <c r="M1712" s="83">
        <f>ROUNDDOWN(VLOOKUP(J1712,Sheet1!$N$32:$O$37,2,0)*1000,0)</f>
        <v>250</v>
      </c>
      <c r="N1712" s="83"/>
      <c r="O1712" s="83">
        <f t="shared" si="156"/>
        <v>0.00263721425783516</v>
      </c>
      <c r="P1712" s="83">
        <v>11700</v>
      </c>
    </row>
    <row r="1713" spans="1:16">
      <c r="A1713" s="78">
        <v>1711</v>
      </c>
      <c r="B1713" s="83">
        <v>11500</v>
      </c>
      <c r="C1713" s="83">
        <v>6</v>
      </c>
      <c r="D1713" s="83">
        <f t="shared" si="154"/>
        <v>6000</v>
      </c>
      <c r="E1713" s="83">
        <f t="shared" si="153"/>
        <v>6250</v>
      </c>
      <c r="F1713" s="83"/>
      <c r="G1713" s="83">
        <v>95301058</v>
      </c>
      <c r="H1713" s="83" t="s">
        <v>224</v>
      </c>
      <c r="I1713" s="83" t="s">
        <v>199</v>
      </c>
      <c r="J1713" s="83" t="s">
        <v>200</v>
      </c>
      <c r="K1713" s="83">
        <v>1</v>
      </c>
      <c r="L1713" s="83" t="s">
        <v>175</v>
      </c>
      <c r="M1713" s="83">
        <f>ROUNDDOWN(VLOOKUP(J1713,Sheet1!$N$32:$O$37,2,0)*1000,0)</f>
        <v>250</v>
      </c>
      <c r="N1713" s="83"/>
      <c r="O1713" s="83">
        <f t="shared" si="156"/>
        <v>0.00263721425783516</v>
      </c>
      <c r="P1713" s="83">
        <v>11700</v>
      </c>
    </row>
    <row r="1714" spans="1:16">
      <c r="A1714" s="78">
        <v>1712</v>
      </c>
      <c r="B1714" s="83">
        <v>11500</v>
      </c>
      <c r="C1714" s="83">
        <v>6</v>
      </c>
      <c r="D1714" s="83">
        <f t="shared" si="154"/>
        <v>6250</v>
      </c>
      <c r="E1714" s="83">
        <f t="shared" si="153"/>
        <v>6500</v>
      </c>
      <c r="F1714" s="83"/>
      <c r="G1714" s="83">
        <v>95301138</v>
      </c>
      <c r="H1714" s="83" t="s">
        <v>225</v>
      </c>
      <c r="I1714" s="83" t="s">
        <v>199</v>
      </c>
      <c r="J1714" s="83" t="s">
        <v>200</v>
      </c>
      <c r="K1714" s="83">
        <v>1</v>
      </c>
      <c r="L1714" s="83" t="s">
        <v>175</v>
      </c>
      <c r="M1714" s="83">
        <f>ROUNDDOWN(VLOOKUP(J1714,Sheet1!$N$32:$O$37,2,0)*1000,0)</f>
        <v>250</v>
      </c>
      <c r="N1714" s="83"/>
      <c r="O1714" s="83">
        <f t="shared" si="156"/>
        <v>0.00263721425783516</v>
      </c>
      <c r="P1714" s="83">
        <v>11700</v>
      </c>
    </row>
    <row r="1715" spans="1:16">
      <c r="A1715" s="78">
        <v>1713</v>
      </c>
      <c r="B1715" s="83">
        <v>11500</v>
      </c>
      <c r="C1715" s="83">
        <v>6</v>
      </c>
      <c r="D1715" s="83">
        <f t="shared" si="154"/>
        <v>6500</v>
      </c>
      <c r="E1715" s="83">
        <f t="shared" si="153"/>
        <v>6750</v>
      </c>
      <c r="F1715" s="83"/>
      <c r="G1715" s="83">
        <v>95301098</v>
      </c>
      <c r="H1715" s="83" t="s">
        <v>226</v>
      </c>
      <c r="I1715" s="83" t="s">
        <v>199</v>
      </c>
      <c r="J1715" s="83" t="s">
        <v>200</v>
      </c>
      <c r="K1715" s="83">
        <v>1</v>
      </c>
      <c r="L1715" s="83" t="s">
        <v>175</v>
      </c>
      <c r="M1715" s="83">
        <f>ROUNDDOWN(VLOOKUP(J1715,Sheet1!$N$32:$O$37,2,0)*1000,0)</f>
        <v>250</v>
      </c>
      <c r="N1715" s="83"/>
      <c r="O1715" s="83">
        <f t="shared" si="156"/>
        <v>0.00263721425783516</v>
      </c>
      <c r="P1715" s="83">
        <v>11700</v>
      </c>
    </row>
    <row r="1716" spans="1:16">
      <c r="A1716" s="78">
        <v>1714</v>
      </c>
      <c r="B1716" s="83">
        <v>11500</v>
      </c>
      <c r="C1716" s="83">
        <v>6</v>
      </c>
      <c r="D1716" s="83">
        <f t="shared" si="154"/>
        <v>6750</v>
      </c>
      <c r="E1716" s="83">
        <f t="shared" si="153"/>
        <v>7000</v>
      </c>
      <c r="F1716" s="83"/>
      <c r="G1716" s="83">
        <v>95201188</v>
      </c>
      <c r="H1716" s="83" t="s">
        <v>227</v>
      </c>
      <c r="I1716" s="83" t="s">
        <v>199</v>
      </c>
      <c r="J1716" s="83" t="s">
        <v>200</v>
      </c>
      <c r="K1716" s="83">
        <v>1</v>
      </c>
      <c r="L1716" s="83" t="s">
        <v>175</v>
      </c>
      <c r="M1716" s="83">
        <f>ROUNDDOWN(VLOOKUP(J1716,Sheet1!$N$32:$O$37,2,0)*1000,0)</f>
        <v>250</v>
      </c>
      <c r="N1716" s="83"/>
      <c r="O1716" s="83">
        <f t="shared" si="156"/>
        <v>0.00263721425783516</v>
      </c>
      <c r="P1716" s="83">
        <v>11700</v>
      </c>
    </row>
    <row r="1717" spans="1:16">
      <c r="A1717" s="78">
        <v>1715</v>
      </c>
      <c r="B1717" s="83">
        <v>11500</v>
      </c>
      <c r="C1717" s="83">
        <v>6</v>
      </c>
      <c r="D1717" s="83">
        <f t="shared" si="154"/>
        <v>7000</v>
      </c>
      <c r="E1717" s="83">
        <f t="shared" si="153"/>
        <v>7250</v>
      </c>
      <c r="F1717" s="83"/>
      <c r="G1717" s="83">
        <v>95301148</v>
      </c>
      <c r="H1717" s="83" t="s">
        <v>228</v>
      </c>
      <c r="I1717" s="83" t="s">
        <v>199</v>
      </c>
      <c r="J1717" s="83" t="s">
        <v>200</v>
      </c>
      <c r="K1717" s="83">
        <v>1</v>
      </c>
      <c r="L1717" s="83" t="s">
        <v>175</v>
      </c>
      <c r="M1717" s="83">
        <f>ROUNDDOWN(VLOOKUP(J1717,Sheet1!$N$32:$O$37,2,0)*1000,0)</f>
        <v>250</v>
      </c>
      <c r="N1717" s="83"/>
      <c r="O1717" s="83">
        <f t="shared" si="156"/>
        <v>0.00263721425783516</v>
      </c>
      <c r="P1717" s="83">
        <v>11700</v>
      </c>
    </row>
    <row r="1718" spans="1:16">
      <c r="A1718" s="78">
        <v>1716</v>
      </c>
      <c r="B1718" s="83">
        <v>11500</v>
      </c>
      <c r="C1718" s="83">
        <v>6</v>
      </c>
      <c r="D1718" s="83">
        <f t="shared" si="154"/>
        <v>7250</v>
      </c>
      <c r="E1718" s="83">
        <f t="shared" si="153"/>
        <v>7500</v>
      </c>
      <c r="F1718" s="83"/>
      <c r="G1718" s="83">
        <v>95301158</v>
      </c>
      <c r="H1718" s="83" t="s">
        <v>229</v>
      </c>
      <c r="I1718" s="83" t="s">
        <v>199</v>
      </c>
      <c r="J1718" s="83" t="s">
        <v>200</v>
      </c>
      <c r="K1718" s="83">
        <v>1</v>
      </c>
      <c r="L1718" s="83" t="s">
        <v>175</v>
      </c>
      <c r="M1718" s="83">
        <f>ROUNDDOWN(VLOOKUP(J1718,Sheet1!$N$32:$O$37,2,0)*1000,0)</f>
        <v>250</v>
      </c>
      <c r="N1718" s="83"/>
      <c r="O1718" s="83">
        <f t="shared" si="156"/>
        <v>0.00263721425783516</v>
      </c>
      <c r="P1718" s="83">
        <v>11700</v>
      </c>
    </row>
    <row r="1719" spans="1:16">
      <c r="A1719" s="78">
        <v>1717</v>
      </c>
      <c r="B1719" s="83">
        <v>11500</v>
      </c>
      <c r="C1719" s="83">
        <v>6</v>
      </c>
      <c r="D1719" s="83">
        <f>E1717</f>
        <v>7250</v>
      </c>
      <c r="E1719" s="83">
        <f t="shared" si="153"/>
        <v>7500</v>
      </c>
      <c r="F1719" s="83"/>
      <c r="G1719" s="83">
        <v>95101019</v>
      </c>
      <c r="H1719" s="83" t="s">
        <v>198</v>
      </c>
      <c r="I1719" s="83" t="s">
        <v>233</v>
      </c>
      <c r="J1719" s="83" t="s">
        <v>200</v>
      </c>
      <c r="K1719" s="83">
        <v>1</v>
      </c>
      <c r="L1719" s="83" t="s">
        <v>175</v>
      </c>
      <c r="M1719" s="83">
        <f>ROUNDDOWN(VLOOKUP(J1719,Sheet1!$N$32:$O$37,2,0)*1000,0)</f>
        <v>250</v>
      </c>
      <c r="N1719" s="83"/>
      <c r="O1719" s="83">
        <f t="shared" si="156"/>
        <v>0.00263721425783516</v>
      </c>
      <c r="P1719" s="83">
        <v>11700</v>
      </c>
    </row>
    <row r="1720" spans="1:16">
      <c r="A1720" s="78">
        <v>1718</v>
      </c>
      <c r="B1720" s="83">
        <v>11500</v>
      </c>
      <c r="C1720" s="83">
        <v>6</v>
      </c>
      <c r="D1720" s="83">
        <f t="shared" ref="D1720:D1783" si="157">E1719</f>
        <v>7500</v>
      </c>
      <c r="E1720" s="83">
        <f t="shared" si="153"/>
        <v>7750</v>
      </c>
      <c r="F1720" s="83"/>
      <c r="G1720" s="83">
        <v>95101029</v>
      </c>
      <c r="H1720" s="83" t="s">
        <v>201</v>
      </c>
      <c r="I1720" s="83" t="s">
        <v>233</v>
      </c>
      <c r="J1720" s="83" t="s">
        <v>200</v>
      </c>
      <c r="K1720" s="83">
        <v>1</v>
      </c>
      <c r="L1720" s="83" t="s">
        <v>175</v>
      </c>
      <c r="M1720" s="83">
        <f>ROUNDDOWN(VLOOKUP(J1720,Sheet1!$N$32:$O$37,2,0)*1000,0)</f>
        <v>250</v>
      </c>
      <c r="N1720" s="83"/>
      <c r="O1720" s="83">
        <f t="shared" si="156"/>
        <v>0.00263721425783516</v>
      </c>
      <c r="P1720" s="83">
        <v>11700</v>
      </c>
    </row>
    <row r="1721" spans="1:16">
      <c r="A1721" s="78">
        <v>1719</v>
      </c>
      <c r="B1721" s="83">
        <v>11500</v>
      </c>
      <c r="C1721" s="83">
        <v>6</v>
      </c>
      <c r="D1721" s="83">
        <f t="shared" si="157"/>
        <v>7750</v>
      </c>
      <c r="E1721" s="83">
        <f t="shared" si="153"/>
        <v>8000</v>
      </c>
      <c r="F1721" s="83"/>
      <c r="G1721" s="83">
        <v>95102019</v>
      </c>
      <c r="H1721" s="83" t="s">
        <v>202</v>
      </c>
      <c r="I1721" s="83" t="s">
        <v>233</v>
      </c>
      <c r="J1721" s="83" t="s">
        <v>200</v>
      </c>
      <c r="K1721" s="83">
        <v>1</v>
      </c>
      <c r="L1721" s="83" t="s">
        <v>175</v>
      </c>
      <c r="M1721" s="83">
        <f>ROUNDDOWN(VLOOKUP(J1721,Sheet1!$N$32:$O$37,2,0)*1000,0)</f>
        <v>250</v>
      </c>
      <c r="N1721" s="83"/>
      <c r="O1721" s="83">
        <f t="shared" si="156"/>
        <v>0.00263721425783516</v>
      </c>
      <c r="P1721" s="83">
        <v>11700</v>
      </c>
    </row>
    <row r="1722" spans="1:16">
      <c r="A1722" s="78">
        <v>1720</v>
      </c>
      <c r="B1722" s="83">
        <v>11500</v>
      </c>
      <c r="C1722" s="83">
        <v>6</v>
      </c>
      <c r="D1722" s="83">
        <f t="shared" si="157"/>
        <v>8000</v>
      </c>
      <c r="E1722" s="83">
        <f t="shared" ref="E1722:E1748" si="158">D1722+M1722</f>
        <v>8250</v>
      </c>
      <c r="F1722" s="83"/>
      <c r="G1722" s="83">
        <v>95102029</v>
      </c>
      <c r="H1722" s="83" t="s">
        <v>203</v>
      </c>
      <c r="I1722" s="83" t="s">
        <v>233</v>
      </c>
      <c r="J1722" s="83" t="s">
        <v>200</v>
      </c>
      <c r="K1722" s="83">
        <v>1</v>
      </c>
      <c r="L1722" s="83" t="s">
        <v>175</v>
      </c>
      <c r="M1722" s="83">
        <f>ROUNDDOWN(VLOOKUP(J1722,Sheet1!$N$32:$O$37,2,0)*1000,0)</f>
        <v>250</v>
      </c>
      <c r="N1722" s="83"/>
      <c r="O1722" s="83">
        <f t="shared" si="156"/>
        <v>0.00263721425783516</v>
      </c>
      <c r="P1722" s="83">
        <v>11700</v>
      </c>
    </row>
    <row r="1723" spans="1:16">
      <c r="A1723" s="78">
        <v>1721</v>
      </c>
      <c r="B1723" s="83">
        <v>11500</v>
      </c>
      <c r="C1723" s="83">
        <v>6</v>
      </c>
      <c r="D1723" s="83">
        <f t="shared" si="157"/>
        <v>8250</v>
      </c>
      <c r="E1723" s="83">
        <f t="shared" si="158"/>
        <v>8500</v>
      </c>
      <c r="F1723" s="83"/>
      <c r="G1723" s="83">
        <v>95103019</v>
      </c>
      <c r="H1723" s="83" t="s">
        <v>204</v>
      </c>
      <c r="I1723" s="83" t="s">
        <v>233</v>
      </c>
      <c r="J1723" s="83" t="s">
        <v>200</v>
      </c>
      <c r="K1723" s="83">
        <v>1</v>
      </c>
      <c r="L1723" s="83" t="s">
        <v>175</v>
      </c>
      <c r="M1723" s="83">
        <f>ROUNDDOWN(VLOOKUP(J1723,Sheet1!$N$32:$O$37,2,0)*1000,0)</f>
        <v>250</v>
      </c>
      <c r="N1723" s="83"/>
      <c r="O1723" s="83">
        <f t="shared" si="156"/>
        <v>0.00263721425783516</v>
      </c>
      <c r="P1723" s="83">
        <v>11700</v>
      </c>
    </row>
    <row r="1724" spans="1:16">
      <c r="A1724" s="78">
        <v>1722</v>
      </c>
      <c r="B1724" s="83">
        <v>11500</v>
      </c>
      <c r="C1724" s="83">
        <v>6</v>
      </c>
      <c r="D1724" s="83">
        <f t="shared" si="157"/>
        <v>8500</v>
      </c>
      <c r="E1724" s="83">
        <f t="shared" si="158"/>
        <v>8750</v>
      </c>
      <c r="F1724" s="83"/>
      <c r="G1724" s="83">
        <v>95104019</v>
      </c>
      <c r="H1724" s="83" t="s">
        <v>205</v>
      </c>
      <c r="I1724" s="83" t="s">
        <v>233</v>
      </c>
      <c r="J1724" s="83" t="s">
        <v>200</v>
      </c>
      <c r="K1724" s="83">
        <v>1</v>
      </c>
      <c r="L1724" s="83" t="s">
        <v>175</v>
      </c>
      <c r="M1724" s="83">
        <f>ROUNDDOWN(VLOOKUP(J1724,Sheet1!$N$32:$O$37,2,0)*1000,0)</f>
        <v>250</v>
      </c>
      <c r="N1724" s="83"/>
      <c r="O1724" s="83">
        <f t="shared" si="156"/>
        <v>0.00263721425783516</v>
      </c>
      <c r="P1724" s="83">
        <v>11700</v>
      </c>
    </row>
    <row r="1725" spans="1:16">
      <c r="A1725" s="78">
        <v>1723</v>
      </c>
      <c r="B1725" s="83">
        <v>11500</v>
      </c>
      <c r="C1725" s="83">
        <v>6</v>
      </c>
      <c r="D1725" s="83">
        <f t="shared" si="157"/>
        <v>8750</v>
      </c>
      <c r="E1725" s="83">
        <f t="shared" si="158"/>
        <v>9000</v>
      </c>
      <c r="F1725" s="83"/>
      <c r="G1725" s="83">
        <v>95104029</v>
      </c>
      <c r="H1725" s="83" t="s">
        <v>206</v>
      </c>
      <c r="I1725" s="83" t="s">
        <v>233</v>
      </c>
      <c r="J1725" s="83" t="s">
        <v>200</v>
      </c>
      <c r="K1725" s="83">
        <v>1</v>
      </c>
      <c r="L1725" s="83" t="s">
        <v>175</v>
      </c>
      <c r="M1725" s="83">
        <f>ROUNDDOWN(VLOOKUP(J1725,Sheet1!$N$32:$O$37,2,0)*1000,0)</f>
        <v>250</v>
      </c>
      <c r="N1725" s="83"/>
      <c r="O1725" s="83">
        <f t="shared" si="156"/>
        <v>0.00263721425783516</v>
      </c>
      <c r="P1725" s="83">
        <v>11700</v>
      </c>
    </row>
    <row r="1726" spans="1:16">
      <c r="A1726" s="78">
        <v>1724</v>
      </c>
      <c r="B1726" s="83">
        <v>11500</v>
      </c>
      <c r="C1726" s="83">
        <v>6</v>
      </c>
      <c r="D1726" s="83">
        <f t="shared" si="157"/>
        <v>9000</v>
      </c>
      <c r="E1726" s="83">
        <f t="shared" si="158"/>
        <v>9250</v>
      </c>
      <c r="F1726" s="83"/>
      <c r="G1726" s="83">
        <v>95104039</v>
      </c>
      <c r="H1726" s="83" t="s">
        <v>207</v>
      </c>
      <c r="I1726" s="83" t="s">
        <v>233</v>
      </c>
      <c r="J1726" s="83" t="s">
        <v>200</v>
      </c>
      <c r="K1726" s="83">
        <v>1</v>
      </c>
      <c r="L1726" s="83" t="s">
        <v>175</v>
      </c>
      <c r="M1726" s="83">
        <f>ROUNDDOWN(VLOOKUP(J1726,Sheet1!$N$32:$O$37,2,0)*1000,0)</f>
        <v>250</v>
      </c>
      <c r="N1726" s="83"/>
      <c r="O1726" s="83">
        <f t="shared" si="156"/>
        <v>0.00263721425783516</v>
      </c>
      <c r="P1726" s="83">
        <v>11700</v>
      </c>
    </row>
    <row r="1727" spans="1:16">
      <c r="A1727" s="78">
        <v>1725</v>
      </c>
      <c r="B1727" s="83">
        <v>11500</v>
      </c>
      <c r="C1727" s="83">
        <v>6</v>
      </c>
      <c r="D1727" s="83">
        <f t="shared" si="157"/>
        <v>9250</v>
      </c>
      <c r="E1727" s="83">
        <f t="shared" si="158"/>
        <v>9500</v>
      </c>
      <c r="F1727" s="83"/>
      <c r="G1727" s="83">
        <v>95106019</v>
      </c>
      <c r="H1727" s="83" t="s">
        <v>208</v>
      </c>
      <c r="I1727" s="83" t="s">
        <v>233</v>
      </c>
      <c r="J1727" s="83" t="s">
        <v>200</v>
      </c>
      <c r="K1727" s="83">
        <v>1</v>
      </c>
      <c r="L1727" s="83" t="s">
        <v>175</v>
      </c>
      <c r="M1727" s="83">
        <f>ROUNDDOWN(VLOOKUP(J1727,Sheet1!$N$32:$O$37,2,0)*1000,0)</f>
        <v>250</v>
      </c>
      <c r="N1727" s="83"/>
      <c r="O1727" s="83">
        <f t="shared" si="156"/>
        <v>0.00263721425783516</v>
      </c>
      <c r="P1727" s="83">
        <v>11700</v>
      </c>
    </row>
    <row r="1728" spans="1:16">
      <c r="A1728" s="78">
        <v>1726</v>
      </c>
      <c r="B1728" s="83">
        <v>11500</v>
      </c>
      <c r="C1728" s="83">
        <v>6</v>
      </c>
      <c r="D1728" s="83">
        <f t="shared" si="157"/>
        <v>9500</v>
      </c>
      <c r="E1728" s="83">
        <f t="shared" si="158"/>
        <v>9750</v>
      </c>
      <c r="F1728" s="83"/>
      <c r="G1728" s="83">
        <v>95109019</v>
      </c>
      <c r="H1728" s="83" t="s">
        <v>209</v>
      </c>
      <c r="I1728" s="83" t="s">
        <v>233</v>
      </c>
      <c r="J1728" s="83" t="s">
        <v>200</v>
      </c>
      <c r="K1728" s="83">
        <v>1</v>
      </c>
      <c r="L1728" s="83" t="s">
        <v>175</v>
      </c>
      <c r="M1728" s="83">
        <f>ROUNDDOWN(VLOOKUP(J1728,Sheet1!$N$32:$O$37,2,0)*1000,0)</f>
        <v>250</v>
      </c>
      <c r="N1728" s="83"/>
      <c r="O1728" s="83">
        <f t="shared" si="156"/>
        <v>0.00263721425783516</v>
      </c>
      <c r="P1728" s="83">
        <v>11700</v>
      </c>
    </row>
    <row r="1729" spans="1:16">
      <c r="A1729" s="78">
        <v>1727</v>
      </c>
      <c r="B1729" s="83">
        <v>11500</v>
      </c>
      <c r="C1729" s="83">
        <v>6</v>
      </c>
      <c r="D1729" s="83">
        <f t="shared" si="157"/>
        <v>9750</v>
      </c>
      <c r="E1729" s="83">
        <f t="shared" si="158"/>
        <v>10000</v>
      </c>
      <c r="F1729" s="83"/>
      <c r="G1729" s="83">
        <v>95110019</v>
      </c>
      <c r="H1729" s="83" t="s">
        <v>210</v>
      </c>
      <c r="I1729" s="83" t="s">
        <v>233</v>
      </c>
      <c r="J1729" s="83" t="s">
        <v>200</v>
      </c>
      <c r="K1729" s="83">
        <v>1</v>
      </c>
      <c r="L1729" s="83" t="s">
        <v>175</v>
      </c>
      <c r="M1729" s="83">
        <f>ROUNDDOWN(VLOOKUP(J1729,Sheet1!$N$32:$O$37,2,0)*1000,0)</f>
        <v>250</v>
      </c>
      <c r="N1729" s="83"/>
      <c r="O1729" s="83">
        <f t="shared" si="156"/>
        <v>0.00263721425783516</v>
      </c>
      <c r="P1729" s="83">
        <v>11700</v>
      </c>
    </row>
    <row r="1730" spans="1:16">
      <c r="A1730" s="78">
        <v>1728</v>
      </c>
      <c r="B1730" s="83">
        <v>11500</v>
      </c>
      <c r="C1730" s="83">
        <v>6</v>
      </c>
      <c r="D1730" s="83">
        <f t="shared" si="157"/>
        <v>10000</v>
      </c>
      <c r="E1730" s="83">
        <f t="shared" si="158"/>
        <v>10250</v>
      </c>
      <c r="F1730" s="83"/>
      <c r="G1730" s="83">
        <v>95111019</v>
      </c>
      <c r="H1730" s="83" t="s">
        <v>211</v>
      </c>
      <c r="I1730" s="83" t="s">
        <v>233</v>
      </c>
      <c r="J1730" s="83" t="s">
        <v>200</v>
      </c>
      <c r="K1730" s="83">
        <v>1</v>
      </c>
      <c r="L1730" s="83" t="s">
        <v>175</v>
      </c>
      <c r="M1730" s="83">
        <f>ROUNDDOWN(VLOOKUP(J1730,Sheet1!$N$32:$O$37,2,0)*1000,0)</f>
        <v>250</v>
      </c>
      <c r="N1730" s="83"/>
      <c r="O1730" s="83">
        <f t="shared" si="156"/>
        <v>0.00263721425783516</v>
      </c>
      <c r="P1730" s="83">
        <v>11700</v>
      </c>
    </row>
    <row r="1731" spans="1:16">
      <c r="A1731" s="78">
        <v>1729</v>
      </c>
      <c r="B1731" s="83">
        <v>11500</v>
      </c>
      <c r="C1731" s="83">
        <v>6</v>
      </c>
      <c r="D1731" s="83">
        <f t="shared" si="157"/>
        <v>10250</v>
      </c>
      <c r="E1731" s="83">
        <f t="shared" si="158"/>
        <v>10500</v>
      </c>
      <c r="F1731" s="83"/>
      <c r="G1731" s="83">
        <v>95120019</v>
      </c>
      <c r="H1731" s="83" t="s">
        <v>212</v>
      </c>
      <c r="I1731" s="83" t="s">
        <v>233</v>
      </c>
      <c r="J1731" s="83" t="s">
        <v>200</v>
      </c>
      <c r="K1731" s="83">
        <v>1</v>
      </c>
      <c r="L1731" s="83" t="s">
        <v>175</v>
      </c>
      <c r="M1731" s="83">
        <f>ROUNDDOWN(VLOOKUP(J1731,Sheet1!$N$32:$O$37,2,0)*1000,0)</f>
        <v>250</v>
      </c>
      <c r="N1731" s="83"/>
      <c r="O1731" s="83">
        <f t="shared" si="156"/>
        <v>0.00263721425783516</v>
      </c>
      <c r="P1731" s="83">
        <v>11700</v>
      </c>
    </row>
    <row r="1732" spans="1:16">
      <c r="A1732" s="78">
        <v>1730</v>
      </c>
      <c r="B1732" s="83">
        <v>11500</v>
      </c>
      <c r="C1732" s="83">
        <v>6</v>
      </c>
      <c r="D1732" s="83">
        <f t="shared" si="157"/>
        <v>10500</v>
      </c>
      <c r="E1732" s="83">
        <f t="shared" si="158"/>
        <v>10750</v>
      </c>
      <c r="F1732" s="83"/>
      <c r="G1732" s="83">
        <v>95140019</v>
      </c>
      <c r="H1732" s="83" t="s">
        <v>213</v>
      </c>
      <c r="I1732" s="83" t="s">
        <v>233</v>
      </c>
      <c r="J1732" s="83" t="s">
        <v>200</v>
      </c>
      <c r="K1732" s="83">
        <v>1</v>
      </c>
      <c r="L1732" s="83" t="s">
        <v>175</v>
      </c>
      <c r="M1732" s="83">
        <f>ROUNDDOWN(VLOOKUP(J1732,Sheet1!$N$32:$O$37,2,0)*1000,0)</f>
        <v>250</v>
      </c>
      <c r="N1732" s="83"/>
      <c r="O1732" s="83">
        <f t="shared" si="156"/>
        <v>0.00263721425783516</v>
      </c>
      <c r="P1732" s="83">
        <v>11700</v>
      </c>
    </row>
    <row r="1733" spans="1:16">
      <c r="A1733" s="78">
        <v>1731</v>
      </c>
      <c r="B1733" s="83">
        <v>11500</v>
      </c>
      <c r="C1733" s="83">
        <v>6</v>
      </c>
      <c r="D1733" s="83">
        <f t="shared" si="157"/>
        <v>10750</v>
      </c>
      <c r="E1733" s="83">
        <f t="shared" si="158"/>
        <v>11000</v>
      </c>
      <c r="F1733" s="83"/>
      <c r="G1733" s="83">
        <v>95105029</v>
      </c>
      <c r="H1733" s="83" t="s">
        <v>214</v>
      </c>
      <c r="I1733" s="83" t="s">
        <v>233</v>
      </c>
      <c r="J1733" s="83" t="s">
        <v>200</v>
      </c>
      <c r="K1733" s="83">
        <v>1</v>
      </c>
      <c r="L1733" s="83" t="s">
        <v>175</v>
      </c>
      <c r="M1733" s="83">
        <f>ROUNDDOWN(VLOOKUP(J1733,Sheet1!$N$32:$O$37,2,0)*1000,0)</f>
        <v>250</v>
      </c>
      <c r="N1733" s="83"/>
      <c r="O1733" s="83">
        <f t="shared" si="156"/>
        <v>0.00263721425783516</v>
      </c>
      <c r="P1733" s="83">
        <v>11700</v>
      </c>
    </row>
    <row r="1734" spans="1:16">
      <c r="A1734" s="78">
        <v>1732</v>
      </c>
      <c r="B1734" s="83">
        <v>11500</v>
      </c>
      <c r="C1734" s="83">
        <v>6</v>
      </c>
      <c r="D1734" s="83">
        <f t="shared" si="157"/>
        <v>11000</v>
      </c>
      <c r="E1734" s="83">
        <f t="shared" si="158"/>
        <v>11250</v>
      </c>
      <c r="F1734" s="83"/>
      <c r="G1734" s="83">
        <v>95109029</v>
      </c>
      <c r="H1734" s="83" t="s">
        <v>215</v>
      </c>
      <c r="I1734" s="83" t="s">
        <v>233</v>
      </c>
      <c r="J1734" s="83" t="s">
        <v>200</v>
      </c>
      <c r="K1734" s="83">
        <v>1</v>
      </c>
      <c r="L1734" s="83" t="s">
        <v>175</v>
      </c>
      <c r="M1734" s="83">
        <f>ROUNDDOWN(VLOOKUP(J1734,Sheet1!$N$32:$O$37,2,0)*1000,0)</f>
        <v>250</v>
      </c>
      <c r="N1734" s="83"/>
      <c r="O1734" s="83"/>
      <c r="P1734" s="83"/>
    </row>
    <row r="1735" spans="1:16">
      <c r="A1735" s="78">
        <v>1733</v>
      </c>
      <c r="B1735" s="83">
        <v>11500</v>
      </c>
      <c r="C1735" s="83">
        <v>6</v>
      </c>
      <c r="D1735" s="83">
        <f t="shared" si="157"/>
        <v>11250</v>
      </c>
      <c r="E1735" s="83">
        <f t="shared" si="158"/>
        <v>11500</v>
      </c>
      <c r="F1735" s="83"/>
      <c r="G1735" s="83">
        <v>95110029</v>
      </c>
      <c r="H1735" s="83" t="s">
        <v>216</v>
      </c>
      <c r="I1735" s="83" t="s">
        <v>233</v>
      </c>
      <c r="J1735" s="83" t="s">
        <v>200</v>
      </c>
      <c r="K1735" s="83">
        <v>1</v>
      </c>
      <c r="L1735" s="83" t="s">
        <v>175</v>
      </c>
      <c r="M1735" s="83">
        <f>ROUNDDOWN(VLOOKUP(J1735,Sheet1!$N$32:$O$37,2,0)*1000,0)</f>
        <v>250</v>
      </c>
      <c r="N1735" s="83"/>
      <c r="O1735" s="83"/>
      <c r="P1735" s="83"/>
    </row>
    <row r="1736" spans="1:16">
      <c r="A1736" s="78">
        <v>1734</v>
      </c>
      <c r="B1736" s="83">
        <v>11500</v>
      </c>
      <c r="C1736" s="83">
        <v>6</v>
      </c>
      <c r="D1736" s="83">
        <f t="shared" si="157"/>
        <v>11500</v>
      </c>
      <c r="E1736" s="83">
        <f t="shared" si="158"/>
        <v>11750</v>
      </c>
      <c r="F1736" s="83"/>
      <c r="G1736" s="83">
        <v>95150029</v>
      </c>
      <c r="H1736" s="83" t="s">
        <v>217</v>
      </c>
      <c r="I1736" s="83" t="s">
        <v>233</v>
      </c>
      <c r="J1736" s="83" t="s">
        <v>200</v>
      </c>
      <c r="K1736" s="83">
        <v>1</v>
      </c>
      <c r="L1736" s="83" t="s">
        <v>175</v>
      </c>
      <c r="M1736" s="83">
        <f>ROUNDDOWN(VLOOKUP(J1736,Sheet1!$N$32:$O$37,2,0)*1000,0)</f>
        <v>250</v>
      </c>
      <c r="N1736" s="83"/>
      <c r="O1736" s="83"/>
      <c r="P1736" s="83"/>
    </row>
    <row r="1737" spans="1:16">
      <c r="A1737" s="78">
        <v>1735</v>
      </c>
      <c r="B1737" s="83">
        <v>11500</v>
      </c>
      <c r="C1737" s="83">
        <v>6</v>
      </c>
      <c r="D1737" s="83">
        <f t="shared" si="157"/>
        <v>11750</v>
      </c>
      <c r="E1737" s="83">
        <f t="shared" si="158"/>
        <v>12000</v>
      </c>
      <c r="F1737" s="83"/>
      <c r="G1737" s="83">
        <v>95201039</v>
      </c>
      <c r="H1737" s="83" t="s">
        <v>218</v>
      </c>
      <c r="I1737" s="83" t="s">
        <v>233</v>
      </c>
      <c r="J1737" s="83" t="s">
        <v>200</v>
      </c>
      <c r="K1737" s="83">
        <v>1</v>
      </c>
      <c r="L1737" s="83" t="s">
        <v>175</v>
      </c>
      <c r="M1737" s="83">
        <f>ROUNDDOWN(VLOOKUP(J1737,Sheet1!$N$32:$O$37,2,0)*1000,0)</f>
        <v>250</v>
      </c>
      <c r="N1737" s="83"/>
      <c r="O1737" s="83"/>
      <c r="P1737" s="83"/>
    </row>
    <row r="1738" spans="1:16">
      <c r="A1738" s="78">
        <v>1736</v>
      </c>
      <c r="B1738" s="83">
        <v>11500</v>
      </c>
      <c r="C1738" s="83">
        <v>6</v>
      </c>
      <c r="D1738" s="83">
        <f t="shared" si="157"/>
        <v>12000</v>
      </c>
      <c r="E1738" s="83">
        <f t="shared" si="158"/>
        <v>12250</v>
      </c>
      <c r="F1738" s="83"/>
      <c r="G1738" s="83">
        <v>95201119</v>
      </c>
      <c r="H1738" s="83" t="s">
        <v>219</v>
      </c>
      <c r="I1738" s="83" t="s">
        <v>233</v>
      </c>
      <c r="J1738" s="83" t="s">
        <v>200</v>
      </c>
      <c r="K1738" s="83">
        <v>1</v>
      </c>
      <c r="L1738" s="83" t="s">
        <v>175</v>
      </c>
      <c r="M1738" s="83">
        <f>ROUNDDOWN(VLOOKUP(J1738,Sheet1!$N$32:$O$37,2,0)*1000,0)</f>
        <v>250</v>
      </c>
      <c r="N1738" s="83"/>
      <c r="O1738" s="83">
        <f t="shared" ref="O1738:O1769" si="159">(E1738-D1738)/$E$1789</f>
        <v>0.00263721425783516</v>
      </c>
      <c r="P1738" s="83">
        <v>11700</v>
      </c>
    </row>
    <row r="1739" spans="1:16">
      <c r="A1739" s="78">
        <v>1737</v>
      </c>
      <c r="B1739" s="83">
        <v>11500</v>
      </c>
      <c r="C1739" s="83">
        <v>6</v>
      </c>
      <c r="D1739" s="83">
        <f t="shared" si="157"/>
        <v>12250</v>
      </c>
      <c r="E1739" s="83">
        <f t="shared" si="158"/>
        <v>12500</v>
      </c>
      <c r="F1739" s="83"/>
      <c r="G1739" s="83">
        <v>95201159</v>
      </c>
      <c r="H1739" s="83" t="s">
        <v>220</v>
      </c>
      <c r="I1739" s="83" t="s">
        <v>233</v>
      </c>
      <c r="J1739" s="83" t="s">
        <v>200</v>
      </c>
      <c r="K1739" s="83">
        <v>1</v>
      </c>
      <c r="L1739" s="83" t="s">
        <v>175</v>
      </c>
      <c r="M1739" s="83">
        <f>ROUNDDOWN(VLOOKUP(J1739,Sheet1!$N$32:$O$37,2,0)*1000,0)</f>
        <v>250</v>
      </c>
      <c r="N1739" s="83"/>
      <c r="O1739" s="83">
        <f t="shared" si="159"/>
        <v>0.00263721425783516</v>
      </c>
      <c r="P1739" s="83">
        <v>11700</v>
      </c>
    </row>
    <row r="1740" spans="1:16">
      <c r="A1740" s="78">
        <v>1738</v>
      </c>
      <c r="B1740" s="83">
        <v>11500</v>
      </c>
      <c r="C1740" s="83">
        <v>6</v>
      </c>
      <c r="D1740" s="83">
        <f t="shared" si="157"/>
        <v>12500</v>
      </c>
      <c r="E1740" s="83">
        <f t="shared" si="158"/>
        <v>12750</v>
      </c>
      <c r="F1740" s="83"/>
      <c r="G1740" s="83">
        <v>95201169</v>
      </c>
      <c r="H1740" s="83" t="s">
        <v>221</v>
      </c>
      <c r="I1740" s="83" t="s">
        <v>233</v>
      </c>
      <c r="J1740" s="83" t="s">
        <v>200</v>
      </c>
      <c r="K1740" s="83">
        <v>1</v>
      </c>
      <c r="L1740" s="83" t="s">
        <v>175</v>
      </c>
      <c r="M1740" s="83">
        <f>ROUNDDOWN(VLOOKUP(J1740,Sheet1!$N$32:$O$37,2,0)*1000,0)</f>
        <v>250</v>
      </c>
      <c r="N1740" s="83"/>
      <c r="O1740" s="83">
        <f t="shared" si="159"/>
        <v>0.00263721425783516</v>
      </c>
      <c r="P1740" s="83">
        <v>11700</v>
      </c>
    </row>
    <row r="1741" spans="1:16">
      <c r="A1741" s="78">
        <v>1739</v>
      </c>
      <c r="B1741" s="83">
        <v>11500</v>
      </c>
      <c r="C1741" s="83">
        <v>6</v>
      </c>
      <c r="D1741" s="83">
        <f t="shared" si="157"/>
        <v>12750</v>
      </c>
      <c r="E1741" s="83">
        <f t="shared" si="158"/>
        <v>13000</v>
      </c>
      <c r="F1741" s="83"/>
      <c r="G1741" s="83">
        <v>95301029</v>
      </c>
      <c r="H1741" s="83" t="s">
        <v>222</v>
      </c>
      <c r="I1741" s="83" t="s">
        <v>233</v>
      </c>
      <c r="J1741" s="83" t="s">
        <v>200</v>
      </c>
      <c r="K1741" s="83">
        <v>1</v>
      </c>
      <c r="L1741" s="83" t="s">
        <v>175</v>
      </c>
      <c r="M1741" s="83">
        <f>ROUNDDOWN(VLOOKUP(J1741,Sheet1!$N$32:$O$37,2,0)*1000,0)</f>
        <v>250</v>
      </c>
      <c r="N1741" s="83"/>
      <c r="O1741" s="83">
        <f t="shared" si="159"/>
        <v>0.00263721425783516</v>
      </c>
      <c r="P1741" s="83">
        <v>11700</v>
      </c>
    </row>
    <row r="1742" spans="1:16">
      <c r="A1742" s="78">
        <v>1740</v>
      </c>
      <c r="B1742" s="83">
        <v>11500</v>
      </c>
      <c r="C1742" s="83">
        <v>6</v>
      </c>
      <c r="D1742" s="83">
        <f t="shared" si="157"/>
        <v>13000</v>
      </c>
      <c r="E1742" s="83">
        <f t="shared" si="158"/>
        <v>13250</v>
      </c>
      <c r="F1742" s="83"/>
      <c r="G1742" s="83">
        <v>95301049</v>
      </c>
      <c r="H1742" s="83" t="s">
        <v>223</v>
      </c>
      <c r="I1742" s="83" t="s">
        <v>233</v>
      </c>
      <c r="J1742" s="83" t="s">
        <v>200</v>
      </c>
      <c r="K1742" s="83">
        <v>1</v>
      </c>
      <c r="L1742" s="83" t="s">
        <v>175</v>
      </c>
      <c r="M1742" s="83">
        <f>ROUNDDOWN(VLOOKUP(J1742,Sheet1!$N$32:$O$37,2,0)*1000,0)</f>
        <v>250</v>
      </c>
      <c r="N1742" s="83"/>
      <c r="O1742" s="83">
        <f t="shared" si="159"/>
        <v>0.00263721425783516</v>
      </c>
      <c r="P1742" s="83">
        <v>11700</v>
      </c>
    </row>
    <row r="1743" spans="1:16">
      <c r="A1743" s="78">
        <v>1741</v>
      </c>
      <c r="B1743" s="83">
        <v>11500</v>
      </c>
      <c r="C1743" s="83">
        <v>6</v>
      </c>
      <c r="D1743" s="83">
        <f t="shared" si="157"/>
        <v>13250</v>
      </c>
      <c r="E1743" s="83">
        <f t="shared" si="158"/>
        <v>13500</v>
      </c>
      <c r="F1743" s="83"/>
      <c r="G1743" s="83">
        <v>95301059</v>
      </c>
      <c r="H1743" s="83" t="s">
        <v>224</v>
      </c>
      <c r="I1743" s="83" t="s">
        <v>233</v>
      </c>
      <c r="J1743" s="83" t="s">
        <v>200</v>
      </c>
      <c r="K1743" s="83">
        <v>1</v>
      </c>
      <c r="L1743" s="83" t="s">
        <v>175</v>
      </c>
      <c r="M1743" s="83">
        <f>ROUNDDOWN(VLOOKUP(J1743,Sheet1!$N$32:$O$37,2,0)*1000,0)</f>
        <v>250</v>
      </c>
      <c r="N1743" s="83"/>
      <c r="O1743" s="83">
        <f t="shared" si="159"/>
        <v>0.00263721425783516</v>
      </c>
      <c r="P1743" s="83">
        <v>11700</v>
      </c>
    </row>
    <row r="1744" spans="1:16">
      <c r="A1744" s="78">
        <v>1742</v>
      </c>
      <c r="B1744" s="83">
        <v>11500</v>
      </c>
      <c r="C1744" s="83">
        <v>6</v>
      </c>
      <c r="D1744" s="83">
        <f t="shared" si="157"/>
        <v>13500</v>
      </c>
      <c r="E1744" s="83">
        <f t="shared" si="158"/>
        <v>13750</v>
      </c>
      <c r="F1744" s="83"/>
      <c r="G1744" s="83">
        <v>95301139</v>
      </c>
      <c r="H1744" s="83" t="s">
        <v>225</v>
      </c>
      <c r="I1744" s="83" t="s">
        <v>233</v>
      </c>
      <c r="J1744" s="83" t="s">
        <v>200</v>
      </c>
      <c r="K1744" s="83">
        <v>1</v>
      </c>
      <c r="L1744" s="83" t="s">
        <v>175</v>
      </c>
      <c r="M1744" s="83">
        <f>ROUNDDOWN(VLOOKUP(J1744,Sheet1!$N$32:$O$37,2,0)*1000,0)</f>
        <v>250</v>
      </c>
      <c r="N1744" s="83"/>
      <c r="O1744" s="83">
        <f t="shared" si="159"/>
        <v>0.00263721425783516</v>
      </c>
      <c r="P1744" s="83">
        <v>11700</v>
      </c>
    </row>
    <row r="1745" spans="1:16">
      <c r="A1745" s="78">
        <v>1743</v>
      </c>
      <c r="B1745" s="83">
        <v>11500</v>
      </c>
      <c r="C1745" s="83">
        <v>6</v>
      </c>
      <c r="D1745" s="83">
        <f t="shared" si="157"/>
        <v>13750</v>
      </c>
      <c r="E1745" s="83">
        <f t="shared" si="158"/>
        <v>14000</v>
      </c>
      <c r="F1745" s="83"/>
      <c r="G1745" s="83">
        <v>95301099</v>
      </c>
      <c r="H1745" s="83" t="s">
        <v>226</v>
      </c>
      <c r="I1745" s="83" t="s">
        <v>233</v>
      </c>
      <c r="J1745" s="83" t="s">
        <v>200</v>
      </c>
      <c r="K1745" s="83">
        <v>1</v>
      </c>
      <c r="L1745" s="83" t="s">
        <v>175</v>
      </c>
      <c r="M1745" s="83">
        <f>ROUNDDOWN(VLOOKUP(J1745,Sheet1!$N$32:$O$37,2,0)*1000,0)</f>
        <v>250</v>
      </c>
      <c r="N1745" s="83"/>
      <c r="O1745" s="83">
        <f t="shared" si="159"/>
        <v>0.00263721425783516</v>
      </c>
      <c r="P1745" s="83">
        <v>11700</v>
      </c>
    </row>
    <row r="1746" spans="1:16">
      <c r="A1746" s="78">
        <v>1744</v>
      </c>
      <c r="B1746" s="83">
        <v>11500</v>
      </c>
      <c r="C1746" s="83">
        <v>6</v>
      </c>
      <c r="D1746" s="83">
        <f t="shared" si="157"/>
        <v>14000</v>
      </c>
      <c r="E1746" s="83">
        <f t="shared" si="158"/>
        <v>14250</v>
      </c>
      <c r="F1746" s="83"/>
      <c r="G1746" s="83">
        <v>95201189</v>
      </c>
      <c r="H1746" s="83" t="s">
        <v>227</v>
      </c>
      <c r="I1746" s="83" t="s">
        <v>233</v>
      </c>
      <c r="J1746" s="83" t="s">
        <v>200</v>
      </c>
      <c r="K1746" s="83">
        <v>1</v>
      </c>
      <c r="L1746" s="83" t="s">
        <v>175</v>
      </c>
      <c r="M1746" s="83">
        <f>ROUNDDOWN(VLOOKUP(J1746,Sheet1!$N$32:$O$37,2,0)*1000,0)</f>
        <v>250</v>
      </c>
      <c r="N1746" s="83"/>
      <c r="O1746" s="83">
        <f t="shared" si="159"/>
        <v>0.00263721425783516</v>
      </c>
      <c r="P1746" s="83">
        <v>11700</v>
      </c>
    </row>
    <row r="1747" spans="1:16">
      <c r="A1747" s="78">
        <v>1745</v>
      </c>
      <c r="B1747" s="83">
        <v>11500</v>
      </c>
      <c r="C1747" s="83">
        <v>6</v>
      </c>
      <c r="D1747" s="83">
        <f t="shared" si="157"/>
        <v>14250</v>
      </c>
      <c r="E1747" s="83">
        <f t="shared" si="158"/>
        <v>14500</v>
      </c>
      <c r="F1747" s="83"/>
      <c r="G1747" s="83">
        <v>95301149</v>
      </c>
      <c r="H1747" s="83" t="s">
        <v>228</v>
      </c>
      <c r="I1747" s="83" t="s">
        <v>233</v>
      </c>
      <c r="J1747" s="83" t="s">
        <v>200</v>
      </c>
      <c r="K1747" s="83">
        <v>1</v>
      </c>
      <c r="L1747" s="83" t="s">
        <v>175</v>
      </c>
      <c r="M1747" s="83">
        <f>ROUNDDOWN(VLOOKUP(J1747,Sheet1!$N$32:$O$37,2,0)*1000,0)</f>
        <v>250</v>
      </c>
      <c r="N1747" s="83"/>
      <c r="O1747" s="83">
        <f t="shared" si="159"/>
        <v>0.00263721425783516</v>
      </c>
      <c r="P1747" s="83">
        <v>11700</v>
      </c>
    </row>
    <row r="1748" spans="1:16">
      <c r="A1748" s="78">
        <v>1746</v>
      </c>
      <c r="B1748" s="83">
        <v>11500</v>
      </c>
      <c r="C1748" s="83">
        <v>6</v>
      </c>
      <c r="D1748" s="83">
        <f t="shared" si="157"/>
        <v>14500</v>
      </c>
      <c r="E1748" s="83">
        <f t="shared" si="158"/>
        <v>14750</v>
      </c>
      <c r="F1748" s="83"/>
      <c r="G1748" s="83">
        <v>95301159</v>
      </c>
      <c r="H1748" s="83" t="s">
        <v>229</v>
      </c>
      <c r="I1748" s="83" t="s">
        <v>233</v>
      </c>
      <c r="J1748" s="83" t="s">
        <v>200</v>
      </c>
      <c r="K1748" s="83">
        <v>1</v>
      </c>
      <c r="L1748" s="83" t="s">
        <v>175</v>
      </c>
      <c r="M1748" s="83">
        <f>ROUNDDOWN(VLOOKUP(J1748,Sheet1!$N$32:$O$37,2,0)*1000,0)</f>
        <v>250</v>
      </c>
      <c r="N1748" s="83"/>
      <c r="O1748" s="83">
        <f t="shared" si="159"/>
        <v>0.00263721425783516</v>
      </c>
      <c r="P1748" s="83">
        <v>11700</v>
      </c>
    </row>
    <row r="1749" spans="1:16">
      <c r="A1749" s="78">
        <v>1747</v>
      </c>
      <c r="B1749" s="83">
        <v>11500</v>
      </c>
      <c r="C1749" s="83">
        <v>1</v>
      </c>
      <c r="D1749" s="83">
        <f t="shared" si="157"/>
        <v>14750</v>
      </c>
      <c r="E1749" s="83">
        <f t="shared" ref="E1749:E1812" si="160">D1749+M1749</f>
        <v>19125</v>
      </c>
      <c r="F1749" s="83"/>
      <c r="G1749" s="83">
        <v>901000</v>
      </c>
      <c r="H1749" s="83" t="s">
        <v>234</v>
      </c>
      <c r="I1749" s="83"/>
      <c r="J1749" s="83" t="s">
        <v>235</v>
      </c>
      <c r="K1749" s="83">
        <v>1</v>
      </c>
      <c r="L1749" s="83" t="s">
        <v>175</v>
      </c>
      <c r="M1749" s="83">
        <f>ROUNDDOWN(VLOOKUP(J1749,Sheet1!$N$32:$O$37,2,0)*1000,0)</f>
        <v>4375</v>
      </c>
      <c r="N1749" s="83"/>
      <c r="O1749" s="83">
        <f t="shared" si="159"/>
        <v>0.0461512495121154</v>
      </c>
      <c r="P1749" s="83">
        <v>11000</v>
      </c>
    </row>
    <row r="1750" spans="1:16">
      <c r="A1750" s="78">
        <v>1748</v>
      </c>
      <c r="B1750" s="83">
        <v>11500</v>
      </c>
      <c r="C1750" s="83">
        <v>2</v>
      </c>
      <c r="D1750" s="83">
        <f t="shared" si="157"/>
        <v>19125</v>
      </c>
      <c r="E1750" s="83">
        <f t="shared" si="160"/>
        <v>23500</v>
      </c>
      <c r="F1750" s="83"/>
      <c r="G1750" s="83">
        <v>901001</v>
      </c>
      <c r="H1750" s="83" t="s">
        <v>236</v>
      </c>
      <c r="I1750" s="83"/>
      <c r="J1750" s="83" t="s">
        <v>235</v>
      </c>
      <c r="K1750" s="83">
        <v>1</v>
      </c>
      <c r="L1750" s="83" t="s">
        <v>175</v>
      </c>
      <c r="M1750" s="83">
        <f>ROUNDDOWN(VLOOKUP(J1750,Sheet1!$N$32:$O$37,2,0)*1000,0)</f>
        <v>4375</v>
      </c>
      <c r="N1750" s="83"/>
      <c r="O1750" s="83">
        <f t="shared" si="159"/>
        <v>0.0461512495121154</v>
      </c>
      <c r="P1750" s="83">
        <v>11000</v>
      </c>
    </row>
    <row r="1751" spans="1:16">
      <c r="A1751" s="78">
        <v>1749</v>
      </c>
      <c r="B1751" s="83">
        <v>11500</v>
      </c>
      <c r="C1751" s="83">
        <v>3</v>
      </c>
      <c r="D1751" s="83">
        <f t="shared" si="157"/>
        <v>23500</v>
      </c>
      <c r="E1751" s="83">
        <f t="shared" si="160"/>
        <v>27875</v>
      </c>
      <c r="F1751" s="83"/>
      <c r="G1751" s="83">
        <v>901002</v>
      </c>
      <c r="H1751" s="83" t="s">
        <v>237</v>
      </c>
      <c r="I1751" s="83"/>
      <c r="J1751" s="83" t="s">
        <v>235</v>
      </c>
      <c r="K1751" s="83">
        <v>1</v>
      </c>
      <c r="L1751" s="83" t="s">
        <v>175</v>
      </c>
      <c r="M1751" s="83">
        <f>ROUNDDOWN(VLOOKUP(J1751,Sheet1!$N$32:$O$37,2,0)*1000,0)</f>
        <v>4375</v>
      </c>
      <c r="N1751" s="83"/>
      <c r="O1751" s="83">
        <f t="shared" si="159"/>
        <v>0.0461512495121154</v>
      </c>
      <c r="P1751" s="83">
        <v>11000</v>
      </c>
    </row>
    <row r="1752" spans="1:16">
      <c r="A1752" s="78">
        <v>1750</v>
      </c>
      <c r="B1752" s="83">
        <v>11500</v>
      </c>
      <c r="C1752" s="83">
        <v>4</v>
      </c>
      <c r="D1752" s="83">
        <f t="shared" si="157"/>
        <v>27875</v>
      </c>
      <c r="E1752" s="83">
        <f t="shared" si="160"/>
        <v>32250</v>
      </c>
      <c r="F1752" s="83"/>
      <c r="G1752" s="83">
        <v>901003</v>
      </c>
      <c r="H1752" s="83" t="s">
        <v>238</v>
      </c>
      <c r="I1752" s="83"/>
      <c r="J1752" s="83" t="s">
        <v>235</v>
      </c>
      <c r="K1752" s="83">
        <v>1</v>
      </c>
      <c r="L1752" s="83" t="s">
        <v>175</v>
      </c>
      <c r="M1752" s="83">
        <f>ROUNDDOWN(VLOOKUP(J1752,Sheet1!$N$32:$O$37,2,0)*1000,0)</f>
        <v>4375</v>
      </c>
      <c r="N1752" s="83"/>
      <c r="O1752" s="83">
        <f t="shared" si="159"/>
        <v>0.0461512495121154</v>
      </c>
      <c r="P1752" s="83">
        <v>11000</v>
      </c>
    </row>
    <row r="1753" spans="1:16">
      <c r="A1753" s="78">
        <v>1751</v>
      </c>
      <c r="B1753" s="83">
        <v>11500</v>
      </c>
      <c r="C1753" s="83">
        <v>1</v>
      </c>
      <c r="D1753" s="83">
        <f t="shared" si="157"/>
        <v>32250</v>
      </c>
      <c r="E1753" s="83">
        <f t="shared" si="160"/>
        <v>36625</v>
      </c>
      <c r="F1753" s="83"/>
      <c r="G1753" s="83">
        <v>901100</v>
      </c>
      <c r="H1753" s="83" t="s">
        <v>239</v>
      </c>
      <c r="I1753" s="83"/>
      <c r="J1753" s="83" t="s">
        <v>235</v>
      </c>
      <c r="K1753" s="83">
        <v>1</v>
      </c>
      <c r="L1753" s="83" t="s">
        <v>175</v>
      </c>
      <c r="M1753" s="83">
        <f>ROUNDDOWN(VLOOKUP(J1753,Sheet1!$N$32:$O$37,2,0)*1000,0)</f>
        <v>4375</v>
      </c>
      <c r="N1753" s="83"/>
      <c r="O1753" s="83">
        <f t="shared" si="159"/>
        <v>0.0461512495121154</v>
      </c>
      <c r="P1753" s="83">
        <v>11000</v>
      </c>
    </row>
    <row r="1754" spans="1:16">
      <c r="A1754" s="78">
        <v>1752</v>
      </c>
      <c r="B1754" s="83">
        <v>11500</v>
      </c>
      <c r="C1754" s="83">
        <v>2</v>
      </c>
      <c r="D1754" s="83">
        <f t="shared" si="157"/>
        <v>36625</v>
      </c>
      <c r="E1754" s="83">
        <f t="shared" si="160"/>
        <v>41000</v>
      </c>
      <c r="F1754" s="83"/>
      <c r="G1754" s="83">
        <v>901101</v>
      </c>
      <c r="H1754" s="83" t="s">
        <v>240</v>
      </c>
      <c r="I1754" s="83"/>
      <c r="J1754" s="83" t="s">
        <v>235</v>
      </c>
      <c r="K1754" s="83">
        <v>1</v>
      </c>
      <c r="L1754" s="83" t="s">
        <v>175</v>
      </c>
      <c r="M1754" s="83">
        <f>ROUNDDOWN(VLOOKUP(J1754,Sheet1!$N$32:$O$37,2,0)*1000,0)</f>
        <v>4375</v>
      </c>
      <c r="N1754" s="83"/>
      <c r="O1754" s="83">
        <f t="shared" si="159"/>
        <v>0.0461512495121154</v>
      </c>
      <c r="P1754" s="83">
        <v>11000</v>
      </c>
    </row>
    <row r="1755" spans="1:16">
      <c r="A1755" s="78">
        <v>1753</v>
      </c>
      <c r="B1755" s="83">
        <v>11500</v>
      </c>
      <c r="C1755" s="83">
        <v>3</v>
      </c>
      <c r="D1755" s="83">
        <f t="shared" si="157"/>
        <v>41000</v>
      </c>
      <c r="E1755" s="83">
        <f t="shared" si="160"/>
        <v>45375</v>
      </c>
      <c r="F1755" s="83"/>
      <c r="G1755" s="83">
        <v>901102</v>
      </c>
      <c r="H1755" s="83" t="s">
        <v>241</v>
      </c>
      <c r="I1755" s="83"/>
      <c r="J1755" s="83" t="s">
        <v>235</v>
      </c>
      <c r="K1755" s="83">
        <v>1</v>
      </c>
      <c r="L1755" s="83" t="s">
        <v>175</v>
      </c>
      <c r="M1755" s="83">
        <f>ROUNDDOWN(VLOOKUP(J1755,Sheet1!$N$32:$O$37,2,0)*1000,0)</f>
        <v>4375</v>
      </c>
      <c r="N1755" s="83"/>
      <c r="O1755" s="83">
        <f t="shared" si="159"/>
        <v>0.0461512495121154</v>
      </c>
      <c r="P1755" s="83">
        <v>11000</v>
      </c>
    </row>
    <row r="1756" spans="1:16">
      <c r="A1756" s="78">
        <v>1754</v>
      </c>
      <c r="B1756" s="83">
        <v>11500</v>
      </c>
      <c r="C1756" s="83">
        <v>4</v>
      </c>
      <c r="D1756" s="83">
        <f t="shared" si="157"/>
        <v>45375</v>
      </c>
      <c r="E1756" s="83">
        <f t="shared" si="160"/>
        <v>49750</v>
      </c>
      <c r="F1756" s="83"/>
      <c r="G1756" s="83">
        <v>901103</v>
      </c>
      <c r="H1756" s="83" t="s">
        <v>242</v>
      </c>
      <c r="I1756" s="83"/>
      <c r="J1756" s="83" t="s">
        <v>235</v>
      </c>
      <c r="K1756" s="83">
        <v>1</v>
      </c>
      <c r="L1756" s="83" t="s">
        <v>175</v>
      </c>
      <c r="M1756" s="83">
        <f>ROUNDDOWN(VLOOKUP(J1756,Sheet1!$N$32:$O$37,2,0)*1000,0)</f>
        <v>4375</v>
      </c>
      <c r="N1756" s="83"/>
      <c r="O1756" s="83">
        <f t="shared" si="159"/>
        <v>0.0461512495121154</v>
      </c>
      <c r="P1756" s="83">
        <v>11000</v>
      </c>
    </row>
    <row r="1757" spans="1:16">
      <c r="A1757" s="78">
        <v>1755</v>
      </c>
      <c r="B1757" s="83">
        <v>11500</v>
      </c>
      <c r="C1757" s="83">
        <v>7</v>
      </c>
      <c r="D1757" s="83">
        <f t="shared" si="157"/>
        <v>49750</v>
      </c>
      <c r="E1757" s="83">
        <f t="shared" si="160"/>
        <v>50226</v>
      </c>
      <c r="F1757" s="83"/>
      <c r="G1757" s="83">
        <v>100101</v>
      </c>
      <c r="H1757" s="83" t="s">
        <v>243</v>
      </c>
      <c r="I1757" s="83"/>
      <c r="J1757" s="83" t="s">
        <v>244</v>
      </c>
      <c r="K1757" s="83">
        <v>1</v>
      </c>
      <c r="L1757" s="83" t="s">
        <v>175</v>
      </c>
      <c r="M1757" s="83">
        <f>ROUNDDOWN(VLOOKUP(J1757,Sheet1!$N$32:$O$37,2,0)*1000,0)</f>
        <v>476</v>
      </c>
      <c r="N1757" s="83"/>
      <c r="O1757" s="83">
        <f t="shared" si="159"/>
        <v>0.00502125594691815</v>
      </c>
      <c r="P1757" s="83">
        <v>11000</v>
      </c>
    </row>
    <row r="1758" spans="1:16">
      <c r="A1758" s="78">
        <v>1756</v>
      </c>
      <c r="B1758" s="83">
        <v>11500</v>
      </c>
      <c r="C1758" s="83">
        <v>7</v>
      </c>
      <c r="D1758" s="83">
        <f t="shared" si="157"/>
        <v>50226</v>
      </c>
      <c r="E1758" s="83">
        <f t="shared" si="160"/>
        <v>50702</v>
      </c>
      <c r="F1758" s="83"/>
      <c r="G1758" s="83">
        <v>100103</v>
      </c>
      <c r="H1758" s="83" t="s">
        <v>245</v>
      </c>
      <c r="I1758" s="83"/>
      <c r="J1758" s="83" t="s">
        <v>244</v>
      </c>
      <c r="K1758" s="83">
        <v>1</v>
      </c>
      <c r="L1758" s="83" t="s">
        <v>175</v>
      </c>
      <c r="M1758" s="83">
        <f>ROUNDDOWN(VLOOKUP(J1758,Sheet1!$N$32:$O$37,2,0)*1000,0)</f>
        <v>476</v>
      </c>
      <c r="N1758" s="83"/>
      <c r="O1758" s="83">
        <f t="shared" si="159"/>
        <v>0.00502125594691815</v>
      </c>
      <c r="P1758" s="83">
        <v>11000</v>
      </c>
    </row>
    <row r="1759" spans="1:16">
      <c r="A1759" s="78">
        <v>1757</v>
      </c>
      <c r="B1759" s="83">
        <v>11500</v>
      </c>
      <c r="C1759" s="83">
        <v>7</v>
      </c>
      <c r="D1759" s="83">
        <f t="shared" si="157"/>
        <v>50702</v>
      </c>
      <c r="E1759" s="83">
        <f t="shared" si="160"/>
        <v>51178</v>
      </c>
      <c r="F1759" s="83"/>
      <c r="G1759" s="83">
        <v>100107</v>
      </c>
      <c r="H1759" s="83" t="s">
        <v>246</v>
      </c>
      <c r="I1759" s="83"/>
      <c r="J1759" s="83" t="s">
        <v>244</v>
      </c>
      <c r="K1759" s="83">
        <v>1</v>
      </c>
      <c r="L1759" s="83" t="s">
        <v>175</v>
      </c>
      <c r="M1759" s="83">
        <f>ROUNDDOWN(VLOOKUP(J1759,Sheet1!$N$32:$O$37,2,0)*1000,0)</f>
        <v>476</v>
      </c>
      <c r="N1759" s="83"/>
      <c r="O1759" s="83">
        <f t="shared" si="159"/>
        <v>0.00502125594691815</v>
      </c>
      <c r="P1759" s="83">
        <v>11000</v>
      </c>
    </row>
    <row r="1760" spans="1:16">
      <c r="A1760" s="78">
        <v>1758</v>
      </c>
      <c r="B1760" s="83">
        <v>11500</v>
      </c>
      <c r="C1760" s="83">
        <v>7</v>
      </c>
      <c r="D1760" s="83">
        <f t="shared" si="157"/>
        <v>51178</v>
      </c>
      <c r="E1760" s="83">
        <f t="shared" si="160"/>
        <v>51654</v>
      </c>
      <c r="F1760" s="83"/>
      <c r="G1760" s="83">
        <v>100108</v>
      </c>
      <c r="H1760" s="83" t="s">
        <v>247</v>
      </c>
      <c r="I1760" s="83"/>
      <c r="J1760" s="83" t="s">
        <v>244</v>
      </c>
      <c r="K1760" s="83">
        <v>1</v>
      </c>
      <c r="L1760" s="83" t="s">
        <v>175</v>
      </c>
      <c r="M1760" s="83">
        <f>ROUNDDOWN(VLOOKUP(J1760,Sheet1!$N$32:$O$37,2,0)*1000,0)</f>
        <v>476</v>
      </c>
      <c r="N1760" s="83"/>
      <c r="O1760" s="83">
        <f t="shared" si="159"/>
        <v>0.00502125594691815</v>
      </c>
      <c r="P1760" s="83">
        <v>11000</v>
      </c>
    </row>
    <row r="1761" spans="1:16">
      <c r="A1761" s="78">
        <v>1759</v>
      </c>
      <c r="B1761" s="83">
        <v>11500</v>
      </c>
      <c r="C1761" s="83">
        <v>7</v>
      </c>
      <c r="D1761" s="83">
        <f t="shared" si="157"/>
        <v>51654</v>
      </c>
      <c r="E1761" s="83">
        <f t="shared" si="160"/>
        <v>52130</v>
      </c>
      <c r="F1761" s="83"/>
      <c r="G1761" s="83">
        <v>100113</v>
      </c>
      <c r="H1761" s="83" t="s">
        <v>248</v>
      </c>
      <c r="I1761" s="83"/>
      <c r="J1761" s="83" t="s">
        <v>244</v>
      </c>
      <c r="K1761" s="83">
        <v>1</v>
      </c>
      <c r="L1761" s="83" t="s">
        <v>175</v>
      </c>
      <c r="M1761" s="83">
        <f>ROUNDDOWN(VLOOKUP(J1761,Sheet1!$N$32:$O$37,2,0)*1000,0)</f>
        <v>476</v>
      </c>
      <c r="N1761" s="83"/>
      <c r="O1761" s="83">
        <f t="shared" si="159"/>
        <v>0.00502125594691815</v>
      </c>
      <c r="P1761" s="83">
        <v>11000</v>
      </c>
    </row>
    <row r="1762" spans="1:16">
      <c r="A1762" s="78">
        <v>1760</v>
      </c>
      <c r="B1762" s="83">
        <v>11500</v>
      </c>
      <c r="C1762" s="83">
        <v>7</v>
      </c>
      <c r="D1762" s="83">
        <f t="shared" si="157"/>
        <v>52130</v>
      </c>
      <c r="E1762" s="83">
        <f t="shared" si="160"/>
        <v>52606</v>
      </c>
      <c r="F1762" s="83"/>
      <c r="G1762" s="83">
        <v>100114</v>
      </c>
      <c r="H1762" s="83" t="s">
        <v>249</v>
      </c>
      <c r="I1762" s="83"/>
      <c r="J1762" s="83" t="s">
        <v>244</v>
      </c>
      <c r="K1762" s="83">
        <v>1</v>
      </c>
      <c r="L1762" s="83" t="s">
        <v>175</v>
      </c>
      <c r="M1762" s="83">
        <f>ROUNDDOWN(VLOOKUP(J1762,Sheet1!$N$32:$O$37,2,0)*1000,0)</f>
        <v>476</v>
      </c>
      <c r="N1762" s="83"/>
      <c r="O1762" s="83">
        <f t="shared" si="159"/>
        <v>0.00502125594691815</v>
      </c>
      <c r="P1762" s="83">
        <v>11000</v>
      </c>
    </row>
    <row r="1763" spans="1:16">
      <c r="A1763" s="78">
        <v>1761</v>
      </c>
      <c r="B1763" s="83">
        <v>11500</v>
      </c>
      <c r="C1763" s="83">
        <v>7</v>
      </c>
      <c r="D1763" s="83">
        <f t="shared" si="157"/>
        <v>52606</v>
      </c>
      <c r="E1763" s="83">
        <f t="shared" si="160"/>
        <v>53082</v>
      </c>
      <c r="F1763" s="83"/>
      <c r="G1763" s="83">
        <v>100116</v>
      </c>
      <c r="H1763" s="83" t="s">
        <v>250</v>
      </c>
      <c r="I1763" s="83"/>
      <c r="J1763" s="83" t="s">
        <v>244</v>
      </c>
      <c r="K1763" s="83">
        <v>1</v>
      </c>
      <c r="L1763" s="83" t="s">
        <v>175</v>
      </c>
      <c r="M1763" s="83">
        <f>ROUNDDOWN(VLOOKUP(J1763,Sheet1!$N$32:$O$37,2,0)*1000,0)</f>
        <v>476</v>
      </c>
      <c r="N1763" s="83"/>
      <c r="O1763" s="83">
        <f t="shared" si="159"/>
        <v>0.00502125594691815</v>
      </c>
      <c r="P1763" s="83">
        <v>11000</v>
      </c>
    </row>
    <row r="1764" spans="1:16">
      <c r="A1764" s="78">
        <v>1762</v>
      </c>
      <c r="B1764" s="83">
        <v>11500</v>
      </c>
      <c r="C1764" s="83">
        <v>7</v>
      </c>
      <c r="D1764" s="83">
        <f t="shared" si="157"/>
        <v>53082</v>
      </c>
      <c r="E1764" s="83">
        <f t="shared" si="160"/>
        <v>53558</v>
      </c>
      <c r="F1764" s="83"/>
      <c r="G1764" s="83">
        <v>100120</v>
      </c>
      <c r="H1764" s="83" t="s">
        <v>251</v>
      </c>
      <c r="I1764" s="83"/>
      <c r="J1764" s="83" t="s">
        <v>244</v>
      </c>
      <c r="K1764" s="83">
        <v>1</v>
      </c>
      <c r="L1764" s="83" t="s">
        <v>175</v>
      </c>
      <c r="M1764" s="83">
        <f>ROUNDDOWN(VLOOKUP(J1764,Sheet1!$N$32:$O$37,2,0)*1000,0)</f>
        <v>476</v>
      </c>
      <c r="N1764" s="83"/>
      <c r="O1764" s="83">
        <f t="shared" si="159"/>
        <v>0.00502125594691815</v>
      </c>
      <c r="P1764" s="83">
        <v>11000</v>
      </c>
    </row>
    <row r="1765" spans="1:16">
      <c r="A1765" s="78">
        <v>1763</v>
      </c>
      <c r="B1765" s="83">
        <v>11500</v>
      </c>
      <c r="C1765" s="83">
        <v>7</v>
      </c>
      <c r="D1765" s="83">
        <f t="shared" si="157"/>
        <v>53558</v>
      </c>
      <c r="E1765" s="83">
        <f t="shared" si="160"/>
        <v>54034</v>
      </c>
      <c r="F1765" s="83"/>
      <c r="G1765" s="83">
        <v>100125</v>
      </c>
      <c r="H1765" s="83" t="s">
        <v>252</v>
      </c>
      <c r="I1765" s="83"/>
      <c r="J1765" s="83" t="s">
        <v>244</v>
      </c>
      <c r="K1765" s="83">
        <v>1</v>
      </c>
      <c r="L1765" s="83" t="s">
        <v>175</v>
      </c>
      <c r="M1765" s="83">
        <f>ROUNDDOWN(VLOOKUP(J1765,Sheet1!$N$32:$O$37,2,0)*1000,0)</f>
        <v>476</v>
      </c>
      <c r="N1765" s="83"/>
      <c r="O1765" s="83">
        <f t="shared" si="159"/>
        <v>0.00502125594691815</v>
      </c>
      <c r="P1765" s="83">
        <v>11000</v>
      </c>
    </row>
    <row r="1766" spans="1:16">
      <c r="A1766" s="78">
        <v>1764</v>
      </c>
      <c r="B1766" s="83">
        <v>11500</v>
      </c>
      <c r="C1766" s="83">
        <v>7</v>
      </c>
      <c r="D1766" s="83">
        <f t="shared" si="157"/>
        <v>54034</v>
      </c>
      <c r="E1766" s="83">
        <f t="shared" si="160"/>
        <v>54510</v>
      </c>
      <c r="F1766" s="83"/>
      <c r="G1766" s="83">
        <v>100126</v>
      </c>
      <c r="H1766" s="83" t="s">
        <v>253</v>
      </c>
      <c r="I1766" s="83"/>
      <c r="J1766" s="83" t="s">
        <v>244</v>
      </c>
      <c r="K1766" s="83">
        <v>1</v>
      </c>
      <c r="L1766" s="83" t="s">
        <v>175</v>
      </c>
      <c r="M1766" s="83">
        <f>ROUNDDOWN(VLOOKUP(J1766,Sheet1!$N$32:$O$37,2,0)*1000,0)</f>
        <v>476</v>
      </c>
      <c r="N1766" s="83"/>
      <c r="O1766" s="83">
        <f t="shared" si="159"/>
        <v>0.00502125594691815</v>
      </c>
      <c r="P1766" s="83">
        <v>11000</v>
      </c>
    </row>
    <row r="1767" spans="1:16">
      <c r="A1767" s="78">
        <v>1765</v>
      </c>
      <c r="B1767" s="83">
        <v>11500</v>
      </c>
      <c r="C1767" s="83">
        <v>7</v>
      </c>
      <c r="D1767" s="83">
        <f t="shared" si="157"/>
        <v>54510</v>
      </c>
      <c r="E1767" s="83">
        <f t="shared" si="160"/>
        <v>54986</v>
      </c>
      <c r="F1767" s="83"/>
      <c r="G1767" s="83">
        <v>100127</v>
      </c>
      <c r="H1767" s="83" t="s">
        <v>254</v>
      </c>
      <c r="I1767" s="83"/>
      <c r="J1767" s="83" t="s">
        <v>244</v>
      </c>
      <c r="K1767" s="83">
        <v>1</v>
      </c>
      <c r="L1767" s="83" t="s">
        <v>175</v>
      </c>
      <c r="M1767" s="83">
        <f>ROUNDDOWN(VLOOKUP(J1767,Sheet1!$N$32:$O$37,2,0)*1000,0)</f>
        <v>476</v>
      </c>
      <c r="N1767" s="83"/>
      <c r="O1767" s="83">
        <f t="shared" si="159"/>
        <v>0.00502125594691815</v>
      </c>
      <c r="P1767" s="83">
        <v>11000</v>
      </c>
    </row>
    <row r="1768" spans="1:16">
      <c r="A1768" s="78">
        <v>1766</v>
      </c>
      <c r="B1768" s="83">
        <v>11500</v>
      </c>
      <c r="C1768" s="83">
        <v>7</v>
      </c>
      <c r="D1768" s="83">
        <f t="shared" si="157"/>
        <v>54986</v>
      </c>
      <c r="E1768" s="83">
        <f t="shared" si="160"/>
        <v>55462</v>
      </c>
      <c r="F1768" s="83"/>
      <c r="G1768" s="83">
        <v>100132</v>
      </c>
      <c r="H1768" s="83" t="s">
        <v>255</v>
      </c>
      <c r="I1768" s="83"/>
      <c r="J1768" s="83" t="s">
        <v>244</v>
      </c>
      <c r="K1768" s="83">
        <v>1</v>
      </c>
      <c r="L1768" s="83" t="s">
        <v>175</v>
      </c>
      <c r="M1768" s="83">
        <f>ROUNDDOWN(VLOOKUP(J1768,Sheet1!$N$32:$O$37,2,0)*1000,0)</f>
        <v>476</v>
      </c>
      <c r="N1768" s="83"/>
      <c r="O1768" s="83">
        <f t="shared" si="159"/>
        <v>0.00502125594691815</v>
      </c>
      <c r="P1768" s="83">
        <v>11000</v>
      </c>
    </row>
    <row r="1769" spans="1:16">
      <c r="A1769" s="78">
        <v>1767</v>
      </c>
      <c r="B1769" s="83">
        <v>11500</v>
      </c>
      <c r="C1769" s="83">
        <v>7</v>
      </c>
      <c r="D1769" s="83">
        <f t="shared" si="157"/>
        <v>55462</v>
      </c>
      <c r="E1769" s="83">
        <f t="shared" si="160"/>
        <v>55938</v>
      </c>
      <c r="F1769" s="83"/>
      <c r="G1769" s="83">
        <v>100133</v>
      </c>
      <c r="H1769" s="83" t="s">
        <v>256</v>
      </c>
      <c r="I1769" s="83"/>
      <c r="J1769" s="83" t="s">
        <v>244</v>
      </c>
      <c r="K1769" s="83">
        <v>1</v>
      </c>
      <c r="L1769" s="83" t="s">
        <v>175</v>
      </c>
      <c r="M1769" s="83">
        <f>ROUNDDOWN(VLOOKUP(J1769,Sheet1!$N$32:$O$37,2,0)*1000,0)</f>
        <v>476</v>
      </c>
      <c r="N1769" s="83"/>
      <c r="O1769" s="83">
        <f t="shared" si="159"/>
        <v>0.00502125594691815</v>
      </c>
      <c r="P1769" s="83">
        <v>11000</v>
      </c>
    </row>
    <row r="1770" spans="1:16">
      <c r="A1770" s="78">
        <v>1768</v>
      </c>
      <c r="B1770" s="83">
        <v>11500</v>
      </c>
      <c r="C1770" s="83">
        <v>7</v>
      </c>
      <c r="D1770" s="83">
        <f t="shared" si="157"/>
        <v>55938</v>
      </c>
      <c r="E1770" s="83">
        <f t="shared" si="160"/>
        <v>56414</v>
      </c>
      <c r="F1770" s="83"/>
      <c r="G1770" s="83">
        <v>100134</v>
      </c>
      <c r="H1770" s="83" t="s">
        <v>257</v>
      </c>
      <c r="I1770" s="83"/>
      <c r="J1770" s="83" t="s">
        <v>244</v>
      </c>
      <c r="K1770" s="83">
        <v>1</v>
      </c>
      <c r="L1770" s="83" t="s">
        <v>175</v>
      </c>
      <c r="M1770" s="83">
        <f>ROUNDDOWN(VLOOKUP(J1770,Sheet1!$N$32:$O$37,2,0)*1000,0)</f>
        <v>476</v>
      </c>
      <c r="N1770" s="83"/>
      <c r="O1770" s="83">
        <f t="shared" ref="O1770:O1789" si="161">(E1770-D1770)/$E$1789</f>
        <v>0.00502125594691815</v>
      </c>
      <c r="P1770" s="83">
        <v>11000</v>
      </c>
    </row>
    <row r="1771" spans="1:16">
      <c r="A1771" s="78">
        <v>1769</v>
      </c>
      <c r="B1771" s="83">
        <v>11500</v>
      </c>
      <c r="C1771" s="83">
        <v>7</v>
      </c>
      <c r="D1771" s="83">
        <f t="shared" si="157"/>
        <v>56414</v>
      </c>
      <c r="E1771" s="83">
        <f t="shared" si="160"/>
        <v>56890</v>
      </c>
      <c r="F1771" s="83"/>
      <c r="G1771" s="83">
        <v>100135</v>
      </c>
      <c r="H1771" s="83" t="s">
        <v>258</v>
      </c>
      <c r="I1771" s="83"/>
      <c r="J1771" s="83" t="s">
        <v>244</v>
      </c>
      <c r="K1771" s="83">
        <v>1</v>
      </c>
      <c r="L1771" s="83" t="s">
        <v>175</v>
      </c>
      <c r="M1771" s="83">
        <f>ROUNDDOWN(VLOOKUP(J1771,Sheet1!$N$32:$O$37,2,0)*1000,0)</f>
        <v>476</v>
      </c>
      <c r="N1771" s="83"/>
      <c r="O1771" s="83">
        <f t="shared" si="161"/>
        <v>0.00502125594691815</v>
      </c>
      <c r="P1771" s="83">
        <v>11000</v>
      </c>
    </row>
    <row r="1772" spans="1:16">
      <c r="A1772" s="78">
        <v>1770</v>
      </c>
      <c r="B1772" s="83">
        <v>11500</v>
      </c>
      <c r="C1772" s="83">
        <v>7</v>
      </c>
      <c r="D1772" s="83">
        <f t="shared" si="157"/>
        <v>56890</v>
      </c>
      <c r="E1772" s="83">
        <f t="shared" si="160"/>
        <v>57366</v>
      </c>
      <c r="F1772" s="83"/>
      <c r="G1772" s="83">
        <v>100136</v>
      </c>
      <c r="H1772" s="83" t="s">
        <v>259</v>
      </c>
      <c r="I1772" s="83"/>
      <c r="J1772" s="83" t="s">
        <v>244</v>
      </c>
      <c r="K1772" s="83">
        <v>1</v>
      </c>
      <c r="L1772" s="83" t="s">
        <v>175</v>
      </c>
      <c r="M1772" s="83">
        <f>ROUNDDOWN(VLOOKUP(J1772,Sheet1!$N$32:$O$37,2,0)*1000,0)</f>
        <v>476</v>
      </c>
      <c r="N1772" s="83"/>
      <c r="O1772" s="83">
        <f t="shared" si="161"/>
        <v>0.00502125594691815</v>
      </c>
      <c r="P1772" s="83">
        <v>11000</v>
      </c>
    </row>
    <row r="1773" spans="1:16">
      <c r="A1773" s="78">
        <v>1771</v>
      </c>
      <c r="B1773" s="83">
        <v>11500</v>
      </c>
      <c r="C1773" s="83">
        <v>7</v>
      </c>
      <c r="D1773" s="83">
        <f t="shared" si="157"/>
        <v>57366</v>
      </c>
      <c r="E1773" s="83">
        <f t="shared" si="160"/>
        <v>57842</v>
      </c>
      <c r="F1773" s="83"/>
      <c r="G1773" s="83">
        <v>100137</v>
      </c>
      <c r="H1773" s="83" t="s">
        <v>260</v>
      </c>
      <c r="I1773" s="83"/>
      <c r="J1773" s="83" t="s">
        <v>244</v>
      </c>
      <c r="K1773" s="83">
        <v>1</v>
      </c>
      <c r="L1773" s="83" t="s">
        <v>175</v>
      </c>
      <c r="M1773" s="83">
        <f>ROUNDDOWN(VLOOKUP(J1773,Sheet1!$N$32:$O$37,2,0)*1000,0)</f>
        <v>476</v>
      </c>
      <c r="N1773" s="83"/>
      <c r="O1773" s="83">
        <f t="shared" si="161"/>
        <v>0.00502125594691815</v>
      </c>
      <c r="P1773" s="83">
        <v>11000</v>
      </c>
    </row>
    <row r="1774" spans="1:16">
      <c r="A1774" s="78">
        <v>1772</v>
      </c>
      <c r="B1774" s="83">
        <v>11500</v>
      </c>
      <c r="C1774" s="83">
        <v>7</v>
      </c>
      <c r="D1774" s="83">
        <f t="shared" si="157"/>
        <v>57842</v>
      </c>
      <c r="E1774" s="83">
        <f t="shared" si="160"/>
        <v>58318</v>
      </c>
      <c r="F1774" s="83"/>
      <c r="G1774" s="83">
        <v>100138</v>
      </c>
      <c r="H1774" s="83" t="s">
        <v>261</v>
      </c>
      <c r="I1774" s="83"/>
      <c r="J1774" s="83" t="s">
        <v>244</v>
      </c>
      <c r="K1774" s="83">
        <v>1</v>
      </c>
      <c r="L1774" s="83" t="s">
        <v>175</v>
      </c>
      <c r="M1774" s="83">
        <f>ROUNDDOWN(VLOOKUP(J1774,Sheet1!$N$32:$O$37,2,0)*1000,0)</f>
        <v>476</v>
      </c>
      <c r="N1774" s="83"/>
      <c r="O1774" s="83">
        <f t="shared" si="161"/>
        <v>0.00502125594691815</v>
      </c>
      <c r="P1774" s="83">
        <v>11000</v>
      </c>
    </row>
    <row r="1775" spans="1:16">
      <c r="A1775" s="78">
        <v>1773</v>
      </c>
      <c r="B1775" s="83">
        <v>11500</v>
      </c>
      <c r="C1775" s="83">
        <v>7</v>
      </c>
      <c r="D1775" s="83">
        <f t="shared" si="157"/>
        <v>58318</v>
      </c>
      <c r="E1775" s="83">
        <f t="shared" si="160"/>
        <v>58794</v>
      </c>
      <c r="F1775" s="83"/>
      <c r="G1775" s="83">
        <v>100144</v>
      </c>
      <c r="H1775" s="83" t="s">
        <v>262</v>
      </c>
      <c r="I1775" s="83"/>
      <c r="J1775" s="83" t="s">
        <v>244</v>
      </c>
      <c r="K1775" s="83">
        <v>1</v>
      </c>
      <c r="L1775" s="83" t="s">
        <v>175</v>
      </c>
      <c r="M1775" s="83">
        <f>ROUNDDOWN(VLOOKUP(J1775,Sheet1!$N$32:$O$37,2,0)*1000,0)</f>
        <v>476</v>
      </c>
      <c r="N1775" s="83"/>
      <c r="O1775" s="83">
        <f t="shared" si="161"/>
        <v>0.00502125594691815</v>
      </c>
      <c r="P1775" s="83">
        <v>11000</v>
      </c>
    </row>
    <row r="1776" spans="1:16">
      <c r="A1776" s="78">
        <v>1774</v>
      </c>
      <c r="B1776" s="83">
        <v>11500</v>
      </c>
      <c r="C1776" s="83">
        <v>7</v>
      </c>
      <c r="D1776" s="83">
        <f t="shared" si="157"/>
        <v>58794</v>
      </c>
      <c r="E1776" s="83">
        <f t="shared" si="160"/>
        <v>59270</v>
      </c>
      <c r="F1776" s="83"/>
      <c r="G1776" s="83">
        <v>100148</v>
      </c>
      <c r="H1776" s="83" t="s">
        <v>263</v>
      </c>
      <c r="I1776" s="83"/>
      <c r="J1776" s="83" t="s">
        <v>244</v>
      </c>
      <c r="K1776" s="83">
        <v>1</v>
      </c>
      <c r="L1776" s="83" t="s">
        <v>175</v>
      </c>
      <c r="M1776" s="83">
        <f>ROUNDDOWN(VLOOKUP(J1776,Sheet1!$N$32:$O$37,2,0)*1000,0)</f>
        <v>476</v>
      </c>
      <c r="N1776" s="83"/>
      <c r="O1776" s="83">
        <f t="shared" si="161"/>
        <v>0.00502125594691815</v>
      </c>
      <c r="P1776" s="83">
        <v>11000</v>
      </c>
    </row>
    <row r="1777" spans="1:16">
      <c r="A1777" s="78">
        <v>1775</v>
      </c>
      <c r="B1777" s="83">
        <v>11500</v>
      </c>
      <c r="C1777" s="83">
        <v>7</v>
      </c>
      <c r="D1777" s="83">
        <f t="shared" si="157"/>
        <v>59270</v>
      </c>
      <c r="E1777" s="83">
        <f t="shared" si="160"/>
        <v>59746</v>
      </c>
      <c r="F1777" s="83"/>
      <c r="G1777" s="83">
        <v>100139</v>
      </c>
      <c r="H1777" s="83" t="s">
        <v>264</v>
      </c>
      <c r="I1777" s="83"/>
      <c r="J1777" s="83" t="s">
        <v>244</v>
      </c>
      <c r="K1777" s="83">
        <v>1</v>
      </c>
      <c r="L1777" s="83" t="s">
        <v>175</v>
      </c>
      <c r="M1777" s="83">
        <f>ROUNDDOWN(VLOOKUP(J1777,Sheet1!$N$32:$O$37,2,0)*1000,0)</f>
        <v>476</v>
      </c>
      <c r="N1777" s="83"/>
      <c r="O1777" s="83">
        <f t="shared" si="161"/>
        <v>0.00502125594691815</v>
      </c>
      <c r="P1777" s="83">
        <v>11000</v>
      </c>
    </row>
    <row r="1778" spans="1:16">
      <c r="A1778" s="78">
        <v>1776</v>
      </c>
      <c r="B1778" s="83">
        <v>11500</v>
      </c>
      <c r="C1778" s="83">
        <v>2</v>
      </c>
      <c r="D1778" s="83">
        <f t="shared" si="157"/>
        <v>59746</v>
      </c>
      <c r="E1778" s="83">
        <f t="shared" si="160"/>
        <v>62927</v>
      </c>
      <c r="F1778" s="83"/>
      <c r="G1778" s="83">
        <v>907009</v>
      </c>
      <c r="H1778" s="83" t="s">
        <v>265</v>
      </c>
      <c r="I1778" s="83"/>
      <c r="J1778" s="83" t="s">
        <v>266</v>
      </c>
      <c r="K1778" s="83">
        <v>1</v>
      </c>
      <c r="L1778" s="83" t="s">
        <v>175</v>
      </c>
      <c r="M1778" s="83">
        <f>ROUNDDOWN(VLOOKUP(J1778,Sheet1!$N$32:$O$37,2,0)*1000,0)</f>
        <v>3181</v>
      </c>
      <c r="N1778" s="83"/>
      <c r="O1778" s="83">
        <f t="shared" si="161"/>
        <v>0.0335559142166946</v>
      </c>
      <c r="P1778" s="83">
        <v>11000</v>
      </c>
    </row>
    <row r="1779" spans="1:16">
      <c r="A1779" s="78">
        <v>1777</v>
      </c>
      <c r="B1779" s="83">
        <v>11500</v>
      </c>
      <c r="C1779" s="83">
        <v>2</v>
      </c>
      <c r="D1779" s="83">
        <f t="shared" si="157"/>
        <v>62927</v>
      </c>
      <c r="E1779" s="83">
        <f t="shared" si="160"/>
        <v>66108</v>
      </c>
      <c r="F1779" s="83"/>
      <c r="G1779" s="83">
        <v>907010</v>
      </c>
      <c r="H1779" s="83" t="s">
        <v>267</v>
      </c>
      <c r="I1779" s="83"/>
      <c r="J1779" s="83" t="s">
        <v>266</v>
      </c>
      <c r="K1779" s="83">
        <v>1</v>
      </c>
      <c r="L1779" s="83" t="s">
        <v>175</v>
      </c>
      <c r="M1779" s="83">
        <f>ROUNDDOWN(VLOOKUP(J1779,Sheet1!$N$32:$O$37,2,0)*1000,0)</f>
        <v>3181</v>
      </c>
      <c r="N1779" s="83"/>
      <c r="O1779" s="83">
        <f t="shared" si="161"/>
        <v>0.0335559142166946</v>
      </c>
      <c r="P1779" s="83">
        <v>11000</v>
      </c>
    </row>
    <row r="1780" spans="1:16">
      <c r="A1780" s="78">
        <v>1778</v>
      </c>
      <c r="B1780" s="83">
        <v>11500</v>
      </c>
      <c r="C1780" s="83">
        <v>2</v>
      </c>
      <c r="D1780" s="83">
        <f t="shared" si="157"/>
        <v>66108</v>
      </c>
      <c r="E1780" s="83">
        <f t="shared" si="160"/>
        <v>69289</v>
      </c>
      <c r="F1780" s="83"/>
      <c r="G1780" s="83">
        <v>907011</v>
      </c>
      <c r="H1780" s="83" t="s">
        <v>268</v>
      </c>
      <c r="I1780" s="83"/>
      <c r="J1780" s="83" t="s">
        <v>266</v>
      </c>
      <c r="K1780" s="83">
        <v>1</v>
      </c>
      <c r="L1780" s="83" t="s">
        <v>175</v>
      </c>
      <c r="M1780" s="83">
        <f>ROUNDDOWN(VLOOKUP(J1780,Sheet1!$N$32:$O$37,2,0)*1000,0)</f>
        <v>3181</v>
      </c>
      <c r="N1780" s="83"/>
      <c r="O1780" s="83">
        <f t="shared" si="161"/>
        <v>0.0335559142166946</v>
      </c>
      <c r="P1780" s="83">
        <v>11000</v>
      </c>
    </row>
    <row r="1781" spans="1:16">
      <c r="A1781" s="78">
        <v>1779</v>
      </c>
      <c r="B1781" s="83">
        <v>11500</v>
      </c>
      <c r="C1781" s="83">
        <v>2</v>
      </c>
      <c r="D1781" s="83">
        <f t="shared" si="157"/>
        <v>69289</v>
      </c>
      <c r="E1781" s="83">
        <f t="shared" si="160"/>
        <v>72470</v>
      </c>
      <c r="F1781" s="83"/>
      <c r="G1781" s="83">
        <v>907012</v>
      </c>
      <c r="H1781" s="83" t="s">
        <v>269</v>
      </c>
      <c r="I1781" s="83"/>
      <c r="J1781" s="83" t="s">
        <v>266</v>
      </c>
      <c r="K1781" s="83">
        <v>1</v>
      </c>
      <c r="L1781" s="83" t="s">
        <v>175</v>
      </c>
      <c r="M1781" s="83">
        <f>ROUNDDOWN(VLOOKUP(J1781,Sheet1!$N$32:$O$37,2,0)*1000,0)</f>
        <v>3181</v>
      </c>
      <c r="N1781" s="83"/>
      <c r="O1781" s="83">
        <f t="shared" si="161"/>
        <v>0.0335559142166946</v>
      </c>
      <c r="P1781" s="83">
        <v>11000</v>
      </c>
    </row>
    <row r="1782" spans="1:16">
      <c r="A1782" s="78">
        <v>1780</v>
      </c>
      <c r="B1782" s="83">
        <v>11500</v>
      </c>
      <c r="C1782" s="83">
        <v>2</v>
      </c>
      <c r="D1782" s="83">
        <f t="shared" si="157"/>
        <v>72470</v>
      </c>
      <c r="E1782" s="83">
        <f t="shared" si="160"/>
        <v>75651</v>
      </c>
      <c r="F1782" s="83"/>
      <c r="G1782" s="83">
        <v>907014</v>
      </c>
      <c r="H1782" s="83" t="s">
        <v>270</v>
      </c>
      <c r="I1782" s="83"/>
      <c r="J1782" s="83" t="s">
        <v>266</v>
      </c>
      <c r="K1782" s="83">
        <v>1</v>
      </c>
      <c r="L1782" s="83" t="s">
        <v>175</v>
      </c>
      <c r="M1782" s="83">
        <f>ROUNDDOWN(VLOOKUP(J1782,Sheet1!$N$32:$O$37,2,0)*1000,0)</f>
        <v>3181</v>
      </c>
      <c r="N1782" s="83"/>
      <c r="O1782" s="83">
        <f t="shared" si="161"/>
        <v>0.0335559142166946</v>
      </c>
      <c r="P1782" s="83">
        <v>11000</v>
      </c>
    </row>
    <row r="1783" spans="1:16">
      <c r="A1783" s="78">
        <v>1781</v>
      </c>
      <c r="B1783" s="83">
        <v>11500</v>
      </c>
      <c r="C1783" s="83">
        <v>2</v>
      </c>
      <c r="D1783" s="83">
        <f t="shared" si="157"/>
        <v>75651</v>
      </c>
      <c r="E1783" s="83">
        <f t="shared" si="160"/>
        <v>78832</v>
      </c>
      <c r="F1783" s="83"/>
      <c r="G1783" s="83">
        <v>907017</v>
      </c>
      <c r="H1783" s="83" t="s">
        <v>271</v>
      </c>
      <c r="I1783" s="83"/>
      <c r="J1783" s="83" t="s">
        <v>266</v>
      </c>
      <c r="K1783" s="83">
        <v>1</v>
      </c>
      <c r="L1783" s="83" t="s">
        <v>175</v>
      </c>
      <c r="M1783" s="83">
        <f>ROUNDDOWN(VLOOKUP(J1783,Sheet1!$N$32:$O$37,2,0)*1000,0)</f>
        <v>3181</v>
      </c>
      <c r="N1783" s="83"/>
      <c r="O1783" s="83">
        <f t="shared" si="161"/>
        <v>0.0335559142166946</v>
      </c>
      <c r="P1783" s="83">
        <v>11000</v>
      </c>
    </row>
    <row r="1784" spans="1:16">
      <c r="A1784" s="78">
        <v>1782</v>
      </c>
      <c r="B1784" s="83">
        <v>11500</v>
      </c>
      <c r="C1784" s="83">
        <v>2</v>
      </c>
      <c r="D1784" s="83">
        <f t="shared" ref="D1784:D1847" si="162">E1783</f>
        <v>78832</v>
      </c>
      <c r="E1784" s="83">
        <f t="shared" si="160"/>
        <v>82013</v>
      </c>
      <c r="F1784" s="83"/>
      <c r="G1784" s="83">
        <v>907018</v>
      </c>
      <c r="H1784" s="83" t="s">
        <v>272</v>
      </c>
      <c r="I1784" s="83"/>
      <c r="J1784" s="83" t="s">
        <v>266</v>
      </c>
      <c r="K1784" s="83">
        <v>1</v>
      </c>
      <c r="L1784" s="83" t="s">
        <v>175</v>
      </c>
      <c r="M1784" s="83">
        <f>ROUNDDOWN(VLOOKUP(J1784,Sheet1!$N$32:$O$37,2,0)*1000,0)</f>
        <v>3181</v>
      </c>
      <c r="N1784" s="83"/>
      <c r="O1784" s="83">
        <f t="shared" si="161"/>
        <v>0.0335559142166946</v>
      </c>
      <c r="P1784" s="83">
        <v>11000</v>
      </c>
    </row>
    <row r="1785" spans="1:16">
      <c r="A1785" s="78">
        <v>1783</v>
      </c>
      <c r="B1785" s="83">
        <v>11500</v>
      </c>
      <c r="C1785" s="83">
        <v>2</v>
      </c>
      <c r="D1785" s="83">
        <f t="shared" si="162"/>
        <v>82013</v>
      </c>
      <c r="E1785" s="83">
        <f t="shared" si="160"/>
        <v>85194</v>
      </c>
      <c r="F1785" s="83"/>
      <c r="G1785" s="83">
        <v>907033</v>
      </c>
      <c r="H1785" s="83" t="s">
        <v>273</v>
      </c>
      <c r="I1785" s="83"/>
      <c r="J1785" s="83" t="s">
        <v>266</v>
      </c>
      <c r="K1785" s="83">
        <v>1</v>
      </c>
      <c r="L1785" s="83" t="s">
        <v>175</v>
      </c>
      <c r="M1785" s="83">
        <f>ROUNDDOWN(VLOOKUP(J1785,Sheet1!$N$32:$O$37,2,0)*1000,0)</f>
        <v>3181</v>
      </c>
      <c r="N1785" s="83"/>
      <c r="O1785" s="83">
        <f t="shared" si="161"/>
        <v>0.0335559142166946</v>
      </c>
      <c r="P1785" s="83">
        <v>11000</v>
      </c>
    </row>
    <row r="1786" spans="1:16">
      <c r="A1786" s="78">
        <v>1784</v>
      </c>
      <c r="B1786" s="83">
        <v>11500</v>
      </c>
      <c r="C1786" s="83">
        <v>2</v>
      </c>
      <c r="D1786" s="83">
        <f t="shared" si="162"/>
        <v>85194</v>
      </c>
      <c r="E1786" s="83">
        <f t="shared" si="160"/>
        <v>88375</v>
      </c>
      <c r="F1786" s="83"/>
      <c r="G1786" s="83">
        <v>907035</v>
      </c>
      <c r="H1786" s="83" t="s">
        <v>274</v>
      </c>
      <c r="I1786" s="83"/>
      <c r="J1786" s="83" t="s">
        <v>266</v>
      </c>
      <c r="K1786" s="83">
        <v>1</v>
      </c>
      <c r="L1786" s="83" t="s">
        <v>175</v>
      </c>
      <c r="M1786" s="83">
        <f>ROUNDDOWN(VLOOKUP(J1786,Sheet1!$N$32:$O$37,2,0)*1000,0)</f>
        <v>3181</v>
      </c>
      <c r="N1786" s="83"/>
      <c r="O1786" s="83">
        <f t="shared" si="161"/>
        <v>0.0335559142166946</v>
      </c>
      <c r="P1786" s="83">
        <v>11000</v>
      </c>
    </row>
    <row r="1787" spans="1:16">
      <c r="A1787" s="78">
        <v>1785</v>
      </c>
      <c r="B1787" s="83">
        <v>11500</v>
      </c>
      <c r="C1787" s="83">
        <v>2</v>
      </c>
      <c r="D1787" s="83">
        <f t="shared" si="162"/>
        <v>88375</v>
      </c>
      <c r="E1787" s="83">
        <f t="shared" si="160"/>
        <v>91556</v>
      </c>
      <c r="F1787" s="83"/>
      <c r="G1787" s="83">
        <v>907036</v>
      </c>
      <c r="H1787" s="83" t="s">
        <v>275</v>
      </c>
      <c r="I1787" s="83"/>
      <c r="J1787" s="83" t="s">
        <v>266</v>
      </c>
      <c r="K1787" s="83">
        <v>1</v>
      </c>
      <c r="L1787" s="83" t="s">
        <v>175</v>
      </c>
      <c r="M1787" s="83">
        <f>ROUNDDOWN(VLOOKUP(J1787,Sheet1!$N$32:$O$37,2,0)*1000,0)</f>
        <v>3181</v>
      </c>
      <c r="N1787" s="83"/>
      <c r="O1787" s="83">
        <f t="shared" si="161"/>
        <v>0.0335559142166946</v>
      </c>
      <c r="P1787" s="83">
        <v>11000</v>
      </c>
    </row>
    <row r="1788" spans="1:16">
      <c r="A1788" s="78">
        <v>1786</v>
      </c>
      <c r="B1788" s="83">
        <v>11500</v>
      </c>
      <c r="C1788" s="83">
        <v>2</v>
      </c>
      <c r="D1788" s="83">
        <f t="shared" si="162"/>
        <v>91556</v>
      </c>
      <c r="E1788" s="83">
        <f t="shared" si="160"/>
        <v>94737</v>
      </c>
      <c r="F1788" s="83"/>
      <c r="G1788" s="83">
        <v>907038</v>
      </c>
      <c r="H1788" s="83" t="s">
        <v>276</v>
      </c>
      <c r="I1788" s="83"/>
      <c r="J1788" s="83" t="s">
        <v>266</v>
      </c>
      <c r="K1788" s="83">
        <v>1</v>
      </c>
      <c r="L1788" s="83" t="s">
        <v>175</v>
      </c>
      <c r="M1788" s="83">
        <f>ROUNDDOWN(VLOOKUP(J1788,Sheet1!$N$32:$O$37,2,0)*1000,0)</f>
        <v>3181</v>
      </c>
      <c r="N1788" s="83"/>
      <c r="O1788" s="83">
        <f t="shared" si="161"/>
        <v>0.0335559142166946</v>
      </c>
      <c r="P1788" s="83">
        <v>11000</v>
      </c>
    </row>
    <row r="1789" spans="1:16">
      <c r="A1789" s="78">
        <v>1787</v>
      </c>
      <c r="B1789" s="83">
        <v>11500</v>
      </c>
      <c r="C1789" s="83">
        <v>6</v>
      </c>
      <c r="D1789" s="83">
        <f t="shared" si="162"/>
        <v>94737</v>
      </c>
      <c r="E1789" s="83">
        <f t="shared" si="160"/>
        <v>94797</v>
      </c>
      <c r="F1789" s="83"/>
      <c r="G1789" s="83" t="s">
        <v>277</v>
      </c>
      <c r="H1789" s="83" t="s">
        <v>278</v>
      </c>
      <c r="I1789" s="83"/>
      <c r="J1789" s="83" t="s">
        <v>279</v>
      </c>
      <c r="K1789" s="83">
        <v>1</v>
      </c>
      <c r="L1789" s="83" t="s">
        <v>175</v>
      </c>
      <c r="M1789" s="83">
        <f>ROUNDDOWN(VLOOKUP(J1789,Sheet1!$N$32:$O$37,2,0)*1000,0)</f>
        <v>60</v>
      </c>
      <c r="N1789" s="83"/>
      <c r="O1789" s="83">
        <f t="shared" si="161"/>
        <v>0.000632931421880439</v>
      </c>
      <c r="P1789" s="83">
        <v>11000</v>
      </c>
    </row>
    <row r="1790" spans="1:16">
      <c r="A1790" s="78">
        <v>1788</v>
      </c>
      <c r="B1790" s="83">
        <v>11500</v>
      </c>
      <c r="C1790" s="83">
        <v>6</v>
      </c>
      <c r="D1790" s="83">
        <f t="shared" si="162"/>
        <v>94797</v>
      </c>
      <c r="E1790" s="83">
        <f t="shared" si="160"/>
        <v>94857</v>
      </c>
      <c r="F1790" s="83"/>
      <c r="G1790" s="83" t="s">
        <v>280</v>
      </c>
      <c r="H1790" s="83" t="s">
        <v>281</v>
      </c>
      <c r="I1790" s="83"/>
      <c r="J1790" s="83" t="s">
        <v>279</v>
      </c>
      <c r="K1790" s="83">
        <v>1</v>
      </c>
      <c r="L1790" s="83" t="s">
        <v>175</v>
      </c>
      <c r="M1790" s="83">
        <f>ROUNDDOWN(VLOOKUP(J1790,Sheet1!$N$32:$O$37,2,0)*1000,0)</f>
        <v>60</v>
      </c>
      <c r="N1790" s="83"/>
      <c r="O1790" s="83">
        <f t="shared" ref="O1790:O1853" si="163">(E1790-D1790)/$E$438</f>
        <v>0.000659145088819801</v>
      </c>
      <c r="P1790" s="83">
        <v>11001</v>
      </c>
    </row>
    <row r="1791" spans="1:16">
      <c r="A1791" s="78">
        <v>1789</v>
      </c>
      <c r="B1791" s="83">
        <v>11500</v>
      </c>
      <c r="C1791" s="83">
        <v>6</v>
      </c>
      <c r="D1791" s="83">
        <f t="shared" si="162"/>
        <v>94857</v>
      </c>
      <c r="E1791" s="83">
        <f t="shared" si="160"/>
        <v>94917</v>
      </c>
      <c r="F1791" s="83"/>
      <c r="G1791" s="83" t="s">
        <v>282</v>
      </c>
      <c r="H1791" s="83" t="s">
        <v>283</v>
      </c>
      <c r="I1791" s="83"/>
      <c r="J1791" s="83" t="s">
        <v>279</v>
      </c>
      <c r="K1791" s="83">
        <v>1</v>
      </c>
      <c r="L1791" s="83" t="s">
        <v>175</v>
      </c>
      <c r="M1791" s="83">
        <f>ROUNDDOWN(VLOOKUP(J1791,Sheet1!$N$32:$O$37,2,0)*1000,0)</f>
        <v>60</v>
      </c>
      <c r="N1791" s="83"/>
      <c r="O1791" s="83">
        <f t="shared" si="163"/>
        <v>0.000659145088819801</v>
      </c>
      <c r="P1791" s="83">
        <v>11002</v>
      </c>
    </row>
    <row r="1792" spans="1:16">
      <c r="A1792" s="78">
        <v>1790</v>
      </c>
      <c r="B1792" s="83">
        <v>11500</v>
      </c>
      <c r="C1792" s="83">
        <v>6</v>
      </c>
      <c r="D1792" s="83">
        <f t="shared" si="162"/>
        <v>94917</v>
      </c>
      <c r="E1792" s="83">
        <f t="shared" si="160"/>
        <v>94977</v>
      </c>
      <c r="F1792" s="83"/>
      <c r="G1792" s="83" t="s">
        <v>284</v>
      </c>
      <c r="H1792" s="83" t="s">
        <v>285</v>
      </c>
      <c r="I1792" s="83"/>
      <c r="J1792" s="83" t="s">
        <v>279</v>
      </c>
      <c r="K1792" s="83">
        <v>1</v>
      </c>
      <c r="L1792" s="83" t="s">
        <v>175</v>
      </c>
      <c r="M1792" s="83">
        <f>ROUNDDOWN(VLOOKUP(J1792,Sheet1!$N$32:$O$37,2,0)*1000,0)</f>
        <v>60</v>
      </c>
      <c r="N1792" s="83"/>
      <c r="O1792" s="83">
        <f t="shared" si="163"/>
        <v>0.000659145088819801</v>
      </c>
      <c r="P1792" s="83">
        <v>11003</v>
      </c>
    </row>
    <row r="1793" spans="1:16">
      <c r="A1793" s="78">
        <v>1791</v>
      </c>
      <c r="B1793" s="83">
        <v>11500</v>
      </c>
      <c r="C1793" s="83">
        <v>6</v>
      </c>
      <c r="D1793" s="83">
        <f t="shared" si="162"/>
        <v>94977</v>
      </c>
      <c r="E1793" s="83">
        <f t="shared" si="160"/>
        <v>95037</v>
      </c>
      <c r="F1793" s="83"/>
      <c r="G1793" s="83" t="s">
        <v>286</v>
      </c>
      <c r="H1793" s="83" t="s">
        <v>287</v>
      </c>
      <c r="I1793" s="83"/>
      <c r="J1793" s="83" t="s">
        <v>279</v>
      </c>
      <c r="K1793" s="83">
        <v>1</v>
      </c>
      <c r="L1793" s="83" t="s">
        <v>175</v>
      </c>
      <c r="M1793" s="83">
        <f>ROUNDDOWN(VLOOKUP(J1793,Sheet1!$N$32:$O$37,2,0)*1000,0)</f>
        <v>60</v>
      </c>
      <c r="N1793" s="83"/>
      <c r="O1793" s="83">
        <f t="shared" si="163"/>
        <v>0.000659145088819801</v>
      </c>
      <c r="P1793" s="83">
        <v>11004</v>
      </c>
    </row>
    <row r="1794" spans="1:16">
      <c r="A1794" s="78">
        <v>1792</v>
      </c>
      <c r="B1794" s="83">
        <v>11500</v>
      </c>
      <c r="C1794" s="83">
        <v>6</v>
      </c>
      <c r="D1794" s="83">
        <f t="shared" si="162"/>
        <v>95037</v>
      </c>
      <c r="E1794" s="83">
        <f t="shared" si="160"/>
        <v>95097</v>
      </c>
      <c r="F1794" s="83"/>
      <c r="G1794" s="83" t="s">
        <v>288</v>
      </c>
      <c r="H1794" s="83" t="s">
        <v>289</v>
      </c>
      <c r="I1794" s="83"/>
      <c r="J1794" s="83" t="s">
        <v>279</v>
      </c>
      <c r="K1794" s="83">
        <v>1</v>
      </c>
      <c r="L1794" s="83" t="s">
        <v>175</v>
      </c>
      <c r="M1794" s="83">
        <f>ROUNDDOWN(VLOOKUP(J1794,Sheet1!$N$32:$O$37,2,0)*1000,0)</f>
        <v>60</v>
      </c>
      <c r="N1794" s="83"/>
      <c r="O1794" s="83">
        <f t="shared" si="163"/>
        <v>0.000659145088819801</v>
      </c>
      <c r="P1794" s="83">
        <v>11005</v>
      </c>
    </row>
    <row r="1795" spans="1:16">
      <c r="A1795" s="78">
        <v>1793</v>
      </c>
      <c r="B1795" s="83">
        <v>11500</v>
      </c>
      <c r="C1795" s="83">
        <v>6</v>
      </c>
      <c r="D1795" s="83">
        <f t="shared" si="162"/>
        <v>95097</v>
      </c>
      <c r="E1795" s="83">
        <f t="shared" si="160"/>
        <v>95157</v>
      </c>
      <c r="F1795" s="83"/>
      <c r="G1795" s="83" t="s">
        <v>290</v>
      </c>
      <c r="H1795" s="83" t="s">
        <v>291</v>
      </c>
      <c r="I1795" s="83"/>
      <c r="J1795" s="83" t="s">
        <v>279</v>
      </c>
      <c r="K1795" s="83">
        <v>1</v>
      </c>
      <c r="L1795" s="83" t="s">
        <v>175</v>
      </c>
      <c r="M1795" s="83">
        <f>ROUNDDOWN(VLOOKUP(J1795,Sheet1!$N$32:$O$37,2,0)*1000,0)</f>
        <v>60</v>
      </c>
      <c r="N1795" s="83"/>
      <c r="O1795" s="83">
        <f t="shared" si="163"/>
        <v>0.000659145088819801</v>
      </c>
      <c r="P1795" s="83">
        <v>11006</v>
      </c>
    </row>
    <row r="1796" spans="1:16">
      <c r="A1796" s="78">
        <v>1794</v>
      </c>
      <c r="B1796" s="83">
        <v>11500</v>
      </c>
      <c r="C1796" s="83">
        <v>6</v>
      </c>
      <c r="D1796" s="83">
        <f t="shared" si="162"/>
        <v>95157</v>
      </c>
      <c r="E1796" s="83">
        <f t="shared" si="160"/>
        <v>95217</v>
      </c>
      <c r="F1796" s="83"/>
      <c r="G1796" s="83" t="s">
        <v>292</v>
      </c>
      <c r="H1796" s="83" t="s">
        <v>293</v>
      </c>
      <c r="I1796" s="83"/>
      <c r="J1796" s="83" t="s">
        <v>279</v>
      </c>
      <c r="K1796" s="83">
        <v>1</v>
      </c>
      <c r="L1796" s="83" t="s">
        <v>175</v>
      </c>
      <c r="M1796" s="83">
        <f>ROUNDDOWN(VLOOKUP(J1796,Sheet1!$N$32:$O$37,2,0)*1000,0)</f>
        <v>60</v>
      </c>
      <c r="N1796" s="83"/>
      <c r="O1796" s="83">
        <f t="shared" si="163"/>
        <v>0.000659145088819801</v>
      </c>
      <c r="P1796" s="83">
        <v>11007</v>
      </c>
    </row>
    <row r="1797" spans="1:16">
      <c r="A1797" s="78">
        <v>1795</v>
      </c>
      <c r="B1797" s="83">
        <v>11500</v>
      </c>
      <c r="C1797" s="83">
        <v>6</v>
      </c>
      <c r="D1797" s="83">
        <f t="shared" si="162"/>
        <v>95217</v>
      </c>
      <c r="E1797" s="83">
        <f t="shared" si="160"/>
        <v>95277</v>
      </c>
      <c r="F1797" s="83"/>
      <c r="G1797" s="83" t="s">
        <v>294</v>
      </c>
      <c r="H1797" s="83" t="s">
        <v>295</v>
      </c>
      <c r="I1797" s="83"/>
      <c r="J1797" s="83" t="s">
        <v>279</v>
      </c>
      <c r="K1797" s="83">
        <v>1</v>
      </c>
      <c r="L1797" s="83" t="s">
        <v>175</v>
      </c>
      <c r="M1797" s="83">
        <f>ROUNDDOWN(VLOOKUP(J1797,Sheet1!$N$32:$O$37,2,0)*1000,0)</f>
        <v>60</v>
      </c>
      <c r="N1797" s="83"/>
      <c r="O1797" s="83">
        <f t="shared" si="163"/>
        <v>0.000659145088819801</v>
      </c>
      <c r="P1797" s="83">
        <v>11008</v>
      </c>
    </row>
    <row r="1798" spans="1:16">
      <c r="A1798" s="78">
        <v>1796</v>
      </c>
      <c r="B1798" s="83">
        <v>11500</v>
      </c>
      <c r="C1798" s="83">
        <v>6</v>
      </c>
      <c r="D1798" s="83">
        <f t="shared" si="162"/>
        <v>95277</v>
      </c>
      <c r="E1798" s="83">
        <f t="shared" si="160"/>
        <v>95337</v>
      </c>
      <c r="F1798" s="83"/>
      <c r="G1798" s="83" t="s">
        <v>296</v>
      </c>
      <c r="H1798" s="83" t="s">
        <v>297</v>
      </c>
      <c r="I1798" s="83"/>
      <c r="J1798" s="83" t="s">
        <v>279</v>
      </c>
      <c r="K1798" s="83">
        <v>1</v>
      </c>
      <c r="L1798" s="83" t="s">
        <v>175</v>
      </c>
      <c r="M1798" s="83">
        <f>ROUNDDOWN(VLOOKUP(J1798,Sheet1!$N$32:$O$37,2,0)*1000,0)</f>
        <v>60</v>
      </c>
      <c r="N1798" s="83"/>
      <c r="O1798" s="83">
        <f t="shared" si="163"/>
        <v>0.000659145088819801</v>
      </c>
      <c r="P1798" s="83">
        <v>11009</v>
      </c>
    </row>
    <row r="1799" spans="1:16">
      <c r="A1799" s="78">
        <v>1797</v>
      </c>
      <c r="B1799" s="83">
        <v>11500</v>
      </c>
      <c r="C1799" s="83">
        <v>6</v>
      </c>
      <c r="D1799" s="83">
        <f t="shared" si="162"/>
        <v>95337</v>
      </c>
      <c r="E1799" s="83">
        <f t="shared" si="160"/>
        <v>95397</v>
      </c>
      <c r="F1799" s="83"/>
      <c r="G1799" s="83" t="s">
        <v>298</v>
      </c>
      <c r="H1799" s="83" t="s">
        <v>299</v>
      </c>
      <c r="I1799" s="83"/>
      <c r="J1799" s="83" t="s">
        <v>279</v>
      </c>
      <c r="K1799" s="83">
        <v>1</v>
      </c>
      <c r="L1799" s="83" t="s">
        <v>175</v>
      </c>
      <c r="M1799" s="83">
        <f>ROUNDDOWN(VLOOKUP(J1799,Sheet1!$N$32:$O$37,2,0)*1000,0)</f>
        <v>60</v>
      </c>
      <c r="N1799" s="83"/>
      <c r="O1799" s="83">
        <f t="shared" si="163"/>
        <v>0.000659145088819801</v>
      </c>
      <c r="P1799" s="83">
        <v>11010</v>
      </c>
    </row>
    <row r="1800" spans="1:16">
      <c r="A1800" s="78">
        <v>1798</v>
      </c>
      <c r="B1800" s="83">
        <v>11500</v>
      </c>
      <c r="C1800" s="83">
        <v>6</v>
      </c>
      <c r="D1800" s="83">
        <f t="shared" si="162"/>
        <v>95397</v>
      </c>
      <c r="E1800" s="83">
        <f t="shared" si="160"/>
        <v>95457</v>
      </c>
      <c r="F1800" s="83"/>
      <c r="G1800" s="83" t="s">
        <v>300</v>
      </c>
      <c r="H1800" s="83" t="s">
        <v>301</v>
      </c>
      <c r="I1800" s="83"/>
      <c r="J1800" s="83" t="s">
        <v>279</v>
      </c>
      <c r="K1800" s="83">
        <v>1</v>
      </c>
      <c r="L1800" s="83" t="s">
        <v>175</v>
      </c>
      <c r="M1800" s="83">
        <f>ROUNDDOWN(VLOOKUP(J1800,Sheet1!$N$32:$O$37,2,0)*1000,0)</f>
        <v>60</v>
      </c>
      <c r="N1800" s="83"/>
      <c r="O1800" s="83">
        <f t="shared" si="163"/>
        <v>0.000659145088819801</v>
      </c>
      <c r="P1800" s="83">
        <v>11011</v>
      </c>
    </row>
    <row r="1801" spans="1:16">
      <c r="A1801" s="78">
        <v>1799</v>
      </c>
      <c r="B1801" s="83">
        <v>11500</v>
      </c>
      <c r="C1801" s="83">
        <v>6</v>
      </c>
      <c r="D1801" s="83">
        <f t="shared" si="162"/>
        <v>95457</v>
      </c>
      <c r="E1801" s="83">
        <f t="shared" si="160"/>
        <v>95517</v>
      </c>
      <c r="F1801" s="83"/>
      <c r="G1801" s="83" t="s">
        <v>302</v>
      </c>
      <c r="H1801" s="83" t="s">
        <v>303</v>
      </c>
      <c r="I1801" s="83"/>
      <c r="J1801" s="83" t="s">
        <v>279</v>
      </c>
      <c r="K1801" s="83">
        <v>1</v>
      </c>
      <c r="L1801" s="83" t="s">
        <v>175</v>
      </c>
      <c r="M1801" s="83">
        <f>ROUNDDOWN(VLOOKUP(J1801,Sheet1!$N$32:$O$37,2,0)*1000,0)</f>
        <v>60</v>
      </c>
      <c r="N1801" s="83"/>
      <c r="O1801" s="83">
        <f t="shared" si="163"/>
        <v>0.000659145088819801</v>
      </c>
      <c r="P1801" s="83">
        <v>11012</v>
      </c>
    </row>
    <row r="1802" spans="1:16">
      <c r="A1802" s="78">
        <v>1800</v>
      </c>
      <c r="B1802" s="83">
        <v>11500</v>
      </c>
      <c r="C1802" s="83">
        <v>6</v>
      </c>
      <c r="D1802" s="83">
        <f t="shared" si="162"/>
        <v>95517</v>
      </c>
      <c r="E1802" s="83">
        <f t="shared" si="160"/>
        <v>95577</v>
      </c>
      <c r="F1802" s="83"/>
      <c r="G1802" s="83" t="s">
        <v>304</v>
      </c>
      <c r="H1802" s="83" t="s">
        <v>305</v>
      </c>
      <c r="I1802" s="83"/>
      <c r="J1802" s="83" t="s">
        <v>279</v>
      </c>
      <c r="K1802" s="83">
        <v>1</v>
      </c>
      <c r="L1802" s="83" t="s">
        <v>175</v>
      </c>
      <c r="M1802" s="83">
        <f>ROUNDDOWN(VLOOKUP(J1802,Sheet1!$N$32:$O$37,2,0)*1000,0)</f>
        <v>60</v>
      </c>
      <c r="N1802" s="83"/>
      <c r="O1802" s="83">
        <f t="shared" si="163"/>
        <v>0.000659145088819801</v>
      </c>
      <c r="P1802" s="83">
        <v>11013</v>
      </c>
    </row>
    <row r="1803" spans="1:16">
      <c r="A1803" s="78">
        <v>1801</v>
      </c>
      <c r="B1803" s="83">
        <v>11500</v>
      </c>
      <c r="C1803" s="83">
        <v>6</v>
      </c>
      <c r="D1803" s="83">
        <f t="shared" si="162"/>
        <v>95577</v>
      </c>
      <c r="E1803" s="83">
        <f t="shared" si="160"/>
        <v>95637</v>
      </c>
      <c r="F1803" s="83"/>
      <c r="G1803" s="83" t="s">
        <v>306</v>
      </c>
      <c r="H1803" s="83" t="s">
        <v>307</v>
      </c>
      <c r="I1803" s="83"/>
      <c r="J1803" s="83" t="s">
        <v>279</v>
      </c>
      <c r="K1803" s="83">
        <v>1</v>
      </c>
      <c r="L1803" s="83" t="s">
        <v>175</v>
      </c>
      <c r="M1803" s="83">
        <f>ROUNDDOWN(VLOOKUP(J1803,Sheet1!$N$32:$O$37,2,0)*1000,0)</f>
        <v>60</v>
      </c>
      <c r="N1803" s="83"/>
      <c r="O1803" s="83">
        <f t="shared" si="163"/>
        <v>0.000659145088819801</v>
      </c>
      <c r="P1803" s="83">
        <v>11014</v>
      </c>
    </row>
    <row r="1804" spans="1:16">
      <c r="A1804" s="78">
        <v>1802</v>
      </c>
      <c r="B1804" s="83">
        <v>11500</v>
      </c>
      <c r="C1804" s="83">
        <v>6</v>
      </c>
      <c r="D1804" s="83">
        <f t="shared" si="162"/>
        <v>95637</v>
      </c>
      <c r="E1804" s="83">
        <f t="shared" si="160"/>
        <v>95697</v>
      </c>
      <c r="F1804" s="83"/>
      <c r="G1804" s="83" t="s">
        <v>308</v>
      </c>
      <c r="H1804" s="83" t="s">
        <v>309</v>
      </c>
      <c r="I1804" s="83"/>
      <c r="J1804" s="83" t="s">
        <v>279</v>
      </c>
      <c r="K1804" s="83">
        <v>1</v>
      </c>
      <c r="L1804" s="83" t="s">
        <v>175</v>
      </c>
      <c r="M1804" s="83">
        <f>ROUNDDOWN(VLOOKUP(J1804,Sheet1!$N$32:$O$37,2,0)*1000,0)</f>
        <v>60</v>
      </c>
      <c r="N1804" s="83"/>
      <c r="O1804" s="83">
        <f t="shared" si="163"/>
        <v>0.000659145088819801</v>
      </c>
      <c r="P1804" s="83">
        <v>11015</v>
      </c>
    </row>
    <row r="1805" spans="1:16">
      <c r="A1805" s="78">
        <v>1803</v>
      </c>
      <c r="B1805" s="83">
        <v>11500</v>
      </c>
      <c r="C1805" s="83">
        <v>6</v>
      </c>
      <c r="D1805" s="83">
        <f t="shared" si="162"/>
        <v>95697</v>
      </c>
      <c r="E1805" s="83">
        <f t="shared" si="160"/>
        <v>95757</v>
      </c>
      <c r="F1805" s="83"/>
      <c r="G1805" s="83" t="s">
        <v>310</v>
      </c>
      <c r="H1805" s="83" t="s">
        <v>311</v>
      </c>
      <c r="I1805" s="83"/>
      <c r="J1805" s="83" t="s">
        <v>279</v>
      </c>
      <c r="K1805" s="83">
        <v>1</v>
      </c>
      <c r="L1805" s="83" t="s">
        <v>175</v>
      </c>
      <c r="M1805" s="83">
        <f>ROUNDDOWN(VLOOKUP(J1805,Sheet1!$N$32:$O$37,2,0)*1000,0)</f>
        <v>60</v>
      </c>
      <c r="N1805" s="83"/>
      <c r="O1805" s="83">
        <f t="shared" si="163"/>
        <v>0.000659145088819801</v>
      </c>
      <c r="P1805" s="83">
        <v>11016</v>
      </c>
    </row>
    <row r="1806" spans="1:16">
      <c r="A1806" s="78">
        <v>1804</v>
      </c>
      <c r="B1806" s="83">
        <v>11500</v>
      </c>
      <c r="C1806" s="83">
        <v>6</v>
      </c>
      <c r="D1806" s="83">
        <f t="shared" si="162"/>
        <v>95757</v>
      </c>
      <c r="E1806" s="83">
        <f t="shared" si="160"/>
        <v>95817</v>
      </c>
      <c r="F1806" s="83"/>
      <c r="G1806" s="83" t="s">
        <v>312</v>
      </c>
      <c r="H1806" s="83" t="s">
        <v>313</v>
      </c>
      <c r="I1806" s="83"/>
      <c r="J1806" s="83" t="s">
        <v>279</v>
      </c>
      <c r="K1806" s="83">
        <v>1</v>
      </c>
      <c r="L1806" s="83" t="s">
        <v>175</v>
      </c>
      <c r="M1806" s="83">
        <f>ROUNDDOWN(VLOOKUP(J1806,Sheet1!$N$32:$O$37,2,0)*1000,0)</f>
        <v>60</v>
      </c>
      <c r="N1806" s="83"/>
      <c r="O1806" s="83">
        <f t="shared" si="163"/>
        <v>0.000659145088819801</v>
      </c>
      <c r="P1806" s="83">
        <v>11017</v>
      </c>
    </row>
    <row r="1807" spans="1:16">
      <c r="A1807" s="78">
        <v>1805</v>
      </c>
      <c r="B1807" s="83">
        <v>11500</v>
      </c>
      <c r="C1807" s="83">
        <v>6</v>
      </c>
      <c r="D1807" s="83">
        <f t="shared" si="162"/>
        <v>95817</v>
      </c>
      <c r="E1807" s="83">
        <f t="shared" si="160"/>
        <v>95877</v>
      </c>
      <c r="F1807" s="83"/>
      <c r="G1807" s="83" t="s">
        <v>314</v>
      </c>
      <c r="H1807" s="83" t="s">
        <v>315</v>
      </c>
      <c r="I1807" s="83"/>
      <c r="J1807" s="83" t="s">
        <v>279</v>
      </c>
      <c r="K1807" s="83">
        <v>1</v>
      </c>
      <c r="L1807" s="83" t="s">
        <v>175</v>
      </c>
      <c r="M1807" s="83">
        <f>ROUNDDOWN(VLOOKUP(J1807,Sheet1!$N$32:$O$37,2,0)*1000,0)</f>
        <v>60</v>
      </c>
      <c r="N1807" s="83"/>
      <c r="O1807" s="83">
        <f t="shared" si="163"/>
        <v>0.000659145088819801</v>
      </c>
      <c r="P1807" s="83">
        <v>11018</v>
      </c>
    </row>
    <row r="1808" spans="1:16">
      <c r="A1808" s="78">
        <v>1806</v>
      </c>
      <c r="B1808" s="83">
        <v>11500</v>
      </c>
      <c r="C1808" s="83">
        <v>6</v>
      </c>
      <c r="D1808" s="83">
        <f t="shared" si="162"/>
        <v>95877</v>
      </c>
      <c r="E1808" s="83">
        <f t="shared" si="160"/>
        <v>95937</v>
      </c>
      <c r="F1808" s="83"/>
      <c r="G1808" s="83" t="s">
        <v>316</v>
      </c>
      <c r="H1808" s="83" t="s">
        <v>317</v>
      </c>
      <c r="I1808" s="83"/>
      <c r="J1808" s="83" t="s">
        <v>279</v>
      </c>
      <c r="K1808" s="83">
        <v>1</v>
      </c>
      <c r="L1808" s="83" t="s">
        <v>175</v>
      </c>
      <c r="M1808" s="83">
        <f>ROUNDDOWN(VLOOKUP(J1808,Sheet1!$N$32:$O$37,2,0)*1000,0)</f>
        <v>60</v>
      </c>
      <c r="N1808" s="83"/>
      <c r="O1808" s="83">
        <f t="shared" si="163"/>
        <v>0.000659145088819801</v>
      </c>
      <c r="P1808" s="83">
        <v>11019</v>
      </c>
    </row>
    <row r="1809" spans="1:16">
      <c r="A1809" s="78">
        <v>1807</v>
      </c>
      <c r="B1809" s="83">
        <v>11500</v>
      </c>
      <c r="C1809" s="83">
        <v>6</v>
      </c>
      <c r="D1809" s="83">
        <f t="shared" si="162"/>
        <v>95937</v>
      </c>
      <c r="E1809" s="83">
        <f t="shared" si="160"/>
        <v>95997</v>
      </c>
      <c r="F1809" s="83"/>
      <c r="G1809" s="83" t="s">
        <v>318</v>
      </c>
      <c r="H1809" s="83" t="s">
        <v>319</v>
      </c>
      <c r="I1809" s="83"/>
      <c r="J1809" s="83" t="s">
        <v>279</v>
      </c>
      <c r="K1809" s="83">
        <v>1</v>
      </c>
      <c r="L1809" s="83" t="s">
        <v>175</v>
      </c>
      <c r="M1809" s="83">
        <f>ROUNDDOWN(VLOOKUP(J1809,Sheet1!$N$32:$O$37,2,0)*1000,0)</f>
        <v>60</v>
      </c>
      <c r="N1809" s="83"/>
      <c r="O1809" s="83">
        <f t="shared" si="163"/>
        <v>0.000659145088819801</v>
      </c>
      <c r="P1809" s="83">
        <v>11020</v>
      </c>
    </row>
    <row r="1810" spans="1:16">
      <c r="A1810" s="78">
        <v>1808</v>
      </c>
      <c r="B1810" s="83">
        <v>11500</v>
      </c>
      <c r="C1810" s="83">
        <v>6</v>
      </c>
      <c r="D1810" s="83">
        <f t="shared" si="162"/>
        <v>95997</v>
      </c>
      <c r="E1810" s="83">
        <f t="shared" si="160"/>
        <v>96057</v>
      </c>
      <c r="F1810" s="83"/>
      <c r="G1810" s="83" t="s">
        <v>320</v>
      </c>
      <c r="H1810" s="83" t="s">
        <v>321</v>
      </c>
      <c r="I1810" s="83"/>
      <c r="J1810" s="83" t="s">
        <v>279</v>
      </c>
      <c r="K1810" s="83">
        <v>1</v>
      </c>
      <c r="L1810" s="83" t="s">
        <v>175</v>
      </c>
      <c r="M1810" s="83">
        <f>ROUNDDOWN(VLOOKUP(J1810,Sheet1!$N$32:$O$37,2,0)*1000,0)</f>
        <v>60</v>
      </c>
      <c r="N1810" s="83"/>
      <c r="O1810" s="83">
        <f t="shared" si="163"/>
        <v>0.000659145088819801</v>
      </c>
      <c r="P1810" s="83">
        <v>11021</v>
      </c>
    </row>
    <row r="1811" spans="1:16">
      <c r="A1811" s="78">
        <v>1809</v>
      </c>
      <c r="B1811" s="83">
        <v>11500</v>
      </c>
      <c r="C1811" s="83">
        <v>6</v>
      </c>
      <c r="D1811" s="83">
        <f t="shared" si="162"/>
        <v>96057</v>
      </c>
      <c r="E1811" s="83">
        <f t="shared" si="160"/>
        <v>96117</v>
      </c>
      <c r="F1811" s="83"/>
      <c r="G1811" s="83" t="s">
        <v>322</v>
      </c>
      <c r="H1811" s="83" t="s">
        <v>323</v>
      </c>
      <c r="I1811" s="83"/>
      <c r="J1811" s="83" t="s">
        <v>279</v>
      </c>
      <c r="K1811" s="83">
        <v>1</v>
      </c>
      <c r="L1811" s="83" t="s">
        <v>175</v>
      </c>
      <c r="M1811" s="83">
        <f>ROUNDDOWN(VLOOKUP(J1811,Sheet1!$N$32:$O$37,2,0)*1000,0)</f>
        <v>60</v>
      </c>
      <c r="N1811" s="83"/>
      <c r="O1811" s="83">
        <f t="shared" si="163"/>
        <v>0.000659145088819801</v>
      </c>
      <c r="P1811" s="83">
        <v>11022</v>
      </c>
    </row>
    <row r="1812" spans="1:16">
      <c r="A1812" s="78">
        <v>1810</v>
      </c>
      <c r="B1812" s="83">
        <v>11500</v>
      </c>
      <c r="C1812" s="83">
        <v>6</v>
      </c>
      <c r="D1812" s="83">
        <f t="shared" si="162"/>
        <v>96117</v>
      </c>
      <c r="E1812" s="83">
        <f t="shared" si="160"/>
        <v>96177</v>
      </c>
      <c r="F1812" s="83"/>
      <c r="G1812" s="83" t="s">
        <v>324</v>
      </c>
      <c r="H1812" s="83" t="s">
        <v>325</v>
      </c>
      <c r="I1812" s="83"/>
      <c r="J1812" s="83" t="s">
        <v>279</v>
      </c>
      <c r="K1812" s="83">
        <v>1</v>
      </c>
      <c r="L1812" s="83" t="s">
        <v>175</v>
      </c>
      <c r="M1812" s="83">
        <f>ROUNDDOWN(VLOOKUP(J1812,Sheet1!$N$32:$O$37,2,0)*1000,0)</f>
        <v>60</v>
      </c>
      <c r="N1812" s="83"/>
      <c r="O1812" s="83">
        <f t="shared" si="163"/>
        <v>0.000659145088819801</v>
      </c>
      <c r="P1812" s="83">
        <v>11023</v>
      </c>
    </row>
    <row r="1813" spans="1:16">
      <c r="A1813" s="78">
        <v>1811</v>
      </c>
      <c r="B1813" s="83">
        <v>11500</v>
      </c>
      <c r="C1813" s="83">
        <v>6</v>
      </c>
      <c r="D1813" s="83">
        <f t="shared" si="162"/>
        <v>96177</v>
      </c>
      <c r="E1813" s="83">
        <f t="shared" ref="E1813:E1871" si="164">D1813+M1813</f>
        <v>96237</v>
      </c>
      <c r="F1813" s="83"/>
      <c r="G1813" s="83" t="s">
        <v>326</v>
      </c>
      <c r="H1813" s="83" t="s">
        <v>327</v>
      </c>
      <c r="I1813" s="83"/>
      <c r="J1813" s="83" t="s">
        <v>279</v>
      </c>
      <c r="K1813" s="83">
        <v>1</v>
      </c>
      <c r="L1813" s="83" t="s">
        <v>175</v>
      </c>
      <c r="M1813" s="83">
        <f>ROUNDDOWN(VLOOKUP(J1813,Sheet1!$N$32:$O$37,2,0)*1000,0)</f>
        <v>60</v>
      </c>
      <c r="N1813" s="83"/>
      <c r="O1813" s="83">
        <f t="shared" si="163"/>
        <v>0.000659145088819801</v>
      </c>
      <c r="P1813" s="83">
        <v>11024</v>
      </c>
    </row>
    <row r="1814" spans="1:16">
      <c r="A1814" s="78">
        <v>1812</v>
      </c>
      <c r="B1814" s="83">
        <v>11500</v>
      </c>
      <c r="C1814" s="83">
        <v>6</v>
      </c>
      <c r="D1814" s="83">
        <f t="shared" si="162"/>
        <v>96237</v>
      </c>
      <c r="E1814" s="83">
        <f t="shared" si="164"/>
        <v>96297</v>
      </c>
      <c r="F1814" s="83"/>
      <c r="G1814" s="83" t="s">
        <v>328</v>
      </c>
      <c r="H1814" s="83" t="s">
        <v>329</v>
      </c>
      <c r="I1814" s="83"/>
      <c r="J1814" s="83" t="s">
        <v>279</v>
      </c>
      <c r="K1814" s="83">
        <v>1</v>
      </c>
      <c r="L1814" s="83" t="s">
        <v>175</v>
      </c>
      <c r="M1814" s="83">
        <f>ROUNDDOWN(VLOOKUP(J1814,Sheet1!$N$32:$O$37,2,0)*1000,0)</f>
        <v>60</v>
      </c>
      <c r="N1814" s="83"/>
      <c r="O1814" s="83">
        <f t="shared" si="163"/>
        <v>0.000659145088819801</v>
      </c>
      <c r="P1814" s="83">
        <v>11025</v>
      </c>
    </row>
    <row r="1815" spans="1:16">
      <c r="A1815" s="78">
        <v>1813</v>
      </c>
      <c r="B1815" s="83">
        <v>11500</v>
      </c>
      <c r="C1815" s="83">
        <v>6</v>
      </c>
      <c r="D1815" s="83">
        <f t="shared" si="162"/>
        <v>96297</v>
      </c>
      <c r="E1815" s="83">
        <f t="shared" si="164"/>
        <v>96357</v>
      </c>
      <c r="F1815" s="83"/>
      <c r="G1815" s="83" t="s">
        <v>330</v>
      </c>
      <c r="H1815" s="83" t="s">
        <v>331</v>
      </c>
      <c r="I1815" s="83"/>
      <c r="J1815" s="83" t="s">
        <v>279</v>
      </c>
      <c r="K1815" s="83">
        <v>1</v>
      </c>
      <c r="L1815" s="83" t="s">
        <v>175</v>
      </c>
      <c r="M1815" s="83">
        <f>ROUNDDOWN(VLOOKUP(J1815,Sheet1!$N$32:$O$37,2,0)*1000,0)</f>
        <v>60</v>
      </c>
      <c r="N1815" s="83"/>
      <c r="O1815" s="83">
        <f t="shared" si="163"/>
        <v>0.000659145088819801</v>
      </c>
      <c r="P1815" s="83">
        <v>11026</v>
      </c>
    </row>
    <row r="1816" spans="1:16">
      <c r="A1816" s="78">
        <v>1814</v>
      </c>
      <c r="B1816" s="83">
        <v>11500</v>
      </c>
      <c r="C1816" s="83">
        <v>6</v>
      </c>
      <c r="D1816" s="83">
        <f t="shared" si="162"/>
        <v>96357</v>
      </c>
      <c r="E1816" s="83">
        <f t="shared" si="164"/>
        <v>96417</v>
      </c>
      <c r="F1816" s="83"/>
      <c r="G1816" s="83" t="s">
        <v>332</v>
      </c>
      <c r="H1816" s="83" t="s">
        <v>333</v>
      </c>
      <c r="I1816" s="83"/>
      <c r="J1816" s="83" t="s">
        <v>279</v>
      </c>
      <c r="K1816" s="83">
        <v>1</v>
      </c>
      <c r="L1816" s="83" t="s">
        <v>175</v>
      </c>
      <c r="M1816" s="83">
        <f>ROUNDDOWN(VLOOKUP(J1816,Sheet1!$N$32:$O$37,2,0)*1000,0)</f>
        <v>60</v>
      </c>
      <c r="N1816" s="83"/>
      <c r="O1816" s="83">
        <f t="shared" si="163"/>
        <v>0.000659145088819801</v>
      </c>
      <c r="P1816" s="83">
        <v>11027</v>
      </c>
    </row>
    <row r="1817" spans="1:16">
      <c r="A1817" s="78">
        <v>1815</v>
      </c>
      <c r="B1817" s="83">
        <v>11500</v>
      </c>
      <c r="C1817" s="83">
        <v>6</v>
      </c>
      <c r="D1817" s="83">
        <f t="shared" si="162"/>
        <v>96417</v>
      </c>
      <c r="E1817" s="83">
        <f t="shared" si="164"/>
        <v>96477</v>
      </c>
      <c r="F1817" s="83"/>
      <c r="G1817" s="83" t="s">
        <v>334</v>
      </c>
      <c r="H1817" s="83" t="s">
        <v>335</v>
      </c>
      <c r="I1817" s="83"/>
      <c r="J1817" s="83" t="s">
        <v>279</v>
      </c>
      <c r="K1817" s="83">
        <v>1</v>
      </c>
      <c r="L1817" s="83" t="s">
        <v>175</v>
      </c>
      <c r="M1817" s="83">
        <f>ROUNDDOWN(VLOOKUP(J1817,Sheet1!$N$32:$O$37,2,0)*1000,0)</f>
        <v>60</v>
      </c>
      <c r="N1817" s="83"/>
      <c r="O1817" s="83">
        <f t="shared" si="163"/>
        <v>0.000659145088819801</v>
      </c>
      <c r="P1817" s="83">
        <v>11028</v>
      </c>
    </row>
    <row r="1818" spans="1:16">
      <c r="A1818" s="78">
        <v>1816</v>
      </c>
      <c r="B1818" s="83">
        <v>11500</v>
      </c>
      <c r="C1818" s="83">
        <v>6</v>
      </c>
      <c r="D1818" s="83">
        <f t="shared" si="162"/>
        <v>96477</v>
      </c>
      <c r="E1818" s="83">
        <f t="shared" si="164"/>
        <v>96537</v>
      </c>
      <c r="F1818" s="83"/>
      <c r="G1818" s="83" t="s">
        <v>336</v>
      </c>
      <c r="H1818" s="83" t="s">
        <v>337</v>
      </c>
      <c r="I1818" s="83"/>
      <c r="J1818" s="83" t="s">
        <v>279</v>
      </c>
      <c r="K1818" s="83">
        <v>1</v>
      </c>
      <c r="L1818" s="83" t="s">
        <v>175</v>
      </c>
      <c r="M1818" s="83">
        <f>ROUNDDOWN(VLOOKUP(J1818,Sheet1!$N$32:$O$37,2,0)*1000,0)</f>
        <v>60</v>
      </c>
      <c r="N1818" s="83"/>
      <c r="O1818" s="83">
        <f t="shared" si="163"/>
        <v>0.000659145088819801</v>
      </c>
      <c r="P1818" s="83">
        <v>11029</v>
      </c>
    </row>
    <row r="1819" spans="1:16">
      <c r="A1819" s="78">
        <v>1817</v>
      </c>
      <c r="B1819" s="83">
        <v>11500</v>
      </c>
      <c r="C1819" s="83">
        <v>6</v>
      </c>
      <c r="D1819" s="83">
        <f t="shared" si="162"/>
        <v>96537</v>
      </c>
      <c r="E1819" s="83">
        <f t="shared" si="164"/>
        <v>96597</v>
      </c>
      <c r="F1819" s="83"/>
      <c r="G1819" s="83" t="s">
        <v>338</v>
      </c>
      <c r="H1819" s="83" t="s">
        <v>339</v>
      </c>
      <c r="I1819" s="83"/>
      <c r="J1819" s="83" t="s">
        <v>279</v>
      </c>
      <c r="K1819" s="83">
        <v>1</v>
      </c>
      <c r="L1819" s="83" t="s">
        <v>175</v>
      </c>
      <c r="M1819" s="83">
        <f>ROUNDDOWN(VLOOKUP(J1819,Sheet1!$N$32:$O$37,2,0)*1000,0)</f>
        <v>60</v>
      </c>
      <c r="N1819" s="83"/>
      <c r="O1819" s="83">
        <f t="shared" si="163"/>
        <v>0.000659145088819801</v>
      </c>
      <c r="P1819" s="83">
        <v>11030</v>
      </c>
    </row>
    <row r="1820" spans="1:16">
      <c r="A1820" s="78">
        <v>1818</v>
      </c>
      <c r="B1820" s="83">
        <v>11500</v>
      </c>
      <c r="C1820" s="83">
        <v>6</v>
      </c>
      <c r="D1820" s="83">
        <f t="shared" si="162"/>
        <v>96597</v>
      </c>
      <c r="E1820" s="83">
        <f t="shared" si="164"/>
        <v>96657</v>
      </c>
      <c r="F1820" s="83"/>
      <c r="G1820" s="83" t="s">
        <v>340</v>
      </c>
      <c r="H1820" s="83" t="s">
        <v>341</v>
      </c>
      <c r="I1820" s="83"/>
      <c r="J1820" s="83" t="s">
        <v>279</v>
      </c>
      <c r="K1820" s="83">
        <v>1</v>
      </c>
      <c r="L1820" s="83" t="s">
        <v>175</v>
      </c>
      <c r="M1820" s="83">
        <f>ROUNDDOWN(VLOOKUP(J1820,Sheet1!$N$32:$O$37,2,0)*1000,0)</f>
        <v>60</v>
      </c>
      <c r="N1820" s="83"/>
      <c r="O1820" s="83">
        <f t="shared" si="163"/>
        <v>0.000659145088819801</v>
      </c>
      <c r="P1820" s="83">
        <v>11031</v>
      </c>
    </row>
    <row r="1821" spans="1:16">
      <c r="A1821" s="78">
        <v>1819</v>
      </c>
      <c r="B1821" s="83">
        <v>11500</v>
      </c>
      <c r="C1821" s="83">
        <v>6</v>
      </c>
      <c r="D1821" s="83">
        <f t="shared" si="162"/>
        <v>96657</v>
      </c>
      <c r="E1821" s="83">
        <f t="shared" si="164"/>
        <v>96717</v>
      </c>
      <c r="F1821" s="83"/>
      <c r="G1821" s="83" t="s">
        <v>342</v>
      </c>
      <c r="H1821" s="83" t="s">
        <v>343</v>
      </c>
      <c r="I1821" s="83"/>
      <c r="J1821" s="83" t="s">
        <v>279</v>
      </c>
      <c r="K1821" s="83">
        <v>1</v>
      </c>
      <c r="L1821" s="83" t="s">
        <v>175</v>
      </c>
      <c r="M1821" s="83">
        <f>ROUNDDOWN(VLOOKUP(J1821,Sheet1!$N$32:$O$37,2,0)*1000,0)</f>
        <v>60</v>
      </c>
      <c r="N1821" s="83"/>
      <c r="O1821" s="83">
        <f t="shared" si="163"/>
        <v>0.000659145088819801</v>
      </c>
      <c r="P1821" s="83">
        <v>11032</v>
      </c>
    </row>
    <row r="1822" spans="1:16">
      <c r="A1822" s="78">
        <v>1820</v>
      </c>
      <c r="B1822" s="83">
        <v>11500</v>
      </c>
      <c r="C1822" s="83">
        <v>6</v>
      </c>
      <c r="D1822" s="83">
        <f t="shared" si="162"/>
        <v>96717</v>
      </c>
      <c r="E1822" s="83">
        <f t="shared" si="164"/>
        <v>96777</v>
      </c>
      <c r="F1822" s="83"/>
      <c r="G1822" s="83" t="s">
        <v>344</v>
      </c>
      <c r="H1822" s="83" t="s">
        <v>345</v>
      </c>
      <c r="I1822" s="83"/>
      <c r="J1822" s="83" t="s">
        <v>279</v>
      </c>
      <c r="K1822" s="83">
        <v>1</v>
      </c>
      <c r="L1822" s="83" t="s">
        <v>175</v>
      </c>
      <c r="M1822" s="83">
        <f>ROUNDDOWN(VLOOKUP(J1822,Sheet1!$N$32:$O$37,2,0)*1000,0)</f>
        <v>60</v>
      </c>
      <c r="N1822" s="83"/>
      <c r="O1822" s="83">
        <f t="shared" si="163"/>
        <v>0.000659145088819801</v>
      </c>
      <c r="P1822" s="83">
        <v>11033</v>
      </c>
    </row>
    <row r="1823" spans="1:16">
      <c r="A1823" s="78">
        <v>1821</v>
      </c>
      <c r="B1823" s="83">
        <v>11500</v>
      </c>
      <c r="C1823" s="83">
        <v>6</v>
      </c>
      <c r="D1823" s="83">
        <f t="shared" si="162"/>
        <v>96777</v>
      </c>
      <c r="E1823" s="83">
        <f t="shared" si="164"/>
        <v>96837</v>
      </c>
      <c r="F1823" s="83"/>
      <c r="G1823" s="83" t="s">
        <v>346</v>
      </c>
      <c r="H1823" s="83" t="s">
        <v>347</v>
      </c>
      <c r="I1823" s="83"/>
      <c r="J1823" s="83" t="s">
        <v>279</v>
      </c>
      <c r="K1823" s="83">
        <v>1</v>
      </c>
      <c r="L1823" s="83" t="s">
        <v>175</v>
      </c>
      <c r="M1823" s="83">
        <f>ROUNDDOWN(VLOOKUP(J1823,Sheet1!$N$32:$O$37,2,0)*1000,0)</f>
        <v>60</v>
      </c>
      <c r="N1823" s="83"/>
      <c r="O1823" s="83">
        <f t="shared" si="163"/>
        <v>0.000659145088819801</v>
      </c>
      <c r="P1823" s="83">
        <v>11034</v>
      </c>
    </row>
    <row r="1824" spans="1:16">
      <c r="A1824" s="78">
        <v>1822</v>
      </c>
      <c r="B1824" s="83">
        <v>11500</v>
      </c>
      <c r="C1824" s="83">
        <v>6</v>
      </c>
      <c r="D1824" s="83">
        <f t="shared" si="162"/>
        <v>96837</v>
      </c>
      <c r="E1824" s="83">
        <f t="shared" si="164"/>
        <v>96897</v>
      </c>
      <c r="F1824" s="83"/>
      <c r="G1824" s="83" t="s">
        <v>348</v>
      </c>
      <c r="H1824" s="83" t="s">
        <v>349</v>
      </c>
      <c r="I1824" s="83"/>
      <c r="J1824" s="83" t="s">
        <v>279</v>
      </c>
      <c r="K1824" s="83">
        <v>1</v>
      </c>
      <c r="L1824" s="83" t="s">
        <v>175</v>
      </c>
      <c r="M1824" s="83">
        <f>ROUNDDOWN(VLOOKUP(J1824,Sheet1!$N$32:$O$37,2,0)*1000,0)</f>
        <v>60</v>
      </c>
      <c r="N1824" s="83"/>
      <c r="O1824" s="83">
        <f t="shared" si="163"/>
        <v>0.000659145088819801</v>
      </c>
      <c r="P1824" s="83">
        <v>11035</v>
      </c>
    </row>
    <row r="1825" spans="1:16">
      <c r="A1825" s="78">
        <v>1823</v>
      </c>
      <c r="B1825" s="83">
        <v>11500</v>
      </c>
      <c r="C1825" s="83">
        <v>6</v>
      </c>
      <c r="D1825" s="83">
        <f t="shared" si="162"/>
        <v>96897</v>
      </c>
      <c r="E1825" s="83">
        <f t="shared" si="164"/>
        <v>96957</v>
      </c>
      <c r="F1825" s="83"/>
      <c r="G1825" s="83" t="s">
        <v>350</v>
      </c>
      <c r="H1825" s="83" t="s">
        <v>351</v>
      </c>
      <c r="I1825" s="83"/>
      <c r="J1825" s="83" t="s">
        <v>279</v>
      </c>
      <c r="K1825" s="83">
        <v>1</v>
      </c>
      <c r="L1825" s="83" t="s">
        <v>175</v>
      </c>
      <c r="M1825" s="83">
        <f>ROUNDDOWN(VLOOKUP(J1825,Sheet1!$N$32:$O$37,2,0)*1000,0)</f>
        <v>60</v>
      </c>
      <c r="N1825" s="83"/>
      <c r="O1825" s="83">
        <f t="shared" si="163"/>
        <v>0.000659145088819801</v>
      </c>
      <c r="P1825" s="83">
        <v>11036</v>
      </c>
    </row>
    <row r="1826" spans="1:16">
      <c r="A1826" s="78">
        <v>1824</v>
      </c>
      <c r="B1826" s="83">
        <v>11500</v>
      </c>
      <c r="C1826" s="83">
        <v>6</v>
      </c>
      <c r="D1826" s="83">
        <f t="shared" si="162"/>
        <v>96957</v>
      </c>
      <c r="E1826" s="83">
        <f t="shared" si="164"/>
        <v>97017</v>
      </c>
      <c r="F1826" s="83"/>
      <c r="G1826" s="83" t="s">
        <v>352</v>
      </c>
      <c r="H1826" s="83" t="s">
        <v>353</v>
      </c>
      <c r="I1826" s="83"/>
      <c r="J1826" s="83" t="s">
        <v>279</v>
      </c>
      <c r="K1826" s="83">
        <v>1</v>
      </c>
      <c r="L1826" s="83" t="s">
        <v>175</v>
      </c>
      <c r="M1826" s="83">
        <f>ROUNDDOWN(VLOOKUP(J1826,Sheet1!$N$32:$O$37,2,0)*1000,0)</f>
        <v>60</v>
      </c>
      <c r="N1826" s="83"/>
      <c r="O1826" s="83">
        <f t="shared" si="163"/>
        <v>0.000659145088819801</v>
      </c>
      <c r="P1826" s="83">
        <v>11037</v>
      </c>
    </row>
    <row r="1827" spans="1:16">
      <c r="A1827" s="78">
        <v>1825</v>
      </c>
      <c r="B1827" s="83">
        <v>11500</v>
      </c>
      <c r="C1827" s="83">
        <v>6</v>
      </c>
      <c r="D1827" s="83">
        <f t="shared" si="162"/>
        <v>97017</v>
      </c>
      <c r="E1827" s="83">
        <f t="shared" si="164"/>
        <v>97077</v>
      </c>
      <c r="F1827" s="83"/>
      <c r="G1827" s="83" t="s">
        <v>354</v>
      </c>
      <c r="H1827" s="83" t="s">
        <v>355</v>
      </c>
      <c r="I1827" s="83"/>
      <c r="J1827" s="83" t="s">
        <v>279</v>
      </c>
      <c r="K1827" s="83">
        <v>1</v>
      </c>
      <c r="L1827" s="83" t="s">
        <v>175</v>
      </c>
      <c r="M1827" s="83">
        <f>ROUNDDOWN(VLOOKUP(J1827,Sheet1!$N$32:$O$37,2,0)*1000,0)</f>
        <v>60</v>
      </c>
      <c r="N1827" s="83"/>
      <c r="O1827" s="83">
        <f t="shared" si="163"/>
        <v>0.000659145088819801</v>
      </c>
      <c r="P1827" s="83">
        <v>11038</v>
      </c>
    </row>
    <row r="1828" s="66" customFormat="1" spans="1:16">
      <c r="A1828" s="70">
        <v>1826</v>
      </c>
      <c r="B1828" s="83">
        <v>11500</v>
      </c>
      <c r="C1828" s="83">
        <v>6</v>
      </c>
      <c r="D1828" s="83">
        <f t="shared" si="162"/>
        <v>97077</v>
      </c>
      <c r="E1828" s="83">
        <f t="shared" si="164"/>
        <v>97137</v>
      </c>
      <c r="F1828" s="83"/>
      <c r="G1828" s="83" t="s">
        <v>277</v>
      </c>
      <c r="H1828" s="83" t="s">
        <v>356</v>
      </c>
      <c r="I1828" s="83"/>
      <c r="J1828" s="83" t="s">
        <v>279</v>
      </c>
      <c r="K1828" s="83">
        <v>1</v>
      </c>
      <c r="L1828" s="83" t="s">
        <v>175</v>
      </c>
      <c r="M1828" s="83">
        <f>ROUNDDOWN(VLOOKUP(J1828,Sheet1!$N$32:$O$37,2,0)*1000,0)</f>
        <v>60</v>
      </c>
      <c r="N1828" s="83"/>
      <c r="O1828" s="83">
        <f t="shared" si="163"/>
        <v>0.000659145088819801</v>
      </c>
      <c r="P1828" s="83">
        <v>11000</v>
      </c>
    </row>
    <row r="1829" s="66" customFormat="1" spans="1:16">
      <c r="A1829" s="70">
        <v>1827</v>
      </c>
      <c r="B1829" s="83">
        <v>11500</v>
      </c>
      <c r="C1829" s="83">
        <v>6</v>
      </c>
      <c r="D1829" s="83">
        <f t="shared" si="162"/>
        <v>97137</v>
      </c>
      <c r="E1829" s="83">
        <f t="shared" si="164"/>
        <v>97197</v>
      </c>
      <c r="F1829" s="83"/>
      <c r="G1829" s="83" t="s">
        <v>280</v>
      </c>
      <c r="H1829" s="83" t="s">
        <v>357</v>
      </c>
      <c r="I1829" s="83"/>
      <c r="J1829" s="83" t="s">
        <v>279</v>
      </c>
      <c r="K1829" s="83">
        <v>1</v>
      </c>
      <c r="L1829" s="83" t="s">
        <v>175</v>
      </c>
      <c r="M1829" s="83">
        <f>ROUNDDOWN(VLOOKUP(J1829,Sheet1!$N$32:$O$37,2,0)*1000,0)</f>
        <v>60</v>
      </c>
      <c r="N1829" s="83"/>
      <c r="O1829" s="83">
        <f t="shared" si="163"/>
        <v>0.000659145088819801</v>
      </c>
      <c r="P1829" s="83">
        <v>11001</v>
      </c>
    </row>
    <row r="1830" s="66" customFormat="1" spans="1:16">
      <c r="A1830" s="70">
        <v>1828</v>
      </c>
      <c r="B1830" s="83">
        <v>11500</v>
      </c>
      <c r="C1830" s="83">
        <v>6</v>
      </c>
      <c r="D1830" s="83">
        <f t="shared" si="162"/>
        <v>97197</v>
      </c>
      <c r="E1830" s="83">
        <f t="shared" si="164"/>
        <v>97257</v>
      </c>
      <c r="F1830" s="83"/>
      <c r="G1830" s="83" t="s">
        <v>282</v>
      </c>
      <c r="H1830" s="83" t="s">
        <v>358</v>
      </c>
      <c r="I1830" s="83"/>
      <c r="J1830" s="83" t="s">
        <v>279</v>
      </c>
      <c r="K1830" s="83">
        <v>1</v>
      </c>
      <c r="L1830" s="83" t="s">
        <v>175</v>
      </c>
      <c r="M1830" s="83">
        <f>ROUNDDOWN(VLOOKUP(J1830,Sheet1!$N$32:$O$37,2,0)*1000,0)</f>
        <v>60</v>
      </c>
      <c r="N1830" s="83"/>
      <c r="O1830" s="83">
        <f t="shared" si="163"/>
        <v>0.000659145088819801</v>
      </c>
      <c r="P1830" s="83">
        <v>11002</v>
      </c>
    </row>
    <row r="1831" s="66" customFormat="1" spans="1:16">
      <c r="A1831" s="70">
        <v>1829</v>
      </c>
      <c r="B1831" s="83">
        <v>11500</v>
      </c>
      <c r="C1831" s="83">
        <v>6</v>
      </c>
      <c r="D1831" s="83">
        <f t="shared" si="162"/>
        <v>97257</v>
      </c>
      <c r="E1831" s="83">
        <f t="shared" si="164"/>
        <v>97317</v>
      </c>
      <c r="F1831" s="83"/>
      <c r="G1831" s="83" t="s">
        <v>284</v>
      </c>
      <c r="H1831" s="83" t="s">
        <v>359</v>
      </c>
      <c r="I1831" s="83"/>
      <c r="J1831" s="83" t="s">
        <v>279</v>
      </c>
      <c r="K1831" s="83">
        <v>1</v>
      </c>
      <c r="L1831" s="83" t="s">
        <v>175</v>
      </c>
      <c r="M1831" s="83">
        <f>ROUNDDOWN(VLOOKUP(J1831,Sheet1!$N$32:$O$37,2,0)*1000,0)</f>
        <v>60</v>
      </c>
      <c r="N1831" s="83"/>
      <c r="O1831" s="83">
        <f t="shared" si="163"/>
        <v>0.000659145088819801</v>
      </c>
      <c r="P1831" s="83">
        <v>11003</v>
      </c>
    </row>
    <row r="1832" s="66" customFormat="1" spans="1:16">
      <c r="A1832" s="70">
        <v>1830</v>
      </c>
      <c r="B1832" s="83">
        <v>11500</v>
      </c>
      <c r="C1832" s="83">
        <v>6</v>
      </c>
      <c r="D1832" s="83">
        <f t="shared" si="162"/>
        <v>97317</v>
      </c>
      <c r="E1832" s="83">
        <f t="shared" si="164"/>
        <v>97377</v>
      </c>
      <c r="F1832" s="83"/>
      <c r="G1832" s="83" t="s">
        <v>286</v>
      </c>
      <c r="H1832" s="83" t="s">
        <v>360</v>
      </c>
      <c r="I1832" s="83"/>
      <c r="J1832" s="83" t="s">
        <v>279</v>
      </c>
      <c r="K1832" s="83">
        <v>1</v>
      </c>
      <c r="L1832" s="83" t="s">
        <v>175</v>
      </c>
      <c r="M1832" s="83">
        <f>ROUNDDOWN(VLOOKUP(J1832,Sheet1!$N$32:$O$37,2,0)*1000,0)</f>
        <v>60</v>
      </c>
      <c r="N1832" s="83"/>
      <c r="O1832" s="83">
        <f t="shared" si="163"/>
        <v>0.000659145088819801</v>
      </c>
      <c r="P1832" s="83">
        <v>11004</v>
      </c>
    </row>
    <row r="1833" s="66" customFormat="1" spans="1:16">
      <c r="A1833" s="70">
        <v>1831</v>
      </c>
      <c r="B1833" s="83">
        <v>11500</v>
      </c>
      <c r="C1833" s="83">
        <v>6</v>
      </c>
      <c r="D1833" s="83">
        <f t="shared" si="162"/>
        <v>97377</v>
      </c>
      <c r="E1833" s="83">
        <f t="shared" si="164"/>
        <v>97437</v>
      </c>
      <c r="F1833" s="83"/>
      <c r="G1833" s="83" t="s">
        <v>288</v>
      </c>
      <c r="H1833" s="83" t="s">
        <v>361</v>
      </c>
      <c r="I1833" s="83"/>
      <c r="J1833" s="83" t="s">
        <v>279</v>
      </c>
      <c r="K1833" s="83">
        <v>1</v>
      </c>
      <c r="L1833" s="83" t="s">
        <v>175</v>
      </c>
      <c r="M1833" s="83">
        <f>ROUNDDOWN(VLOOKUP(J1833,Sheet1!$N$32:$O$37,2,0)*1000,0)</f>
        <v>60</v>
      </c>
      <c r="N1833" s="83"/>
      <c r="O1833" s="83">
        <f t="shared" si="163"/>
        <v>0.000659145088819801</v>
      </c>
      <c r="P1833" s="83">
        <v>11005</v>
      </c>
    </row>
    <row r="1834" s="66" customFormat="1" spans="1:16">
      <c r="A1834" s="70">
        <v>1832</v>
      </c>
      <c r="B1834" s="83">
        <v>11500</v>
      </c>
      <c r="C1834" s="83">
        <v>6</v>
      </c>
      <c r="D1834" s="83">
        <f t="shared" si="162"/>
        <v>97437</v>
      </c>
      <c r="E1834" s="83">
        <f t="shared" si="164"/>
        <v>97497</v>
      </c>
      <c r="F1834" s="83"/>
      <c r="G1834" s="83" t="s">
        <v>290</v>
      </c>
      <c r="H1834" s="83" t="s">
        <v>362</v>
      </c>
      <c r="I1834" s="83"/>
      <c r="J1834" s="83" t="s">
        <v>279</v>
      </c>
      <c r="K1834" s="83">
        <v>1</v>
      </c>
      <c r="L1834" s="83" t="s">
        <v>175</v>
      </c>
      <c r="M1834" s="83">
        <f>ROUNDDOWN(VLOOKUP(J1834,Sheet1!$N$32:$O$37,2,0)*1000,0)</f>
        <v>60</v>
      </c>
      <c r="N1834" s="83"/>
      <c r="O1834" s="83">
        <f t="shared" si="163"/>
        <v>0.000659145088819801</v>
      </c>
      <c r="P1834" s="83">
        <v>11006</v>
      </c>
    </row>
    <row r="1835" s="66" customFormat="1" spans="1:16">
      <c r="A1835" s="70">
        <v>1833</v>
      </c>
      <c r="B1835" s="83">
        <v>11500</v>
      </c>
      <c r="C1835" s="83">
        <v>6</v>
      </c>
      <c r="D1835" s="83">
        <f t="shared" si="162"/>
        <v>97497</v>
      </c>
      <c r="E1835" s="83">
        <f t="shared" si="164"/>
        <v>97557</v>
      </c>
      <c r="F1835" s="83"/>
      <c r="G1835" s="83" t="s">
        <v>292</v>
      </c>
      <c r="H1835" s="83" t="s">
        <v>363</v>
      </c>
      <c r="I1835" s="83"/>
      <c r="J1835" s="83" t="s">
        <v>279</v>
      </c>
      <c r="K1835" s="83">
        <v>1</v>
      </c>
      <c r="L1835" s="83" t="s">
        <v>175</v>
      </c>
      <c r="M1835" s="83">
        <f>ROUNDDOWN(VLOOKUP(J1835,Sheet1!$N$32:$O$37,2,0)*1000,0)</f>
        <v>60</v>
      </c>
      <c r="N1835" s="83"/>
      <c r="O1835" s="83">
        <f t="shared" si="163"/>
        <v>0.000659145088819801</v>
      </c>
      <c r="P1835" s="83">
        <v>11007</v>
      </c>
    </row>
    <row r="1836" s="66" customFormat="1" spans="1:16">
      <c r="A1836" s="70">
        <v>1834</v>
      </c>
      <c r="B1836" s="83">
        <v>11500</v>
      </c>
      <c r="C1836" s="83">
        <v>6</v>
      </c>
      <c r="D1836" s="83">
        <f t="shared" si="162"/>
        <v>97557</v>
      </c>
      <c r="E1836" s="83">
        <f t="shared" si="164"/>
        <v>97617</v>
      </c>
      <c r="F1836" s="83"/>
      <c r="G1836" s="83" t="s">
        <v>294</v>
      </c>
      <c r="H1836" s="83" t="s">
        <v>364</v>
      </c>
      <c r="I1836" s="83"/>
      <c r="J1836" s="83" t="s">
        <v>279</v>
      </c>
      <c r="K1836" s="83">
        <v>1</v>
      </c>
      <c r="L1836" s="83" t="s">
        <v>175</v>
      </c>
      <c r="M1836" s="83">
        <f>ROUNDDOWN(VLOOKUP(J1836,Sheet1!$N$32:$O$37,2,0)*1000,0)</f>
        <v>60</v>
      </c>
      <c r="N1836" s="83"/>
      <c r="O1836" s="83">
        <f t="shared" si="163"/>
        <v>0.000659145088819801</v>
      </c>
      <c r="P1836" s="83">
        <v>11008</v>
      </c>
    </row>
    <row r="1837" s="66" customFormat="1" spans="1:16">
      <c r="A1837" s="70">
        <v>1835</v>
      </c>
      <c r="B1837" s="83">
        <v>11500</v>
      </c>
      <c r="C1837" s="83">
        <v>6</v>
      </c>
      <c r="D1837" s="83">
        <f t="shared" si="162"/>
        <v>97617</v>
      </c>
      <c r="E1837" s="83">
        <f t="shared" si="164"/>
        <v>97677</v>
      </c>
      <c r="F1837" s="83"/>
      <c r="G1837" s="83" t="s">
        <v>296</v>
      </c>
      <c r="H1837" s="83" t="s">
        <v>365</v>
      </c>
      <c r="I1837" s="83"/>
      <c r="J1837" s="83" t="s">
        <v>279</v>
      </c>
      <c r="K1837" s="83">
        <v>1</v>
      </c>
      <c r="L1837" s="83" t="s">
        <v>175</v>
      </c>
      <c r="M1837" s="83">
        <f>ROUNDDOWN(VLOOKUP(J1837,Sheet1!$N$32:$O$37,2,0)*1000,0)</f>
        <v>60</v>
      </c>
      <c r="N1837" s="83"/>
      <c r="O1837" s="83">
        <f t="shared" si="163"/>
        <v>0.000659145088819801</v>
      </c>
      <c r="P1837" s="83">
        <v>11009</v>
      </c>
    </row>
    <row r="1838" s="66" customFormat="1" spans="1:16">
      <c r="A1838" s="70">
        <v>1836</v>
      </c>
      <c r="B1838" s="83">
        <v>11500</v>
      </c>
      <c r="C1838" s="83">
        <v>6</v>
      </c>
      <c r="D1838" s="83">
        <f t="shared" si="162"/>
        <v>97677</v>
      </c>
      <c r="E1838" s="83">
        <f t="shared" si="164"/>
        <v>97737</v>
      </c>
      <c r="F1838" s="83"/>
      <c r="G1838" s="83" t="s">
        <v>298</v>
      </c>
      <c r="H1838" s="83" t="s">
        <v>366</v>
      </c>
      <c r="I1838" s="83"/>
      <c r="J1838" s="83" t="s">
        <v>279</v>
      </c>
      <c r="K1838" s="83">
        <v>1</v>
      </c>
      <c r="L1838" s="83" t="s">
        <v>175</v>
      </c>
      <c r="M1838" s="83">
        <f>ROUNDDOWN(VLOOKUP(J1838,Sheet1!$N$32:$O$37,2,0)*1000,0)</f>
        <v>60</v>
      </c>
      <c r="N1838" s="83"/>
      <c r="O1838" s="83">
        <f t="shared" si="163"/>
        <v>0.000659145088819801</v>
      </c>
      <c r="P1838" s="83">
        <v>11010</v>
      </c>
    </row>
    <row r="1839" s="66" customFormat="1" spans="1:16">
      <c r="A1839" s="70">
        <v>1837</v>
      </c>
      <c r="B1839" s="83">
        <v>11500</v>
      </c>
      <c r="C1839" s="83">
        <v>6</v>
      </c>
      <c r="D1839" s="83">
        <f t="shared" si="162"/>
        <v>97737</v>
      </c>
      <c r="E1839" s="83">
        <f t="shared" si="164"/>
        <v>97797</v>
      </c>
      <c r="F1839" s="83"/>
      <c r="G1839" s="83" t="s">
        <v>300</v>
      </c>
      <c r="H1839" s="83" t="s">
        <v>367</v>
      </c>
      <c r="I1839" s="83"/>
      <c r="J1839" s="83" t="s">
        <v>279</v>
      </c>
      <c r="K1839" s="83">
        <v>1</v>
      </c>
      <c r="L1839" s="83" t="s">
        <v>175</v>
      </c>
      <c r="M1839" s="83">
        <f>ROUNDDOWN(VLOOKUP(J1839,Sheet1!$N$32:$O$37,2,0)*1000,0)</f>
        <v>60</v>
      </c>
      <c r="N1839" s="83"/>
      <c r="O1839" s="83">
        <f t="shared" si="163"/>
        <v>0.000659145088819801</v>
      </c>
      <c r="P1839" s="83">
        <v>11011</v>
      </c>
    </row>
    <row r="1840" s="66" customFormat="1" spans="1:16">
      <c r="A1840" s="70">
        <v>1838</v>
      </c>
      <c r="B1840" s="83">
        <v>11500</v>
      </c>
      <c r="C1840" s="83">
        <v>6</v>
      </c>
      <c r="D1840" s="83">
        <f t="shared" si="162"/>
        <v>97797</v>
      </c>
      <c r="E1840" s="83">
        <f t="shared" si="164"/>
        <v>97857</v>
      </c>
      <c r="F1840" s="83"/>
      <c r="G1840" s="83" t="s">
        <v>302</v>
      </c>
      <c r="H1840" s="83" t="s">
        <v>368</v>
      </c>
      <c r="I1840" s="83"/>
      <c r="J1840" s="83" t="s">
        <v>279</v>
      </c>
      <c r="K1840" s="83">
        <v>1</v>
      </c>
      <c r="L1840" s="83" t="s">
        <v>175</v>
      </c>
      <c r="M1840" s="83">
        <f>ROUNDDOWN(VLOOKUP(J1840,Sheet1!$N$32:$O$37,2,0)*1000,0)</f>
        <v>60</v>
      </c>
      <c r="N1840" s="83"/>
      <c r="O1840" s="83">
        <f t="shared" si="163"/>
        <v>0.000659145088819801</v>
      </c>
      <c r="P1840" s="83">
        <v>11012</v>
      </c>
    </row>
    <row r="1841" s="66" customFormat="1" spans="1:16">
      <c r="A1841" s="70">
        <v>1839</v>
      </c>
      <c r="B1841" s="83">
        <v>11500</v>
      </c>
      <c r="C1841" s="83">
        <v>6</v>
      </c>
      <c r="D1841" s="83">
        <f t="shared" si="162"/>
        <v>97857</v>
      </c>
      <c r="E1841" s="83">
        <f t="shared" si="164"/>
        <v>97917</v>
      </c>
      <c r="F1841" s="83"/>
      <c r="G1841" s="83" t="s">
        <v>304</v>
      </c>
      <c r="H1841" s="83" t="s">
        <v>369</v>
      </c>
      <c r="I1841" s="83"/>
      <c r="J1841" s="83" t="s">
        <v>279</v>
      </c>
      <c r="K1841" s="83">
        <v>1</v>
      </c>
      <c r="L1841" s="83" t="s">
        <v>175</v>
      </c>
      <c r="M1841" s="83">
        <f>ROUNDDOWN(VLOOKUP(J1841,Sheet1!$N$32:$O$37,2,0)*1000,0)</f>
        <v>60</v>
      </c>
      <c r="N1841" s="83"/>
      <c r="O1841" s="83">
        <f t="shared" si="163"/>
        <v>0.000659145088819801</v>
      </c>
      <c r="P1841" s="83">
        <v>11013</v>
      </c>
    </row>
    <row r="1842" s="66" customFormat="1" spans="1:16">
      <c r="A1842" s="70">
        <v>1840</v>
      </c>
      <c r="B1842" s="83">
        <v>11500</v>
      </c>
      <c r="C1842" s="83">
        <v>6</v>
      </c>
      <c r="D1842" s="83">
        <f t="shared" si="162"/>
        <v>97917</v>
      </c>
      <c r="E1842" s="83">
        <f t="shared" si="164"/>
        <v>97977</v>
      </c>
      <c r="F1842" s="83"/>
      <c r="G1842" s="83" t="s">
        <v>306</v>
      </c>
      <c r="H1842" s="83" t="s">
        <v>370</v>
      </c>
      <c r="I1842" s="83"/>
      <c r="J1842" s="83" t="s">
        <v>279</v>
      </c>
      <c r="K1842" s="83">
        <v>1</v>
      </c>
      <c r="L1842" s="83" t="s">
        <v>175</v>
      </c>
      <c r="M1842" s="83">
        <f>ROUNDDOWN(VLOOKUP(J1842,Sheet1!$N$32:$O$37,2,0)*1000,0)</f>
        <v>60</v>
      </c>
      <c r="N1842" s="83"/>
      <c r="O1842" s="83">
        <f t="shared" si="163"/>
        <v>0.000659145088819801</v>
      </c>
      <c r="P1842" s="83">
        <v>11014</v>
      </c>
    </row>
    <row r="1843" s="66" customFormat="1" spans="1:16">
      <c r="A1843" s="70">
        <v>1841</v>
      </c>
      <c r="B1843" s="83">
        <v>11500</v>
      </c>
      <c r="C1843" s="83">
        <v>6</v>
      </c>
      <c r="D1843" s="83">
        <f t="shared" si="162"/>
        <v>97977</v>
      </c>
      <c r="E1843" s="83">
        <f t="shared" si="164"/>
        <v>98037</v>
      </c>
      <c r="F1843" s="83"/>
      <c r="G1843" s="83" t="s">
        <v>308</v>
      </c>
      <c r="H1843" s="83" t="s">
        <v>371</v>
      </c>
      <c r="I1843" s="83"/>
      <c r="J1843" s="83" t="s">
        <v>279</v>
      </c>
      <c r="K1843" s="83">
        <v>1</v>
      </c>
      <c r="L1843" s="83" t="s">
        <v>175</v>
      </c>
      <c r="M1843" s="83">
        <f>ROUNDDOWN(VLOOKUP(J1843,Sheet1!$N$32:$O$37,2,0)*1000,0)</f>
        <v>60</v>
      </c>
      <c r="N1843" s="83"/>
      <c r="O1843" s="83">
        <f t="shared" si="163"/>
        <v>0.000659145088819801</v>
      </c>
      <c r="P1843" s="83">
        <v>11015</v>
      </c>
    </row>
    <row r="1844" s="66" customFormat="1" spans="1:16">
      <c r="A1844" s="70">
        <v>1842</v>
      </c>
      <c r="B1844" s="83">
        <v>11500</v>
      </c>
      <c r="C1844" s="83">
        <v>6</v>
      </c>
      <c r="D1844" s="83">
        <f t="shared" si="162"/>
        <v>98037</v>
      </c>
      <c r="E1844" s="83">
        <f t="shared" si="164"/>
        <v>98097</v>
      </c>
      <c r="F1844" s="83"/>
      <c r="G1844" s="83" t="s">
        <v>310</v>
      </c>
      <c r="H1844" s="83" t="s">
        <v>372</v>
      </c>
      <c r="I1844" s="83"/>
      <c r="J1844" s="83" t="s">
        <v>279</v>
      </c>
      <c r="K1844" s="83">
        <v>1</v>
      </c>
      <c r="L1844" s="83" t="s">
        <v>175</v>
      </c>
      <c r="M1844" s="83">
        <f>ROUNDDOWN(VLOOKUP(J1844,Sheet1!$N$32:$O$37,2,0)*1000,0)</f>
        <v>60</v>
      </c>
      <c r="N1844" s="83"/>
      <c r="O1844" s="83">
        <f t="shared" si="163"/>
        <v>0.000659145088819801</v>
      </c>
      <c r="P1844" s="83">
        <v>11016</v>
      </c>
    </row>
    <row r="1845" s="66" customFormat="1" spans="1:16">
      <c r="A1845" s="70">
        <v>1843</v>
      </c>
      <c r="B1845" s="83">
        <v>11500</v>
      </c>
      <c r="C1845" s="83">
        <v>6</v>
      </c>
      <c r="D1845" s="83">
        <f t="shared" si="162"/>
        <v>98097</v>
      </c>
      <c r="E1845" s="83">
        <f t="shared" si="164"/>
        <v>98157</v>
      </c>
      <c r="F1845" s="83"/>
      <c r="G1845" s="83" t="s">
        <v>312</v>
      </c>
      <c r="H1845" s="83" t="s">
        <v>373</v>
      </c>
      <c r="I1845" s="83"/>
      <c r="J1845" s="83" t="s">
        <v>279</v>
      </c>
      <c r="K1845" s="83">
        <v>1</v>
      </c>
      <c r="L1845" s="83" t="s">
        <v>175</v>
      </c>
      <c r="M1845" s="83">
        <f>ROUNDDOWN(VLOOKUP(J1845,Sheet1!$N$32:$O$37,2,0)*1000,0)</f>
        <v>60</v>
      </c>
      <c r="N1845" s="83"/>
      <c r="O1845" s="83">
        <f t="shared" si="163"/>
        <v>0.000659145088819801</v>
      </c>
      <c r="P1845" s="83">
        <v>11017</v>
      </c>
    </row>
    <row r="1846" s="66" customFormat="1" spans="1:16">
      <c r="A1846" s="70">
        <v>1844</v>
      </c>
      <c r="B1846" s="83">
        <v>11500</v>
      </c>
      <c r="C1846" s="83">
        <v>6</v>
      </c>
      <c r="D1846" s="83">
        <f t="shared" si="162"/>
        <v>98157</v>
      </c>
      <c r="E1846" s="83">
        <f t="shared" si="164"/>
        <v>98217</v>
      </c>
      <c r="F1846" s="83"/>
      <c r="G1846" s="83" t="s">
        <v>314</v>
      </c>
      <c r="H1846" s="83" t="s">
        <v>374</v>
      </c>
      <c r="I1846" s="83"/>
      <c r="J1846" s="83" t="s">
        <v>279</v>
      </c>
      <c r="K1846" s="83">
        <v>1</v>
      </c>
      <c r="L1846" s="83" t="s">
        <v>175</v>
      </c>
      <c r="M1846" s="83">
        <f>ROUNDDOWN(VLOOKUP(J1846,Sheet1!$N$32:$O$37,2,0)*1000,0)</f>
        <v>60</v>
      </c>
      <c r="N1846" s="83"/>
      <c r="O1846" s="83">
        <f t="shared" si="163"/>
        <v>0.000659145088819801</v>
      </c>
      <c r="P1846" s="83">
        <v>11018</v>
      </c>
    </row>
    <row r="1847" s="66" customFormat="1" spans="1:16">
      <c r="A1847" s="70">
        <v>1845</v>
      </c>
      <c r="B1847" s="83">
        <v>11500</v>
      </c>
      <c r="C1847" s="83">
        <v>6</v>
      </c>
      <c r="D1847" s="83">
        <f t="shared" si="162"/>
        <v>98217</v>
      </c>
      <c r="E1847" s="83">
        <f t="shared" si="164"/>
        <v>98277</v>
      </c>
      <c r="F1847" s="83"/>
      <c r="G1847" s="83" t="s">
        <v>316</v>
      </c>
      <c r="H1847" s="83" t="s">
        <v>375</v>
      </c>
      <c r="I1847" s="83"/>
      <c r="J1847" s="83" t="s">
        <v>279</v>
      </c>
      <c r="K1847" s="83">
        <v>1</v>
      </c>
      <c r="L1847" s="83" t="s">
        <v>175</v>
      </c>
      <c r="M1847" s="83">
        <f>ROUNDDOWN(VLOOKUP(J1847,Sheet1!$N$32:$O$37,2,0)*1000,0)</f>
        <v>60</v>
      </c>
      <c r="N1847" s="83"/>
      <c r="O1847" s="83">
        <f t="shared" si="163"/>
        <v>0.000659145088819801</v>
      </c>
      <c r="P1847" s="83">
        <v>11019</v>
      </c>
    </row>
    <row r="1848" s="66" customFormat="1" spans="1:16">
      <c r="A1848" s="70">
        <v>1846</v>
      </c>
      <c r="B1848" s="83">
        <v>11500</v>
      </c>
      <c r="C1848" s="83">
        <v>6</v>
      </c>
      <c r="D1848" s="83">
        <f t="shared" ref="D1848:D1871" si="165">E1847</f>
        <v>98277</v>
      </c>
      <c r="E1848" s="83">
        <f t="shared" si="164"/>
        <v>98337</v>
      </c>
      <c r="F1848" s="83"/>
      <c r="G1848" s="83" t="s">
        <v>318</v>
      </c>
      <c r="H1848" s="83" t="s">
        <v>376</v>
      </c>
      <c r="I1848" s="83"/>
      <c r="J1848" s="83" t="s">
        <v>279</v>
      </c>
      <c r="K1848" s="83">
        <v>1</v>
      </c>
      <c r="L1848" s="83" t="s">
        <v>175</v>
      </c>
      <c r="M1848" s="83">
        <f>ROUNDDOWN(VLOOKUP(J1848,Sheet1!$N$32:$O$37,2,0)*1000,0)</f>
        <v>60</v>
      </c>
      <c r="N1848" s="83"/>
      <c r="O1848" s="83">
        <f t="shared" si="163"/>
        <v>0.000659145088819801</v>
      </c>
      <c r="P1848" s="83">
        <v>11020</v>
      </c>
    </row>
    <row r="1849" s="66" customFormat="1" spans="1:16">
      <c r="A1849" s="70">
        <v>1847</v>
      </c>
      <c r="B1849" s="83">
        <v>11500</v>
      </c>
      <c r="C1849" s="83">
        <v>6</v>
      </c>
      <c r="D1849" s="83">
        <f t="shared" si="165"/>
        <v>98337</v>
      </c>
      <c r="E1849" s="83">
        <f t="shared" si="164"/>
        <v>98397</v>
      </c>
      <c r="F1849" s="83"/>
      <c r="G1849" s="83" t="s">
        <v>320</v>
      </c>
      <c r="H1849" s="83" t="s">
        <v>377</v>
      </c>
      <c r="I1849" s="83"/>
      <c r="J1849" s="83" t="s">
        <v>279</v>
      </c>
      <c r="K1849" s="83">
        <v>1</v>
      </c>
      <c r="L1849" s="83" t="s">
        <v>175</v>
      </c>
      <c r="M1849" s="83">
        <f>ROUNDDOWN(VLOOKUP(J1849,Sheet1!$N$32:$O$37,2,0)*1000,0)</f>
        <v>60</v>
      </c>
      <c r="N1849" s="83"/>
      <c r="O1849" s="83">
        <f t="shared" si="163"/>
        <v>0.000659145088819801</v>
      </c>
      <c r="P1849" s="83">
        <v>11021</v>
      </c>
    </row>
    <row r="1850" s="66" customFormat="1" spans="1:16">
      <c r="A1850" s="70">
        <v>1848</v>
      </c>
      <c r="B1850" s="83">
        <v>11500</v>
      </c>
      <c r="C1850" s="83">
        <v>6</v>
      </c>
      <c r="D1850" s="83">
        <f t="shared" si="165"/>
        <v>98397</v>
      </c>
      <c r="E1850" s="83">
        <f t="shared" si="164"/>
        <v>98457</v>
      </c>
      <c r="F1850" s="83"/>
      <c r="G1850" s="83" t="s">
        <v>322</v>
      </c>
      <c r="H1850" s="83" t="s">
        <v>378</v>
      </c>
      <c r="I1850" s="83"/>
      <c r="J1850" s="83" t="s">
        <v>279</v>
      </c>
      <c r="K1850" s="83">
        <v>1</v>
      </c>
      <c r="L1850" s="83" t="s">
        <v>175</v>
      </c>
      <c r="M1850" s="83">
        <f>ROUNDDOWN(VLOOKUP(J1850,Sheet1!$N$32:$O$37,2,0)*1000,0)</f>
        <v>60</v>
      </c>
      <c r="N1850" s="83"/>
      <c r="O1850" s="83">
        <f t="shared" si="163"/>
        <v>0.000659145088819801</v>
      </c>
      <c r="P1850" s="83">
        <v>11022</v>
      </c>
    </row>
    <row r="1851" s="66" customFormat="1" spans="1:16">
      <c r="A1851" s="70">
        <v>1849</v>
      </c>
      <c r="B1851" s="83">
        <v>11500</v>
      </c>
      <c r="C1851" s="83">
        <v>6</v>
      </c>
      <c r="D1851" s="83">
        <f t="shared" si="165"/>
        <v>98457</v>
      </c>
      <c r="E1851" s="83">
        <f t="shared" si="164"/>
        <v>98517</v>
      </c>
      <c r="F1851" s="83"/>
      <c r="G1851" s="83" t="s">
        <v>324</v>
      </c>
      <c r="H1851" s="83" t="s">
        <v>379</v>
      </c>
      <c r="I1851" s="83"/>
      <c r="J1851" s="83" t="s">
        <v>279</v>
      </c>
      <c r="K1851" s="83">
        <v>1</v>
      </c>
      <c r="L1851" s="83" t="s">
        <v>175</v>
      </c>
      <c r="M1851" s="83">
        <f>ROUNDDOWN(VLOOKUP(J1851,Sheet1!$N$32:$O$37,2,0)*1000,0)</f>
        <v>60</v>
      </c>
      <c r="N1851" s="83"/>
      <c r="O1851" s="83">
        <f t="shared" si="163"/>
        <v>0.000659145088819801</v>
      </c>
      <c r="P1851" s="83">
        <v>11023</v>
      </c>
    </row>
    <row r="1852" s="66" customFormat="1" spans="1:16">
      <c r="A1852" s="70">
        <v>1850</v>
      </c>
      <c r="B1852" s="83">
        <v>11500</v>
      </c>
      <c r="C1852" s="83">
        <v>6</v>
      </c>
      <c r="D1852" s="83">
        <f t="shared" si="165"/>
        <v>98517</v>
      </c>
      <c r="E1852" s="83">
        <f t="shared" si="164"/>
        <v>98577</v>
      </c>
      <c r="F1852" s="83"/>
      <c r="G1852" s="83" t="s">
        <v>326</v>
      </c>
      <c r="H1852" s="83" t="s">
        <v>380</v>
      </c>
      <c r="I1852" s="83"/>
      <c r="J1852" s="83" t="s">
        <v>279</v>
      </c>
      <c r="K1852" s="83">
        <v>1</v>
      </c>
      <c r="L1852" s="83" t="s">
        <v>175</v>
      </c>
      <c r="M1852" s="83">
        <f>ROUNDDOWN(VLOOKUP(J1852,Sheet1!$N$32:$O$37,2,0)*1000,0)</f>
        <v>60</v>
      </c>
      <c r="N1852" s="83"/>
      <c r="O1852" s="83">
        <f t="shared" si="163"/>
        <v>0.000659145088819801</v>
      </c>
      <c r="P1852" s="83">
        <v>11024</v>
      </c>
    </row>
    <row r="1853" s="66" customFormat="1" spans="1:16">
      <c r="A1853" s="70">
        <v>1851</v>
      </c>
      <c r="B1853" s="83">
        <v>11500</v>
      </c>
      <c r="C1853" s="83">
        <v>6</v>
      </c>
      <c r="D1853" s="83">
        <f t="shared" si="165"/>
        <v>98577</v>
      </c>
      <c r="E1853" s="83">
        <f t="shared" si="164"/>
        <v>98637</v>
      </c>
      <c r="F1853" s="83"/>
      <c r="G1853" s="83" t="s">
        <v>328</v>
      </c>
      <c r="H1853" s="83" t="s">
        <v>381</v>
      </c>
      <c r="I1853" s="83"/>
      <c r="J1853" s="83" t="s">
        <v>279</v>
      </c>
      <c r="K1853" s="83">
        <v>1</v>
      </c>
      <c r="L1853" s="83" t="s">
        <v>175</v>
      </c>
      <c r="M1853" s="83">
        <f>ROUNDDOWN(VLOOKUP(J1853,Sheet1!$N$32:$O$37,2,0)*1000,0)</f>
        <v>60</v>
      </c>
      <c r="N1853" s="83"/>
      <c r="O1853" s="83">
        <f t="shared" si="163"/>
        <v>0.000659145088819801</v>
      </c>
      <c r="P1853" s="83">
        <v>11025</v>
      </c>
    </row>
    <row r="1854" s="66" customFormat="1" spans="1:16">
      <c r="A1854" s="70">
        <v>1852</v>
      </c>
      <c r="B1854" s="83">
        <v>11500</v>
      </c>
      <c r="C1854" s="83">
        <v>6</v>
      </c>
      <c r="D1854" s="83">
        <f t="shared" si="165"/>
        <v>98637</v>
      </c>
      <c r="E1854" s="83">
        <f t="shared" si="164"/>
        <v>98697</v>
      </c>
      <c r="F1854" s="83"/>
      <c r="G1854" s="83" t="s">
        <v>330</v>
      </c>
      <c r="H1854" s="83" t="s">
        <v>382</v>
      </c>
      <c r="I1854" s="83"/>
      <c r="J1854" s="83" t="s">
        <v>279</v>
      </c>
      <c r="K1854" s="83">
        <v>1</v>
      </c>
      <c r="L1854" s="83" t="s">
        <v>175</v>
      </c>
      <c r="M1854" s="83">
        <f>ROUNDDOWN(VLOOKUP(J1854,Sheet1!$N$32:$O$37,2,0)*1000,0)</f>
        <v>60</v>
      </c>
      <c r="N1854" s="83"/>
      <c r="O1854" s="83">
        <f t="shared" ref="O1854:O1871" si="166">(E1854-D1854)/$E$438</f>
        <v>0.000659145088819801</v>
      </c>
      <c r="P1854" s="83">
        <v>11026</v>
      </c>
    </row>
    <row r="1855" s="66" customFormat="1" spans="1:16">
      <c r="A1855" s="70">
        <v>1853</v>
      </c>
      <c r="B1855" s="83">
        <v>11500</v>
      </c>
      <c r="C1855" s="83">
        <v>6</v>
      </c>
      <c r="D1855" s="83">
        <f t="shared" si="165"/>
        <v>98697</v>
      </c>
      <c r="E1855" s="83">
        <f t="shared" si="164"/>
        <v>98757</v>
      </c>
      <c r="F1855" s="83"/>
      <c r="G1855" s="83" t="s">
        <v>332</v>
      </c>
      <c r="H1855" s="83" t="s">
        <v>383</v>
      </c>
      <c r="I1855" s="83"/>
      <c r="J1855" s="83" t="s">
        <v>279</v>
      </c>
      <c r="K1855" s="83">
        <v>1</v>
      </c>
      <c r="L1855" s="83" t="s">
        <v>175</v>
      </c>
      <c r="M1855" s="83">
        <f>ROUNDDOWN(VLOOKUP(J1855,Sheet1!$N$32:$O$37,2,0)*1000,0)</f>
        <v>60</v>
      </c>
      <c r="N1855" s="83"/>
      <c r="O1855" s="83">
        <f t="shared" si="166"/>
        <v>0.000659145088819801</v>
      </c>
      <c r="P1855" s="83">
        <v>11027</v>
      </c>
    </row>
    <row r="1856" s="66" customFormat="1" spans="1:16">
      <c r="A1856" s="70">
        <v>1854</v>
      </c>
      <c r="B1856" s="83">
        <v>11500</v>
      </c>
      <c r="C1856" s="83">
        <v>6</v>
      </c>
      <c r="D1856" s="83">
        <f t="shared" si="165"/>
        <v>98757</v>
      </c>
      <c r="E1856" s="83">
        <f t="shared" si="164"/>
        <v>98817</v>
      </c>
      <c r="F1856" s="83"/>
      <c r="G1856" s="83" t="s">
        <v>334</v>
      </c>
      <c r="H1856" s="83" t="s">
        <v>384</v>
      </c>
      <c r="I1856" s="83"/>
      <c r="J1856" s="83" t="s">
        <v>279</v>
      </c>
      <c r="K1856" s="83">
        <v>1</v>
      </c>
      <c r="L1856" s="83" t="s">
        <v>175</v>
      </c>
      <c r="M1856" s="83">
        <f>ROUNDDOWN(VLOOKUP(J1856,Sheet1!$N$32:$O$37,2,0)*1000,0)</f>
        <v>60</v>
      </c>
      <c r="N1856" s="83"/>
      <c r="O1856" s="83">
        <f t="shared" si="166"/>
        <v>0.000659145088819801</v>
      </c>
      <c r="P1856" s="83">
        <v>11028</v>
      </c>
    </row>
    <row r="1857" s="66" customFormat="1" spans="1:16">
      <c r="A1857" s="70">
        <v>1855</v>
      </c>
      <c r="B1857" s="83">
        <v>11500</v>
      </c>
      <c r="C1857" s="83">
        <v>6</v>
      </c>
      <c r="D1857" s="83">
        <f t="shared" si="165"/>
        <v>98817</v>
      </c>
      <c r="E1857" s="83">
        <f t="shared" si="164"/>
        <v>98877</v>
      </c>
      <c r="F1857" s="83"/>
      <c r="G1857" s="83" t="s">
        <v>336</v>
      </c>
      <c r="H1857" s="83" t="s">
        <v>385</v>
      </c>
      <c r="I1857" s="83"/>
      <c r="J1857" s="83" t="s">
        <v>279</v>
      </c>
      <c r="K1857" s="83">
        <v>1</v>
      </c>
      <c r="L1857" s="83" t="s">
        <v>175</v>
      </c>
      <c r="M1857" s="83">
        <f>ROUNDDOWN(VLOOKUP(J1857,Sheet1!$N$32:$O$37,2,0)*1000,0)</f>
        <v>60</v>
      </c>
      <c r="N1857" s="83"/>
      <c r="O1857" s="83">
        <f t="shared" si="166"/>
        <v>0.000659145088819801</v>
      </c>
      <c r="P1857" s="83">
        <v>11029</v>
      </c>
    </row>
    <row r="1858" s="66" customFormat="1" spans="1:16">
      <c r="A1858" s="70">
        <v>1856</v>
      </c>
      <c r="B1858" s="83">
        <v>11500</v>
      </c>
      <c r="C1858" s="83">
        <v>6</v>
      </c>
      <c r="D1858" s="83">
        <f t="shared" si="165"/>
        <v>98877</v>
      </c>
      <c r="E1858" s="83">
        <f t="shared" si="164"/>
        <v>98937</v>
      </c>
      <c r="F1858" s="83"/>
      <c r="G1858" s="83" t="s">
        <v>338</v>
      </c>
      <c r="H1858" s="83" t="s">
        <v>386</v>
      </c>
      <c r="I1858" s="83"/>
      <c r="J1858" s="83" t="s">
        <v>279</v>
      </c>
      <c r="K1858" s="83">
        <v>1</v>
      </c>
      <c r="L1858" s="83" t="s">
        <v>175</v>
      </c>
      <c r="M1858" s="83">
        <f>ROUNDDOWN(VLOOKUP(J1858,Sheet1!$N$32:$O$37,2,0)*1000,0)</f>
        <v>60</v>
      </c>
      <c r="N1858" s="83"/>
      <c r="O1858" s="83">
        <f t="shared" si="166"/>
        <v>0.000659145088819801</v>
      </c>
      <c r="P1858" s="83">
        <v>11030</v>
      </c>
    </row>
    <row r="1859" s="66" customFormat="1" spans="1:16">
      <c r="A1859" s="70">
        <v>1857</v>
      </c>
      <c r="B1859" s="83">
        <v>11500</v>
      </c>
      <c r="C1859" s="83">
        <v>6</v>
      </c>
      <c r="D1859" s="83">
        <f t="shared" si="165"/>
        <v>98937</v>
      </c>
      <c r="E1859" s="83">
        <f t="shared" si="164"/>
        <v>98997</v>
      </c>
      <c r="F1859" s="83"/>
      <c r="G1859" s="83" t="s">
        <v>340</v>
      </c>
      <c r="H1859" s="83" t="s">
        <v>387</v>
      </c>
      <c r="I1859" s="83"/>
      <c r="J1859" s="83" t="s">
        <v>279</v>
      </c>
      <c r="K1859" s="83">
        <v>1</v>
      </c>
      <c r="L1859" s="83" t="s">
        <v>175</v>
      </c>
      <c r="M1859" s="83">
        <f>ROUNDDOWN(VLOOKUP(J1859,Sheet1!$N$32:$O$37,2,0)*1000,0)</f>
        <v>60</v>
      </c>
      <c r="N1859" s="83"/>
      <c r="O1859" s="83">
        <f t="shared" si="166"/>
        <v>0.000659145088819801</v>
      </c>
      <c r="P1859" s="83">
        <v>11031</v>
      </c>
    </row>
    <row r="1860" s="66" customFormat="1" spans="1:16">
      <c r="A1860" s="70">
        <v>1858</v>
      </c>
      <c r="B1860" s="83">
        <v>11500</v>
      </c>
      <c r="C1860" s="83">
        <v>6</v>
      </c>
      <c r="D1860" s="83">
        <f t="shared" si="165"/>
        <v>98997</v>
      </c>
      <c r="E1860" s="83">
        <f t="shared" si="164"/>
        <v>99057</v>
      </c>
      <c r="F1860" s="83"/>
      <c r="G1860" s="83" t="s">
        <v>342</v>
      </c>
      <c r="H1860" s="83" t="s">
        <v>388</v>
      </c>
      <c r="I1860" s="83"/>
      <c r="J1860" s="83" t="s">
        <v>279</v>
      </c>
      <c r="K1860" s="83">
        <v>1</v>
      </c>
      <c r="L1860" s="83" t="s">
        <v>175</v>
      </c>
      <c r="M1860" s="83">
        <f>ROUNDDOWN(VLOOKUP(J1860,Sheet1!$N$32:$O$37,2,0)*1000,0)</f>
        <v>60</v>
      </c>
      <c r="N1860" s="83"/>
      <c r="O1860" s="83">
        <f t="shared" si="166"/>
        <v>0.000659145088819801</v>
      </c>
      <c r="P1860" s="83">
        <v>11032</v>
      </c>
    </row>
    <row r="1861" s="66" customFormat="1" spans="1:16">
      <c r="A1861" s="70">
        <v>1859</v>
      </c>
      <c r="B1861" s="83">
        <v>11500</v>
      </c>
      <c r="C1861" s="83">
        <v>6</v>
      </c>
      <c r="D1861" s="83">
        <f t="shared" si="165"/>
        <v>99057</v>
      </c>
      <c r="E1861" s="83">
        <f t="shared" si="164"/>
        <v>99117</v>
      </c>
      <c r="F1861" s="83"/>
      <c r="G1861" s="83" t="s">
        <v>344</v>
      </c>
      <c r="H1861" s="83" t="s">
        <v>389</v>
      </c>
      <c r="I1861" s="83"/>
      <c r="J1861" s="83" t="s">
        <v>279</v>
      </c>
      <c r="K1861" s="83">
        <v>1</v>
      </c>
      <c r="L1861" s="83" t="s">
        <v>175</v>
      </c>
      <c r="M1861" s="83">
        <f>ROUNDDOWN(VLOOKUP(J1861,Sheet1!$N$32:$O$37,2,0)*1000,0)</f>
        <v>60</v>
      </c>
      <c r="N1861" s="83"/>
      <c r="O1861" s="83">
        <f t="shared" si="166"/>
        <v>0.000659145088819801</v>
      </c>
      <c r="P1861" s="83">
        <v>11033</v>
      </c>
    </row>
    <row r="1862" s="66" customFormat="1" spans="1:16">
      <c r="A1862" s="70">
        <v>1860</v>
      </c>
      <c r="B1862" s="83">
        <v>11500</v>
      </c>
      <c r="C1862" s="83">
        <v>6</v>
      </c>
      <c r="D1862" s="83">
        <f t="shared" si="165"/>
        <v>99117</v>
      </c>
      <c r="E1862" s="83">
        <f t="shared" si="164"/>
        <v>99177</v>
      </c>
      <c r="F1862" s="83"/>
      <c r="G1862" s="83" t="s">
        <v>346</v>
      </c>
      <c r="H1862" s="83" t="s">
        <v>390</v>
      </c>
      <c r="I1862" s="83"/>
      <c r="J1862" s="83" t="s">
        <v>279</v>
      </c>
      <c r="K1862" s="83">
        <v>1</v>
      </c>
      <c r="L1862" s="83" t="s">
        <v>175</v>
      </c>
      <c r="M1862" s="83">
        <f>ROUNDDOWN(VLOOKUP(J1862,Sheet1!$N$32:$O$37,2,0)*1000,0)</f>
        <v>60</v>
      </c>
      <c r="N1862" s="83"/>
      <c r="O1862" s="83">
        <f t="shared" si="166"/>
        <v>0.000659145088819801</v>
      </c>
      <c r="P1862" s="83">
        <v>11034</v>
      </c>
    </row>
    <row r="1863" s="66" customFormat="1" spans="1:16">
      <c r="A1863" s="70">
        <v>1861</v>
      </c>
      <c r="B1863" s="83">
        <v>11500</v>
      </c>
      <c r="C1863" s="83">
        <v>6</v>
      </c>
      <c r="D1863" s="83">
        <f t="shared" si="165"/>
        <v>99177</v>
      </c>
      <c r="E1863" s="83">
        <f t="shared" si="164"/>
        <v>99237</v>
      </c>
      <c r="F1863" s="83"/>
      <c r="G1863" s="83" t="s">
        <v>348</v>
      </c>
      <c r="H1863" s="83" t="s">
        <v>391</v>
      </c>
      <c r="I1863" s="83"/>
      <c r="J1863" s="83" t="s">
        <v>279</v>
      </c>
      <c r="K1863" s="83">
        <v>1</v>
      </c>
      <c r="L1863" s="83" t="s">
        <v>175</v>
      </c>
      <c r="M1863" s="83">
        <f>ROUNDDOWN(VLOOKUP(J1863,Sheet1!$N$32:$O$37,2,0)*1000,0)</f>
        <v>60</v>
      </c>
      <c r="N1863" s="83"/>
      <c r="O1863" s="83">
        <f t="shared" si="166"/>
        <v>0.000659145088819801</v>
      </c>
      <c r="P1863" s="83">
        <v>11035</v>
      </c>
    </row>
    <row r="1864" s="66" customFormat="1" spans="1:16">
      <c r="A1864" s="70">
        <v>1862</v>
      </c>
      <c r="B1864" s="83">
        <v>11500</v>
      </c>
      <c r="C1864" s="83">
        <v>6</v>
      </c>
      <c r="D1864" s="83">
        <f t="shared" si="165"/>
        <v>99237</v>
      </c>
      <c r="E1864" s="83">
        <f t="shared" si="164"/>
        <v>99297</v>
      </c>
      <c r="F1864" s="83"/>
      <c r="G1864" s="83" t="s">
        <v>350</v>
      </c>
      <c r="H1864" s="83" t="s">
        <v>392</v>
      </c>
      <c r="I1864" s="83"/>
      <c r="J1864" s="83" t="s">
        <v>279</v>
      </c>
      <c r="K1864" s="83">
        <v>1</v>
      </c>
      <c r="L1864" s="83" t="s">
        <v>175</v>
      </c>
      <c r="M1864" s="83">
        <f>ROUNDDOWN(VLOOKUP(J1864,Sheet1!$N$32:$O$37,2,0)*1000,0)</f>
        <v>60</v>
      </c>
      <c r="N1864" s="83"/>
      <c r="O1864" s="83">
        <f t="shared" si="166"/>
        <v>0.000659145088819801</v>
      </c>
      <c r="P1864" s="83">
        <v>11036</v>
      </c>
    </row>
    <row r="1865" s="66" customFormat="1" spans="1:16">
      <c r="A1865" s="70">
        <v>1863</v>
      </c>
      <c r="B1865" s="83">
        <v>11500</v>
      </c>
      <c r="C1865" s="83">
        <v>6</v>
      </c>
      <c r="D1865" s="83">
        <f t="shared" si="165"/>
        <v>99297</v>
      </c>
      <c r="E1865" s="83">
        <f t="shared" si="164"/>
        <v>99357</v>
      </c>
      <c r="F1865" s="83"/>
      <c r="G1865" s="83" t="s">
        <v>352</v>
      </c>
      <c r="H1865" s="83" t="s">
        <v>393</v>
      </c>
      <c r="I1865" s="83"/>
      <c r="J1865" s="83" t="s">
        <v>279</v>
      </c>
      <c r="K1865" s="83">
        <v>1</v>
      </c>
      <c r="L1865" s="83" t="s">
        <v>175</v>
      </c>
      <c r="M1865" s="83">
        <f>ROUNDDOWN(VLOOKUP(J1865,Sheet1!$N$32:$O$37,2,0)*1000,0)</f>
        <v>60</v>
      </c>
      <c r="N1865" s="83"/>
      <c r="O1865" s="83">
        <f t="shared" si="166"/>
        <v>0.000659145088819801</v>
      </c>
      <c r="P1865" s="83">
        <v>11037</v>
      </c>
    </row>
    <row r="1866" s="66" customFormat="1" spans="1:16">
      <c r="A1866" s="70">
        <v>1864</v>
      </c>
      <c r="B1866" s="83">
        <v>11500</v>
      </c>
      <c r="C1866" s="83">
        <v>6</v>
      </c>
      <c r="D1866" s="83">
        <f t="shared" si="165"/>
        <v>99357</v>
      </c>
      <c r="E1866" s="83">
        <f t="shared" si="164"/>
        <v>99417</v>
      </c>
      <c r="F1866" s="83"/>
      <c r="G1866" s="83" t="s">
        <v>354</v>
      </c>
      <c r="H1866" s="83" t="s">
        <v>394</v>
      </c>
      <c r="I1866" s="83"/>
      <c r="J1866" s="83" t="s">
        <v>279</v>
      </c>
      <c r="K1866" s="83">
        <v>1</v>
      </c>
      <c r="L1866" s="83" t="s">
        <v>175</v>
      </c>
      <c r="M1866" s="83">
        <f>ROUNDDOWN(VLOOKUP(J1866,Sheet1!$N$32:$O$37,2,0)*1000,0)</f>
        <v>60</v>
      </c>
      <c r="N1866" s="83"/>
      <c r="O1866" s="83">
        <f t="shared" si="166"/>
        <v>0.000659145088819801</v>
      </c>
      <c r="P1866" s="83">
        <v>11038</v>
      </c>
    </row>
    <row r="1867" s="66" customFormat="1" spans="1:16">
      <c r="A1867" s="70">
        <v>1865</v>
      </c>
      <c r="B1867" s="83">
        <v>11500</v>
      </c>
      <c r="C1867" s="83">
        <v>6</v>
      </c>
      <c r="D1867" s="83">
        <f t="shared" si="165"/>
        <v>99417</v>
      </c>
      <c r="E1867" s="83">
        <f t="shared" si="164"/>
        <v>99477</v>
      </c>
      <c r="F1867" s="83"/>
      <c r="G1867" s="83" t="s">
        <v>346</v>
      </c>
      <c r="H1867" s="83" t="s">
        <v>395</v>
      </c>
      <c r="I1867" s="83"/>
      <c r="J1867" s="83" t="s">
        <v>279</v>
      </c>
      <c r="K1867" s="83">
        <v>1</v>
      </c>
      <c r="L1867" s="83" t="s">
        <v>175</v>
      </c>
      <c r="M1867" s="83">
        <f>ROUNDDOWN(VLOOKUP(J1867,Sheet1!$N$32:$O$37,2,0)*1000,0)</f>
        <v>60</v>
      </c>
      <c r="N1867" s="83"/>
      <c r="O1867" s="83">
        <f t="shared" si="166"/>
        <v>0.000659145088819801</v>
      </c>
      <c r="P1867" s="83">
        <v>11034</v>
      </c>
    </row>
    <row r="1868" s="66" customFormat="1" spans="1:16">
      <c r="A1868" s="70">
        <v>1866</v>
      </c>
      <c r="B1868" s="83">
        <v>11500</v>
      </c>
      <c r="C1868" s="83">
        <v>6</v>
      </c>
      <c r="D1868" s="83">
        <f t="shared" si="165"/>
        <v>99477</v>
      </c>
      <c r="E1868" s="83">
        <f t="shared" si="164"/>
        <v>99537</v>
      </c>
      <c r="F1868" s="83"/>
      <c r="G1868" s="83" t="s">
        <v>348</v>
      </c>
      <c r="H1868" s="83" t="s">
        <v>396</v>
      </c>
      <c r="I1868" s="83"/>
      <c r="J1868" s="83" t="s">
        <v>279</v>
      </c>
      <c r="K1868" s="83">
        <v>1</v>
      </c>
      <c r="L1868" s="83" t="s">
        <v>175</v>
      </c>
      <c r="M1868" s="83">
        <f>ROUNDDOWN(VLOOKUP(J1868,Sheet1!$N$32:$O$37,2,0)*1000,0)</f>
        <v>60</v>
      </c>
      <c r="N1868" s="83"/>
      <c r="O1868" s="83">
        <f t="shared" si="166"/>
        <v>0.000659145088819801</v>
      </c>
      <c r="P1868" s="83">
        <v>11035</v>
      </c>
    </row>
    <row r="1869" s="66" customFormat="1" spans="1:16">
      <c r="A1869" s="70">
        <v>1867</v>
      </c>
      <c r="B1869" s="83">
        <v>11500</v>
      </c>
      <c r="C1869" s="83">
        <v>6</v>
      </c>
      <c r="D1869" s="83">
        <f t="shared" si="165"/>
        <v>99537</v>
      </c>
      <c r="E1869" s="83">
        <f t="shared" si="164"/>
        <v>99597</v>
      </c>
      <c r="F1869" s="83"/>
      <c r="G1869" s="83" t="s">
        <v>350</v>
      </c>
      <c r="H1869" s="83" t="s">
        <v>397</v>
      </c>
      <c r="I1869" s="83"/>
      <c r="J1869" s="83" t="s">
        <v>279</v>
      </c>
      <c r="K1869" s="83">
        <v>1</v>
      </c>
      <c r="L1869" s="83" t="s">
        <v>175</v>
      </c>
      <c r="M1869" s="83">
        <f>ROUNDDOWN(VLOOKUP(J1869,Sheet1!$N$32:$O$37,2,0)*1000,0)</f>
        <v>60</v>
      </c>
      <c r="N1869" s="83"/>
      <c r="O1869" s="83">
        <f t="shared" si="166"/>
        <v>0.000659145088819801</v>
      </c>
      <c r="P1869" s="83">
        <v>11036</v>
      </c>
    </row>
    <row r="1870" s="66" customFormat="1" spans="1:16">
      <c r="A1870" s="70">
        <v>1868</v>
      </c>
      <c r="B1870" s="83">
        <v>11500</v>
      </c>
      <c r="C1870" s="83">
        <v>6</v>
      </c>
      <c r="D1870" s="83">
        <f t="shared" si="165"/>
        <v>99597</v>
      </c>
      <c r="E1870" s="83">
        <f t="shared" si="164"/>
        <v>99657</v>
      </c>
      <c r="F1870" s="83"/>
      <c r="G1870" s="83" t="s">
        <v>352</v>
      </c>
      <c r="H1870" s="83" t="s">
        <v>398</v>
      </c>
      <c r="I1870" s="83"/>
      <c r="J1870" s="83" t="s">
        <v>279</v>
      </c>
      <c r="K1870" s="83">
        <v>1</v>
      </c>
      <c r="L1870" s="83" t="s">
        <v>175</v>
      </c>
      <c r="M1870" s="83">
        <f>ROUNDDOWN(VLOOKUP(J1870,Sheet1!$N$32:$O$37,2,0)*1000,0)</f>
        <v>60</v>
      </c>
      <c r="N1870" s="83"/>
      <c r="O1870" s="83">
        <f t="shared" si="166"/>
        <v>0.000659145088819801</v>
      </c>
      <c r="P1870" s="83">
        <v>11037</v>
      </c>
    </row>
    <row r="1871" s="66" customFormat="1" spans="1:16">
      <c r="A1871" s="70">
        <v>1869</v>
      </c>
      <c r="B1871" s="83">
        <v>11500</v>
      </c>
      <c r="C1871" s="83">
        <v>6</v>
      </c>
      <c r="D1871" s="83">
        <f t="shared" si="165"/>
        <v>99657</v>
      </c>
      <c r="E1871" s="83">
        <f t="shared" si="164"/>
        <v>99717</v>
      </c>
      <c r="F1871" s="83"/>
      <c r="G1871" s="83" t="s">
        <v>354</v>
      </c>
      <c r="H1871" s="83" t="s">
        <v>399</v>
      </c>
      <c r="I1871" s="83"/>
      <c r="J1871" s="83" t="s">
        <v>279</v>
      </c>
      <c r="K1871" s="83">
        <v>1</v>
      </c>
      <c r="L1871" s="83" t="s">
        <v>175</v>
      </c>
      <c r="M1871" s="83">
        <f>ROUNDDOWN(VLOOKUP(J1871,Sheet1!$N$32:$O$37,2,0)*1000,0)</f>
        <v>60</v>
      </c>
      <c r="N1871" s="83"/>
      <c r="O1871" s="83">
        <f t="shared" si="166"/>
        <v>0.000659145088819801</v>
      </c>
      <c r="P1871" s="83">
        <v>11038</v>
      </c>
    </row>
    <row r="1872" spans="1:16">
      <c r="A1872" s="79">
        <v>1870</v>
      </c>
      <c r="B1872" s="83">
        <v>11600</v>
      </c>
      <c r="C1872" s="83">
        <v>6</v>
      </c>
      <c r="D1872" s="83">
        <v>0</v>
      </c>
      <c r="E1872" s="83">
        <f>M1872</f>
        <v>350</v>
      </c>
      <c r="F1872" s="83"/>
      <c r="G1872" s="83">
        <v>95101018</v>
      </c>
      <c r="H1872" s="83" t="s">
        <v>198</v>
      </c>
      <c r="I1872" s="83" t="s">
        <v>199</v>
      </c>
      <c r="J1872" s="83" t="s">
        <v>200</v>
      </c>
      <c r="K1872" s="83">
        <v>1</v>
      </c>
      <c r="L1872" s="83" t="s">
        <v>177</v>
      </c>
      <c r="M1872" s="83">
        <f>ROUNDDOWN(VLOOKUP(J1872,Sheet1!$N$32:$O$37,2,0)*1000,0)+100</f>
        <v>350</v>
      </c>
      <c r="N1872" s="83"/>
      <c r="O1872" s="83">
        <f>(E1872-D1872)/$E$1972</f>
        <v>0.00347577385622213</v>
      </c>
      <c r="P1872" s="83">
        <v>11800</v>
      </c>
    </row>
    <row r="1873" spans="1:16">
      <c r="A1873" s="79">
        <v>1871</v>
      </c>
      <c r="B1873" s="83">
        <v>11600</v>
      </c>
      <c r="C1873" s="83">
        <v>6</v>
      </c>
      <c r="D1873" s="83">
        <f>E1872</f>
        <v>350</v>
      </c>
      <c r="E1873" s="83">
        <f t="shared" ref="E1873:E1904" si="167">D1873+M1873</f>
        <v>700</v>
      </c>
      <c r="F1873" s="83"/>
      <c r="G1873" s="83">
        <v>95101028</v>
      </c>
      <c r="H1873" s="83" t="s">
        <v>201</v>
      </c>
      <c r="I1873" s="83" t="s">
        <v>199</v>
      </c>
      <c r="J1873" s="83" t="s">
        <v>200</v>
      </c>
      <c r="K1873" s="83">
        <v>1</v>
      </c>
      <c r="L1873" s="83" t="s">
        <v>177</v>
      </c>
      <c r="M1873" s="83">
        <f>ROUNDDOWN(VLOOKUP(J1873,Sheet1!$N$32:$O$37,2,0)*1000,0)+100</f>
        <v>350</v>
      </c>
      <c r="N1873" s="83"/>
      <c r="O1873" s="83"/>
      <c r="P1873" s="83"/>
    </row>
    <row r="1874" spans="1:16">
      <c r="A1874" s="79">
        <v>1872</v>
      </c>
      <c r="B1874" s="83">
        <v>11600</v>
      </c>
      <c r="C1874" s="83">
        <v>6</v>
      </c>
      <c r="D1874" s="83">
        <f t="shared" ref="D1874:D1901" si="168">E1873</f>
        <v>700</v>
      </c>
      <c r="E1874" s="83">
        <f t="shared" si="167"/>
        <v>1050</v>
      </c>
      <c r="F1874" s="83"/>
      <c r="G1874" s="83">
        <v>95102018</v>
      </c>
      <c r="H1874" s="83" t="s">
        <v>202</v>
      </c>
      <c r="I1874" s="83" t="s">
        <v>199</v>
      </c>
      <c r="J1874" s="83" t="s">
        <v>200</v>
      </c>
      <c r="K1874" s="83">
        <v>1</v>
      </c>
      <c r="L1874" s="83" t="s">
        <v>177</v>
      </c>
      <c r="M1874" s="83">
        <f>ROUNDDOWN(VLOOKUP(J1874,Sheet1!$N$32:$O$37,2,0)*1000,0)+100</f>
        <v>350</v>
      </c>
      <c r="N1874" s="83"/>
      <c r="O1874" s="83"/>
      <c r="P1874" s="83"/>
    </row>
    <row r="1875" spans="1:16">
      <c r="A1875" s="79">
        <v>1873</v>
      </c>
      <c r="B1875" s="83">
        <v>11600</v>
      </c>
      <c r="C1875" s="83">
        <v>6</v>
      </c>
      <c r="D1875" s="83">
        <f t="shared" si="168"/>
        <v>1050</v>
      </c>
      <c r="E1875" s="83">
        <f t="shared" si="167"/>
        <v>1400</v>
      </c>
      <c r="F1875" s="83"/>
      <c r="G1875" s="83">
        <v>95102028</v>
      </c>
      <c r="H1875" s="83" t="s">
        <v>203</v>
      </c>
      <c r="I1875" s="83" t="s">
        <v>199</v>
      </c>
      <c r="J1875" s="83" t="s">
        <v>200</v>
      </c>
      <c r="K1875" s="83">
        <v>1</v>
      </c>
      <c r="L1875" s="83" t="s">
        <v>177</v>
      </c>
      <c r="M1875" s="83">
        <f>ROUNDDOWN(VLOOKUP(J1875,Sheet1!$N$32:$O$37,2,0)*1000,0)+100</f>
        <v>350</v>
      </c>
      <c r="N1875" s="83"/>
      <c r="O1875" s="83">
        <f t="shared" ref="O1875:O1887" si="169">(E1875-D1875)/$E$1972</f>
        <v>0.00347577385622213</v>
      </c>
      <c r="P1875" s="83">
        <v>11800</v>
      </c>
    </row>
    <row r="1876" spans="1:16">
      <c r="A1876" s="79">
        <v>1874</v>
      </c>
      <c r="B1876" s="83">
        <v>11600</v>
      </c>
      <c r="C1876" s="83">
        <v>6</v>
      </c>
      <c r="D1876" s="83">
        <f t="shared" si="168"/>
        <v>1400</v>
      </c>
      <c r="E1876" s="83">
        <f t="shared" si="167"/>
        <v>1750</v>
      </c>
      <c r="F1876" s="83"/>
      <c r="G1876" s="83">
        <v>95103018</v>
      </c>
      <c r="H1876" s="83" t="s">
        <v>204</v>
      </c>
      <c r="I1876" s="83" t="s">
        <v>199</v>
      </c>
      <c r="J1876" s="83" t="s">
        <v>200</v>
      </c>
      <c r="K1876" s="83">
        <v>1</v>
      </c>
      <c r="L1876" s="83" t="s">
        <v>177</v>
      </c>
      <c r="M1876" s="83">
        <f>ROUNDDOWN(VLOOKUP(J1876,Sheet1!$N$32:$O$37,2,0)*1000,0)+100</f>
        <v>350</v>
      </c>
      <c r="N1876" s="83"/>
      <c r="O1876" s="83">
        <f t="shared" si="169"/>
        <v>0.00347577385622213</v>
      </c>
      <c r="P1876" s="83">
        <v>11800</v>
      </c>
    </row>
    <row r="1877" spans="1:16">
      <c r="A1877" s="79">
        <v>1875</v>
      </c>
      <c r="B1877" s="83">
        <v>11600</v>
      </c>
      <c r="C1877" s="83">
        <v>6</v>
      </c>
      <c r="D1877" s="83">
        <f t="shared" si="168"/>
        <v>1750</v>
      </c>
      <c r="E1877" s="83">
        <f t="shared" si="167"/>
        <v>2100</v>
      </c>
      <c r="F1877" s="83"/>
      <c r="G1877" s="83">
        <v>95104018</v>
      </c>
      <c r="H1877" s="83" t="s">
        <v>205</v>
      </c>
      <c r="I1877" s="83" t="s">
        <v>199</v>
      </c>
      <c r="J1877" s="83" t="s">
        <v>200</v>
      </c>
      <c r="K1877" s="83">
        <v>1</v>
      </c>
      <c r="L1877" s="83" t="s">
        <v>177</v>
      </c>
      <c r="M1877" s="83">
        <f>ROUNDDOWN(VLOOKUP(J1877,Sheet1!$N$32:$O$37,2,0)*1000,0)+100</f>
        <v>350</v>
      </c>
      <c r="N1877" s="83"/>
      <c r="O1877" s="83">
        <f t="shared" si="169"/>
        <v>0.00347577385622213</v>
      </c>
      <c r="P1877" s="83">
        <v>11800</v>
      </c>
    </row>
    <row r="1878" spans="1:16">
      <c r="A1878" s="79">
        <v>1876</v>
      </c>
      <c r="B1878" s="83">
        <v>11600</v>
      </c>
      <c r="C1878" s="83">
        <v>6</v>
      </c>
      <c r="D1878" s="83">
        <f t="shared" si="168"/>
        <v>2100</v>
      </c>
      <c r="E1878" s="83">
        <f t="shared" si="167"/>
        <v>2450</v>
      </c>
      <c r="F1878" s="83"/>
      <c r="G1878" s="83">
        <v>95104028</v>
      </c>
      <c r="H1878" s="83" t="s">
        <v>206</v>
      </c>
      <c r="I1878" s="83" t="s">
        <v>199</v>
      </c>
      <c r="J1878" s="83" t="s">
        <v>200</v>
      </c>
      <c r="K1878" s="83">
        <v>1</v>
      </c>
      <c r="L1878" s="83" t="s">
        <v>177</v>
      </c>
      <c r="M1878" s="83">
        <f>ROUNDDOWN(VLOOKUP(J1878,Sheet1!$N$32:$O$37,2,0)*1000,0)+100</f>
        <v>350</v>
      </c>
      <c r="N1878" s="83"/>
      <c r="O1878" s="83">
        <f t="shared" si="169"/>
        <v>0.00347577385622213</v>
      </c>
      <c r="P1878" s="83">
        <v>11800</v>
      </c>
    </row>
    <row r="1879" spans="1:16">
      <c r="A1879" s="79">
        <v>1877</v>
      </c>
      <c r="B1879" s="83">
        <v>11600</v>
      </c>
      <c r="C1879" s="83">
        <v>6</v>
      </c>
      <c r="D1879" s="83">
        <f t="shared" si="168"/>
        <v>2450</v>
      </c>
      <c r="E1879" s="83">
        <f t="shared" si="167"/>
        <v>2800</v>
      </c>
      <c r="F1879" s="83"/>
      <c r="G1879" s="83">
        <v>95104038</v>
      </c>
      <c r="H1879" s="83" t="s">
        <v>207</v>
      </c>
      <c r="I1879" s="83" t="s">
        <v>199</v>
      </c>
      <c r="J1879" s="83" t="s">
        <v>200</v>
      </c>
      <c r="K1879" s="83">
        <v>1</v>
      </c>
      <c r="L1879" s="83" t="s">
        <v>177</v>
      </c>
      <c r="M1879" s="83">
        <f>ROUNDDOWN(VLOOKUP(J1879,Sheet1!$N$32:$O$37,2,0)*1000,0)+100</f>
        <v>350</v>
      </c>
      <c r="N1879" s="83"/>
      <c r="O1879" s="83">
        <f t="shared" si="169"/>
        <v>0.00347577385622213</v>
      </c>
      <c r="P1879" s="83">
        <v>11800</v>
      </c>
    </row>
    <row r="1880" spans="1:16">
      <c r="A1880" s="79">
        <v>1878</v>
      </c>
      <c r="B1880" s="83">
        <v>11600</v>
      </c>
      <c r="C1880" s="83">
        <v>6</v>
      </c>
      <c r="D1880" s="83">
        <f t="shared" si="168"/>
        <v>2800</v>
      </c>
      <c r="E1880" s="83">
        <f t="shared" si="167"/>
        <v>3150</v>
      </c>
      <c r="F1880" s="83"/>
      <c r="G1880" s="83">
        <v>95106018</v>
      </c>
      <c r="H1880" s="83" t="s">
        <v>208</v>
      </c>
      <c r="I1880" s="83" t="s">
        <v>199</v>
      </c>
      <c r="J1880" s="83" t="s">
        <v>200</v>
      </c>
      <c r="K1880" s="83">
        <v>1</v>
      </c>
      <c r="L1880" s="83" t="s">
        <v>177</v>
      </c>
      <c r="M1880" s="83">
        <f>ROUNDDOWN(VLOOKUP(J1880,Sheet1!$N$32:$O$37,2,0)*1000,0)+100</f>
        <v>350</v>
      </c>
      <c r="N1880" s="83"/>
      <c r="O1880" s="83">
        <f t="shared" si="169"/>
        <v>0.00347577385622213</v>
      </c>
      <c r="P1880" s="83">
        <v>11800</v>
      </c>
    </row>
    <row r="1881" spans="1:16">
      <c r="A1881" s="79">
        <v>1879</v>
      </c>
      <c r="B1881" s="83">
        <v>11600</v>
      </c>
      <c r="C1881" s="83">
        <v>6</v>
      </c>
      <c r="D1881" s="83">
        <f t="shared" si="168"/>
        <v>3150</v>
      </c>
      <c r="E1881" s="83">
        <f t="shared" si="167"/>
        <v>3500</v>
      </c>
      <c r="F1881" s="83"/>
      <c r="G1881" s="83">
        <v>95109018</v>
      </c>
      <c r="H1881" s="83" t="s">
        <v>209</v>
      </c>
      <c r="I1881" s="83" t="s">
        <v>199</v>
      </c>
      <c r="J1881" s="83" t="s">
        <v>200</v>
      </c>
      <c r="K1881" s="83">
        <v>1</v>
      </c>
      <c r="L1881" s="83" t="s">
        <v>177</v>
      </c>
      <c r="M1881" s="83">
        <f>ROUNDDOWN(VLOOKUP(J1881,Sheet1!$N$32:$O$37,2,0)*1000,0)+100</f>
        <v>350</v>
      </c>
      <c r="N1881" s="83"/>
      <c r="O1881" s="83">
        <f t="shared" si="169"/>
        <v>0.00347577385622213</v>
      </c>
      <c r="P1881" s="83">
        <v>11800</v>
      </c>
    </row>
    <row r="1882" spans="1:16">
      <c r="A1882" s="79">
        <v>1880</v>
      </c>
      <c r="B1882" s="83">
        <v>11600</v>
      </c>
      <c r="C1882" s="83">
        <v>6</v>
      </c>
      <c r="D1882" s="83">
        <f t="shared" si="168"/>
        <v>3500</v>
      </c>
      <c r="E1882" s="83">
        <f t="shared" si="167"/>
        <v>3850</v>
      </c>
      <c r="F1882" s="83"/>
      <c r="G1882" s="83">
        <v>95110018</v>
      </c>
      <c r="H1882" s="83" t="s">
        <v>210</v>
      </c>
      <c r="I1882" s="83" t="s">
        <v>199</v>
      </c>
      <c r="J1882" s="83" t="s">
        <v>200</v>
      </c>
      <c r="K1882" s="83">
        <v>1</v>
      </c>
      <c r="L1882" s="83" t="s">
        <v>177</v>
      </c>
      <c r="M1882" s="83">
        <f>ROUNDDOWN(VLOOKUP(J1882,Sheet1!$N$32:$O$37,2,0)*1000,0)+100</f>
        <v>350</v>
      </c>
      <c r="N1882" s="83"/>
      <c r="O1882" s="83">
        <f t="shared" si="169"/>
        <v>0.00347577385622213</v>
      </c>
      <c r="P1882" s="83">
        <v>11800</v>
      </c>
    </row>
    <row r="1883" spans="1:16">
      <c r="A1883" s="79">
        <v>1881</v>
      </c>
      <c r="B1883" s="83">
        <v>11600</v>
      </c>
      <c r="C1883" s="83">
        <v>6</v>
      </c>
      <c r="D1883" s="83">
        <f t="shared" si="168"/>
        <v>3850</v>
      </c>
      <c r="E1883" s="83">
        <f t="shared" si="167"/>
        <v>4200</v>
      </c>
      <c r="F1883" s="83"/>
      <c r="G1883" s="83">
        <v>95111018</v>
      </c>
      <c r="H1883" s="83" t="s">
        <v>211</v>
      </c>
      <c r="I1883" s="83" t="s">
        <v>199</v>
      </c>
      <c r="J1883" s="83" t="s">
        <v>200</v>
      </c>
      <c r="K1883" s="83">
        <v>1</v>
      </c>
      <c r="L1883" s="83" t="s">
        <v>177</v>
      </c>
      <c r="M1883" s="83">
        <f>ROUNDDOWN(VLOOKUP(J1883,Sheet1!$N$32:$O$37,2,0)*1000,0)+100</f>
        <v>350</v>
      </c>
      <c r="N1883" s="83"/>
      <c r="O1883" s="83">
        <f t="shared" si="169"/>
        <v>0.00347577385622213</v>
      </c>
      <c r="P1883" s="83">
        <v>11800</v>
      </c>
    </row>
    <row r="1884" spans="1:16">
      <c r="A1884" s="79">
        <v>1882</v>
      </c>
      <c r="B1884" s="83">
        <v>11600</v>
      </c>
      <c r="C1884" s="83">
        <v>6</v>
      </c>
      <c r="D1884" s="83">
        <f t="shared" si="168"/>
        <v>4200</v>
      </c>
      <c r="E1884" s="83">
        <f t="shared" si="167"/>
        <v>4550</v>
      </c>
      <c r="F1884" s="83"/>
      <c r="G1884" s="83">
        <v>95120018</v>
      </c>
      <c r="H1884" s="83" t="s">
        <v>212</v>
      </c>
      <c r="I1884" s="83" t="s">
        <v>199</v>
      </c>
      <c r="J1884" s="83" t="s">
        <v>200</v>
      </c>
      <c r="K1884" s="83">
        <v>1</v>
      </c>
      <c r="L1884" s="83" t="s">
        <v>177</v>
      </c>
      <c r="M1884" s="83">
        <f>ROUNDDOWN(VLOOKUP(J1884,Sheet1!$N$32:$O$37,2,0)*1000,0)+100</f>
        <v>350</v>
      </c>
      <c r="N1884" s="83"/>
      <c r="O1884" s="83">
        <f t="shared" si="169"/>
        <v>0.00347577385622213</v>
      </c>
      <c r="P1884" s="83">
        <v>11800</v>
      </c>
    </row>
    <row r="1885" spans="1:16">
      <c r="A1885" s="79">
        <v>1883</v>
      </c>
      <c r="B1885" s="83">
        <v>11600</v>
      </c>
      <c r="C1885" s="83">
        <v>6</v>
      </c>
      <c r="D1885" s="83">
        <f t="shared" si="168"/>
        <v>4550</v>
      </c>
      <c r="E1885" s="83">
        <f t="shared" si="167"/>
        <v>4900</v>
      </c>
      <c r="F1885" s="83"/>
      <c r="G1885" s="83">
        <v>95140018</v>
      </c>
      <c r="H1885" s="83" t="s">
        <v>213</v>
      </c>
      <c r="I1885" s="83" t="s">
        <v>199</v>
      </c>
      <c r="J1885" s="83" t="s">
        <v>200</v>
      </c>
      <c r="K1885" s="83">
        <v>1</v>
      </c>
      <c r="L1885" s="83" t="s">
        <v>177</v>
      </c>
      <c r="M1885" s="83">
        <f>ROUNDDOWN(VLOOKUP(J1885,Sheet1!$N$32:$O$37,2,0)*1000,0)+100</f>
        <v>350</v>
      </c>
      <c r="N1885" s="83"/>
      <c r="O1885" s="83">
        <f t="shared" si="169"/>
        <v>0.00347577385622213</v>
      </c>
      <c r="P1885" s="83">
        <v>11800</v>
      </c>
    </row>
    <row r="1886" spans="1:16">
      <c r="A1886" s="79">
        <v>1884</v>
      </c>
      <c r="B1886" s="83">
        <v>11600</v>
      </c>
      <c r="C1886" s="83">
        <v>6</v>
      </c>
      <c r="D1886" s="83">
        <f t="shared" si="168"/>
        <v>4900</v>
      </c>
      <c r="E1886" s="83">
        <f t="shared" si="167"/>
        <v>5250</v>
      </c>
      <c r="F1886" s="83"/>
      <c r="G1886" s="83">
        <v>95105028</v>
      </c>
      <c r="H1886" s="83" t="s">
        <v>214</v>
      </c>
      <c r="I1886" s="83" t="s">
        <v>199</v>
      </c>
      <c r="J1886" s="83" t="s">
        <v>200</v>
      </c>
      <c r="K1886" s="83">
        <v>1</v>
      </c>
      <c r="L1886" s="83" t="s">
        <v>177</v>
      </c>
      <c r="M1886" s="83">
        <f>ROUNDDOWN(VLOOKUP(J1886,Sheet1!$N$32:$O$37,2,0)*1000,0)+100</f>
        <v>350</v>
      </c>
      <c r="N1886" s="83"/>
      <c r="O1886" s="83">
        <f t="shared" si="169"/>
        <v>0.00347577385622213</v>
      </c>
      <c r="P1886" s="83">
        <v>11800</v>
      </c>
    </row>
    <row r="1887" spans="1:16">
      <c r="A1887" s="79">
        <v>1885</v>
      </c>
      <c r="B1887" s="83">
        <v>11600</v>
      </c>
      <c r="C1887" s="83">
        <v>6</v>
      </c>
      <c r="D1887" s="83">
        <f t="shared" si="168"/>
        <v>5250</v>
      </c>
      <c r="E1887" s="83">
        <f t="shared" si="167"/>
        <v>5600</v>
      </c>
      <c r="F1887" s="83"/>
      <c r="G1887" s="83">
        <v>95109028</v>
      </c>
      <c r="H1887" s="83" t="s">
        <v>215</v>
      </c>
      <c r="I1887" s="83" t="s">
        <v>199</v>
      </c>
      <c r="J1887" s="83" t="s">
        <v>200</v>
      </c>
      <c r="K1887" s="83">
        <v>1</v>
      </c>
      <c r="L1887" s="83" t="s">
        <v>177</v>
      </c>
      <c r="M1887" s="83">
        <f>ROUNDDOWN(VLOOKUP(J1887,Sheet1!$N$32:$O$37,2,0)*1000,0)+100</f>
        <v>350</v>
      </c>
      <c r="N1887" s="83"/>
      <c r="O1887" s="83">
        <f t="shared" si="169"/>
        <v>0.00347577385622213</v>
      </c>
      <c r="P1887" s="83">
        <v>11800</v>
      </c>
    </row>
    <row r="1888" spans="1:16">
      <c r="A1888" s="79">
        <v>1886</v>
      </c>
      <c r="B1888" s="83">
        <v>11600</v>
      </c>
      <c r="C1888" s="83">
        <v>6</v>
      </c>
      <c r="D1888" s="83">
        <f t="shared" si="168"/>
        <v>5600</v>
      </c>
      <c r="E1888" s="83">
        <f t="shared" si="167"/>
        <v>5950</v>
      </c>
      <c r="F1888" s="83"/>
      <c r="G1888" s="83">
        <v>95110028</v>
      </c>
      <c r="H1888" s="83" t="s">
        <v>216</v>
      </c>
      <c r="I1888" s="83" t="s">
        <v>199</v>
      </c>
      <c r="J1888" s="83" t="s">
        <v>200</v>
      </c>
      <c r="K1888" s="83">
        <v>1</v>
      </c>
      <c r="L1888" s="83" t="s">
        <v>177</v>
      </c>
      <c r="M1888" s="83">
        <f>ROUNDDOWN(VLOOKUP(J1888,Sheet1!$N$32:$O$37,2,0)*1000,0)+100</f>
        <v>350</v>
      </c>
      <c r="N1888" s="83"/>
      <c r="O1888" s="83"/>
      <c r="P1888" s="83"/>
    </row>
    <row r="1889" spans="1:16">
      <c r="A1889" s="79">
        <v>1887</v>
      </c>
      <c r="B1889" s="83">
        <v>11600</v>
      </c>
      <c r="C1889" s="83">
        <v>6</v>
      </c>
      <c r="D1889" s="83">
        <f t="shared" si="168"/>
        <v>5950</v>
      </c>
      <c r="E1889" s="83">
        <f t="shared" si="167"/>
        <v>6300</v>
      </c>
      <c r="F1889" s="83"/>
      <c r="G1889" s="83">
        <v>95150028</v>
      </c>
      <c r="H1889" s="83" t="s">
        <v>217</v>
      </c>
      <c r="I1889" s="83" t="s">
        <v>199</v>
      </c>
      <c r="J1889" s="83" t="s">
        <v>200</v>
      </c>
      <c r="K1889" s="83">
        <v>1</v>
      </c>
      <c r="L1889" s="83" t="s">
        <v>177</v>
      </c>
      <c r="M1889" s="83">
        <f>ROUNDDOWN(VLOOKUP(J1889,Sheet1!$N$32:$O$37,2,0)*1000,0)+100</f>
        <v>350</v>
      </c>
      <c r="N1889" s="83"/>
      <c r="O1889" s="83"/>
      <c r="P1889" s="83"/>
    </row>
    <row r="1890" spans="1:16">
      <c r="A1890" s="79">
        <v>1888</v>
      </c>
      <c r="B1890" s="83">
        <v>11600</v>
      </c>
      <c r="C1890" s="83">
        <v>6</v>
      </c>
      <c r="D1890" s="83">
        <f t="shared" si="168"/>
        <v>6300</v>
      </c>
      <c r="E1890" s="83">
        <f t="shared" si="167"/>
        <v>6650</v>
      </c>
      <c r="F1890" s="83"/>
      <c r="G1890" s="83">
        <v>95201038</v>
      </c>
      <c r="H1890" s="83" t="s">
        <v>218</v>
      </c>
      <c r="I1890" s="83" t="s">
        <v>199</v>
      </c>
      <c r="J1890" s="83" t="s">
        <v>200</v>
      </c>
      <c r="K1890" s="83">
        <v>1</v>
      </c>
      <c r="L1890" s="83" t="s">
        <v>177</v>
      </c>
      <c r="M1890" s="83">
        <f>ROUNDDOWN(VLOOKUP(J1890,Sheet1!$N$32:$O$37,2,0)*1000,0)+100</f>
        <v>350</v>
      </c>
      <c r="N1890" s="83"/>
      <c r="O1890" s="83"/>
      <c r="P1890" s="83"/>
    </row>
    <row r="1891" spans="1:16">
      <c r="A1891" s="79">
        <v>1889</v>
      </c>
      <c r="B1891" s="83">
        <v>11600</v>
      </c>
      <c r="C1891" s="83">
        <v>6</v>
      </c>
      <c r="D1891" s="83">
        <f t="shared" si="168"/>
        <v>6650</v>
      </c>
      <c r="E1891" s="83">
        <f t="shared" si="167"/>
        <v>7000</v>
      </c>
      <c r="F1891" s="83"/>
      <c r="G1891" s="83">
        <v>95201118</v>
      </c>
      <c r="H1891" s="83" t="s">
        <v>219</v>
      </c>
      <c r="I1891" s="83" t="s">
        <v>199</v>
      </c>
      <c r="J1891" s="83" t="s">
        <v>200</v>
      </c>
      <c r="K1891" s="83">
        <v>1</v>
      </c>
      <c r="L1891" s="83" t="s">
        <v>177</v>
      </c>
      <c r="M1891" s="83">
        <f>ROUNDDOWN(VLOOKUP(J1891,Sheet1!$N$32:$O$37,2,0)*1000,0)+100</f>
        <v>350</v>
      </c>
      <c r="N1891" s="83"/>
      <c r="O1891" s="83"/>
      <c r="P1891" s="83"/>
    </row>
    <row r="1892" spans="1:16">
      <c r="A1892" s="79">
        <v>1890</v>
      </c>
      <c r="B1892" s="83">
        <v>11600</v>
      </c>
      <c r="C1892" s="83">
        <v>6</v>
      </c>
      <c r="D1892" s="83">
        <f t="shared" si="168"/>
        <v>7000</v>
      </c>
      <c r="E1892" s="83">
        <f t="shared" si="167"/>
        <v>7350</v>
      </c>
      <c r="F1892" s="83"/>
      <c r="G1892" s="83">
        <v>95201158</v>
      </c>
      <c r="H1892" s="83" t="s">
        <v>220</v>
      </c>
      <c r="I1892" s="83" t="s">
        <v>199</v>
      </c>
      <c r="J1892" s="83" t="s">
        <v>200</v>
      </c>
      <c r="K1892" s="83">
        <v>1</v>
      </c>
      <c r="L1892" s="83" t="s">
        <v>177</v>
      </c>
      <c r="M1892" s="83">
        <f>ROUNDDOWN(VLOOKUP(J1892,Sheet1!$N$32:$O$37,2,0)*1000,0)+100</f>
        <v>350</v>
      </c>
      <c r="N1892" s="83"/>
      <c r="O1892" s="83">
        <f t="shared" ref="O1892:O1916" si="170">(E1892-D1892)/$E$1972</f>
        <v>0.00347577385622213</v>
      </c>
      <c r="P1892" s="83">
        <v>11800</v>
      </c>
    </row>
    <row r="1893" spans="1:16">
      <c r="A1893" s="79">
        <v>1891</v>
      </c>
      <c r="B1893" s="83">
        <v>11600</v>
      </c>
      <c r="C1893" s="83">
        <v>6</v>
      </c>
      <c r="D1893" s="83">
        <f t="shared" si="168"/>
        <v>7350</v>
      </c>
      <c r="E1893" s="83">
        <f t="shared" si="167"/>
        <v>7700</v>
      </c>
      <c r="F1893" s="83"/>
      <c r="G1893" s="83">
        <v>95201168</v>
      </c>
      <c r="H1893" s="83" t="s">
        <v>221</v>
      </c>
      <c r="I1893" s="83" t="s">
        <v>199</v>
      </c>
      <c r="J1893" s="83" t="s">
        <v>200</v>
      </c>
      <c r="K1893" s="83">
        <v>1</v>
      </c>
      <c r="L1893" s="83" t="s">
        <v>177</v>
      </c>
      <c r="M1893" s="83">
        <f>ROUNDDOWN(VLOOKUP(J1893,Sheet1!$N$32:$O$37,2,0)*1000,0)+100</f>
        <v>350</v>
      </c>
      <c r="N1893" s="83"/>
      <c r="O1893" s="83">
        <f t="shared" si="170"/>
        <v>0.00347577385622213</v>
      </c>
      <c r="P1893" s="83">
        <v>11800</v>
      </c>
    </row>
    <row r="1894" spans="1:16">
      <c r="A1894" s="79">
        <v>1892</v>
      </c>
      <c r="B1894" s="83">
        <v>11600</v>
      </c>
      <c r="C1894" s="83">
        <v>6</v>
      </c>
      <c r="D1894" s="83">
        <f t="shared" si="168"/>
        <v>7700</v>
      </c>
      <c r="E1894" s="83">
        <f t="shared" si="167"/>
        <v>8050</v>
      </c>
      <c r="F1894" s="83"/>
      <c r="G1894" s="83">
        <v>95301028</v>
      </c>
      <c r="H1894" s="83" t="s">
        <v>222</v>
      </c>
      <c r="I1894" s="83" t="s">
        <v>199</v>
      </c>
      <c r="J1894" s="83" t="s">
        <v>200</v>
      </c>
      <c r="K1894" s="83">
        <v>1</v>
      </c>
      <c r="L1894" s="83" t="s">
        <v>177</v>
      </c>
      <c r="M1894" s="83">
        <f>ROUNDDOWN(VLOOKUP(J1894,Sheet1!$N$32:$O$37,2,0)*1000,0)+100</f>
        <v>350</v>
      </c>
      <c r="N1894" s="83"/>
      <c r="O1894" s="83">
        <f t="shared" si="170"/>
        <v>0.00347577385622213</v>
      </c>
      <c r="P1894" s="83">
        <v>11800</v>
      </c>
    </row>
    <row r="1895" spans="1:16">
      <c r="A1895" s="79">
        <v>1893</v>
      </c>
      <c r="B1895" s="83">
        <v>11600</v>
      </c>
      <c r="C1895" s="83">
        <v>6</v>
      </c>
      <c r="D1895" s="83">
        <f t="shared" si="168"/>
        <v>8050</v>
      </c>
      <c r="E1895" s="83">
        <f t="shared" si="167"/>
        <v>8400</v>
      </c>
      <c r="F1895" s="83"/>
      <c r="G1895" s="83">
        <v>95301048</v>
      </c>
      <c r="H1895" s="83" t="s">
        <v>223</v>
      </c>
      <c r="I1895" s="83" t="s">
        <v>199</v>
      </c>
      <c r="J1895" s="83" t="s">
        <v>200</v>
      </c>
      <c r="K1895" s="83">
        <v>1</v>
      </c>
      <c r="L1895" s="83" t="s">
        <v>177</v>
      </c>
      <c r="M1895" s="83">
        <f>ROUNDDOWN(VLOOKUP(J1895,Sheet1!$N$32:$O$37,2,0)*1000,0)+100</f>
        <v>350</v>
      </c>
      <c r="N1895" s="83"/>
      <c r="O1895" s="83">
        <f t="shared" si="170"/>
        <v>0.00347577385622213</v>
      </c>
      <c r="P1895" s="83">
        <v>11800</v>
      </c>
    </row>
    <row r="1896" spans="1:16">
      <c r="A1896" s="79">
        <v>1894</v>
      </c>
      <c r="B1896" s="83">
        <v>11600</v>
      </c>
      <c r="C1896" s="83">
        <v>6</v>
      </c>
      <c r="D1896" s="83">
        <f t="shared" si="168"/>
        <v>8400</v>
      </c>
      <c r="E1896" s="83">
        <f t="shared" si="167"/>
        <v>8750</v>
      </c>
      <c r="F1896" s="83"/>
      <c r="G1896" s="83">
        <v>95301058</v>
      </c>
      <c r="H1896" s="83" t="s">
        <v>224</v>
      </c>
      <c r="I1896" s="83" t="s">
        <v>199</v>
      </c>
      <c r="J1896" s="83" t="s">
        <v>200</v>
      </c>
      <c r="K1896" s="83">
        <v>1</v>
      </c>
      <c r="L1896" s="83" t="s">
        <v>177</v>
      </c>
      <c r="M1896" s="83">
        <f>ROUNDDOWN(VLOOKUP(J1896,Sheet1!$N$32:$O$37,2,0)*1000,0)+100</f>
        <v>350</v>
      </c>
      <c r="N1896" s="83"/>
      <c r="O1896" s="83">
        <f t="shared" si="170"/>
        <v>0.00347577385622213</v>
      </c>
      <c r="P1896" s="83">
        <v>11800</v>
      </c>
    </row>
    <row r="1897" spans="1:16">
      <c r="A1897" s="79">
        <v>1895</v>
      </c>
      <c r="B1897" s="83">
        <v>11600</v>
      </c>
      <c r="C1897" s="83">
        <v>6</v>
      </c>
      <c r="D1897" s="83">
        <f t="shared" si="168"/>
        <v>8750</v>
      </c>
      <c r="E1897" s="83">
        <f t="shared" si="167"/>
        <v>9100</v>
      </c>
      <c r="F1897" s="83"/>
      <c r="G1897" s="83">
        <v>95301138</v>
      </c>
      <c r="H1897" s="83" t="s">
        <v>225</v>
      </c>
      <c r="I1897" s="83" t="s">
        <v>199</v>
      </c>
      <c r="J1897" s="83" t="s">
        <v>200</v>
      </c>
      <c r="K1897" s="83">
        <v>1</v>
      </c>
      <c r="L1897" s="83" t="s">
        <v>177</v>
      </c>
      <c r="M1897" s="83">
        <f>ROUNDDOWN(VLOOKUP(J1897,Sheet1!$N$32:$O$37,2,0)*1000,0)+100</f>
        <v>350</v>
      </c>
      <c r="N1897" s="83"/>
      <c r="O1897" s="83">
        <f t="shared" si="170"/>
        <v>0.00347577385622213</v>
      </c>
      <c r="P1897" s="83">
        <v>11800</v>
      </c>
    </row>
    <row r="1898" spans="1:16">
      <c r="A1898" s="79">
        <v>1896</v>
      </c>
      <c r="B1898" s="83">
        <v>11600</v>
      </c>
      <c r="C1898" s="83">
        <v>6</v>
      </c>
      <c r="D1898" s="83">
        <f t="shared" si="168"/>
        <v>9100</v>
      </c>
      <c r="E1898" s="83">
        <f t="shared" si="167"/>
        <v>9450</v>
      </c>
      <c r="F1898" s="83"/>
      <c r="G1898" s="83">
        <v>95301098</v>
      </c>
      <c r="H1898" s="83" t="s">
        <v>226</v>
      </c>
      <c r="I1898" s="83" t="s">
        <v>199</v>
      </c>
      <c r="J1898" s="83" t="s">
        <v>200</v>
      </c>
      <c r="K1898" s="83">
        <v>1</v>
      </c>
      <c r="L1898" s="83" t="s">
        <v>177</v>
      </c>
      <c r="M1898" s="83">
        <f>ROUNDDOWN(VLOOKUP(J1898,Sheet1!$N$32:$O$37,2,0)*1000,0)+100</f>
        <v>350</v>
      </c>
      <c r="N1898" s="83"/>
      <c r="O1898" s="83">
        <f t="shared" si="170"/>
        <v>0.00347577385622213</v>
      </c>
      <c r="P1898" s="83">
        <v>11800</v>
      </c>
    </row>
    <row r="1899" spans="1:16">
      <c r="A1899" s="79">
        <v>1897</v>
      </c>
      <c r="B1899" s="83">
        <v>11600</v>
      </c>
      <c r="C1899" s="83">
        <v>6</v>
      </c>
      <c r="D1899" s="83">
        <f t="shared" si="168"/>
        <v>9450</v>
      </c>
      <c r="E1899" s="83">
        <f t="shared" si="167"/>
        <v>9800</v>
      </c>
      <c r="F1899" s="83"/>
      <c r="G1899" s="83">
        <v>95201188</v>
      </c>
      <c r="H1899" s="83" t="s">
        <v>227</v>
      </c>
      <c r="I1899" s="83" t="s">
        <v>199</v>
      </c>
      <c r="J1899" s="83" t="s">
        <v>200</v>
      </c>
      <c r="K1899" s="83">
        <v>1</v>
      </c>
      <c r="L1899" s="83" t="s">
        <v>177</v>
      </c>
      <c r="M1899" s="83">
        <f>ROUNDDOWN(VLOOKUP(J1899,Sheet1!$N$32:$O$37,2,0)*1000,0)+100</f>
        <v>350</v>
      </c>
      <c r="N1899" s="83"/>
      <c r="O1899" s="83">
        <f t="shared" si="170"/>
        <v>0.00347577385622213</v>
      </c>
      <c r="P1899" s="83">
        <v>11800</v>
      </c>
    </row>
    <row r="1900" spans="1:16">
      <c r="A1900" s="79">
        <v>1898</v>
      </c>
      <c r="B1900" s="83">
        <v>11600</v>
      </c>
      <c r="C1900" s="83">
        <v>6</v>
      </c>
      <c r="D1900" s="83">
        <f t="shared" si="168"/>
        <v>9800</v>
      </c>
      <c r="E1900" s="83">
        <f t="shared" si="167"/>
        <v>10150</v>
      </c>
      <c r="F1900" s="83"/>
      <c r="G1900" s="83">
        <v>95301148</v>
      </c>
      <c r="H1900" s="83" t="s">
        <v>228</v>
      </c>
      <c r="I1900" s="83" t="s">
        <v>199</v>
      </c>
      <c r="J1900" s="83" t="s">
        <v>200</v>
      </c>
      <c r="K1900" s="83">
        <v>1</v>
      </c>
      <c r="L1900" s="83" t="s">
        <v>177</v>
      </c>
      <c r="M1900" s="83">
        <f>ROUNDDOWN(VLOOKUP(J1900,Sheet1!$N$32:$O$37,2,0)*1000,0)+100</f>
        <v>350</v>
      </c>
      <c r="N1900" s="83"/>
      <c r="O1900" s="83">
        <f t="shared" si="170"/>
        <v>0.00347577385622213</v>
      </c>
      <c r="P1900" s="83">
        <v>11800</v>
      </c>
    </row>
    <row r="1901" spans="1:16">
      <c r="A1901" s="79">
        <v>1899</v>
      </c>
      <c r="B1901" s="83">
        <v>11600</v>
      </c>
      <c r="C1901" s="83">
        <v>6</v>
      </c>
      <c r="D1901" s="83">
        <f t="shared" si="168"/>
        <v>10150</v>
      </c>
      <c r="E1901" s="83">
        <f t="shared" si="167"/>
        <v>10500</v>
      </c>
      <c r="F1901" s="83"/>
      <c r="G1901" s="83">
        <v>95301158</v>
      </c>
      <c r="H1901" s="83" t="s">
        <v>229</v>
      </c>
      <c r="I1901" s="83" t="s">
        <v>199</v>
      </c>
      <c r="J1901" s="83" t="s">
        <v>200</v>
      </c>
      <c r="K1901" s="83">
        <v>1</v>
      </c>
      <c r="L1901" s="83" t="s">
        <v>177</v>
      </c>
      <c r="M1901" s="83">
        <f>ROUNDDOWN(VLOOKUP(J1901,Sheet1!$N$32:$O$37,2,0)*1000,0)+100</f>
        <v>350</v>
      </c>
      <c r="N1901" s="83"/>
      <c r="O1901" s="83">
        <f t="shared" si="170"/>
        <v>0.00347577385622213</v>
      </c>
      <c r="P1901" s="83">
        <v>11800</v>
      </c>
    </row>
    <row r="1902" spans="1:16">
      <c r="A1902" s="79">
        <v>1900</v>
      </c>
      <c r="B1902" s="83">
        <v>11600</v>
      </c>
      <c r="C1902" s="83">
        <v>6</v>
      </c>
      <c r="D1902" s="83">
        <f>E1900</f>
        <v>10150</v>
      </c>
      <c r="E1902" s="83">
        <f t="shared" si="167"/>
        <v>10500</v>
      </c>
      <c r="F1902" s="83"/>
      <c r="G1902" s="83">
        <v>95101019</v>
      </c>
      <c r="H1902" s="83" t="s">
        <v>198</v>
      </c>
      <c r="I1902" s="83" t="s">
        <v>233</v>
      </c>
      <c r="J1902" s="83" t="s">
        <v>200</v>
      </c>
      <c r="K1902" s="83">
        <v>1</v>
      </c>
      <c r="L1902" s="83" t="s">
        <v>177</v>
      </c>
      <c r="M1902" s="83">
        <f>ROUNDDOWN(VLOOKUP(J1902,Sheet1!$N$32:$O$37,2,0)*1000,0)+100</f>
        <v>350</v>
      </c>
      <c r="N1902" s="83"/>
      <c r="O1902" s="83">
        <f t="shared" si="170"/>
        <v>0.00347577385622213</v>
      </c>
      <c r="P1902" s="83">
        <v>11800</v>
      </c>
    </row>
    <row r="1903" spans="1:16">
      <c r="A1903" s="79">
        <v>1901</v>
      </c>
      <c r="B1903" s="83">
        <v>11600</v>
      </c>
      <c r="C1903" s="83">
        <v>6</v>
      </c>
      <c r="D1903" s="83">
        <f t="shared" ref="D1903:D1966" si="171">E1902</f>
        <v>10500</v>
      </c>
      <c r="E1903" s="83">
        <f t="shared" si="167"/>
        <v>10850</v>
      </c>
      <c r="F1903" s="83"/>
      <c r="G1903" s="83">
        <v>95101029</v>
      </c>
      <c r="H1903" s="83" t="s">
        <v>201</v>
      </c>
      <c r="I1903" s="83" t="s">
        <v>233</v>
      </c>
      <c r="J1903" s="83" t="s">
        <v>200</v>
      </c>
      <c r="K1903" s="83">
        <v>1</v>
      </c>
      <c r="L1903" s="83" t="s">
        <v>177</v>
      </c>
      <c r="M1903" s="83">
        <f>ROUNDDOWN(VLOOKUP(J1903,Sheet1!$N$32:$O$37,2,0)*1000,0)+100</f>
        <v>350</v>
      </c>
      <c r="N1903" s="83"/>
      <c r="O1903" s="83">
        <f t="shared" si="170"/>
        <v>0.00347577385622213</v>
      </c>
      <c r="P1903" s="83">
        <v>11800</v>
      </c>
    </row>
    <row r="1904" spans="1:16">
      <c r="A1904" s="79">
        <v>1902</v>
      </c>
      <c r="B1904" s="83">
        <v>11600</v>
      </c>
      <c r="C1904" s="83">
        <v>6</v>
      </c>
      <c r="D1904" s="83">
        <f t="shared" si="171"/>
        <v>10850</v>
      </c>
      <c r="E1904" s="83">
        <f t="shared" si="167"/>
        <v>11200</v>
      </c>
      <c r="F1904" s="83"/>
      <c r="G1904" s="83">
        <v>95102019</v>
      </c>
      <c r="H1904" s="83" t="s">
        <v>202</v>
      </c>
      <c r="I1904" s="83" t="s">
        <v>233</v>
      </c>
      <c r="J1904" s="83" t="s">
        <v>200</v>
      </c>
      <c r="K1904" s="83">
        <v>1</v>
      </c>
      <c r="L1904" s="83" t="s">
        <v>177</v>
      </c>
      <c r="M1904" s="83">
        <f>ROUNDDOWN(VLOOKUP(J1904,Sheet1!$N$32:$O$37,2,0)*1000,0)+100</f>
        <v>350</v>
      </c>
      <c r="N1904" s="83"/>
      <c r="O1904" s="83">
        <f t="shared" si="170"/>
        <v>0.00347577385622213</v>
      </c>
      <c r="P1904" s="83">
        <v>11800</v>
      </c>
    </row>
    <row r="1905" spans="1:16">
      <c r="A1905" s="79">
        <v>1903</v>
      </c>
      <c r="B1905" s="83">
        <v>11600</v>
      </c>
      <c r="C1905" s="83">
        <v>6</v>
      </c>
      <c r="D1905" s="83">
        <f t="shared" si="171"/>
        <v>11200</v>
      </c>
      <c r="E1905" s="83">
        <f t="shared" ref="E1905:E1931" si="172">D1905+M1905</f>
        <v>11550</v>
      </c>
      <c r="F1905" s="83"/>
      <c r="G1905" s="83">
        <v>95102029</v>
      </c>
      <c r="H1905" s="83" t="s">
        <v>203</v>
      </c>
      <c r="I1905" s="83" t="s">
        <v>233</v>
      </c>
      <c r="J1905" s="83" t="s">
        <v>200</v>
      </c>
      <c r="K1905" s="83">
        <v>1</v>
      </c>
      <c r="L1905" s="83" t="s">
        <v>177</v>
      </c>
      <c r="M1905" s="83">
        <f>ROUNDDOWN(VLOOKUP(J1905,Sheet1!$N$32:$O$37,2,0)*1000,0)+100</f>
        <v>350</v>
      </c>
      <c r="N1905" s="83"/>
      <c r="O1905" s="83">
        <f t="shared" si="170"/>
        <v>0.00347577385622213</v>
      </c>
      <c r="P1905" s="83">
        <v>11800</v>
      </c>
    </row>
    <row r="1906" spans="1:16">
      <c r="A1906" s="79">
        <v>1904</v>
      </c>
      <c r="B1906" s="83">
        <v>11600</v>
      </c>
      <c r="C1906" s="83">
        <v>6</v>
      </c>
      <c r="D1906" s="83">
        <f t="shared" si="171"/>
        <v>11550</v>
      </c>
      <c r="E1906" s="83">
        <f t="shared" si="172"/>
        <v>11900</v>
      </c>
      <c r="F1906" s="83"/>
      <c r="G1906" s="83">
        <v>95103019</v>
      </c>
      <c r="H1906" s="83" t="s">
        <v>204</v>
      </c>
      <c r="I1906" s="83" t="s">
        <v>233</v>
      </c>
      <c r="J1906" s="83" t="s">
        <v>200</v>
      </c>
      <c r="K1906" s="83">
        <v>1</v>
      </c>
      <c r="L1906" s="83" t="s">
        <v>177</v>
      </c>
      <c r="M1906" s="83">
        <f>ROUNDDOWN(VLOOKUP(J1906,Sheet1!$N$32:$O$37,2,0)*1000,0)+100</f>
        <v>350</v>
      </c>
      <c r="N1906" s="83"/>
      <c r="O1906" s="83">
        <f t="shared" si="170"/>
        <v>0.00347577385622213</v>
      </c>
      <c r="P1906" s="83">
        <v>11800</v>
      </c>
    </row>
    <row r="1907" spans="1:16">
      <c r="A1907" s="79">
        <v>1905</v>
      </c>
      <c r="B1907" s="83">
        <v>11600</v>
      </c>
      <c r="C1907" s="83">
        <v>6</v>
      </c>
      <c r="D1907" s="83">
        <f t="shared" si="171"/>
        <v>11900</v>
      </c>
      <c r="E1907" s="83">
        <f t="shared" si="172"/>
        <v>12250</v>
      </c>
      <c r="F1907" s="83"/>
      <c r="G1907" s="83">
        <v>95104019</v>
      </c>
      <c r="H1907" s="83" t="s">
        <v>205</v>
      </c>
      <c r="I1907" s="83" t="s">
        <v>233</v>
      </c>
      <c r="J1907" s="83" t="s">
        <v>200</v>
      </c>
      <c r="K1907" s="83">
        <v>1</v>
      </c>
      <c r="L1907" s="83" t="s">
        <v>177</v>
      </c>
      <c r="M1907" s="83">
        <f>ROUNDDOWN(VLOOKUP(J1907,Sheet1!$N$32:$O$37,2,0)*1000,0)+100</f>
        <v>350</v>
      </c>
      <c r="N1907" s="83"/>
      <c r="O1907" s="83">
        <f t="shared" si="170"/>
        <v>0.00347577385622213</v>
      </c>
      <c r="P1907" s="83">
        <v>11800</v>
      </c>
    </row>
    <row r="1908" spans="1:16">
      <c r="A1908" s="79">
        <v>1906</v>
      </c>
      <c r="B1908" s="83">
        <v>11600</v>
      </c>
      <c r="C1908" s="83">
        <v>6</v>
      </c>
      <c r="D1908" s="83">
        <f t="shared" si="171"/>
        <v>12250</v>
      </c>
      <c r="E1908" s="83">
        <f t="shared" si="172"/>
        <v>12600</v>
      </c>
      <c r="F1908" s="83"/>
      <c r="G1908" s="83">
        <v>95104029</v>
      </c>
      <c r="H1908" s="83" t="s">
        <v>206</v>
      </c>
      <c r="I1908" s="83" t="s">
        <v>233</v>
      </c>
      <c r="J1908" s="83" t="s">
        <v>200</v>
      </c>
      <c r="K1908" s="83">
        <v>1</v>
      </c>
      <c r="L1908" s="83" t="s">
        <v>177</v>
      </c>
      <c r="M1908" s="83">
        <f>ROUNDDOWN(VLOOKUP(J1908,Sheet1!$N$32:$O$37,2,0)*1000,0)+100</f>
        <v>350</v>
      </c>
      <c r="N1908" s="83"/>
      <c r="O1908" s="83">
        <f t="shared" si="170"/>
        <v>0.00347577385622213</v>
      </c>
      <c r="P1908" s="83">
        <v>11800</v>
      </c>
    </row>
    <row r="1909" spans="1:16">
      <c r="A1909" s="79">
        <v>1907</v>
      </c>
      <c r="B1909" s="83">
        <v>11600</v>
      </c>
      <c r="C1909" s="83">
        <v>6</v>
      </c>
      <c r="D1909" s="83">
        <f t="shared" si="171"/>
        <v>12600</v>
      </c>
      <c r="E1909" s="83">
        <f t="shared" si="172"/>
        <v>12950</v>
      </c>
      <c r="F1909" s="83"/>
      <c r="G1909" s="83">
        <v>95104039</v>
      </c>
      <c r="H1909" s="83" t="s">
        <v>207</v>
      </c>
      <c r="I1909" s="83" t="s">
        <v>233</v>
      </c>
      <c r="J1909" s="83" t="s">
        <v>200</v>
      </c>
      <c r="K1909" s="83">
        <v>1</v>
      </c>
      <c r="L1909" s="83" t="s">
        <v>177</v>
      </c>
      <c r="M1909" s="83">
        <f>ROUNDDOWN(VLOOKUP(J1909,Sheet1!$N$32:$O$37,2,0)*1000,0)+100</f>
        <v>350</v>
      </c>
      <c r="N1909" s="83"/>
      <c r="O1909" s="83">
        <f t="shared" si="170"/>
        <v>0.00347577385622213</v>
      </c>
      <c r="P1909" s="83">
        <v>11800</v>
      </c>
    </row>
    <row r="1910" spans="1:16">
      <c r="A1910" s="79">
        <v>1908</v>
      </c>
      <c r="B1910" s="83">
        <v>11600</v>
      </c>
      <c r="C1910" s="83">
        <v>6</v>
      </c>
      <c r="D1910" s="83">
        <f t="shared" si="171"/>
        <v>12950</v>
      </c>
      <c r="E1910" s="83">
        <f t="shared" si="172"/>
        <v>13300</v>
      </c>
      <c r="F1910" s="83"/>
      <c r="G1910" s="83">
        <v>95106019</v>
      </c>
      <c r="H1910" s="83" t="s">
        <v>208</v>
      </c>
      <c r="I1910" s="83" t="s">
        <v>233</v>
      </c>
      <c r="J1910" s="83" t="s">
        <v>200</v>
      </c>
      <c r="K1910" s="83">
        <v>1</v>
      </c>
      <c r="L1910" s="83" t="s">
        <v>177</v>
      </c>
      <c r="M1910" s="83">
        <f>ROUNDDOWN(VLOOKUP(J1910,Sheet1!$N$32:$O$37,2,0)*1000,0)+100</f>
        <v>350</v>
      </c>
      <c r="N1910" s="83"/>
      <c r="O1910" s="83">
        <f t="shared" si="170"/>
        <v>0.00347577385622213</v>
      </c>
      <c r="P1910" s="83">
        <v>11800</v>
      </c>
    </row>
    <row r="1911" spans="1:16">
      <c r="A1911" s="79">
        <v>1909</v>
      </c>
      <c r="B1911" s="83">
        <v>11600</v>
      </c>
      <c r="C1911" s="83">
        <v>6</v>
      </c>
      <c r="D1911" s="83">
        <f t="shared" si="171"/>
        <v>13300</v>
      </c>
      <c r="E1911" s="83">
        <f t="shared" si="172"/>
        <v>13650</v>
      </c>
      <c r="F1911" s="83"/>
      <c r="G1911" s="83">
        <v>95109019</v>
      </c>
      <c r="H1911" s="83" t="s">
        <v>209</v>
      </c>
      <c r="I1911" s="83" t="s">
        <v>233</v>
      </c>
      <c r="J1911" s="83" t="s">
        <v>200</v>
      </c>
      <c r="K1911" s="83">
        <v>1</v>
      </c>
      <c r="L1911" s="83" t="s">
        <v>177</v>
      </c>
      <c r="M1911" s="83">
        <f>ROUNDDOWN(VLOOKUP(J1911,Sheet1!$N$32:$O$37,2,0)*1000,0)+100</f>
        <v>350</v>
      </c>
      <c r="N1911" s="83"/>
      <c r="O1911" s="83">
        <f t="shared" si="170"/>
        <v>0.00347577385622213</v>
      </c>
      <c r="P1911" s="83">
        <v>11800</v>
      </c>
    </row>
    <row r="1912" spans="1:16">
      <c r="A1912" s="79">
        <v>1910</v>
      </c>
      <c r="B1912" s="83">
        <v>11600</v>
      </c>
      <c r="C1912" s="83">
        <v>6</v>
      </c>
      <c r="D1912" s="83">
        <f t="shared" si="171"/>
        <v>13650</v>
      </c>
      <c r="E1912" s="83">
        <f t="shared" si="172"/>
        <v>14000</v>
      </c>
      <c r="F1912" s="83"/>
      <c r="G1912" s="83">
        <v>95110019</v>
      </c>
      <c r="H1912" s="83" t="s">
        <v>210</v>
      </c>
      <c r="I1912" s="83" t="s">
        <v>233</v>
      </c>
      <c r="J1912" s="83" t="s">
        <v>200</v>
      </c>
      <c r="K1912" s="83">
        <v>1</v>
      </c>
      <c r="L1912" s="83" t="s">
        <v>177</v>
      </c>
      <c r="M1912" s="83">
        <f>ROUNDDOWN(VLOOKUP(J1912,Sheet1!$N$32:$O$37,2,0)*1000,0)+100</f>
        <v>350</v>
      </c>
      <c r="N1912" s="83"/>
      <c r="O1912" s="83">
        <f t="shared" si="170"/>
        <v>0.00347577385622213</v>
      </c>
      <c r="P1912" s="83">
        <v>11800</v>
      </c>
    </row>
    <row r="1913" spans="1:16">
      <c r="A1913" s="79">
        <v>1911</v>
      </c>
      <c r="B1913" s="83">
        <v>11600</v>
      </c>
      <c r="C1913" s="83">
        <v>6</v>
      </c>
      <c r="D1913" s="83">
        <f t="shared" si="171"/>
        <v>14000</v>
      </c>
      <c r="E1913" s="83">
        <f t="shared" si="172"/>
        <v>14350</v>
      </c>
      <c r="F1913" s="83"/>
      <c r="G1913" s="83">
        <v>95111019</v>
      </c>
      <c r="H1913" s="83" t="s">
        <v>211</v>
      </c>
      <c r="I1913" s="83" t="s">
        <v>233</v>
      </c>
      <c r="J1913" s="83" t="s">
        <v>200</v>
      </c>
      <c r="K1913" s="83">
        <v>1</v>
      </c>
      <c r="L1913" s="83" t="s">
        <v>177</v>
      </c>
      <c r="M1913" s="83">
        <f>ROUNDDOWN(VLOOKUP(J1913,Sheet1!$N$32:$O$37,2,0)*1000,0)+100</f>
        <v>350</v>
      </c>
      <c r="N1913" s="83"/>
      <c r="O1913" s="83">
        <f t="shared" si="170"/>
        <v>0.00347577385622213</v>
      </c>
      <c r="P1913" s="83">
        <v>11800</v>
      </c>
    </row>
    <row r="1914" spans="1:16">
      <c r="A1914" s="79">
        <v>1912</v>
      </c>
      <c r="B1914" s="83">
        <v>11600</v>
      </c>
      <c r="C1914" s="83">
        <v>6</v>
      </c>
      <c r="D1914" s="83">
        <f t="shared" si="171"/>
        <v>14350</v>
      </c>
      <c r="E1914" s="83">
        <f t="shared" si="172"/>
        <v>14700</v>
      </c>
      <c r="F1914" s="83"/>
      <c r="G1914" s="83">
        <v>95120019</v>
      </c>
      <c r="H1914" s="83" t="s">
        <v>212</v>
      </c>
      <c r="I1914" s="83" t="s">
        <v>233</v>
      </c>
      <c r="J1914" s="83" t="s">
        <v>200</v>
      </c>
      <c r="K1914" s="83">
        <v>1</v>
      </c>
      <c r="L1914" s="83" t="s">
        <v>177</v>
      </c>
      <c r="M1914" s="83">
        <f>ROUNDDOWN(VLOOKUP(J1914,Sheet1!$N$32:$O$37,2,0)*1000,0)+100</f>
        <v>350</v>
      </c>
      <c r="N1914" s="83"/>
      <c r="O1914" s="83">
        <f t="shared" si="170"/>
        <v>0.00347577385622213</v>
      </c>
      <c r="P1914" s="83">
        <v>11800</v>
      </c>
    </row>
    <row r="1915" spans="1:16">
      <c r="A1915" s="79">
        <v>1913</v>
      </c>
      <c r="B1915" s="83">
        <v>11600</v>
      </c>
      <c r="C1915" s="83">
        <v>6</v>
      </c>
      <c r="D1915" s="83">
        <f t="shared" si="171"/>
        <v>14700</v>
      </c>
      <c r="E1915" s="83">
        <f t="shared" si="172"/>
        <v>15050</v>
      </c>
      <c r="F1915" s="83"/>
      <c r="G1915" s="83">
        <v>95140019</v>
      </c>
      <c r="H1915" s="83" t="s">
        <v>213</v>
      </c>
      <c r="I1915" s="83" t="s">
        <v>233</v>
      </c>
      <c r="J1915" s="83" t="s">
        <v>200</v>
      </c>
      <c r="K1915" s="83">
        <v>1</v>
      </c>
      <c r="L1915" s="83" t="s">
        <v>177</v>
      </c>
      <c r="M1915" s="83">
        <f>ROUNDDOWN(VLOOKUP(J1915,Sheet1!$N$32:$O$37,2,0)*1000,0)+100</f>
        <v>350</v>
      </c>
      <c r="N1915" s="83"/>
      <c r="O1915" s="83">
        <f t="shared" si="170"/>
        <v>0.00347577385622213</v>
      </c>
      <c r="P1915" s="83">
        <v>11800</v>
      </c>
    </row>
    <row r="1916" spans="1:16">
      <c r="A1916" s="79">
        <v>1914</v>
      </c>
      <c r="B1916" s="83">
        <v>11600</v>
      </c>
      <c r="C1916" s="83">
        <v>6</v>
      </c>
      <c r="D1916" s="83">
        <f t="shared" si="171"/>
        <v>15050</v>
      </c>
      <c r="E1916" s="83">
        <f t="shared" si="172"/>
        <v>15400</v>
      </c>
      <c r="F1916" s="83"/>
      <c r="G1916" s="83">
        <v>95105029</v>
      </c>
      <c r="H1916" s="83" t="s">
        <v>214</v>
      </c>
      <c r="I1916" s="83" t="s">
        <v>233</v>
      </c>
      <c r="J1916" s="83" t="s">
        <v>200</v>
      </c>
      <c r="K1916" s="83">
        <v>1</v>
      </c>
      <c r="L1916" s="83" t="s">
        <v>177</v>
      </c>
      <c r="M1916" s="83">
        <f>ROUNDDOWN(VLOOKUP(J1916,Sheet1!$N$32:$O$37,2,0)*1000,0)+100</f>
        <v>350</v>
      </c>
      <c r="N1916" s="83"/>
      <c r="O1916" s="83">
        <f t="shared" si="170"/>
        <v>0.00347577385622213</v>
      </c>
      <c r="P1916" s="83">
        <v>11800</v>
      </c>
    </row>
    <row r="1917" spans="1:16">
      <c r="A1917" s="79">
        <v>1915</v>
      </c>
      <c r="B1917" s="83">
        <v>11600</v>
      </c>
      <c r="C1917" s="83">
        <v>6</v>
      </c>
      <c r="D1917" s="83">
        <f t="shared" si="171"/>
        <v>15400</v>
      </c>
      <c r="E1917" s="83">
        <f t="shared" si="172"/>
        <v>15750</v>
      </c>
      <c r="F1917" s="83"/>
      <c r="G1917" s="83">
        <v>95109029</v>
      </c>
      <c r="H1917" s="83" t="s">
        <v>215</v>
      </c>
      <c r="I1917" s="83" t="s">
        <v>233</v>
      </c>
      <c r="J1917" s="83" t="s">
        <v>200</v>
      </c>
      <c r="K1917" s="83">
        <v>1</v>
      </c>
      <c r="L1917" s="83" t="s">
        <v>177</v>
      </c>
      <c r="M1917" s="83">
        <f>ROUNDDOWN(VLOOKUP(J1917,Sheet1!$N$32:$O$37,2,0)*1000,0)+100</f>
        <v>350</v>
      </c>
      <c r="N1917" s="83"/>
      <c r="O1917" s="83"/>
      <c r="P1917" s="83"/>
    </row>
    <row r="1918" spans="1:16">
      <c r="A1918" s="79">
        <v>1916</v>
      </c>
      <c r="B1918" s="83">
        <v>11600</v>
      </c>
      <c r="C1918" s="83">
        <v>6</v>
      </c>
      <c r="D1918" s="83">
        <f t="shared" si="171"/>
        <v>15750</v>
      </c>
      <c r="E1918" s="83">
        <f t="shared" si="172"/>
        <v>16100</v>
      </c>
      <c r="F1918" s="83"/>
      <c r="G1918" s="83">
        <v>95110029</v>
      </c>
      <c r="H1918" s="83" t="s">
        <v>216</v>
      </c>
      <c r="I1918" s="83" t="s">
        <v>233</v>
      </c>
      <c r="J1918" s="83" t="s">
        <v>200</v>
      </c>
      <c r="K1918" s="83">
        <v>1</v>
      </c>
      <c r="L1918" s="83" t="s">
        <v>177</v>
      </c>
      <c r="M1918" s="83">
        <f>ROUNDDOWN(VLOOKUP(J1918,Sheet1!$N$32:$O$37,2,0)*1000,0)+100</f>
        <v>350</v>
      </c>
      <c r="N1918" s="83"/>
      <c r="O1918" s="83"/>
      <c r="P1918" s="83"/>
    </row>
    <row r="1919" spans="1:16">
      <c r="A1919" s="79">
        <v>1917</v>
      </c>
      <c r="B1919" s="83">
        <v>11600</v>
      </c>
      <c r="C1919" s="83">
        <v>6</v>
      </c>
      <c r="D1919" s="83">
        <f t="shared" si="171"/>
        <v>16100</v>
      </c>
      <c r="E1919" s="83">
        <f t="shared" si="172"/>
        <v>16450</v>
      </c>
      <c r="F1919" s="83"/>
      <c r="G1919" s="83">
        <v>95150029</v>
      </c>
      <c r="H1919" s="83" t="s">
        <v>217</v>
      </c>
      <c r="I1919" s="83" t="s">
        <v>233</v>
      </c>
      <c r="J1919" s="83" t="s">
        <v>200</v>
      </c>
      <c r="K1919" s="83">
        <v>1</v>
      </c>
      <c r="L1919" s="83" t="s">
        <v>177</v>
      </c>
      <c r="M1919" s="83">
        <f>ROUNDDOWN(VLOOKUP(J1919,Sheet1!$N$32:$O$37,2,0)*1000,0)+100</f>
        <v>350</v>
      </c>
      <c r="N1919" s="83"/>
      <c r="O1919" s="83"/>
      <c r="P1919" s="83"/>
    </row>
    <row r="1920" spans="1:16">
      <c r="A1920" s="79">
        <v>1918</v>
      </c>
      <c r="B1920" s="83">
        <v>11600</v>
      </c>
      <c r="C1920" s="83">
        <v>6</v>
      </c>
      <c r="D1920" s="83">
        <f t="shared" si="171"/>
        <v>16450</v>
      </c>
      <c r="E1920" s="83">
        <f t="shared" si="172"/>
        <v>16800</v>
      </c>
      <c r="F1920" s="83"/>
      <c r="G1920" s="83">
        <v>95201039</v>
      </c>
      <c r="H1920" s="83" t="s">
        <v>218</v>
      </c>
      <c r="I1920" s="83" t="s">
        <v>233</v>
      </c>
      <c r="J1920" s="83" t="s">
        <v>200</v>
      </c>
      <c r="K1920" s="83">
        <v>1</v>
      </c>
      <c r="L1920" s="83" t="s">
        <v>177</v>
      </c>
      <c r="M1920" s="83">
        <f>ROUNDDOWN(VLOOKUP(J1920,Sheet1!$N$32:$O$37,2,0)*1000,0)+100</f>
        <v>350</v>
      </c>
      <c r="N1920" s="83"/>
      <c r="O1920" s="83"/>
      <c r="P1920" s="83"/>
    </row>
    <row r="1921" spans="1:16">
      <c r="A1921" s="79">
        <v>1919</v>
      </c>
      <c r="B1921" s="83">
        <v>11600</v>
      </c>
      <c r="C1921" s="83">
        <v>6</v>
      </c>
      <c r="D1921" s="83">
        <f t="shared" si="171"/>
        <v>16800</v>
      </c>
      <c r="E1921" s="83">
        <f t="shared" si="172"/>
        <v>17150</v>
      </c>
      <c r="F1921" s="83"/>
      <c r="G1921" s="83">
        <v>95201119</v>
      </c>
      <c r="H1921" s="83" t="s">
        <v>219</v>
      </c>
      <c r="I1921" s="83" t="s">
        <v>233</v>
      </c>
      <c r="J1921" s="83" t="s">
        <v>200</v>
      </c>
      <c r="K1921" s="83">
        <v>1</v>
      </c>
      <c r="L1921" s="83" t="s">
        <v>177</v>
      </c>
      <c r="M1921" s="83">
        <f>ROUNDDOWN(VLOOKUP(J1921,Sheet1!$N$32:$O$37,2,0)*1000,0)+100</f>
        <v>350</v>
      </c>
      <c r="N1921" s="83"/>
      <c r="O1921" s="83">
        <f t="shared" ref="O1921:O1952" si="173">(E1921-D1921)/$E$1972</f>
        <v>0.00347577385622213</v>
      </c>
      <c r="P1921" s="83">
        <v>11800</v>
      </c>
    </row>
    <row r="1922" spans="1:16">
      <c r="A1922" s="79">
        <v>1920</v>
      </c>
      <c r="B1922" s="83">
        <v>11600</v>
      </c>
      <c r="C1922" s="83">
        <v>6</v>
      </c>
      <c r="D1922" s="83">
        <f t="shared" si="171"/>
        <v>17150</v>
      </c>
      <c r="E1922" s="83">
        <f t="shared" si="172"/>
        <v>17500</v>
      </c>
      <c r="F1922" s="83"/>
      <c r="G1922" s="83">
        <v>95201159</v>
      </c>
      <c r="H1922" s="83" t="s">
        <v>220</v>
      </c>
      <c r="I1922" s="83" t="s">
        <v>233</v>
      </c>
      <c r="J1922" s="83" t="s">
        <v>200</v>
      </c>
      <c r="K1922" s="83">
        <v>1</v>
      </c>
      <c r="L1922" s="83" t="s">
        <v>177</v>
      </c>
      <c r="M1922" s="83">
        <f>ROUNDDOWN(VLOOKUP(J1922,Sheet1!$N$32:$O$37,2,0)*1000,0)+100</f>
        <v>350</v>
      </c>
      <c r="N1922" s="83"/>
      <c r="O1922" s="83">
        <f t="shared" si="173"/>
        <v>0.00347577385622213</v>
      </c>
      <c r="P1922" s="83">
        <v>11800</v>
      </c>
    </row>
    <row r="1923" spans="1:16">
      <c r="A1923" s="79">
        <v>1921</v>
      </c>
      <c r="B1923" s="83">
        <v>11600</v>
      </c>
      <c r="C1923" s="83">
        <v>6</v>
      </c>
      <c r="D1923" s="83">
        <f t="shared" si="171"/>
        <v>17500</v>
      </c>
      <c r="E1923" s="83">
        <f t="shared" si="172"/>
        <v>17850</v>
      </c>
      <c r="F1923" s="83"/>
      <c r="G1923" s="83">
        <v>95201169</v>
      </c>
      <c r="H1923" s="83" t="s">
        <v>221</v>
      </c>
      <c r="I1923" s="83" t="s">
        <v>233</v>
      </c>
      <c r="J1923" s="83" t="s">
        <v>200</v>
      </c>
      <c r="K1923" s="83">
        <v>1</v>
      </c>
      <c r="L1923" s="83" t="s">
        <v>177</v>
      </c>
      <c r="M1923" s="83">
        <f>ROUNDDOWN(VLOOKUP(J1923,Sheet1!$N$32:$O$37,2,0)*1000,0)+100</f>
        <v>350</v>
      </c>
      <c r="N1923" s="83"/>
      <c r="O1923" s="83">
        <f t="shared" si="173"/>
        <v>0.00347577385622213</v>
      </c>
      <c r="P1923" s="83">
        <v>11800</v>
      </c>
    </row>
    <row r="1924" spans="1:16">
      <c r="A1924" s="79">
        <v>1922</v>
      </c>
      <c r="B1924" s="83">
        <v>11600</v>
      </c>
      <c r="C1924" s="83">
        <v>6</v>
      </c>
      <c r="D1924" s="83">
        <f t="shared" si="171"/>
        <v>17850</v>
      </c>
      <c r="E1924" s="83">
        <f t="shared" si="172"/>
        <v>18200</v>
      </c>
      <c r="F1924" s="83"/>
      <c r="G1924" s="83">
        <v>95301029</v>
      </c>
      <c r="H1924" s="83" t="s">
        <v>222</v>
      </c>
      <c r="I1924" s="83" t="s">
        <v>233</v>
      </c>
      <c r="J1924" s="83" t="s">
        <v>200</v>
      </c>
      <c r="K1924" s="83">
        <v>1</v>
      </c>
      <c r="L1924" s="83" t="s">
        <v>177</v>
      </c>
      <c r="M1924" s="83">
        <f>ROUNDDOWN(VLOOKUP(J1924,Sheet1!$N$32:$O$37,2,0)*1000,0)+100</f>
        <v>350</v>
      </c>
      <c r="N1924" s="83"/>
      <c r="O1924" s="83">
        <f t="shared" si="173"/>
        <v>0.00347577385622213</v>
      </c>
      <c r="P1924" s="83">
        <v>11800</v>
      </c>
    </row>
    <row r="1925" spans="1:16">
      <c r="A1925" s="79">
        <v>1923</v>
      </c>
      <c r="B1925" s="83">
        <v>11600</v>
      </c>
      <c r="C1925" s="83">
        <v>6</v>
      </c>
      <c r="D1925" s="83">
        <f t="shared" si="171"/>
        <v>18200</v>
      </c>
      <c r="E1925" s="83">
        <f t="shared" si="172"/>
        <v>18550</v>
      </c>
      <c r="F1925" s="83"/>
      <c r="G1925" s="83">
        <v>95301049</v>
      </c>
      <c r="H1925" s="83" t="s">
        <v>223</v>
      </c>
      <c r="I1925" s="83" t="s">
        <v>233</v>
      </c>
      <c r="J1925" s="83" t="s">
        <v>200</v>
      </c>
      <c r="K1925" s="83">
        <v>1</v>
      </c>
      <c r="L1925" s="83" t="s">
        <v>177</v>
      </c>
      <c r="M1925" s="83">
        <f>ROUNDDOWN(VLOOKUP(J1925,Sheet1!$N$32:$O$37,2,0)*1000,0)+100</f>
        <v>350</v>
      </c>
      <c r="N1925" s="83"/>
      <c r="O1925" s="83">
        <f t="shared" si="173"/>
        <v>0.00347577385622213</v>
      </c>
      <c r="P1925" s="83">
        <v>11800</v>
      </c>
    </row>
    <row r="1926" spans="1:16">
      <c r="A1926" s="79">
        <v>1924</v>
      </c>
      <c r="B1926" s="83">
        <v>11600</v>
      </c>
      <c r="C1926" s="83">
        <v>6</v>
      </c>
      <c r="D1926" s="83">
        <f t="shared" si="171"/>
        <v>18550</v>
      </c>
      <c r="E1926" s="83">
        <f t="shared" si="172"/>
        <v>18900</v>
      </c>
      <c r="F1926" s="83"/>
      <c r="G1926" s="83">
        <v>95301059</v>
      </c>
      <c r="H1926" s="83" t="s">
        <v>224</v>
      </c>
      <c r="I1926" s="83" t="s">
        <v>233</v>
      </c>
      <c r="J1926" s="83" t="s">
        <v>200</v>
      </c>
      <c r="K1926" s="83">
        <v>1</v>
      </c>
      <c r="L1926" s="83" t="s">
        <v>177</v>
      </c>
      <c r="M1926" s="83">
        <f>ROUNDDOWN(VLOOKUP(J1926,Sheet1!$N$32:$O$37,2,0)*1000,0)+100</f>
        <v>350</v>
      </c>
      <c r="N1926" s="83"/>
      <c r="O1926" s="83">
        <f t="shared" si="173"/>
        <v>0.00347577385622213</v>
      </c>
      <c r="P1926" s="83">
        <v>11800</v>
      </c>
    </row>
    <row r="1927" spans="1:16">
      <c r="A1927" s="79">
        <v>1925</v>
      </c>
      <c r="B1927" s="83">
        <v>11600</v>
      </c>
      <c r="C1927" s="83">
        <v>6</v>
      </c>
      <c r="D1927" s="83">
        <f t="shared" si="171"/>
        <v>18900</v>
      </c>
      <c r="E1927" s="83">
        <f t="shared" si="172"/>
        <v>19250</v>
      </c>
      <c r="F1927" s="83"/>
      <c r="G1927" s="83">
        <v>95301139</v>
      </c>
      <c r="H1927" s="83" t="s">
        <v>225</v>
      </c>
      <c r="I1927" s="83" t="s">
        <v>233</v>
      </c>
      <c r="J1927" s="83" t="s">
        <v>200</v>
      </c>
      <c r="K1927" s="83">
        <v>1</v>
      </c>
      <c r="L1927" s="83" t="s">
        <v>177</v>
      </c>
      <c r="M1927" s="83">
        <f>ROUNDDOWN(VLOOKUP(J1927,Sheet1!$N$32:$O$37,2,0)*1000,0)+100</f>
        <v>350</v>
      </c>
      <c r="N1927" s="83"/>
      <c r="O1927" s="83">
        <f t="shared" si="173"/>
        <v>0.00347577385622213</v>
      </c>
      <c r="P1927" s="83">
        <v>11800</v>
      </c>
    </row>
    <row r="1928" spans="1:16">
      <c r="A1928" s="79">
        <v>1926</v>
      </c>
      <c r="B1928" s="83">
        <v>11600</v>
      </c>
      <c r="C1928" s="83">
        <v>6</v>
      </c>
      <c r="D1928" s="83">
        <f t="shared" si="171"/>
        <v>19250</v>
      </c>
      <c r="E1928" s="83">
        <f t="shared" si="172"/>
        <v>19600</v>
      </c>
      <c r="F1928" s="83"/>
      <c r="G1928" s="83">
        <v>95301099</v>
      </c>
      <c r="H1928" s="83" t="s">
        <v>226</v>
      </c>
      <c r="I1928" s="83" t="s">
        <v>233</v>
      </c>
      <c r="J1928" s="83" t="s">
        <v>200</v>
      </c>
      <c r="K1928" s="83">
        <v>1</v>
      </c>
      <c r="L1928" s="83" t="s">
        <v>177</v>
      </c>
      <c r="M1928" s="83">
        <f>ROUNDDOWN(VLOOKUP(J1928,Sheet1!$N$32:$O$37,2,0)*1000,0)+100</f>
        <v>350</v>
      </c>
      <c r="N1928" s="83"/>
      <c r="O1928" s="83">
        <f t="shared" si="173"/>
        <v>0.00347577385622213</v>
      </c>
      <c r="P1928" s="83">
        <v>11800</v>
      </c>
    </row>
    <row r="1929" spans="1:16">
      <c r="A1929" s="79">
        <v>1927</v>
      </c>
      <c r="B1929" s="83">
        <v>11600</v>
      </c>
      <c r="C1929" s="83">
        <v>6</v>
      </c>
      <c r="D1929" s="83">
        <f t="shared" si="171"/>
        <v>19600</v>
      </c>
      <c r="E1929" s="83">
        <f t="shared" si="172"/>
        <v>19950</v>
      </c>
      <c r="F1929" s="83"/>
      <c r="G1929" s="83">
        <v>95201189</v>
      </c>
      <c r="H1929" s="83" t="s">
        <v>227</v>
      </c>
      <c r="I1929" s="83" t="s">
        <v>233</v>
      </c>
      <c r="J1929" s="83" t="s">
        <v>200</v>
      </c>
      <c r="K1929" s="83">
        <v>1</v>
      </c>
      <c r="L1929" s="83" t="s">
        <v>177</v>
      </c>
      <c r="M1929" s="83">
        <f>ROUNDDOWN(VLOOKUP(J1929,Sheet1!$N$32:$O$37,2,0)*1000,0)+100</f>
        <v>350</v>
      </c>
      <c r="N1929" s="83"/>
      <c r="O1929" s="83">
        <f t="shared" si="173"/>
        <v>0.00347577385622213</v>
      </c>
      <c r="P1929" s="83">
        <v>11800</v>
      </c>
    </row>
    <row r="1930" spans="1:16">
      <c r="A1930" s="79">
        <v>1928</v>
      </c>
      <c r="B1930" s="83">
        <v>11600</v>
      </c>
      <c r="C1930" s="83">
        <v>6</v>
      </c>
      <c r="D1930" s="83">
        <f t="shared" si="171"/>
        <v>19950</v>
      </c>
      <c r="E1930" s="83">
        <f t="shared" si="172"/>
        <v>20300</v>
      </c>
      <c r="F1930" s="83"/>
      <c r="G1930" s="83">
        <v>95301149</v>
      </c>
      <c r="H1930" s="83" t="s">
        <v>228</v>
      </c>
      <c r="I1930" s="83" t="s">
        <v>233</v>
      </c>
      <c r="J1930" s="83" t="s">
        <v>200</v>
      </c>
      <c r="K1930" s="83">
        <v>1</v>
      </c>
      <c r="L1930" s="83" t="s">
        <v>177</v>
      </c>
      <c r="M1930" s="83">
        <f>ROUNDDOWN(VLOOKUP(J1930,Sheet1!$N$32:$O$37,2,0)*1000,0)+100</f>
        <v>350</v>
      </c>
      <c r="N1930" s="83"/>
      <c r="O1930" s="83">
        <f t="shared" si="173"/>
        <v>0.00347577385622213</v>
      </c>
      <c r="P1930" s="83">
        <v>11800</v>
      </c>
    </row>
    <row r="1931" spans="1:16">
      <c r="A1931" s="79">
        <v>1929</v>
      </c>
      <c r="B1931" s="83">
        <v>11600</v>
      </c>
      <c r="C1931" s="83">
        <v>6</v>
      </c>
      <c r="D1931" s="83">
        <f t="shared" si="171"/>
        <v>20300</v>
      </c>
      <c r="E1931" s="83">
        <f t="shared" si="172"/>
        <v>20650</v>
      </c>
      <c r="F1931" s="83"/>
      <c r="G1931" s="83">
        <v>95301159</v>
      </c>
      <c r="H1931" s="83" t="s">
        <v>229</v>
      </c>
      <c r="I1931" s="83" t="s">
        <v>233</v>
      </c>
      <c r="J1931" s="83" t="s">
        <v>200</v>
      </c>
      <c r="K1931" s="83">
        <v>1</v>
      </c>
      <c r="L1931" s="83" t="s">
        <v>177</v>
      </c>
      <c r="M1931" s="83">
        <f>ROUNDDOWN(VLOOKUP(J1931,Sheet1!$N$32:$O$37,2,0)*1000,0)+100</f>
        <v>350</v>
      </c>
      <c r="N1931" s="83"/>
      <c r="O1931" s="83">
        <f t="shared" si="173"/>
        <v>0.00347577385622213</v>
      </c>
      <c r="P1931" s="83">
        <v>11800</v>
      </c>
    </row>
    <row r="1932" spans="1:16">
      <c r="A1932" s="79">
        <v>1930</v>
      </c>
      <c r="B1932" s="83">
        <v>11600</v>
      </c>
      <c r="C1932" s="83">
        <v>1</v>
      </c>
      <c r="D1932" s="83">
        <f t="shared" si="171"/>
        <v>20650</v>
      </c>
      <c r="E1932" s="83">
        <f t="shared" ref="E1932:E1995" si="174">D1932+M1932</f>
        <v>25025</v>
      </c>
      <c r="F1932" s="83"/>
      <c r="G1932" s="83">
        <v>901000</v>
      </c>
      <c r="H1932" s="83" t="s">
        <v>234</v>
      </c>
      <c r="I1932" s="83"/>
      <c r="J1932" s="83" t="s">
        <v>235</v>
      </c>
      <c r="K1932" s="83">
        <v>1</v>
      </c>
      <c r="L1932" s="83" t="s">
        <v>177</v>
      </c>
      <c r="M1932" s="83">
        <f>ROUNDDOWN(VLOOKUP(J1932,Sheet1!$N$32:$O$37,2,0)*1000,0)</f>
        <v>4375</v>
      </c>
      <c r="N1932" s="83"/>
      <c r="O1932" s="83">
        <f t="shared" si="173"/>
        <v>0.0434471732027766</v>
      </c>
      <c r="P1932" s="83">
        <v>11000</v>
      </c>
    </row>
    <row r="1933" spans="1:16">
      <c r="A1933" s="79">
        <v>1931</v>
      </c>
      <c r="B1933" s="83">
        <v>11600</v>
      </c>
      <c r="C1933" s="83">
        <v>2</v>
      </c>
      <c r="D1933" s="83">
        <f t="shared" si="171"/>
        <v>25025</v>
      </c>
      <c r="E1933" s="83">
        <f t="shared" si="174"/>
        <v>29400</v>
      </c>
      <c r="F1933" s="83"/>
      <c r="G1933" s="83">
        <v>901001</v>
      </c>
      <c r="H1933" s="83" t="s">
        <v>236</v>
      </c>
      <c r="I1933" s="83"/>
      <c r="J1933" s="83" t="s">
        <v>235</v>
      </c>
      <c r="K1933" s="83">
        <v>1</v>
      </c>
      <c r="L1933" s="83" t="s">
        <v>177</v>
      </c>
      <c r="M1933" s="83">
        <f>ROUNDDOWN(VLOOKUP(J1933,Sheet1!$N$32:$O$37,2,0)*1000,0)</f>
        <v>4375</v>
      </c>
      <c r="N1933" s="83"/>
      <c r="O1933" s="83">
        <f t="shared" si="173"/>
        <v>0.0434471732027766</v>
      </c>
      <c r="P1933" s="83">
        <v>11000</v>
      </c>
    </row>
    <row r="1934" spans="1:16">
      <c r="A1934" s="79">
        <v>1932</v>
      </c>
      <c r="B1934" s="83">
        <v>11600</v>
      </c>
      <c r="C1934" s="83">
        <v>3</v>
      </c>
      <c r="D1934" s="83">
        <f t="shared" si="171"/>
        <v>29400</v>
      </c>
      <c r="E1934" s="83">
        <f t="shared" si="174"/>
        <v>33775</v>
      </c>
      <c r="F1934" s="83"/>
      <c r="G1934" s="83">
        <v>901002</v>
      </c>
      <c r="H1934" s="83" t="s">
        <v>237</v>
      </c>
      <c r="I1934" s="83"/>
      <c r="J1934" s="83" t="s">
        <v>235</v>
      </c>
      <c r="K1934" s="83">
        <v>1</v>
      </c>
      <c r="L1934" s="83" t="s">
        <v>177</v>
      </c>
      <c r="M1934" s="83">
        <f>ROUNDDOWN(VLOOKUP(J1934,Sheet1!$N$32:$O$37,2,0)*1000,0)</f>
        <v>4375</v>
      </c>
      <c r="N1934" s="83"/>
      <c r="O1934" s="83">
        <f t="shared" si="173"/>
        <v>0.0434471732027766</v>
      </c>
      <c r="P1934" s="83">
        <v>11000</v>
      </c>
    </row>
    <row r="1935" spans="1:16">
      <c r="A1935" s="79">
        <v>1933</v>
      </c>
      <c r="B1935" s="83">
        <v>11600</v>
      </c>
      <c r="C1935" s="83">
        <v>4</v>
      </c>
      <c r="D1935" s="83">
        <f t="shared" si="171"/>
        <v>33775</v>
      </c>
      <c r="E1935" s="83">
        <f t="shared" si="174"/>
        <v>38150</v>
      </c>
      <c r="F1935" s="83"/>
      <c r="G1935" s="83">
        <v>901003</v>
      </c>
      <c r="H1935" s="83" t="s">
        <v>238</v>
      </c>
      <c r="I1935" s="83"/>
      <c r="J1935" s="83" t="s">
        <v>235</v>
      </c>
      <c r="K1935" s="83">
        <v>1</v>
      </c>
      <c r="L1935" s="83" t="s">
        <v>177</v>
      </c>
      <c r="M1935" s="83">
        <f>ROUNDDOWN(VLOOKUP(J1935,Sheet1!$N$32:$O$37,2,0)*1000,0)</f>
        <v>4375</v>
      </c>
      <c r="N1935" s="83"/>
      <c r="O1935" s="83">
        <f t="shared" si="173"/>
        <v>0.0434471732027766</v>
      </c>
      <c r="P1935" s="83">
        <v>11000</v>
      </c>
    </row>
    <row r="1936" spans="1:16">
      <c r="A1936" s="79">
        <v>1934</v>
      </c>
      <c r="B1936" s="83">
        <v>11600</v>
      </c>
      <c r="C1936" s="83">
        <v>1</v>
      </c>
      <c r="D1936" s="83">
        <f t="shared" si="171"/>
        <v>38150</v>
      </c>
      <c r="E1936" s="83">
        <f t="shared" si="174"/>
        <v>42525</v>
      </c>
      <c r="F1936" s="83"/>
      <c r="G1936" s="83">
        <v>901100</v>
      </c>
      <c r="H1936" s="83" t="s">
        <v>239</v>
      </c>
      <c r="I1936" s="83"/>
      <c r="J1936" s="83" t="s">
        <v>235</v>
      </c>
      <c r="K1936" s="83">
        <v>1</v>
      </c>
      <c r="L1936" s="83" t="s">
        <v>177</v>
      </c>
      <c r="M1936" s="83">
        <f>ROUNDDOWN(VLOOKUP(J1936,Sheet1!$N$32:$O$37,2,0)*1000,0)</f>
        <v>4375</v>
      </c>
      <c r="N1936" s="83"/>
      <c r="O1936" s="83">
        <f t="shared" si="173"/>
        <v>0.0434471732027766</v>
      </c>
      <c r="P1936" s="83">
        <v>11000</v>
      </c>
    </row>
    <row r="1937" spans="1:16">
      <c r="A1937" s="79">
        <v>1935</v>
      </c>
      <c r="B1937" s="83">
        <v>11600</v>
      </c>
      <c r="C1937" s="83">
        <v>2</v>
      </c>
      <c r="D1937" s="83">
        <f t="shared" si="171"/>
        <v>42525</v>
      </c>
      <c r="E1937" s="83">
        <f t="shared" si="174"/>
        <v>46900</v>
      </c>
      <c r="F1937" s="83"/>
      <c r="G1937" s="83">
        <v>901101</v>
      </c>
      <c r="H1937" s="83" t="s">
        <v>240</v>
      </c>
      <c r="I1937" s="83"/>
      <c r="J1937" s="83" t="s">
        <v>235</v>
      </c>
      <c r="K1937" s="83">
        <v>1</v>
      </c>
      <c r="L1937" s="83" t="s">
        <v>177</v>
      </c>
      <c r="M1937" s="83">
        <f>ROUNDDOWN(VLOOKUP(J1937,Sheet1!$N$32:$O$37,2,0)*1000,0)</f>
        <v>4375</v>
      </c>
      <c r="N1937" s="83"/>
      <c r="O1937" s="83">
        <f t="shared" si="173"/>
        <v>0.0434471732027766</v>
      </c>
      <c r="P1937" s="83">
        <v>11000</v>
      </c>
    </row>
    <row r="1938" spans="1:16">
      <c r="A1938" s="79">
        <v>1936</v>
      </c>
      <c r="B1938" s="83">
        <v>11600</v>
      </c>
      <c r="C1938" s="83">
        <v>3</v>
      </c>
      <c r="D1938" s="83">
        <f t="shared" si="171"/>
        <v>46900</v>
      </c>
      <c r="E1938" s="83">
        <f t="shared" si="174"/>
        <v>51275</v>
      </c>
      <c r="F1938" s="83"/>
      <c r="G1938" s="83">
        <v>901102</v>
      </c>
      <c r="H1938" s="83" t="s">
        <v>241</v>
      </c>
      <c r="I1938" s="83"/>
      <c r="J1938" s="83" t="s">
        <v>235</v>
      </c>
      <c r="K1938" s="83">
        <v>1</v>
      </c>
      <c r="L1938" s="83" t="s">
        <v>177</v>
      </c>
      <c r="M1938" s="83">
        <f>ROUNDDOWN(VLOOKUP(J1938,Sheet1!$N$32:$O$37,2,0)*1000,0)</f>
        <v>4375</v>
      </c>
      <c r="N1938" s="83"/>
      <c r="O1938" s="83">
        <f t="shared" si="173"/>
        <v>0.0434471732027766</v>
      </c>
      <c r="P1938" s="83">
        <v>11000</v>
      </c>
    </row>
    <row r="1939" spans="1:16">
      <c r="A1939" s="79">
        <v>1937</v>
      </c>
      <c r="B1939" s="83">
        <v>11600</v>
      </c>
      <c r="C1939" s="83">
        <v>4</v>
      </c>
      <c r="D1939" s="83">
        <f t="shared" si="171"/>
        <v>51275</v>
      </c>
      <c r="E1939" s="83">
        <f t="shared" si="174"/>
        <v>55650</v>
      </c>
      <c r="F1939" s="83"/>
      <c r="G1939" s="83">
        <v>901103</v>
      </c>
      <c r="H1939" s="83" t="s">
        <v>242</v>
      </c>
      <c r="I1939" s="83"/>
      <c r="J1939" s="83" t="s">
        <v>235</v>
      </c>
      <c r="K1939" s="83">
        <v>1</v>
      </c>
      <c r="L1939" s="83" t="s">
        <v>177</v>
      </c>
      <c r="M1939" s="83">
        <f>ROUNDDOWN(VLOOKUP(J1939,Sheet1!$N$32:$O$37,2,0)*1000,0)</f>
        <v>4375</v>
      </c>
      <c r="N1939" s="83"/>
      <c r="O1939" s="83">
        <f t="shared" si="173"/>
        <v>0.0434471732027766</v>
      </c>
      <c r="P1939" s="83">
        <v>11000</v>
      </c>
    </row>
    <row r="1940" spans="1:16">
      <c r="A1940" s="79">
        <v>1938</v>
      </c>
      <c r="B1940" s="83">
        <v>11600</v>
      </c>
      <c r="C1940" s="83">
        <v>7</v>
      </c>
      <c r="D1940" s="83">
        <f t="shared" si="171"/>
        <v>55650</v>
      </c>
      <c r="E1940" s="83">
        <f t="shared" si="174"/>
        <v>56126</v>
      </c>
      <c r="F1940" s="83"/>
      <c r="G1940" s="83">
        <v>100101</v>
      </c>
      <c r="H1940" s="83" t="s">
        <v>243</v>
      </c>
      <c r="I1940" s="83"/>
      <c r="J1940" s="83" t="s">
        <v>244</v>
      </c>
      <c r="K1940" s="83">
        <v>1</v>
      </c>
      <c r="L1940" s="83" t="s">
        <v>177</v>
      </c>
      <c r="M1940" s="83">
        <f>ROUNDDOWN(VLOOKUP(J1940,Sheet1!$N$32:$O$37,2,0)*1000,0)</f>
        <v>476</v>
      </c>
      <c r="N1940" s="83"/>
      <c r="O1940" s="83">
        <f t="shared" si="173"/>
        <v>0.0047270524444621</v>
      </c>
      <c r="P1940" s="83">
        <v>11000</v>
      </c>
    </row>
    <row r="1941" spans="1:16">
      <c r="A1941" s="79">
        <v>1939</v>
      </c>
      <c r="B1941" s="83">
        <v>11600</v>
      </c>
      <c r="C1941" s="83">
        <v>7</v>
      </c>
      <c r="D1941" s="83">
        <f t="shared" si="171"/>
        <v>56126</v>
      </c>
      <c r="E1941" s="83">
        <f t="shared" si="174"/>
        <v>56602</v>
      </c>
      <c r="F1941" s="83"/>
      <c r="G1941" s="83">
        <v>100103</v>
      </c>
      <c r="H1941" s="83" t="s">
        <v>245</v>
      </c>
      <c r="I1941" s="83"/>
      <c r="J1941" s="83" t="s">
        <v>244</v>
      </c>
      <c r="K1941" s="83">
        <v>1</v>
      </c>
      <c r="L1941" s="83" t="s">
        <v>177</v>
      </c>
      <c r="M1941" s="83">
        <f>ROUNDDOWN(VLOOKUP(J1941,Sheet1!$N$32:$O$37,2,0)*1000,0)</f>
        <v>476</v>
      </c>
      <c r="N1941" s="83"/>
      <c r="O1941" s="83">
        <f t="shared" si="173"/>
        <v>0.0047270524444621</v>
      </c>
      <c r="P1941" s="83">
        <v>11000</v>
      </c>
    </row>
    <row r="1942" spans="1:16">
      <c r="A1942" s="79">
        <v>1940</v>
      </c>
      <c r="B1942" s="83">
        <v>11600</v>
      </c>
      <c r="C1942" s="83">
        <v>7</v>
      </c>
      <c r="D1942" s="83">
        <f t="shared" si="171"/>
        <v>56602</v>
      </c>
      <c r="E1942" s="83">
        <f t="shared" si="174"/>
        <v>57078</v>
      </c>
      <c r="F1942" s="83"/>
      <c r="G1942" s="83">
        <v>100107</v>
      </c>
      <c r="H1942" s="83" t="s">
        <v>246</v>
      </c>
      <c r="I1942" s="83"/>
      <c r="J1942" s="83" t="s">
        <v>244</v>
      </c>
      <c r="K1942" s="83">
        <v>1</v>
      </c>
      <c r="L1942" s="83" t="s">
        <v>177</v>
      </c>
      <c r="M1942" s="83">
        <f>ROUNDDOWN(VLOOKUP(J1942,Sheet1!$N$32:$O$37,2,0)*1000,0)</f>
        <v>476</v>
      </c>
      <c r="N1942" s="83"/>
      <c r="O1942" s="83">
        <f t="shared" si="173"/>
        <v>0.0047270524444621</v>
      </c>
      <c r="P1942" s="83">
        <v>11000</v>
      </c>
    </row>
    <row r="1943" spans="1:16">
      <c r="A1943" s="79">
        <v>1941</v>
      </c>
      <c r="B1943" s="83">
        <v>11600</v>
      </c>
      <c r="C1943" s="83">
        <v>7</v>
      </c>
      <c r="D1943" s="83">
        <f t="shared" si="171"/>
        <v>57078</v>
      </c>
      <c r="E1943" s="83">
        <f t="shared" si="174"/>
        <v>57554</v>
      </c>
      <c r="F1943" s="83"/>
      <c r="G1943" s="83">
        <v>100108</v>
      </c>
      <c r="H1943" s="83" t="s">
        <v>247</v>
      </c>
      <c r="I1943" s="83"/>
      <c r="J1943" s="83" t="s">
        <v>244</v>
      </c>
      <c r="K1943" s="83">
        <v>1</v>
      </c>
      <c r="L1943" s="83" t="s">
        <v>177</v>
      </c>
      <c r="M1943" s="83">
        <f>ROUNDDOWN(VLOOKUP(J1943,Sheet1!$N$32:$O$37,2,0)*1000,0)</f>
        <v>476</v>
      </c>
      <c r="N1943" s="83"/>
      <c r="O1943" s="83">
        <f t="shared" si="173"/>
        <v>0.0047270524444621</v>
      </c>
      <c r="P1943" s="83">
        <v>11000</v>
      </c>
    </row>
    <row r="1944" spans="1:16">
      <c r="A1944" s="79">
        <v>1942</v>
      </c>
      <c r="B1944" s="83">
        <v>11600</v>
      </c>
      <c r="C1944" s="83">
        <v>7</v>
      </c>
      <c r="D1944" s="83">
        <f t="shared" si="171"/>
        <v>57554</v>
      </c>
      <c r="E1944" s="83">
        <f t="shared" si="174"/>
        <v>58030</v>
      </c>
      <c r="F1944" s="83"/>
      <c r="G1944" s="83">
        <v>100113</v>
      </c>
      <c r="H1944" s="83" t="s">
        <v>248</v>
      </c>
      <c r="I1944" s="83"/>
      <c r="J1944" s="83" t="s">
        <v>244</v>
      </c>
      <c r="K1944" s="83">
        <v>1</v>
      </c>
      <c r="L1944" s="83" t="s">
        <v>177</v>
      </c>
      <c r="M1944" s="83">
        <f>ROUNDDOWN(VLOOKUP(J1944,Sheet1!$N$32:$O$37,2,0)*1000,0)</f>
        <v>476</v>
      </c>
      <c r="N1944" s="83"/>
      <c r="O1944" s="83">
        <f t="shared" si="173"/>
        <v>0.0047270524444621</v>
      </c>
      <c r="P1944" s="83">
        <v>11000</v>
      </c>
    </row>
    <row r="1945" spans="1:16">
      <c r="A1945" s="79">
        <v>1943</v>
      </c>
      <c r="B1945" s="83">
        <v>11600</v>
      </c>
      <c r="C1945" s="83">
        <v>7</v>
      </c>
      <c r="D1945" s="83">
        <f t="shared" si="171"/>
        <v>58030</v>
      </c>
      <c r="E1945" s="83">
        <f t="shared" si="174"/>
        <v>58506</v>
      </c>
      <c r="F1945" s="83"/>
      <c r="G1945" s="83">
        <v>100114</v>
      </c>
      <c r="H1945" s="83" t="s">
        <v>249</v>
      </c>
      <c r="I1945" s="83"/>
      <c r="J1945" s="83" t="s">
        <v>244</v>
      </c>
      <c r="K1945" s="83">
        <v>1</v>
      </c>
      <c r="L1945" s="83" t="s">
        <v>177</v>
      </c>
      <c r="M1945" s="83">
        <f>ROUNDDOWN(VLOOKUP(J1945,Sheet1!$N$32:$O$37,2,0)*1000,0)</f>
        <v>476</v>
      </c>
      <c r="N1945" s="83"/>
      <c r="O1945" s="83">
        <f t="shared" si="173"/>
        <v>0.0047270524444621</v>
      </c>
      <c r="P1945" s="83">
        <v>11000</v>
      </c>
    </row>
    <row r="1946" spans="1:16">
      <c r="A1946" s="79">
        <v>1944</v>
      </c>
      <c r="B1946" s="83">
        <v>11600</v>
      </c>
      <c r="C1946" s="83">
        <v>7</v>
      </c>
      <c r="D1946" s="83">
        <f t="shared" si="171"/>
        <v>58506</v>
      </c>
      <c r="E1946" s="83">
        <f t="shared" si="174"/>
        <v>58982</v>
      </c>
      <c r="F1946" s="83"/>
      <c r="G1946" s="83">
        <v>100116</v>
      </c>
      <c r="H1946" s="83" t="s">
        <v>250</v>
      </c>
      <c r="I1946" s="83"/>
      <c r="J1946" s="83" t="s">
        <v>244</v>
      </c>
      <c r="K1946" s="83">
        <v>1</v>
      </c>
      <c r="L1946" s="83" t="s">
        <v>177</v>
      </c>
      <c r="M1946" s="83">
        <f>ROUNDDOWN(VLOOKUP(J1946,Sheet1!$N$32:$O$37,2,0)*1000,0)</f>
        <v>476</v>
      </c>
      <c r="N1946" s="83"/>
      <c r="O1946" s="83">
        <f t="shared" si="173"/>
        <v>0.0047270524444621</v>
      </c>
      <c r="P1946" s="83">
        <v>11000</v>
      </c>
    </row>
    <row r="1947" spans="1:16">
      <c r="A1947" s="79">
        <v>1945</v>
      </c>
      <c r="B1947" s="83">
        <v>11600</v>
      </c>
      <c r="C1947" s="83">
        <v>7</v>
      </c>
      <c r="D1947" s="83">
        <f t="shared" si="171"/>
        <v>58982</v>
      </c>
      <c r="E1947" s="83">
        <f t="shared" si="174"/>
        <v>59458</v>
      </c>
      <c r="F1947" s="83"/>
      <c r="G1947" s="83">
        <v>100120</v>
      </c>
      <c r="H1947" s="83" t="s">
        <v>251</v>
      </c>
      <c r="I1947" s="83"/>
      <c r="J1947" s="83" t="s">
        <v>244</v>
      </c>
      <c r="K1947" s="83">
        <v>1</v>
      </c>
      <c r="L1947" s="83" t="s">
        <v>177</v>
      </c>
      <c r="M1947" s="83">
        <f>ROUNDDOWN(VLOOKUP(J1947,Sheet1!$N$32:$O$37,2,0)*1000,0)</f>
        <v>476</v>
      </c>
      <c r="N1947" s="83"/>
      <c r="O1947" s="83">
        <f t="shared" si="173"/>
        <v>0.0047270524444621</v>
      </c>
      <c r="P1947" s="83">
        <v>11000</v>
      </c>
    </row>
    <row r="1948" spans="1:16">
      <c r="A1948" s="79">
        <v>1946</v>
      </c>
      <c r="B1948" s="83">
        <v>11600</v>
      </c>
      <c r="C1948" s="83">
        <v>7</v>
      </c>
      <c r="D1948" s="83">
        <f t="shared" si="171"/>
        <v>59458</v>
      </c>
      <c r="E1948" s="83">
        <f t="shared" si="174"/>
        <v>59934</v>
      </c>
      <c r="F1948" s="83"/>
      <c r="G1948" s="83">
        <v>100125</v>
      </c>
      <c r="H1948" s="83" t="s">
        <v>252</v>
      </c>
      <c r="I1948" s="83"/>
      <c r="J1948" s="83" t="s">
        <v>244</v>
      </c>
      <c r="K1948" s="83">
        <v>1</v>
      </c>
      <c r="L1948" s="83" t="s">
        <v>177</v>
      </c>
      <c r="M1948" s="83">
        <f>ROUNDDOWN(VLOOKUP(J1948,Sheet1!$N$32:$O$37,2,0)*1000,0)</f>
        <v>476</v>
      </c>
      <c r="N1948" s="83"/>
      <c r="O1948" s="83">
        <f t="shared" si="173"/>
        <v>0.0047270524444621</v>
      </c>
      <c r="P1948" s="83">
        <v>11000</v>
      </c>
    </row>
    <row r="1949" spans="1:16">
      <c r="A1949" s="79">
        <v>1947</v>
      </c>
      <c r="B1949" s="83">
        <v>11600</v>
      </c>
      <c r="C1949" s="83">
        <v>7</v>
      </c>
      <c r="D1949" s="83">
        <f t="shared" si="171"/>
        <v>59934</v>
      </c>
      <c r="E1949" s="83">
        <f t="shared" si="174"/>
        <v>60410</v>
      </c>
      <c r="F1949" s="83"/>
      <c r="G1949" s="83">
        <v>100126</v>
      </c>
      <c r="H1949" s="83" t="s">
        <v>253</v>
      </c>
      <c r="I1949" s="83"/>
      <c r="J1949" s="83" t="s">
        <v>244</v>
      </c>
      <c r="K1949" s="83">
        <v>1</v>
      </c>
      <c r="L1949" s="83" t="s">
        <v>177</v>
      </c>
      <c r="M1949" s="83">
        <f>ROUNDDOWN(VLOOKUP(J1949,Sheet1!$N$32:$O$37,2,0)*1000,0)</f>
        <v>476</v>
      </c>
      <c r="N1949" s="83"/>
      <c r="O1949" s="83">
        <f t="shared" si="173"/>
        <v>0.0047270524444621</v>
      </c>
      <c r="P1949" s="83">
        <v>11000</v>
      </c>
    </row>
    <row r="1950" spans="1:16">
      <c r="A1950" s="79">
        <v>1948</v>
      </c>
      <c r="B1950" s="83">
        <v>11600</v>
      </c>
      <c r="C1950" s="83">
        <v>7</v>
      </c>
      <c r="D1950" s="83">
        <f t="shared" si="171"/>
        <v>60410</v>
      </c>
      <c r="E1950" s="83">
        <f t="shared" si="174"/>
        <v>60886</v>
      </c>
      <c r="F1950" s="83"/>
      <c r="G1950" s="83">
        <v>100127</v>
      </c>
      <c r="H1950" s="83" t="s">
        <v>254</v>
      </c>
      <c r="I1950" s="83"/>
      <c r="J1950" s="83" t="s">
        <v>244</v>
      </c>
      <c r="K1950" s="83">
        <v>1</v>
      </c>
      <c r="L1950" s="83" t="s">
        <v>177</v>
      </c>
      <c r="M1950" s="83">
        <f>ROUNDDOWN(VLOOKUP(J1950,Sheet1!$N$32:$O$37,2,0)*1000,0)</f>
        <v>476</v>
      </c>
      <c r="N1950" s="83"/>
      <c r="O1950" s="83">
        <f t="shared" si="173"/>
        <v>0.0047270524444621</v>
      </c>
      <c r="P1950" s="83">
        <v>11000</v>
      </c>
    </row>
    <row r="1951" spans="1:16">
      <c r="A1951" s="79">
        <v>1949</v>
      </c>
      <c r="B1951" s="83">
        <v>11600</v>
      </c>
      <c r="C1951" s="83">
        <v>7</v>
      </c>
      <c r="D1951" s="83">
        <f t="shared" si="171"/>
        <v>60886</v>
      </c>
      <c r="E1951" s="83">
        <f t="shared" si="174"/>
        <v>61362</v>
      </c>
      <c r="F1951" s="83"/>
      <c r="G1951" s="83">
        <v>100132</v>
      </c>
      <c r="H1951" s="83" t="s">
        <v>255</v>
      </c>
      <c r="I1951" s="83"/>
      <c r="J1951" s="83" t="s">
        <v>244</v>
      </c>
      <c r="K1951" s="83">
        <v>1</v>
      </c>
      <c r="L1951" s="83" t="s">
        <v>177</v>
      </c>
      <c r="M1951" s="83">
        <f>ROUNDDOWN(VLOOKUP(J1951,Sheet1!$N$32:$O$37,2,0)*1000,0)</f>
        <v>476</v>
      </c>
      <c r="N1951" s="83"/>
      <c r="O1951" s="83">
        <f t="shared" si="173"/>
        <v>0.0047270524444621</v>
      </c>
      <c r="P1951" s="83">
        <v>11000</v>
      </c>
    </row>
    <row r="1952" spans="1:16">
      <c r="A1952" s="79">
        <v>1950</v>
      </c>
      <c r="B1952" s="83">
        <v>11600</v>
      </c>
      <c r="C1952" s="83">
        <v>7</v>
      </c>
      <c r="D1952" s="83">
        <f t="shared" si="171"/>
        <v>61362</v>
      </c>
      <c r="E1952" s="83">
        <f t="shared" si="174"/>
        <v>61838</v>
      </c>
      <c r="F1952" s="83"/>
      <c r="G1952" s="83">
        <v>100133</v>
      </c>
      <c r="H1952" s="83" t="s">
        <v>256</v>
      </c>
      <c r="I1952" s="83"/>
      <c r="J1952" s="83" t="s">
        <v>244</v>
      </c>
      <c r="K1952" s="83">
        <v>1</v>
      </c>
      <c r="L1952" s="83" t="s">
        <v>177</v>
      </c>
      <c r="M1952" s="83">
        <f>ROUNDDOWN(VLOOKUP(J1952,Sheet1!$N$32:$O$37,2,0)*1000,0)</f>
        <v>476</v>
      </c>
      <c r="N1952" s="83"/>
      <c r="O1952" s="83">
        <f t="shared" si="173"/>
        <v>0.0047270524444621</v>
      </c>
      <c r="P1952" s="83">
        <v>11000</v>
      </c>
    </row>
    <row r="1953" spans="1:16">
      <c r="A1953" s="79">
        <v>1951</v>
      </c>
      <c r="B1953" s="83">
        <v>11600</v>
      </c>
      <c r="C1953" s="83">
        <v>7</v>
      </c>
      <c r="D1953" s="83">
        <f t="shared" si="171"/>
        <v>61838</v>
      </c>
      <c r="E1953" s="83">
        <f t="shared" si="174"/>
        <v>62314</v>
      </c>
      <c r="F1953" s="83"/>
      <c r="G1953" s="83">
        <v>100134</v>
      </c>
      <c r="H1953" s="83" t="s">
        <v>257</v>
      </c>
      <c r="I1953" s="83"/>
      <c r="J1953" s="83" t="s">
        <v>244</v>
      </c>
      <c r="K1953" s="83">
        <v>1</v>
      </c>
      <c r="L1953" s="83" t="s">
        <v>177</v>
      </c>
      <c r="M1953" s="83">
        <f>ROUNDDOWN(VLOOKUP(J1953,Sheet1!$N$32:$O$37,2,0)*1000,0)</f>
        <v>476</v>
      </c>
      <c r="N1953" s="83"/>
      <c r="O1953" s="83">
        <f t="shared" ref="O1953:O1972" si="175">(E1953-D1953)/$E$1972</f>
        <v>0.0047270524444621</v>
      </c>
      <c r="P1953" s="83">
        <v>11000</v>
      </c>
    </row>
    <row r="1954" spans="1:16">
      <c r="A1954" s="79">
        <v>1952</v>
      </c>
      <c r="B1954" s="83">
        <v>11600</v>
      </c>
      <c r="C1954" s="83">
        <v>7</v>
      </c>
      <c r="D1954" s="83">
        <f t="shared" si="171"/>
        <v>62314</v>
      </c>
      <c r="E1954" s="83">
        <f t="shared" si="174"/>
        <v>62790</v>
      </c>
      <c r="F1954" s="83"/>
      <c r="G1954" s="83">
        <v>100135</v>
      </c>
      <c r="H1954" s="83" t="s">
        <v>258</v>
      </c>
      <c r="I1954" s="83"/>
      <c r="J1954" s="83" t="s">
        <v>244</v>
      </c>
      <c r="K1954" s="83">
        <v>1</v>
      </c>
      <c r="L1954" s="83" t="s">
        <v>177</v>
      </c>
      <c r="M1954" s="83">
        <f>ROUNDDOWN(VLOOKUP(J1954,Sheet1!$N$32:$O$37,2,0)*1000,0)</f>
        <v>476</v>
      </c>
      <c r="N1954" s="83"/>
      <c r="O1954" s="83">
        <f t="shared" si="175"/>
        <v>0.0047270524444621</v>
      </c>
      <c r="P1954" s="83">
        <v>11000</v>
      </c>
    </row>
    <row r="1955" spans="1:16">
      <c r="A1955" s="79">
        <v>1953</v>
      </c>
      <c r="B1955" s="83">
        <v>11600</v>
      </c>
      <c r="C1955" s="83">
        <v>7</v>
      </c>
      <c r="D1955" s="83">
        <f t="shared" si="171"/>
        <v>62790</v>
      </c>
      <c r="E1955" s="83">
        <f t="shared" si="174"/>
        <v>63266</v>
      </c>
      <c r="F1955" s="83"/>
      <c r="G1955" s="83">
        <v>100136</v>
      </c>
      <c r="H1955" s="83" t="s">
        <v>259</v>
      </c>
      <c r="I1955" s="83"/>
      <c r="J1955" s="83" t="s">
        <v>244</v>
      </c>
      <c r="K1955" s="83">
        <v>1</v>
      </c>
      <c r="L1955" s="83" t="s">
        <v>177</v>
      </c>
      <c r="M1955" s="83">
        <f>ROUNDDOWN(VLOOKUP(J1955,Sheet1!$N$32:$O$37,2,0)*1000,0)</f>
        <v>476</v>
      </c>
      <c r="N1955" s="83"/>
      <c r="O1955" s="83">
        <f t="shared" si="175"/>
        <v>0.0047270524444621</v>
      </c>
      <c r="P1955" s="83">
        <v>11000</v>
      </c>
    </row>
    <row r="1956" spans="1:16">
      <c r="A1956" s="79">
        <v>1954</v>
      </c>
      <c r="B1956" s="83">
        <v>11600</v>
      </c>
      <c r="C1956" s="83">
        <v>7</v>
      </c>
      <c r="D1956" s="83">
        <f t="shared" si="171"/>
        <v>63266</v>
      </c>
      <c r="E1956" s="83">
        <f t="shared" si="174"/>
        <v>63742</v>
      </c>
      <c r="F1956" s="83"/>
      <c r="G1956" s="83">
        <v>100137</v>
      </c>
      <c r="H1956" s="83" t="s">
        <v>260</v>
      </c>
      <c r="I1956" s="83"/>
      <c r="J1956" s="83" t="s">
        <v>244</v>
      </c>
      <c r="K1956" s="83">
        <v>1</v>
      </c>
      <c r="L1956" s="83" t="s">
        <v>177</v>
      </c>
      <c r="M1956" s="83">
        <f>ROUNDDOWN(VLOOKUP(J1956,Sheet1!$N$32:$O$37,2,0)*1000,0)</f>
        <v>476</v>
      </c>
      <c r="N1956" s="83"/>
      <c r="O1956" s="83">
        <f t="shared" si="175"/>
        <v>0.0047270524444621</v>
      </c>
      <c r="P1956" s="83">
        <v>11000</v>
      </c>
    </row>
    <row r="1957" spans="1:16">
      <c r="A1957" s="79">
        <v>1955</v>
      </c>
      <c r="B1957" s="83">
        <v>11600</v>
      </c>
      <c r="C1957" s="83">
        <v>7</v>
      </c>
      <c r="D1957" s="83">
        <f t="shared" si="171"/>
        <v>63742</v>
      </c>
      <c r="E1957" s="83">
        <f t="shared" si="174"/>
        <v>64218</v>
      </c>
      <c r="F1957" s="83"/>
      <c r="G1957" s="83">
        <v>100138</v>
      </c>
      <c r="H1957" s="83" t="s">
        <v>261</v>
      </c>
      <c r="I1957" s="83"/>
      <c r="J1957" s="83" t="s">
        <v>244</v>
      </c>
      <c r="K1957" s="83">
        <v>1</v>
      </c>
      <c r="L1957" s="83" t="s">
        <v>177</v>
      </c>
      <c r="M1957" s="83">
        <f>ROUNDDOWN(VLOOKUP(J1957,Sheet1!$N$32:$O$37,2,0)*1000,0)</f>
        <v>476</v>
      </c>
      <c r="N1957" s="83"/>
      <c r="O1957" s="83">
        <f t="shared" si="175"/>
        <v>0.0047270524444621</v>
      </c>
      <c r="P1957" s="83">
        <v>11000</v>
      </c>
    </row>
    <row r="1958" spans="1:16">
      <c r="A1958" s="79">
        <v>1956</v>
      </c>
      <c r="B1958" s="83">
        <v>11600</v>
      </c>
      <c r="C1958" s="83">
        <v>7</v>
      </c>
      <c r="D1958" s="83">
        <f t="shared" si="171"/>
        <v>64218</v>
      </c>
      <c r="E1958" s="83">
        <f t="shared" si="174"/>
        <v>64694</v>
      </c>
      <c r="F1958" s="83"/>
      <c r="G1958" s="83">
        <v>100144</v>
      </c>
      <c r="H1958" s="83" t="s">
        <v>262</v>
      </c>
      <c r="I1958" s="83"/>
      <c r="J1958" s="83" t="s">
        <v>244</v>
      </c>
      <c r="K1958" s="83">
        <v>1</v>
      </c>
      <c r="L1958" s="83" t="s">
        <v>177</v>
      </c>
      <c r="M1958" s="83">
        <f>ROUNDDOWN(VLOOKUP(J1958,Sheet1!$N$32:$O$37,2,0)*1000,0)</f>
        <v>476</v>
      </c>
      <c r="N1958" s="83"/>
      <c r="O1958" s="83">
        <f t="shared" si="175"/>
        <v>0.0047270524444621</v>
      </c>
      <c r="P1958" s="83">
        <v>11000</v>
      </c>
    </row>
    <row r="1959" spans="1:16">
      <c r="A1959" s="79">
        <v>1957</v>
      </c>
      <c r="B1959" s="83">
        <v>11600</v>
      </c>
      <c r="C1959" s="83">
        <v>7</v>
      </c>
      <c r="D1959" s="83">
        <f t="shared" si="171"/>
        <v>64694</v>
      </c>
      <c r="E1959" s="83">
        <f t="shared" si="174"/>
        <v>65170</v>
      </c>
      <c r="F1959" s="83"/>
      <c r="G1959" s="83">
        <v>100148</v>
      </c>
      <c r="H1959" s="83" t="s">
        <v>263</v>
      </c>
      <c r="I1959" s="83"/>
      <c r="J1959" s="83" t="s">
        <v>244</v>
      </c>
      <c r="K1959" s="83">
        <v>1</v>
      </c>
      <c r="L1959" s="83" t="s">
        <v>177</v>
      </c>
      <c r="M1959" s="83">
        <f>ROUNDDOWN(VLOOKUP(J1959,Sheet1!$N$32:$O$37,2,0)*1000,0)</f>
        <v>476</v>
      </c>
      <c r="N1959" s="83"/>
      <c r="O1959" s="83">
        <f t="shared" si="175"/>
        <v>0.0047270524444621</v>
      </c>
      <c r="P1959" s="83">
        <v>11000</v>
      </c>
    </row>
    <row r="1960" spans="1:16">
      <c r="A1960" s="79">
        <v>1958</v>
      </c>
      <c r="B1960" s="83">
        <v>11600</v>
      </c>
      <c r="C1960" s="83">
        <v>7</v>
      </c>
      <c r="D1960" s="83">
        <f t="shared" si="171"/>
        <v>65170</v>
      </c>
      <c r="E1960" s="83">
        <f t="shared" si="174"/>
        <v>65646</v>
      </c>
      <c r="F1960" s="83"/>
      <c r="G1960" s="83">
        <v>100139</v>
      </c>
      <c r="H1960" s="83" t="s">
        <v>264</v>
      </c>
      <c r="I1960" s="83"/>
      <c r="J1960" s="83" t="s">
        <v>244</v>
      </c>
      <c r="K1960" s="83">
        <v>1</v>
      </c>
      <c r="L1960" s="83" t="s">
        <v>177</v>
      </c>
      <c r="M1960" s="83">
        <f>ROUNDDOWN(VLOOKUP(J1960,Sheet1!$N$32:$O$37,2,0)*1000,0)</f>
        <v>476</v>
      </c>
      <c r="N1960" s="83"/>
      <c r="O1960" s="83">
        <f t="shared" si="175"/>
        <v>0.0047270524444621</v>
      </c>
      <c r="P1960" s="83">
        <v>11000</v>
      </c>
    </row>
    <row r="1961" spans="1:16">
      <c r="A1961" s="79">
        <v>1959</v>
      </c>
      <c r="B1961" s="83">
        <v>11600</v>
      </c>
      <c r="C1961" s="83">
        <v>2</v>
      </c>
      <c r="D1961" s="83">
        <f t="shared" si="171"/>
        <v>65646</v>
      </c>
      <c r="E1961" s="83">
        <f t="shared" si="174"/>
        <v>68827</v>
      </c>
      <c r="F1961" s="83"/>
      <c r="G1961" s="83">
        <v>907009</v>
      </c>
      <c r="H1961" s="83" t="s">
        <v>265</v>
      </c>
      <c r="I1961" s="83"/>
      <c r="J1961" s="83" t="s">
        <v>266</v>
      </c>
      <c r="K1961" s="83">
        <v>1</v>
      </c>
      <c r="L1961" s="83" t="s">
        <v>177</v>
      </c>
      <c r="M1961" s="83">
        <f>ROUNDDOWN(VLOOKUP(J1961,Sheet1!$N$32:$O$37,2,0)*1000,0)</f>
        <v>3181</v>
      </c>
      <c r="N1961" s="83"/>
      <c r="O1961" s="83">
        <f t="shared" si="175"/>
        <v>0.031589818961836</v>
      </c>
      <c r="P1961" s="83">
        <v>11000</v>
      </c>
    </row>
    <row r="1962" spans="1:16">
      <c r="A1962" s="79">
        <v>1960</v>
      </c>
      <c r="B1962" s="83">
        <v>11600</v>
      </c>
      <c r="C1962" s="83">
        <v>2</v>
      </c>
      <c r="D1962" s="83">
        <f t="shared" si="171"/>
        <v>68827</v>
      </c>
      <c r="E1962" s="83">
        <f t="shared" si="174"/>
        <v>72008</v>
      </c>
      <c r="F1962" s="83"/>
      <c r="G1962" s="83">
        <v>907010</v>
      </c>
      <c r="H1962" s="83" t="s">
        <v>267</v>
      </c>
      <c r="I1962" s="83"/>
      <c r="J1962" s="83" t="s">
        <v>266</v>
      </c>
      <c r="K1962" s="83">
        <v>1</v>
      </c>
      <c r="L1962" s="83" t="s">
        <v>177</v>
      </c>
      <c r="M1962" s="83">
        <f>ROUNDDOWN(VLOOKUP(J1962,Sheet1!$N$32:$O$37,2,0)*1000,0)</f>
        <v>3181</v>
      </c>
      <c r="N1962" s="83"/>
      <c r="O1962" s="83">
        <f t="shared" si="175"/>
        <v>0.031589818961836</v>
      </c>
      <c r="P1962" s="83">
        <v>11000</v>
      </c>
    </row>
    <row r="1963" spans="1:16">
      <c r="A1963" s="79">
        <v>1961</v>
      </c>
      <c r="B1963" s="83">
        <v>11600</v>
      </c>
      <c r="C1963" s="83">
        <v>2</v>
      </c>
      <c r="D1963" s="83">
        <f t="shared" si="171"/>
        <v>72008</v>
      </c>
      <c r="E1963" s="83">
        <f t="shared" si="174"/>
        <v>75189</v>
      </c>
      <c r="F1963" s="83"/>
      <c r="G1963" s="83">
        <v>907011</v>
      </c>
      <c r="H1963" s="83" t="s">
        <v>268</v>
      </c>
      <c r="I1963" s="83"/>
      <c r="J1963" s="83" t="s">
        <v>266</v>
      </c>
      <c r="K1963" s="83">
        <v>1</v>
      </c>
      <c r="L1963" s="83" t="s">
        <v>177</v>
      </c>
      <c r="M1963" s="83">
        <f>ROUNDDOWN(VLOOKUP(J1963,Sheet1!$N$32:$O$37,2,0)*1000,0)</f>
        <v>3181</v>
      </c>
      <c r="N1963" s="83"/>
      <c r="O1963" s="83">
        <f t="shared" si="175"/>
        <v>0.031589818961836</v>
      </c>
      <c r="P1963" s="83">
        <v>11000</v>
      </c>
    </row>
    <row r="1964" spans="1:16">
      <c r="A1964" s="79">
        <v>1962</v>
      </c>
      <c r="B1964" s="83">
        <v>11600</v>
      </c>
      <c r="C1964" s="83">
        <v>2</v>
      </c>
      <c r="D1964" s="83">
        <f t="shared" si="171"/>
        <v>75189</v>
      </c>
      <c r="E1964" s="83">
        <f t="shared" si="174"/>
        <v>78370</v>
      </c>
      <c r="F1964" s="83"/>
      <c r="G1964" s="83">
        <v>907012</v>
      </c>
      <c r="H1964" s="83" t="s">
        <v>269</v>
      </c>
      <c r="I1964" s="83"/>
      <c r="J1964" s="83" t="s">
        <v>266</v>
      </c>
      <c r="K1964" s="83">
        <v>1</v>
      </c>
      <c r="L1964" s="83" t="s">
        <v>177</v>
      </c>
      <c r="M1964" s="83">
        <f>ROUNDDOWN(VLOOKUP(J1964,Sheet1!$N$32:$O$37,2,0)*1000,0)</f>
        <v>3181</v>
      </c>
      <c r="N1964" s="83"/>
      <c r="O1964" s="83">
        <f t="shared" si="175"/>
        <v>0.031589818961836</v>
      </c>
      <c r="P1964" s="83">
        <v>11000</v>
      </c>
    </row>
    <row r="1965" spans="1:16">
      <c r="A1965" s="79">
        <v>1963</v>
      </c>
      <c r="B1965" s="83">
        <v>11600</v>
      </c>
      <c r="C1965" s="83">
        <v>2</v>
      </c>
      <c r="D1965" s="83">
        <f t="shared" si="171"/>
        <v>78370</v>
      </c>
      <c r="E1965" s="83">
        <f t="shared" si="174"/>
        <v>81551</v>
      </c>
      <c r="F1965" s="83"/>
      <c r="G1965" s="83">
        <v>907014</v>
      </c>
      <c r="H1965" s="83" t="s">
        <v>270</v>
      </c>
      <c r="I1965" s="83"/>
      <c r="J1965" s="83" t="s">
        <v>266</v>
      </c>
      <c r="K1965" s="83">
        <v>1</v>
      </c>
      <c r="L1965" s="83" t="s">
        <v>177</v>
      </c>
      <c r="M1965" s="83">
        <f>ROUNDDOWN(VLOOKUP(J1965,Sheet1!$N$32:$O$37,2,0)*1000,0)</f>
        <v>3181</v>
      </c>
      <c r="N1965" s="83"/>
      <c r="O1965" s="83">
        <f t="shared" si="175"/>
        <v>0.031589818961836</v>
      </c>
      <c r="P1965" s="83">
        <v>11000</v>
      </c>
    </row>
    <row r="1966" spans="1:16">
      <c r="A1966" s="79">
        <v>1964</v>
      </c>
      <c r="B1966" s="83">
        <v>11600</v>
      </c>
      <c r="C1966" s="83">
        <v>2</v>
      </c>
      <c r="D1966" s="83">
        <f t="shared" si="171"/>
        <v>81551</v>
      </c>
      <c r="E1966" s="83">
        <f t="shared" si="174"/>
        <v>84732</v>
      </c>
      <c r="F1966" s="83"/>
      <c r="G1966" s="83">
        <v>907017</v>
      </c>
      <c r="H1966" s="83" t="s">
        <v>271</v>
      </c>
      <c r="I1966" s="83"/>
      <c r="J1966" s="83" t="s">
        <v>266</v>
      </c>
      <c r="K1966" s="83">
        <v>1</v>
      </c>
      <c r="L1966" s="83" t="s">
        <v>177</v>
      </c>
      <c r="M1966" s="83">
        <f>ROUNDDOWN(VLOOKUP(J1966,Sheet1!$N$32:$O$37,2,0)*1000,0)</f>
        <v>3181</v>
      </c>
      <c r="N1966" s="83"/>
      <c r="O1966" s="83">
        <f t="shared" si="175"/>
        <v>0.031589818961836</v>
      </c>
      <c r="P1966" s="83">
        <v>11000</v>
      </c>
    </row>
    <row r="1967" spans="1:16">
      <c r="A1967" s="79">
        <v>1965</v>
      </c>
      <c r="B1967" s="83">
        <v>11600</v>
      </c>
      <c r="C1967" s="83">
        <v>2</v>
      </c>
      <c r="D1967" s="83">
        <f t="shared" ref="D1967:D2030" si="176">E1966</f>
        <v>84732</v>
      </c>
      <c r="E1967" s="83">
        <f t="shared" si="174"/>
        <v>87913</v>
      </c>
      <c r="F1967" s="83"/>
      <c r="G1967" s="83">
        <v>907018</v>
      </c>
      <c r="H1967" s="83" t="s">
        <v>272</v>
      </c>
      <c r="I1967" s="83"/>
      <c r="J1967" s="83" t="s">
        <v>266</v>
      </c>
      <c r="K1967" s="83">
        <v>1</v>
      </c>
      <c r="L1967" s="83" t="s">
        <v>177</v>
      </c>
      <c r="M1967" s="83">
        <f>ROUNDDOWN(VLOOKUP(J1967,Sheet1!$N$32:$O$37,2,0)*1000,0)</f>
        <v>3181</v>
      </c>
      <c r="N1967" s="83"/>
      <c r="O1967" s="83">
        <f t="shared" si="175"/>
        <v>0.031589818961836</v>
      </c>
      <c r="P1967" s="83">
        <v>11000</v>
      </c>
    </row>
    <row r="1968" spans="1:16">
      <c r="A1968" s="79">
        <v>1966</v>
      </c>
      <c r="B1968" s="83">
        <v>11600</v>
      </c>
      <c r="C1968" s="83">
        <v>2</v>
      </c>
      <c r="D1968" s="83">
        <f t="shared" si="176"/>
        <v>87913</v>
      </c>
      <c r="E1968" s="83">
        <f t="shared" si="174"/>
        <v>91094</v>
      </c>
      <c r="F1968" s="83"/>
      <c r="G1968" s="83">
        <v>907033</v>
      </c>
      <c r="H1968" s="83" t="s">
        <v>273</v>
      </c>
      <c r="I1968" s="83"/>
      <c r="J1968" s="83" t="s">
        <v>266</v>
      </c>
      <c r="K1968" s="83">
        <v>1</v>
      </c>
      <c r="L1968" s="83" t="s">
        <v>177</v>
      </c>
      <c r="M1968" s="83">
        <f>ROUNDDOWN(VLOOKUP(J1968,Sheet1!$N$32:$O$37,2,0)*1000,0)</f>
        <v>3181</v>
      </c>
      <c r="N1968" s="83"/>
      <c r="O1968" s="83">
        <f t="shared" si="175"/>
        <v>0.031589818961836</v>
      </c>
      <c r="P1968" s="83">
        <v>11000</v>
      </c>
    </row>
    <row r="1969" spans="1:16">
      <c r="A1969" s="79">
        <v>1967</v>
      </c>
      <c r="B1969" s="83">
        <v>11600</v>
      </c>
      <c r="C1969" s="83">
        <v>2</v>
      </c>
      <c r="D1969" s="83">
        <f t="shared" si="176"/>
        <v>91094</v>
      </c>
      <c r="E1969" s="83">
        <f t="shared" si="174"/>
        <v>94275</v>
      </c>
      <c r="F1969" s="83"/>
      <c r="G1969" s="83">
        <v>907035</v>
      </c>
      <c r="H1969" s="83" t="s">
        <v>274</v>
      </c>
      <c r="I1969" s="83"/>
      <c r="J1969" s="83" t="s">
        <v>266</v>
      </c>
      <c r="K1969" s="83">
        <v>1</v>
      </c>
      <c r="L1969" s="83" t="s">
        <v>177</v>
      </c>
      <c r="M1969" s="83">
        <f>ROUNDDOWN(VLOOKUP(J1969,Sheet1!$N$32:$O$37,2,0)*1000,0)</f>
        <v>3181</v>
      </c>
      <c r="N1969" s="83"/>
      <c r="O1969" s="83">
        <f t="shared" si="175"/>
        <v>0.031589818961836</v>
      </c>
      <c r="P1969" s="83">
        <v>11000</v>
      </c>
    </row>
    <row r="1970" spans="1:16">
      <c r="A1970" s="79">
        <v>1968</v>
      </c>
      <c r="B1970" s="83">
        <v>11600</v>
      </c>
      <c r="C1970" s="83">
        <v>2</v>
      </c>
      <c r="D1970" s="83">
        <f t="shared" si="176"/>
        <v>94275</v>
      </c>
      <c r="E1970" s="83">
        <f t="shared" si="174"/>
        <v>97456</v>
      </c>
      <c r="F1970" s="83"/>
      <c r="G1970" s="83">
        <v>907036</v>
      </c>
      <c r="H1970" s="83" t="s">
        <v>275</v>
      </c>
      <c r="I1970" s="83"/>
      <c r="J1970" s="83" t="s">
        <v>266</v>
      </c>
      <c r="K1970" s="83">
        <v>1</v>
      </c>
      <c r="L1970" s="83" t="s">
        <v>177</v>
      </c>
      <c r="M1970" s="83">
        <f>ROUNDDOWN(VLOOKUP(J1970,Sheet1!$N$32:$O$37,2,0)*1000,0)</f>
        <v>3181</v>
      </c>
      <c r="N1970" s="83"/>
      <c r="O1970" s="83">
        <f t="shared" si="175"/>
        <v>0.031589818961836</v>
      </c>
      <c r="P1970" s="83">
        <v>11000</v>
      </c>
    </row>
    <row r="1971" spans="1:16">
      <c r="A1971" s="79">
        <v>1969</v>
      </c>
      <c r="B1971" s="83">
        <v>11600</v>
      </c>
      <c r="C1971" s="83">
        <v>2</v>
      </c>
      <c r="D1971" s="83">
        <f t="shared" si="176"/>
        <v>97456</v>
      </c>
      <c r="E1971" s="83">
        <f t="shared" si="174"/>
        <v>100637</v>
      </c>
      <c r="F1971" s="83"/>
      <c r="G1971" s="83">
        <v>907038</v>
      </c>
      <c r="H1971" s="83" t="s">
        <v>276</v>
      </c>
      <c r="I1971" s="83"/>
      <c r="J1971" s="83" t="s">
        <v>266</v>
      </c>
      <c r="K1971" s="83">
        <v>1</v>
      </c>
      <c r="L1971" s="83" t="s">
        <v>177</v>
      </c>
      <c r="M1971" s="83">
        <f>ROUNDDOWN(VLOOKUP(J1971,Sheet1!$N$32:$O$37,2,0)*1000,0)</f>
        <v>3181</v>
      </c>
      <c r="N1971" s="83"/>
      <c r="O1971" s="83">
        <f t="shared" si="175"/>
        <v>0.031589818961836</v>
      </c>
      <c r="P1971" s="83">
        <v>11000</v>
      </c>
    </row>
    <row r="1972" spans="1:16">
      <c r="A1972" s="79">
        <v>1970</v>
      </c>
      <c r="B1972" s="83">
        <v>11600</v>
      </c>
      <c r="C1972" s="83">
        <v>6</v>
      </c>
      <c r="D1972" s="83">
        <f t="shared" si="176"/>
        <v>100637</v>
      </c>
      <c r="E1972" s="83">
        <f t="shared" si="174"/>
        <v>100697</v>
      </c>
      <c r="F1972" s="83"/>
      <c r="G1972" s="83" t="s">
        <v>277</v>
      </c>
      <c r="H1972" s="83" t="s">
        <v>278</v>
      </c>
      <c r="I1972" s="83"/>
      <c r="J1972" s="83" t="s">
        <v>279</v>
      </c>
      <c r="K1972" s="83">
        <v>1</v>
      </c>
      <c r="L1972" s="83" t="s">
        <v>177</v>
      </c>
      <c r="M1972" s="83">
        <f>ROUNDDOWN(VLOOKUP(J1972,Sheet1!$N$32:$O$37,2,0)*1000,0)</f>
        <v>60</v>
      </c>
      <c r="N1972" s="83"/>
      <c r="O1972" s="83">
        <f t="shared" si="175"/>
        <v>0.000595846946780937</v>
      </c>
      <c r="P1972" s="83">
        <v>11000</v>
      </c>
    </row>
    <row r="1973" spans="1:16">
      <c r="A1973" s="79">
        <v>1971</v>
      </c>
      <c r="B1973" s="83">
        <v>11600</v>
      </c>
      <c r="C1973" s="83">
        <v>6</v>
      </c>
      <c r="D1973" s="83">
        <f t="shared" si="176"/>
        <v>100697</v>
      </c>
      <c r="E1973" s="83">
        <f t="shared" si="174"/>
        <v>100757</v>
      </c>
      <c r="F1973" s="83"/>
      <c r="G1973" s="83" t="s">
        <v>280</v>
      </c>
      <c r="H1973" s="83" t="s">
        <v>281</v>
      </c>
      <c r="I1973" s="83"/>
      <c r="J1973" s="83" t="s">
        <v>279</v>
      </c>
      <c r="K1973" s="83">
        <v>1</v>
      </c>
      <c r="L1973" s="83" t="s">
        <v>177</v>
      </c>
      <c r="M1973" s="83">
        <f>ROUNDDOWN(VLOOKUP(J1973,Sheet1!$N$32:$O$37,2,0)*1000,0)</f>
        <v>60</v>
      </c>
      <c r="N1973" s="83"/>
      <c r="O1973" s="83">
        <f t="shared" ref="O1973:O2036" si="177">(E1973-D1973)/$E$438</f>
        <v>0.000659145088819801</v>
      </c>
      <c r="P1973" s="83">
        <v>11001</v>
      </c>
    </row>
    <row r="1974" spans="1:16">
      <c r="A1974" s="79">
        <v>1972</v>
      </c>
      <c r="B1974" s="83">
        <v>11600</v>
      </c>
      <c r="C1974" s="83">
        <v>6</v>
      </c>
      <c r="D1974" s="83">
        <f t="shared" si="176"/>
        <v>100757</v>
      </c>
      <c r="E1974" s="83">
        <f t="shared" si="174"/>
        <v>100817</v>
      </c>
      <c r="F1974" s="83"/>
      <c r="G1974" s="83" t="s">
        <v>282</v>
      </c>
      <c r="H1974" s="83" t="s">
        <v>283</v>
      </c>
      <c r="I1974" s="83"/>
      <c r="J1974" s="83" t="s">
        <v>279</v>
      </c>
      <c r="K1974" s="83">
        <v>1</v>
      </c>
      <c r="L1974" s="83" t="s">
        <v>177</v>
      </c>
      <c r="M1974" s="83">
        <f>ROUNDDOWN(VLOOKUP(J1974,Sheet1!$N$32:$O$37,2,0)*1000,0)</f>
        <v>60</v>
      </c>
      <c r="N1974" s="83"/>
      <c r="O1974" s="83">
        <f t="shared" si="177"/>
        <v>0.000659145088819801</v>
      </c>
      <c r="P1974" s="83">
        <v>11002</v>
      </c>
    </row>
    <row r="1975" spans="1:16">
      <c r="A1975" s="79">
        <v>1973</v>
      </c>
      <c r="B1975" s="83">
        <v>11600</v>
      </c>
      <c r="C1975" s="83">
        <v>6</v>
      </c>
      <c r="D1975" s="83">
        <f t="shared" si="176"/>
        <v>100817</v>
      </c>
      <c r="E1975" s="83">
        <f t="shared" si="174"/>
        <v>100877</v>
      </c>
      <c r="F1975" s="83"/>
      <c r="G1975" s="83" t="s">
        <v>284</v>
      </c>
      <c r="H1975" s="83" t="s">
        <v>285</v>
      </c>
      <c r="I1975" s="83"/>
      <c r="J1975" s="83" t="s">
        <v>279</v>
      </c>
      <c r="K1975" s="83">
        <v>1</v>
      </c>
      <c r="L1975" s="83" t="s">
        <v>177</v>
      </c>
      <c r="M1975" s="83">
        <f>ROUNDDOWN(VLOOKUP(J1975,Sheet1!$N$32:$O$37,2,0)*1000,0)</f>
        <v>60</v>
      </c>
      <c r="N1975" s="83"/>
      <c r="O1975" s="83">
        <f t="shared" si="177"/>
        <v>0.000659145088819801</v>
      </c>
      <c r="P1975" s="83">
        <v>11003</v>
      </c>
    </row>
    <row r="1976" spans="1:16">
      <c r="A1976" s="79">
        <v>1974</v>
      </c>
      <c r="B1976" s="83">
        <v>11600</v>
      </c>
      <c r="C1976" s="83">
        <v>6</v>
      </c>
      <c r="D1976" s="83">
        <f t="shared" si="176"/>
        <v>100877</v>
      </c>
      <c r="E1976" s="83">
        <f t="shared" si="174"/>
        <v>100937</v>
      </c>
      <c r="F1976" s="83"/>
      <c r="G1976" s="83" t="s">
        <v>286</v>
      </c>
      <c r="H1976" s="83" t="s">
        <v>287</v>
      </c>
      <c r="I1976" s="83"/>
      <c r="J1976" s="83" t="s">
        <v>279</v>
      </c>
      <c r="K1976" s="83">
        <v>1</v>
      </c>
      <c r="L1976" s="83" t="s">
        <v>177</v>
      </c>
      <c r="M1976" s="83">
        <f>ROUNDDOWN(VLOOKUP(J1976,Sheet1!$N$32:$O$37,2,0)*1000,0)</f>
        <v>60</v>
      </c>
      <c r="N1976" s="83"/>
      <c r="O1976" s="83">
        <f t="shared" si="177"/>
        <v>0.000659145088819801</v>
      </c>
      <c r="P1976" s="83">
        <v>11004</v>
      </c>
    </row>
    <row r="1977" spans="1:16">
      <c r="A1977" s="79">
        <v>1975</v>
      </c>
      <c r="B1977" s="83">
        <v>11600</v>
      </c>
      <c r="C1977" s="83">
        <v>6</v>
      </c>
      <c r="D1977" s="83">
        <f t="shared" si="176"/>
        <v>100937</v>
      </c>
      <c r="E1977" s="83">
        <f t="shared" si="174"/>
        <v>100997</v>
      </c>
      <c r="F1977" s="83"/>
      <c r="G1977" s="83" t="s">
        <v>288</v>
      </c>
      <c r="H1977" s="83" t="s">
        <v>289</v>
      </c>
      <c r="I1977" s="83"/>
      <c r="J1977" s="83" t="s">
        <v>279</v>
      </c>
      <c r="K1977" s="83">
        <v>1</v>
      </c>
      <c r="L1977" s="83" t="s">
        <v>177</v>
      </c>
      <c r="M1977" s="83">
        <f>ROUNDDOWN(VLOOKUP(J1977,Sheet1!$N$32:$O$37,2,0)*1000,0)</f>
        <v>60</v>
      </c>
      <c r="N1977" s="83"/>
      <c r="O1977" s="83">
        <f t="shared" si="177"/>
        <v>0.000659145088819801</v>
      </c>
      <c r="P1977" s="83">
        <v>11005</v>
      </c>
    </row>
    <row r="1978" spans="1:16">
      <c r="A1978" s="79">
        <v>1976</v>
      </c>
      <c r="B1978" s="83">
        <v>11600</v>
      </c>
      <c r="C1978" s="83">
        <v>6</v>
      </c>
      <c r="D1978" s="83">
        <f t="shared" si="176"/>
        <v>100997</v>
      </c>
      <c r="E1978" s="83">
        <f t="shared" si="174"/>
        <v>101057</v>
      </c>
      <c r="F1978" s="83"/>
      <c r="G1978" s="83" t="s">
        <v>290</v>
      </c>
      <c r="H1978" s="83" t="s">
        <v>291</v>
      </c>
      <c r="I1978" s="83"/>
      <c r="J1978" s="83" t="s">
        <v>279</v>
      </c>
      <c r="K1978" s="83">
        <v>1</v>
      </c>
      <c r="L1978" s="83" t="s">
        <v>177</v>
      </c>
      <c r="M1978" s="83">
        <f>ROUNDDOWN(VLOOKUP(J1978,Sheet1!$N$32:$O$37,2,0)*1000,0)</f>
        <v>60</v>
      </c>
      <c r="N1978" s="83"/>
      <c r="O1978" s="83">
        <f t="shared" si="177"/>
        <v>0.000659145088819801</v>
      </c>
      <c r="P1978" s="83">
        <v>11006</v>
      </c>
    </row>
    <row r="1979" spans="1:16">
      <c r="A1979" s="79">
        <v>1977</v>
      </c>
      <c r="B1979" s="83">
        <v>11600</v>
      </c>
      <c r="C1979" s="83">
        <v>6</v>
      </c>
      <c r="D1979" s="83">
        <f t="shared" si="176"/>
        <v>101057</v>
      </c>
      <c r="E1979" s="83">
        <f t="shared" si="174"/>
        <v>101117</v>
      </c>
      <c r="F1979" s="83"/>
      <c r="G1979" s="83" t="s">
        <v>292</v>
      </c>
      <c r="H1979" s="83" t="s">
        <v>293</v>
      </c>
      <c r="I1979" s="83"/>
      <c r="J1979" s="83" t="s">
        <v>279</v>
      </c>
      <c r="K1979" s="83">
        <v>1</v>
      </c>
      <c r="L1979" s="83" t="s">
        <v>177</v>
      </c>
      <c r="M1979" s="83">
        <f>ROUNDDOWN(VLOOKUP(J1979,Sheet1!$N$32:$O$37,2,0)*1000,0)</f>
        <v>60</v>
      </c>
      <c r="N1979" s="83"/>
      <c r="O1979" s="83">
        <f t="shared" si="177"/>
        <v>0.000659145088819801</v>
      </c>
      <c r="P1979" s="83">
        <v>11007</v>
      </c>
    </row>
    <row r="1980" spans="1:16">
      <c r="A1980" s="79">
        <v>1978</v>
      </c>
      <c r="B1980" s="83">
        <v>11600</v>
      </c>
      <c r="C1980" s="83">
        <v>6</v>
      </c>
      <c r="D1980" s="83">
        <f t="shared" si="176"/>
        <v>101117</v>
      </c>
      <c r="E1980" s="83">
        <f t="shared" si="174"/>
        <v>101177</v>
      </c>
      <c r="F1980" s="83"/>
      <c r="G1980" s="83" t="s">
        <v>294</v>
      </c>
      <c r="H1980" s="83" t="s">
        <v>295</v>
      </c>
      <c r="I1980" s="83"/>
      <c r="J1980" s="83" t="s">
        <v>279</v>
      </c>
      <c r="K1980" s="83">
        <v>1</v>
      </c>
      <c r="L1980" s="83" t="s">
        <v>177</v>
      </c>
      <c r="M1980" s="83">
        <f>ROUNDDOWN(VLOOKUP(J1980,Sheet1!$N$32:$O$37,2,0)*1000,0)</f>
        <v>60</v>
      </c>
      <c r="N1980" s="83"/>
      <c r="O1980" s="83">
        <f t="shared" si="177"/>
        <v>0.000659145088819801</v>
      </c>
      <c r="P1980" s="83">
        <v>11008</v>
      </c>
    </row>
    <row r="1981" spans="1:16">
      <c r="A1981" s="79">
        <v>1979</v>
      </c>
      <c r="B1981" s="83">
        <v>11600</v>
      </c>
      <c r="C1981" s="83">
        <v>6</v>
      </c>
      <c r="D1981" s="83">
        <f t="shared" si="176"/>
        <v>101177</v>
      </c>
      <c r="E1981" s="83">
        <f t="shared" si="174"/>
        <v>101237</v>
      </c>
      <c r="F1981" s="83"/>
      <c r="G1981" s="83" t="s">
        <v>296</v>
      </c>
      <c r="H1981" s="83" t="s">
        <v>297</v>
      </c>
      <c r="I1981" s="83"/>
      <c r="J1981" s="83" t="s">
        <v>279</v>
      </c>
      <c r="K1981" s="83">
        <v>1</v>
      </c>
      <c r="L1981" s="83" t="s">
        <v>177</v>
      </c>
      <c r="M1981" s="83">
        <f>ROUNDDOWN(VLOOKUP(J1981,Sheet1!$N$32:$O$37,2,0)*1000,0)</f>
        <v>60</v>
      </c>
      <c r="N1981" s="83"/>
      <c r="O1981" s="83">
        <f t="shared" si="177"/>
        <v>0.000659145088819801</v>
      </c>
      <c r="P1981" s="83">
        <v>11009</v>
      </c>
    </row>
    <row r="1982" spans="1:16">
      <c r="A1982" s="79">
        <v>1980</v>
      </c>
      <c r="B1982" s="83">
        <v>11600</v>
      </c>
      <c r="C1982" s="83">
        <v>6</v>
      </c>
      <c r="D1982" s="83">
        <f t="shared" si="176"/>
        <v>101237</v>
      </c>
      <c r="E1982" s="83">
        <f t="shared" si="174"/>
        <v>101297</v>
      </c>
      <c r="F1982" s="83"/>
      <c r="G1982" s="83" t="s">
        <v>298</v>
      </c>
      <c r="H1982" s="83" t="s">
        <v>299</v>
      </c>
      <c r="I1982" s="83"/>
      <c r="J1982" s="83" t="s">
        <v>279</v>
      </c>
      <c r="K1982" s="83">
        <v>1</v>
      </c>
      <c r="L1982" s="83" t="s">
        <v>177</v>
      </c>
      <c r="M1982" s="83">
        <f>ROUNDDOWN(VLOOKUP(J1982,Sheet1!$N$32:$O$37,2,0)*1000,0)</f>
        <v>60</v>
      </c>
      <c r="N1982" s="83"/>
      <c r="O1982" s="83">
        <f t="shared" si="177"/>
        <v>0.000659145088819801</v>
      </c>
      <c r="P1982" s="83">
        <v>11010</v>
      </c>
    </row>
    <row r="1983" spans="1:16">
      <c r="A1983" s="79">
        <v>1981</v>
      </c>
      <c r="B1983" s="83">
        <v>11600</v>
      </c>
      <c r="C1983" s="83">
        <v>6</v>
      </c>
      <c r="D1983" s="83">
        <f t="shared" si="176"/>
        <v>101297</v>
      </c>
      <c r="E1983" s="83">
        <f t="shared" si="174"/>
        <v>101357</v>
      </c>
      <c r="F1983" s="83"/>
      <c r="G1983" s="83" t="s">
        <v>300</v>
      </c>
      <c r="H1983" s="83" t="s">
        <v>301</v>
      </c>
      <c r="I1983" s="83"/>
      <c r="J1983" s="83" t="s">
        <v>279</v>
      </c>
      <c r="K1983" s="83">
        <v>1</v>
      </c>
      <c r="L1983" s="83" t="s">
        <v>177</v>
      </c>
      <c r="M1983" s="83">
        <f>ROUNDDOWN(VLOOKUP(J1983,Sheet1!$N$32:$O$37,2,0)*1000,0)</f>
        <v>60</v>
      </c>
      <c r="N1983" s="83"/>
      <c r="O1983" s="83">
        <f t="shared" si="177"/>
        <v>0.000659145088819801</v>
      </c>
      <c r="P1983" s="83">
        <v>11011</v>
      </c>
    </row>
    <row r="1984" spans="1:16">
      <c r="A1984" s="79">
        <v>1982</v>
      </c>
      <c r="B1984" s="83">
        <v>11600</v>
      </c>
      <c r="C1984" s="83">
        <v>6</v>
      </c>
      <c r="D1984" s="83">
        <f t="shared" si="176"/>
        <v>101357</v>
      </c>
      <c r="E1984" s="83">
        <f t="shared" si="174"/>
        <v>101417</v>
      </c>
      <c r="F1984" s="83"/>
      <c r="G1984" s="83" t="s">
        <v>302</v>
      </c>
      <c r="H1984" s="83" t="s">
        <v>303</v>
      </c>
      <c r="I1984" s="83"/>
      <c r="J1984" s="83" t="s">
        <v>279</v>
      </c>
      <c r="K1984" s="83">
        <v>1</v>
      </c>
      <c r="L1984" s="83" t="s">
        <v>177</v>
      </c>
      <c r="M1984" s="83">
        <f>ROUNDDOWN(VLOOKUP(J1984,Sheet1!$N$32:$O$37,2,0)*1000,0)</f>
        <v>60</v>
      </c>
      <c r="N1984" s="83"/>
      <c r="O1984" s="83">
        <f t="shared" si="177"/>
        <v>0.000659145088819801</v>
      </c>
      <c r="P1984" s="83">
        <v>11012</v>
      </c>
    </row>
    <row r="1985" spans="1:16">
      <c r="A1985" s="79">
        <v>1983</v>
      </c>
      <c r="B1985" s="83">
        <v>11600</v>
      </c>
      <c r="C1985" s="83">
        <v>6</v>
      </c>
      <c r="D1985" s="83">
        <f t="shared" si="176"/>
        <v>101417</v>
      </c>
      <c r="E1985" s="83">
        <f t="shared" si="174"/>
        <v>101477</v>
      </c>
      <c r="F1985" s="83"/>
      <c r="G1985" s="83" t="s">
        <v>304</v>
      </c>
      <c r="H1985" s="83" t="s">
        <v>305</v>
      </c>
      <c r="I1985" s="83"/>
      <c r="J1985" s="83" t="s">
        <v>279</v>
      </c>
      <c r="K1985" s="83">
        <v>1</v>
      </c>
      <c r="L1985" s="83" t="s">
        <v>177</v>
      </c>
      <c r="M1985" s="83">
        <f>ROUNDDOWN(VLOOKUP(J1985,Sheet1!$N$32:$O$37,2,0)*1000,0)</f>
        <v>60</v>
      </c>
      <c r="N1985" s="83"/>
      <c r="O1985" s="83">
        <f t="shared" si="177"/>
        <v>0.000659145088819801</v>
      </c>
      <c r="P1985" s="83">
        <v>11013</v>
      </c>
    </row>
    <row r="1986" spans="1:16">
      <c r="A1986" s="79">
        <v>1984</v>
      </c>
      <c r="B1986" s="83">
        <v>11600</v>
      </c>
      <c r="C1986" s="83">
        <v>6</v>
      </c>
      <c r="D1986" s="83">
        <f t="shared" si="176"/>
        <v>101477</v>
      </c>
      <c r="E1986" s="83">
        <f t="shared" si="174"/>
        <v>101537</v>
      </c>
      <c r="F1986" s="83"/>
      <c r="G1986" s="83" t="s">
        <v>306</v>
      </c>
      <c r="H1986" s="83" t="s">
        <v>307</v>
      </c>
      <c r="I1986" s="83"/>
      <c r="J1986" s="83" t="s">
        <v>279</v>
      </c>
      <c r="K1986" s="83">
        <v>1</v>
      </c>
      <c r="L1986" s="83" t="s">
        <v>177</v>
      </c>
      <c r="M1986" s="83">
        <f>ROUNDDOWN(VLOOKUP(J1986,Sheet1!$N$32:$O$37,2,0)*1000,0)</f>
        <v>60</v>
      </c>
      <c r="N1986" s="83"/>
      <c r="O1986" s="83">
        <f t="shared" si="177"/>
        <v>0.000659145088819801</v>
      </c>
      <c r="P1986" s="83">
        <v>11014</v>
      </c>
    </row>
    <row r="1987" spans="1:16">
      <c r="A1987" s="79">
        <v>1985</v>
      </c>
      <c r="B1987" s="83">
        <v>11600</v>
      </c>
      <c r="C1987" s="83">
        <v>6</v>
      </c>
      <c r="D1987" s="83">
        <f t="shared" si="176"/>
        <v>101537</v>
      </c>
      <c r="E1987" s="83">
        <f t="shared" si="174"/>
        <v>101597</v>
      </c>
      <c r="F1987" s="83"/>
      <c r="G1987" s="83" t="s">
        <v>308</v>
      </c>
      <c r="H1987" s="83" t="s">
        <v>309</v>
      </c>
      <c r="I1987" s="83"/>
      <c r="J1987" s="83" t="s">
        <v>279</v>
      </c>
      <c r="K1987" s="83">
        <v>1</v>
      </c>
      <c r="L1987" s="83" t="s">
        <v>177</v>
      </c>
      <c r="M1987" s="83">
        <f>ROUNDDOWN(VLOOKUP(J1987,Sheet1!$N$32:$O$37,2,0)*1000,0)</f>
        <v>60</v>
      </c>
      <c r="N1987" s="83"/>
      <c r="O1987" s="83">
        <f t="shared" si="177"/>
        <v>0.000659145088819801</v>
      </c>
      <c r="P1987" s="83">
        <v>11015</v>
      </c>
    </row>
    <row r="1988" spans="1:16">
      <c r="A1988" s="79">
        <v>1986</v>
      </c>
      <c r="B1988" s="83">
        <v>11600</v>
      </c>
      <c r="C1988" s="83">
        <v>6</v>
      </c>
      <c r="D1988" s="83">
        <f t="shared" si="176"/>
        <v>101597</v>
      </c>
      <c r="E1988" s="83">
        <f t="shared" si="174"/>
        <v>101657</v>
      </c>
      <c r="F1988" s="83"/>
      <c r="G1988" s="83" t="s">
        <v>310</v>
      </c>
      <c r="H1988" s="83" t="s">
        <v>311</v>
      </c>
      <c r="I1988" s="83"/>
      <c r="J1988" s="83" t="s">
        <v>279</v>
      </c>
      <c r="K1988" s="83">
        <v>1</v>
      </c>
      <c r="L1988" s="83" t="s">
        <v>177</v>
      </c>
      <c r="M1988" s="83">
        <f>ROUNDDOWN(VLOOKUP(J1988,Sheet1!$N$32:$O$37,2,0)*1000,0)</f>
        <v>60</v>
      </c>
      <c r="N1988" s="83"/>
      <c r="O1988" s="83">
        <f t="shared" si="177"/>
        <v>0.000659145088819801</v>
      </c>
      <c r="P1988" s="83">
        <v>11016</v>
      </c>
    </row>
    <row r="1989" spans="1:16">
      <c r="A1989" s="79">
        <v>1987</v>
      </c>
      <c r="B1989" s="83">
        <v>11600</v>
      </c>
      <c r="C1989" s="83">
        <v>6</v>
      </c>
      <c r="D1989" s="83">
        <f t="shared" si="176"/>
        <v>101657</v>
      </c>
      <c r="E1989" s="83">
        <f t="shared" si="174"/>
        <v>101717</v>
      </c>
      <c r="F1989" s="83"/>
      <c r="G1989" s="83" t="s">
        <v>312</v>
      </c>
      <c r="H1989" s="83" t="s">
        <v>313</v>
      </c>
      <c r="I1989" s="83"/>
      <c r="J1989" s="83" t="s">
        <v>279</v>
      </c>
      <c r="K1989" s="83">
        <v>1</v>
      </c>
      <c r="L1989" s="83" t="s">
        <v>177</v>
      </c>
      <c r="M1989" s="83">
        <f>ROUNDDOWN(VLOOKUP(J1989,Sheet1!$N$32:$O$37,2,0)*1000,0)</f>
        <v>60</v>
      </c>
      <c r="N1989" s="83"/>
      <c r="O1989" s="83">
        <f t="shared" si="177"/>
        <v>0.000659145088819801</v>
      </c>
      <c r="P1989" s="83">
        <v>11017</v>
      </c>
    </row>
    <row r="1990" spans="1:16">
      <c r="A1990" s="79">
        <v>1988</v>
      </c>
      <c r="B1990" s="83">
        <v>11600</v>
      </c>
      <c r="C1990" s="83">
        <v>6</v>
      </c>
      <c r="D1990" s="83">
        <f t="shared" si="176"/>
        <v>101717</v>
      </c>
      <c r="E1990" s="83">
        <f t="shared" si="174"/>
        <v>101777</v>
      </c>
      <c r="F1990" s="83"/>
      <c r="G1990" s="83" t="s">
        <v>314</v>
      </c>
      <c r="H1990" s="83" t="s">
        <v>315</v>
      </c>
      <c r="I1990" s="83"/>
      <c r="J1990" s="83" t="s">
        <v>279</v>
      </c>
      <c r="K1990" s="83">
        <v>1</v>
      </c>
      <c r="L1990" s="83" t="s">
        <v>177</v>
      </c>
      <c r="M1990" s="83">
        <f>ROUNDDOWN(VLOOKUP(J1990,Sheet1!$N$32:$O$37,2,0)*1000,0)</f>
        <v>60</v>
      </c>
      <c r="N1990" s="83"/>
      <c r="O1990" s="83">
        <f t="shared" si="177"/>
        <v>0.000659145088819801</v>
      </c>
      <c r="P1990" s="83">
        <v>11018</v>
      </c>
    </row>
    <row r="1991" spans="1:16">
      <c r="A1991" s="79">
        <v>1989</v>
      </c>
      <c r="B1991" s="83">
        <v>11600</v>
      </c>
      <c r="C1991" s="83">
        <v>6</v>
      </c>
      <c r="D1991" s="83">
        <f t="shared" si="176"/>
        <v>101777</v>
      </c>
      <c r="E1991" s="83">
        <f t="shared" si="174"/>
        <v>101837</v>
      </c>
      <c r="F1991" s="83"/>
      <c r="G1991" s="83" t="s">
        <v>316</v>
      </c>
      <c r="H1991" s="83" t="s">
        <v>317</v>
      </c>
      <c r="I1991" s="83"/>
      <c r="J1991" s="83" t="s">
        <v>279</v>
      </c>
      <c r="K1991" s="83">
        <v>1</v>
      </c>
      <c r="L1991" s="83" t="s">
        <v>177</v>
      </c>
      <c r="M1991" s="83">
        <f>ROUNDDOWN(VLOOKUP(J1991,Sheet1!$N$32:$O$37,2,0)*1000,0)</f>
        <v>60</v>
      </c>
      <c r="N1991" s="83"/>
      <c r="O1991" s="83">
        <f t="shared" si="177"/>
        <v>0.000659145088819801</v>
      </c>
      <c r="P1991" s="83">
        <v>11019</v>
      </c>
    </row>
    <row r="1992" spans="1:16">
      <c r="A1992" s="79">
        <v>1990</v>
      </c>
      <c r="B1992" s="83">
        <v>11600</v>
      </c>
      <c r="C1992" s="83">
        <v>6</v>
      </c>
      <c r="D1992" s="83">
        <f t="shared" si="176"/>
        <v>101837</v>
      </c>
      <c r="E1992" s="83">
        <f t="shared" si="174"/>
        <v>101897</v>
      </c>
      <c r="F1992" s="83"/>
      <c r="G1992" s="83" t="s">
        <v>318</v>
      </c>
      <c r="H1992" s="83" t="s">
        <v>319</v>
      </c>
      <c r="I1992" s="83"/>
      <c r="J1992" s="83" t="s">
        <v>279</v>
      </c>
      <c r="K1992" s="83">
        <v>1</v>
      </c>
      <c r="L1992" s="83" t="s">
        <v>177</v>
      </c>
      <c r="M1992" s="83">
        <f>ROUNDDOWN(VLOOKUP(J1992,Sheet1!$N$32:$O$37,2,0)*1000,0)</f>
        <v>60</v>
      </c>
      <c r="N1992" s="83"/>
      <c r="O1992" s="83">
        <f t="shared" si="177"/>
        <v>0.000659145088819801</v>
      </c>
      <c r="P1992" s="83">
        <v>11020</v>
      </c>
    </row>
    <row r="1993" spans="1:16">
      <c r="A1993" s="79">
        <v>1991</v>
      </c>
      <c r="B1993" s="83">
        <v>11600</v>
      </c>
      <c r="C1993" s="83">
        <v>6</v>
      </c>
      <c r="D1993" s="83">
        <f t="shared" si="176"/>
        <v>101897</v>
      </c>
      <c r="E1993" s="83">
        <f t="shared" si="174"/>
        <v>101957</v>
      </c>
      <c r="F1993" s="83"/>
      <c r="G1993" s="83" t="s">
        <v>320</v>
      </c>
      <c r="H1993" s="83" t="s">
        <v>321</v>
      </c>
      <c r="I1993" s="83"/>
      <c r="J1993" s="83" t="s">
        <v>279</v>
      </c>
      <c r="K1993" s="83">
        <v>1</v>
      </c>
      <c r="L1993" s="83" t="s">
        <v>177</v>
      </c>
      <c r="M1993" s="83">
        <f>ROUNDDOWN(VLOOKUP(J1993,Sheet1!$N$32:$O$37,2,0)*1000,0)</f>
        <v>60</v>
      </c>
      <c r="N1993" s="83"/>
      <c r="O1993" s="83">
        <f t="shared" si="177"/>
        <v>0.000659145088819801</v>
      </c>
      <c r="P1993" s="83">
        <v>11021</v>
      </c>
    </row>
    <row r="1994" spans="1:16">
      <c r="A1994" s="79">
        <v>1992</v>
      </c>
      <c r="B1994" s="83">
        <v>11600</v>
      </c>
      <c r="C1994" s="83">
        <v>6</v>
      </c>
      <c r="D1994" s="83">
        <f t="shared" si="176"/>
        <v>101957</v>
      </c>
      <c r="E1994" s="83">
        <f t="shared" si="174"/>
        <v>102017</v>
      </c>
      <c r="F1994" s="83"/>
      <c r="G1994" s="83" t="s">
        <v>322</v>
      </c>
      <c r="H1994" s="83" t="s">
        <v>323</v>
      </c>
      <c r="I1994" s="83"/>
      <c r="J1994" s="83" t="s">
        <v>279</v>
      </c>
      <c r="K1994" s="83">
        <v>1</v>
      </c>
      <c r="L1994" s="83" t="s">
        <v>177</v>
      </c>
      <c r="M1994" s="83">
        <f>ROUNDDOWN(VLOOKUP(J1994,Sheet1!$N$32:$O$37,2,0)*1000,0)</f>
        <v>60</v>
      </c>
      <c r="N1994" s="83"/>
      <c r="O1994" s="83">
        <f t="shared" si="177"/>
        <v>0.000659145088819801</v>
      </c>
      <c r="P1994" s="83">
        <v>11022</v>
      </c>
    </row>
    <row r="1995" spans="1:16">
      <c r="A1995" s="79">
        <v>1993</v>
      </c>
      <c r="B1995" s="83">
        <v>11600</v>
      </c>
      <c r="C1995" s="83">
        <v>6</v>
      </c>
      <c r="D1995" s="83">
        <f t="shared" si="176"/>
        <v>102017</v>
      </c>
      <c r="E1995" s="83">
        <f t="shared" si="174"/>
        <v>102077</v>
      </c>
      <c r="F1995" s="83"/>
      <c r="G1995" s="83" t="s">
        <v>324</v>
      </c>
      <c r="H1995" s="83" t="s">
        <v>325</v>
      </c>
      <c r="I1995" s="83"/>
      <c r="J1995" s="83" t="s">
        <v>279</v>
      </c>
      <c r="K1995" s="83">
        <v>1</v>
      </c>
      <c r="L1995" s="83" t="s">
        <v>177</v>
      </c>
      <c r="M1995" s="83">
        <f>ROUNDDOWN(VLOOKUP(J1995,Sheet1!$N$32:$O$37,2,0)*1000,0)</f>
        <v>60</v>
      </c>
      <c r="N1995" s="83"/>
      <c r="O1995" s="83">
        <f t="shared" si="177"/>
        <v>0.000659145088819801</v>
      </c>
      <c r="P1995" s="83">
        <v>11023</v>
      </c>
    </row>
    <row r="1996" spans="1:16">
      <c r="A1996" s="79">
        <v>1994</v>
      </c>
      <c r="B1996" s="83">
        <v>11600</v>
      </c>
      <c r="C1996" s="83">
        <v>6</v>
      </c>
      <c r="D1996" s="83">
        <f t="shared" si="176"/>
        <v>102077</v>
      </c>
      <c r="E1996" s="83">
        <f t="shared" ref="E1996:E2054" si="178">D1996+M1996</f>
        <v>102137</v>
      </c>
      <c r="F1996" s="83"/>
      <c r="G1996" s="83" t="s">
        <v>326</v>
      </c>
      <c r="H1996" s="83" t="s">
        <v>327</v>
      </c>
      <c r="I1996" s="83"/>
      <c r="J1996" s="83" t="s">
        <v>279</v>
      </c>
      <c r="K1996" s="83">
        <v>1</v>
      </c>
      <c r="L1996" s="83" t="s">
        <v>177</v>
      </c>
      <c r="M1996" s="83">
        <f>ROUNDDOWN(VLOOKUP(J1996,Sheet1!$N$32:$O$37,2,0)*1000,0)</f>
        <v>60</v>
      </c>
      <c r="N1996" s="83"/>
      <c r="O1996" s="83">
        <f t="shared" si="177"/>
        <v>0.000659145088819801</v>
      </c>
      <c r="P1996" s="83">
        <v>11024</v>
      </c>
    </row>
    <row r="1997" spans="1:16">
      <c r="A1997" s="79">
        <v>1995</v>
      </c>
      <c r="B1997" s="83">
        <v>11600</v>
      </c>
      <c r="C1997" s="83">
        <v>6</v>
      </c>
      <c r="D1997" s="83">
        <f t="shared" si="176"/>
        <v>102137</v>
      </c>
      <c r="E1997" s="83">
        <f t="shared" si="178"/>
        <v>102197</v>
      </c>
      <c r="F1997" s="83"/>
      <c r="G1997" s="83" t="s">
        <v>328</v>
      </c>
      <c r="H1997" s="83" t="s">
        <v>329</v>
      </c>
      <c r="I1997" s="83"/>
      <c r="J1997" s="83" t="s">
        <v>279</v>
      </c>
      <c r="K1997" s="83">
        <v>1</v>
      </c>
      <c r="L1997" s="83" t="s">
        <v>177</v>
      </c>
      <c r="M1997" s="83">
        <f>ROUNDDOWN(VLOOKUP(J1997,Sheet1!$N$32:$O$37,2,0)*1000,0)</f>
        <v>60</v>
      </c>
      <c r="N1997" s="83"/>
      <c r="O1997" s="83">
        <f t="shared" si="177"/>
        <v>0.000659145088819801</v>
      </c>
      <c r="P1997" s="83">
        <v>11025</v>
      </c>
    </row>
    <row r="1998" spans="1:16">
      <c r="A1998" s="79">
        <v>1996</v>
      </c>
      <c r="B1998" s="83">
        <v>11600</v>
      </c>
      <c r="C1998" s="83">
        <v>6</v>
      </c>
      <c r="D1998" s="83">
        <f t="shared" si="176"/>
        <v>102197</v>
      </c>
      <c r="E1998" s="83">
        <f t="shared" si="178"/>
        <v>102257</v>
      </c>
      <c r="F1998" s="83"/>
      <c r="G1998" s="83" t="s">
        <v>330</v>
      </c>
      <c r="H1998" s="83" t="s">
        <v>331</v>
      </c>
      <c r="I1998" s="83"/>
      <c r="J1998" s="83" t="s">
        <v>279</v>
      </c>
      <c r="K1998" s="83">
        <v>1</v>
      </c>
      <c r="L1998" s="83" t="s">
        <v>177</v>
      </c>
      <c r="M1998" s="83">
        <f>ROUNDDOWN(VLOOKUP(J1998,Sheet1!$N$32:$O$37,2,0)*1000,0)</f>
        <v>60</v>
      </c>
      <c r="N1998" s="83"/>
      <c r="O1998" s="83">
        <f t="shared" si="177"/>
        <v>0.000659145088819801</v>
      </c>
      <c r="P1998" s="83">
        <v>11026</v>
      </c>
    </row>
    <row r="1999" spans="1:16">
      <c r="A1999" s="79">
        <v>1997</v>
      </c>
      <c r="B1999" s="83">
        <v>11600</v>
      </c>
      <c r="C1999" s="83">
        <v>6</v>
      </c>
      <c r="D1999" s="83">
        <f t="shared" si="176"/>
        <v>102257</v>
      </c>
      <c r="E1999" s="83">
        <f t="shared" si="178"/>
        <v>102317</v>
      </c>
      <c r="F1999" s="83"/>
      <c r="G1999" s="83" t="s">
        <v>332</v>
      </c>
      <c r="H1999" s="83" t="s">
        <v>333</v>
      </c>
      <c r="I1999" s="83"/>
      <c r="J1999" s="83" t="s">
        <v>279</v>
      </c>
      <c r="K1999" s="83">
        <v>1</v>
      </c>
      <c r="L1999" s="83" t="s">
        <v>177</v>
      </c>
      <c r="M1999" s="83">
        <f>ROUNDDOWN(VLOOKUP(J1999,Sheet1!$N$32:$O$37,2,0)*1000,0)</f>
        <v>60</v>
      </c>
      <c r="N1999" s="83"/>
      <c r="O1999" s="83">
        <f t="shared" si="177"/>
        <v>0.000659145088819801</v>
      </c>
      <c r="P1999" s="83">
        <v>11027</v>
      </c>
    </row>
    <row r="2000" spans="1:16">
      <c r="A2000" s="79">
        <v>1998</v>
      </c>
      <c r="B2000" s="83">
        <v>11600</v>
      </c>
      <c r="C2000" s="83">
        <v>6</v>
      </c>
      <c r="D2000" s="83">
        <f t="shared" si="176"/>
        <v>102317</v>
      </c>
      <c r="E2000" s="83">
        <f t="shared" si="178"/>
        <v>102377</v>
      </c>
      <c r="F2000" s="83"/>
      <c r="G2000" s="83" t="s">
        <v>334</v>
      </c>
      <c r="H2000" s="83" t="s">
        <v>335</v>
      </c>
      <c r="I2000" s="83"/>
      <c r="J2000" s="83" t="s">
        <v>279</v>
      </c>
      <c r="K2000" s="83">
        <v>1</v>
      </c>
      <c r="L2000" s="83" t="s">
        <v>177</v>
      </c>
      <c r="M2000" s="83">
        <f>ROUNDDOWN(VLOOKUP(J2000,Sheet1!$N$32:$O$37,2,0)*1000,0)</f>
        <v>60</v>
      </c>
      <c r="N2000" s="83"/>
      <c r="O2000" s="83">
        <f t="shared" si="177"/>
        <v>0.000659145088819801</v>
      </c>
      <c r="P2000" s="83">
        <v>11028</v>
      </c>
    </row>
    <row r="2001" spans="1:16">
      <c r="A2001" s="79">
        <v>1999</v>
      </c>
      <c r="B2001" s="83">
        <v>11600</v>
      </c>
      <c r="C2001" s="83">
        <v>6</v>
      </c>
      <c r="D2001" s="83">
        <f t="shared" si="176"/>
        <v>102377</v>
      </c>
      <c r="E2001" s="83">
        <f t="shared" si="178"/>
        <v>102437</v>
      </c>
      <c r="F2001" s="83"/>
      <c r="G2001" s="83" t="s">
        <v>336</v>
      </c>
      <c r="H2001" s="83" t="s">
        <v>337</v>
      </c>
      <c r="I2001" s="83"/>
      <c r="J2001" s="83" t="s">
        <v>279</v>
      </c>
      <c r="K2001" s="83">
        <v>1</v>
      </c>
      <c r="L2001" s="83" t="s">
        <v>177</v>
      </c>
      <c r="M2001" s="83">
        <f>ROUNDDOWN(VLOOKUP(J2001,Sheet1!$N$32:$O$37,2,0)*1000,0)</f>
        <v>60</v>
      </c>
      <c r="N2001" s="83"/>
      <c r="O2001" s="83">
        <f t="shared" si="177"/>
        <v>0.000659145088819801</v>
      </c>
      <c r="P2001" s="83">
        <v>11029</v>
      </c>
    </row>
    <row r="2002" spans="1:16">
      <c r="A2002" s="79">
        <v>2000</v>
      </c>
      <c r="B2002" s="83">
        <v>11600</v>
      </c>
      <c r="C2002" s="83">
        <v>6</v>
      </c>
      <c r="D2002" s="83">
        <f t="shared" si="176"/>
        <v>102437</v>
      </c>
      <c r="E2002" s="83">
        <f t="shared" si="178"/>
        <v>102497</v>
      </c>
      <c r="F2002" s="83"/>
      <c r="G2002" s="83" t="s">
        <v>338</v>
      </c>
      <c r="H2002" s="83" t="s">
        <v>339</v>
      </c>
      <c r="I2002" s="83"/>
      <c r="J2002" s="83" t="s">
        <v>279</v>
      </c>
      <c r="K2002" s="83">
        <v>1</v>
      </c>
      <c r="L2002" s="83" t="s">
        <v>177</v>
      </c>
      <c r="M2002" s="83">
        <f>ROUNDDOWN(VLOOKUP(J2002,Sheet1!$N$32:$O$37,2,0)*1000,0)</f>
        <v>60</v>
      </c>
      <c r="N2002" s="83"/>
      <c r="O2002" s="83">
        <f t="shared" si="177"/>
        <v>0.000659145088819801</v>
      </c>
      <c r="P2002" s="83">
        <v>11030</v>
      </c>
    </row>
    <row r="2003" spans="1:16">
      <c r="A2003" s="79">
        <v>2001</v>
      </c>
      <c r="B2003" s="83">
        <v>11600</v>
      </c>
      <c r="C2003" s="83">
        <v>6</v>
      </c>
      <c r="D2003" s="83">
        <f t="shared" si="176"/>
        <v>102497</v>
      </c>
      <c r="E2003" s="83">
        <f t="shared" si="178"/>
        <v>102557</v>
      </c>
      <c r="F2003" s="83"/>
      <c r="G2003" s="83" t="s">
        <v>340</v>
      </c>
      <c r="H2003" s="83" t="s">
        <v>341</v>
      </c>
      <c r="I2003" s="83"/>
      <c r="J2003" s="83" t="s">
        <v>279</v>
      </c>
      <c r="K2003" s="83">
        <v>1</v>
      </c>
      <c r="L2003" s="83" t="s">
        <v>177</v>
      </c>
      <c r="M2003" s="83">
        <f>ROUNDDOWN(VLOOKUP(J2003,Sheet1!$N$32:$O$37,2,0)*1000,0)</f>
        <v>60</v>
      </c>
      <c r="N2003" s="83"/>
      <c r="O2003" s="83">
        <f t="shared" si="177"/>
        <v>0.000659145088819801</v>
      </c>
      <c r="P2003" s="83">
        <v>11031</v>
      </c>
    </row>
    <row r="2004" spans="1:16">
      <c r="A2004" s="79">
        <v>2002</v>
      </c>
      <c r="B2004" s="83">
        <v>11600</v>
      </c>
      <c r="C2004" s="83">
        <v>6</v>
      </c>
      <c r="D2004" s="83">
        <f t="shared" si="176"/>
        <v>102557</v>
      </c>
      <c r="E2004" s="83">
        <f t="shared" si="178"/>
        <v>102617</v>
      </c>
      <c r="F2004" s="83"/>
      <c r="G2004" s="83" t="s">
        <v>342</v>
      </c>
      <c r="H2004" s="83" t="s">
        <v>343</v>
      </c>
      <c r="I2004" s="83"/>
      <c r="J2004" s="83" t="s">
        <v>279</v>
      </c>
      <c r="K2004" s="83">
        <v>1</v>
      </c>
      <c r="L2004" s="83" t="s">
        <v>177</v>
      </c>
      <c r="M2004" s="83">
        <f>ROUNDDOWN(VLOOKUP(J2004,Sheet1!$N$32:$O$37,2,0)*1000,0)</f>
        <v>60</v>
      </c>
      <c r="N2004" s="83"/>
      <c r="O2004" s="83">
        <f t="shared" si="177"/>
        <v>0.000659145088819801</v>
      </c>
      <c r="P2004" s="83">
        <v>11032</v>
      </c>
    </row>
    <row r="2005" spans="1:16">
      <c r="A2005" s="79">
        <v>2003</v>
      </c>
      <c r="B2005" s="83">
        <v>11600</v>
      </c>
      <c r="C2005" s="83">
        <v>6</v>
      </c>
      <c r="D2005" s="83">
        <f t="shared" si="176"/>
        <v>102617</v>
      </c>
      <c r="E2005" s="83">
        <f t="shared" si="178"/>
        <v>102677</v>
      </c>
      <c r="F2005" s="83"/>
      <c r="G2005" s="83" t="s">
        <v>344</v>
      </c>
      <c r="H2005" s="83" t="s">
        <v>345</v>
      </c>
      <c r="I2005" s="83"/>
      <c r="J2005" s="83" t="s">
        <v>279</v>
      </c>
      <c r="K2005" s="83">
        <v>1</v>
      </c>
      <c r="L2005" s="83" t="s">
        <v>177</v>
      </c>
      <c r="M2005" s="83">
        <f>ROUNDDOWN(VLOOKUP(J2005,Sheet1!$N$32:$O$37,2,0)*1000,0)</f>
        <v>60</v>
      </c>
      <c r="N2005" s="83"/>
      <c r="O2005" s="83">
        <f t="shared" si="177"/>
        <v>0.000659145088819801</v>
      </c>
      <c r="P2005" s="83">
        <v>11033</v>
      </c>
    </row>
    <row r="2006" spans="1:16">
      <c r="A2006" s="79">
        <v>2004</v>
      </c>
      <c r="B2006" s="83">
        <v>11600</v>
      </c>
      <c r="C2006" s="83">
        <v>6</v>
      </c>
      <c r="D2006" s="83">
        <f t="shared" si="176"/>
        <v>102677</v>
      </c>
      <c r="E2006" s="83">
        <f t="shared" si="178"/>
        <v>102737</v>
      </c>
      <c r="F2006" s="83"/>
      <c r="G2006" s="83" t="s">
        <v>346</v>
      </c>
      <c r="H2006" s="83" t="s">
        <v>347</v>
      </c>
      <c r="I2006" s="83"/>
      <c r="J2006" s="83" t="s">
        <v>279</v>
      </c>
      <c r="K2006" s="83">
        <v>1</v>
      </c>
      <c r="L2006" s="83" t="s">
        <v>177</v>
      </c>
      <c r="M2006" s="83">
        <f>ROUNDDOWN(VLOOKUP(J2006,Sheet1!$N$32:$O$37,2,0)*1000,0)</f>
        <v>60</v>
      </c>
      <c r="N2006" s="83"/>
      <c r="O2006" s="83">
        <f t="shared" si="177"/>
        <v>0.000659145088819801</v>
      </c>
      <c r="P2006" s="83">
        <v>11034</v>
      </c>
    </row>
    <row r="2007" spans="1:16">
      <c r="A2007" s="79">
        <v>2005</v>
      </c>
      <c r="B2007" s="83">
        <v>11600</v>
      </c>
      <c r="C2007" s="83">
        <v>6</v>
      </c>
      <c r="D2007" s="83">
        <f t="shared" si="176"/>
        <v>102737</v>
      </c>
      <c r="E2007" s="83">
        <f t="shared" si="178"/>
        <v>102797</v>
      </c>
      <c r="F2007" s="83"/>
      <c r="G2007" s="83" t="s">
        <v>348</v>
      </c>
      <c r="H2007" s="83" t="s">
        <v>349</v>
      </c>
      <c r="I2007" s="83"/>
      <c r="J2007" s="83" t="s">
        <v>279</v>
      </c>
      <c r="K2007" s="83">
        <v>1</v>
      </c>
      <c r="L2007" s="83" t="s">
        <v>177</v>
      </c>
      <c r="M2007" s="83">
        <f>ROUNDDOWN(VLOOKUP(J2007,Sheet1!$N$32:$O$37,2,0)*1000,0)</f>
        <v>60</v>
      </c>
      <c r="N2007" s="83"/>
      <c r="O2007" s="83">
        <f t="shared" si="177"/>
        <v>0.000659145088819801</v>
      </c>
      <c r="P2007" s="83">
        <v>11035</v>
      </c>
    </row>
    <row r="2008" spans="1:16">
      <c r="A2008" s="79">
        <v>2006</v>
      </c>
      <c r="B2008" s="83">
        <v>11600</v>
      </c>
      <c r="C2008" s="83">
        <v>6</v>
      </c>
      <c r="D2008" s="83">
        <f t="shared" si="176"/>
        <v>102797</v>
      </c>
      <c r="E2008" s="83">
        <f t="shared" si="178"/>
        <v>102857</v>
      </c>
      <c r="F2008" s="83"/>
      <c r="G2008" s="83" t="s">
        <v>350</v>
      </c>
      <c r="H2008" s="83" t="s">
        <v>351</v>
      </c>
      <c r="I2008" s="83"/>
      <c r="J2008" s="83" t="s">
        <v>279</v>
      </c>
      <c r="K2008" s="83">
        <v>1</v>
      </c>
      <c r="L2008" s="83" t="s">
        <v>177</v>
      </c>
      <c r="M2008" s="83">
        <f>ROUNDDOWN(VLOOKUP(J2008,Sheet1!$N$32:$O$37,2,0)*1000,0)</f>
        <v>60</v>
      </c>
      <c r="N2008" s="83"/>
      <c r="O2008" s="83">
        <f t="shared" si="177"/>
        <v>0.000659145088819801</v>
      </c>
      <c r="P2008" s="83">
        <v>11036</v>
      </c>
    </row>
    <row r="2009" spans="1:16">
      <c r="A2009" s="79">
        <v>2007</v>
      </c>
      <c r="B2009" s="83">
        <v>11600</v>
      </c>
      <c r="C2009" s="83">
        <v>6</v>
      </c>
      <c r="D2009" s="83">
        <f t="shared" si="176"/>
        <v>102857</v>
      </c>
      <c r="E2009" s="83">
        <f t="shared" si="178"/>
        <v>102917</v>
      </c>
      <c r="F2009" s="83"/>
      <c r="G2009" s="83" t="s">
        <v>352</v>
      </c>
      <c r="H2009" s="83" t="s">
        <v>353</v>
      </c>
      <c r="I2009" s="83"/>
      <c r="J2009" s="83" t="s">
        <v>279</v>
      </c>
      <c r="K2009" s="83">
        <v>1</v>
      </c>
      <c r="L2009" s="83" t="s">
        <v>177</v>
      </c>
      <c r="M2009" s="83">
        <f>ROUNDDOWN(VLOOKUP(J2009,Sheet1!$N$32:$O$37,2,0)*1000,0)</f>
        <v>60</v>
      </c>
      <c r="N2009" s="83"/>
      <c r="O2009" s="83">
        <f t="shared" si="177"/>
        <v>0.000659145088819801</v>
      </c>
      <c r="P2009" s="83">
        <v>11037</v>
      </c>
    </row>
    <row r="2010" spans="1:16">
      <c r="A2010" s="79">
        <v>2008</v>
      </c>
      <c r="B2010" s="83">
        <v>11600</v>
      </c>
      <c r="C2010" s="83">
        <v>6</v>
      </c>
      <c r="D2010" s="83">
        <f t="shared" si="176"/>
        <v>102917</v>
      </c>
      <c r="E2010" s="83">
        <f t="shared" si="178"/>
        <v>102977</v>
      </c>
      <c r="F2010" s="83"/>
      <c r="G2010" s="83" t="s">
        <v>354</v>
      </c>
      <c r="H2010" s="83" t="s">
        <v>355</v>
      </c>
      <c r="I2010" s="83"/>
      <c r="J2010" s="83" t="s">
        <v>279</v>
      </c>
      <c r="K2010" s="83">
        <v>1</v>
      </c>
      <c r="L2010" s="83" t="s">
        <v>177</v>
      </c>
      <c r="M2010" s="83">
        <f>ROUNDDOWN(VLOOKUP(J2010,Sheet1!$N$32:$O$37,2,0)*1000,0)</f>
        <v>60</v>
      </c>
      <c r="N2010" s="83"/>
      <c r="O2010" s="83">
        <f t="shared" si="177"/>
        <v>0.000659145088819801</v>
      </c>
      <c r="P2010" s="83">
        <v>11038</v>
      </c>
    </row>
    <row r="2011" s="66" customFormat="1" spans="1:16">
      <c r="A2011" s="70">
        <v>2009</v>
      </c>
      <c r="B2011" s="83">
        <v>11600</v>
      </c>
      <c r="C2011" s="83">
        <v>6</v>
      </c>
      <c r="D2011" s="83">
        <f t="shared" si="176"/>
        <v>102977</v>
      </c>
      <c r="E2011" s="83">
        <f t="shared" si="178"/>
        <v>103037</v>
      </c>
      <c r="F2011" s="83"/>
      <c r="G2011" s="83" t="s">
        <v>277</v>
      </c>
      <c r="H2011" s="83" t="s">
        <v>356</v>
      </c>
      <c r="I2011" s="83"/>
      <c r="J2011" s="83" t="s">
        <v>279</v>
      </c>
      <c r="K2011" s="83">
        <v>1</v>
      </c>
      <c r="L2011" s="83" t="s">
        <v>177</v>
      </c>
      <c r="M2011" s="83">
        <f>ROUNDDOWN(VLOOKUP(J2011,Sheet1!$N$32:$O$37,2,0)*1000,0)</f>
        <v>60</v>
      </c>
      <c r="N2011" s="83"/>
      <c r="O2011" s="83">
        <f t="shared" si="177"/>
        <v>0.000659145088819801</v>
      </c>
      <c r="P2011" s="83">
        <v>11000</v>
      </c>
    </row>
    <row r="2012" s="66" customFormat="1" spans="1:16">
      <c r="A2012" s="70">
        <v>2010</v>
      </c>
      <c r="B2012" s="83">
        <v>11600</v>
      </c>
      <c r="C2012" s="83">
        <v>6</v>
      </c>
      <c r="D2012" s="83">
        <f t="shared" si="176"/>
        <v>103037</v>
      </c>
      <c r="E2012" s="83">
        <f t="shared" si="178"/>
        <v>103097</v>
      </c>
      <c r="F2012" s="83"/>
      <c r="G2012" s="83" t="s">
        <v>280</v>
      </c>
      <c r="H2012" s="83" t="s">
        <v>357</v>
      </c>
      <c r="I2012" s="83"/>
      <c r="J2012" s="83" t="s">
        <v>279</v>
      </c>
      <c r="K2012" s="83">
        <v>1</v>
      </c>
      <c r="L2012" s="83" t="s">
        <v>177</v>
      </c>
      <c r="M2012" s="83">
        <f>ROUNDDOWN(VLOOKUP(J2012,Sheet1!$N$32:$O$37,2,0)*1000,0)</f>
        <v>60</v>
      </c>
      <c r="N2012" s="83"/>
      <c r="O2012" s="83">
        <f t="shared" si="177"/>
        <v>0.000659145088819801</v>
      </c>
      <c r="P2012" s="83">
        <v>11001</v>
      </c>
    </row>
    <row r="2013" s="66" customFormat="1" spans="1:16">
      <c r="A2013" s="70">
        <v>2011</v>
      </c>
      <c r="B2013" s="83">
        <v>11600</v>
      </c>
      <c r="C2013" s="83">
        <v>6</v>
      </c>
      <c r="D2013" s="83">
        <f t="shared" si="176"/>
        <v>103097</v>
      </c>
      <c r="E2013" s="83">
        <f t="shared" si="178"/>
        <v>103157</v>
      </c>
      <c r="F2013" s="83"/>
      <c r="G2013" s="83" t="s">
        <v>282</v>
      </c>
      <c r="H2013" s="83" t="s">
        <v>358</v>
      </c>
      <c r="I2013" s="83"/>
      <c r="J2013" s="83" t="s">
        <v>279</v>
      </c>
      <c r="K2013" s="83">
        <v>1</v>
      </c>
      <c r="L2013" s="83" t="s">
        <v>177</v>
      </c>
      <c r="M2013" s="83">
        <f>ROUNDDOWN(VLOOKUP(J2013,Sheet1!$N$32:$O$37,2,0)*1000,0)</f>
        <v>60</v>
      </c>
      <c r="N2013" s="83"/>
      <c r="O2013" s="83">
        <f t="shared" si="177"/>
        <v>0.000659145088819801</v>
      </c>
      <c r="P2013" s="83">
        <v>11002</v>
      </c>
    </row>
    <row r="2014" s="66" customFormat="1" spans="1:16">
      <c r="A2014" s="70">
        <v>2012</v>
      </c>
      <c r="B2014" s="83">
        <v>11600</v>
      </c>
      <c r="C2014" s="83">
        <v>6</v>
      </c>
      <c r="D2014" s="83">
        <f t="shared" si="176"/>
        <v>103157</v>
      </c>
      <c r="E2014" s="83">
        <f t="shared" si="178"/>
        <v>103217</v>
      </c>
      <c r="F2014" s="83"/>
      <c r="G2014" s="83" t="s">
        <v>284</v>
      </c>
      <c r="H2014" s="83" t="s">
        <v>359</v>
      </c>
      <c r="I2014" s="83"/>
      <c r="J2014" s="83" t="s">
        <v>279</v>
      </c>
      <c r="K2014" s="83">
        <v>1</v>
      </c>
      <c r="L2014" s="83" t="s">
        <v>177</v>
      </c>
      <c r="M2014" s="83">
        <f>ROUNDDOWN(VLOOKUP(J2014,Sheet1!$N$32:$O$37,2,0)*1000,0)</f>
        <v>60</v>
      </c>
      <c r="N2014" s="83"/>
      <c r="O2014" s="83">
        <f t="shared" si="177"/>
        <v>0.000659145088819801</v>
      </c>
      <c r="P2014" s="83">
        <v>11003</v>
      </c>
    </row>
    <row r="2015" s="66" customFormat="1" spans="1:16">
      <c r="A2015" s="70">
        <v>2013</v>
      </c>
      <c r="B2015" s="83">
        <v>11600</v>
      </c>
      <c r="C2015" s="83">
        <v>6</v>
      </c>
      <c r="D2015" s="83">
        <f t="shared" si="176"/>
        <v>103217</v>
      </c>
      <c r="E2015" s="83">
        <f t="shared" si="178"/>
        <v>103277</v>
      </c>
      <c r="F2015" s="83"/>
      <c r="G2015" s="83" t="s">
        <v>286</v>
      </c>
      <c r="H2015" s="83" t="s">
        <v>360</v>
      </c>
      <c r="I2015" s="83"/>
      <c r="J2015" s="83" t="s">
        <v>279</v>
      </c>
      <c r="K2015" s="83">
        <v>1</v>
      </c>
      <c r="L2015" s="83" t="s">
        <v>177</v>
      </c>
      <c r="M2015" s="83">
        <f>ROUNDDOWN(VLOOKUP(J2015,Sheet1!$N$32:$O$37,2,0)*1000,0)</f>
        <v>60</v>
      </c>
      <c r="N2015" s="83"/>
      <c r="O2015" s="83">
        <f t="shared" si="177"/>
        <v>0.000659145088819801</v>
      </c>
      <c r="P2015" s="83">
        <v>11004</v>
      </c>
    </row>
    <row r="2016" s="66" customFormat="1" spans="1:16">
      <c r="A2016" s="70">
        <v>2014</v>
      </c>
      <c r="B2016" s="83">
        <v>11600</v>
      </c>
      <c r="C2016" s="83">
        <v>6</v>
      </c>
      <c r="D2016" s="83">
        <f t="shared" si="176"/>
        <v>103277</v>
      </c>
      <c r="E2016" s="83">
        <f t="shared" si="178"/>
        <v>103337</v>
      </c>
      <c r="F2016" s="83"/>
      <c r="G2016" s="83" t="s">
        <v>288</v>
      </c>
      <c r="H2016" s="83" t="s">
        <v>361</v>
      </c>
      <c r="I2016" s="83"/>
      <c r="J2016" s="83" t="s">
        <v>279</v>
      </c>
      <c r="K2016" s="83">
        <v>1</v>
      </c>
      <c r="L2016" s="83" t="s">
        <v>177</v>
      </c>
      <c r="M2016" s="83">
        <f>ROUNDDOWN(VLOOKUP(J2016,Sheet1!$N$32:$O$37,2,0)*1000,0)</f>
        <v>60</v>
      </c>
      <c r="N2016" s="83"/>
      <c r="O2016" s="83">
        <f t="shared" si="177"/>
        <v>0.000659145088819801</v>
      </c>
      <c r="P2016" s="83">
        <v>11005</v>
      </c>
    </row>
    <row r="2017" s="66" customFormat="1" spans="1:16">
      <c r="A2017" s="70">
        <v>2015</v>
      </c>
      <c r="B2017" s="83">
        <v>11600</v>
      </c>
      <c r="C2017" s="83">
        <v>6</v>
      </c>
      <c r="D2017" s="83">
        <f t="shared" si="176"/>
        <v>103337</v>
      </c>
      <c r="E2017" s="83">
        <f t="shared" si="178"/>
        <v>103397</v>
      </c>
      <c r="F2017" s="83"/>
      <c r="G2017" s="83" t="s">
        <v>290</v>
      </c>
      <c r="H2017" s="83" t="s">
        <v>362</v>
      </c>
      <c r="I2017" s="83"/>
      <c r="J2017" s="83" t="s">
        <v>279</v>
      </c>
      <c r="K2017" s="83">
        <v>1</v>
      </c>
      <c r="L2017" s="83" t="s">
        <v>177</v>
      </c>
      <c r="M2017" s="83">
        <f>ROUNDDOWN(VLOOKUP(J2017,Sheet1!$N$32:$O$37,2,0)*1000,0)</f>
        <v>60</v>
      </c>
      <c r="N2017" s="83"/>
      <c r="O2017" s="83">
        <f t="shared" si="177"/>
        <v>0.000659145088819801</v>
      </c>
      <c r="P2017" s="83">
        <v>11006</v>
      </c>
    </row>
    <row r="2018" s="66" customFormat="1" spans="1:16">
      <c r="A2018" s="70">
        <v>2016</v>
      </c>
      <c r="B2018" s="83">
        <v>11600</v>
      </c>
      <c r="C2018" s="83">
        <v>6</v>
      </c>
      <c r="D2018" s="83">
        <f t="shared" si="176"/>
        <v>103397</v>
      </c>
      <c r="E2018" s="83">
        <f t="shared" si="178"/>
        <v>103457</v>
      </c>
      <c r="F2018" s="83"/>
      <c r="G2018" s="83" t="s">
        <v>292</v>
      </c>
      <c r="H2018" s="83" t="s">
        <v>363</v>
      </c>
      <c r="I2018" s="83"/>
      <c r="J2018" s="83" t="s">
        <v>279</v>
      </c>
      <c r="K2018" s="83">
        <v>1</v>
      </c>
      <c r="L2018" s="83" t="s">
        <v>177</v>
      </c>
      <c r="M2018" s="83">
        <f>ROUNDDOWN(VLOOKUP(J2018,Sheet1!$N$32:$O$37,2,0)*1000,0)</f>
        <v>60</v>
      </c>
      <c r="N2018" s="83"/>
      <c r="O2018" s="83">
        <f t="shared" si="177"/>
        <v>0.000659145088819801</v>
      </c>
      <c r="P2018" s="83">
        <v>11007</v>
      </c>
    </row>
    <row r="2019" s="66" customFormat="1" spans="1:16">
      <c r="A2019" s="70">
        <v>2017</v>
      </c>
      <c r="B2019" s="83">
        <v>11600</v>
      </c>
      <c r="C2019" s="83">
        <v>6</v>
      </c>
      <c r="D2019" s="83">
        <f t="shared" si="176"/>
        <v>103457</v>
      </c>
      <c r="E2019" s="83">
        <f t="shared" si="178"/>
        <v>103517</v>
      </c>
      <c r="F2019" s="83"/>
      <c r="G2019" s="83" t="s">
        <v>294</v>
      </c>
      <c r="H2019" s="83" t="s">
        <v>364</v>
      </c>
      <c r="I2019" s="83"/>
      <c r="J2019" s="83" t="s">
        <v>279</v>
      </c>
      <c r="K2019" s="83">
        <v>1</v>
      </c>
      <c r="L2019" s="83" t="s">
        <v>177</v>
      </c>
      <c r="M2019" s="83">
        <f>ROUNDDOWN(VLOOKUP(J2019,Sheet1!$N$32:$O$37,2,0)*1000,0)</f>
        <v>60</v>
      </c>
      <c r="N2019" s="83"/>
      <c r="O2019" s="83">
        <f t="shared" si="177"/>
        <v>0.000659145088819801</v>
      </c>
      <c r="P2019" s="83">
        <v>11008</v>
      </c>
    </row>
    <row r="2020" s="66" customFormat="1" spans="1:16">
      <c r="A2020" s="70">
        <v>2018</v>
      </c>
      <c r="B2020" s="83">
        <v>11600</v>
      </c>
      <c r="C2020" s="83">
        <v>6</v>
      </c>
      <c r="D2020" s="83">
        <f t="shared" si="176"/>
        <v>103517</v>
      </c>
      <c r="E2020" s="83">
        <f t="shared" si="178"/>
        <v>103577</v>
      </c>
      <c r="F2020" s="83"/>
      <c r="G2020" s="83" t="s">
        <v>296</v>
      </c>
      <c r="H2020" s="83" t="s">
        <v>365</v>
      </c>
      <c r="I2020" s="83"/>
      <c r="J2020" s="83" t="s">
        <v>279</v>
      </c>
      <c r="K2020" s="83">
        <v>1</v>
      </c>
      <c r="L2020" s="83" t="s">
        <v>177</v>
      </c>
      <c r="M2020" s="83">
        <f>ROUNDDOWN(VLOOKUP(J2020,Sheet1!$N$32:$O$37,2,0)*1000,0)</f>
        <v>60</v>
      </c>
      <c r="N2020" s="83"/>
      <c r="O2020" s="83">
        <f t="shared" si="177"/>
        <v>0.000659145088819801</v>
      </c>
      <c r="P2020" s="83">
        <v>11009</v>
      </c>
    </row>
    <row r="2021" s="66" customFormat="1" spans="1:16">
      <c r="A2021" s="70">
        <v>2019</v>
      </c>
      <c r="B2021" s="83">
        <v>11600</v>
      </c>
      <c r="C2021" s="83">
        <v>6</v>
      </c>
      <c r="D2021" s="83">
        <f t="shared" si="176"/>
        <v>103577</v>
      </c>
      <c r="E2021" s="83">
        <f t="shared" si="178"/>
        <v>103637</v>
      </c>
      <c r="F2021" s="83"/>
      <c r="G2021" s="83" t="s">
        <v>298</v>
      </c>
      <c r="H2021" s="83" t="s">
        <v>366</v>
      </c>
      <c r="I2021" s="83"/>
      <c r="J2021" s="83" t="s">
        <v>279</v>
      </c>
      <c r="K2021" s="83">
        <v>1</v>
      </c>
      <c r="L2021" s="83" t="s">
        <v>177</v>
      </c>
      <c r="M2021" s="83">
        <f>ROUNDDOWN(VLOOKUP(J2021,Sheet1!$N$32:$O$37,2,0)*1000,0)</f>
        <v>60</v>
      </c>
      <c r="N2021" s="83"/>
      <c r="O2021" s="83">
        <f t="shared" si="177"/>
        <v>0.000659145088819801</v>
      </c>
      <c r="P2021" s="83">
        <v>11010</v>
      </c>
    </row>
    <row r="2022" s="66" customFormat="1" spans="1:16">
      <c r="A2022" s="70">
        <v>2020</v>
      </c>
      <c r="B2022" s="83">
        <v>11600</v>
      </c>
      <c r="C2022" s="83">
        <v>6</v>
      </c>
      <c r="D2022" s="83">
        <f t="shared" si="176"/>
        <v>103637</v>
      </c>
      <c r="E2022" s="83">
        <f t="shared" si="178"/>
        <v>103697</v>
      </c>
      <c r="F2022" s="83"/>
      <c r="G2022" s="83" t="s">
        <v>300</v>
      </c>
      <c r="H2022" s="83" t="s">
        <v>367</v>
      </c>
      <c r="I2022" s="83"/>
      <c r="J2022" s="83" t="s">
        <v>279</v>
      </c>
      <c r="K2022" s="83">
        <v>1</v>
      </c>
      <c r="L2022" s="83" t="s">
        <v>177</v>
      </c>
      <c r="M2022" s="83">
        <f>ROUNDDOWN(VLOOKUP(J2022,Sheet1!$N$32:$O$37,2,0)*1000,0)</f>
        <v>60</v>
      </c>
      <c r="N2022" s="83"/>
      <c r="O2022" s="83">
        <f t="shared" si="177"/>
        <v>0.000659145088819801</v>
      </c>
      <c r="P2022" s="83">
        <v>11011</v>
      </c>
    </row>
    <row r="2023" s="66" customFormat="1" spans="1:16">
      <c r="A2023" s="70">
        <v>2021</v>
      </c>
      <c r="B2023" s="83">
        <v>11600</v>
      </c>
      <c r="C2023" s="83">
        <v>6</v>
      </c>
      <c r="D2023" s="83">
        <f t="shared" si="176"/>
        <v>103697</v>
      </c>
      <c r="E2023" s="83">
        <f t="shared" si="178"/>
        <v>103757</v>
      </c>
      <c r="F2023" s="83"/>
      <c r="G2023" s="83" t="s">
        <v>302</v>
      </c>
      <c r="H2023" s="83" t="s">
        <v>368</v>
      </c>
      <c r="I2023" s="83"/>
      <c r="J2023" s="83" t="s">
        <v>279</v>
      </c>
      <c r="K2023" s="83">
        <v>1</v>
      </c>
      <c r="L2023" s="83" t="s">
        <v>177</v>
      </c>
      <c r="M2023" s="83">
        <f>ROUNDDOWN(VLOOKUP(J2023,Sheet1!$N$32:$O$37,2,0)*1000,0)</f>
        <v>60</v>
      </c>
      <c r="N2023" s="83"/>
      <c r="O2023" s="83">
        <f t="shared" si="177"/>
        <v>0.000659145088819801</v>
      </c>
      <c r="P2023" s="83">
        <v>11012</v>
      </c>
    </row>
    <row r="2024" s="66" customFormat="1" spans="1:16">
      <c r="A2024" s="70">
        <v>2022</v>
      </c>
      <c r="B2024" s="83">
        <v>11600</v>
      </c>
      <c r="C2024" s="83">
        <v>6</v>
      </c>
      <c r="D2024" s="83">
        <f t="shared" si="176"/>
        <v>103757</v>
      </c>
      <c r="E2024" s="83">
        <f t="shared" si="178"/>
        <v>103817</v>
      </c>
      <c r="F2024" s="83"/>
      <c r="G2024" s="83" t="s">
        <v>304</v>
      </c>
      <c r="H2024" s="83" t="s">
        <v>369</v>
      </c>
      <c r="I2024" s="83"/>
      <c r="J2024" s="83" t="s">
        <v>279</v>
      </c>
      <c r="K2024" s="83">
        <v>1</v>
      </c>
      <c r="L2024" s="83" t="s">
        <v>177</v>
      </c>
      <c r="M2024" s="83">
        <f>ROUNDDOWN(VLOOKUP(J2024,Sheet1!$N$32:$O$37,2,0)*1000,0)</f>
        <v>60</v>
      </c>
      <c r="N2024" s="83"/>
      <c r="O2024" s="83">
        <f t="shared" si="177"/>
        <v>0.000659145088819801</v>
      </c>
      <c r="P2024" s="83">
        <v>11013</v>
      </c>
    </row>
    <row r="2025" s="66" customFormat="1" spans="1:16">
      <c r="A2025" s="70">
        <v>2023</v>
      </c>
      <c r="B2025" s="83">
        <v>11600</v>
      </c>
      <c r="C2025" s="83">
        <v>6</v>
      </c>
      <c r="D2025" s="83">
        <f t="shared" si="176"/>
        <v>103817</v>
      </c>
      <c r="E2025" s="83">
        <f t="shared" si="178"/>
        <v>103877</v>
      </c>
      <c r="F2025" s="83"/>
      <c r="G2025" s="83" t="s">
        <v>306</v>
      </c>
      <c r="H2025" s="83" t="s">
        <v>370</v>
      </c>
      <c r="I2025" s="83"/>
      <c r="J2025" s="83" t="s">
        <v>279</v>
      </c>
      <c r="K2025" s="83">
        <v>1</v>
      </c>
      <c r="L2025" s="83" t="s">
        <v>177</v>
      </c>
      <c r="M2025" s="83">
        <f>ROUNDDOWN(VLOOKUP(J2025,Sheet1!$N$32:$O$37,2,0)*1000,0)</f>
        <v>60</v>
      </c>
      <c r="N2025" s="83"/>
      <c r="O2025" s="83">
        <f t="shared" si="177"/>
        <v>0.000659145088819801</v>
      </c>
      <c r="P2025" s="83">
        <v>11014</v>
      </c>
    </row>
    <row r="2026" s="66" customFormat="1" spans="1:16">
      <c r="A2026" s="70">
        <v>2024</v>
      </c>
      <c r="B2026" s="83">
        <v>11600</v>
      </c>
      <c r="C2026" s="83">
        <v>6</v>
      </c>
      <c r="D2026" s="83">
        <f t="shared" si="176"/>
        <v>103877</v>
      </c>
      <c r="E2026" s="83">
        <f t="shared" si="178"/>
        <v>103937</v>
      </c>
      <c r="F2026" s="83"/>
      <c r="G2026" s="83" t="s">
        <v>308</v>
      </c>
      <c r="H2026" s="83" t="s">
        <v>371</v>
      </c>
      <c r="I2026" s="83"/>
      <c r="J2026" s="83" t="s">
        <v>279</v>
      </c>
      <c r="K2026" s="83">
        <v>1</v>
      </c>
      <c r="L2026" s="83" t="s">
        <v>177</v>
      </c>
      <c r="M2026" s="83">
        <f>ROUNDDOWN(VLOOKUP(J2026,Sheet1!$N$32:$O$37,2,0)*1000,0)</f>
        <v>60</v>
      </c>
      <c r="N2026" s="83"/>
      <c r="O2026" s="83">
        <f t="shared" si="177"/>
        <v>0.000659145088819801</v>
      </c>
      <c r="P2026" s="83">
        <v>11015</v>
      </c>
    </row>
    <row r="2027" s="66" customFormat="1" spans="1:16">
      <c r="A2027" s="70">
        <v>2025</v>
      </c>
      <c r="B2027" s="83">
        <v>11600</v>
      </c>
      <c r="C2027" s="83">
        <v>6</v>
      </c>
      <c r="D2027" s="83">
        <f t="shared" si="176"/>
        <v>103937</v>
      </c>
      <c r="E2027" s="83">
        <f t="shared" si="178"/>
        <v>103997</v>
      </c>
      <c r="F2027" s="83"/>
      <c r="G2027" s="83" t="s">
        <v>310</v>
      </c>
      <c r="H2027" s="83" t="s">
        <v>372</v>
      </c>
      <c r="I2027" s="83"/>
      <c r="J2027" s="83" t="s">
        <v>279</v>
      </c>
      <c r="K2027" s="83">
        <v>1</v>
      </c>
      <c r="L2027" s="83" t="s">
        <v>177</v>
      </c>
      <c r="M2027" s="83">
        <f>ROUNDDOWN(VLOOKUP(J2027,Sheet1!$N$32:$O$37,2,0)*1000,0)</f>
        <v>60</v>
      </c>
      <c r="N2027" s="83"/>
      <c r="O2027" s="83">
        <f t="shared" si="177"/>
        <v>0.000659145088819801</v>
      </c>
      <c r="P2027" s="83">
        <v>11016</v>
      </c>
    </row>
    <row r="2028" s="66" customFormat="1" spans="1:16">
      <c r="A2028" s="70">
        <v>2026</v>
      </c>
      <c r="B2028" s="83">
        <v>11600</v>
      </c>
      <c r="C2028" s="83">
        <v>6</v>
      </c>
      <c r="D2028" s="83">
        <f t="shared" si="176"/>
        <v>103997</v>
      </c>
      <c r="E2028" s="83">
        <f t="shared" si="178"/>
        <v>104057</v>
      </c>
      <c r="F2028" s="83"/>
      <c r="G2028" s="83" t="s">
        <v>312</v>
      </c>
      <c r="H2028" s="83" t="s">
        <v>373</v>
      </c>
      <c r="I2028" s="83"/>
      <c r="J2028" s="83" t="s">
        <v>279</v>
      </c>
      <c r="K2028" s="83">
        <v>1</v>
      </c>
      <c r="L2028" s="83" t="s">
        <v>177</v>
      </c>
      <c r="M2028" s="83">
        <f>ROUNDDOWN(VLOOKUP(J2028,Sheet1!$N$32:$O$37,2,0)*1000,0)</f>
        <v>60</v>
      </c>
      <c r="N2028" s="83"/>
      <c r="O2028" s="83">
        <f t="shared" si="177"/>
        <v>0.000659145088819801</v>
      </c>
      <c r="P2028" s="83">
        <v>11017</v>
      </c>
    </row>
    <row r="2029" s="66" customFormat="1" spans="1:16">
      <c r="A2029" s="70">
        <v>2027</v>
      </c>
      <c r="B2029" s="83">
        <v>11600</v>
      </c>
      <c r="C2029" s="83">
        <v>6</v>
      </c>
      <c r="D2029" s="83">
        <f t="shared" si="176"/>
        <v>104057</v>
      </c>
      <c r="E2029" s="83">
        <f t="shared" si="178"/>
        <v>104117</v>
      </c>
      <c r="F2029" s="83"/>
      <c r="G2029" s="83" t="s">
        <v>314</v>
      </c>
      <c r="H2029" s="83" t="s">
        <v>374</v>
      </c>
      <c r="I2029" s="83"/>
      <c r="J2029" s="83" t="s">
        <v>279</v>
      </c>
      <c r="K2029" s="83">
        <v>1</v>
      </c>
      <c r="L2029" s="83" t="s">
        <v>177</v>
      </c>
      <c r="M2029" s="83">
        <f>ROUNDDOWN(VLOOKUP(J2029,Sheet1!$N$32:$O$37,2,0)*1000,0)</f>
        <v>60</v>
      </c>
      <c r="N2029" s="83"/>
      <c r="O2029" s="83">
        <f t="shared" si="177"/>
        <v>0.000659145088819801</v>
      </c>
      <c r="P2029" s="83">
        <v>11018</v>
      </c>
    </row>
    <row r="2030" s="66" customFormat="1" spans="1:16">
      <c r="A2030" s="70">
        <v>2028</v>
      </c>
      <c r="B2030" s="83">
        <v>11600</v>
      </c>
      <c r="C2030" s="83">
        <v>6</v>
      </c>
      <c r="D2030" s="83">
        <f t="shared" si="176"/>
        <v>104117</v>
      </c>
      <c r="E2030" s="83">
        <f t="shared" si="178"/>
        <v>104177</v>
      </c>
      <c r="F2030" s="83"/>
      <c r="G2030" s="83" t="s">
        <v>316</v>
      </c>
      <c r="H2030" s="83" t="s">
        <v>375</v>
      </c>
      <c r="I2030" s="83"/>
      <c r="J2030" s="83" t="s">
        <v>279</v>
      </c>
      <c r="K2030" s="83">
        <v>1</v>
      </c>
      <c r="L2030" s="83" t="s">
        <v>177</v>
      </c>
      <c r="M2030" s="83">
        <f>ROUNDDOWN(VLOOKUP(J2030,Sheet1!$N$32:$O$37,2,0)*1000,0)</f>
        <v>60</v>
      </c>
      <c r="N2030" s="83"/>
      <c r="O2030" s="83">
        <f t="shared" si="177"/>
        <v>0.000659145088819801</v>
      </c>
      <c r="P2030" s="83">
        <v>11019</v>
      </c>
    </row>
    <row r="2031" s="66" customFormat="1" spans="1:16">
      <c r="A2031" s="70">
        <v>2029</v>
      </c>
      <c r="B2031" s="83">
        <v>11600</v>
      </c>
      <c r="C2031" s="83">
        <v>6</v>
      </c>
      <c r="D2031" s="83">
        <f t="shared" ref="D2031:D2054" si="179">E2030</f>
        <v>104177</v>
      </c>
      <c r="E2031" s="83">
        <f t="shared" si="178"/>
        <v>104237</v>
      </c>
      <c r="F2031" s="83"/>
      <c r="G2031" s="83" t="s">
        <v>318</v>
      </c>
      <c r="H2031" s="83" t="s">
        <v>376</v>
      </c>
      <c r="I2031" s="83"/>
      <c r="J2031" s="83" t="s">
        <v>279</v>
      </c>
      <c r="K2031" s="83">
        <v>1</v>
      </c>
      <c r="L2031" s="83" t="s">
        <v>177</v>
      </c>
      <c r="M2031" s="83">
        <f>ROUNDDOWN(VLOOKUP(J2031,Sheet1!$N$32:$O$37,2,0)*1000,0)</f>
        <v>60</v>
      </c>
      <c r="N2031" s="83"/>
      <c r="O2031" s="83">
        <f t="shared" si="177"/>
        <v>0.000659145088819801</v>
      </c>
      <c r="P2031" s="83">
        <v>11020</v>
      </c>
    </row>
    <row r="2032" s="66" customFormat="1" spans="1:16">
      <c r="A2032" s="70">
        <v>2030</v>
      </c>
      <c r="B2032" s="83">
        <v>11600</v>
      </c>
      <c r="C2032" s="83">
        <v>6</v>
      </c>
      <c r="D2032" s="83">
        <f t="shared" si="179"/>
        <v>104237</v>
      </c>
      <c r="E2032" s="83">
        <f t="shared" si="178"/>
        <v>104297</v>
      </c>
      <c r="F2032" s="83"/>
      <c r="G2032" s="83" t="s">
        <v>320</v>
      </c>
      <c r="H2032" s="83" t="s">
        <v>377</v>
      </c>
      <c r="I2032" s="83"/>
      <c r="J2032" s="83" t="s">
        <v>279</v>
      </c>
      <c r="K2032" s="83">
        <v>1</v>
      </c>
      <c r="L2032" s="83" t="s">
        <v>177</v>
      </c>
      <c r="M2032" s="83">
        <f>ROUNDDOWN(VLOOKUP(J2032,Sheet1!$N$32:$O$37,2,0)*1000,0)</f>
        <v>60</v>
      </c>
      <c r="N2032" s="83"/>
      <c r="O2032" s="83">
        <f t="shared" si="177"/>
        <v>0.000659145088819801</v>
      </c>
      <c r="P2032" s="83">
        <v>11021</v>
      </c>
    </row>
    <row r="2033" s="66" customFormat="1" spans="1:16">
      <c r="A2033" s="70">
        <v>2031</v>
      </c>
      <c r="B2033" s="83">
        <v>11600</v>
      </c>
      <c r="C2033" s="83">
        <v>6</v>
      </c>
      <c r="D2033" s="83">
        <f t="shared" si="179"/>
        <v>104297</v>
      </c>
      <c r="E2033" s="83">
        <f t="shared" si="178"/>
        <v>104357</v>
      </c>
      <c r="F2033" s="83"/>
      <c r="G2033" s="83" t="s">
        <v>322</v>
      </c>
      <c r="H2033" s="83" t="s">
        <v>378</v>
      </c>
      <c r="I2033" s="83"/>
      <c r="J2033" s="83" t="s">
        <v>279</v>
      </c>
      <c r="K2033" s="83">
        <v>1</v>
      </c>
      <c r="L2033" s="83" t="s">
        <v>177</v>
      </c>
      <c r="M2033" s="83">
        <f>ROUNDDOWN(VLOOKUP(J2033,Sheet1!$N$32:$O$37,2,0)*1000,0)</f>
        <v>60</v>
      </c>
      <c r="N2033" s="83"/>
      <c r="O2033" s="83">
        <f t="shared" si="177"/>
        <v>0.000659145088819801</v>
      </c>
      <c r="P2033" s="83">
        <v>11022</v>
      </c>
    </row>
    <row r="2034" s="66" customFormat="1" spans="1:16">
      <c r="A2034" s="70">
        <v>2032</v>
      </c>
      <c r="B2034" s="83">
        <v>11600</v>
      </c>
      <c r="C2034" s="83">
        <v>6</v>
      </c>
      <c r="D2034" s="83">
        <f t="shared" si="179"/>
        <v>104357</v>
      </c>
      <c r="E2034" s="83">
        <f t="shared" si="178"/>
        <v>104417</v>
      </c>
      <c r="F2034" s="83"/>
      <c r="G2034" s="83" t="s">
        <v>324</v>
      </c>
      <c r="H2034" s="83" t="s">
        <v>379</v>
      </c>
      <c r="I2034" s="83"/>
      <c r="J2034" s="83" t="s">
        <v>279</v>
      </c>
      <c r="K2034" s="83">
        <v>1</v>
      </c>
      <c r="L2034" s="83" t="s">
        <v>177</v>
      </c>
      <c r="M2034" s="83">
        <f>ROUNDDOWN(VLOOKUP(J2034,Sheet1!$N$32:$O$37,2,0)*1000,0)</f>
        <v>60</v>
      </c>
      <c r="N2034" s="83"/>
      <c r="O2034" s="83">
        <f t="shared" si="177"/>
        <v>0.000659145088819801</v>
      </c>
      <c r="P2034" s="83">
        <v>11023</v>
      </c>
    </row>
    <row r="2035" s="66" customFormat="1" spans="1:16">
      <c r="A2035" s="70">
        <v>2033</v>
      </c>
      <c r="B2035" s="83">
        <v>11600</v>
      </c>
      <c r="C2035" s="83">
        <v>6</v>
      </c>
      <c r="D2035" s="83">
        <f t="shared" si="179"/>
        <v>104417</v>
      </c>
      <c r="E2035" s="83">
        <f t="shared" si="178"/>
        <v>104477</v>
      </c>
      <c r="F2035" s="83"/>
      <c r="G2035" s="83" t="s">
        <v>326</v>
      </c>
      <c r="H2035" s="83" t="s">
        <v>380</v>
      </c>
      <c r="I2035" s="83"/>
      <c r="J2035" s="83" t="s">
        <v>279</v>
      </c>
      <c r="K2035" s="83">
        <v>1</v>
      </c>
      <c r="L2035" s="83" t="s">
        <v>177</v>
      </c>
      <c r="M2035" s="83">
        <f>ROUNDDOWN(VLOOKUP(J2035,Sheet1!$N$32:$O$37,2,0)*1000,0)</f>
        <v>60</v>
      </c>
      <c r="N2035" s="83"/>
      <c r="O2035" s="83">
        <f t="shared" si="177"/>
        <v>0.000659145088819801</v>
      </c>
      <c r="P2035" s="83">
        <v>11024</v>
      </c>
    </row>
    <row r="2036" s="66" customFormat="1" spans="1:16">
      <c r="A2036" s="70">
        <v>2034</v>
      </c>
      <c r="B2036" s="83">
        <v>11600</v>
      </c>
      <c r="C2036" s="83">
        <v>6</v>
      </c>
      <c r="D2036" s="83">
        <f t="shared" si="179"/>
        <v>104477</v>
      </c>
      <c r="E2036" s="83">
        <f t="shared" si="178"/>
        <v>104537</v>
      </c>
      <c r="F2036" s="83"/>
      <c r="G2036" s="83" t="s">
        <v>328</v>
      </c>
      <c r="H2036" s="83" t="s">
        <v>381</v>
      </c>
      <c r="I2036" s="83"/>
      <c r="J2036" s="83" t="s">
        <v>279</v>
      </c>
      <c r="K2036" s="83">
        <v>1</v>
      </c>
      <c r="L2036" s="83" t="s">
        <v>177</v>
      </c>
      <c r="M2036" s="83">
        <f>ROUNDDOWN(VLOOKUP(J2036,Sheet1!$N$32:$O$37,2,0)*1000,0)</f>
        <v>60</v>
      </c>
      <c r="N2036" s="83"/>
      <c r="O2036" s="83">
        <f t="shared" si="177"/>
        <v>0.000659145088819801</v>
      </c>
      <c r="P2036" s="83">
        <v>11025</v>
      </c>
    </row>
    <row r="2037" s="66" customFormat="1" spans="1:16">
      <c r="A2037" s="70">
        <v>2035</v>
      </c>
      <c r="B2037" s="83">
        <v>11600</v>
      </c>
      <c r="C2037" s="83">
        <v>6</v>
      </c>
      <c r="D2037" s="83">
        <f t="shared" si="179"/>
        <v>104537</v>
      </c>
      <c r="E2037" s="83">
        <f t="shared" si="178"/>
        <v>104597</v>
      </c>
      <c r="F2037" s="83"/>
      <c r="G2037" s="83" t="s">
        <v>330</v>
      </c>
      <c r="H2037" s="83" t="s">
        <v>382</v>
      </c>
      <c r="I2037" s="83"/>
      <c r="J2037" s="83" t="s">
        <v>279</v>
      </c>
      <c r="K2037" s="83">
        <v>1</v>
      </c>
      <c r="L2037" s="83" t="s">
        <v>177</v>
      </c>
      <c r="M2037" s="83">
        <f>ROUNDDOWN(VLOOKUP(J2037,Sheet1!$N$32:$O$37,2,0)*1000,0)</f>
        <v>60</v>
      </c>
      <c r="N2037" s="83"/>
      <c r="O2037" s="83">
        <f t="shared" ref="O2037:O2054" si="180">(E2037-D2037)/$E$438</f>
        <v>0.000659145088819801</v>
      </c>
      <c r="P2037" s="83">
        <v>11026</v>
      </c>
    </row>
    <row r="2038" s="66" customFormat="1" spans="1:16">
      <c r="A2038" s="70">
        <v>2036</v>
      </c>
      <c r="B2038" s="83">
        <v>11600</v>
      </c>
      <c r="C2038" s="83">
        <v>6</v>
      </c>
      <c r="D2038" s="83">
        <f t="shared" si="179"/>
        <v>104597</v>
      </c>
      <c r="E2038" s="83">
        <f t="shared" si="178"/>
        <v>104657</v>
      </c>
      <c r="F2038" s="83"/>
      <c r="G2038" s="83" t="s">
        <v>332</v>
      </c>
      <c r="H2038" s="83" t="s">
        <v>383</v>
      </c>
      <c r="I2038" s="83"/>
      <c r="J2038" s="83" t="s">
        <v>279</v>
      </c>
      <c r="K2038" s="83">
        <v>1</v>
      </c>
      <c r="L2038" s="83" t="s">
        <v>177</v>
      </c>
      <c r="M2038" s="83">
        <f>ROUNDDOWN(VLOOKUP(J2038,Sheet1!$N$32:$O$37,2,0)*1000,0)</f>
        <v>60</v>
      </c>
      <c r="N2038" s="83"/>
      <c r="O2038" s="83">
        <f t="shared" si="180"/>
        <v>0.000659145088819801</v>
      </c>
      <c r="P2038" s="83">
        <v>11027</v>
      </c>
    </row>
    <row r="2039" s="66" customFormat="1" spans="1:16">
      <c r="A2039" s="70">
        <v>2037</v>
      </c>
      <c r="B2039" s="83">
        <v>11600</v>
      </c>
      <c r="C2039" s="83">
        <v>6</v>
      </c>
      <c r="D2039" s="83">
        <f t="shared" si="179"/>
        <v>104657</v>
      </c>
      <c r="E2039" s="83">
        <f t="shared" si="178"/>
        <v>104717</v>
      </c>
      <c r="F2039" s="83"/>
      <c r="G2039" s="83" t="s">
        <v>334</v>
      </c>
      <c r="H2039" s="83" t="s">
        <v>384</v>
      </c>
      <c r="I2039" s="83"/>
      <c r="J2039" s="83" t="s">
        <v>279</v>
      </c>
      <c r="K2039" s="83">
        <v>1</v>
      </c>
      <c r="L2039" s="83" t="s">
        <v>177</v>
      </c>
      <c r="M2039" s="83">
        <f>ROUNDDOWN(VLOOKUP(J2039,Sheet1!$N$32:$O$37,2,0)*1000,0)</f>
        <v>60</v>
      </c>
      <c r="N2039" s="83"/>
      <c r="O2039" s="83">
        <f t="shared" si="180"/>
        <v>0.000659145088819801</v>
      </c>
      <c r="P2039" s="83">
        <v>11028</v>
      </c>
    </row>
    <row r="2040" s="66" customFormat="1" spans="1:16">
      <c r="A2040" s="70">
        <v>2038</v>
      </c>
      <c r="B2040" s="83">
        <v>11600</v>
      </c>
      <c r="C2040" s="83">
        <v>6</v>
      </c>
      <c r="D2040" s="83">
        <f t="shared" si="179"/>
        <v>104717</v>
      </c>
      <c r="E2040" s="83">
        <f t="shared" si="178"/>
        <v>104777</v>
      </c>
      <c r="F2040" s="83"/>
      <c r="G2040" s="83" t="s">
        <v>336</v>
      </c>
      <c r="H2040" s="83" t="s">
        <v>385</v>
      </c>
      <c r="I2040" s="83"/>
      <c r="J2040" s="83" t="s">
        <v>279</v>
      </c>
      <c r="K2040" s="83">
        <v>1</v>
      </c>
      <c r="L2040" s="83" t="s">
        <v>177</v>
      </c>
      <c r="M2040" s="83">
        <f>ROUNDDOWN(VLOOKUP(J2040,Sheet1!$N$32:$O$37,2,0)*1000,0)</f>
        <v>60</v>
      </c>
      <c r="N2040" s="83"/>
      <c r="O2040" s="83">
        <f t="shared" si="180"/>
        <v>0.000659145088819801</v>
      </c>
      <c r="P2040" s="83">
        <v>11029</v>
      </c>
    </row>
    <row r="2041" s="66" customFormat="1" spans="1:16">
      <c r="A2041" s="70">
        <v>2039</v>
      </c>
      <c r="B2041" s="83">
        <v>11600</v>
      </c>
      <c r="C2041" s="83">
        <v>6</v>
      </c>
      <c r="D2041" s="83">
        <f t="shared" si="179"/>
        <v>104777</v>
      </c>
      <c r="E2041" s="83">
        <f t="shared" si="178"/>
        <v>104837</v>
      </c>
      <c r="F2041" s="83"/>
      <c r="G2041" s="83" t="s">
        <v>338</v>
      </c>
      <c r="H2041" s="83" t="s">
        <v>386</v>
      </c>
      <c r="I2041" s="83"/>
      <c r="J2041" s="83" t="s">
        <v>279</v>
      </c>
      <c r="K2041" s="83">
        <v>1</v>
      </c>
      <c r="L2041" s="83" t="s">
        <v>177</v>
      </c>
      <c r="M2041" s="83">
        <f>ROUNDDOWN(VLOOKUP(J2041,Sheet1!$N$32:$O$37,2,0)*1000,0)</f>
        <v>60</v>
      </c>
      <c r="N2041" s="83"/>
      <c r="O2041" s="83">
        <f t="shared" si="180"/>
        <v>0.000659145088819801</v>
      </c>
      <c r="P2041" s="83">
        <v>11030</v>
      </c>
    </row>
    <row r="2042" s="66" customFormat="1" spans="1:16">
      <c r="A2042" s="70">
        <v>2040</v>
      </c>
      <c r="B2042" s="83">
        <v>11600</v>
      </c>
      <c r="C2042" s="83">
        <v>6</v>
      </c>
      <c r="D2042" s="83">
        <f t="shared" si="179"/>
        <v>104837</v>
      </c>
      <c r="E2042" s="83">
        <f t="shared" si="178"/>
        <v>104897</v>
      </c>
      <c r="F2042" s="83"/>
      <c r="G2042" s="83" t="s">
        <v>340</v>
      </c>
      <c r="H2042" s="83" t="s">
        <v>387</v>
      </c>
      <c r="I2042" s="83"/>
      <c r="J2042" s="83" t="s">
        <v>279</v>
      </c>
      <c r="K2042" s="83">
        <v>1</v>
      </c>
      <c r="L2042" s="83" t="s">
        <v>177</v>
      </c>
      <c r="M2042" s="83">
        <f>ROUNDDOWN(VLOOKUP(J2042,Sheet1!$N$32:$O$37,2,0)*1000,0)</f>
        <v>60</v>
      </c>
      <c r="N2042" s="83"/>
      <c r="O2042" s="83">
        <f t="shared" si="180"/>
        <v>0.000659145088819801</v>
      </c>
      <c r="P2042" s="83">
        <v>11031</v>
      </c>
    </row>
    <row r="2043" s="66" customFormat="1" spans="1:16">
      <c r="A2043" s="70">
        <v>2041</v>
      </c>
      <c r="B2043" s="83">
        <v>11600</v>
      </c>
      <c r="C2043" s="83">
        <v>6</v>
      </c>
      <c r="D2043" s="83">
        <f t="shared" si="179"/>
        <v>104897</v>
      </c>
      <c r="E2043" s="83">
        <f t="shared" si="178"/>
        <v>104957</v>
      </c>
      <c r="F2043" s="83"/>
      <c r="G2043" s="83" t="s">
        <v>342</v>
      </c>
      <c r="H2043" s="83" t="s">
        <v>388</v>
      </c>
      <c r="I2043" s="83"/>
      <c r="J2043" s="83" t="s">
        <v>279</v>
      </c>
      <c r="K2043" s="83">
        <v>1</v>
      </c>
      <c r="L2043" s="83" t="s">
        <v>177</v>
      </c>
      <c r="M2043" s="83">
        <f>ROUNDDOWN(VLOOKUP(J2043,Sheet1!$N$32:$O$37,2,0)*1000,0)</f>
        <v>60</v>
      </c>
      <c r="N2043" s="83"/>
      <c r="O2043" s="83">
        <f t="shared" si="180"/>
        <v>0.000659145088819801</v>
      </c>
      <c r="P2043" s="83">
        <v>11032</v>
      </c>
    </row>
    <row r="2044" s="66" customFormat="1" spans="1:16">
      <c r="A2044" s="70">
        <v>2042</v>
      </c>
      <c r="B2044" s="83">
        <v>11600</v>
      </c>
      <c r="C2044" s="83">
        <v>6</v>
      </c>
      <c r="D2044" s="83">
        <f t="shared" si="179"/>
        <v>104957</v>
      </c>
      <c r="E2044" s="83">
        <f t="shared" si="178"/>
        <v>105017</v>
      </c>
      <c r="F2044" s="83"/>
      <c r="G2044" s="83" t="s">
        <v>344</v>
      </c>
      <c r="H2044" s="83" t="s">
        <v>389</v>
      </c>
      <c r="I2044" s="83"/>
      <c r="J2044" s="83" t="s">
        <v>279</v>
      </c>
      <c r="K2044" s="83">
        <v>1</v>
      </c>
      <c r="L2044" s="83" t="s">
        <v>177</v>
      </c>
      <c r="M2044" s="83">
        <f>ROUNDDOWN(VLOOKUP(J2044,Sheet1!$N$32:$O$37,2,0)*1000,0)</f>
        <v>60</v>
      </c>
      <c r="N2044" s="83"/>
      <c r="O2044" s="83">
        <f t="shared" si="180"/>
        <v>0.000659145088819801</v>
      </c>
      <c r="P2044" s="83">
        <v>11033</v>
      </c>
    </row>
    <row r="2045" s="66" customFormat="1" spans="1:16">
      <c r="A2045" s="70">
        <v>2043</v>
      </c>
      <c r="B2045" s="83">
        <v>11600</v>
      </c>
      <c r="C2045" s="83">
        <v>6</v>
      </c>
      <c r="D2045" s="83">
        <f t="shared" si="179"/>
        <v>105017</v>
      </c>
      <c r="E2045" s="83">
        <f t="shared" si="178"/>
        <v>105077</v>
      </c>
      <c r="F2045" s="83"/>
      <c r="G2045" s="83" t="s">
        <v>346</v>
      </c>
      <c r="H2045" s="83" t="s">
        <v>390</v>
      </c>
      <c r="I2045" s="83"/>
      <c r="J2045" s="83" t="s">
        <v>279</v>
      </c>
      <c r="K2045" s="83">
        <v>1</v>
      </c>
      <c r="L2045" s="83" t="s">
        <v>177</v>
      </c>
      <c r="M2045" s="83">
        <f>ROUNDDOWN(VLOOKUP(J2045,Sheet1!$N$32:$O$37,2,0)*1000,0)</f>
        <v>60</v>
      </c>
      <c r="N2045" s="83"/>
      <c r="O2045" s="83">
        <f t="shared" si="180"/>
        <v>0.000659145088819801</v>
      </c>
      <c r="P2045" s="83">
        <v>11034</v>
      </c>
    </row>
    <row r="2046" s="66" customFormat="1" spans="1:16">
      <c r="A2046" s="70">
        <v>2044</v>
      </c>
      <c r="B2046" s="83">
        <v>11600</v>
      </c>
      <c r="C2046" s="83">
        <v>6</v>
      </c>
      <c r="D2046" s="83">
        <f t="shared" si="179"/>
        <v>105077</v>
      </c>
      <c r="E2046" s="83">
        <f t="shared" si="178"/>
        <v>105137</v>
      </c>
      <c r="F2046" s="83"/>
      <c r="G2046" s="83" t="s">
        <v>348</v>
      </c>
      <c r="H2046" s="83" t="s">
        <v>391</v>
      </c>
      <c r="I2046" s="83"/>
      <c r="J2046" s="83" t="s">
        <v>279</v>
      </c>
      <c r="K2046" s="83">
        <v>1</v>
      </c>
      <c r="L2046" s="83" t="s">
        <v>177</v>
      </c>
      <c r="M2046" s="83">
        <f>ROUNDDOWN(VLOOKUP(J2046,Sheet1!$N$32:$O$37,2,0)*1000,0)</f>
        <v>60</v>
      </c>
      <c r="N2046" s="83"/>
      <c r="O2046" s="83">
        <f t="shared" si="180"/>
        <v>0.000659145088819801</v>
      </c>
      <c r="P2046" s="83">
        <v>11035</v>
      </c>
    </row>
    <row r="2047" s="66" customFormat="1" spans="1:16">
      <c r="A2047" s="70">
        <v>2045</v>
      </c>
      <c r="B2047" s="83">
        <v>11600</v>
      </c>
      <c r="C2047" s="83">
        <v>6</v>
      </c>
      <c r="D2047" s="83">
        <f t="shared" si="179"/>
        <v>105137</v>
      </c>
      <c r="E2047" s="83">
        <f t="shared" si="178"/>
        <v>105197</v>
      </c>
      <c r="F2047" s="83"/>
      <c r="G2047" s="83" t="s">
        <v>350</v>
      </c>
      <c r="H2047" s="83" t="s">
        <v>392</v>
      </c>
      <c r="I2047" s="83"/>
      <c r="J2047" s="83" t="s">
        <v>279</v>
      </c>
      <c r="K2047" s="83">
        <v>1</v>
      </c>
      <c r="L2047" s="83" t="s">
        <v>177</v>
      </c>
      <c r="M2047" s="83">
        <f>ROUNDDOWN(VLOOKUP(J2047,Sheet1!$N$32:$O$37,2,0)*1000,0)</f>
        <v>60</v>
      </c>
      <c r="N2047" s="83"/>
      <c r="O2047" s="83">
        <f t="shared" si="180"/>
        <v>0.000659145088819801</v>
      </c>
      <c r="P2047" s="83">
        <v>11036</v>
      </c>
    </row>
    <row r="2048" s="66" customFormat="1" spans="1:16">
      <c r="A2048" s="70">
        <v>2046</v>
      </c>
      <c r="B2048" s="83">
        <v>11600</v>
      </c>
      <c r="C2048" s="83">
        <v>6</v>
      </c>
      <c r="D2048" s="83">
        <f t="shared" si="179"/>
        <v>105197</v>
      </c>
      <c r="E2048" s="83">
        <f t="shared" si="178"/>
        <v>105257</v>
      </c>
      <c r="F2048" s="83"/>
      <c r="G2048" s="83" t="s">
        <v>352</v>
      </c>
      <c r="H2048" s="83" t="s">
        <v>393</v>
      </c>
      <c r="I2048" s="83"/>
      <c r="J2048" s="83" t="s">
        <v>279</v>
      </c>
      <c r="K2048" s="83">
        <v>1</v>
      </c>
      <c r="L2048" s="83" t="s">
        <v>177</v>
      </c>
      <c r="M2048" s="83">
        <f>ROUNDDOWN(VLOOKUP(J2048,Sheet1!$N$32:$O$37,2,0)*1000,0)</f>
        <v>60</v>
      </c>
      <c r="N2048" s="83"/>
      <c r="O2048" s="83">
        <f t="shared" si="180"/>
        <v>0.000659145088819801</v>
      </c>
      <c r="P2048" s="83">
        <v>11037</v>
      </c>
    </row>
    <row r="2049" s="66" customFormat="1" spans="1:26">
      <c r="A2049" s="70">
        <v>2047</v>
      </c>
      <c r="B2049" s="83">
        <v>11600</v>
      </c>
      <c r="C2049" s="83">
        <v>6</v>
      </c>
      <c r="D2049" s="83">
        <f t="shared" si="179"/>
        <v>105257</v>
      </c>
      <c r="E2049" s="83">
        <f t="shared" si="178"/>
        <v>105317</v>
      </c>
      <c r="F2049" s="83"/>
      <c r="G2049" s="83" t="s">
        <v>354</v>
      </c>
      <c r="H2049" s="83" t="s">
        <v>394</v>
      </c>
      <c r="I2049" s="83"/>
      <c r="J2049" s="83" t="s">
        <v>279</v>
      </c>
      <c r="K2049" s="83">
        <v>1</v>
      </c>
      <c r="L2049" s="83" t="s">
        <v>177</v>
      </c>
      <c r="M2049" s="83">
        <f>ROUNDDOWN(VLOOKUP(J2049,Sheet1!$N$32:$O$37,2,0)*1000,0)</f>
        <v>60</v>
      </c>
      <c r="N2049" s="83"/>
      <c r="O2049" s="83">
        <f t="shared" si="180"/>
        <v>0.000659145088819801</v>
      </c>
      <c r="P2049" s="83">
        <v>11038</v>
      </c>
    </row>
    <row r="2050" s="66" customFormat="1" spans="1:26">
      <c r="A2050" s="70">
        <v>2048</v>
      </c>
      <c r="B2050" s="83">
        <v>11600</v>
      </c>
      <c r="C2050" s="83">
        <v>6</v>
      </c>
      <c r="D2050" s="83">
        <f t="shared" si="179"/>
        <v>105317</v>
      </c>
      <c r="E2050" s="83">
        <f t="shared" si="178"/>
        <v>105377</v>
      </c>
      <c r="F2050" s="83"/>
      <c r="G2050" s="83" t="s">
        <v>346</v>
      </c>
      <c r="H2050" s="83" t="s">
        <v>395</v>
      </c>
      <c r="I2050" s="83"/>
      <c r="J2050" s="83" t="s">
        <v>279</v>
      </c>
      <c r="K2050" s="83">
        <v>1</v>
      </c>
      <c r="L2050" s="83" t="s">
        <v>177</v>
      </c>
      <c r="M2050" s="83">
        <f>ROUNDDOWN(VLOOKUP(J2050,Sheet1!$N$32:$O$37,2,0)*1000,0)</f>
        <v>60</v>
      </c>
      <c r="N2050" s="83"/>
      <c r="O2050" s="83">
        <f t="shared" si="180"/>
        <v>0.000659145088819801</v>
      </c>
      <c r="P2050" s="83">
        <v>11034</v>
      </c>
    </row>
    <row r="2051" s="66" customFormat="1" spans="1:26">
      <c r="A2051" s="70">
        <v>2049</v>
      </c>
      <c r="B2051" s="83">
        <v>11600</v>
      </c>
      <c r="C2051" s="83">
        <v>6</v>
      </c>
      <c r="D2051" s="83">
        <f t="shared" si="179"/>
        <v>105377</v>
      </c>
      <c r="E2051" s="83">
        <f t="shared" si="178"/>
        <v>105437</v>
      </c>
      <c r="F2051" s="83"/>
      <c r="G2051" s="83" t="s">
        <v>348</v>
      </c>
      <c r="H2051" s="83" t="s">
        <v>396</v>
      </c>
      <c r="I2051" s="83"/>
      <c r="J2051" s="83" t="s">
        <v>279</v>
      </c>
      <c r="K2051" s="83">
        <v>1</v>
      </c>
      <c r="L2051" s="83" t="s">
        <v>177</v>
      </c>
      <c r="M2051" s="83">
        <f>ROUNDDOWN(VLOOKUP(J2051,Sheet1!$N$32:$O$37,2,0)*1000,0)</f>
        <v>60</v>
      </c>
      <c r="N2051" s="83"/>
      <c r="O2051" s="83">
        <f t="shared" si="180"/>
        <v>0.000659145088819801</v>
      </c>
      <c r="P2051" s="83">
        <v>11035</v>
      </c>
    </row>
    <row r="2052" s="66" customFormat="1" spans="1:26">
      <c r="A2052" s="70">
        <v>2050</v>
      </c>
      <c r="B2052" s="83">
        <v>11600</v>
      </c>
      <c r="C2052" s="83">
        <v>6</v>
      </c>
      <c r="D2052" s="83">
        <f t="shared" si="179"/>
        <v>105437</v>
      </c>
      <c r="E2052" s="83">
        <f t="shared" si="178"/>
        <v>105497</v>
      </c>
      <c r="F2052" s="83"/>
      <c r="G2052" s="83" t="s">
        <v>350</v>
      </c>
      <c r="H2052" s="83" t="s">
        <v>397</v>
      </c>
      <c r="I2052" s="83"/>
      <c r="J2052" s="83" t="s">
        <v>279</v>
      </c>
      <c r="K2052" s="83">
        <v>1</v>
      </c>
      <c r="L2052" s="83" t="s">
        <v>177</v>
      </c>
      <c r="M2052" s="83">
        <f>ROUNDDOWN(VLOOKUP(J2052,Sheet1!$N$32:$O$37,2,0)*1000,0)</f>
        <v>60</v>
      </c>
      <c r="N2052" s="83"/>
      <c r="O2052" s="83">
        <f t="shared" si="180"/>
        <v>0.000659145088819801</v>
      </c>
      <c r="P2052" s="83">
        <v>11036</v>
      </c>
    </row>
    <row r="2053" s="66" customFormat="1" spans="1:26">
      <c r="A2053" s="70">
        <v>2051</v>
      </c>
      <c r="B2053" s="83">
        <v>11600</v>
      </c>
      <c r="C2053" s="83">
        <v>6</v>
      </c>
      <c r="D2053" s="83">
        <f t="shared" si="179"/>
        <v>105497</v>
      </c>
      <c r="E2053" s="83">
        <f t="shared" si="178"/>
        <v>105557</v>
      </c>
      <c r="F2053" s="83"/>
      <c r="G2053" s="83" t="s">
        <v>352</v>
      </c>
      <c r="H2053" s="83" t="s">
        <v>398</v>
      </c>
      <c r="I2053" s="83"/>
      <c r="J2053" s="83" t="s">
        <v>279</v>
      </c>
      <c r="K2053" s="83">
        <v>1</v>
      </c>
      <c r="L2053" s="83" t="s">
        <v>177</v>
      </c>
      <c r="M2053" s="83">
        <f>ROUNDDOWN(VLOOKUP(J2053,Sheet1!$N$32:$O$37,2,0)*1000,0)</f>
        <v>60</v>
      </c>
      <c r="N2053" s="83"/>
      <c r="O2053" s="83">
        <f t="shared" si="180"/>
        <v>0.000659145088819801</v>
      </c>
      <c r="P2053" s="83">
        <v>11037</v>
      </c>
    </row>
    <row r="2054" s="66" customFormat="1" spans="1:26">
      <c r="A2054" s="70">
        <v>2052</v>
      </c>
      <c r="B2054" s="83">
        <v>11600</v>
      </c>
      <c r="C2054" s="83">
        <v>6</v>
      </c>
      <c r="D2054" s="83">
        <f t="shared" si="179"/>
        <v>105557</v>
      </c>
      <c r="E2054" s="83">
        <f t="shared" si="178"/>
        <v>105617</v>
      </c>
      <c r="F2054" s="83"/>
      <c r="G2054" s="83" t="s">
        <v>354</v>
      </c>
      <c r="H2054" s="83" t="s">
        <v>399</v>
      </c>
      <c r="I2054" s="83"/>
      <c r="J2054" s="83" t="s">
        <v>279</v>
      </c>
      <c r="K2054" s="83">
        <v>1</v>
      </c>
      <c r="L2054" s="83" t="s">
        <v>177</v>
      </c>
      <c r="M2054" s="83">
        <f>ROUNDDOWN(VLOOKUP(J2054,Sheet1!$N$32:$O$37,2,0)*1000,0)</f>
        <v>60</v>
      </c>
      <c r="N2054" s="83"/>
      <c r="O2054" s="83">
        <f t="shared" si="180"/>
        <v>0.000659145088819801</v>
      </c>
      <c r="P2054" s="83">
        <v>11038</v>
      </c>
    </row>
    <row r="2055" spans="1:26">
      <c r="A2055" s="71">
        <v>2053</v>
      </c>
      <c r="B2055" s="71">
        <v>11900</v>
      </c>
      <c r="C2055" s="71">
        <v>1</v>
      </c>
      <c r="D2055" s="71">
        <v>0</v>
      </c>
      <c r="E2055" s="71">
        <f t="shared" ref="E2055:E2118" si="181">D2055+M2055</f>
        <v>208</v>
      </c>
      <c r="F2055" s="71"/>
      <c r="G2055" s="71">
        <v>95501002</v>
      </c>
      <c r="H2055" s="71" t="s">
        <v>432</v>
      </c>
      <c r="I2055" s="71"/>
      <c r="J2055" s="71" t="s">
        <v>433</v>
      </c>
      <c r="K2055" s="71">
        <v>1</v>
      </c>
      <c r="L2055" s="71" t="s">
        <v>434</v>
      </c>
      <c r="M2055" s="71">
        <f t="shared" ref="M2055:M2118" si="182">ROUNDDOWN(VLOOKUP(J2055,$S$2059:$V$2065,4,0)*1000,0)</f>
        <v>208</v>
      </c>
      <c r="O2055" s="67">
        <f t="shared" ref="O2055:O2118" si="183">(E2055-D2055)/$E$2280</f>
        <v>0.00219752355998817</v>
      </c>
      <c r="S2055" t="s">
        <v>433</v>
      </c>
      <c r="T2055" t="s">
        <v>435</v>
      </c>
      <c r="U2055" t="s">
        <v>235</v>
      </c>
      <c r="V2055" t="s">
        <v>266</v>
      </c>
      <c r="W2055" t="s">
        <v>244</v>
      </c>
      <c r="X2055" t="s">
        <v>436</v>
      </c>
      <c r="Y2055" t="s">
        <v>279</v>
      </c>
    </row>
    <row r="2056" spans="1:26">
      <c r="A2056" s="71">
        <v>2054</v>
      </c>
      <c r="B2056" s="71">
        <v>11900</v>
      </c>
      <c r="C2056" s="71">
        <v>1</v>
      </c>
      <c r="D2056" s="71">
        <f t="shared" ref="D2056:D2119" si="184">E2055</f>
        <v>208</v>
      </c>
      <c r="E2056" s="71">
        <f t="shared" si="181"/>
        <v>416</v>
      </c>
      <c r="F2056" s="71"/>
      <c r="G2056" s="71">
        <v>95501011</v>
      </c>
      <c r="H2056" s="71" t="s">
        <v>437</v>
      </c>
      <c r="I2056" s="71"/>
      <c r="J2056" s="71" t="s">
        <v>433</v>
      </c>
      <c r="K2056" s="71">
        <v>1</v>
      </c>
      <c r="L2056" s="71" t="s">
        <v>434</v>
      </c>
      <c r="M2056" s="71">
        <f t="shared" si="182"/>
        <v>208</v>
      </c>
      <c r="O2056" s="67">
        <f t="shared" si="183"/>
        <v>0.00219752355998817</v>
      </c>
      <c r="S2056">
        <f>SUM(O2055:O2102)</f>
        <v>0.105481130879432</v>
      </c>
      <c r="T2056">
        <f>SUM(O2103:O2162)</f>
        <v>0.158475256729916</v>
      </c>
      <c r="U2056">
        <f>SUM(O2163:O2170)</f>
        <v>0.211300342306555</v>
      </c>
      <c r="V2056">
        <f>SUM(O2192:O2202)</f>
        <v>0.264040907746271</v>
      </c>
      <c r="W2056">
        <f>SUM(O2171:O2191)</f>
        <v>0.105607911084816</v>
      </c>
      <c r="X2056">
        <f>SUM(O2203:O2222)</f>
        <v>0.105650171153277</v>
      </c>
      <c r="Y2056">
        <f>SUM(O2242:O2280)</f>
        <v>0.0494442800997338</v>
      </c>
      <c r="Z2056">
        <f>SUM(S2056:Y2056)</f>
        <v>1</v>
      </c>
    </row>
    <row r="2057" spans="1:26">
      <c r="A2057" s="71">
        <v>2055</v>
      </c>
      <c r="B2057" s="71">
        <v>11900</v>
      </c>
      <c r="C2057" s="71">
        <v>1</v>
      </c>
      <c r="D2057" s="71">
        <f t="shared" si="184"/>
        <v>416</v>
      </c>
      <c r="E2057" s="71">
        <f t="shared" si="181"/>
        <v>624</v>
      </c>
      <c r="F2057" s="71"/>
      <c r="G2057" s="71">
        <v>95502002</v>
      </c>
      <c r="H2057" s="71" t="s">
        <v>438</v>
      </c>
      <c r="I2057" s="71"/>
      <c r="J2057" s="71" t="s">
        <v>433</v>
      </c>
      <c r="K2057" s="71">
        <v>1</v>
      </c>
      <c r="L2057" s="71" t="s">
        <v>434</v>
      </c>
      <c r="M2057" s="71">
        <f t="shared" si="182"/>
        <v>208</v>
      </c>
      <c r="O2057" s="67">
        <f t="shared" si="183"/>
        <v>0.00219752355998817</v>
      </c>
    </row>
    <row r="2058" spans="1:26">
      <c r="A2058" s="71">
        <v>2056</v>
      </c>
      <c r="B2058" s="71">
        <v>11900</v>
      </c>
      <c r="C2058" s="71">
        <v>1</v>
      </c>
      <c r="D2058" s="71">
        <f t="shared" si="184"/>
        <v>624</v>
      </c>
      <c r="E2058" s="71">
        <f t="shared" si="181"/>
        <v>832</v>
      </c>
      <c r="F2058" s="71"/>
      <c r="G2058" s="71">
        <v>95502011</v>
      </c>
      <c r="H2058" s="71" t="s">
        <v>439</v>
      </c>
      <c r="I2058" s="71"/>
      <c r="J2058" s="71" t="s">
        <v>433</v>
      </c>
      <c r="K2058" s="71">
        <v>1</v>
      </c>
      <c r="L2058" s="71" t="s">
        <v>434</v>
      </c>
      <c r="M2058" s="71">
        <f t="shared" si="182"/>
        <v>208</v>
      </c>
      <c r="O2058" s="67">
        <f t="shared" si="183"/>
        <v>0.00219752355998817</v>
      </c>
      <c r="T2058" t="s">
        <v>440</v>
      </c>
      <c r="U2058" t="s">
        <v>441</v>
      </c>
      <c r="V2058" t="s">
        <v>442</v>
      </c>
      <c r="W2058" t="s">
        <v>443</v>
      </c>
      <c r="X2058" t="s">
        <v>444</v>
      </c>
    </row>
    <row r="2059" spans="1:26">
      <c r="A2059" s="71">
        <v>2057</v>
      </c>
      <c r="B2059" s="71">
        <v>11900</v>
      </c>
      <c r="C2059" s="71">
        <v>1</v>
      </c>
      <c r="D2059" s="71">
        <f t="shared" si="184"/>
        <v>832</v>
      </c>
      <c r="E2059" s="71">
        <f t="shared" si="181"/>
        <v>1040</v>
      </c>
      <c r="F2059" s="71"/>
      <c r="G2059" s="71">
        <v>95503002</v>
      </c>
      <c r="H2059" s="71" t="s">
        <v>445</v>
      </c>
      <c r="I2059" s="71"/>
      <c r="J2059" s="71" t="s">
        <v>433</v>
      </c>
      <c r="K2059" s="71">
        <v>1</v>
      </c>
      <c r="L2059" s="71" t="s">
        <v>434</v>
      </c>
      <c r="M2059" s="71">
        <f t="shared" si="182"/>
        <v>208</v>
      </c>
      <c r="O2059" s="67">
        <f t="shared" si="183"/>
        <v>0.00219752355998817</v>
      </c>
      <c r="S2059" t="s">
        <v>433</v>
      </c>
      <c r="T2059">
        <v>10</v>
      </c>
      <c r="U2059">
        <v>48</v>
      </c>
      <c r="V2059">
        <f t="shared" ref="V2059:V2065" si="185">T2059/U2059</f>
        <v>0.208333333333333</v>
      </c>
      <c r="W2059">
        <f t="shared" ref="W2059:W2065" si="186">V2059*$X$2059</f>
        <v>208.333333333333</v>
      </c>
      <c r="X2059">
        <v>1000</v>
      </c>
    </row>
    <row r="2060" spans="1:26">
      <c r="A2060" s="71">
        <v>2058</v>
      </c>
      <c r="B2060" s="71">
        <v>11900</v>
      </c>
      <c r="C2060" s="71">
        <v>1</v>
      </c>
      <c r="D2060" s="71">
        <f t="shared" si="184"/>
        <v>1040</v>
      </c>
      <c r="E2060" s="71">
        <f t="shared" si="181"/>
        <v>1248</v>
      </c>
      <c r="F2060" s="71"/>
      <c r="G2060" s="71">
        <v>95503011</v>
      </c>
      <c r="H2060" s="71" t="s">
        <v>446</v>
      </c>
      <c r="I2060" s="71"/>
      <c r="J2060" s="71" t="s">
        <v>433</v>
      </c>
      <c r="K2060" s="71">
        <v>1</v>
      </c>
      <c r="L2060" s="71" t="s">
        <v>434</v>
      </c>
      <c r="M2060" s="71">
        <f t="shared" si="182"/>
        <v>208</v>
      </c>
      <c r="O2060" s="67">
        <f t="shared" si="183"/>
        <v>0.00219752355998817</v>
      </c>
      <c r="S2060" t="s">
        <v>200</v>
      </c>
      <c r="T2060">
        <v>15</v>
      </c>
      <c r="U2060">
        <v>60</v>
      </c>
      <c r="V2060">
        <f t="shared" si="185"/>
        <v>0.25</v>
      </c>
      <c r="W2060">
        <f t="shared" si="186"/>
        <v>250</v>
      </c>
    </row>
    <row r="2061" spans="1:26">
      <c r="A2061" s="71">
        <v>2059</v>
      </c>
      <c r="B2061" s="71">
        <v>11900</v>
      </c>
      <c r="C2061" s="71">
        <v>1</v>
      </c>
      <c r="D2061" s="71">
        <f t="shared" si="184"/>
        <v>1248</v>
      </c>
      <c r="E2061" s="71">
        <f t="shared" si="181"/>
        <v>1456</v>
      </c>
      <c r="F2061" s="71"/>
      <c r="G2061" s="71">
        <v>95504002</v>
      </c>
      <c r="H2061" s="71" t="s">
        <v>447</v>
      </c>
      <c r="I2061" s="71"/>
      <c r="J2061" s="71" t="s">
        <v>433</v>
      </c>
      <c r="K2061" s="71">
        <v>1</v>
      </c>
      <c r="L2061" s="71" t="s">
        <v>434</v>
      </c>
      <c r="M2061" s="71">
        <f t="shared" si="182"/>
        <v>208</v>
      </c>
      <c r="O2061" s="67">
        <f t="shared" si="183"/>
        <v>0.00219752355998817</v>
      </c>
      <c r="S2061" t="s">
        <v>235</v>
      </c>
      <c r="T2061">
        <v>20</v>
      </c>
      <c r="U2061">
        <v>8</v>
      </c>
      <c r="V2061">
        <f t="shared" si="185"/>
        <v>2.5</v>
      </c>
      <c r="W2061">
        <f t="shared" si="186"/>
        <v>2500</v>
      </c>
    </row>
    <row r="2062" spans="1:26">
      <c r="A2062" s="71">
        <v>2060</v>
      </c>
      <c r="B2062" s="71">
        <v>11900</v>
      </c>
      <c r="C2062" s="71">
        <v>1</v>
      </c>
      <c r="D2062" s="71">
        <f t="shared" si="184"/>
        <v>1456</v>
      </c>
      <c r="E2062" s="71">
        <f t="shared" si="181"/>
        <v>1664</v>
      </c>
      <c r="F2062" s="71"/>
      <c r="G2062" s="71">
        <v>95504011</v>
      </c>
      <c r="H2062" s="71" t="s">
        <v>448</v>
      </c>
      <c r="I2062" s="71"/>
      <c r="J2062" s="71" t="s">
        <v>433</v>
      </c>
      <c r="K2062" s="71">
        <v>1</v>
      </c>
      <c r="L2062" s="71" t="s">
        <v>434</v>
      </c>
      <c r="M2062" s="71">
        <f t="shared" si="182"/>
        <v>208</v>
      </c>
      <c r="O2062" s="67">
        <f t="shared" si="183"/>
        <v>0.00219752355998817</v>
      </c>
      <c r="S2062" t="s">
        <v>266</v>
      </c>
      <c r="T2062">
        <v>25</v>
      </c>
      <c r="U2062">
        <v>11</v>
      </c>
      <c r="V2062">
        <f t="shared" si="185"/>
        <v>2.27272727272727</v>
      </c>
      <c r="W2062">
        <f t="shared" si="186"/>
        <v>2272.72727272727</v>
      </c>
    </row>
    <row r="2063" spans="1:26">
      <c r="A2063" s="71">
        <v>2061</v>
      </c>
      <c r="B2063" s="71">
        <v>11900</v>
      </c>
      <c r="C2063" s="71">
        <v>1</v>
      </c>
      <c r="D2063" s="71">
        <f t="shared" si="184"/>
        <v>1664</v>
      </c>
      <c r="E2063" s="71">
        <f t="shared" si="181"/>
        <v>1872</v>
      </c>
      <c r="F2063" s="71"/>
      <c r="G2063" s="71">
        <v>95505002</v>
      </c>
      <c r="H2063" s="71" t="s">
        <v>449</v>
      </c>
      <c r="I2063" s="71"/>
      <c r="J2063" s="71" t="s">
        <v>433</v>
      </c>
      <c r="K2063" s="71">
        <v>1</v>
      </c>
      <c r="L2063" s="71" t="s">
        <v>434</v>
      </c>
      <c r="M2063" s="71">
        <f t="shared" si="182"/>
        <v>208</v>
      </c>
      <c r="O2063" s="67">
        <f t="shared" si="183"/>
        <v>0.00219752355998817</v>
      </c>
      <c r="S2063" t="s">
        <v>244</v>
      </c>
      <c r="T2063">
        <v>10</v>
      </c>
      <c r="U2063">
        <v>21</v>
      </c>
      <c r="V2063">
        <f t="shared" si="185"/>
        <v>0.476190476190476</v>
      </c>
      <c r="W2063">
        <f t="shared" si="186"/>
        <v>476.190476190476</v>
      </c>
    </row>
    <row r="2064" spans="1:26">
      <c r="A2064" s="71">
        <v>2062</v>
      </c>
      <c r="B2064" s="71">
        <v>11900</v>
      </c>
      <c r="C2064" s="71">
        <v>1</v>
      </c>
      <c r="D2064" s="71">
        <f t="shared" si="184"/>
        <v>1872</v>
      </c>
      <c r="E2064" s="71">
        <f t="shared" si="181"/>
        <v>2080</v>
      </c>
      <c r="F2064" s="71"/>
      <c r="G2064" s="71">
        <v>95505011</v>
      </c>
      <c r="H2064" s="71" t="s">
        <v>450</v>
      </c>
      <c r="I2064" s="71"/>
      <c r="J2064" s="71" t="s">
        <v>433</v>
      </c>
      <c r="K2064" s="71">
        <v>1</v>
      </c>
      <c r="L2064" s="71" t="s">
        <v>434</v>
      </c>
      <c r="M2064" s="71">
        <f t="shared" si="182"/>
        <v>208</v>
      </c>
      <c r="O2064" s="67">
        <f t="shared" si="183"/>
        <v>0.00219752355998817</v>
      </c>
      <c r="S2064" t="s">
        <v>436</v>
      </c>
      <c r="T2064">
        <v>10</v>
      </c>
      <c r="U2064">
        <v>20</v>
      </c>
      <c r="V2064">
        <f t="shared" si="185"/>
        <v>0.5</v>
      </c>
      <c r="W2064">
        <f t="shared" si="186"/>
        <v>500</v>
      </c>
    </row>
    <row r="2065" spans="1:23">
      <c r="A2065" s="71">
        <v>2063</v>
      </c>
      <c r="B2065" s="71">
        <v>11900</v>
      </c>
      <c r="C2065" s="71">
        <v>1</v>
      </c>
      <c r="D2065" s="71">
        <f t="shared" si="184"/>
        <v>2080</v>
      </c>
      <c r="E2065" s="71">
        <f t="shared" si="181"/>
        <v>2288</v>
      </c>
      <c r="F2065" s="71"/>
      <c r="G2065" s="71">
        <v>95506002</v>
      </c>
      <c r="H2065" s="71" t="s">
        <v>451</v>
      </c>
      <c r="I2065" s="71"/>
      <c r="J2065" s="71" t="s">
        <v>433</v>
      </c>
      <c r="K2065" s="71">
        <v>1</v>
      </c>
      <c r="L2065" s="71" t="s">
        <v>434</v>
      </c>
      <c r="M2065" s="71">
        <f t="shared" si="182"/>
        <v>208</v>
      </c>
      <c r="O2065" s="67">
        <f t="shared" si="183"/>
        <v>0.00219752355998817</v>
      </c>
      <c r="S2065" t="s">
        <v>279</v>
      </c>
      <c r="T2065">
        <v>10</v>
      </c>
      <c r="U2065">
        <v>83</v>
      </c>
      <c r="V2065">
        <f t="shared" si="185"/>
        <v>0.120481927710843</v>
      </c>
      <c r="W2065">
        <f t="shared" si="186"/>
        <v>120.481927710843</v>
      </c>
    </row>
    <row r="2066" spans="1:23">
      <c r="A2066" s="71">
        <v>2064</v>
      </c>
      <c r="B2066" s="71">
        <v>11900</v>
      </c>
      <c r="C2066" s="71">
        <v>1</v>
      </c>
      <c r="D2066" s="71">
        <f t="shared" si="184"/>
        <v>2288</v>
      </c>
      <c r="E2066" s="71">
        <f t="shared" si="181"/>
        <v>2496</v>
      </c>
      <c r="F2066" s="71"/>
      <c r="G2066" s="71">
        <v>95506011</v>
      </c>
      <c r="H2066" s="71" t="s">
        <v>452</v>
      </c>
      <c r="I2066" s="71"/>
      <c r="J2066" s="71" t="s">
        <v>433</v>
      </c>
      <c r="K2066" s="71">
        <v>1</v>
      </c>
      <c r="L2066" s="71" t="s">
        <v>434</v>
      </c>
      <c r="M2066" s="71">
        <f t="shared" si="182"/>
        <v>208</v>
      </c>
      <c r="O2066" s="67">
        <f t="shared" si="183"/>
        <v>0.00219752355998817</v>
      </c>
    </row>
    <row r="2067" spans="1:23">
      <c r="A2067" s="71">
        <v>2065</v>
      </c>
      <c r="B2067" s="71">
        <v>11900</v>
      </c>
      <c r="C2067" s="71">
        <v>1</v>
      </c>
      <c r="D2067" s="71">
        <f t="shared" si="184"/>
        <v>2496</v>
      </c>
      <c r="E2067" s="71">
        <f t="shared" si="181"/>
        <v>2704</v>
      </c>
      <c r="F2067" s="71"/>
      <c r="G2067" s="71">
        <v>95509002</v>
      </c>
      <c r="H2067" s="71" t="s">
        <v>453</v>
      </c>
      <c r="I2067" s="71"/>
      <c r="J2067" s="71" t="s">
        <v>433</v>
      </c>
      <c r="K2067" s="71">
        <v>1</v>
      </c>
      <c r="L2067" s="71" t="s">
        <v>434</v>
      </c>
      <c r="M2067" s="71">
        <f t="shared" si="182"/>
        <v>208</v>
      </c>
      <c r="O2067" s="67">
        <f t="shared" si="183"/>
        <v>0.00219752355998817</v>
      </c>
    </row>
    <row r="2068" spans="1:23">
      <c r="A2068" s="71">
        <v>2066</v>
      </c>
      <c r="B2068" s="71">
        <v>11900</v>
      </c>
      <c r="C2068" s="71">
        <v>1</v>
      </c>
      <c r="D2068" s="71">
        <f t="shared" si="184"/>
        <v>2704</v>
      </c>
      <c r="E2068" s="71">
        <f t="shared" si="181"/>
        <v>2912</v>
      </c>
      <c r="F2068" s="71"/>
      <c r="G2068" s="71">
        <v>95509011</v>
      </c>
      <c r="H2068" s="71" t="s">
        <v>454</v>
      </c>
      <c r="I2068" s="71"/>
      <c r="J2068" s="71" t="s">
        <v>433</v>
      </c>
      <c r="K2068" s="71">
        <v>1</v>
      </c>
      <c r="L2068" s="71" t="s">
        <v>434</v>
      </c>
      <c r="M2068" s="71">
        <f t="shared" si="182"/>
        <v>208</v>
      </c>
      <c r="O2068" s="67">
        <f t="shared" si="183"/>
        <v>0.00219752355998817</v>
      </c>
    </row>
    <row r="2069" spans="1:23">
      <c r="A2069" s="71">
        <v>2067</v>
      </c>
      <c r="B2069" s="71">
        <v>11900</v>
      </c>
      <c r="C2069" s="71">
        <v>1</v>
      </c>
      <c r="D2069" s="71">
        <f t="shared" si="184"/>
        <v>2912</v>
      </c>
      <c r="E2069" s="71">
        <f t="shared" si="181"/>
        <v>3120</v>
      </c>
      <c r="F2069" s="71"/>
      <c r="G2069" s="71">
        <v>95510002</v>
      </c>
      <c r="H2069" s="71" t="s">
        <v>455</v>
      </c>
      <c r="I2069" s="71"/>
      <c r="J2069" s="71" t="s">
        <v>433</v>
      </c>
      <c r="K2069" s="71">
        <v>1</v>
      </c>
      <c r="L2069" s="71" t="s">
        <v>434</v>
      </c>
      <c r="M2069" s="71">
        <f t="shared" si="182"/>
        <v>208</v>
      </c>
      <c r="O2069" s="67">
        <f t="shared" si="183"/>
        <v>0.00219752355998817</v>
      </c>
    </row>
    <row r="2070" spans="1:23">
      <c r="A2070" s="71">
        <v>2068</v>
      </c>
      <c r="B2070" s="71">
        <v>11900</v>
      </c>
      <c r="C2070" s="71">
        <v>1</v>
      </c>
      <c r="D2070" s="71">
        <f t="shared" si="184"/>
        <v>3120</v>
      </c>
      <c r="E2070" s="71">
        <f t="shared" si="181"/>
        <v>3328</v>
      </c>
      <c r="F2070" s="71"/>
      <c r="G2070" s="71">
        <v>95510011</v>
      </c>
      <c r="H2070" s="71" t="s">
        <v>456</v>
      </c>
      <c r="I2070" s="71"/>
      <c r="J2070" s="71" t="s">
        <v>433</v>
      </c>
      <c r="K2070" s="71">
        <v>1</v>
      </c>
      <c r="L2070" s="71" t="s">
        <v>434</v>
      </c>
      <c r="M2070" s="71">
        <f t="shared" si="182"/>
        <v>208</v>
      </c>
      <c r="O2070" s="67">
        <f t="shared" si="183"/>
        <v>0.00219752355998817</v>
      </c>
    </row>
    <row r="2071" spans="1:23">
      <c r="A2071" s="71">
        <v>2069</v>
      </c>
      <c r="B2071" s="71">
        <v>11900</v>
      </c>
      <c r="C2071" s="71">
        <v>1</v>
      </c>
      <c r="D2071" s="71">
        <f t="shared" si="184"/>
        <v>3328</v>
      </c>
      <c r="E2071" s="71">
        <f t="shared" si="181"/>
        <v>3536</v>
      </c>
      <c r="F2071" s="71"/>
      <c r="G2071" s="71">
        <v>95511002</v>
      </c>
      <c r="H2071" s="71" t="s">
        <v>457</v>
      </c>
      <c r="I2071" s="71"/>
      <c r="J2071" s="71" t="s">
        <v>433</v>
      </c>
      <c r="K2071" s="71">
        <v>1</v>
      </c>
      <c r="L2071" s="71" t="s">
        <v>434</v>
      </c>
      <c r="M2071" s="71">
        <f t="shared" si="182"/>
        <v>208</v>
      </c>
      <c r="O2071" s="67">
        <f t="shared" si="183"/>
        <v>0.00219752355998817</v>
      </c>
    </row>
    <row r="2072" spans="1:23">
      <c r="A2072" s="71">
        <v>2070</v>
      </c>
      <c r="B2072" s="71">
        <v>11900</v>
      </c>
      <c r="C2072" s="71">
        <v>1</v>
      </c>
      <c r="D2072" s="71">
        <f t="shared" si="184"/>
        <v>3536</v>
      </c>
      <c r="E2072" s="71">
        <f t="shared" si="181"/>
        <v>3744</v>
      </c>
      <c r="F2072" s="71"/>
      <c r="G2072" s="71">
        <v>95511011</v>
      </c>
      <c r="H2072" s="71" t="s">
        <v>458</v>
      </c>
      <c r="I2072" s="71"/>
      <c r="J2072" s="71" t="s">
        <v>433</v>
      </c>
      <c r="K2072" s="71">
        <v>1</v>
      </c>
      <c r="L2072" s="71" t="s">
        <v>434</v>
      </c>
      <c r="M2072" s="71">
        <f t="shared" si="182"/>
        <v>208</v>
      </c>
      <c r="O2072" s="67">
        <f t="shared" si="183"/>
        <v>0.00219752355998817</v>
      </c>
    </row>
    <row r="2073" spans="1:23">
      <c r="A2073" s="71">
        <v>2071</v>
      </c>
      <c r="B2073" s="71">
        <v>11900</v>
      </c>
      <c r="C2073" s="71">
        <v>1</v>
      </c>
      <c r="D2073" s="71">
        <f t="shared" si="184"/>
        <v>3744</v>
      </c>
      <c r="E2073" s="71">
        <f t="shared" si="181"/>
        <v>3952</v>
      </c>
      <c r="F2073" s="71"/>
      <c r="G2073" s="71">
        <v>95512002</v>
      </c>
      <c r="H2073" s="71" t="s">
        <v>459</v>
      </c>
      <c r="I2073" s="71"/>
      <c r="J2073" s="71" t="s">
        <v>433</v>
      </c>
      <c r="K2073" s="71">
        <v>1</v>
      </c>
      <c r="L2073" s="71" t="s">
        <v>434</v>
      </c>
      <c r="M2073" s="71">
        <f t="shared" si="182"/>
        <v>208</v>
      </c>
      <c r="O2073" s="67">
        <f t="shared" si="183"/>
        <v>0.00219752355998817</v>
      </c>
    </row>
    <row r="2074" spans="1:23">
      <c r="A2074" s="71">
        <v>2072</v>
      </c>
      <c r="B2074" s="71">
        <v>11900</v>
      </c>
      <c r="C2074" s="71">
        <v>1</v>
      </c>
      <c r="D2074" s="71">
        <f t="shared" si="184"/>
        <v>3952</v>
      </c>
      <c r="E2074" s="71">
        <f t="shared" si="181"/>
        <v>4160</v>
      </c>
      <c r="F2074" s="71"/>
      <c r="G2074" s="71">
        <v>95512011</v>
      </c>
      <c r="H2074" s="71" t="s">
        <v>460</v>
      </c>
      <c r="I2074" s="71"/>
      <c r="J2074" s="71" t="s">
        <v>433</v>
      </c>
      <c r="K2074" s="71">
        <v>1</v>
      </c>
      <c r="L2074" s="71" t="s">
        <v>434</v>
      </c>
      <c r="M2074" s="71">
        <f t="shared" si="182"/>
        <v>208</v>
      </c>
      <c r="O2074" s="67">
        <f t="shared" si="183"/>
        <v>0.00219752355998817</v>
      </c>
    </row>
    <row r="2075" spans="1:23">
      <c r="A2075" s="71">
        <v>2073</v>
      </c>
      <c r="B2075" s="71">
        <v>11900</v>
      </c>
      <c r="C2075" s="71">
        <v>1</v>
      </c>
      <c r="D2075" s="71">
        <f t="shared" si="184"/>
        <v>4160</v>
      </c>
      <c r="E2075" s="71">
        <f t="shared" si="181"/>
        <v>4368</v>
      </c>
      <c r="F2075" s="71"/>
      <c r="G2075" s="71">
        <v>95514002</v>
      </c>
      <c r="H2075" s="71" t="s">
        <v>461</v>
      </c>
      <c r="I2075" s="71"/>
      <c r="J2075" s="71" t="s">
        <v>433</v>
      </c>
      <c r="K2075" s="71">
        <v>1</v>
      </c>
      <c r="L2075" s="71" t="s">
        <v>434</v>
      </c>
      <c r="M2075" s="71">
        <f t="shared" si="182"/>
        <v>208</v>
      </c>
      <c r="O2075" s="67">
        <f t="shared" si="183"/>
        <v>0.00219752355998817</v>
      </c>
    </row>
    <row r="2076" spans="1:23">
      <c r="A2076" s="71">
        <v>2074</v>
      </c>
      <c r="B2076" s="71">
        <v>11900</v>
      </c>
      <c r="C2076" s="71">
        <v>1</v>
      </c>
      <c r="D2076" s="71">
        <f t="shared" si="184"/>
        <v>4368</v>
      </c>
      <c r="E2076" s="71">
        <f t="shared" si="181"/>
        <v>4576</v>
      </c>
      <c r="F2076" s="71"/>
      <c r="G2076" s="71">
        <v>95514011</v>
      </c>
      <c r="H2076" s="71" t="s">
        <v>462</v>
      </c>
      <c r="I2076" s="71"/>
      <c r="J2076" s="71" t="s">
        <v>433</v>
      </c>
      <c r="K2076" s="71">
        <v>1</v>
      </c>
      <c r="L2076" s="71" t="s">
        <v>434</v>
      </c>
      <c r="M2076" s="71">
        <f t="shared" si="182"/>
        <v>208</v>
      </c>
      <c r="O2076" s="67">
        <f t="shared" si="183"/>
        <v>0.00219752355998817</v>
      </c>
    </row>
    <row r="2077" spans="1:23">
      <c r="A2077" s="71">
        <v>2075</v>
      </c>
      <c r="B2077" s="71">
        <v>11900</v>
      </c>
      <c r="C2077" s="71">
        <v>1</v>
      </c>
      <c r="D2077" s="71">
        <f t="shared" si="184"/>
        <v>4576</v>
      </c>
      <c r="E2077" s="71">
        <f t="shared" si="181"/>
        <v>4784</v>
      </c>
      <c r="F2077" s="71"/>
      <c r="G2077" s="71">
        <v>95515002</v>
      </c>
      <c r="H2077" s="71" t="s">
        <v>463</v>
      </c>
      <c r="I2077" s="71"/>
      <c r="J2077" s="71" t="s">
        <v>433</v>
      </c>
      <c r="K2077" s="71">
        <v>1</v>
      </c>
      <c r="L2077" s="71" t="s">
        <v>434</v>
      </c>
      <c r="M2077" s="71">
        <f t="shared" si="182"/>
        <v>208</v>
      </c>
      <c r="O2077" s="67">
        <f t="shared" si="183"/>
        <v>0.00219752355998817</v>
      </c>
    </row>
    <row r="2078" spans="1:23">
      <c r="A2078" s="71">
        <v>2076</v>
      </c>
      <c r="B2078" s="71">
        <v>11900</v>
      </c>
      <c r="C2078" s="71">
        <v>1</v>
      </c>
      <c r="D2078" s="71">
        <f t="shared" si="184"/>
        <v>4784</v>
      </c>
      <c r="E2078" s="71">
        <f t="shared" si="181"/>
        <v>4992</v>
      </c>
      <c r="F2078" s="71"/>
      <c r="G2078" s="71">
        <v>95515011</v>
      </c>
      <c r="H2078" s="71" t="s">
        <v>464</v>
      </c>
      <c r="I2078" s="71"/>
      <c r="J2078" s="71" t="s">
        <v>433</v>
      </c>
      <c r="K2078" s="71">
        <v>1</v>
      </c>
      <c r="L2078" s="71" t="s">
        <v>434</v>
      </c>
      <c r="M2078" s="71">
        <f t="shared" si="182"/>
        <v>208</v>
      </c>
      <c r="O2078" s="67">
        <f t="shared" si="183"/>
        <v>0.00219752355998817</v>
      </c>
    </row>
    <row r="2079" spans="1:23">
      <c r="A2079" s="71">
        <v>2077</v>
      </c>
      <c r="B2079" s="71">
        <v>11900</v>
      </c>
      <c r="C2079" s="71">
        <v>1</v>
      </c>
      <c r="D2079" s="71">
        <f t="shared" si="184"/>
        <v>4992</v>
      </c>
      <c r="E2079" s="71">
        <f t="shared" si="181"/>
        <v>5200</v>
      </c>
      <c r="F2079" s="71"/>
      <c r="G2079" s="71">
        <v>95901001</v>
      </c>
      <c r="H2079" s="71" t="s">
        <v>465</v>
      </c>
      <c r="I2079" s="71"/>
      <c r="J2079" s="71" t="s">
        <v>433</v>
      </c>
      <c r="K2079" s="71">
        <v>1</v>
      </c>
      <c r="L2079" s="71" t="s">
        <v>434</v>
      </c>
      <c r="M2079" s="71">
        <f t="shared" si="182"/>
        <v>208</v>
      </c>
      <c r="O2079" s="67">
        <f t="shared" si="183"/>
        <v>0.00219752355998817</v>
      </c>
    </row>
    <row r="2080" spans="1:23">
      <c r="A2080" s="71">
        <v>2078</v>
      </c>
      <c r="B2080" s="71">
        <v>11900</v>
      </c>
      <c r="C2080" s="71">
        <v>1</v>
      </c>
      <c r="D2080" s="71">
        <f t="shared" si="184"/>
        <v>5200</v>
      </c>
      <c r="E2080" s="71">
        <f t="shared" si="181"/>
        <v>5408</v>
      </c>
      <c r="F2080" s="71"/>
      <c r="G2080" s="71">
        <v>95901002</v>
      </c>
      <c r="H2080" s="71" t="s">
        <v>466</v>
      </c>
      <c r="I2080" s="71"/>
      <c r="J2080" s="71" t="s">
        <v>433</v>
      </c>
      <c r="K2080" s="71">
        <v>1</v>
      </c>
      <c r="L2080" s="71" t="s">
        <v>434</v>
      </c>
      <c r="M2080" s="71">
        <f t="shared" si="182"/>
        <v>208</v>
      </c>
      <c r="O2080" s="67">
        <f t="shared" si="183"/>
        <v>0.00219752355998817</v>
      </c>
    </row>
    <row r="2081" spans="1:15">
      <c r="A2081" s="71">
        <v>2079</v>
      </c>
      <c r="B2081" s="71">
        <v>11900</v>
      </c>
      <c r="C2081" s="71">
        <v>1</v>
      </c>
      <c r="D2081" s="71">
        <f t="shared" si="184"/>
        <v>5408</v>
      </c>
      <c r="E2081" s="71">
        <f t="shared" si="181"/>
        <v>5616</v>
      </c>
      <c r="F2081" s="71"/>
      <c r="G2081" s="71">
        <v>95902001</v>
      </c>
      <c r="H2081" s="71" t="s">
        <v>467</v>
      </c>
      <c r="I2081" s="71"/>
      <c r="J2081" s="71" t="s">
        <v>433</v>
      </c>
      <c r="K2081" s="71">
        <v>1</v>
      </c>
      <c r="L2081" s="71" t="s">
        <v>434</v>
      </c>
      <c r="M2081" s="71">
        <f t="shared" si="182"/>
        <v>208</v>
      </c>
      <c r="O2081" s="67">
        <f t="shared" si="183"/>
        <v>0.00219752355998817</v>
      </c>
    </row>
    <row r="2082" spans="1:15">
      <c r="A2082" s="71">
        <v>2080</v>
      </c>
      <c r="B2082" s="71">
        <v>11900</v>
      </c>
      <c r="C2082" s="71">
        <v>1</v>
      </c>
      <c r="D2082" s="71">
        <f t="shared" si="184"/>
        <v>5616</v>
      </c>
      <c r="E2082" s="71">
        <f t="shared" si="181"/>
        <v>5824</v>
      </c>
      <c r="F2082" s="71"/>
      <c r="G2082" s="71">
        <v>95902002</v>
      </c>
      <c r="H2082" s="71" t="s">
        <v>468</v>
      </c>
      <c r="I2082" s="71"/>
      <c r="J2082" s="71" t="s">
        <v>433</v>
      </c>
      <c r="K2082" s="71">
        <v>1</v>
      </c>
      <c r="L2082" s="71" t="s">
        <v>434</v>
      </c>
      <c r="M2082" s="71">
        <f t="shared" si="182"/>
        <v>208</v>
      </c>
      <c r="O2082" s="67">
        <f t="shared" si="183"/>
        <v>0.00219752355998817</v>
      </c>
    </row>
    <row r="2083" spans="1:15">
      <c r="A2083" s="71">
        <v>2081</v>
      </c>
      <c r="B2083" s="71">
        <v>11900</v>
      </c>
      <c r="C2083" s="71">
        <v>1</v>
      </c>
      <c r="D2083" s="71">
        <f t="shared" si="184"/>
        <v>5824</v>
      </c>
      <c r="E2083" s="71">
        <f t="shared" si="181"/>
        <v>6032</v>
      </c>
      <c r="F2083" s="71"/>
      <c r="G2083" s="71">
        <v>95903001</v>
      </c>
      <c r="H2083" s="71" t="s">
        <v>469</v>
      </c>
      <c r="I2083" s="71"/>
      <c r="J2083" s="71" t="s">
        <v>433</v>
      </c>
      <c r="K2083" s="71">
        <v>1</v>
      </c>
      <c r="L2083" s="71" t="s">
        <v>434</v>
      </c>
      <c r="M2083" s="71">
        <f t="shared" si="182"/>
        <v>208</v>
      </c>
      <c r="O2083" s="67">
        <f t="shared" si="183"/>
        <v>0.00219752355998817</v>
      </c>
    </row>
    <row r="2084" spans="1:15">
      <c r="A2084" s="71">
        <v>2082</v>
      </c>
      <c r="B2084" s="71">
        <v>11900</v>
      </c>
      <c r="C2084" s="71">
        <v>1</v>
      </c>
      <c r="D2084" s="71">
        <f t="shared" si="184"/>
        <v>6032</v>
      </c>
      <c r="E2084" s="71">
        <f t="shared" si="181"/>
        <v>6240</v>
      </c>
      <c r="F2084" s="71"/>
      <c r="G2084" s="71">
        <v>95903002</v>
      </c>
      <c r="H2084" s="71" t="s">
        <v>470</v>
      </c>
      <c r="I2084" s="71"/>
      <c r="J2084" s="71" t="s">
        <v>433</v>
      </c>
      <c r="K2084" s="71">
        <v>1</v>
      </c>
      <c r="L2084" s="71" t="s">
        <v>434</v>
      </c>
      <c r="M2084" s="71">
        <f t="shared" si="182"/>
        <v>208</v>
      </c>
      <c r="O2084" s="67">
        <f t="shared" si="183"/>
        <v>0.00219752355998817</v>
      </c>
    </row>
    <row r="2085" spans="1:15">
      <c r="A2085" s="71">
        <v>2083</v>
      </c>
      <c r="B2085" s="71">
        <v>11900</v>
      </c>
      <c r="C2085" s="71">
        <v>1</v>
      </c>
      <c r="D2085" s="71">
        <f t="shared" si="184"/>
        <v>6240</v>
      </c>
      <c r="E2085" s="71">
        <f t="shared" si="181"/>
        <v>6448</v>
      </c>
      <c r="F2085" s="71"/>
      <c r="G2085" s="71">
        <v>95904002</v>
      </c>
      <c r="H2085" s="71" t="s">
        <v>471</v>
      </c>
      <c r="I2085" s="71"/>
      <c r="J2085" s="71" t="s">
        <v>433</v>
      </c>
      <c r="K2085" s="71">
        <v>1</v>
      </c>
      <c r="L2085" s="71" t="s">
        <v>434</v>
      </c>
      <c r="M2085" s="71">
        <f t="shared" si="182"/>
        <v>208</v>
      </c>
      <c r="O2085" s="67">
        <f t="shared" si="183"/>
        <v>0.00219752355998817</v>
      </c>
    </row>
    <row r="2086" spans="1:15">
      <c r="A2086" s="71">
        <v>2084</v>
      </c>
      <c r="B2086" s="71">
        <v>11900</v>
      </c>
      <c r="C2086" s="71">
        <v>1</v>
      </c>
      <c r="D2086" s="71">
        <f t="shared" si="184"/>
        <v>6448</v>
      </c>
      <c r="E2086" s="71">
        <f t="shared" si="181"/>
        <v>6656</v>
      </c>
      <c r="F2086" s="71"/>
      <c r="G2086" s="71">
        <v>95904001</v>
      </c>
      <c r="H2086" s="71" t="s">
        <v>472</v>
      </c>
      <c r="I2086" s="71"/>
      <c r="J2086" s="71" t="s">
        <v>433</v>
      </c>
      <c r="K2086" s="71">
        <v>1</v>
      </c>
      <c r="L2086" s="71" t="s">
        <v>434</v>
      </c>
      <c r="M2086" s="71">
        <f t="shared" si="182"/>
        <v>208</v>
      </c>
      <c r="O2086" s="67">
        <f t="shared" si="183"/>
        <v>0.00219752355998817</v>
      </c>
    </row>
    <row r="2087" spans="1:15">
      <c r="A2087" s="71">
        <v>2085</v>
      </c>
      <c r="B2087" s="71">
        <v>11900</v>
      </c>
      <c r="C2087" s="71">
        <v>1</v>
      </c>
      <c r="D2087" s="71">
        <f t="shared" si="184"/>
        <v>6656</v>
      </c>
      <c r="E2087" s="71">
        <f t="shared" si="181"/>
        <v>6864</v>
      </c>
      <c r="F2087" s="71"/>
      <c r="G2087" s="71">
        <v>95905002</v>
      </c>
      <c r="H2087" s="71" t="s">
        <v>473</v>
      </c>
      <c r="I2087" s="71"/>
      <c r="J2087" s="71" t="s">
        <v>433</v>
      </c>
      <c r="K2087" s="71">
        <v>1</v>
      </c>
      <c r="L2087" s="71" t="s">
        <v>434</v>
      </c>
      <c r="M2087" s="71">
        <f t="shared" si="182"/>
        <v>208</v>
      </c>
      <c r="O2087" s="67">
        <f t="shared" si="183"/>
        <v>0.00219752355998817</v>
      </c>
    </row>
    <row r="2088" spans="1:15">
      <c r="A2088" s="71">
        <v>2086</v>
      </c>
      <c r="B2088" s="71">
        <v>11900</v>
      </c>
      <c r="C2088" s="71">
        <v>1</v>
      </c>
      <c r="D2088" s="71">
        <f t="shared" si="184"/>
        <v>6864</v>
      </c>
      <c r="E2088" s="71">
        <f t="shared" si="181"/>
        <v>7072</v>
      </c>
      <c r="F2088" s="71"/>
      <c r="G2088" s="71">
        <v>95905001</v>
      </c>
      <c r="H2088" s="71" t="s">
        <v>474</v>
      </c>
      <c r="I2088" s="71"/>
      <c r="J2088" s="71" t="s">
        <v>433</v>
      </c>
      <c r="K2088" s="71">
        <v>1</v>
      </c>
      <c r="L2088" s="71" t="s">
        <v>434</v>
      </c>
      <c r="M2088" s="71">
        <f t="shared" si="182"/>
        <v>208</v>
      </c>
      <c r="O2088" s="67">
        <f t="shared" si="183"/>
        <v>0.00219752355998817</v>
      </c>
    </row>
    <row r="2089" spans="1:15">
      <c r="A2089" s="71">
        <v>2087</v>
      </c>
      <c r="B2089" s="71">
        <v>11900</v>
      </c>
      <c r="C2089" s="71">
        <v>1</v>
      </c>
      <c r="D2089" s="71">
        <f t="shared" si="184"/>
        <v>7072</v>
      </c>
      <c r="E2089" s="71">
        <f t="shared" si="181"/>
        <v>7280</v>
      </c>
      <c r="F2089" s="71"/>
      <c r="G2089" s="71">
        <v>95906001</v>
      </c>
      <c r="H2089" s="71" t="s">
        <v>475</v>
      </c>
      <c r="I2089" s="71"/>
      <c r="J2089" s="71" t="s">
        <v>433</v>
      </c>
      <c r="K2089" s="71">
        <v>1</v>
      </c>
      <c r="L2089" s="71" t="s">
        <v>434</v>
      </c>
      <c r="M2089" s="71">
        <f t="shared" si="182"/>
        <v>208</v>
      </c>
      <c r="O2089" s="67">
        <f t="shared" si="183"/>
        <v>0.00219752355998817</v>
      </c>
    </row>
    <row r="2090" spans="1:15">
      <c r="A2090" s="71">
        <v>2088</v>
      </c>
      <c r="B2090" s="71">
        <v>11900</v>
      </c>
      <c r="C2090" s="71">
        <v>1</v>
      </c>
      <c r="D2090" s="71">
        <f t="shared" si="184"/>
        <v>7280</v>
      </c>
      <c r="E2090" s="71">
        <f t="shared" si="181"/>
        <v>7488</v>
      </c>
      <c r="F2090" s="71"/>
      <c r="G2090" s="71">
        <v>95906002</v>
      </c>
      <c r="H2090" s="71" t="s">
        <v>476</v>
      </c>
      <c r="I2090" s="71"/>
      <c r="J2090" s="71" t="s">
        <v>433</v>
      </c>
      <c r="K2090" s="71">
        <v>1</v>
      </c>
      <c r="L2090" s="71" t="s">
        <v>434</v>
      </c>
      <c r="M2090" s="71">
        <f t="shared" si="182"/>
        <v>208</v>
      </c>
      <c r="O2090" s="67">
        <f t="shared" si="183"/>
        <v>0.00219752355998817</v>
      </c>
    </row>
    <row r="2091" spans="1:15">
      <c r="A2091" s="71">
        <v>2089</v>
      </c>
      <c r="B2091" s="71">
        <v>11900</v>
      </c>
      <c r="C2091" s="71">
        <v>1</v>
      </c>
      <c r="D2091" s="71">
        <f t="shared" si="184"/>
        <v>7488</v>
      </c>
      <c r="E2091" s="71">
        <f t="shared" si="181"/>
        <v>7696</v>
      </c>
      <c r="F2091" s="71"/>
      <c r="G2091" s="71">
        <v>95909001</v>
      </c>
      <c r="H2091" s="71" t="s">
        <v>477</v>
      </c>
      <c r="I2091" s="71"/>
      <c r="J2091" s="71" t="s">
        <v>433</v>
      </c>
      <c r="K2091" s="71">
        <v>1</v>
      </c>
      <c r="L2091" s="71" t="s">
        <v>434</v>
      </c>
      <c r="M2091" s="71">
        <f t="shared" si="182"/>
        <v>208</v>
      </c>
      <c r="O2091" s="67">
        <f t="shared" si="183"/>
        <v>0.00219752355998817</v>
      </c>
    </row>
    <row r="2092" spans="1:15">
      <c r="A2092" s="71">
        <v>2090</v>
      </c>
      <c r="B2092" s="71">
        <v>11900</v>
      </c>
      <c r="C2092" s="71">
        <v>1</v>
      </c>
      <c r="D2092" s="71">
        <f t="shared" si="184"/>
        <v>7696</v>
      </c>
      <c r="E2092" s="71">
        <f t="shared" si="181"/>
        <v>7904</v>
      </c>
      <c r="F2092" s="71"/>
      <c r="G2092" s="71">
        <v>95909002</v>
      </c>
      <c r="H2092" s="71" t="s">
        <v>478</v>
      </c>
      <c r="I2092" s="71"/>
      <c r="J2092" s="71" t="s">
        <v>433</v>
      </c>
      <c r="K2092" s="71">
        <v>1</v>
      </c>
      <c r="L2092" s="71" t="s">
        <v>434</v>
      </c>
      <c r="M2092" s="71">
        <f t="shared" si="182"/>
        <v>208</v>
      </c>
      <c r="O2092" s="67">
        <f t="shared" si="183"/>
        <v>0.00219752355998817</v>
      </c>
    </row>
    <row r="2093" spans="1:15">
      <c r="A2093" s="71">
        <v>2091</v>
      </c>
      <c r="B2093" s="71">
        <v>11900</v>
      </c>
      <c r="C2093" s="71">
        <v>1</v>
      </c>
      <c r="D2093" s="71">
        <f t="shared" si="184"/>
        <v>7904</v>
      </c>
      <c r="E2093" s="71">
        <f t="shared" si="181"/>
        <v>8112</v>
      </c>
      <c r="F2093" s="71"/>
      <c r="G2093" s="71">
        <v>95910001</v>
      </c>
      <c r="H2093" s="71" t="s">
        <v>479</v>
      </c>
      <c r="I2093" s="71"/>
      <c r="J2093" s="71" t="s">
        <v>433</v>
      </c>
      <c r="K2093" s="71">
        <v>1</v>
      </c>
      <c r="L2093" s="71" t="s">
        <v>434</v>
      </c>
      <c r="M2093" s="71">
        <f t="shared" si="182"/>
        <v>208</v>
      </c>
      <c r="O2093" s="67">
        <f t="shared" si="183"/>
        <v>0.00219752355998817</v>
      </c>
    </row>
    <row r="2094" spans="1:15">
      <c r="A2094" s="71">
        <v>2092</v>
      </c>
      <c r="B2094" s="71">
        <v>11900</v>
      </c>
      <c r="C2094" s="71">
        <v>1</v>
      </c>
      <c r="D2094" s="71">
        <f t="shared" si="184"/>
        <v>8112</v>
      </c>
      <c r="E2094" s="71">
        <f t="shared" si="181"/>
        <v>8320</v>
      </c>
      <c r="F2094" s="71"/>
      <c r="G2094" s="71">
        <v>95910002</v>
      </c>
      <c r="H2094" s="71" t="s">
        <v>480</v>
      </c>
      <c r="I2094" s="71"/>
      <c r="J2094" s="71" t="s">
        <v>433</v>
      </c>
      <c r="K2094" s="71">
        <v>1</v>
      </c>
      <c r="L2094" s="71" t="s">
        <v>434</v>
      </c>
      <c r="M2094" s="71">
        <f t="shared" si="182"/>
        <v>208</v>
      </c>
      <c r="O2094" s="67">
        <f t="shared" si="183"/>
        <v>0.00219752355998817</v>
      </c>
    </row>
    <row r="2095" spans="1:15">
      <c r="A2095" s="71">
        <v>2093</v>
      </c>
      <c r="B2095" s="71">
        <v>11900</v>
      </c>
      <c r="C2095" s="71">
        <v>1</v>
      </c>
      <c r="D2095" s="71">
        <f t="shared" si="184"/>
        <v>8320</v>
      </c>
      <c r="E2095" s="71">
        <f t="shared" si="181"/>
        <v>8528</v>
      </c>
      <c r="F2095" s="71"/>
      <c r="G2095" s="71">
        <v>95911001</v>
      </c>
      <c r="H2095" s="71" t="s">
        <v>481</v>
      </c>
      <c r="I2095" s="71"/>
      <c r="J2095" s="71" t="s">
        <v>433</v>
      </c>
      <c r="K2095" s="71">
        <v>1</v>
      </c>
      <c r="L2095" s="71" t="s">
        <v>434</v>
      </c>
      <c r="M2095" s="71">
        <f t="shared" si="182"/>
        <v>208</v>
      </c>
      <c r="O2095" s="67">
        <f t="shared" si="183"/>
        <v>0.00219752355998817</v>
      </c>
    </row>
    <row r="2096" spans="1:15">
      <c r="A2096" s="71">
        <v>2094</v>
      </c>
      <c r="B2096" s="71">
        <v>11900</v>
      </c>
      <c r="C2096" s="71">
        <v>1</v>
      </c>
      <c r="D2096" s="71">
        <f t="shared" si="184"/>
        <v>8528</v>
      </c>
      <c r="E2096" s="71">
        <f t="shared" si="181"/>
        <v>8736</v>
      </c>
      <c r="F2096" s="71"/>
      <c r="G2096" s="71">
        <v>95911002</v>
      </c>
      <c r="H2096" s="71" t="s">
        <v>482</v>
      </c>
      <c r="I2096" s="71"/>
      <c r="J2096" s="71" t="s">
        <v>433</v>
      </c>
      <c r="K2096" s="71">
        <v>1</v>
      </c>
      <c r="L2096" s="71" t="s">
        <v>434</v>
      </c>
      <c r="M2096" s="71">
        <f t="shared" si="182"/>
        <v>208</v>
      </c>
      <c r="O2096" s="67">
        <f t="shared" si="183"/>
        <v>0.00219752355998817</v>
      </c>
    </row>
    <row r="2097" spans="1:15">
      <c r="A2097" s="71">
        <v>2095</v>
      </c>
      <c r="B2097" s="71">
        <v>11900</v>
      </c>
      <c r="C2097" s="71">
        <v>1</v>
      </c>
      <c r="D2097" s="71">
        <f t="shared" si="184"/>
        <v>8736</v>
      </c>
      <c r="E2097" s="71">
        <f t="shared" si="181"/>
        <v>8944</v>
      </c>
      <c r="F2097" s="71"/>
      <c r="G2097" s="71">
        <v>95912001</v>
      </c>
      <c r="H2097" s="71" t="s">
        <v>483</v>
      </c>
      <c r="I2097" s="71"/>
      <c r="J2097" s="71" t="s">
        <v>433</v>
      </c>
      <c r="K2097" s="71">
        <v>1</v>
      </c>
      <c r="L2097" s="71" t="s">
        <v>434</v>
      </c>
      <c r="M2097" s="71">
        <f t="shared" si="182"/>
        <v>208</v>
      </c>
      <c r="O2097" s="67">
        <f t="shared" si="183"/>
        <v>0.00219752355998817</v>
      </c>
    </row>
    <row r="2098" spans="1:15">
      <c r="A2098" s="71">
        <v>2096</v>
      </c>
      <c r="B2098" s="71">
        <v>11900</v>
      </c>
      <c r="C2098" s="71">
        <v>1</v>
      </c>
      <c r="D2098" s="71">
        <f t="shared" si="184"/>
        <v>8944</v>
      </c>
      <c r="E2098" s="71">
        <f t="shared" si="181"/>
        <v>9152</v>
      </c>
      <c r="F2098" s="71"/>
      <c r="G2098" s="71">
        <v>95912002</v>
      </c>
      <c r="H2098" s="71" t="s">
        <v>484</v>
      </c>
      <c r="I2098" s="71"/>
      <c r="J2098" s="71" t="s">
        <v>433</v>
      </c>
      <c r="K2098" s="71">
        <v>1</v>
      </c>
      <c r="L2098" s="71" t="s">
        <v>434</v>
      </c>
      <c r="M2098" s="71">
        <f t="shared" si="182"/>
        <v>208</v>
      </c>
      <c r="O2098" s="67">
        <f t="shared" si="183"/>
        <v>0.00219752355998817</v>
      </c>
    </row>
    <row r="2099" spans="1:15">
      <c r="A2099" s="71">
        <v>2097</v>
      </c>
      <c r="B2099" s="71">
        <v>11900</v>
      </c>
      <c r="C2099" s="71">
        <v>1</v>
      </c>
      <c r="D2099" s="71">
        <f t="shared" si="184"/>
        <v>9152</v>
      </c>
      <c r="E2099" s="71">
        <f t="shared" si="181"/>
        <v>9360</v>
      </c>
      <c r="F2099" s="71"/>
      <c r="G2099" s="71">
        <v>95914001</v>
      </c>
      <c r="H2099" s="71" t="s">
        <v>485</v>
      </c>
      <c r="I2099" s="71"/>
      <c r="J2099" s="71" t="s">
        <v>433</v>
      </c>
      <c r="K2099" s="71">
        <v>1</v>
      </c>
      <c r="L2099" s="71" t="s">
        <v>434</v>
      </c>
      <c r="M2099" s="71">
        <f t="shared" si="182"/>
        <v>208</v>
      </c>
      <c r="O2099" s="67">
        <f t="shared" si="183"/>
        <v>0.00219752355998817</v>
      </c>
    </row>
    <row r="2100" spans="1:15">
      <c r="A2100" s="71">
        <v>2098</v>
      </c>
      <c r="B2100" s="71">
        <v>11900</v>
      </c>
      <c r="C2100" s="71">
        <v>1</v>
      </c>
      <c r="D2100" s="71">
        <f t="shared" si="184"/>
        <v>9360</v>
      </c>
      <c r="E2100" s="71">
        <f t="shared" si="181"/>
        <v>9568</v>
      </c>
      <c r="F2100" s="71"/>
      <c r="G2100" s="71">
        <v>95914002</v>
      </c>
      <c r="H2100" s="71" t="s">
        <v>486</v>
      </c>
      <c r="I2100" s="71"/>
      <c r="J2100" s="71" t="s">
        <v>433</v>
      </c>
      <c r="K2100" s="71">
        <v>1</v>
      </c>
      <c r="L2100" s="71" t="s">
        <v>434</v>
      </c>
      <c r="M2100" s="71">
        <f t="shared" si="182"/>
        <v>208</v>
      </c>
      <c r="O2100" s="67">
        <f t="shared" si="183"/>
        <v>0.00219752355998817</v>
      </c>
    </row>
    <row r="2101" spans="1:15">
      <c r="A2101" s="71">
        <v>2099</v>
      </c>
      <c r="B2101" s="71">
        <v>11900</v>
      </c>
      <c r="C2101" s="71">
        <v>1</v>
      </c>
      <c r="D2101" s="71">
        <f t="shared" si="184"/>
        <v>9568</v>
      </c>
      <c r="E2101" s="71">
        <f t="shared" si="181"/>
        <v>9776</v>
      </c>
      <c r="F2101" s="71"/>
      <c r="G2101" s="71">
        <v>95915001</v>
      </c>
      <c r="H2101" s="71" t="s">
        <v>487</v>
      </c>
      <c r="I2101" s="71"/>
      <c r="J2101" s="71" t="s">
        <v>433</v>
      </c>
      <c r="K2101" s="71">
        <v>1</v>
      </c>
      <c r="L2101" s="71" t="s">
        <v>434</v>
      </c>
      <c r="M2101" s="71">
        <f t="shared" si="182"/>
        <v>208</v>
      </c>
      <c r="O2101" s="67">
        <f t="shared" si="183"/>
        <v>0.00219752355998817</v>
      </c>
    </row>
    <row r="2102" spans="1:15">
      <c r="A2102" s="71">
        <v>2100</v>
      </c>
      <c r="B2102" s="71">
        <v>11900</v>
      </c>
      <c r="C2102" s="71">
        <v>1</v>
      </c>
      <c r="D2102" s="71">
        <f t="shared" si="184"/>
        <v>9776</v>
      </c>
      <c r="E2102" s="71">
        <f t="shared" si="181"/>
        <v>9984</v>
      </c>
      <c r="F2102" s="71"/>
      <c r="G2102" s="71">
        <v>95915002</v>
      </c>
      <c r="H2102" s="71" t="s">
        <v>488</v>
      </c>
      <c r="I2102" s="71"/>
      <c r="J2102" s="71" t="s">
        <v>433</v>
      </c>
      <c r="K2102" s="71">
        <v>1</v>
      </c>
      <c r="L2102" s="71" t="s">
        <v>434</v>
      </c>
      <c r="M2102" s="71">
        <f t="shared" si="182"/>
        <v>208</v>
      </c>
      <c r="O2102" s="67">
        <f t="shared" si="183"/>
        <v>0.00219752355998817</v>
      </c>
    </row>
    <row r="2103" spans="1:15">
      <c r="A2103" s="71">
        <v>2101</v>
      </c>
      <c r="B2103" s="71">
        <v>11900</v>
      </c>
      <c r="C2103" s="71">
        <v>6</v>
      </c>
      <c r="D2103" s="71">
        <f t="shared" si="184"/>
        <v>9984</v>
      </c>
      <c r="E2103" s="71">
        <f t="shared" si="181"/>
        <v>10234</v>
      </c>
      <c r="F2103" s="71"/>
      <c r="G2103" s="71">
        <v>95101018</v>
      </c>
      <c r="H2103" s="71" t="s">
        <v>489</v>
      </c>
      <c r="I2103" s="71"/>
      <c r="J2103" s="71" t="s">
        <v>200</v>
      </c>
      <c r="K2103" s="71">
        <v>1</v>
      </c>
      <c r="L2103" s="71" t="s">
        <v>434</v>
      </c>
      <c r="M2103" s="71">
        <f t="shared" si="182"/>
        <v>250</v>
      </c>
      <c r="O2103" s="67">
        <f t="shared" si="183"/>
        <v>0.00264125427883193</v>
      </c>
    </row>
    <row r="2104" spans="1:15">
      <c r="A2104" s="71">
        <v>2102</v>
      </c>
      <c r="B2104" s="71">
        <v>11900</v>
      </c>
      <c r="C2104" s="71">
        <v>6</v>
      </c>
      <c r="D2104" s="71">
        <f t="shared" si="184"/>
        <v>10234</v>
      </c>
      <c r="E2104" s="71">
        <f t="shared" si="181"/>
        <v>10484</v>
      </c>
      <c r="F2104" s="71"/>
      <c r="G2104" s="71">
        <v>95101028</v>
      </c>
      <c r="H2104" s="71" t="s">
        <v>490</v>
      </c>
      <c r="I2104" s="71"/>
      <c r="J2104" s="71" t="s">
        <v>200</v>
      </c>
      <c r="K2104" s="71">
        <v>1</v>
      </c>
      <c r="L2104" s="71" t="s">
        <v>434</v>
      </c>
      <c r="M2104" s="71">
        <f t="shared" si="182"/>
        <v>250</v>
      </c>
      <c r="O2104" s="67">
        <f t="shared" si="183"/>
        <v>0.00264125427883193</v>
      </c>
    </row>
    <row r="2105" spans="1:15">
      <c r="A2105" s="71">
        <v>2103</v>
      </c>
      <c r="B2105" s="71">
        <v>11900</v>
      </c>
      <c r="C2105" s="71">
        <v>6</v>
      </c>
      <c r="D2105" s="71">
        <f t="shared" si="184"/>
        <v>10484</v>
      </c>
      <c r="E2105" s="71">
        <f t="shared" si="181"/>
        <v>10734</v>
      </c>
      <c r="F2105" s="71"/>
      <c r="G2105" s="71">
        <v>95102018</v>
      </c>
      <c r="H2105" s="71" t="s">
        <v>491</v>
      </c>
      <c r="I2105" s="71"/>
      <c r="J2105" s="71" t="s">
        <v>200</v>
      </c>
      <c r="K2105" s="71">
        <v>1</v>
      </c>
      <c r="L2105" s="71" t="s">
        <v>434</v>
      </c>
      <c r="M2105" s="71">
        <f t="shared" si="182"/>
        <v>250</v>
      </c>
      <c r="O2105" s="67">
        <f t="shared" si="183"/>
        <v>0.00264125427883193</v>
      </c>
    </row>
    <row r="2106" spans="1:15">
      <c r="A2106" s="71">
        <v>2104</v>
      </c>
      <c r="B2106" s="71">
        <v>11900</v>
      </c>
      <c r="C2106" s="71">
        <v>6</v>
      </c>
      <c r="D2106" s="71">
        <f t="shared" si="184"/>
        <v>10734</v>
      </c>
      <c r="E2106" s="71">
        <f t="shared" si="181"/>
        <v>10984</v>
      </c>
      <c r="F2106" s="71"/>
      <c r="G2106" s="71">
        <v>95102028</v>
      </c>
      <c r="H2106" s="71" t="s">
        <v>492</v>
      </c>
      <c r="I2106" s="71"/>
      <c r="J2106" s="71" t="s">
        <v>200</v>
      </c>
      <c r="K2106" s="71">
        <v>1</v>
      </c>
      <c r="L2106" s="71" t="s">
        <v>434</v>
      </c>
      <c r="M2106" s="71">
        <f t="shared" si="182"/>
        <v>250</v>
      </c>
      <c r="O2106" s="67">
        <f t="shared" si="183"/>
        <v>0.00264125427883193</v>
      </c>
    </row>
    <row r="2107" spans="1:15">
      <c r="A2107" s="71">
        <v>2105</v>
      </c>
      <c r="B2107" s="71">
        <v>11900</v>
      </c>
      <c r="C2107" s="71">
        <v>6</v>
      </c>
      <c r="D2107" s="71">
        <f t="shared" si="184"/>
        <v>10984</v>
      </c>
      <c r="E2107" s="71">
        <f t="shared" si="181"/>
        <v>11234</v>
      </c>
      <c r="F2107" s="71"/>
      <c r="G2107" s="71">
        <v>95103018</v>
      </c>
      <c r="H2107" s="71" t="s">
        <v>493</v>
      </c>
      <c r="I2107" s="71"/>
      <c r="J2107" s="71" t="s">
        <v>200</v>
      </c>
      <c r="K2107" s="71">
        <v>1</v>
      </c>
      <c r="L2107" s="71" t="s">
        <v>434</v>
      </c>
      <c r="M2107" s="71">
        <f t="shared" si="182"/>
        <v>250</v>
      </c>
      <c r="O2107" s="67">
        <f t="shared" si="183"/>
        <v>0.00264125427883193</v>
      </c>
    </row>
    <row r="2108" spans="1:15">
      <c r="A2108" s="71">
        <v>2106</v>
      </c>
      <c r="B2108" s="71">
        <v>11900</v>
      </c>
      <c r="C2108" s="71">
        <v>6</v>
      </c>
      <c r="D2108" s="71">
        <f t="shared" si="184"/>
        <v>11234</v>
      </c>
      <c r="E2108" s="71">
        <f t="shared" si="181"/>
        <v>11484</v>
      </c>
      <c r="F2108" s="71"/>
      <c r="G2108" s="71">
        <v>95104018</v>
      </c>
      <c r="H2108" s="71" t="s">
        <v>494</v>
      </c>
      <c r="I2108" s="71"/>
      <c r="J2108" s="71" t="s">
        <v>200</v>
      </c>
      <c r="K2108" s="71">
        <v>1</v>
      </c>
      <c r="L2108" s="71" t="s">
        <v>434</v>
      </c>
      <c r="M2108" s="71">
        <f t="shared" si="182"/>
        <v>250</v>
      </c>
      <c r="O2108" s="67">
        <f t="shared" si="183"/>
        <v>0.00264125427883193</v>
      </c>
    </row>
    <row r="2109" spans="1:15">
      <c r="A2109" s="71">
        <v>2107</v>
      </c>
      <c r="B2109" s="71">
        <v>11900</v>
      </c>
      <c r="C2109" s="71">
        <v>6</v>
      </c>
      <c r="D2109" s="71">
        <f t="shared" si="184"/>
        <v>11484</v>
      </c>
      <c r="E2109" s="71">
        <f t="shared" si="181"/>
        <v>11734</v>
      </c>
      <c r="F2109" s="71"/>
      <c r="G2109" s="71">
        <v>95104028</v>
      </c>
      <c r="H2109" s="71" t="s">
        <v>495</v>
      </c>
      <c r="I2109" s="71"/>
      <c r="J2109" s="71" t="s">
        <v>200</v>
      </c>
      <c r="K2109" s="71">
        <v>1</v>
      </c>
      <c r="L2109" s="71" t="s">
        <v>434</v>
      </c>
      <c r="M2109" s="71">
        <f t="shared" si="182"/>
        <v>250</v>
      </c>
      <c r="O2109" s="67">
        <f t="shared" si="183"/>
        <v>0.00264125427883193</v>
      </c>
    </row>
    <row r="2110" spans="1:15">
      <c r="A2110" s="71">
        <v>2108</v>
      </c>
      <c r="B2110" s="71">
        <v>11900</v>
      </c>
      <c r="C2110" s="71">
        <v>6</v>
      </c>
      <c r="D2110" s="71">
        <f t="shared" si="184"/>
        <v>11734</v>
      </c>
      <c r="E2110" s="71">
        <f t="shared" si="181"/>
        <v>11984</v>
      </c>
      <c r="F2110" s="71"/>
      <c r="G2110" s="71">
        <v>95104038</v>
      </c>
      <c r="H2110" s="71" t="s">
        <v>496</v>
      </c>
      <c r="I2110" s="71"/>
      <c r="J2110" s="71" t="s">
        <v>200</v>
      </c>
      <c r="K2110" s="71">
        <v>1</v>
      </c>
      <c r="L2110" s="71" t="s">
        <v>434</v>
      </c>
      <c r="M2110" s="71">
        <f t="shared" si="182"/>
        <v>250</v>
      </c>
      <c r="O2110" s="67">
        <f t="shared" si="183"/>
        <v>0.00264125427883193</v>
      </c>
    </row>
    <row r="2111" spans="1:15">
      <c r="A2111" s="71">
        <v>2109</v>
      </c>
      <c r="B2111" s="71">
        <v>11900</v>
      </c>
      <c r="C2111" s="71">
        <v>6</v>
      </c>
      <c r="D2111" s="71">
        <f t="shared" si="184"/>
        <v>11984</v>
      </c>
      <c r="E2111" s="71">
        <f t="shared" si="181"/>
        <v>12234</v>
      </c>
      <c r="F2111" s="71"/>
      <c r="G2111" s="71">
        <v>95106018</v>
      </c>
      <c r="H2111" s="71" t="s">
        <v>497</v>
      </c>
      <c r="I2111" s="71"/>
      <c r="J2111" s="71" t="s">
        <v>200</v>
      </c>
      <c r="K2111" s="71">
        <v>1</v>
      </c>
      <c r="L2111" s="71" t="s">
        <v>434</v>
      </c>
      <c r="M2111" s="71">
        <f t="shared" si="182"/>
        <v>250</v>
      </c>
      <c r="O2111" s="67">
        <f t="shared" si="183"/>
        <v>0.00264125427883193</v>
      </c>
    </row>
    <row r="2112" spans="1:15">
      <c r="A2112" s="71">
        <v>2110</v>
      </c>
      <c r="B2112" s="71">
        <v>11900</v>
      </c>
      <c r="C2112" s="71">
        <v>6</v>
      </c>
      <c r="D2112" s="71">
        <f t="shared" si="184"/>
        <v>12234</v>
      </c>
      <c r="E2112" s="71">
        <f t="shared" si="181"/>
        <v>12484</v>
      </c>
      <c r="F2112" s="71"/>
      <c r="G2112" s="71">
        <v>95109018</v>
      </c>
      <c r="H2112" s="71" t="s">
        <v>498</v>
      </c>
      <c r="I2112" s="71"/>
      <c r="J2112" s="71" t="s">
        <v>200</v>
      </c>
      <c r="K2112" s="71">
        <v>1</v>
      </c>
      <c r="L2112" s="71" t="s">
        <v>434</v>
      </c>
      <c r="M2112" s="71">
        <f t="shared" si="182"/>
        <v>250</v>
      </c>
      <c r="O2112" s="67">
        <f t="shared" si="183"/>
        <v>0.00264125427883193</v>
      </c>
    </row>
    <row r="2113" spans="1:15">
      <c r="A2113" s="71">
        <v>2111</v>
      </c>
      <c r="B2113" s="71">
        <v>11900</v>
      </c>
      <c r="C2113" s="71">
        <v>6</v>
      </c>
      <c r="D2113" s="71">
        <f t="shared" si="184"/>
        <v>12484</v>
      </c>
      <c r="E2113" s="71">
        <f t="shared" si="181"/>
        <v>12734</v>
      </c>
      <c r="F2113" s="71"/>
      <c r="G2113" s="71">
        <v>95110018</v>
      </c>
      <c r="H2113" s="71" t="s">
        <v>499</v>
      </c>
      <c r="I2113" s="71"/>
      <c r="J2113" s="71" t="s">
        <v>200</v>
      </c>
      <c r="K2113" s="71">
        <v>1</v>
      </c>
      <c r="L2113" s="71" t="s">
        <v>434</v>
      </c>
      <c r="M2113" s="71">
        <f t="shared" si="182"/>
        <v>250</v>
      </c>
      <c r="O2113" s="67">
        <f t="shared" si="183"/>
        <v>0.00264125427883193</v>
      </c>
    </row>
    <row r="2114" spans="1:15">
      <c r="A2114" s="71">
        <v>2112</v>
      </c>
      <c r="B2114" s="71">
        <v>11900</v>
      </c>
      <c r="C2114" s="71">
        <v>6</v>
      </c>
      <c r="D2114" s="71">
        <f t="shared" si="184"/>
        <v>12734</v>
      </c>
      <c r="E2114" s="71">
        <f t="shared" si="181"/>
        <v>12984</v>
      </c>
      <c r="F2114" s="71"/>
      <c r="G2114" s="71">
        <v>95111018</v>
      </c>
      <c r="H2114" s="71" t="s">
        <v>500</v>
      </c>
      <c r="I2114" s="71"/>
      <c r="J2114" s="71" t="s">
        <v>200</v>
      </c>
      <c r="K2114" s="71">
        <v>1</v>
      </c>
      <c r="L2114" s="71" t="s">
        <v>434</v>
      </c>
      <c r="M2114" s="71">
        <f t="shared" si="182"/>
        <v>250</v>
      </c>
      <c r="O2114" s="67">
        <f t="shared" si="183"/>
        <v>0.00264125427883193</v>
      </c>
    </row>
    <row r="2115" spans="1:15">
      <c r="A2115" s="71">
        <v>2113</v>
      </c>
      <c r="B2115" s="71">
        <v>11900</v>
      </c>
      <c r="C2115" s="71">
        <v>6</v>
      </c>
      <c r="D2115" s="71">
        <f t="shared" si="184"/>
        <v>12984</v>
      </c>
      <c r="E2115" s="71">
        <f t="shared" si="181"/>
        <v>13234</v>
      </c>
      <c r="F2115" s="71"/>
      <c r="G2115" s="71">
        <v>95120018</v>
      </c>
      <c r="H2115" s="71" t="s">
        <v>501</v>
      </c>
      <c r="I2115" s="71"/>
      <c r="J2115" s="71" t="s">
        <v>200</v>
      </c>
      <c r="K2115" s="71">
        <v>1</v>
      </c>
      <c r="L2115" s="71" t="s">
        <v>434</v>
      </c>
      <c r="M2115" s="71">
        <f t="shared" si="182"/>
        <v>250</v>
      </c>
      <c r="O2115" s="67">
        <f t="shared" si="183"/>
        <v>0.00264125427883193</v>
      </c>
    </row>
    <row r="2116" spans="1:15">
      <c r="A2116" s="71">
        <v>2114</v>
      </c>
      <c r="B2116" s="71">
        <v>11900</v>
      </c>
      <c r="C2116" s="71">
        <v>6</v>
      </c>
      <c r="D2116" s="71">
        <f t="shared" si="184"/>
        <v>13234</v>
      </c>
      <c r="E2116" s="71">
        <f t="shared" si="181"/>
        <v>13484</v>
      </c>
      <c r="F2116" s="71"/>
      <c r="G2116" s="71">
        <v>95140018</v>
      </c>
      <c r="H2116" s="71" t="s">
        <v>502</v>
      </c>
      <c r="I2116" s="71"/>
      <c r="J2116" s="71" t="s">
        <v>200</v>
      </c>
      <c r="K2116" s="71">
        <v>1</v>
      </c>
      <c r="L2116" s="71" t="s">
        <v>434</v>
      </c>
      <c r="M2116" s="71">
        <f t="shared" si="182"/>
        <v>250</v>
      </c>
      <c r="O2116" s="67">
        <f t="shared" si="183"/>
        <v>0.00264125427883193</v>
      </c>
    </row>
    <row r="2117" spans="1:15">
      <c r="A2117" s="71">
        <v>2115</v>
      </c>
      <c r="B2117" s="71">
        <v>11900</v>
      </c>
      <c r="C2117" s="71">
        <v>6</v>
      </c>
      <c r="D2117" s="71">
        <f t="shared" si="184"/>
        <v>13484</v>
      </c>
      <c r="E2117" s="71">
        <f t="shared" si="181"/>
        <v>13734</v>
      </c>
      <c r="F2117" s="71"/>
      <c r="G2117" s="71">
        <v>95105028</v>
      </c>
      <c r="H2117" s="71" t="s">
        <v>503</v>
      </c>
      <c r="I2117" s="71"/>
      <c r="J2117" s="71" t="s">
        <v>200</v>
      </c>
      <c r="K2117" s="71">
        <v>1</v>
      </c>
      <c r="L2117" s="71" t="s">
        <v>434</v>
      </c>
      <c r="M2117" s="71">
        <f t="shared" si="182"/>
        <v>250</v>
      </c>
      <c r="O2117" s="67">
        <f t="shared" si="183"/>
        <v>0.00264125427883193</v>
      </c>
    </row>
    <row r="2118" spans="1:15">
      <c r="A2118" s="71">
        <v>2116</v>
      </c>
      <c r="B2118" s="71">
        <v>11900</v>
      </c>
      <c r="C2118" s="71">
        <v>6</v>
      </c>
      <c r="D2118" s="71">
        <f t="shared" si="184"/>
        <v>13734</v>
      </c>
      <c r="E2118" s="71">
        <f t="shared" si="181"/>
        <v>13984</v>
      </c>
      <c r="F2118" s="71"/>
      <c r="G2118" s="71">
        <v>95109028</v>
      </c>
      <c r="H2118" s="71" t="s">
        <v>504</v>
      </c>
      <c r="I2118" s="71"/>
      <c r="J2118" s="71" t="s">
        <v>200</v>
      </c>
      <c r="K2118" s="71">
        <v>1</v>
      </c>
      <c r="L2118" s="71" t="s">
        <v>434</v>
      </c>
      <c r="M2118" s="71">
        <f t="shared" si="182"/>
        <v>250</v>
      </c>
      <c r="O2118" s="67">
        <f t="shared" si="183"/>
        <v>0.00264125427883193</v>
      </c>
    </row>
    <row r="2119" spans="1:15">
      <c r="A2119" s="71">
        <v>2117</v>
      </c>
      <c r="B2119" s="71">
        <v>11900</v>
      </c>
      <c r="C2119" s="71">
        <v>6</v>
      </c>
      <c r="D2119" s="71">
        <f t="shared" si="184"/>
        <v>13984</v>
      </c>
      <c r="E2119" s="71">
        <f t="shared" ref="E2119:E2182" si="187">D2119+M2119</f>
        <v>14234</v>
      </c>
      <c r="F2119" s="71"/>
      <c r="G2119" s="71">
        <v>95110028</v>
      </c>
      <c r="H2119" s="71" t="s">
        <v>505</v>
      </c>
      <c r="I2119" s="71"/>
      <c r="J2119" s="71" t="s">
        <v>200</v>
      </c>
      <c r="K2119" s="71">
        <v>1</v>
      </c>
      <c r="L2119" s="71" t="s">
        <v>434</v>
      </c>
      <c r="M2119" s="71">
        <f t="shared" ref="M2119:M2182" si="188">ROUNDDOWN(VLOOKUP(J2119,$S$2059:$V$2065,4,0)*1000,0)</f>
        <v>250</v>
      </c>
      <c r="O2119" s="67">
        <f t="shared" ref="O2119:O2182" si="189">(E2119-D2119)/$E$2280</f>
        <v>0.00264125427883193</v>
      </c>
    </row>
    <row r="2120" spans="1:15">
      <c r="A2120" s="71">
        <v>2118</v>
      </c>
      <c r="B2120" s="71">
        <v>11900</v>
      </c>
      <c r="C2120" s="71">
        <v>6</v>
      </c>
      <c r="D2120" s="71">
        <f t="shared" ref="D2120:D2183" si="190">E2119</f>
        <v>14234</v>
      </c>
      <c r="E2120" s="71">
        <f t="shared" si="187"/>
        <v>14484</v>
      </c>
      <c r="F2120" s="71"/>
      <c r="G2120" s="71">
        <v>95150028</v>
      </c>
      <c r="H2120" s="71" t="s">
        <v>506</v>
      </c>
      <c r="I2120" s="71"/>
      <c r="J2120" s="71" t="s">
        <v>200</v>
      </c>
      <c r="K2120" s="71">
        <v>1</v>
      </c>
      <c r="L2120" s="71" t="s">
        <v>434</v>
      </c>
      <c r="M2120" s="71">
        <f t="shared" si="188"/>
        <v>250</v>
      </c>
      <c r="O2120" s="67">
        <f t="shared" si="189"/>
        <v>0.00264125427883193</v>
      </c>
    </row>
    <row r="2121" spans="1:15">
      <c r="A2121" s="71">
        <v>2119</v>
      </c>
      <c r="B2121" s="71">
        <v>11900</v>
      </c>
      <c r="C2121" s="71">
        <v>6</v>
      </c>
      <c r="D2121" s="71">
        <f t="shared" si="190"/>
        <v>14484</v>
      </c>
      <c r="E2121" s="71">
        <f t="shared" si="187"/>
        <v>14734</v>
      </c>
      <c r="F2121" s="71"/>
      <c r="G2121" s="71">
        <v>95201038</v>
      </c>
      <c r="H2121" s="71" t="s">
        <v>507</v>
      </c>
      <c r="I2121" s="71"/>
      <c r="J2121" s="71" t="s">
        <v>200</v>
      </c>
      <c r="K2121" s="71">
        <v>1</v>
      </c>
      <c r="L2121" s="71" t="s">
        <v>434</v>
      </c>
      <c r="M2121" s="71">
        <f t="shared" si="188"/>
        <v>250</v>
      </c>
      <c r="O2121" s="67">
        <f t="shared" si="189"/>
        <v>0.00264125427883193</v>
      </c>
    </row>
    <row r="2122" spans="1:15">
      <c r="A2122" s="71">
        <v>2120</v>
      </c>
      <c r="B2122" s="71">
        <v>11900</v>
      </c>
      <c r="C2122" s="71">
        <v>6</v>
      </c>
      <c r="D2122" s="71">
        <f t="shared" si="190"/>
        <v>14734</v>
      </c>
      <c r="E2122" s="71">
        <f t="shared" si="187"/>
        <v>14984</v>
      </c>
      <c r="F2122" s="71"/>
      <c r="G2122" s="71">
        <v>95201118</v>
      </c>
      <c r="H2122" s="71" t="s">
        <v>508</v>
      </c>
      <c r="I2122" s="71"/>
      <c r="J2122" s="71" t="s">
        <v>200</v>
      </c>
      <c r="K2122" s="71">
        <v>1</v>
      </c>
      <c r="L2122" s="71" t="s">
        <v>434</v>
      </c>
      <c r="M2122" s="71">
        <f t="shared" si="188"/>
        <v>250</v>
      </c>
      <c r="O2122" s="67">
        <f t="shared" si="189"/>
        <v>0.00264125427883193</v>
      </c>
    </row>
    <row r="2123" spans="1:15">
      <c r="A2123" s="71">
        <v>2121</v>
      </c>
      <c r="B2123" s="71">
        <v>11900</v>
      </c>
      <c r="C2123" s="71">
        <v>6</v>
      </c>
      <c r="D2123" s="71">
        <f t="shared" si="190"/>
        <v>14984</v>
      </c>
      <c r="E2123" s="71">
        <f t="shared" si="187"/>
        <v>15234</v>
      </c>
      <c r="F2123" s="71"/>
      <c r="G2123" s="71">
        <v>95201158</v>
      </c>
      <c r="H2123" s="71" t="s">
        <v>509</v>
      </c>
      <c r="I2123" s="71"/>
      <c r="J2123" s="71" t="s">
        <v>200</v>
      </c>
      <c r="K2123" s="71">
        <v>1</v>
      </c>
      <c r="L2123" s="71" t="s">
        <v>434</v>
      </c>
      <c r="M2123" s="71">
        <f t="shared" si="188"/>
        <v>250</v>
      </c>
      <c r="O2123" s="67">
        <f t="shared" si="189"/>
        <v>0.00264125427883193</v>
      </c>
    </row>
    <row r="2124" spans="1:15">
      <c r="A2124" s="71">
        <v>2122</v>
      </c>
      <c r="B2124" s="71">
        <v>11900</v>
      </c>
      <c r="C2124" s="71">
        <v>6</v>
      </c>
      <c r="D2124" s="71">
        <f t="shared" si="190"/>
        <v>15234</v>
      </c>
      <c r="E2124" s="71">
        <f t="shared" si="187"/>
        <v>15484</v>
      </c>
      <c r="F2124" s="71"/>
      <c r="G2124" s="71">
        <v>95201168</v>
      </c>
      <c r="H2124" s="71" t="s">
        <v>510</v>
      </c>
      <c r="I2124" s="71"/>
      <c r="J2124" s="71" t="s">
        <v>200</v>
      </c>
      <c r="K2124" s="71">
        <v>1</v>
      </c>
      <c r="L2124" s="71" t="s">
        <v>434</v>
      </c>
      <c r="M2124" s="71">
        <f t="shared" si="188"/>
        <v>250</v>
      </c>
      <c r="O2124" s="67">
        <f t="shared" si="189"/>
        <v>0.00264125427883193</v>
      </c>
    </row>
    <row r="2125" spans="1:15">
      <c r="A2125" s="71">
        <v>2123</v>
      </c>
      <c r="B2125" s="71">
        <v>11900</v>
      </c>
      <c r="C2125" s="71">
        <v>6</v>
      </c>
      <c r="D2125" s="71">
        <f t="shared" si="190"/>
        <v>15484</v>
      </c>
      <c r="E2125" s="71">
        <f t="shared" si="187"/>
        <v>15734</v>
      </c>
      <c r="F2125" s="71"/>
      <c r="G2125" s="71">
        <v>95201188</v>
      </c>
      <c r="H2125" s="71" t="s">
        <v>511</v>
      </c>
      <c r="I2125" s="71"/>
      <c r="J2125" s="71" t="s">
        <v>200</v>
      </c>
      <c r="K2125" s="71">
        <v>1</v>
      </c>
      <c r="L2125" s="71" t="s">
        <v>434</v>
      </c>
      <c r="M2125" s="71">
        <f t="shared" si="188"/>
        <v>250</v>
      </c>
      <c r="O2125" s="67">
        <f t="shared" si="189"/>
        <v>0.00264125427883193</v>
      </c>
    </row>
    <row r="2126" spans="1:15">
      <c r="A2126" s="71">
        <v>2124</v>
      </c>
      <c r="B2126" s="71">
        <v>11900</v>
      </c>
      <c r="C2126" s="71">
        <v>6</v>
      </c>
      <c r="D2126" s="71">
        <f t="shared" si="190"/>
        <v>15734</v>
      </c>
      <c r="E2126" s="71">
        <f t="shared" si="187"/>
        <v>15984</v>
      </c>
      <c r="F2126" s="71"/>
      <c r="G2126" s="71">
        <v>95301028</v>
      </c>
      <c r="H2126" s="71" t="s">
        <v>512</v>
      </c>
      <c r="I2126" s="71"/>
      <c r="J2126" s="71" t="s">
        <v>200</v>
      </c>
      <c r="K2126" s="71">
        <v>1</v>
      </c>
      <c r="L2126" s="71" t="s">
        <v>434</v>
      </c>
      <c r="M2126" s="71">
        <f t="shared" si="188"/>
        <v>250</v>
      </c>
      <c r="O2126" s="67">
        <f t="shared" si="189"/>
        <v>0.00264125427883193</v>
      </c>
    </row>
    <row r="2127" spans="1:15">
      <c r="A2127" s="71">
        <v>2125</v>
      </c>
      <c r="B2127" s="71">
        <v>11900</v>
      </c>
      <c r="C2127" s="71">
        <v>6</v>
      </c>
      <c r="D2127" s="71">
        <f t="shared" si="190"/>
        <v>15984</v>
      </c>
      <c r="E2127" s="71">
        <f t="shared" si="187"/>
        <v>16234</v>
      </c>
      <c r="F2127" s="71"/>
      <c r="G2127" s="71">
        <v>95301048</v>
      </c>
      <c r="H2127" s="71" t="s">
        <v>513</v>
      </c>
      <c r="I2127" s="71"/>
      <c r="J2127" s="71" t="s">
        <v>200</v>
      </c>
      <c r="K2127" s="71">
        <v>1</v>
      </c>
      <c r="L2127" s="71" t="s">
        <v>434</v>
      </c>
      <c r="M2127" s="71">
        <f t="shared" si="188"/>
        <v>250</v>
      </c>
      <c r="O2127" s="67">
        <f t="shared" si="189"/>
        <v>0.00264125427883193</v>
      </c>
    </row>
    <row r="2128" spans="1:15">
      <c r="A2128" s="71">
        <v>2126</v>
      </c>
      <c r="B2128" s="71">
        <v>11900</v>
      </c>
      <c r="C2128" s="71">
        <v>6</v>
      </c>
      <c r="D2128" s="71">
        <f t="shared" si="190"/>
        <v>16234</v>
      </c>
      <c r="E2128" s="71">
        <f t="shared" si="187"/>
        <v>16484</v>
      </c>
      <c r="F2128" s="71"/>
      <c r="G2128" s="71">
        <v>95301058</v>
      </c>
      <c r="H2128" s="71" t="s">
        <v>514</v>
      </c>
      <c r="I2128" s="71"/>
      <c r="J2128" s="71" t="s">
        <v>200</v>
      </c>
      <c r="K2128" s="71">
        <v>1</v>
      </c>
      <c r="L2128" s="71" t="s">
        <v>434</v>
      </c>
      <c r="M2128" s="71">
        <f t="shared" si="188"/>
        <v>250</v>
      </c>
      <c r="O2128" s="67">
        <f t="shared" si="189"/>
        <v>0.00264125427883193</v>
      </c>
    </row>
    <row r="2129" spans="1:15">
      <c r="A2129" s="71">
        <v>2127</v>
      </c>
      <c r="B2129" s="71">
        <v>11900</v>
      </c>
      <c r="C2129" s="71">
        <v>6</v>
      </c>
      <c r="D2129" s="71">
        <f t="shared" si="190"/>
        <v>16484</v>
      </c>
      <c r="E2129" s="71">
        <f t="shared" si="187"/>
        <v>16734</v>
      </c>
      <c r="F2129" s="71"/>
      <c r="G2129" s="71">
        <v>95301138</v>
      </c>
      <c r="H2129" s="71" t="s">
        <v>515</v>
      </c>
      <c r="I2129" s="71"/>
      <c r="J2129" s="71" t="s">
        <v>200</v>
      </c>
      <c r="K2129" s="71">
        <v>1</v>
      </c>
      <c r="L2129" s="71" t="s">
        <v>434</v>
      </c>
      <c r="M2129" s="71">
        <f t="shared" si="188"/>
        <v>250</v>
      </c>
      <c r="O2129" s="67">
        <f t="shared" si="189"/>
        <v>0.00264125427883193</v>
      </c>
    </row>
    <row r="2130" spans="1:15">
      <c r="A2130" s="71">
        <v>2128</v>
      </c>
      <c r="B2130" s="71">
        <v>11900</v>
      </c>
      <c r="C2130" s="71">
        <v>6</v>
      </c>
      <c r="D2130" s="71">
        <f t="shared" si="190"/>
        <v>16734</v>
      </c>
      <c r="E2130" s="71">
        <f t="shared" si="187"/>
        <v>16984</v>
      </c>
      <c r="F2130" s="71"/>
      <c r="G2130" s="71">
        <v>95301098</v>
      </c>
      <c r="H2130" s="71" t="s">
        <v>516</v>
      </c>
      <c r="I2130" s="71"/>
      <c r="J2130" s="71" t="s">
        <v>200</v>
      </c>
      <c r="K2130" s="71">
        <v>1</v>
      </c>
      <c r="L2130" s="71" t="s">
        <v>434</v>
      </c>
      <c r="M2130" s="71">
        <f t="shared" si="188"/>
        <v>250</v>
      </c>
      <c r="O2130" s="67">
        <f t="shared" si="189"/>
        <v>0.00264125427883193</v>
      </c>
    </row>
    <row r="2131" spans="1:15">
      <c r="A2131" s="71">
        <v>2129</v>
      </c>
      <c r="B2131" s="71">
        <v>11900</v>
      </c>
      <c r="C2131" s="71">
        <v>6</v>
      </c>
      <c r="D2131" s="71">
        <f t="shared" si="190"/>
        <v>16984</v>
      </c>
      <c r="E2131" s="71">
        <f t="shared" si="187"/>
        <v>17234</v>
      </c>
      <c r="F2131" s="71"/>
      <c r="G2131" s="71">
        <v>95301158</v>
      </c>
      <c r="H2131" s="71" t="s">
        <v>517</v>
      </c>
      <c r="I2131" s="71"/>
      <c r="J2131" s="71" t="s">
        <v>200</v>
      </c>
      <c r="K2131" s="71">
        <v>1</v>
      </c>
      <c r="L2131" s="71" t="s">
        <v>434</v>
      </c>
      <c r="M2131" s="71">
        <f t="shared" si="188"/>
        <v>250</v>
      </c>
      <c r="O2131" s="67">
        <f t="shared" si="189"/>
        <v>0.00264125427883193</v>
      </c>
    </row>
    <row r="2132" spans="1:15">
      <c r="A2132" s="71">
        <v>2130</v>
      </c>
      <c r="B2132" s="71">
        <v>11900</v>
      </c>
      <c r="C2132" s="71">
        <v>6</v>
      </c>
      <c r="D2132" s="71">
        <f t="shared" si="190"/>
        <v>17234</v>
      </c>
      <c r="E2132" s="71">
        <f t="shared" si="187"/>
        <v>17484</v>
      </c>
      <c r="F2132" s="71"/>
      <c r="G2132" s="71">
        <v>95301148</v>
      </c>
      <c r="H2132" s="71" t="s">
        <v>518</v>
      </c>
      <c r="I2132" s="71"/>
      <c r="J2132" s="71" t="s">
        <v>200</v>
      </c>
      <c r="K2132" s="71">
        <v>1</v>
      </c>
      <c r="L2132" s="71" t="s">
        <v>434</v>
      </c>
      <c r="M2132" s="71">
        <f t="shared" si="188"/>
        <v>250</v>
      </c>
      <c r="O2132" s="67">
        <f t="shared" si="189"/>
        <v>0.00264125427883193</v>
      </c>
    </row>
    <row r="2133" spans="1:15">
      <c r="A2133" s="71">
        <v>2131</v>
      </c>
      <c r="B2133" s="71">
        <v>11900</v>
      </c>
      <c r="C2133" s="71">
        <v>6</v>
      </c>
      <c r="D2133" s="71">
        <f t="shared" si="190"/>
        <v>17484</v>
      </c>
      <c r="E2133" s="71">
        <f t="shared" si="187"/>
        <v>17734</v>
      </c>
      <c r="F2133" s="71"/>
      <c r="G2133" s="71">
        <v>95101019</v>
      </c>
      <c r="H2133" s="71" t="s">
        <v>519</v>
      </c>
      <c r="I2133" s="71"/>
      <c r="J2133" s="71" t="s">
        <v>200</v>
      </c>
      <c r="K2133" s="71">
        <v>1</v>
      </c>
      <c r="L2133" s="71" t="s">
        <v>434</v>
      </c>
      <c r="M2133" s="71">
        <f t="shared" si="188"/>
        <v>250</v>
      </c>
      <c r="O2133" s="67">
        <f t="shared" si="189"/>
        <v>0.00264125427883193</v>
      </c>
    </row>
    <row r="2134" spans="1:15">
      <c r="A2134" s="71">
        <v>2132</v>
      </c>
      <c r="B2134" s="71">
        <v>11900</v>
      </c>
      <c r="C2134" s="71">
        <v>6</v>
      </c>
      <c r="D2134" s="71">
        <f t="shared" si="190"/>
        <v>17734</v>
      </c>
      <c r="E2134" s="71">
        <f t="shared" si="187"/>
        <v>17984</v>
      </c>
      <c r="F2134" s="71"/>
      <c r="G2134" s="71">
        <v>95101029</v>
      </c>
      <c r="H2134" s="71" t="s">
        <v>520</v>
      </c>
      <c r="I2134" s="71"/>
      <c r="J2134" s="71" t="s">
        <v>200</v>
      </c>
      <c r="K2134" s="71">
        <v>1</v>
      </c>
      <c r="L2134" s="71" t="s">
        <v>434</v>
      </c>
      <c r="M2134" s="71">
        <f t="shared" si="188"/>
        <v>250</v>
      </c>
      <c r="O2134" s="67">
        <f t="shared" si="189"/>
        <v>0.00264125427883193</v>
      </c>
    </row>
    <row r="2135" spans="1:15">
      <c r="A2135" s="71">
        <v>2133</v>
      </c>
      <c r="B2135" s="71">
        <v>11900</v>
      </c>
      <c r="C2135" s="71">
        <v>6</v>
      </c>
      <c r="D2135" s="71">
        <f t="shared" si="190"/>
        <v>17984</v>
      </c>
      <c r="E2135" s="71">
        <f t="shared" si="187"/>
        <v>18234</v>
      </c>
      <c r="F2135" s="71"/>
      <c r="G2135" s="71">
        <v>95102019</v>
      </c>
      <c r="H2135" s="71" t="s">
        <v>521</v>
      </c>
      <c r="I2135" s="71"/>
      <c r="J2135" s="71" t="s">
        <v>200</v>
      </c>
      <c r="K2135" s="71">
        <v>1</v>
      </c>
      <c r="L2135" s="71" t="s">
        <v>434</v>
      </c>
      <c r="M2135" s="71">
        <f t="shared" si="188"/>
        <v>250</v>
      </c>
      <c r="O2135" s="67">
        <f t="shared" si="189"/>
        <v>0.00264125427883193</v>
      </c>
    </row>
    <row r="2136" spans="1:15">
      <c r="A2136" s="71">
        <v>2134</v>
      </c>
      <c r="B2136" s="71">
        <v>11900</v>
      </c>
      <c r="C2136" s="71">
        <v>6</v>
      </c>
      <c r="D2136" s="71">
        <f t="shared" si="190"/>
        <v>18234</v>
      </c>
      <c r="E2136" s="71">
        <f t="shared" si="187"/>
        <v>18484</v>
      </c>
      <c r="F2136" s="71"/>
      <c r="G2136" s="71">
        <v>95102029</v>
      </c>
      <c r="H2136" s="71" t="s">
        <v>522</v>
      </c>
      <c r="I2136" s="71"/>
      <c r="J2136" s="71" t="s">
        <v>200</v>
      </c>
      <c r="K2136" s="71">
        <v>1</v>
      </c>
      <c r="L2136" s="71" t="s">
        <v>434</v>
      </c>
      <c r="M2136" s="71">
        <f t="shared" si="188"/>
        <v>250</v>
      </c>
      <c r="O2136" s="67">
        <f t="shared" si="189"/>
        <v>0.00264125427883193</v>
      </c>
    </row>
    <row r="2137" spans="1:15">
      <c r="A2137" s="71">
        <v>2135</v>
      </c>
      <c r="B2137" s="71">
        <v>11900</v>
      </c>
      <c r="C2137" s="71">
        <v>6</v>
      </c>
      <c r="D2137" s="71">
        <f t="shared" si="190"/>
        <v>18484</v>
      </c>
      <c r="E2137" s="71">
        <f t="shared" si="187"/>
        <v>18734</v>
      </c>
      <c r="F2137" s="71"/>
      <c r="G2137" s="71">
        <v>95103019</v>
      </c>
      <c r="H2137" s="71" t="s">
        <v>523</v>
      </c>
      <c r="I2137" s="71"/>
      <c r="J2137" s="71" t="s">
        <v>200</v>
      </c>
      <c r="K2137" s="71">
        <v>1</v>
      </c>
      <c r="L2137" s="71" t="s">
        <v>434</v>
      </c>
      <c r="M2137" s="71">
        <f t="shared" si="188"/>
        <v>250</v>
      </c>
      <c r="O2137" s="67">
        <f t="shared" si="189"/>
        <v>0.00264125427883193</v>
      </c>
    </row>
    <row r="2138" spans="1:15">
      <c r="A2138" s="71">
        <v>2136</v>
      </c>
      <c r="B2138" s="71">
        <v>11900</v>
      </c>
      <c r="C2138" s="71">
        <v>6</v>
      </c>
      <c r="D2138" s="71">
        <f t="shared" si="190"/>
        <v>18734</v>
      </c>
      <c r="E2138" s="71">
        <f t="shared" si="187"/>
        <v>18984</v>
      </c>
      <c r="F2138" s="71"/>
      <c r="G2138" s="71">
        <v>95104019</v>
      </c>
      <c r="H2138" s="71" t="s">
        <v>524</v>
      </c>
      <c r="I2138" s="71"/>
      <c r="J2138" s="71" t="s">
        <v>200</v>
      </c>
      <c r="K2138" s="71">
        <v>1</v>
      </c>
      <c r="L2138" s="71" t="s">
        <v>434</v>
      </c>
      <c r="M2138" s="71">
        <f t="shared" si="188"/>
        <v>250</v>
      </c>
      <c r="O2138" s="67">
        <f t="shared" si="189"/>
        <v>0.00264125427883193</v>
      </c>
    </row>
    <row r="2139" spans="1:15">
      <c r="A2139" s="71">
        <v>2137</v>
      </c>
      <c r="B2139" s="71">
        <v>11900</v>
      </c>
      <c r="C2139" s="71">
        <v>6</v>
      </c>
      <c r="D2139" s="71">
        <f t="shared" si="190"/>
        <v>18984</v>
      </c>
      <c r="E2139" s="71">
        <f t="shared" si="187"/>
        <v>19234</v>
      </c>
      <c r="F2139" s="71"/>
      <c r="G2139" s="71">
        <v>95104029</v>
      </c>
      <c r="H2139" s="71" t="s">
        <v>525</v>
      </c>
      <c r="I2139" s="71"/>
      <c r="J2139" s="71" t="s">
        <v>200</v>
      </c>
      <c r="K2139" s="71">
        <v>1</v>
      </c>
      <c r="L2139" s="71" t="s">
        <v>434</v>
      </c>
      <c r="M2139" s="71">
        <f t="shared" si="188"/>
        <v>250</v>
      </c>
      <c r="O2139" s="67">
        <f t="shared" si="189"/>
        <v>0.00264125427883193</v>
      </c>
    </row>
    <row r="2140" spans="1:15">
      <c r="A2140" s="71">
        <v>2138</v>
      </c>
      <c r="B2140" s="71">
        <v>11900</v>
      </c>
      <c r="C2140" s="71">
        <v>6</v>
      </c>
      <c r="D2140" s="71">
        <f t="shared" si="190"/>
        <v>19234</v>
      </c>
      <c r="E2140" s="71">
        <f t="shared" si="187"/>
        <v>19484</v>
      </c>
      <c r="F2140" s="71"/>
      <c r="G2140" s="71">
        <v>95104039</v>
      </c>
      <c r="H2140" s="71" t="s">
        <v>526</v>
      </c>
      <c r="I2140" s="71"/>
      <c r="J2140" s="71" t="s">
        <v>200</v>
      </c>
      <c r="K2140" s="71">
        <v>1</v>
      </c>
      <c r="L2140" s="71" t="s">
        <v>434</v>
      </c>
      <c r="M2140" s="71">
        <f t="shared" si="188"/>
        <v>250</v>
      </c>
      <c r="O2140" s="67">
        <f t="shared" si="189"/>
        <v>0.00264125427883193</v>
      </c>
    </row>
    <row r="2141" spans="1:15">
      <c r="A2141" s="71">
        <v>2139</v>
      </c>
      <c r="B2141" s="71">
        <v>11900</v>
      </c>
      <c r="C2141" s="71">
        <v>6</v>
      </c>
      <c r="D2141" s="71">
        <f t="shared" si="190"/>
        <v>19484</v>
      </c>
      <c r="E2141" s="71">
        <f t="shared" si="187"/>
        <v>19734</v>
      </c>
      <c r="F2141" s="71"/>
      <c r="G2141" s="71">
        <v>95106019</v>
      </c>
      <c r="H2141" s="71" t="s">
        <v>527</v>
      </c>
      <c r="I2141" s="71"/>
      <c r="J2141" s="71" t="s">
        <v>200</v>
      </c>
      <c r="K2141" s="71">
        <v>1</v>
      </c>
      <c r="L2141" s="71" t="s">
        <v>434</v>
      </c>
      <c r="M2141" s="71">
        <f t="shared" si="188"/>
        <v>250</v>
      </c>
      <c r="O2141" s="67">
        <f t="shared" si="189"/>
        <v>0.00264125427883193</v>
      </c>
    </row>
    <row r="2142" spans="1:15">
      <c r="A2142" s="71">
        <v>2140</v>
      </c>
      <c r="B2142" s="71">
        <v>11900</v>
      </c>
      <c r="C2142" s="71">
        <v>6</v>
      </c>
      <c r="D2142" s="71">
        <f t="shared" si="190"/>
        <v>19734</v>
      </c>
      <c r="E2142" s="71">
        <f t="shared" si="187"/>
        <v>19984</v>
      </c>
      <c r="F2142" s="71"/>
      <c r="G2142" s="71">
        <v>95109019</v>
      </c>
      <c r="H2142" s="71" t="s">
        <v>528</v>
      </c>
      <c r="I2142" s="71"/>
      <c r="J2142" s="71" t="s">
        <v>200</v>
      </c>
      <c r="K2142" s="71">
        <v>1</v>
      </c>
      <c r="L2142" s="71" t="s">
        <v>434</v>
      </c>
      <c r="M2142" s="71">
        <f t="shared" si="188"/>
        <v>250</v>
      </c>
      <c r="O2142" s="67">
        <f t="shared" si="189"/>
        <v>0.00264125427883193</v>
      </c>
    </row>
    <row r="2143" spans="1:15">
      <c r="A2143" s="71">
        <v>2141</v>
      </c>
      <c r="B2143" s="71">
        <v>11900</v>
      </c>
      <c r="C2143" s="71">
        <v>6</v>
      </c>
      <c r="D2143" s="71">
        <f t="shared" si="190"/>
        <v>19984</v>
      </c>
      <c r="E2143" s="71">
        <f t="shared" si="187"/>
        <v>20234</v>
      </c>
      <c r="F2143" s="71"/>
      <c r="G2143" s="71">
        <v>95110019</v>
      </c>
      <c r="H2143" s="71" t="s">
        <v>529</v>
      </c>
      <c r="I2143" s="71"/>
      <c r="J2143" s="71" t="s">
        <v>200</v>
      </c>
      <c r="K2143" s="71">
        <v>1</v>
      </c>
      <c r="L2143" s="71" t="s">
        <v>434</v>
      </c>
      <c r="M2143" s="71">
        <f t="shared" si="188"/>
        <v>250</v>
      </c>
      <c r="O2143" s="67">
        <f t="shared" si="189"/>
        <v>0.00264125427883193</v>
      </c>
    </row>
    <row r="2144" spans="1:15">
      <c r="A2144" s="71">
        <v>2142</v>
      </c>
      <c r="B2144" s="71">
        <v>11900</v>
      </c>
      <c r="C2144" s="71">
        <v>6</v>
      </c>
      <c r="D2144" s="71">
        <f t="shared" si="190"/>
        <v>20234</v>
      </c>
      <c r="E2144" s="71">
        <f t="shared" si="187"/>
        <v>20484</v>
      </c>
      <c r="F2144" s="71"/>
      <c r="G2144" s="71">
        <v>95111019</v>
      </c>
      <c r="H2144" s="71" t="s">
        <v>530</v>
      </c>
      <c r="I2144" s="71"/>
      <c r="J2144" s="71" t="s">
        <v>200</v>
      </c>
      <c r="K2144" s="71">
        <v>1</v>
      </c>
      <c r="L2144" s="71" t="s">
        <v>434</v>
      </c>
      <c r="M2144" s="71">
        <f t="shared" si="188"/>
        <v>250</v>
      </c>
      <c r="O2144" s="67">
        <f t="shared" si="189"/>
        <v>0.00264125427883193</v>
      </c>
    </row>
    <row r="2145" spans="1:15">
      <c r="A2145" s="71">
        <v>2143</v>
      </c>
      <c r="B2145" s="71">
        <v>11900</v>
      </c>
      <c r="C2145" s="71">
        <v>6</v>
      </c>
      <c r="D2145" s="71">
        <f t="shared" si="190"/>
        <v>20484</v>
      </c>
      <c r="E2145" s="71">
        <f t="shared" si="187"/>
        <v>20734</v>
      </c>
      <c r="F2145" s="71"/>
      <c r="G2145" s="71">
        <v>95120019</v>
      </c>
      <c r="H2145" s="71" t="s">
        <v>531</v>
      </c>
      <c r="I2145" s="71"/>
      <c r="J2145" s="71" t="s">
        <v>200</v>
      </c>
      <c r="K2145" s="71">
        <v>1</v>
      </c>
      <c r="L2145" s="71" t="s">
        <v>434</v>
      </c>
      <c r="M2145" s="71">
        <f t="shared" si="188"/>
        <v>250</v>
      </c>
      <c r="O2145" s="67">
        <f t="shared" si="189"/>
        <v>0.00264125427883193</v>
      </c>
    </row>
    <row r="2146" spans="1:15">
      <c r="A2146" s="71">
        <v>2144</v>
      </c>
      <c r="B2146" s="71">
        <v>11900</v>
      </c>
      <c r="C2146" s="71">
        <v>6</v>
      </c>
      <c r="D2146" s="71">
        <f t="shared" si="190"/>
        <v>20734</v>
      </c>
      <c r="E2146" s="71">
        <f t="shared" si="187"/>
        <v>20984</v>
      </c>
      <c r="F2146" s="71"/>
      <c r="G2146" s="71">
        <v>95140019</v>
      </c>
      <c r="H2146" s="71" t="s">
        <v>532</v>
      </c>
      <c r="I2146" s="71"/>
      <c r="J2146" s="71" t="s">
        <v>200</v>
      </c>
      <c r="K2146" s="71">
        <v>1</v>
      </c>
      <c r="L2146" s="71" t="s">
        <v>434</v>
      </c>
      <c r="M2146" s="71">
        <f t="shared" si="188"/>
        <v>250</v>
      </c>
      <c r="O2146" s="67">
        <f t="shared" si="189"/>
        <v>0.00264125427883193</v>
      </c>
    </row>
    <row r="2147" spans="1:15">
      <c r="A2147" s="71">
        <v>2145</v>
      </c>
      <c r="B2147" s="71">
        <v>11900</v>
      </c>
      <c r="C2147" s="71">
        <v>6</v>
      </c>
      <c r="D2147" s="71">
        <f t="shared" si="190"/>
        <v>20984</v>
      </c>
      <c r="E2147" s="71">
        <f t="shared" si="187"/>
        <v>21234</v>
      </c>
      <c r="F2147" s="71"/>
      <c r="G2147" s="71">
        <v>95105029</v>
      </c>
      <c r="H2147" s="71" t="s">
        <v>533</v>
      </c>
      <c r="I2147" s="71"/>
      <c r="J2147" s="71" t="s">
        <v>200</v>
      </c>
      <c r="K2147" s="71">
        <v>1</v>
      </c>
      <c r="L2147" s="71" t="s">
        <v>434</v>
      </c>
      <c r="M2147" s="71">
        <f t="shared" si="188"/>
        <v>250</v>
      </c>
      <c r="O2147" s="67">
        <f t="shared" si="189"/>
        <v>0.00264125427883193</v>
      </c>
    </row>
    <row r="2148" spans="1:15">
      <c r="A2148" s="71">
        <v>2146</v>
      </c>
      <c r="B2148" s="71">
        <v>11900</v>
      </c>
      <c r="C2148" s="71">
        <v>6</v>
      </c>
      <c r="D2148" s="71">
        <f t="shared" si="190"/>
        <v>21234</v>
      </c>
      <c r="E2148" s="71">
        <f t="shared" si="187"/>
        <v>21484</v>
      </c>
      <c r="F2148" s="71"/>
      <c r="G2148" s="71">
        <v>95109029</v>
      </c>
      <c r="H2148" s="71" t="s">
        <v>534</v>
      </c>
      <c r="I2148" s="71"/>
      <c r="J2148" s="71" t="s">
        <v>200</v>
      </c>
      <c r="K2148" s="71">
        <v>1</v>
      </c>
      <c r="L2148" s="71" t="s">
        <v>434</v>
      </c>
      <c r="M2148" s="71">
        <f t="shared" si="188"/>
        <v>250</v>
      </c>
      <c r="O2148" s="67">
        <f t="shared" si="189"/>
        <v>0.00264125427883193</v>
      </c>
    </row>
    <row r="2149" spans="1:15">
      <c r="A2149" s="71">
        <v>2147</v>
      </c>
      <c r="B2149" s="71">
        <v>11900</v>
      </c>
      <c r="C2149" s="71">
        <v>6</v>
      </c>
      <c r="D2149" s="71">
        <f t="shared" si="190"/>
        <v>21484</v>
      </c>
      <c r="E2149" s="71">
        <f t="shared" si="187"/>
        <v>21734</v>
      </c>
      <c r="F2149" s="71"/>
      <c r="G2149" s="71">
        <v>95110029</v>
      </c>
      <c r="H2149" s="71" t="s">
        <v>535</v>
      </c>
      <c r="I2149" s="71"/>
      <c r="J2149" s="71" t="s">
        <v>200</v>
      </c>
      <c r="K2149" s="71">
        <v>1</v>
      </c>
      <c r="L2149" s="71" t="s">
        <v>434</v>
      </c>
      <c r="M2149" s="71">
        <f t="shared" si="188"/>
        <v>250</v>
      </c>
      <c r="O2149" s="67">
        <f t="shared" si="189"/>
        <v>0.00264125427883193</v>
      </c>
    </row>
    <row r="2150" spans="1:15">
      <c r="A2150" s="71">
        <v>2148</v>
      </c>
      <c r="B2150" s="71">
        <v>11900</v>
      </c>
      <c r="C2150" s="71">
        <v>6</v>
      </c>
      <c r="D2150" s="71">
        <f t="shared" si="190"/>
        <v>21734</v>
      </c>
      <c r="E2150" s="71">
        <f t="shared" si="187"/>
        <v>21984</v>
      </c>
      <c r="F2150" s="71"/>
      <c r="G2150" s="71">
        <v>95150029</v>
      </c>
      <c r="H2150" s="71" t="s">
        <v>536</v>
      </c>
      <c r="I2150" s="71"/>
      <c r="J2150" s="71" t="s">
        <v>200</v>
      </c>
      <c r="K2150" s="71">
        <v>1</v>
      </c>
      <c r="L2150" s="71" t="s">
        <v>434</v>
      </c>
      <c r="M2150" s="71">
        <f t="shared" si="188"/>
        <v>250</v>
      </c>
      <c r="O2150" s="67">
        <f t="shared" si="189"/>
        <v>0.00264125427883193</v>
      </c>
    </row>
    <row r="2151" spans="1:15">
      <c r="A2151" s="71">
        <v>2149</v>
      </c>
      <c r="B2151" s="71">
        <v>11900</v>
      </c>
      <c r="C2151" s="71">
        <v>6</v>
      </c>
      <c r="D2151" s="71">
        <f t="shared" si="190"/>
        <v>21984</v>
      </c>
      <c r="E2151" s="71">
        <f t="shared" si="187"/>
        <v>22234</v>
      </c>
      <c r="F2151" s="71"/>
      <c r="G2151" s="71">
        <v>95201039</v>
      </c>
      <c r="H2151" s="71" t="s">
        <v>537</v>
      </c>
      <c r="I2151" s="71"/>
      <c r="J2151" s="71" t="s">
        <v>200</v>
      </c>
      <c r="K2151" s="71">
        <v>1</v>
      </c>
      <c r="L2151" s="71" t="s">
        <v>434</v>
      </c>
      <c r="M2151" s="71">
        <f t="shared" si="188"/>
        <v>250</v>
      </c>
      <c r="O2151" s="67">
        <f t="shared" si="189"/>
        <v>0.00264125427883193</v>
      </c>
    </row>
    <row r="2152" spans="1:15">
      <c r="A2152" s="71">
        <v>2150</v>
      </c>
      <c r="B2152" s="71">
        <v>11900</v>
      </c>
      <c r="C2152" s="71">
        <v>6</v>
      </c>
      <c r="D2152" s="71">
        <f t="shared" si="190"/>
        <v>22234</v>
      </c>
      <c r="E2152" s="71">
        <f t="shared" si="187"/>
        <v>22484</v>
      </c>
      <c r="F2152" s="71"/>
      <c r="G2152" s="71">
        <v>95201119</v>
      </c>
      <c r="H2152" s="71" t="s">
        <v>538</v>
      </c>
      <c r="I2152" s="71"/>
      <c r="J2152" s="71" t="s">
        <v>200</v>
      </c>
      <c r="K2152" s="71">
        <v>1</v>
      </c>
      <c r="L2152" s="71" t="s">
        <v>434</v>
      </c>
      <c r="M2152" s="71">
        <f t="shared" si="188"/>
        <v>250</v>
      </c>
      <c r="O2152" s="67">
        <f t="shared" si="189"/>
        <v>0.00264125427883193</v>
      </c>
    </row>
    <row r="2153" spans="1:15">
      <c r="A2153" s="71">
        <v>2151</v>
      </c>
      <c r="B2153" s="71">
        <v>11900</v>
      </c>
      <c r="C2153" s="71">
        <v>6</v>
      </c>
      <c r="D2153" s="71">
        <f t="shared" si="190"/>
        <v>22484</v>
      </c>
      <c r="E2153" s="71">
        <f t="shared" si="187"/>
        <v>22734</v>
      </c>
      <c r="F2153" s="71"/>
      <c r="G2153" s="71">
        <v>95201159</v>
      </c>
      <c r="H2153" s="71" t="s">
        <v>539</v>
      </c>
      <c r="I2153" s="71"/>
      <c r="J2153" s="71" t="s">
        <v>200</v>
      </c>
      <c r="K2153" s="71">
        <v>1</v>
      </c>
      <c r="L2153" s="71" t="s">
        <v>434</v>
      </c>
      <c r="M2153" s="71">
        <f t="shared" si="188"/>
        <v>250</v>
      </c>
      <c r="O2153" s="67">
        <f t="shared" si="189"/>
        <v>0.00264125427883193</v>
      </c>
    </row>
    <row r="2154" spans="1:15">
      <c r="A2154" s="71">
        <v>2152</v>
      </c>
      <c r="B2154" s="71">
        <v>11900</v>
      </c>
      <c r="C2154" s="71">
        <v>6</v>
      </c>
      <c r="D2154" s="71">
        <f t="shared" si="190"/>
        <v>22734</v>
      </c>
      <c r="E2154" s="71">
        <f t="shared" si="187"/>
        <v>22984</v>
      </c>
      <c r="F2154" s="71"/>
      <c r="G2154" s="71">
        <v>95201169</v>
      </c>
      <c r="H2154" s="71" t="s">
        <v>540</v>
      </c>
      <c r="I2154" s="71"/>
      <c r="J2154" s="71" t="s">
        <v>200</v>
      </c>
      <c r="K2154" s="71">
        <v>1</v>
      </c>
      <c r="L2154" s="71" t="s">
        <v>434</v>
      </c>
      <c r="M2154" s="71">
        <f t="shared" si="188"/>
        <v>250</v>
      </c>
      <c r="O2154" s="67">
        <f t="shared" si="189"/>
        <v>0.00264125427883193</v>
      </c>
    </row>
    <row r="2155" spans="1:15">
      <c r="A2155" s="71">
        <v>2153</v>
      </c>
      <c r="B2155" s="71">
        <v>11900</v>
      </c>
      <c r="C2155" s="71">
        <v>6</v>
      </c>
      <c r="D2155" s="71">
        <f t="shared" si="190"/>
        <v>22984</v>
      </c>
      <c r="E2155" s="71">
        <f t="shared" si="187"/>
        <v>23234</v>
      </c>
      <c r="F2155" s="71"/>
      <c r="G2155" s="71">
        <v>95201189</v>
      </c>
      <c r="H2155" s="71" t="s">
        <v>541</v>
      </c>
      <c r="I2155" s="71"/>
      <c r="J2155" s="71" t="s">
        <v>200</v>
      </c>
      <c r="K2155" s="71">
        <v>1</v>
      </c>
      <c r="L2155" s="71" t="s">
        <v>434</v>
      </c>
      <c r="M2155" s="71">
        <f t="shared" si="188"/>
        <v>250</v>
      </c>
      <c r="O2155" s="67">
        <f t="shared" si="189"/>
        <v>0.00264125427883193</v>
      </c>
    </row>
    <row r="2156" spans="1:15">
      <c r="A2156" s="71">
        <v>2154</v>
      </c>
      <c r="B2156" s="71">
        <v>11900</v>
      </c>
      <c r="C2156" s="71">
        <v>6</v>
      </c>
      <c r="D2156" s="71">
        <f t="shared" si="190"/>
        <v>23234</v>
      </c>
      <c r="E2156" s="71">
        <f t="shared" si="187"/>
        <v>23484</v>
      </c>
      <c r="F2156" s="71"/>
      <c r="G2156" s="71">
        <v>95301029</v>
      </c>
      <c r="H2156" s="71" t="s">
        <v>542</v>
      </c>
      <c r="I2156" s="71"/>
      <c r="J2156" s="71" t="s">
        <v>200</v>
      </c>
      <c r="K2156" s="71">
        <v>1</v>
      </c>
      <c r="L2156" s="71" t="s">
        <v>434</v>
      </c>
      <c r="M2156" s="71">
        <f t="shared" si="188"/>
        <v>250</v>
      </c>
      <c r="O2156" s="67">
        <f t="shared" si="189"/>
        <v>0.00264125427883193</v>
      </c>
    </row>
    <row r="2157" spans="1:15">
      <c r="A2157" s="71">
        <v>2155</v>
      </c>
      <c r="B2157" s="71">
        <v>11900</v>
      </c>
      <c r="C2157" s="71">
        <v>6</v>
      </c>
      <c r="D2157" s="71">
        <f t="shared" si="190"/>
        <v>23484</v>
      </c>
      <c r="E2157" s="71">
        <f t="shared" si="187"/>
        <v>23734</v>
      </c>
      <c r="F2157" s="71"/>
      <c r="G2157" s="71">
        <v>95301049</v>
      </c>
      <c r="H2157" s="71" t="s">
        <v>543</v>
      </c>
      <c r="I2157" s="71"/>
      <c r="J2157" s="71" t="s">
        <v>200</v>
      </c>
      <c r="K2157" s="71">
        <v>1</v>
      </c>
      <c r="L2157" s="71" t="s">
        <v>434</v>
      </c>
      <c r="M2157" s="71">
        <f t="shared" si="188"/>
        <v>250</v>
      </c>
      <c r="O2157" s="67">
        <f t="shared" si="189"/>
        <v>0.00264125427883193</v>
      </c>
    </row>
    <row r="2158" spans="1:15">
      <c r="A2158" s="71">
        <v>2156</v>
      </c>
      <c r="B2158" s="71">
        <v>11900</v>
      </c>
      <c r="C2158" s="71">
        <v>6</v>
      </c>
      <c r="D2158" s="71">
        <f t="shared" si="190"/>
        <v>23734</v>
      </c>
      <c r="E2158" s="71">
        <f t="shared" si="187"/>
        <v>23984</v>
      </c>
      <c r="F2158" s="71"/>
      <c r="G2158" s="71">
        <v>95301059</v>
      </c>
      <c r="H2158" s="71" t="s">
        <v>544</v>
      </c>
      <c r="I2158" s="71"/>
      <c r="J2158" s="71" t="s">
        <v>200</v>
      </c>
      <c r="K2158" s="71">
        <v>1</v>
      </c>
      <c r="L2158" s="71" t="s">
        <v>434</v>
      </c>
      <c r="M2158" s="71">
        <f t="shared" si="188"/>
        <v>250</v>
      </c>
      <c r="O2158" s="67">
        <f t="shared" si="189"/>
        <v>0.00264125427883193</v>
      </c>
    </row>
    <row r="2159" spans="1:15">
      <c r="A2159" s="71">
        <v>2157</v>
      </c>
      <c r="B2159" s="71">
        <v>11900</v>
      </c>
      <c r="C2159" s="71">
        <v>6</v>
      </c>
      <c r="D2159" s="71">
        <f t="shared" si="190"/>
        <v>23984</v>
      </c>
      <c r="E2159" s="71">
        <f t="shared" si="187"/>
        <v>24234</v>
      </c>
      <c r="F2159" s="71"/>
      <c r="G2159" s="71">
        <v>95301139</v>
      </c>
      <c r="H2159" s="71" t="s">
        <v>545</v>
      </c>
      <c r="I2159" s="71"/>
      <c r="J2159" s="71" t="s">
        <v>200</v>
      </c>
      <c r="K2159" s="71">
        <v>1</v>
      </c>
      <c r="L2159" s="71" t="s">
        <v>434</v>
      </c>
      <c r="M2159" s="71">
        <f t="shared" si="188"/>
        <v>250</v>
      </c>
      <c r="O2159" s="67">
        <f t="shared" si="189"/>
        <v>0.00264125427883193</v>
      </c>
    </row>
    <row r="2160" spans="1:15">
      <c r="A2160" s="71">
        <v>2158</v>
      </c>
      <c r="B2160" s="71">
        <v>11900</v>
      </c>
      <c r="C2160" s="71">
        <v>6</v>
      </c>
      <c r="D2160" s="71">
        <f t="shared" si="190"/>
        <v>24234</v>
      </c>
      <c r="E2160" s="71">
        <f t="shared" si="187"/>
        <v>24484</v>
      </c>
      <c r="F2160" s="71"/>
      <c r="G2160" s="71">
        <v>95301099</v>
      </c>
      <c r="H2160" s="71" t="s">
        <v>546</v>
      </c>
      <c r="I2160" s="71"/>
      <c r="J2160" s="71" t="s">
        <v>200</v>
      </c>
      <c r="K2160" s="71">
        <v>1</v>
      </c>
      <c r="L2160" s="71" t="s">
        <v>434</v>
      </c>
      <c r="M2160" s="71">
        <f t="shared" si="188"/>
        <v>250</v>
      </c>
      <c r="O2160" s="67">
        <f t="shared" si="189"/>
        <v>0.00264125427883193</v>
      </c>
    </row>
    <row r="2161" spans="1:16">
      <c r="A2161" s="71">
        <v>2159</v>
      </c>
      <c r="B2161" s="71">
        <v>11900</v>
      </c>
      <c r="C2161" s="71">
        <v>6</v>
      </c>
      <c r="D2161" s="71">
        <f t="shared" si="190"/>
        <v>24484</v>
      </c>
      <c r="E2161" s="71">
        <f t="shared" si="187"/>
        <v>24734</v>
      </c>
      <c r="F2161" s="71"/>
      <c r="G2161" s="71">
        <v>95301159</v>
      </c>
      <c r="H2161" s="71" t="s">
        <v>547</v>
      </c>
      <c r="I2161" s="71"/>
      <c r="J2161" s="71" t="s">
        <v>200</v>
      </c>
      <c r="K2161" s="71">
        <v>1</v>
      </c>
      <c r="L2161" s="71" t="s">
        <v>434</v>
      </c>
      <c r="M2161" s="71">
        <f t="shared" si="188"/>
        <v>250</v>
      </c>
      <c r="O2161" s="67">
        <f t="shared" si="189"/>
        <v>0.00264125427883193</v>
      </c>
    </row>
    <row r="2162" spans="1:16">
      <c r="A2162" s="71">
        <v>2160</v>
      </c>
      <c r="B2162" s="71">
        <v>11900</v>
      </c>
      <c r="C2162" s="71">
        <v>6</v>
      </c>
      <c r="D2162" s="71">
        <f t="shared" si="190"/>
        <v>24734</v>
      </c>
      <c r="E2162" s="71">
        <f t="shared" si="187"/>
        <v>24984</v>
      </c>
      <c r="F2162" s="71"/>
      <c r="G2162" s="71">
        <v>95301149</v>
      </c>
      <c r="H2162" s="71" t="s">
        <v>548</v>
      </c>
      <c r="I2162" s="71"/>
      <c r="J2162" s="71" t="s">
        <v>200</v>
      </c>
      <c r="K2162" s="71">
        <v>1</v>
      </c>
      <c r="L2162" s="71" t="s">
        <v>434</v>
      </c>
      <c r="M2162" s="71">
        <f t="shared" si="188"/>
        <v>250</v>
      </c>
      <c r="O2162" s="67">
        <f t="shared" si="189"/>
        <v>0.00264125427883193</v>
      </c>
    </row>
    <row r="2163" spans="1:16">
      <c r="A2163" s="71">
        <v>2161</v>
      </c>
      <c r="B2163" s="71">
        <v>11900</v>
      </c>
      <c r="C2163" s="71">
        <f>VLOOKUP(H2163,[2]药品!$B:$E,4,0)</f>
        <v>1</v>
      </c>
      <c r="D2163" s="71">
        <f t="shared" si="190"/>
        <v>24984</v>
      </c>
      <c r="E2163" s="71">
        <f t="shared" si="187"/>
        <v>27484</v>
      </c>
      <c r="F2163" s="71"/>
      <c r="G2163" s="71">
        <v>901000</v>
      </c>
      <c r="H2163" s="71" t="s">
        <v>234</v>
      </c>
      <c r="I2163" s="71"/>
      <c r="J2163" s="71" t="s">
        <v>235</v>
      </c>
      <c r="K2163" s="71">
        <v>1</v>
      </c>
      <c r="L2163" s="71" t="s">
        <v>434</v>
      </c>
      <c r="M2163" s="71">
        <f t="shared" si="188"/>
        <v>2500</v>
      </c>
      <c r="O2163" s="67">
        <f t="shared" si="189"/>
        <v>0.0264125427883193</v>
      </c>
      <c r="P2163" s="67">
        <v>11000</v>
      </c>
    </row>
    <row r="2164" spans="1:16">
      <c r="A2164" s="71">
        <v>2162</v>
      </c>
      <c r="B2164" s="71">
        <v>11900</v>
      </c>
      <c r="C2164" s="71">
        <f>VLOOKUP(H2164,[2]药品!$B:$E,4,0)</f>
        <v>2</v>
      </c>
      <c r="D2164" s="71">
        <f t="shared" si="190"/>
        <v>27484</v>
      </c>
      <c r="E2164" s="71">
        <f t="shared" si="187"/>
        <v>29984</v>
      </c>
      <c r="F2164" s="71"/>
      <c r="G2164" s="71">
        <v>901001</v>
      </c>
      <c r="H2164" s="71" t="s">
        <v>236</v>
      </c>
      <c r="I2164" s="71"/>
      <c r="J2164" s="71" t="s">
        <v>235</v>
      </c>
      <c r="K2164" s="71">
        <v>1</v>
      </c>
      <c r="L2164" s="71" t="s">
        <v>434</v>
      </c>
      <c r="M2164" s="71">
        <f t="shared" si="188"/>
        <v>2500</v>
      </c>
      <c r="O2164" s="67">
        <f t="shared" si="189"/>
        <v>0.0264125427883193</v>
      </c>
      <c r="P2164" s="67">
        <v>11000</v>
      </c>
    </row>
    <row r="2165" spans="1:16">
      <c r="A2165" s="71">
        <v>2163</v>
      </c>
      <c r="B2165" s="71">
        <v>11900</v>
      </c>
      <c r="C2165" s="71">
        <f>VLOOKUP(H2165,[2]药品!$B:$E,4,0)</f>
        <v>3</v>
      </c>
      <c r="D2165" s="71">
        <f t="shared" si="190"/>
        <v>29984</v>
      </c>
      <c r="E2165" s="71">
        <f t="shared" si="187"/>
        <v>32484</v>
      </c>
      <c r="F2165" s="71"/>
      <c r="G2165" s="71">
        <v>901002</v>
      </c>
      <c r="H2165" s="71" t="s">
        <v>237</v>
      </c>
      <c r="I2165" s="71"/>
      <c r="J2165" s="71" t="s">
        <v>235</v>
      </c>
      <c r="K2165" s="71">
        <v>1</v>
      </c>
      <c r="L2165" s="71" t="s">
        <v>434</v>
      </c>
      <c r="M2165" s="71">
        <f t="shared" si="188"/>
        <v>2500</v>
      </c>
      <c r="O2165" s="67">
        <f t="shared" si="189"/>
        <v>0.0264125427883193</v>
      </c>
      <c r="P2165" s="67">
        <v>11000</v>
      </c>
    </row>
    <row r="2166" spans="1:16">
      <c r="A2166" s="71">
        <v>2164</v>
      </c>
      <c r="B2166" s="71">
        <v>11900</v>
      </c>
      <c r="C2166" s="71">
        <f>VLOOKUP(H2166,[2]药品!$B:$E,4,0)</f>
        <v>4</v>
      </c>
      <c r="D2166" s="71">
        <f t="shared" si="190"/>
        <v>32484</v>
      </c>
      <c r="E2166" s="71">
        <f t="shared" si="187"/>
        <v>34984</v>
      </c>
      <c r="F2166" s="71"/>
      <c r="G2166" s="71">
        <v>901003</v>
      </c>
      <c r="H2166" s="71" t="s">
        <v>238</v>
      </c>
      <c r="I2166" s="71"/>
      <c r="J2166" s="71" t="s">
        <v>235</v>
      </c>
      <c r="K2166" s="71">
        <v>1</v>
      </c>
      <c r="L2166" s="71" t="s">
        <v>434</v>
      </c>
      <c r="M2166" s="71">
        <f t="shared" si="188"/>
        <v>2500</v>
      </c>
      <c r="O2166" s="67">
        <f t="shared" si="189"/>
        <v>0.0264125427883193</v>
      </c>
      <c r="P2166" s="67">
        <v>11000</v>
      </c>
    </row>
    <row r="2167" spans="1:16">
      <c r="A2167" s="71">
        <v>2165</v>
      </c>
      <c r="B2167" s="71">
        <v>11900</v>
      </c>
      <c r="C2167" s="71">
        <f>VLOOKUP(H2167,[2]药品!$B:$E,4,0)</f>
        <v>1</v>
      </c>
      <c r="D2167" s="71">
        <f t="shared" si="190"/>
        <v>34984</v>
      </c>
      <c r="E2167" s="71">
        <f t="shared" si="187"/>
        <v>37484</v>
      </c>
      <c r="F2167" s="71"/>
      <c r="G2167" s="71">
        <v>901100</v>
      </c>
      <c r="H2167" s="71" t="s">
        <v>239</v>
      </c>
      <c r="I2167" s="71"/>
      <c r="J2167" s="71" t="s">
        <v>235</v>
      </c>
      <c r="K2167" s="71">
        <v>1</v>
      </c>
      <c r="L2167" s="71" t="s">
        <v>434</v>
      </c>
      <c r="M2167" s="71">
        <f t="shared" si="188"/>
        <v>2500</v>
      </c>
      <c r="O2167" s="67">
        <f t="shared" si="189"/>
        <v>0.0264125427883193</v>
      </c>
      <c r="P2167" s="67">
        <v>11000</v>
      </c>
    </row>
    <row r="2168" spans="1:16">
      <c r="A2168" s="71">
        <v>2166</v>
      </c>
      <c r="B2168" s="71">
        <v>11900</v>
      </c>
      <c r="C2168" s="71">
        <f>VLOOKUP(H2168,[2]药品!$B:$E,4,0)</f>
        <v>2</v>
      </c>
      <c r="D2168" s="71">
        <f t="shared" si="190"/>
        <v>37484</v>
      </c>
      <c r="E2168" s="71">
        <f t="shared" si="187"/>
        <v>39984</v>
      </c>
      <c r="F2168" s="71"/>
      <c r="G2168" s="71">
        <v>901101</v>
      </c>
      <c r="H2168" s="71" t="s">
        <v>240</v>
      </c>
      <c r="I2168" s="71"/>
      <c r="J2168" s="71" t="s">
        <v>235</v>
      </c>
      <c r="K2168" s="71">
        <v>1</v>
      </c>
      <c r="L2168" s="71" t="s">
        <v>434</v>
      </c>
      <c r="M2168" s="71">
        <f t="shared" si="188"/>
        <v>2500</v>
      </c>
      <c r="O2168" s="67">
        <f t="shared" si="189"/>
        <v>0.0264125427883193</v>
      </c>
      <c r="P2168" s="67">
        <v>11000</v>
      </c>
    </row>
    <row r="2169" spans="1:16">
      <c r="A2169" s="71">
        <v>2167</v>
      </c>
      <c r="B2169" s="71">
        <v>11900</v>
      </c>
      <c r="C2169" s="71">
        <f>VLOOKUP(H2169,[2]药品!$B:$E,4,0)</f>
        <v>3</v>
      </c>
      <c r="D2169" s="71">
        <f t="shared" si="190"/>
        <v>39984</v>
      </c>
      <c r="E2169" s="71">
        <f t="shared" si="187"/>
        <v>42484</v>
      </c>
      <c r="F2169" s="71"/>
      <c r="G2169" s="71">
        <v>901102</v>
      </c>
      <c r="H2169" s="71" t="s">
        <v>241</v>
      </c>
      <c r="I2169" s="71"/>
      <c r="J2169" s="71" t="s">
        <v>235</v>
      </c>
      <c r="K2169" s="71">
        <v>1</v>
      </c>
      <c r="L2169" s="71" t="s">
        <v>434</v>
      </c>
      <c r="M2169" s="71">
        <f t="shared" si="188"/>
        <v>2500</v>
      </c>
      <c r="O2169" s="67">
        <f t="shared" si="189"/>
        <v>0.0264125427883193</v>
      </c>
      <c r="P2169" s="67">
        <v>11000</v>
      </c>
    </row>
    <row r="2170" spans="1:16">
      <c r="A2170" s="71">
        <v>2168</v>
      </c>
      <c r="B2170" s="71">
        <v>11900</v>
      </c>
      <c r="C2170" s="71">
        <f>VLOOKUP(H2170,[2]药品!$B:$E,4,0)</f>
        <v>4</v>
      </c>
      <c r="D2170" s="71">
        <f t="shared" si="190"/>
        <v>42484</v>
      </c>
      <c r="E2170" s="71">
        <f t="shared" si="187"/>
        <v>44984</v>
      </c>
      <c r="F2170" s="71"/>
      <c r="G2170" s="71">
        <v>901103</v>
      </c>
      <c r="H2170" s="71" t="s">
        <v>242</v>
      </c>
      <c r="I2170" s="71"/>
      <c r="J2170" s="71" t="s">
        <v>235</v>
      </c>
      <c r="K2170" s="71">
        <v>1</v>
      </c>
      <c r="L2170" s="71" t="s">
        <v>434</v>
      </c>
      <c r="M2170" s="71">
        <f t="shared" si="188"/>
        <v>2500</v>
      </c>
      <c r="O2170" s="67">
        <f t="shared" si="189"/>
        <v>0.0264125427883193</v>
      </c>
      <c r="P2170" s="67">
        <v>11000</v>
      </c>
    </row>
    <row r="2171" spans="1:16">
      <c r="A2171" s="71">
        <v>2169</v>
      </c>
      <c r="B2171" s="71">
        <v>11900</v>
      </c>
      <c r="C2171" s="71">
        <v>7</v>
      </c>
      <c r="D2171" s="71">
        <f t="shared" si="190"/>
        <v>44984</v>
      </c>
      <c r="E2171" s="71">
        <f t="shared" si="187"/>
        <v>45460</v>
      </c>
      <c r="F2171" s="71"/>
      <c r="G2171" s="71">
        <v>100101</v>
      </c>
      <c r="H2171" s="71" t="s">
        <v>243</v>
      </c>
      <c r="I2171" s="71"/>
      <c r="J2171" s="71" t="s">
        <v>244</v>
      </c>
      <c r="K2171" s="71">
        <v>1</v>
      </c>
      <c r="L2171" s="71" t="s">
        <v>434</v>
      </c>
      <c r="M2171" s="71">
        <f t="shared" si="188"/>
        <v>476</v>
      </c>
      <c r="O2171" s="67">
        <f t="shared" si="189"/>
        <v>0.005028948146896</v>
      </c>
      <c r="P2171" s="67">
        <v>11000</v>
      </c>
    </row>
    <row r="2172" spans="1:16">
      <c r="A2172" s="71">
        <v>2170</v>
      </c>
      <c r="B2172" s="71">
        <v>11900</v>
      </c>
      <c r="C2172" s="71">
        <v>7</v>
      </c>
      <c r="D2172" s="71">
        <f t="shared" si="190"/>
        <v>45460</v>
      </c>
      <c r="E2172" s="71">
        <f t="shared" si="187"/>
        <v>45936</v>
      </c>
      <c r="F2172" s="71"/>
      <c r="G2172" s="71">
        <v>100103</v>
      </c>
      <c r="H2172" s="71" t="s">
        <v>245</v>
      </c>
      <c r="I2172" s="71"/>
      <c r="J2172" s="71" t="s">
        <v>244</v>
      </c>
      <c r="K2172" s="71">
        <v>1</v>
      </c>
      <c r="L2172" s="71" t="s">
        <v>434</v>
      </c>
      <c r="M2172" s="71">
        <f t="shared" si="188"/>
        <v>476</v>
      </c>
      <c r="O2172" s="67">
        <f t="shared" si="189"/>
        <v>0.005028948146896</v>
      </c>
      <c r="P2172" s="67">
        <v>11000</v>
      </c>
    </row>
    <row r="2173" spans="1:16">
      <c r="A2173" s="71">
        <v>2171</v>
      </c>
      <c r="B2173" s="71">
        <v>11900</v>
      </c>
      <c r="C2173" s="71">
        <v>7</v>
      </c>
      <c r="D2173" s="71">
        <f t="shared" si="190"/>
        <v>45936</v>
      </c>
      <c r="E2173" s="71">
        <f t="shared" si="187"/>
        <v>46412</v>
      </c>
      <c r="F2173" s="71"/>
      <c r="G2173" s="71">
        <v>100107</v>
      </c>
      <c r="H2173" s="71" t="s">
        <v>246</v>
      </c>
      <c r="I2173" s="71"/>
      <c r="J2173" s="71" t="s">
        <v>244</v>
      </c>
      <c r="K2173" s="71">
        <v>1</v>
      </c>
      <c r="L2173" s="71" t="s">
        <v>434</v>
      </c>
      <c r="M2173" s="71">
        <f t="shared" si="188"/>
        <v>476</v>
      </c>
      <c r="O2173" s="67">
        <f t="shared" si="189"/>
        <v>0.005028948146896</v>
      </c>
      <c r="P2173" s="67">
        <v>11000</v>
      </c>
    </row>
    <row r="2174" spans="1:16">
      <c r="A2174" s="71">
        <v>2172</v>
      </c>
      <c r="B2174" s="71">
        <v>11900</v>
      </c>
      <c r="C2174" s="71">
        <v>7</v>
      </c>
      <c r="D2174" s="71">
        <f t="shared" si="190"/>
        <v>46412</v>
      </c>
      <c r="E2174" s="71">
        <f t="shared" si="187"/>
        <v>46888</v>
      </c>
      <c r="F2174" s="71"/>
      <c r="G2174" s="71">
        <v>100108</v>
      </c>
      <c r="H2174" s="71" t="s">
        <v>247</v>
      </c>
      <c r="I2174" s="71"/>
      <c r="J2174" s="71" t="s">
        <v>244</v>
      </c>
      <c r="K2174" s="71">
        <v>1</v>
      </c>
      <c r="L2174" s="71" t="s">
        <v>434</v>
      </c>
      <c r="M2174" s="71">
        <f t="shared" si="188"/>
        <v>476</v>
      </c>
      <c r="O2174" s="67">
        <f t="shared" si="189"/>
        <v>0.005028948146896</v>
      </c>
      <c r="P2174" s="67">
        <v>11000</v>
      </c>
    </row>
    <row r="2175" spans="1:16">
      <c r="A2175" s="71">
        <v>2173</v>
      </c>
      <c r="B2175" s="71">
        <v>11900</v>
      </c>
      <c r="C2175" s="71">
        <v>7</v>
      </c>
      <c r="D2175" s="71">
        <f t="shared" si="190"/>
        <v>46888</v>
      </c>
      <c r="E2175" s="71">
        <f t="shared" si="187"/>
        <v>47364</v>
      </c>
      <c r="F2175" s="71"/>
      <c r="G2175" s="71">
        <v>100113</v>
      </c>
      <c r="H2175" s="71" t="s">
        <v>248</v>
      </c>
      <c r="I2175" s="71"/>
      <c r="J2175" s="71" t="s">
        <v>244</v>
      </c>
      <c r="K2175" s="71">
        <v>1</v>
      </c>
      <c r="L2175" s="71" t="s">
        <v>434</v>
      </c>
      <c r="M2175" s="71">
        <f t="shared" si="188"/>
        <v>476</v>
      </c>
      <c r="O2175" s="67">
        <f t="shared" si="189"/>
        <v>0.005028948146896</v>
      </c>
      <c r="P2175" s="67">
        <v>11000</v>
      </c>
    </row>
    <row r="2176" spans="1:16">
      <c r="A2176" s="71">
        <v>2174</v>
      </c>
      <c r="B2176" s="71">
        <v>11900</v>
      </c>
      <c r="C2176" s="71">
        <v>7</v>
      </c>
      <c r="D2176" s="71">
        <f t="shared" si="190"/>
        <v>47364</v>
      </c>
      <c r="E2176" s="71">
        <f t="shared" si="187"/>
        <v>47840</v>
      </c>
      <c r="F2176" s="71"/>
      <c r="G2176" s="71">
        <v>100114</v>
      </c>
      <c r="H2176" s="71" t="s">
        <v>249</v>
      </c>
      <c r="I2176" s="71"/>
      <c r="J2176" s="71" t="s">
        <v>244</v>
      </c>
      <c r="K2176" s="71">
        <v>1</v>
      </c>
      <c r="L2176" s="71" t="s">
        <v>434</v>
      </c>
      <c r="M2176" s="71">
        <f t="shared" si="188"/>
        <v>476</v>
      </c>
      <c r="O2176" s="67">
        <f t="shared" si="189"/>
        <v>0.005028948146896</v>
      </c>
      <c r="P2176" s="67">
        <v>11000</v>
      </c>
    </row>
    <row r="2177" spans="1:16">
      <c r="A2177" s="71">
        <v>2175</v>
      </c>
      <c r="B2177" s="71">
        <v>11900</v>
      </c>
      <c r="C2177" s="71">
        <v>7</v>
      </c>
      <c r="D2177" s="71">
        <f t="shared" si="190"/>
        <v>47840</v>
      </c>
      <c r="E2177" s="71">
        <f t="shared" si="187"/>
        <v>48316</v>
      </c>
      <c r="F2177" s="71"/>
      <c r="G2177" s="71">
        <v>100116</v>
      </c>
      <c r="H2177" s="71" t="s">
        <v>250</v>
      </c>
      <c r="I2177" s="71"/>
      <c r="J2177" s="71" t="s">
        <v>244</v>
      </c>
      <c r="K2177" s="71">
        <v>1</v>
      </c>
      <c r="L2177" s="71" t="s">
        <v>434</v>
      </c>
      <c r="M2177" s="71">
        <f t="shared" si="188"/>
        <v>476</v>
      </c>
      <c r="O2177" s="67">
        <f t="shared" si="189"/>
        <v>0.005028948146896</v>
      </c>
      <c r="P2177" s="67">
        <v>11000</v>
      </c>
    </row>
    <row r="2178" spans="1:16">
      <c r="A2178" s="71">
        <v>2176</v>
      </c>
      <c r="B2178" s="71">
        <v>11900</v>
      </c>
      <c r="C2178" s="71">
        <v>7</v>
      </c>
      <c r="D2178" s="71">
        <f t="shared" si="190"/>
        <v>48316</v>
      </c>
      <c r="E2178" s="71">
        <f t="shared" si="187"/>
        <v>48792</v>
      </c>
      <c r="F2178" s="71"/>
      <c r="G2178" s="71">
        <v>100120</v>
      </c>
      <c r="H2178" s="71" t="s">
        <v>251</v>
      </c>
      <c r="I2178" s="71"/>
      <c r="J2178" s="71" t="s">
        <v>244</v>
      </c>
      <c r="K2178" s="71">
        <v>1</v>
      </c>
      <c r="L2178" s="71" t="s">
        <v>434</v>
      </c>
      <c r="M2178" s="71">
        <f t="shared" si="188"/>
        <v>476</v>
      </c>
      <c r="O2178" s="67">
        <f t="shared" si="189"/>
        <v>0.005028948146896</v>
      </c>
      <c r="P2178" s="67">
        <v>11000</v>
      </c>
    </row>
    <row r="2179" spans="1:16">
      <c r="A2179" s="71">
        <v>2177</v>
      </c>
      <c r="B2179" s="71">
        <v>11900</v>
      </c>
      <c r="C2179" s="71">
        <v>7</v>
      </c>
      <c r="D2179" s="71">
        <f t="shared" si="190"/>
        <v>48792</v>
      </c>
      <c r="E2179" s="71">
        <f t="shared" si="187"/>
        <v>49268</v>
      </c>
      <c r="F2179" s="71"/>
      <c r="G2179" s="71">
        <v>100125</v>
      </c>
      <c r="H2179" s="71" t="s">
        <v>252</v>
      </c>
      <c r="I2179" s="71"/>
      <c r="J2179" s="71" t="s">
        <v>244</v>
      </c>
      <c r="K2179" s="71">
        <v>1</v>
      </c>
      <c r="L2179" s="71" t="s">
        <v>434</v>
      </c>
      <c r="M2179" s="71">
        <f t="shared" si="188"/>
        <v>476</v>
      </c>
      <c r="O2179" s="67">
        <f t="shared" si="189"/>
        <v>0.005028948146896</v>
      </c>
      <c r="P2179" s="67">
        <v>11000</v>
      </c>
    </row>
    <row r="2180" spans="1:16">
      <c r="A2180" s="71">
        <v>2178</v>
      </c>
      <c r="B2180" s="71">
        <v>11900</v>
      </c>
      <c r="C2180" s="71">
        <v>7</v>
      </c>
      <c r="D2180" s="71">
        <f t="shared" si="190"/>
        <v>49268</v>
      </c>
      <c r="E2180" s="71">
        <f t="shared" si="187"/>
        <v>49744</v>
      </c>
      <c r="F2180" s="71"/>
      <c r="G2180" s="71">
        <v>100126</v>
      </c>
      <c r="H2180" s="71" t="s">
        <v>253</v>
      </c>
      <c r="I2180" s="71"/>
      <c r="J2180" s="71" t="s">
        <v>244</v>
      </c>
      <c r="K2180" s="71">
        <v>1</v>
      </c>
      <c r="L2180" s="71" t="s">
        <v>434</v>
      </c>
      <c r="M2180" s="71">
        <f t="shared" si="188"/>
        <v>476</v>
      </c>
      <c r="O2180" s="67">
        <f t="shared" si="189"/>
        <v>0.005028948146896</v>
      </c>
      <c r="P2180" s="67">
        <v>11000</v>
      </c>
    </row>
    <row r="2181" spans="1:16">
      <c r="A2181" s="71">
        <v>2179</v>
      </c>
      <c r="B2181" s="71">
        <v>11900</v>
      </c>
      <c r="C2181" s="71">
        <v>7</v>
      </c>
      <c r="D2181" s="71">
        <f t="shared" si="190"/>
        <v>49744</v>
      </c>
      <c r="E2181" s="71">
        <f t="shared" si="187"/>
        <v>50220</v>
      </c>
      <c r="F2181" s="71"/>
      <c r="G2181" s="71">
        <v>100127</v>
      </c>
      <c r="H2181" s="71" t="s">
        <v>254</v>
      </c>
      <c r="I2181" s="71"/>
      <c r="J2181" s="71" t="s">
        <v>244</v>
      </c>
      <c r="K2181" s="71">
        <v>1</v>
      </c>
      <c r="L2181" s="71" t="s">
        <v>434</v>
      </c>
      <c r="M2181" s="71">
        <f t="shared" si="188"/>
        <v>476</v>
      </c>
      <c r="O2181" s="67">
        <f t="shared" si="189"/>
        <v>0.005028948146896</v>
      </c>
      <c r="P2181" s="67">
        <v>11000</v>
      </c>
    </row>
    <row r="2182" spans="1:16">
      <c r="A2182" s="71">
        <v>2180</v>
      </c>
      <c r="B2182" s="71">
        <v>11900</v>
      </c>
      <c r="C2182" s="71">
        <v>7</v>
      </c>
      <c r="D2182" s="71">
        <f t="shared" si="190"/>
        <v>50220</v>
      </c>
      <c r="E2182" s="71">
        <f t="shared" si="187"/>
        <v>50696</v>
      </c>
      <c r="F2182" s="71"/>
      <c r="G2182" s="71">
        <v>100132</v>
      </c>
      <c r="H2182" s="71" t="s">
        <v>255</v>
      </c>
      <c r="I2182" s="71"/>
      <c r="J2182" s="71" t="s">
        <v>244</v>
      </c>
      <c r="K2182" s="71">
        <v>1</v>
      </c>
      <c r="L2182" s="71" t="s">
        <v>434</v>
      </c>
      <c r="M2182" s="71">
        <f t="shared" si="188"/>
        <v>476</v>
      </c>
      <c r="O2182" s="67">
        <f t="shared" si="189"/>
        <v>0.005028948146896</v>
      </c>
      <c r="P2182" s="67">
        <v>11000</v>
      </c>
    </row>
    <row r="2183" spans="1:16">
      <c r="A2183" s="71">
        <v>2181</v>
      </c>
      <c r="B2183" s="71">
        <v>11900</v>
      </c>
      <c r="C2183" s="71">
        <v>7</v>
      </c>
      <c r="D2183" s="71">
        <f t="shared" si="190"/>
        <v>50696</v>
      </c>
      <c r="E2183" s="71">
        <f t="shared" ref="E2183:E2265" si="191">D2183+M2183</f>
        <v>51172</v>
      </c>
      <c r="F2183" s="71"/>
      <c r="G2183" s="71">
        <v>100133</v>
      </c>
      <c r="H2183" s="71" t="s">
        <v>256</v>
      </c>
      <c r="I2183" s="71"/>
      <c r="J2183" s="71" t="s">
        <v>244</v>
      </c>
      <c r="K2183" s="71">
        <v>1</v>
      </c>
      <c r="L2183" s="71" t="s">
        <v>434</v>
      </c>
      <c r="M2183" s="71">
        <f t="shared" ref="M2183:M2265" si="192">ROUNDDOWN(VLOOKUP(J2183,$S$2059:$V$2065,4,0)*1000,0)</f>
        <v>476</v>
      </c>
      <c r="O2183" s="67">
        <f t="shared" ref="O2183:O2222" si="193">(E2183-D2183)/$E$2280</f>
        <v>0.005028948146896</v>
      </c>
      <c r="P2183" s="67">
        <v>11000</v>
      </c>
    </row>
    <row r="2184" spans="1:16">
      <c r="A2184" s="71">
        <v>2182</v>
      </c>
      <c r="B2184" s="71">
        <v>11900</v>
      </c>
      <c r="C2184" s="71">
        <v>7</v>
      </c>
      <c r="D2184" s="71">
        <f t="shared" ref="D2184:D2266" si="194">E2183</f>
        <v>51172</v>
      </c>
      <c r="E2184" s="71">
        <f t="shared" si="191"/>
        <v>51648</v>
      </c>
      <c r="F2184" s="71"/>
      <c r="G2184" s="71">
        <v>100134</v>
      </c>
      <c r="H2184" s="71" t="s">
        <v>257</v>
      </c>
      <c r="I2184" s="71"/>
      <c r="J2184" s="71" t="s">
        <v>244</v>
      </c>
      <c r="K2184" s="71">
        <v>1</v>
      </c>
      <c r="L2184" s="71" t="s">
        <v>434</v>
      </c>
      <c r="M2184" s="71">
        <f t="shared" si="192"/>
        <v>476</v>
      </c>
      <c r="O2184" s="67">
        <f t="shared" si="193"/>
        <v>0.005028948146896</v>
      </c>
      <c r="P2184" s="67">
        <v>11000</v>
      </c>
    </row>
    <row r="2185" spans="1:16">
      <c r="A2185" s="71">
        <v>2183</v>
      </c>
      <c r="B2185" s="71">
        <v>11900</v>
      </c>
      <c r="C2185" s="71">
        <v>7</v>
      </c>
      <c r="D2185" s="71">
        <f t="shared" si="194"/>
        <v>51648</v>
      </c>
      <c r="E2185" s="71">
        <f t="shared" si="191"/>
        <v>52124</v>
      </c>
      <c r="F2185" s="71"/>
      <c r="G2185" s="71">
        <v>100135</v>
      </c>
      <c r="H2185" s="71" t="s">
        <v>258</v>
      </c>
      <c r="I2185" s="71"/>
      <c r="J2185" s="71" t="s">
        <v>244</v>
      </c>
      <c r="K2185" s="71">
        <v>1</v>
      </c>
      <c r="L2185" s="71" t="s">
        <v>434</v>
      </c>
      <c r="M2185" s="71">
        <f t="shared" si="192"/>
        <v>476</v>
      </c>
      <c r="O2185" s="67">
        <f t="shared" si="193"/>
        <v>0.005028948146896</v>
      </c>
      <c r="P2185" s="67">
        <v>11000</v>
      </c>
    </row>
    <row r="2186" spans="1:16">
      <c r="A2186" s="71">
        <v>2184</v>
      </c>
      <c r="B2186" s="71">
        <v>11900</v>
      </c>
      <c r="C2186" s="71">
        <v>7</v>
      </c>
      <c r="D2186" s="71">
        <f t="shared" si="194"/>
        <v>52124</v>
      </c>
      <c r="E2186" s="71">
        <f t="shared" si="191"/>
        <v>52600</v>
      </c>
      <c r="F2186" s="71"/>
      <c r="G2186" s="71">
        <v>100136</v>
      </c>
      <c r="H2186" s="71" t="s">
        <v>259</v>
      </c>
      <c r="I2186" s="71"/>
      <c r="J2186" s="71" t="s">
        <v>244</v>
      </c>
      <c r="K2186" s="71">
        <v>1</v>
      </c>
      <c r="L2186" s="71" t="s">
        <v>434</v>
      </c>
      <c r="M2186" s="71">
        <f t="shared" si="192"/>
        <v>476</v>
      </c>
      <c r="O2186" s="67">
        <f t="shared" si="193"/>
        <v>0.005028948146896</v>
      </c>
      <c r="P2186" s="67">
        <v>11000</v>
      </c>
    </row>
    <row r="2187" spans="1:16">
      <c r="A2187" s="71">
        <v>2185</v>
      </c>
      <c r="B2187" s="71">
        <v>11900</v>
      </c>
      <c r="C2187" s="71">
        <v>7</v>
      </c>
      <c r="D2187" s="71">
        <f t="shared" si="194"/>
        <v>52600</v>
      </c>
      <c r="E2187" s="71">
        <f t="shared" si="191"/>
        <v>53076</v>
      </c>
      <c r="F2187" s="71"/>
      <c r="G2187" s="71">
        <v>100137</v>
      </c>
      <c r="H2187" s="71" t="s">
        <v>260</v>
      </c>
      <c r="I2187" s="71"/>
      <c r="J2187" s="71" t="s">
        <v>244</v>
      </c>
      <c r="K2187" s="71">
        <v>1</v>
      </c>
      <c r="L2187" s="71" t="s">
        <v>434</v>
      </c>
      <c r="M2187" s="71">
        <f t="shared" si="192"/>
        <v>476</v>
      </c>
      <c r="O2187" s="67">
        <f t="shared" si="193"/>
        <v>0.005028948146896</v>
      </c>
      <c r="P2187" s="67">
        <v>11000</v>
      </c>
    </row>
    <row r="2188" spans="1:16">
      <c r="A2188" s="71">
        <v>2186</v>
      </c>
      <c r="B2188" s="71">
        <v>11900</v>
      </c>
      <c r="C2188" s="71">
        <v>7</v>
      </c>
      <c r="D2188" s="71">
        <f t="shared" si="194"/>
        <v>53076</v>
      </c>
      <c r="E2188" s="71">
        <f t="shared" si="191"/>
        <v>53552</v>
      </c>
      <c r="F2188" s="71"/>
      <c r="G2188" s="71">
        <v>100138</v>
      </c>
      <c r="H2188" s="71" t="s">
        <v>261</v>
      </c>
      <c r="I2188" s="71"/>
      <c r="J2188" s="71" t="s">
        <v>244</v>
      </c>
      <c r="K2188" s="71">
        <v>1</v>
      </c>
      <c r="L2188" s="71" t="s">
        <v>434</v>
      </c>
      <c r="M2188" s="71">
        <f t="shared" si="192"/>
        <v>476</v>
      </c>
      <c r="O2188" s="67">
        <f t="shared" si="193"/>
        <v>0.005028948146896</v>
      </c>
      <c r="P2188" s="67">
        <v>11000</v>
      </c>
    </row>
    <row r="2189" spans="1:16">
      <c r="A2189" s="71">
        <v>2187</v>
      </c>
      <c r="B2189" s="71">
        <v>11900</v>
      </c>
      <c r="C2189" s="71">
        <v>7</v>
      </c>
      <c r="D2189" s="71">
        <f t="shared" si="194"/>
        <v>53552</v>
      </c>
      <c r="E2189" s="71">
        <f t="shared" si="191"/>
        <v>54028</v>
      </c>
      <c r="F2189" s="71"/>
      <c r="G2189" s="71">
        <v>100144</v>
      </c>
      <c r="H2189" s="71" t="s">
        <v>262</v>
      </c>
      <c r="I2189" s="71"/>
      <c r="J2189" s="71" t="s">
        <v>244</v>
      </c>
      <c r="K2189" s="71">
        <v>1</v>
      </c>
      <c r="L2189" s="71" t="s">
        <v>434</v>
      </c>
      <c r="M2189" s="71">
        <f t="shared" si="192"/>
        <v>476</v>
      </c>
      <c r="O2189" s="67">
        <f t="shared" si="193"/>
        <v>0.005028948146896</v>
      </c>
      <c r="P2189" s="67">
        <v>11000</v>
      </c>
    </row>
    <row r="2190" spans="1:16">
      <c r="A2190" s="71">
        <v>2188</v>
      </c>
      <c r="B2190" s="71">
        <v>11900</v>
      </c>
      <c r="C2190" s="71">
        <v>7</v>
      </c>
      <c r="D2190" s="71">
        <f t="shared" si="194"/>
        <v>54028</v>
      </c>
      <c r="E2190" s="71">
        <f t="shared" si="191"/>
        <v>54504</v>
      </c>
      <c r="F2190" s="71"/>
      <c r="G2190" s="71">
        <v>100148</v>
      </c>
      <c r="H2190" s="71" t="s">
        <v>263</v>
      </c>
      <c r="I2190" s="71"/>
      <c r="J2190" s="71" t="s">
        <v>244</v>
      </c>
      <c r="K2190" s="71">
        <v>1</v>
      </c>
      <c r="L2190" s="71" t="s">
        <v>434</v>
      </c>
      <c r="M2190" s="71">
        <f t="shared" si="192"/>
        <v>476</v>
      </c>
      <c r="O2190" s="67">
        <f t="shared" si="193"/>
        <v>0.005028948146896</v>
      </c>
      <c r="P2190" s="67">
        <v>11000</v>
      </c>
    </row>
    <row r="2191" spans="1:16">
      <c r="A2191" s="71">
        <v>2189</v>
      </c>
      <c r="B2191" s="71">
        <v>11900</v>
      </c>
      <c r="C2191" s="71">
        <v>7</v>
      </c>
      <c r="D2191" s="71">
        <f t="shared" si="194"/>
        <v>54504</v>
      </c>
      <c r="E2191" s="71">
        <f t="shared" si="191"/>
        <v>54980</v>
      </c>
      <c r="F2191" s="71"/>
      <c r="G2191" s="71">
        <v>100139</v>
      </c>
      <c r="H2191" s="71" t="s">
        <v>264</v>
      </c>
      <c r="I2191" s="71"/>
      <c r="J2191" s="71" t="s">
        <v>244</v>
      </c>
      <c r="K2191" s="71">
        <v>1</v>
      </c>
      <c r="L2191" s="71" t="s">
        <v>434</v>
      </c>
      <c r="M2191" s="71">
        <f t="shared" si="192"/>
        <v>476</v>
      </c>
      <c r="O2191" s="67">
        <f t="shared" si="193"/>
        <v>0.005028948146896</v>
      </c>
      <c r="P2191" s="67">
        <v>11000</v>
      </c>
    </row>
    <row r="2192" spans="1:16">
      <c r="A2192" s="71">
        <v>2190</v>
      </c>
      <c r="B2192" s="71">
        <v>11900</v>
      </c>
      <c r="C2192" s="71">
        <v>2</v>
      </c>
      <c r="D2192" s="71">
        <f t="shared" si="194"/>
        <v>54980</v>
      </c>
      <c r="E2192" s="71">
        <f t="shared" si="191"/>
        <v>57252</v>
      </c>
      <c r="F2192" s="71"/>
      <c r="G2192" s="71">
        <v>907009</v>
      </c>
      <c r="H2192" s="71" t="s">
        <v>265</v>
      </c>
      <c r="I2192" s="71"/>
      <c r="J2192" s="71" t="s">
        <v>266</v>
      </c>
      <c r="K2192" s="71">
        <v>1</v>
      </c>
      <c r="L2192" s="71" t="s">
        <v>434</v>
      </c>
      <c r="M2192" s="71">
        <f t="shared" si="192"/>
        <v>2272</v>
      </c>
      <c r="O2192" s="67">
        <f t="shared" si="193"/>
        <v>0.0240037188860246</v>
      </c>
      <c r="P2192" s="67">
        <v>11000</v>
      </c>
    </row>
    <row r="2193" spans="1:16">
      <c r="A2193" s="71">
        <v>2191</v>
      </c>
      <c r="B2193" s="71">
        <v>11900</v>
      </c>
      <c r="C2193" s="71">
        <v>2</v>
      </c>
      <c r="D2193" s="71">
        <f t="shared" si="194"/>
        <v>57252</v>
      </c>
      <c r="E2193" s="71">
        <f t="shared" si="191"/>
        <v>59524</v>
      </c>
      <c r="F2193" s="71"/>
      <c r="G2193" s="71">
        <v>907010</v>
      </c>
      <c r="H2193" s="71" t="s">
        <v>267</v>
      </c>
      <c r="I2193" s="71"/>
      <c r="J2193" s="71" t="s">
        <v>266</v>
      </c>
      <c r="K2193" s="71">
        <v>1</v>
      </c>
      <c r="L2193" s="71" t="s">
        <v>434</v>
      </c>
      <c r="M2193" s="71">
        <f t="shared" si="192"/>
        <v>2272</v>
      </c>
      <c r="O2193" s="67">
        <f t="shared" si="193"/>
        <v>0.0240037188860246</v>
      </c>
      <c r="P2193" s="67">
        <v>11000</v>
      </c>
    </row>
    <row r="2194" spans="1:16">
      <c r="A2194" s="71">
        <v>2192</v>
      </c>
      <c r="B2194" s="71">
        <v>11900</v>
      </c>
      <c r="C2194" s="71">
        <v>2</v>
      </c>
      <c r="D2194" s="71">
        <f t="shared" si="194"/>
        <v>59524</v>
      </c>
      <c r="E2194" s="71">
        <f t="shared" si="191"/>
        <v>61796</v>
      </c>
      <c r="F2194" s="71"/>
      <c r="G2194" s="71">
        <v>907011</v>
      </c>
      <c r="H2194" s="71" t="s">
        <v>268</v>
      </c>
      <c r="I2194" s="71"/>
      <c r="J2194" s="71" t="s">
        <v>266</v>
      </c>
      <c r="K2194" s="71">
        <v>1</v>
      </c>
      <c r="L2194" s="71" t="s">
        <v>434</v>
      </c>
      <c r="M2194" s="71">
        <f t="shared" si="192"/>
        <v>2272</v>
      </c>
      <c r="O2194" s="67">
        <f t="shared" si="193"/>
        <v>0.0240037188860246</v>
      </c>
      <c r="P2194" s="67">
        <v>11000</v>
      </c>
    </row>
    <row r="2195" spans="1:16">
      <c r="A2195" s="71">
        <v>2193</v>
      </c>
      <c r="B2195" s="71">
        <v>11900</v>
      </c>
      <c r="C2195" s="71">
        <v>2</v>
      </c>
      <c r="D2195" s="71">
        <f t="shared" si="194"/>
        <v>61796</v>
      </c>
      <c r="E2195" s="71">
        <f t="shared" si="191"/>
        <v>64068</v>
      </c>
      <c r="F2195" s="71"/>
      <c r="G2195" s="71">
        <v>907012</v>
      </c>
      <c r="H2195" s="71" t="s">
        <v>269</v>
      </c>
      <c r="I2195" s="71"/>
      <c r="J2195" s="71" t="s">
        <v>266</v>
      </c>
      <c r="K2195" s="71">
        <v>1</v>
      </c>
      <c r="L2195" s="71" t="s">
        <v>434</v>
      </c>
      <c r="M2195" s="71">
        <f t="shared" si="192"/>
        <v>2272</v>
      </c>
      <c r="O2195" s="67">
        <f t="shared" si="193"/>
        <v>0.0240037188860246</v>
      </c>
      <c r="P2195" s="67">
        <v>11000</v>
      </c>
    </row>
    <row r="2196" spans="1:16">
      <c r="A2196" s="71">
        <v>2194</v>
      </c>
      <c r="B2196" s="71">
        <v>11900</v>
      </c>
      <c r="C2196" s="71">
        <v>2</v>
      </c>
      <c r="D2196" s="71">
        <f t="shared" si="194"/>
        <v>64068</v>
      </c>
      <c r="E2196" s="71">
        <f t="shared" si="191"/>
        <v>66340</v>
      </c>
      <c r="F2196" s="71"/>
      <c r="G2196" s="71">
        <v>907014</v>
      </c>
      <c r="H2196" s="71" t="s">
        <v>270</v>
      </c>
      <c r="I2196" s="71"/>
      <c r="J2196" s="71" t="s">
        <v>266</v>
      </c>
      <c r="K2196" s="71">
        <v>1</v>
      </c>
      <c r="L2196" s="71" t="s">
        <v>434</v>
      </c>
      <c r="M2196" s="71">
        <f t="shared" si="192"/>
        <v>2272</v>
      </c>
      <c r="O2196" s="67">
        <f t="shared" si="193"/>
        <v>0.0240037188860246</v>
      </c>
      <c r="P2196" s="67">
        <v>11000</v>
      </c>
    </row>
    <row r="2197" spans="1:16">
      <c r="A2197" s="71">
        <v>2195</v>
      </c>
      <c r="B2197" s="71">
        <v>11900</v>
      </c>
      <c r="C2197" s="71">
        <v>2</v>
      </c>
      <c r="D2197" s="71">
        <f t="shared" si="194"/>
        <v>66340</v>
      </c>
      <c r="E2197" s="71">
        <f t="shared" si="191"/>
        <v>68612</v>
      </c>
      <c r="F2197" s="71"/>
      <c r="G2197" s="71">
        <v>907017</v>
      </c>
      <c r="H2197" s="71" t="s">
        <v>271</v>
      </c>
      <c r="I2197" s="71"/>
      <c r="J2197" s="71" t="s">
        <v>266</v>
      </c>
      <c r="K2197" s="71">
        <v>1</v>
      </c>
      <c r="L2197" s="71" t="s">
        <v>434</v>
      </c>
      <c r="M2197" s="71">
        <f t="shared" si="192"/>
        <v>2272</v>
      </c>
      <c r="O2197" s="67">
        <f t="shared" si="193"/>
        <v>0.0240037188860246</v>
      </c>
      <c r="P2197" s="67">
        <v>11000</v>
      </c>
    </row>
    <row r="2198" spans="1:16">
      <c r="A2198" s="71">
        <v>2196</v>
      </c>
      <c r="B2198" s="71">
        <v>11900</v>
      </c>
      <c r="C2198" s="71">
        <v>2</v>
      </c>
      <c r="D2198" s="71">
        <f t="shared" si="194"/>
        <v>68612</v>
      </c>
      <c r="E2198" s="71">
        <f t="shared" si="191"/>
        <v>70884</v>
      </c>
      <c r="F2198" s="71"/>
      <c r="G2198" s="71">
        <v>907018</v>
      </c>
      <c r="H2198" s="71" t="s">
        <v>272</v>
      </c>
      <c r="I2198" s="71"/>
      <c r="J2198" s="71" t="s">
        <v>266</v>
      </c>
      <c r="K2198" s="71">
        <v>1</v>
      </c>
      <c r="L2198" s="71" t="s">
        <v>434</v>
      </c>
      <c r="M2198" s="71">
        <f t="shared" si="192"/>
        <v>2272</v>
      </c>
      <c r="O2198" s="67">
        <f t="shared" si="193"/>
        <v>0.0240037188860246</v>
      </c>
      <c r="P2198" s="67">
        <v>11000</v>
      </c>
    </row>
    <row r="2199" spans="1:16">
      <c r="A2199" s="71">
        <v>2197</v>
      </c>
      <c r="B2199" s="71">
        <v>11900</v>
      </c>
      <c r="C2199" s="71">
        <v>2</v>
      </c>
      <c r="D2199" s="71">
        <f t="shared" si="194"/>
        <v>70884</v>
      </c>
      <c r="E2199" s="71">
        <f t="shared" si="191"/>
        <v>73156</v>
      </c>
      <c r="F2199" s="71"/>
      <c r="G2199" s="71">
        <v>907033</v>
      </c>
      <c r="H2199" s="71" t="s">
        <v>273</v>
      </c>
      <c r="I2199" s="71"/>
      <c r="J2199" s="71" t="s">
        <v>266</v>
      </c>
      <c r="K2199" s="71">
        <v>1</v>
      </c>
      <c r="L2199" s="71" t="s">
        <v>434</v>
      </c>
      <c r="M2199" s="71">
        <f t="shared" si="192"/>
        <v>2272</v>
      </c>
      <c r="O2199" s="67">
        <f t="shared" si="193"/>
        <v>0.0240037188860246</v>
      </c>
      <c r="P2199" s="67">
        <v>11000</v>
      </c>
    </row>
    <row r="2200" spans="1:16">
      <c r="A2200" s="71">
        <v>2198</v>
      </c>
      <c r="B2200" s="71">
        <v>11900</v>
      </c>
      <c r="C2200" s="71">
        <v>2</v>
      </c>
      <c r="D2200" s="71">
        <f t="shared" si="194"/>
        <v>73156</v>
      </c>
      <c r="E2200" s="71">
        <f t="shared" si="191"/>
        <v>75428</v>
      </c>
      <c r="F2200" s="71"/>
      <c r="G2200" s="71">
        <v>907035</v>
      </c>
      <c r="H2200" s="71" t="s">
        <v>274</v>
      </c>
      <c r="I2200" s="71"/>
      <c r="J2200" s="71" t="s">
        <v>266</v>
      </c>
      <c r="K2200" s="71">
        <v>1</v>
      </c>
      <c r="L2200" s="71" t="s">
        <v>434</v>
      </c>
      <c r="M2200" s="71">
        <f t="shared" si="192"/>
        <v>2272</v>
      </c>
      <c r="O2200" s="67">
        <f t="shared" si="193"/>
        <v>0.0240037188860246</v>
      </c>
      <c r="P2200" s="67">
        <v>11000</v>
      </c>
    </row>
    <row r="2201" spans="1:16">
      <c r="A2201" s="71">
        <v>2199</v>
      </c>
      <c r="B2201" s="71">
        <v>11900</v>
      </c>
      <c r="C2201" s="71">
        <v>2</v>
      </c>
      <c r="D2201" s="71">
        <f t="shared" si="194"/>
        <v>75428</v>
      </c>
      <c r="E2201" s="71">
        <f t="shared" si="191"/>
        <v>77700</v>
      </c>
      <c r="F2201" s="71"/>
      <c r="G2201" s="71">
        <v>907036</v>
      </c>
      <c r="H2201" s="71" t="s">
        <v>275</v>
      </c>
      <c r="I2201" s="71"/>
      <c r="J2201" s="71" t="s">
        <v>266</v>
      </c>
      <c r="K2201" s="71">
        <v>1</v>
      </c>
      <c r="L2201" s="71" t="s">
        <v>434</v>
      </c>
      <c r="M2201" s="71">
        <f t="shared" si="192"/>
        <v>2272</v>
      </c>
      <c r="O2201" s="67">
        <f t="shared" si="193"/>
        <v>0.0240037188860246</v>
      </c>
      <c r="P2201" s="67">
        <v>11000</v>
      </c>
    </row>
    <row r="2202" spans="1:16">
      <c r="A2202" s="71">
        <v>2200</v>
      </c>
      <c r="B2202" s="71">
        <v>11900</v>
      </c>
      <c r="C2202" s="71">
        <v>2</v>
      </c>
      <c r="D2202" s="71">
        <f t="shared" si="194"/>
        <v>77700</v>
      </c>
      <c r="E2202" s="71">
        <f t="shared" si="191"/>
        <v>79972</v>
      </c>
      <c r="F2202" s="71"/>
      <c r="G2202" s="71">
        <v>907038</v>
      </c>
      <c r="H2202" s="71" t="s">
        <v>276</v>
      </c>
      <c r="I2202" s="71"/>
      <c r="J2202" s="71" t="s">
        <v>266</v>
      </c>
      <c r="K2202" s="71">
        <v>1</v>
      </c>
      <c r="L2202" s="71" t="s">
        <v>434</v>
      </c>
      <c r="M2202" s="71">
        <f t="shared" si="192"/>
        <v>2272</v>
      </c>
      <c r="O2202" s="67">
        <f t="shared" si="193"/>
        <v>0.0240037188860246</v>
      </c>
      <c r="P2202" s="67">
        <v>11000</v>
      </c>
    </row>
    <row r="2203" spans="1:16">
      <c r="A2203" s="71">
        <v>2201</v>
      </c>
      <c r="B2203" s="71">
        <v>11900</v>
      </c>
      <c r="C2203" s="71">
        <v>2</v>
      </c>
      <c r="D2203" s="71">
        <f t="shared" si="194"/>
        <v>79972</v>
      </c>
      <c r="E2203" s="71">
        <f t="shared" si="191"/>
        <v>80472</v>
      </c>
      <c r="F2203" s="71"/>
      <c r="G2203" s="71">
        <v>904058</v>
      </c>
      <c r="H2203" s="71" t="s">
        <v>549</v>
      </c>
      <c r="I2203" s="71"/>
      <c r="J2203" s="71" t="s">
        <v>436</v>
      </c>
      <c r="K2203" s="71">
        <v>1</v>
      </c>
      <c r="L2203" s="71" t="s">
        <v>434</v>
      </c>
      <c r="M2203" s="71">
        <f t="shared" si="192"/>
        <v>500</v>
      </c>
      <c r="O2203" s="67">
        <f t="shared" si="193"/>
        <v>0.00528250855766386</v>
      </c>
      <c r="P2203" s="67">
        <v>11001</v>
      </c>
    </row>
    <row r="2204" spans="1:16">
      <c r="A2204" s="71">
        <v>2202</v>
      </c>
      <c r="B2204" s="71">
        <v>11900</v>
      </c>
      <c r="C2204" s="71">
        <v>2</v>
      </c>
      <c r="D2204" s="71">
        <f t="shared" si="194"/>
        <v>80472</v>
      </c>
      <c r="E2204" s="71">
        <f t="shared" si="191"/>
        <v>80972</v>
      </c>
      <c r="F2204" s="71"/>
      <c r="G2204" s="71">
        <v>904001</v>
      </c>
      <c r="H2204" s="71" t="s">
        <v>550</v>
      </c>
      <c r="I2204" s="71"/>
      <c r="J2204" s="71" t="s">
        <v>436</v>
      </c>
      <c r="K2204" s="71">
        <v>1</v>
      </c>
      <c r="L2204" s="71" t="s">
        <v>434</v>
      </c>
      <c r="M2204" s="71">
        <f t="shared" si="192"/>
        <v>500</v>
      </c>
      <c r="O2204" s="67">
        <f t="shared" si="193"/>
        <v>0.00528250855766386</v>
      </c>
      <c r="P2204" s="67">
        <v>11000</v>
      </c>
    </row>
    <row r="2205" spans="1:16">
      <c r="A2205" s="71">
        <v>2203</v>
      </c>
      <c r="B2205" s="71">
        <v>11900</v>
      </c>
      <c r="C2205" s="71">
        <v>2</v>
      </c>
      <c r="D2205" s="71">
        <f t="shared" si="194"/>
        <v>80972</v>
      </c>
      <c r="E2205" s="71">
        <f t="shared" si="191"/>
        <v>81472</v>
      </c>
      <c r="F2205" s="71"/>
      <c r="G2205" s="71">
        <v>904002</v>
      </c>
      <c r="H2205" s="71" t="s">
        <v>551</v>
      </c>
      <c r="I2205" s="71"/>
      <c r="J2205" s="71" t="s">
        <v>436</v>
      </c>
      <c r="K2205" s="71">
        <v>1</v>
      </c>
      <c r="L2205" s="71" t="s">
        <v>434</v>
      </c>
      <c r="M2205" s="71">
        <f t="shared" si="192"/>
        <v>500</v>
      </c>
      <c r="O2205" s="67">
        <f t="shared" si="193"/>
        <v>0.00528250855766386</v>
      </c>
      <c r="P2205" s="67">
        <v>11000</v>
      </c>
    </row>
    <row r="2206" spans="1:16">
      <c r="A2206" s="71">
        <v>2204</v>
      </c>
      <c r="B2206" s="71">
        <v>11900</v>
      </c>
      <c r="C2206" s="71">
        <v>2</v>
      </c>
      <c r="D2206" s="71">
        <f t="shared" si="194"/>
        <v>81472</v>
      </c>
      <c r="E2206" s="71">
        <f t="shared" si="191"/>
        <v>81972</v>
      </c>
      <c r="F2206" s="71"/>
      <c r="G2206" s="71">
        <v>904003</v>
      </c>
      <c r="H2206" s="71" t="s">
        <v>552</v>
      </c>
      <c r="I2206" s="71"/>
      <c r="J2206" s="71" t="s">
        <v>436</v>
      </c>
      <c r="K2206" s="71">
        <v>1</v>
      </c>
      <c r="L2206" s="71" t="s">
        <v>434</v>
      </c>
      <c r="M2206" s="71">
        <f t="shared" si="192"/>
        <v>500</v>
      </c>
      <c r="O2206" s="67">
        <f t="shared" si="193"/>
        <v>0.00528250855766386</v>
      </c>
      <c r="P2206" s="67">
        <v>11000</v>
      </c>
    </row>
    <row r="2207" spans="1:16">
      <c r="A2207" s="71">
        <v>2205</v>
      </c>
      <c r="B2207" s="71">
        <v>11900</v>
      </c>
      <c r="C2207" s="71">
        <v>2</v>
      </c>
      <c r="D2207" s="71">
        <f t="shared" si="194"/>
        <v>81972</v>
      </c>
      <c r="E2207" s="71">
        <f t="shared" si="191"/>
        <v>82472</v>
      </c>
      <c r="F2207" s="71"/>
      <c r="G2207" s="71">
        <v>904004</v>
      </c>
      <c r="H2207" s="71" t="s">
        <v>553</v>
      </c>
      <c r="I2207" s="71"/>
      <c r="J2207" s="71" t="s">
        <v>436</v>
      </c>
      <c r="K2207" s="71">
        <v>1</v>
      </c>
      <c r="L2207" s="71" t="s">
        <v>434</v>
      </c>
      <c r="M2207" s="71">
        <f t="shared" si="192"/>
        <v>500</v>
      </c>
      <c r="O2207" s="67">
        <f t="shared" si="193"/>
        <v>0.00528250855766386</v>
      </c>
      <c r="P2207" s="67">
        <v>11000</v>
      </c>
    </row>
    <row r="2208" spans="1:16">
      <c r="A2208" s="71">
        <v>2206</v>
      </c>
      <c r="B2208" s="71">
        <v>11900</v>
      </c>
      <c r="C2208" s="71">
        <v>2</v>
      </c>
      <c r="D2208" s="71">
        <f t="shared" si="194"/>
        <v>82472</v>
      </c>
      <c r="E2208" s="71">
        <f t="shared" si="191"/>
        <v>82972</v>
      </c>
      <c r="F2208" s="71"/>
      <c r="G2208" s="71">
        <v>904011</v>
      </c>
      <c r="H2208" s="71" t="s">
        <v>554</v>
      </c>
      <c r="I2208" s="71"/>
      <c r="J2208" s="71" t="s">
        <v>436</v>
      </c>
      <c r="K2208" s="71">
        <v>1</v>
      </c>
      <c r="L2208" s="71" t="s">
        <v>434</v>
      </c>
      <c r="M2208" s="71">
        <f t="shared" si="192"/>
        <v>500</v>
      </c>
      <c r="O2208" s="67">
        <f t="shared" si="193"/>
        <v>0.00528250855766386</v>
      </c>
      <c r="P2208" s="67">
        <v>11000</v>
      </c>
    </row>
    <row r="2209" spans="1:16">
      <c r="A2209" s="71">
        <v>2207</v>
      </c>
      <c r="B2209" s="71">
        <v>11900</v>
      </c>
      <c r="C2209" s="71">
        <v>2</v>
      </c>
      <c r="D2209" s="71">
        <f t="shared" si="194"/>
        <v>82972</v>
      </c>
      <c r="E2209" s="71">
        <f t="shared" si="191"/>
        <v>83472</v>
      </c>
      <c r="F2209" s="71"/>
      <c r="G2209" s="71">
        <v>904012</v>
      </c>
      <c r="H2209" s="71" t="s">
        <v>555</v>
      </c>
      <c r="I2209" s="71"/>
      <c r="J2209" s="71" t="s">
        <v>436</v>
      </c>
      <c r="K2209" s="71">
        <v>1</v>
      </c>
      <c r="L2209" s="71" t="s">
        <v>434</v>
      </c>
      <c r="M2209" s="71">
        <f t="shared" si="192"/>
        <v>500</v>
      </c>
      <c r="O2209" s="67">
        <f t="shared" si="193"/>
        <v>0.00528250855766386</v>
      </c>
      <c r="P2209" s="67">
        <v>11000</v>
      </c>
    </row>
    <row r="2210" spans="1:16">
      <c r="A2210" s="71">
        <v>2208</v>
      </c>
      <c r="B2210" s="71">
        <v>11900</v>
      </c>
      <c r="C2210" s="71">
        <v>2</v>
      </c>
      <c r="D2210" s="71">
        <f t="shared" si="194"/>
        <v>83472</v>
      </c>
      <c r="E2210" s="71">
        <f t="shared" si="191"/>
        <v>83972</v>
      </c>
      <c r="F2210" s="71"/>
      <c r="G2210" s="71">
        <v>904013</v>
      </c>
      <c r="H2210" s="71" t="s">
        <v>556</v>
      </c>
      <c r="I2210" s="71"/>
      <c r="J2210" s="71" t="s">
        <v>436</v>
      </c>
      <c r="K2210" s="71">
        <v>1</v>
      </c>
      <c r="L2210" s="71" t="s">
        <v>434</v>
      </c>
      <c r="M2210" s="71">
        <f t="shared" si="192"/>
        <v>500</v>
      </c>
      <c r="O2210" s="67">
        <f t="shared" si="193"/>
        <v>0.00528250855766386</v>
      </c>
      <c r="P2210" s="67">
        <v>11000</v>
      </c>
    </row>
    <row r="2211" spans="1:16">
      <c r="A2211" s="71">
        <v>2209</v>
      </c>
      <c r="B2211" s="71">
        <v>11900</v>
      </c>
      <c r="C2211" s="71">
        <v>2</v>
      </c>
      <c r="D2211" s="71">
        <f t="shared" si="194"/>
        <v>83972</v>
      </c>
      <c r="E2211" s="71">
        <f t="shared" si="191"/>
        <v>84472</v>
      </c>
      <c r="F2211" s="71"/>
      <c r="G2211" s="71">
        <v>904014</v>
      </c>
      <c r="H2211" s="71" t="s">
        <v>557</v>
      </c>
      <c r="I2211" s="71"/>
      <c r="J2211" s="71" t="s">
        <v>436</v>
      </c>
      <c r="K2211" s="71">
        <v>1</v>
      </c>
      <c r="L2211" s="71" t="s">
        <v>434</v>
      </c>
      <c r="M2211" s="71">
        <f t="shared" si="192"/>
        <v>500</v>
      </c>
      <c r="O2211" s="67">
        <f t="shared" si="193"/>
        <v>0.00528250855766386</v>
      </c>
      <c r="P2211" s="67">
        <v>11000</v>
      </c>
    </row>
    <row r="2212" spans="1:16">
      <c r="A2212" s="71">
        <v>2210</v>
      </c>
      <c r="B2212" s="71">
        <v>11900</v>
      </c>
      <c r="C2212" s="71">
        <v>2</v>
      </c>
      <c r="D2212" s="71">
        <f t="shared" si="194"/>
        <v>84472</v>
      </c>
      <c r="E2212" s="71">
        <f t="shared" si="191"/>
        <v>84972</v>
      </c>
      <c r="F2212" s="71"/>
      <c r="G2212" s="71">
        <v>904015</v>
      </c>
      <c r="H2212" s="71" t="s">
        <v>558</v>
      </c>
      <c r="I2212" s="71"/>
      <c r="J2212" s="71" t="s">
        <v>436</v>
      </c>
      <c r="K2212" s="71">
        <v>1</v>
      </c>
      <c r="L2212" s="71" t="s">
        <v>434</v>
      </c>
      <c r="M2212" s="71">
        <f t="shared" si="192"/>
        <v>500</v>
      </c>
      <c r="O2212" s="67">
        <f t="shared" si="193"/>
        <v>0.00528250855766386</v>
      </c>
      <c r="P2212" s="67">
        <v>11000</v>
      </c>
    </row>
    <row r="2213" spans="1:16">
      <c r="A2213" s="71">
        <v>2211</v>
      </c>
      <c r="B2213" s="71">
        <v>11900</v>
      </c>
      <c r="C2213" s="71">
        <v>2</v>
      </c>
      <c r="D2213" s="71">
        <f t="shared" si="194"/>
        <v>84972</v>
      </c>
      <c r="E2213" s="71">
        <f t="shared" si="191"/>
        <v>85472</v>
      </c>
      <c r="F2213" s="71"/>
      <c r="G2213" s="71">
        <v>904016</v>
      </c>
      <c r="H2213" s="71" t="s">
        <v>559</v>
      </c>
      <c r="I2213" s="71"/>
      <c r="J2213" s="71" t="s">
        <v>436</v>
      </c>
      <c r="K2213" s="71">
        <v>1</v>
      </c>
      <c r="L2213" s="71" t="s">
        <v>434</v>
      </c>
      <c r="M2213" s="71">
        <f t="shared" si="192"/>
        <v>500</v>
      </c>
      <c r="O2213" s="67">
        <f t="shared" si="193"/>
        <v>0.00528250855766386</v>
      </c>
      <c r="P2213" s="67">
        <v>11000</v>
      </c>
    </row>
    <row r="2214" spans="1:16">
      <c r="A2214" s="71">
        <v>2212</v>
      </c>
      <c r="B2214" s="71">
        <v>11900</v>
      </c>
      <c r="C2214" s="71">
        <v>2</v>
      </c>
      <c r="D2214" s="71">
        <f t="shared" si="194"/>
        <v>85472</v>
      </c>
      <c r="E2214" s="71">
        <f t="shared" si="191"/>
        <v>85972</v>
      </c>
      <c r="F2214" s="71"/>
      <c r="G2214" s="71">
        <v>904017</v>
      </c>
      <c r="H2214" s="71" t="s">
        <v>560</v>
      </c>
      <c r="I2214" s="71"/>
      <c r="J2214" s="71" t="s">
        <v>436</v>
      </c>
      <c r="K2214" s="71">
        <v>1</v>
      </c>
      <c r="L2214" s="71" t="s">
        <v>434</v>
      </c>
      <c r="M2214" s="71">
        <f t="shared" si="192"/>
        <v>500</v>
      </c>
      <c r="O2214" s="67">
        <f t="shared" si="193"/>
        <v>0.00528250855766386</v>
      </c>
      <c r="P2214" s="67">
        <v>11000</v>
      </c>
    </row>
    <row r="2215" spans="1:16">
      <c r="A2215" s="71">
        <v>2213</v>
      </c>
      <c r="B2215" s="71">
        <v>11900</v>
      </c>
      <c r="C2215" s="71">
        <v>2</v>
      </c>
      <c r="D2215" s="71">
        <f t="shared" si="194"/>
        <v>85972</v>
      </c>
      <c r="E2215" s="71">
        <f t="shared" si="191"/>
        <v>86472</v>
      </c>
      <c r="F2215" s="71"/>
      <c r="G2215" s="71">
        <v>904018</v>
      </c>
      <c r="H2215" s="71" t="s">
        <v>561</v>
      </c>
      <c r="I2215" s="71"/>
      <c r="J2215" s="71" t="s">
        <v>436</v>
      </c>
      <c r="K2215" s="71">
        <v>1</v>
      </c>
      <c r="L2215" s="71" t="s">
        <v>434</v>
      </c>
      <c r="M2215" s="71">
        <f t="shared" si="192"/>
        <v>500</v>
      </c>
      <c r="O2215" s="67">
        <f t="shared" si="193"/>
        <v>0.00528250855766386</v>
      </c>
      <c r="P2215" s="67">
        <v>11000</v>
      </c>
    </row>
    <row r="2216" spans="1:16">
      <c r="A2216" s="71">
        <v>2214</v>
      </c>
      <c r="B2216" s="71">
        <v>11900</v>
      </c>
      <c r="C2216" s="71">
        <v>2</v>
      </c>
      <c r="D2216" s="71">
        <f t="shared" si="194"/>
        <v>86472</v>
      </c>
      <c r="E2216" s="71">
        <f t="shared" si="191"/>
        <v>86972</v>
      </c>
      <c r="F2216" s="71"/>
      <c r="G2216" s="71">
        <v>904019</v>
      </c>
      <c r="H2216" s="71" t="s">
        <v>562</v>
      </c>
      <c r="I2216" s="71"/>
      <c r="J2216" s="71" t="s">
        <v>436</v>
      </c>
      <c r="K2216" s="71">
        <v>1</v>
      </c>
      <c r="L2216" s="71" t="s">
        <v>434</v>
      </c>
      <c r="M2216" s="71">
        <f t="shared" si="192"/>
        <v>500</v>
      </c>
      <c r="O2216" s="67">
        <f t="shared" si="193"/>
        <v>0.00528250855766386</v>
      </c>
      <c r="P2216" s="67">
        <v>11000</v>
      </c>
    </row>
    <row r="2217" spans="1:16">
      <c r="A2217" s="71">
        <v>2215</v>
      </c>
      <c r="B2217" s="71">
        <v>11900</v>
      </c>
      <c r="C2217" s="71">
        <v>2</v>
      </c>
      <c r="D2217" s="71">
        <f t="shared" si="194"/>
        <v>86972</v>
      </c>
      <c r="E2217" s="71">
        <f t="shared" si="191"/>
        <v>87472</v>
      </c>
      <c r="F2217" s="71"/>
      <c r="G2217" s="71">
        <v>904020</v>
      </c>
      <c r="H2217" s="71" t="s">
        <v>563</v>
      </c>
      <c r="I2217" s="71"/>
      <c r="J2217" s="71" t="s">
        <v>436</v>
      </c>
      <c r="K2217" s="71">
        <v>1</v>
      </c>
      <c r="L2217" s="71" t="s">
        <v>434</v>
      </c>
      <c r="M2217" s="71">
        <f t="shared" si="192"/>
        <v>500</v>
      </c>
      <c r="O2217" s="67">
        <f t="shared" si="193"/>
        <v>0.00528250855766386</v>
      </c>
      <c r="P2217" s="67">
        <v>11000</v>
      </c>
    </row>
    <row r="2218" spans="1:16">
      <c r="A2218" s="71">
        <v>2216</v>
      </c>
      <c r="B2218" s="71">
        <v>11900</v>
      </c>
      <c r="C2218" s="71">
        <v>2</v>
      </c>
      <c r="D2218" s="71">
        <f t="shared" si="194"/>
        <v>87472</v>
      </c>
      <c r="E2218" s="71">
        <f t="shared" si="191"/>
        <v>87972</v>
      </c>
      <c r="F2218" s="71"/>
      <c r="G2218" s="71">
        <v>904053</v>
      </c>
      <c r="H2218" s="71" t="s">
        <v>564</v>
      </c>
      <c r="I2218" s="71"/>
      <c r="J2218" s="71" t="s">
        <v>436</v>
      </c>
      <c r="K2218" s="71">
        <v>1</v>
      </c>
      <c r="L2218" s="71" t="s">
        <v>434</v>
      </c>
      <c r="M2218" s="71">
        <f t="shared" si="192"/>
        <v>500</v>
      </c>
      <c r="O2218" s="67">
        <f t="shared" si="193"/>
        <v>0.00528250855766386</v>
      </c>
      <c r="P2218" s="67">
        <v>11000</v>
      </c>
    </row>
    <row r="2219" spans="1:16">
      <c r="A2219" s="71">
        <v>2217</v>
      </c>
      <c r="B2219" s="71">
        <v>11900</v>
      </c>
      <c r="C2219" s="71">
        <v>2</v>
      </c>
      <c r="D2219" s="71">
        <f t="shared" si="194"/>
        <v>87972</v>
      </c>
      <c r="E2219" s="71">
        <f t="shared" si="191"/>
        <v>88472</v>
      </c>
      <c r="F2219" s="71"/>
      <c r="G2219" s="71">
        <v>904054</v>
      </c>
      <c r="H2219" s="71" t="s">
        <v>565</v>
      </c>
      <c r="I2219" s="71"/>
      <c r="J2219" s="71" t="s">
        <v>436</v>
      </c>
      <c r="K2219" s="71">
        <v>1</v>
      </c>
      <c r="L2219" s="71" t="s">
        <v>434</v>
      </c>
      <c r="M2219" s="71">
        <f t="shared" si="192"/>
        <v>500</v>
      </c>
      <c r="O2219" s="67">
        <f t="shared" si="193"/>
        <v>0.00528250855766386</v>
      </c>
      <c r="P2219" s="67">
        <v>11000</v>
      </c>
    </row>
    <row r="2220" spans="1:16">
      <c r="A2220" s="71">
        <v>2218</v>
      </c>
      <c r="B2220" s="71">
        <v>11900</v>
      </c>
      <c r="C2220" s="71">
        <v>2</v>
      </c>
      <c r="D2220" s="71">
        <f t="shared" si="194"/>
        <v>88472</v>
      </c>
      <c r="E2220" s="71">
        <f t="shared" si="191"/>
        <v>88972</v>
      </c>
      <c r="F2220" s="71"/>
      <c r="G2220" s="71">
        <v>904055</v>
      </c>
      <c r="H2220" s="71" t="s">
        <v>566</v>
      </c>
      <c r="I2220" s="71"/>
      <c r="J2220" s="71" t="s">
        <v>436</v>
      </c>
      <c r="K2220" s="71">
        <v>1</v>
      </c>
      <c r="L2220" s="71" t="s">
        <v>434</v>
      </c>
      <c r="M2220" s="71">
        <f t="shared" si="192"/>
        <v>500</v>
      </c>
      <c r="O2220" s="67">
        <f t="shared" si="193"/>
        <v>0.00528250855766386</v>
      </c>
      <c r="P2220" s="67">
        <v>11000</v>
      </c>
    </row>
    <row r="2221" spans="1:16">
      <c r="A2221" s="71">
        <v>2219</v>
      </c>
      <c r="B2221" s="71">
        <v>11900</v>
      </c>
      <c r="C2221" s="71">
        <v>2</v>
      </c>
      <c r="D2221" s="71">
        <f t="shared" si="194"/>
        <v>88972</v>
      </c>
      <c r="E2221" s="71">
        <f t="shared" si="191"/>
        <v>89472</v>
      </c>
      <c r="F2221" s="71"/>
      <c r="G2221" s="71">
        <v>904056</v>
      </c>
      <c r="H2221" s="71" t="s">
        <v>567</v>
      </c>
      <c r="I2221" s="71"/>
      <c r="J2221" s="71" t="s">
        <v>436</v>
      </c>
      <c r="K2221" s="71">
        <v>1</v>
      </c>
      <c r="L2221" s="71" t="s">
        <v>434</v>
      </c>
      <c r="M2221" s="71">
        <f t="shared" si="192"/>
        <v>500</v>
      </c>
      <c r="O2221" s="67">
        <f t="shared" si="193"/>
        <v>0.00528250855766386</v>
      </c>
      <c r="P2221" s="67">
        <v>11000</v>
      </c>
    </row>
    <row r="2222" spans="1:16">
      <c r="A2222" s="71">
        <v>2220</v>
      </c>
      <c r="B2222" s="71">
        <v>11900</v>
      </c>
      <c r="C2222" s="71">
        <v>2</v>
      </c>
      <c r="D2222" s="71">
        <f t="shared" si="194"/>
        <v>89472</v>
      </c>
      <c r="E2222" s="71">
        <f t="shared" si="191"/>
        <v>89972</v>
      </c>
      <c r="F2222" s="71"/>
      <c r="G2222" s="71">
        <v>904057</v>
      </c>
      <c r="H2222" s="71" t="s">
        <v>568</v>
      </c>
      <c r="I2222" s="71"/>
      <c r="J2222" s="71" t="s">
        <v>436</v>
      </c>
      <c r="K2222" s="71">
        <v>1</v>
      </c>
      <c r="L2222" s="71" t="s">
        <v>434</v>
      </c>
      <c r="M2222" s="71">
        <f t="shared" si="192"/>
        <v>500</v>
      </c>
      <c r="O2222" s="67">
        <f t="shared" si="193"/>
        <v>0.00528250855766386</v>
      </c>
      <c r="P2222" s="67">
        <v>11000</v>
      </c>
    </row>
    <row r="2223" spans="1:16">
      <c r="A2223" s="71">
        <v>2221</v>
      </c>
      <c r="B2223" s="71">
        <v>11900</v>
      </c>
      <c r="C2223" s="71">
        <v>2</v>
      </c>
      <c r="D2223" s="71">
        <f t="shared" si="194"/>
        <v>89972</v>
      </c>
      <c r="E2223" s="71">
        <f t="shared" si="191"/>
        <v>90472</v>
      </c>
      <c r="F2223" s="71"/>
      <c r="G2223" s="71">
        <v>904026</v>
      </c>
      <c r="H2223" s="71" t="s">
        <v>569</v>
      </c>
      <c r="I2223" s="71"/>
      <c r="J2223" s="71" t="s">
        <v>436</v>
      </c>
      <c r="K2223" s="71">
        <v>1</v>
      </c>
      <c r="L2223" s="71" t="s">
        <v>434</v>
      </c>
      <c r="M2223" s="71">
        <f t="shared" si="192"/>
        <v>500</v>
      </c>
      <c r="N2223"/>
      <c r="O2223">
        <f t="shared" ref="O2223:O2241" si="195">(E2223-D2223)/$E$2560</f>
        <v>0.004227042929848</v>
      </c>
      <c r="P2223">
        <v>11000</v>
      </c>
    </row>
    <row r="2224" spans="1:16">
      <c r="A2224" s="71">
        <v>2222</v>
      </c>
      <c r="B2224" s="71">
        <v>11900</v>
      </c>
      <c r="C2224" s="71">
        <v>2</v>
      </c>
      <c r="D2224" s="71">
        <f t="shared" si="194"/>
        <v>90472</v>
      </c>
      <c r="E2224" s="71">
        <f t="shared" si="191"/>
        <v>90972</v>
      </c>
      <c r="F2224" s="71"/>
      <c r="G2224" s="71">
        <v>904027</v>
      </c>
      <c r="H2224" s="71" t="s">
        <v>570</v>
      </c>
      <c r="I2224" s="71"/>
      <c r="J2224" s="71" t="s">
        <v>436</v>
      </c>
      <c r="K2224" s="71">
        <v>1</v>
      </c>
      <c r="L2224" s="71" t="s">
        <v>434</v>
      </c>
      <c r="M2224" s="71">
        <f t="shared" si="192"/>
        <v>500</v>
      </c>
      <c r="N2224"/>
      <c r="O2224">
        <f t="shared" si="195"/>
        <v>0.004227042929848</v>
      </c>
      <c r="P2224">
        <v>11000</v>
      </c>
    </row>
    <row r="2225" spans="1:16">
      <c r="A2225" s="71">
        <v>2223</v>
      </c>
      <c r="B2225" s="71">
        <v>11900</v>
      </c>
      <c r="C2225" s="71">
        <v>2</v>
      </c>
      <c r="D2225" s="71">
        <f t="shared" si="194"/>
        <v>90972</v>
      </c>
      <c r="E2225" s="71">
        <f t="shared" si="191"/>
        <v>91472</v>
      </c>
      <c r="F2225" s="71"/>
      <c r="G2225" s="71">
        <v>904028</v>
      </c>
      <c r="H2225" s="71" t="s">
        <v>571</v>
      </c>
      <c r="I2225" s="71"/>
      <c r="J2225" s="71" t="s">
        <v>436</v>
      </c>
      <c r="K2225" s="71">
        <v>1</v>
      </c>
      <c r="L2225" s="71" t="s">
        <v>434</v>
      </c>
      <c r="M2225" s="71">
        <f t="shared" si="192"/>
        <v>500</v>
      </c>
      <c r="N2225"/>
      <c r="O2225">
        <f t="shared" si="195"/>
        <v>0.004227042929848</v>
      </c>
      <c r="P2225">
        <v>11000</v>
      </c>
    </row>
    <row r="2226" spans="1:16">
      <c r="A2226" s="71">
        <v>2224</v>
      </c>
      <c r="B2226" s="71">
        <v>11900</v>
      </c>
      <c r="C2226" s="71">
        <v>2</v>
      </c>
      <c r="D2226" s="71">
        <f t="shared" si="194"/>
        <v>91472</v>
      </c>
      <c r="E2226" s="71">
        <f t="shared" si="191"/>
        <v>91972</v>
      </c>
      <c r="F2226" s="71"/>
      <c r="G2226" s="71">
        <v>904029</v>
      </c>
      <c r="H2226" s="71" t="s">
        <v>572</v>
      </c>
      <c r="I2226" s="71"/>
      <c r="J2226" s="71" t="s">
        <v>436</v>
      </c>
      <c r="K2226" s="71">
        <v>1</v>
      </c>
      <c r="L2226" s="71" t="s">
        <v>434</v>
      </c>
      <c r="M2226" s="71">
        <f t="shared" si="192"/>
        <v>500</v>
      </c>
      <c r="N2226"/>
      <c r="O2226">
        <f t="shared" si="195"/>
        <v>0.004227042929848</v>
      </c>
      <c r="P2226">
        <v>11000</v>
      </c>
    </row>
    <row r="2227" spans="1:16">
      <c r="A2227" s="71">
        <v>2225</v>
      </c>
      <c r="B2227" s="71">
        <v>11900</v>
      </c>
      <c r="C2227" s="71">
        <v>2</v>
      </c>
      <c r="D2227" s="71">
        <f t="shared" si="194"/>
        <v>91972</v>
      </c>
      <c r="E2227" s="71">
        <f t="shared" si="191"/>
        <v>92472</v>
      </c>
      <c r="F2227" s="71"/>
      <c r="G2227" s="71">
        <v>904030</v>
      </c>
      <c r="H2227" s="71" t="s">
        <v>573</v>
      </c>
      <c r="I2227" s="71"/>
      <c r="J2227" s="71" t="s">
        <v>436</v>
      </c>
      <c r="K2227" s="71">
        <v>1</v>
      </c>
      <c r="L2227" s="71" t="s">
        <v>434</v>
      </c>
      <c r="M2227" s="71">
        <f t="shared" si="192"/>
        <v>500</v>
      </c>
      <c r="N2227"/>
      <c r="O2227">
        <f t="shared" si="195"/>
        <v>0.004227042929848</v>
      </c>
      <c r="P2227">
        <v>11000</v>
      </c>
    </row>
    <row r="2228" spans="1:16">
      <c r="A2228" s="71">
        <v>2226</v>
      </c>
      <c r="B2228" s="71">
        <v>11900</v>
      </c>
      <c r="C2228" s="71">
        <v>2</v>
      </c>
      <c r="D2228" s="71">
        <f t="shared" si="194"/>
        <v>92472</v>
      </c>
      <c r="E2228" s="71">
        <f t="shared" si="191"/>
        <v>92972</v>
      </c>
      <c r="F2228" s="71"/>
      <c r="G2228" s="71">
        <v>904031</v>
      </c>
      <c r="H2228" s="71" t="s">
        <v>574</v>
      </c>
      <c r="I2228" s="71"/>
      <c r="J2228" s="71" t="s">
        <v>436</v>
      </c>
      <c r="K2228" s="71">
        <v>1</v>
      </c>
      <c r="L2228" s="71" t="s">
        <v>434</v>
      </c>
      <c r="M2228" s="71">
        <f t="shared" si="192"/>
        <v>500</v>
      </c>
      <c r="N2228"/>
      <c r="O2228">
        <f t="shared" si="195"/>
        <v>0.004227042929848</v>
      </c>
      <c r="P2228">
        <v>11000</v>
      </c>
    </row>
    <row r="2229" spans="1:16">
      <c r="A2229" s="71">
        <v>2227</v>
      </c>
      <c r="B2229" s="71">
        <v>11900</v>
      </c>
      <c r="C2229" s="71">
        <v>2</v>
      </c>
      <c r="D2229" s="71">
        <f t="shared" si="194"/>
        <v>92972</v>
      </c>
      <c r="E2229" s="71">
        <f t="shared" si="191"/>
        <v>93472</v>
      </c>
      <c r="F2229" s="71"/>
      <c r="G2229" s="71">
        <v>904036</v>
      </c>
      <c r="H2229" s="71" t="s">
        <v>575</v>
      </c>
      <c r="I2229" s="71"/>
      <c r="J2229" s="71" t="s">
        <v>436</v>
      </c>
      <c r="K2229" s="71">
        <v>1</v>
      </c>
      <c r="L2229" s="71" t="s">
        <v>434</v>
      </c>
      <c r="M2229" s="71">
        <f t="shared" si="192"/>
        <v>500</v>
      </c>
      <c r="N2229"/>
      <c r="O2229">
        <f t="shared" si="195"/>
        <v>0.004227042929848</v>
      </c>
      <c r="P2229">
        <v>11000</v>
      </c>
    </row>
    <row r="2230" spans="1:16">
      <c r="A2230" s="71">
        <v>2228</v>
      </c>
      <c r="B2230" s="71">
        <v>11900</v>
      </c>
      <c r="C2230" s="71">
        <v>2</v>
      </c>
      <c r="D2230" s="71">
        <f t="shared" si="194"/>
        <v>93472</v>
      </c>
      <c r="E2230" s="71">
        <f t="shared" si="191"/>
        <v>93972</v>
      </c>
      <c r="F2230" s="71"/>
      <c r="G2230" s="71">
        <v>904037</v>
      </c>
      <c r="H2230" s="71" t="s">
        <v>576</v>
      </c>
      <c r="I2230" s="71"/>
      <c r="J2230" s="71" t="s">
        <v>436</v>
      </c>
      <c r="K2230" s="71">
        <v>1</v>
      </c>
      <c r="L2230" s="71" t="s">
        <v>434</v>
      </c>
      <c r="M2230" s="71">
        <f t="shared" si="192"/>
        <v>500</v>
      </c>
      <c r="N2230"/>
      <c r="O2230">
        <f t="shared" si="195"/>
        <v>0.004227042929848</v>
      </c>
      <c r="P2230">
        <v>11000</v>
      </c>
    </row>
    <row r="2231" spans="1:16">
      <c r="A2231" s="71">
        <v>2229</v>
      </c>
      <c r="B2231" s="71">
        <v>11900</v>
      </c>
      <c r="C2231" s="71">
        <v>2</v>
      </c>
      <c r="D2231" s="71">
        <f t="shared" si="194"/>
        <v>93972</v>
      </c>
      <c r="E2231" s="71">
        <f t="shared" si="191"/>
        <v>94472</v>
      </c>
      <c r="F2231" s="71"/>
      <c r="G2231" s="71">
        <v>904038</v>
      </c>
      <c r="H2231" s="71" t="s">
        <v>577</v>
      </c>
      <c r="I2231" s="71"/>
      <c r="J2231" s="71" t="s">
        <v>436</v>
      </c>
      <c r="K2231" s="71">
        <v>1</v>
      </c>
      <c r="L2231" s="71" t="s">
        <v>434</v>
      </c>
      <c r="M2231" s="71">
        <f t="shared" si="192"/>
        <v>500</v>
      </c>
      <c r="N2231"/>
      <c r="O2231">
        <f t="shared" si="195"/>
        <v>0.004227042929848</v>
      </c>
      <c r="P2231">
        <v>11000</v>
      </c>
    </row>
    <row r="2232" spans="1:16">
      <c r="A2232" s="71">
        <v>2230</v>
      </c>
      <c r="B2232" s="71">
        <v>11900</v>
      </c>
      <c r="C2232" s="71">
        <v>2</v>
      </c>
      <c r="D2232" s="71">
        <f t="shared" si="194"/>
        <v>94472</v>
      </c>
      <c r="E2232" s="71">
        <f t="shared" si="191"/>
        <v>94972</v>
      </c>
      <c r="F2232" s="71"/>
      <c r="G2232" s="71">
        <v>904040</v>
      </c>
      <c r="H2232" s="71" t="s">
        <v>578</v>
      </c>
      <c r="I2232" s="71"/>
      <c r="J2232" s="71" t="s">
        <v>436</v>
      </c>
      <c r="K2232" s="71">
        <v>1</v>
      </c>
      <c r="L2232" s="71" t="s">
        <v>434</v>
      </c>
      <c r="M2232" s="71">
        <f t="shared" si="192"/>
        <v>500</v>
      </c>
      <c r="N2232"/>
      <c r="O2232">
        <f t="shared" si="195"/>
        <v>0.004227042929848</v>
      </c>
      <c r="P2232">
        <v>11000</v>
      </c>
    </row>
    <row r="2233" spans="1:16">
      <c r="A2233" s="71">
        <v>2231</v>
      </c>
      <c r="B2233" s="71">
        <v>11900</v>
      </c>
      <c r="C2233" s="71">
        <v>2</v>
      </c>
      <c r="D2233" s="71">
        <f t="shared" si="194"/>
        <v>94972</v>
      </c>
      <c r="E2233" s="71">
        <f t="shared" si="191"/>
        <v>95472</v>
      </c>
      <c r="F2233" s="71"/>
      <c r="G2233" s="71">
        <v>904041</v>
      </c>
      <c r="H2233" s="71" t="s">
        <v>579</v>
      </c>
      <c r="I2233" s="71"/>
      <c r="J2233" s="71" t="s">
        <v>436</v>
      </c>
      <c r="K2233" s="71">
        <v>1</v>
      </c>
      <c r="L2233" s="71" t="s">
        <v>434</v>
      </c>
      <c r="M2233" s="71">
        <f t="shared" si="192"/>
        <v>500</v>
      </c>
      <c r="N2233"/>
      <c r="O2233">
        <f t="shared" si="195"/>
        <v>0.004227042929848</v>
      </c>
      <c r="P2233">
        <v>11000</v>
      </c>
    </row>
    <row r="2234" spans="1:16">
      <c r="A2234" s="71">
        <v>2232</v>
      </c>
      <c r="B2234" s="71">
        <v>11900</v>
      </c>
      <c r="C2234" s="71">
        <v>2</v>
      </c>
      <c r="D2234" s="71">
        <f t="shared" si="194"/>
        <v>95472</v>
      </c>
      <c r="E2234" s="71">
        <f t="shared" si="191"/>
        <v>95972</v>
      </c>
      <c r="F2234" s="71"/>
      <c r="G2234" s="71">
        <v>904042</v>
      </c>
      <c r="H2234" s="71" t="s">
        <v>580</v>
      </c>
      <c r="I2234" s="71"/>
      <c r="J2234" s="71" t="s">
        <v>436</v>
      </c>
      <c r="K2234" s="71">
        <v>1</v>
      </c>
      <c r="L2234" s="71" t="s">
        <v>434</v>
      </c>
      <c r="M2234" s="71">
        <f t="shared" si="192"/>
        <v>500</v>
      </c>
      <c r="N2234"/>
      <c r="O2234">
        <f t="shared" si="195"/>
        <v>0.004227042929848</v>
      </c>
      <c r="P2234">
        <v>11000</v>
      </c>
    </row>
    <row r="2235" spans="1:16">
      <c r="A2235" s="71">
        <v>2233</v>
      </c>
      <c r="B2235" s="71">
        <v>11900</v>
      </c>
      <c r="C2235" s="71">
        <v>2</v>
      </c>
      <c r="D2235" s="71">
        <f t="shared" si="194"/>
        <v>95972</v>
      </c>
      <c r="E2235" s="71">
        <f t="shared" si="191"/>
        <v>96472</v>
      </c>
      <c r="F2235" s="71"/>
      <c r="G2235" s="71">
        <v>904043</v>
      </c>
      <c r="H2235" s="71" t="s">
        <v>581</v>
      </c>
      <c r="I2235" s="71"/>
      <c r="J2235" s="71" t="s">
        <v>436</v>
      </c>
      <c r="K2235" s="71">
        <v>1</v>
      </c>
      <c r="L2235" s="71" t="s">
        <v>434</v>
      </c>
      <c r="M2235" s="71">
        <f t="shared" si="192"/>
        <v>500</v>
      </c>
      <c r="N2235"/>
      <c r="O2235">
        <f t="shared" si="195"/>
        <v>0.004227042929848</v>
      </c>
      <c r="P2235">
        <v>11000</v>
      </c>
    </row>
    <row r="2236" spans="1:16">
      <c r="A2236" s="71">
        <v>2234</v>
      </c>
      <c r="B2236" s="71">
        <v>11900</v>
      </c>
      <c r="C2236" s="71">
        <v>2</v>
      </c>
      <c r="D2236" s="71">
        <f t="shared" si="194"/>
        <v>96472</v>
      </c>
      <c r="E2236" s="71">
        <f t="shared" si="191"/>
        <v>96972</v>
      </c>
      <c r="F2236" s="71"/>
      <c r="G2236" s="71">
        <v>904044</v>
      </c>
      <c r="H2236" s="71" t="s">
        <v>582</v>
      </c>
      <c r="I2236" s="71"/>
      <c r="J2236" s="71" t="s">
        <v>436</v>
      </c>
      <c r="K2236" s="71">
        <v>1</v>
      </c>
      <c r="L2236" s="71" t="s">
        <v>434</v>
      </c>
      <c r="M2236" s="71">
        <f t="shared" si="192"/>
        <v>500</v>
      </c>
      <c r="N2236"/>
      <c r="O2236">
        <f t="shared" si="195"/>
        <v>0.004227042929848</v>
      </c>
      <c r="P2236">
        <v>11000</v>
      </c>
    </row>
    <row r="2237" spans="1:16">
      <c r="A2237" s="71">
        <v>2235</v>
      </c>
      <c r="B2237" s="71">
        <v>11900</v>
      </c>
      <c r="C2237" s="71">
        <v>2</v>
      </c>
      <c r="D2237" s="71">
        <f t="shared" si="194"/>
        <v>96972</v>
      </c>
      <c r="E2237" s="71">
        <f t="shared" si="191"/>
        <v>97472</v>
      </c>
      <c r="F2237" s="71"/>
      <c r="G2237" s="71">
        <v>904045</v>
      </c>
      <c r="H2237" s="71" t="s">
        <v>583</v>
      </c>
      <c r="I2237" s="71"/>
      <c r="J2237" s="71" t="s">
        <v>436</v>
      </c>
      <c r="K2237" s="71">
        <v>1</v>
      </c>
      <c r="L2237" s="71" t="s">
        <v>434</v>
      </c>
      <c r="M2237" s="71">
        <f t="shared" si="192"/>
        <v>500</v>
      </c>
      <c r="N2237"/>
      <c r="O2237">
        <f t="shared" si="195"/>
        <v>0.004227042929848</v>
      </c>
      <c r="P2237">
        <v>11000</v>
      </c>
    </row>
    <row r="2238" spans="1:16">
      <c r="A2238" s="71">
        <v>2236</v>
      </c>
      <c r="B2238" s="71">
        <v>11900</v>
      </c>
      <c r="C2238" s="71">
        <v>2</v>
      </c>
      <c r="D2238" s="71">
        <f t="shared" si="194"/>
        <v>97472</v>
      </c>
      <c r="E2238" s="71">
        <f t="shared" si="191"/>
        <v>97972</v>
      </c>
      <c r="F2238" s="71"/>
      <c r="G2238" s="71">
        <v>904046</v>
      </c>
      <c r="H2238" s="71" t="s">
        <v>584</v>
      </c>
      <c r="I2238" s="71"/>
      <c r="J2238" s="71" t="s">
        <v>436</v>
      </c>
      <c r="K2238" s="71">
        <v>1</v>
      </c>
      <c r="L2238" s="71" t="s">
        <v>434</v>
      </c>
      <c r="M2238" s="71">
        <f t="shared" si="192"/>
        <v>500</v>
      </c>
      <c r="N2238"/>
      <c r="O2238">
        <f t="shared" si="195"/>
        <v>0.004227042929848</v>
      </c>
      <c r="P2238">
        <v>11000</v>
      </c>
    </row>
    <row r="2239" spans="1:16">
      <c r="A2239" s="71">
        <v>2237</v>
      </c>
      <c r="B2239" s="71">
        <v>11900</v>
      </c>
      <c r="C2239" s="71">
        <v>2</v>
      </c>
      <c r="D2239" s="71">
        <f t="shared" si="194"/>
        <v>97972</v>
      </c>
      <c r="E2239" s="71">
        <f t="shared" si="191"/>
        <v>98472</v>
      </c>
      <c r="F2239" s="71"/>
      <c r="G2239" s="71">
        <v>904047</v>
      </c>
      <c r="H2239" s="71" t="s">
        <v>585</v>
      </c>
      <c r="I2239" s="71"/>
      <c r="J2239" s="71" t="s">
        <v>436</v>
      </c>
      <c r="K2239" s="71">
        <v>1</v>
      </c>
      <c r="L2239" s="71" t="s">
        <v>434</v>
      </c>
      <c r="M2239" s="71">
        <f t="shared" si="192"/>
        <v>500</v>
      </c>
      <c r="N2239"/>
      <c r="O2239">
        <f t="shared" si="195"/>
        <v>0.004227042929848</v>
      </c>
      <c r="P2239">
        <v>11000</v>
      </c>
    </row>
    <row r="2240" spans="1:16">
      <c r="A2240" s="71">
        <v>2238</v>
      </c>
      <c r="B2240" s="71">
        <v>11900</v>
      </c>
      <c r="C2240" s="71">
        <v>2</v>
      </c>
      <c r="D2240" s="71">
        <f t="shared" si="194"/>
        <v>98472</v>
      </c>
      <c r="E2240" s="71">
        <f t="shared" si="191"/>
        <v>98972</v>
      </c>
      <c r="F2240" s="71"/>
      <c r="G2240" s="71">
        <v>904048</v>
      </c>
      <c r="H2240" s="71" t="s">
        <v>586</v>
      </c>
      <c r="I2240" s="71"/>
      <c r="J2240" s="71" t="s">
        <v>436</v>
      </c>
      <c r="K2240" s="71">
        <v>1</v>
      </c>
      <c r="L2240" s="71" t="s">
        <v>434</v>
      </c>
      <c r="M2240" s="71">
        <f t="shared" si="192"/>
        <v>500</v>
      </c>
      <c r="N2240"/>
      <c r="O2240">
        <f t="shared" si="195"/>
        <v>0.004227042929848</v>
      </c>
      <c r="P2240">
        <v>11000</v>
      </c>
    </row>
    <row r="2241" spans="1:16">
      <c r="A2241" s="71">
        <v>2239</v>
      </c>
      <c r="B2241" s="71">
        <v>11900</v>
      </c>
      <c r="C2241" s="71">
        <v>2</v>
      </c>
      <c r="D2241" s="71">
        <f t="shared" si="194"/>
        <v>98972</v>
      </c>
      <c r="E2241" s="71">
        <f t="shared" si="191"/>
        <v>99472</v>
      </c>
      <c r="F2241" s="71"/>
      <c r="G2241" s="71">
        <v>904049</v>
      </c>
      <c r="H2241" s="71" t="s">
        <v>587</v>
      </c>
      <c r="I2241" s="71"/>
      <c r="J2241" s="71" t="s">
        <v>436</v>
      </c>
      <c r="K2241" s="71">
        <v>1</v>
      </c>
      <c r="L2241" s="71" t="s">
        <v>434</v>
      </c>
      <c r="M2241" s="71">
        <f t="shared" si="192"/>
        <v>500</v>
      </c>
      <c r="N2241"/>
      <c r="O2241">
        <f t="shared" si="195"/>
        <v>0.004227042929848</v>
      </c>
      <c r="P2241">
        <v>11000</v>
      </c>
    </row>
    <row r="2242" spans="1:16">
      <c r="A2242" s="71">
        <v>2240</v>
      </c>
      <c r="B2242" s="71">
        <v>11900</v>
      </c>
      <c r="C2242" s="71">
        <v>6</v>
      </c>
      <c r="D2242" s="71">
        <f>E2222</f>
        <v>89972</v>
      </c>
      <c r="E2242" s="71">
        <f t="shared" si="191"/>
        <v>90092</v>
      </c>
      <c r="F2242" s="71"/>
      <c r="G2242" s="71" t="s">
        <v>277</v>
      </c>
      <c r="H2242" s="71" t="s">
        <v>278</v>
      </c>
      <c r="I2242" s="71"/>
      <c r="J2242" s="71" t="s">
        <v>279</v>
      </c>
      <c r="K2242" s="71">
        <v>1</v>
      </c>
      <c r="L2242" s="71" t="s">
        <v>434</v>
      </c>
      <c r="M2242" s="71">
        <f t="shared" si="192"/>
        <v>120</v>
      </c>
      <c r="O2242" s="67">
        <f t="shared" ref="O2242:O2265" si="196">(E2242-D2242)/$E$2280</f>
        <v>0.00126780205383933</v>
      </c>
      <c r="P2242" s="67">
        <v>11000</v>
      </c>
    </row>
    <row r="2243" spans="1:16">
      <c r="A2243" s="71">
        <v>2241</v>
      </c>
      <c r="B2243" s="71">
        <v>11900</v>
      </c>
      <c r="C2243" s="71">
        <v>6</v>
      </c>
      <c r="D2243" s="71">
        <f t="shared" si="194"/>
        <v>90092</v>
      </c>
      <c r="E2243" s="71">
        <f t="shared" si="191"/>
        <v>90212</v>
      </c>
      <c r="F2243" s="71"/>
      <c r="G2243" s="71" t="s">
        <v>280</v>
      </c>
      <c r="H2243" s="71" t="s">
        <v>281</v>
      </c>
      <c r="I2243" s="71"/>
      <c r="J2243" s="71" t="s">
        <v>279</v>
      </c>
      <c r="K2243" s="71">
        <v>1</v>
      </c>
      <c r="L2243" s="71" t="s">
        <v>434</v>
      </c>
      <c r="M2243" s="71">
        <f t="shared" si="192"/>
        <v>120</v>
      </c>
      <c r="O2243" s="67">
        <f t="shared" si="196"/>
        <v>0.00126780205383933</v>
      </c>
      <c r="P2243" s="67">
        <v>11001</v>
      </c>
    </row>
    <row r="2244" spans="1:16">
      <c r="A2244" s="71">
        <v>2242</v>
      </c>
      <c r="B2244" s="71">
        <v>11900</v>
      </c>
      <c r="C2244" s="71">
        <v>6</v>
      </c>
      <c r="D2244" s="71">
        <f t="shared" si="194"/>
        <v>90212</v>
      </c>
      <c r="E2244" s="71">
        <f t="shared" si="191"/>
        <v>90332</v>
      </c>
      <c r="F2244" s="71"/>
      <c r="G2244" s="71" t="s">
        <v>282</v>
      </c>
      <c r="H2244" s="71" t="s">
        <v>283</v>
      </c>
      <c r="I2244" s="71"/>
      <c r="J2244" s="71" t="s">
        <v>279</v>
      </c>
      <c r="K2244" s="71">
        <v>1</v>
      </c>
      <c r="L2244" s="71" t="s">
        <v>434</v>
      </c>
      <c r="M2244" s="71">
        <f t="shared" si="192"/>
        <v>120</v>
      </c>
      <c r="O2244" s="67">
        <f t="shared" si="196"/>
        <v>0.00126780205383933</v>
      </c>
      <c r="P2244" s="67">
        <v>11002</v>
      </c>
    </row>
    <row r="2245" spans="1:16">
      <c r="A2245" s="71">
        <v>2243</v>
      </c>
      <c r="B2245" s="71">
        <v>11900</v>
      </c>
      <c r="C2245" s="71">
        <v>6</v>
      </c>
      <c r="D2245" s="71">
        <f t="shared" si="194"/>
        <v>90332</v>
      </c>
      <c r="E2245" s="71">
        <f t="shared" si="191"/>
        <v>90452</v>
      </c>
      <c r="F2245" s="71"/>
      <c r="G2245" s="71" t="s">
        <v>284</v>
      </c>
      <c r="H2245" s="71" t="s">
        <v>285</v>
      </c>
      <c r="I2245" s="71"/>
      <c r="J2245" s="71" t="s">
        <v>279</v>
      </c>
      <c r="K2245" s="71">
        <v>1</v>
      </c>
      <c r="L2245" s="71" t="s">
        <v>434</v>
      </c>
      <c r="M2245" s="71">
        <f t="shared" si="192"/>
        <v>120</v>
      </c>
      <c r="O2245" s="67">
        <f t="shared" si="196"/>
        <v>0.00126780205383933</v>
      </c>
      <c r="P2245" s="67">
        <v>11003</v>
      </c>
    </row>
    <row r="2246" spans="1:16">
      <c r="A2246" s="71">
        <v>2244</v>
      </c>
      <c r="B2246" s="71">
        <v>11900</v>
      </c>
      <c r="C2246" s="71">
        <v>6</v>
      </c>
      <c r="D2246" s="71">
        <f t="shared" si="194"/>
        <v>90452</v>
      </c>
      <c r="E2246" s="71">
        <f t="shared" si="191"/>
        <v>90572</v>
      </c>
      <c r="F2246" s="71"/>
      <c r="G2246" s="71" t="s">
        <v>286</v>
      </c>
      <c r="H2246" s="71" t="s">
        <v>287</v>
      </c>
      <c r="I2246" s="71"/>
      <c r="J2246" s="71" t="s">
        <v>279</v>
      </c>
      <c r="K2246" s="71">
        <v>1</v>
      </c>
      <c r="L2246" s="71" t="s">
        <v>434</v>
      </c>
      <c r="M2246" s="71">
        <f t="shared" si="192"/>
        <v>120</v>
      </c>
      <c r="O2246" s="67">
        <f t="shared" si="196"/>
        <v>0.00126780205383933</v>
      </c>
      <c r="P2246" s="67">
        <v>11004</v>
      </c>
    </row>
    <row r="2247" spans="1:16">
      <c r="A2247" s="71">
        <v>2245</v>
      </c>
      <c r="B2247" s="71">
        <v>11900</v>
      </c>
      <c r="C2247" s="71">
        <v>6</v>
      </c>
      <c r="D2247" s="71">
        <f t="shared" si="194"/>
        <v>90572</v>
      </c>
      <c r="E2247" s="71">
        <f t="shared" si="191"/>
        <v>90692</v>
      </c>
      <c r="F2247" s="71"/>
      <c r="G2247" s="71" t="s">
        <v>288</v>
      </c>
      <c r="H2247" s="71" t="s">
        <v>289</v>
      </c>
      <c r="I2247" s="71"/>
      <c r="J2247" s="71" t="s">
        <v>279</v>
      </c>
      <c r="K2247" s="71">
        <v>1</v>
      </c>
      <c r="L2247" s="71" t="s">
        <v>434</v>
      </c>
      <c r="M2247" s="71">
        <f t="shared" si="192"/>
        <v>120</v>
      </c>
      <c r="O2247" s="67">
        <f t="shared" si="196"/>
        <v>0.00126780205383933</v>
      </c>
      <c r="P2247" s="67">
        <v>11005</v>
      </c>
    </row>
    <row r="2248" spans="1:16">
      <c r="A2248" s="71">
        <v>2246</v>
      </c>
      <c r="B2248" s="71">
        <v>11900</v>
      </c>
      <c r="C2248" s="71">
        <v>6</v>
      </c>
      <c r="D2248" s="71">
        <f t="shared" si="194"/>
        <v>90692</v>
      </c>
      <c r="E2248" s="71">
        <f t="shared" si="191"/>
        <v>90812</v>
      </c>
      <c r="F2248" s="71"/>
      <c r="G2248" s="71" t="s">
        <v>290</v>
      </c>
      <c r="H2248" s="71" t="s">
        <v>291</v>
      </c>
      <c r="I2248" s="71"/>
      <c r="J2248" s="71" t="s">
        <v>279</v>
      </c>
      <c r="K2248" s="71">
        <v>1</v>
      </c>
      <c r="L2248" s="71" t="s">
        <v>434</v>
      </c>
      <c r="M2248" s="71">
        <f t="shared" si="192"/>
        <v>120</v>
      </c>
      <c r="O2248" s="67">
        <f t="shared" si="196"/>
        <v>0.00126780205383933</v>
      </c>
      <c r="P2248" s="67">
        <v>11006</v>
      </c>
    </row>
    <row r="2249" spans="1:16">
      <c r="A2249" s="71">
        <v>2247</v>
      </c>
      <c r="B2249" s="71">
        <v>11900</v>
      </c>
      <c r="C2249" s="71">
        <v>6</v>
      </c>
      <c r="D2249" s="71">
        <f t="shared" si="194"/>
        <v>90812</v>
      </c>
      <c r="E2249" s="71">
        <f t="shared" si="191"/>
        <v>90932</v>
      </c>
      <c r="F2249" s="71"/>
      <c r="G2249" s="71" t="s">
        <v>292</v>
      </c>
      <c r="H2249" s="71" t="s">
        <v>293</v>
      </c>
      <c r="I2249" s="71"/>
      <c r="J2249" s="71" t="s">
        <v>279</v>
      </c>
      <c r="K2249" s="71">
        <v>1</v>
      </c>
      <c r="L2249" s="71" t="s">
        <v>434</v>
      </c>
      <c r="M2249" s="71">
        <f t="shared" si="192"/>
        <v>120</v>
      </c>
      <c r="O2249" s="67">
        <f t="shared" si="196"/>
        <v>0.00126780205383933</v>
      </c>
      <c r="P2249" s="67">
        <v>11007</v>
      </c>
    </row>
    <row r="2250" spans="1:16">
      <c r="A2250" s="71">
        <v>2248</v>
      </c>
      <c r="B2250" s="71">
        <v>11900</v>
      </c>
      <c r="C2250" s="71">
        <v>6</v>
      </c>
      <c r="D2250" s="71">
        <f t="shared" si="194"/>
        <v>90932</v>
      </c>
      <c r="E2250" s="71">
        <f t="shared" si="191"/>
        <v>91052</v>
      </c>
      <c r="F2250" s="71"/>
      <c r="G2250" s="71" t="s">
        <v>294</v>
      </c>
      <c r="H2250" s="71" t="s">
        <v>295</v>
      </c>
      <c r="I2250" s="71"/>
      <c r="J2250" s="71" t="s">
        <v>279</v>
      </c>
      <c r="K2250" s="71">
        <v>1</v>
      </c>
      <c r="L2250" s="71" t="s">
        <v>434</v>
      </c>
      <c r="M2250" s="71">
        <f t="shared" si="192"/>
        <v>120</v>
      </c>
      <c r="O2250" s="67">
        <f t="shared" si="196"/>
        <v>0.00126780205383933</v>
      </c>
      <c r="P2250" s="67">
        <v>11008</v>
      </c>
    </row>
    <row r="2251" spans="1:16">
      <c r="A2251" s="71">
        <v>2249</v>
      </c>
      <c r="B2251" s="71">
        <v>11900</v>
      </c>
      <c r="C2251" s="71">
        <v>6</v>
      </c>
      <c r="D2251" s="71">
        <f t="shared" si="194"/>
        <v>91052</v>
      </c>
      <c r="E2251" s="71">
        <f t="shared" si="191"/>
        <v>91172</v>
      </c>
      <c r="F2251" s="71"/>
      <c r="G2251" s="71" t="s">
        <v>296</v>
      </c>
      <c r="H2251" s="71" t="s">
        <v>297</v>
      </c>
      <c r="I2251" s="71"/>
      <c r="J2251" s="71" t="s">
        <v>279</v>
      </c>
      <c r="K2251" s="71">
        <v>1</v>
      </c>
      <c r="L2251" s="71" t="s">
        <v>434</v>
      </c>
      <c r="M2251" s="71">
        <f t="shared" si="192"/>
        <v>120</v>
      </c>
      <c r="O2251" s="67">
        <f t="shared" si="196"/>
        <v>0.00126780205383933</v>
      </c>
      <c r="P2251" s="67">
        <v>11009</v>
      </c>
    </row>
    <row r="2252" spans="1:16">
      <c r="A2252" s="71">
        <v>2250</v>
      </c>
      <c r="B2252" s="71">
        <v>11900</v>
      </c>
      <c r="C2252" s="71">
        <v>6</v>
      </c>
      <c r="D2252" s="71">
        <f t="shared" si="194"/>
        <v>91172</v>
      </c>
      <c r="E2252" s="71">
        <f t="shared" si="191"/>
        <v>91292</v>
      </c>
      <c r="F2252" s="71"/>
      <c r="G2252" s="71" t="s">
        <v>298</v>
      </c>
      <c r="H2252" s="71" t="s">
        <v>299</v>
      </c>
      <c r="I2252" s="71"/>
      <c r="J2252" s="71" t="s">
        <v>279</v>
      </c>
      <c r="K2252" s="71">
        <v>1</v>
      </c>
      <c r="L2252" s="71" t="s">
        <v>434</v>
      </c>
      <c r="M2252" s="71">
        <f t="shared" si="192"/>
        <v>120</v>
      </c>
      <c r="O2252" s="67">
        <f t="shared" si="196"/>
        <v>0.00126780205383933</v>
      </c>
      <c r="P2252" s="67">
        <v>11010</v>
      </c>
    </row>
    <row r="2253" spans="1:16">
      <c r="A2253" s="71">
        <v>2251</v>
      </c>
      <c r="B2253" s="71">
        <v>11900</v>
      </c>
      <c r="C2253" s="71">
        <v>6</v>
      </c>
      <c r="D2253" s="71">
        <f t="shared" si="194"/>
        <v>91292</v>
      </c>
      <c r="E2253" s="71">
        <f t="shared" si="191"/>
        <v>91412</v>
      </c>
      <c r="F2253" s="71"/>
      <c r="G2253" s="71" t="s">
        <v>300</v>
      </c>
      <c r="H2253" s="71" t="s">
        <v>301</v>
      </c>
      <c r="I2253" s="71"/>
      <c r="J2253" s="71" t="s">
        <v>279</v>
      </c>
      <c r="K2253" s="71">
        <v>1</v>
      </c>
      <c r="L2253" s="71" t="s">
        <v>434</v>
      </c>
      <c r="M2253" s="71">
        <f t="shared" si="192"/>
        <v>120</v>
      </c>
      <c r="O2253" s="67">
        <f t="shared" si="196"/>
        <v>0.00126780205383933</v>
      </c>
      <c r="P2253" s="67">
        <v>11011</v>
      </c>
    </row>
    <row r="2254" spans="1:16">
      <c r="A2254" s="71">
        <v>2252</v>
      </c>
      <c r="B2254" s="71">
        <v>11900</v>
      </c>
      <c r="C2254" s="71">
        <v>6</v>
      </c>
      <c r="D2254" s="71">
        <f t="shared" si="194"/>
        <v>91412</v>
      </c>
      <c r="E2254" s="71">
        <f t="shared" si="191"/>
        <v>91532</v>
      </c>
      <c r="F2254" s="71"/>
      <c r="G2254" s="71" t="s">
        <v>302</v>
      </c>
      <c r="H2254" s="71" t="s">
        <v>303</v>
      </c>
      <c r="I2254" s="71"/>
      <c r="J2254" s="71" t="s">
        <v>279</v>
      </c>
      <c r="K2254" s="71">
        <v>1</v>
      </c>
      <c r="L2254" s="71" t="s">
        <v>434</v>
      </c>
      <c r="M2254" s="71">
        <f t="shared" si="192"/>
        <v>120</v>
      </c>
      <c r="O2254" s="67">
        <f t="shared" si="196"/>
        <v>0.00126780205383933</v>
      </c>
      <c r="P2254" s="67">
        <v>11012</v>
      </c>
    </row>
    <row r="2255" spans="1:16">
      <c r="A2255" s="71">
        <v>2253</v>
      </c>
      <c r="B2255" s="71">
        <v>11900</v>
      </c>
      <c r="C2255" s="71">
        <v>6</v>
      </c>
      <c r="D2255" s="71">
        <f t="shared" si="194"/>
        <v>91532</v>
      </c>
      <c r="E2255" s="71">
        <f t="shared" si="191"/>
        <v>91652</v>
      </c>
      <c r="F2255" s="71"/>
      <c r="G2255" s="71" t="s">
        <v>304</v>
      </c>
      <c r="H2255" s="71" t="s">
        <v>305</v>
      </c>
      <c r="I2255" s="71"/>
      <c r="J2255" s="71" t="s">
        <v>279</v>
      </c>
      <c r="K2255" s="71">
        <v>1</v>
      </c>
      <c r="L2255" s="71" t="s">
        <v>434</v>
      </c>
      <c r="M2255" s="71">
        <f t="shared" si="192"/>
        <v>120</v>
      </c>
      <c r="O2255" s="67">
        <f t="shared" si="196"/>
        <v>0.00126780205383933</v>
      </c>
      <c r="P2255" s="67">
        <v>11013</v>
      </c>
    </row>
    <row r="2256" spans="1:16">
      <c r="A2256" s="71">
        <v>2254</v>
      </c>
      <c r="B2256" s="71">
        <v>11900</v>
      </c>
      <c r="C2256" s="71">
        <v>6</v>
      </c>
      <c r="D2256" s="71">
        <f t="shared" si="194"/>
        <v>91652</v>
      </c>
      <c r="E2256" s="71">
        <f t="shared" si="191"/>
        <v>91772</v>
      </c>
      <c r="F2256" s="71"/>
      <c r="G2256" s="71" t="s">
        <v>306</v>
      </c>
      <c r="H2256" s="71" t="s">
        <v>307</v>
      </c>
      <c r="I2256" s="71"/>
      <c r="J2256" s="71" t="s">
        <v>279</v>
      </c>
      <c r="K2256" s="71">
        <v>1</v>
      </c>
      <c r="L2256" s="71" t="s">
        <v>434</v>
      </c>
      <c r="M2256" s="71">
        <f t="shared" si="192"/>
        <v>120</v>
      </c>
      <c r="O2256" s="67">
        <f t="shared" si="196"/>
        <v>0.00126780205383933</v>
      </c>
      <c r="P2256" s="67">
        <v>11014</v>
      </c>
    </row>
    <row r="2257" spans="1:16">
      <c r="A2257" s="71">
        <v>2255</v>
      </c>
      <c r="B2257" s="71">
        <v>11900</v>
      </c>
      <c r="C2257" s="71">
        <v>6</v>
      </c>
      <c r="D2257" s="71">
        <f t="shared" si="194"/>
        <v>91772</v>
      </c>
      <c r="E2257" s="71">
        <f t="shared" si="191"/>
        <v>91892</v>
      </c>
      <c r="F2257" s="71"/>
      <c r="G2257" s="71" t="s">
        <v>308</v>
      </c>
      <c r="H2257" s="71" t="s">
        <v>309</v>
      </c>
      <c r="I2257" s="71"/>
      <c r="J2257" s="71" t="s">
        <v>279</v>
      </c>
      <c r="K2257" s="71">
        <v>1</v>
      </c>
      <c r="L2257" s="71" t="s">
        <v>434</v>
      </c>
      <c r="M2257" s="71">
        <f t="shared" si="192"/>
        <v>120</v>
      </c>
      <c r="O2257" s="67">
        <f t="shared" si="196"/>
        <v>0.00126780205383933</v>
      </c>
      <c r="P2257" s="67">
        <v>11015</v>
      </c>
    </row>
    <row r="2258" spans="1:16">
      <c r="A2258" s="71">
        <v>2256</v>
      </c>
      <c r="B2258" s="71">
        <v>11900</v>
      </c>
      <c r="C2258" s="71">
        <v>6</v>
      </c>
      <c r="D2258" s="71">
        <f t="shared" si="194"/>
        <v>91892</v>
      </c>
      <c r="E2258" s="71">
        <f t="shared" si="191"/>
        <v>92012</v>
      </c>
      <c r="F2258" s="71"/>
      <c r="G2258" s="71" t="s">
        <v>310</v>
      </c>
      <c r="H2258" s="71" t="s">
        <v>588</v>
      </c>
      <c r="I2258" s="71"/>
      <c r="J2258" s="71" t="s">
        <v>279</v>
      </c>
      <c r="K2258" s="71">
        <v>1</v>
      </c>
      <c r="L2258" s="71" t="s">
        <v>434</v>
      </c>
      <c r="M2258" s="71">
        <f t="shared" si="192"/>
        <v>120</v>
      </c>
      <c r="O2258" s="67">
        <f t="shared" si="196"/>
        <v>0.00126780205383933</v>
      </c>
      <c r="P2258" s="67">
        <v>11016</v>
      </c>
    </row>
    <row r="2259" spans="1:16">
      <c r="A2259" s="71">
        <v>2257</v>
      </c>
      <c r="B2259" s="71">
        <v>11900</v>
      </c>
      <c r="C2259" s="71">
        <v>6</v>
      </c>
      <c r="D2259" s="71">
        <f t="shared" si="194"/>
        <v>92012</v>
      </c>
      <c r="E2259" s="71">
        <f t="shared" si="191"/>
        <v>92132</v>
      </c>
      <c r="F2259" s="71"/>
      <c r="G2259" s="71" t="s">
        <v>312</v>
      </c>
      <c r="H2259" s="71" t="s">
        <v>589</v>
      </c>
      <c r="I2259" s="71"/>
      <c r="J2259" s="71" t="s">
        <v>279</v>
      </c>
      <c r="K2259" s="71">
        <v>1</v>
      </c>
      <c r="L2259" s="71" t="s">
        <v>434</v>
      </c>
      <c r="M2259" s="71">
        <f t="shared" si="192"/>
        <v>120</v>
      </c>
      <c r="O2259" s="67">
        <f t="shared" si="196"/>
        <v>0.00126780205383933</v>
      </c>
      <c r="P2259" s="67">
        <v>11017</v>
      </c>
    </row>
    <row r="2260" spans="1:16">
      <c r="A2260" s="71">
        <v>2258</v>
      </c>
      <c r="B2260" s="71">
        <v>11900</v>
      </c>
      <c r="C2260" s="71">
        <v>6</v>
      </c>
      <c r="D2260" s="71">
        <f t="shared" si="194"/>
        <v>92132</v>
      </c>
      <c r="E2260" s="71">
        <f t="shared" si="191"/>
        <v>92252</v>
      </c>
      <c r="F2260" s="71"/>
      <c r="G2260" s="71" t="s">
        <v>314</v>
      </c>
      <c r="H2260" s="71" t="s">
        <v>590</v>
      </c>
      <c r="I2260" s="71"/>
      <c r="J2260" s="71" t="s">
        <v>279</v>
      </c>
      <c r="K2260" s="71">
        <v>1</v>
      </c>
      <c r="L2260" s="71" t="s">
        <v>434</v>
      </c>
      <c r="M2260" s="71">
        <f t="shared" si="192"/>
        <v>120</v>
      </c>
      <c r="O2260" s="67">
        <f t="shared" si="196"/>
        <v>0.00126780205383933</v>
      </c>
      <c r="P2260" s="67">
        <v>11018</v>
      </c>
    </row>
    <row r="2261" spans="1:16">
      <c r="A2261" s="71">
        <v>2259</v>
      </c>
      <c r="B2261" s="71">
        <v>11900</v>
      </c>
      <c r="C2261" s="71">
        <v>6</v>
      </c>
      <c r="D2261" s="71">
        <f t="shared" si="194"/>
        <v>92252</v>
      </c>
      <c r="E2261" s="71">
        <f t="shared" si="191"/>
        <v>92372</v>
      </c>
      <c r="F2261" s="71"/>
      <c r="G2261" s="71" t="s">
        <v>316</v>
      </c>
      <c r="H2261" s="71" t="s">
        <v>591</v>
      </c>
      <c r="I2261" s="71"/>
      <c r="J2261" s="71" t="s">
        <v>279</v>
      </c>
      <c r="K2261" s="71">
        <v>1</v>
      </c>
      <c r="L2261" s="71" t="s">
        <v>434</v>
      </c>
      <c r="M2261" s="71">
        <f t="shared" si="192"/>
        <v>120</v>
      </c>
      <c r="O2261" s="67">
        <f t="shared" si="196"/>
        <v>0.00126780205383933</v>
      </c>
      <c r="P2261" s="67">
        <v>11019</v>
      </c>
    </row>
    <row r="2262" spans="1:16">
      <c r="A2262" s="71">
        <v>2260</v>
      </c>
      <c r="B2262" s="71">
        <v>11900</v>
      </c>
      <c r="C2262" s="71">
        <v>6</v>
      </c>
      <c r="D2262" s="71">
        <f t="shared" si="194"/>
        <v>92372</v>
      </c>
      <c r="E2262" s="71">
        <f t="shared" si="191"/>
        <v>92492</v>
      </c>
      <c r="F2262" s="71"/>
      <c r="G2262" s="71" t="s">
        <v>318</v>
      </c>
      <c r="H2262" s="71" t="s">
        <v>592</v>
      </c>
      <c r="I2262" s="71"/>
      <c r="J2262" s="71" t="s">
        <v>279</v>
      </c>
      <c r="K2262" s="71">
        <v>1</v>
      </c>
      <c r="L2262" s="71" t="s">
        <v>434</v>
      </c>
      <c r="M2262" s="71">
        <f t="shared" si="192"/>
        <v>120</v>
      </c>
      <c r="O2262" s="67">
        <f t="shared" si="196"/>
        <v>0.00126780205383933</v>
      </c>
      <c r="P2262" s="67">
        <v>11020</v>
      </c>
    </row>
    <row r="2263" spans="1:16">
      <c r="A2263" s="71">
        <v>2261</v>
      </c>
      <c r="B2263" s="71">
        <v>11900</v>
      </c>
      <c r="C2263" s="71">
        <v>6</v>
      </c>
      <c r="D2263" s="71">
        <f t="shared" si="194"/>
        <v>92492</v>
      </c>
      <c r="E2263" s="71">
        <f t="shared" si="191"/>
        <v>92612</v>
      </c>
      <c r="F2263" s="71"/>
      <c r="G2263" s="71" t="s">
        <v>320</v>
      </c>
      <c r="H2263" s="71" t="s">
        <v>593</v>
      </c>
      <c r="I2263" s="71"/>
      <c r="J2263" s="71" t="s">
        <v>279</v>
      </c>
      <c r="K2263" s="71">
        <v>1</v>
      </c>
      <c r="L2263" s="71" t="s">
        <v>434</v>
      </c>
      <c r="M2263" s="71">
        <f t="shared" si="192"/>
        <v>120</v>
      </c>
      <c r="O2263" s="67">
        <f t="shared" si="196"/>
        <v>0.00126780205383933</v>
      </c>
      <c r="P2263" s="67">
        <v>11021</v>
      </c>
    </row>
    <row r="2264" spans="1:16">
      <c r="A2264" s="71">
        <v>2262</v>
      </c>
      <c r="B2264" s="71">
        <v>11900</v>
      </c>
      <c r="C2264" s="71">
        <v>6</v>
      </c>
      <c r="D2264" s="71">
        <f t="shared" si="194"/>
        <v>92612</v>
      </c>
      <c r="E2264" s="71">
        <f t="shared" si="191"/>
        <v>92732</v>
      </c>
      <c r="F2264" s="71"/>
      <c r="G2264" s="71" t="s">
        <v>322</v>
      </c>
      <c r="H2264" s="71" t="s">
        <v>323</v>
      </c>
      <c r="I2264" s="71"/>
      <c r="J2264" s="71" t="s">
        <v>279</v>
      </c>
      <c r="K2264" s="71">
        <v>1</v>
      </c>
      <c r="L2264" s="71" t="s">
        <v>434</v>
      </c>
      <c r="M2264" s="71">
        <f t="shared" si="192"/>
        <v>120</v>
      </c>
      <c r="O2264" s="67">
        <f t="shared" si="196"/>
        <v>0.00126780205383933</v>
      </c>
      <c r="P2264" s="67">
        <v>11022</v>
      </c>
    </row>
    <row r="2265" spans="1:16">
      <c r="A2265" s="71">
        <v>2263</v>
      </c>
      <c r="B2265" s="71">
        <v>11900</v>
      </c>
      <c r="C2265" s="71">
        <v>6</v>
      </c>
      <c r="D2265" s="71">
        <f t="shared" si="194"/>
        <v>92732</v>
      </c>
      <c r="E2265" s="71">
        <f t="shared" si="191"/>
        <v>92852</v>
      </c>
      <c r="F2265" s="71"/>
      <c r="G2265" s="71" t="s">
        <v>324</v>
      </c>
      <c r="H2265" s="71" t="s">
        <v>594</v>
      </c>
      <c r="I2265" s="71"/>
      <c r="J2265" s="71" t="s">
        <v>279</v>
      </c>
      <c r="K2265" s="71">
        <v>1</v>
      </c>
      <c r="L2265" s="71" t="s">
        <v>434</v>
      </c>
      <c r="M2265" s="71">
        <f t="shared" si="192"/>
        <v>120</v>
      </c>
      <c r="O2265" s="67">
        <f t="shared" si="196"/>
        <v>0.00126780205383933</v>
      </c>
      <c r="P2265" s="67">
        <v>11023</v>
      </c>
    </row>
    <row r="2266" spans="1:16">
      <c r="A2266" s="71">
        <v>2264</v>
      </c>
      <c r="B2266" s="71">
        <v>11900</v>
      </c>
      <c r="C2266" s="71">
        <v>6</v>
      </c>
      <c r="D2266" s="71">
        <f t="shared" si="194"/>
        <v>92852</v>
      </c>
      <c r="E2266" s="71">
        <f t="shared" ref="E2266:E2329" si="197">D2266+M2266</f>
        <v>92972</v>
      </c>
      <c r="F2266" s="71"/>
      <c r="G2266" s="71" t="s">
        <v>326</v>
      </c>
      <c r="H2266" s="71" t="s">
        <v>595</v>
      </c>
      <c r="I2266" s="71"/>
      <c r="J2266" s="71" t="s">
        <v>279</v>
      </c>
      <c r="K2266" s="71">
        <v>1</v>
      </c>
      <c r="L2266" s="71" t="s">
        <v>434</v>
      </c>
      <c r="M2266" s="71">
        <f t="shared" ref="M2266:M2324" si="198">ROUNDDOWN(VLOOKUP(J2266,$S$2059:$V$2065,4,0)*1000,0)</f>
        <v>120</v>
      </c>
      <c r="O2266" s="67">
        <f t="shared" ref="O2266:O2280" si="199">(E2266-D2266)/$E$2280</f>
        <v>0.00126780205383933</v>
      </c>
      <c r="P2266" s="67">
        <v>11024</v>
      </c>
    </row>
    <row r="2267" spans="1:16">
      <c r="A2267" s="71">
        <v>2265</v>
      </c>
      <c r="B2267" s="71">
        <v>11900</v>
      </c>
      <c r="C2267" s="71">
        <v>6</v>
      </c>
      <c r="D2267" s="71">
        <f t="shared" ref="D2267:D2330" si="200">E2266</f>
        <v>92972</v>
      </c>
      <c r="E2267" s="71">
        <f t="shared" si="197"/>
        <v>93092</v>
      </c>
      <c r="F2267" s="71"/>
      <c r="G2267" s="71" t="s">
        <v>328</v>
      </c>
      <c r="H2267" s="71" t="s">
        <v>329</v>
      </c>
      <c r="I2267" s="71"/>
      <c r="J2267" s="71" t="s">
        <v>279</v>
      </c>
      <c r="K2267" s="71">
        <v>1</v>
      </c>
      <c r="L2267" s="71" t="s">
        <v>434</v>
      </c>
      <c r="M2267" s="71">
        <f t="shared" si="198"/>
        <v>120</v>
      </c>
      <c r="O2267" s="67">
        <f t="shared" si="199"/>
        <v>0.00126780205383933</v>
      </c>
      <c r="P2267" s="67">
        <v>11025</v>
      </c>
    </row>
    <row r="2268" spans="1:16">
      <c r="A2268" s="71">
        <v>2266</v>
      </c>
      <c r="B2268" s="71">
        <v>11900</v>
      </c>
      <c r="C2268" s="71">
        <v>6</v>
      </c>
      <c r="D2268" s="71">
        <f t="shared" si="200"/>
        <v>93092</v>
      </c>
      <c r="E2268" s="71">
        <f t="shared" si="197"/>
        <v>93212</v>
      </c>
      <c r="F2268" s="71"/>
      <c r="G2268" s="71" t="s">
        <v>330</v>
      </c>
      <c r="H2268" s="71" t="s">
        <v>331</v>
      </c>
      <c r="I2268" s="71"/>
      <c r="J2268" s="71" t="s">
        <v>279</v>
      </c>
      <c r="K2268" s="71">
        <v>1</v>
      </c>
      <c r="L2268" s="71" t="s">
        <v>434</v>
      </c>
      <c r="M2268" s="71">
        <f t="shared" si="198"/>
        <v>120</v>
      </c>
      <c r="O2268" s="67">
        <f t="shared" si="199"/>
        <v>0.00126780205383933</v>
      </c>
      <c r="P2268" s="67">
        <v>11026</v>
      </c>
    </row>
    <row r="2269" spans="1:16">
      <c r="A2269" s="71">
        <v>2267</v>
      </c>
      <c r="B2269" s="71">
        <v>11900</v>
      </c>
      <c r="C2269" s="71">
        <v>6</v>
      </c>
      <c r="D2269" s="71">
        <f t="shared" si="200"/>
        <v>93212</v>
      </c>
      <c r="E2269" s="71">
        <f t="shared" si="197"/>
        <v>93332</v>
      </c>
      <c r="F2269" s="71"/>
      <c r="G2269" s="71" t="s">
        <v>332</v>
      </c>
      <c r="H2269" s="71" t="s">
        <v>333</v>
      </c>
      <c r="I2269" s="71"/>
      <c r="J2269" s="71" t="s">
        <v>279</v>
      </c>
      <c r="K2269" s="71">
        <v>1</v>
      </c>
      <c r="L2269" s="71" t="s">
        <v>434</v>
      </c>
      <c r="M2269" s="71">
        <f t="shared" si="198"/>
        <v>120</v>
      </c>
      <c r="O2269" s="67">
        <f t="shared" si="199"/>
        <v>0.00126780205383933</v>
      </c>
      <c r="P2269" s="67">
        <v>11027</v>
      </c>
    </row>
    <row r="2270" spans="1:16">
      <c r="A2270" s="71">
        <v>2268</v>
      </c>
      <c r="B2270" s="71">
        <v>11900</v>
      </c>
      <c r="C2270" s="71">
        <v>6</v>
      </c>
      <c r="D2270" s="71">
        <f t="shared" si="200"/>
        <v>93332</v>
      </c>
      <c r="E2270" s="71">
        <f t="shared" si="197"/>
        <v>93452</v>
      </c>
      <c r="F2270" s="71"/>
      <c r="G2270" s="71" t="s">
        <v>334</v>
      </c>
      <c r="H2270" s="71" t="s">
        <v>335</v>
      </c>
      <c r="I2270" s="71"/>
      <c r="J2270" s="71" t="s">
        <v>279</v>
      </c>
      <c r="K2270" s="71">
        <v>1</v>
      </c>
      <c r="L2270" s="71" t="s">
        <v>434</v>
      </c>
      <c r="M2270" s="71">
        <f t="shared" si="198"/>
        <v>120</v>
      </c>
      <c r="O2270" s="67">
        <f t="shared" si="199"/>
        <v>0.00126780205383933</v>
      </c>
      <c r="P2270" s="67">
        <v>11028</v>
      </c>
    </row>
    <row r="2271" spans="1:16">
      <c r="A2271" s="71">
        <v>2269</v>
      </c>
      <c r="B2271" s="71">
        <v>11900</v>
      </c>
      <c r="C2271" s="71">
        <v>6</v>
      </c>
      <c r="D2271" s="71">
        <f t="shared" si="200"/>
        <v>93452</v>
      </c>
      <c r="E2271" s="71">
        <f t="shared" si="197"/>
        <v>93572</v>
      </c>
      <c r="F2271" s="71"/>
      <c r="G2271" s="71" t="s">
        <v>336</v>
      </c>
      <c r="H2271" s="71" t="s">
        <v>596</v>
      </c>
      <c r="I2271" s="71"/>
      <c r="J2271" s="71" t="s">
        <v>279</v>
      </c>
      <c r="K2271" s="71">
        <v>1</v>
      </c>
      <c r="L2271" s="71" t="s">
        <v>434</v>
      </c>
      <c r="M2271" s="71">
        <f t="shared" si="198"/>
        <v>120</v>
      </c>
      <c r="O2271" s="67">
        <f t="shared" si="199"/>
        <v>0.00126780205383933</v>
      </c>
      <c r="P2271" s="67">
        <v>11029</v>
      </c>
    </row>
    <row r="2272" spans="1:16">
      <c r="A2272" s="71">
        <v>2270</v>
      </c>
      <c r="B2272" s="71">
        <v>11900</v>
      </c>
      <c r="C2272" s="71">
        <v>6</v>
      </c>
      <c r="D2272" s="71">
        <f t="shared" si="200"/>
        <v>93572</v>
      </c>
      <c r="E2272" s="71">
        <f t="shared" si="197"/>
        <v>93692</v>
      </c>
      <c r="F2272" s="71"/>
      <c r="G2272" s="71" t="s">
        <v>338</v>
      </c>
      <c r="H2272" s="71" t="s">
        <v>597</v>
      </c>
      <c r="I2272" s="71"/>
      <c r="J2272" s="71" t="s">
        <v>279</v>
      </c>
      <c r="K2272" s="71">
        <v>1</v>
      </c>
      <c r="L2272" s="71" t="s">
        <v>434</v>
      </c>
      <c r="M2272" s="71">
        <f t="shared" si="198"/>
        <v>120</v>
      </c>
      <c r="O2272" s="67">
        <f t="shared" si="199"/>
        <v>0.00126780205383933</v>
      </c>
      <c r="P2272" s="67">
        <v>11030</v>
      </c>
    </row>
    <row r="2273" spans="1:16">
      <c r="A2273" s="71">
        <v>2271</v>
      </c>
      <c r="B2273" s="71">
        <v>11900</v>
      </c>
      <c r="C2273" s="71">
        <v>6</v>
      </c>
      <c r="D2273" s="71">
        <f t="shared" si="200"/>
        <v>93692</v>
      </c>
      <c r="E2273" s="71">
        <f t="shared" si="197"/>
        <v>93812</v>
      </c>
      <c r="F2273" s="71"/>
      <c r="G2273" s="71" t="s">
        <v>340</v>
      </c>
      <c r="H2273" s="71" t="s">
        <v>598</v>
      </c>
      <c r="I2273" s="71"/>
      <c r="J2273" s="71" t="s">
        <v>279</v>
      </c>
      <c r="K2273" s="71">
        <v>1</v>
      </c>
      <c r="L2273" s="71" t="s">
        <v>434</v>
      </c>
      <c r="M2273" s="71">
        <f t="shared" si="198"/>
        <v>120</v>
      </c>
      <c r="O2273" s="67">
        <f t="shared" si="199"/>
        <v>0.00126780205383933</v>
      </c>
      <c r="P2273" s="67">
        <v>11031</v>
      </c>
    </row>
    <row r="2274" spans="1:16">
      <c r="A2274" s="71">
        <v>2272</v>
      </c>
      <c r="B2274" s="71">
        <v>11900</v>
      </c>
      <c r="C2274" s="71">
        <v>6</v>
      </c>
      <c r="D2274" s="71">
        <f t="shared" si="200"/>
        <v>93812</v>
      </c>
      <c r="E2274" s="71">
        <f t="shared" si="197"/>
        <v>93932</v>
      </c>
      <c r="F2274" s="71"/>
      <c r="G2274" s="71" t="s">
        <v>342</v>
      </c>
      <c r="H2274" s="71" t="s">
        <v>599</v>
      </c>
      <c r="I2274" s="71"/>
      <c r="J2274" s="71" t="s">
        <v>279</v>
      </c>
      <c r="K2274" s="71">
        <v>1</v>
      </c>
      <c r="L2274" s="71" t="s">
        <v>434</v>
      </c>
      <c r="M2274" s="71">
        <f t="shared" si="198"/>
        <v>120</v>
      </c>
      <c r="O2274" s="67">
        <f t="shared" si="199"/>
        <v>0.00126780205383933</v>
      </c>
      <c r="P2274" s="67">
        <v>11032</v>
      </c>
    </row>
    <row r="2275" spans="1:16">
      <c r="A2275" s="71">
        <v>2273</v>
      </c>
      <c r="B2275" s="71">
        <v>11900</v>
      </c>
      <c r="C2275" s="71">
        <v>6</v>
      </c>
      <c r="D2275" s="71">
        <f t="shared" si="200"/>
        <v>93932</v>
      </c>
      <c r="E2275" s="71">
        <f t="shared" si="197"/>
        <v>94052</v>
      </c>
      <c r="F2275" s="71"/>
      <c r="G2275" s="71" t="s">
        <v>344</v>
      </c>
      <c r="H2275" s="71" t="s">
        <v>600</v>
      </c>
      <c r="I2275" s="71"/>
      <c r="J2275" s="71" t="s">
        <v>279</v>
      </c>
      <c r="K2275" s="71">
        <v>1</v>
      </c>
      <c r="L2275" s="71" t="s">
        <v>434</v>
      </c>
      <c r="M2275" s="71">
        <f t="shared" si="198"/>
        <v>120</v>
      </c>
      <c r="O2275" s="67">
        <f t="shared" si="199"/>
        <v>0.00126780205383933</v>
      </c>
      <c r="P2275" s="67">
        <v>11033</v>
      </c>
    </row>
    <row r="2276" spans="1:16">
      <c r="A2276" s="71">
        <v>2274</v>
      </c>
      <c r="B2276" s="71">
        <v>11900</v>
      </c>
      <c r="C2276" s="71">
        <v>6</v>
      </c>
      <c r="D2276" s="71">
        <f t="shared" si="200"/>
        <v>94052</v>
      </c>
      <c r="E2276" s="71">
        <f t="shared" si="197"/>
        <v>94172</v>
      </c>
      <c r="F2276" s="71"/>
      <c r="G2276" s="71" t="s">
        <v>346</v>
      </c>
      <c r="H2276" s="71" t="s">
        <v>601</v>
      </c>
      <c r="I2276" s="71"/>
      <c r="J2276" s="71" t="s">
        <v>279</v>
      </c>
      <c r="K2276" s="71">
        <v>1</v>
      </c>
      <c r="L2276" s="71" t="s">
        <v>434</v>
      </c>
      <c r="M2276" s="71">
        <f t="shared" si="198"/>
        <v>120</v>
      </c>
      <c r="O2276" s="67">
        <f t="shared" si="199"/>
        <v>0.00126780205383933</v>
      </c>
      <c r="P2276" s="67">
        <v>11034</v>
      </c>
    </row>
    <row r="2277" spans="1:16">
      <c r="A2277" s="71">
        <v>2275</v>
      </c>
      <c r="B2277" s="71">
        <v>11900</v>
      </c>
      <c r="C2277" s="71">
        <v>6</v>
      </c>
      <c r="D2277" s="71">
        <f t="shared" si="200"/>
        <v>94172</v>
      </c>
      <c r="E2277" s="71">
        <f t="shared" si="197"/>
        <v>94292</v>
      </c>
      <c r="F2277" s="71"/>
      <c r="G2277" s="71" t="s">
        <v>348</v>
      </c>
      <c r="H2277" s="71" t="s">
        <v>602</v>
      </c>
      <c r="I2277" s="71"/>
      <c r="J2277" s="71" t="s">
        <v>279</v>
      </c>
      <c r="K2277" s="71">
        <v>1</v>
      </c>
      <c r="L2277" s="71" t="s">
        <v>434</v>
      </c>
      <c r="M2277" s="71">
        <f t="shared" si="198"/>
        <v>120</v>
      </c>
      <c r="O2277" s="67">
        <f t="shared" si="199"/>
        <v>0.00126780205383933</v>
      </c>
      <c r="P2277" s="67">
        <v>11035</v>
      </c>
    </row>
    <row r="2278" spans="1:16">
      <c r="A2278" s="71">
        <v>2276</v>
      </c>
      <c r="B2278" s="71">
        <v>11900</v>
      </c>
      <c r="C2278" s="71">
        <v>6</v>
      </c>
      <c r="D2278" s="71">
        <f t="shared" si="200"/>
        <v>94292</v>
      </c>
      <c r="E2278" s="71">
        <f t="shared" si="197"/>
        <v>94412</v>
      </c>
      <c r="F2278" s="71"/>
      <c r="G2278" s="71" t="s">
        <v>350</v>
      </c>
      <c r="H2278" s="71" t="s">
        <v>603</v>
      </c>
      <c r="I2278" s="71"/>
      <c r="J2278" s="71" t="s">
        <v>279</v>
      </c>
      <c r="K2278" s="71">
        <v>1</v>
      </c>
      <c r="L2278" s="71" t="s">
        <v>434</v>
      </c>
      <c r="M2278" s="71">
        <f t="shared" si="198"/>
        <v>120</v>
      </c>
      <c r="O2278" s="67">
        <f t="shared" si="199"/>
        <v>0.00126780205383933</v>
      </c>
      <c r="P2278" s="67">
        <v>11036</v>
      </c>
    </row>
    <row r="2279" spans="1:16">
      <c r="A2279" s="71">
        <v>2277</v>
      </c>
      <c r="B2279" s="71">
        <v>11900</v>
      </c>
      <c r="C2279" s="71">
        <v>6</v>
      </c>
      <c r="D2279" s="71">
        <f t="shared" si="200"/>
        <v>94412</v>
      </c>
      <c r="E2279" s="71">
        <f t="shared" si="197"/>
        <v>94532</v>
      </c>
      <c r="F2279" s="71"/>
      <c r="G2279" s="71" t="s">
        <v>352</v>
      </c>
      <c r="H2279" s="71" t="s">
        <v>604</v>
      </c>
      <c r="I2279" s="71"/>
      <c r="J2279" s="71" t="s">
        <v>279</v>
      </c>
      <c r="K2279" s="71">
        <v>1</v>
      </c>
      <c r="L2279" s="71" t="s">
        <v>434</v>
      </c>
      <c r="M2279" s="71">
        <f t="shared" si="198"/>
        <v>120</v>
      </c>
      <c r="O2279" s="67">
        <f t="shared" si="199"/>
        <v>0.00126780205383933</v>
      </c>
      <c r="P2279" s="67">
        <v>11037</v>
      </c>
    </row>
    <row r="2280" spans="1:16">
      <c r="A2280" s="71">
        <v>2278</v>
      </c>
      <c r="B2280" s="71">
        <v>11900</v>
      </c>
      <c r="C2280" s="71">
        <v>6</v>
      </c>
      <c r="D2280" s="71">
        <f t="shared" si="200"/>
        <v>94532</v>
      </c>
      <c r="E2280" s="71">
        <f t="shared" si="197"/>
        <v>94652</v>
      </c>
      <c r="F2280" s="71"/>
      <c r="G2280" s="71" t="s">
        <v>354</v>
      </c>
      <c r="H2280" s="71" t="s">
        <v>605</v>
      </c>
      <c r="I2280" s="71"/>
      <c r="J2280" s="71" t="s">
        <v>279</v>
      </c>
      <c r="K2280" s="71">
        <v>1</v>
      </c>
      <c r="L2280" s="71" t="s">
        <v>434</v>
      </c>
      <c r="M2280" s="71">
        <f t="shared" si="198"/>
        <v>120</v>
      </c>
      <c r="O2280" s="67">
        <f t="shared" si="199"/>
        <v>0.00126780205383933</v>
      </c>
      <c r="P2280" s="67">
        <v>11038</v>
      </c>
    </row>
    <row r="2281" s="66" customFormat="1" spans="1:16">
      <c r="A2281" s="71">
        <v>2279</v>
      </c>
      <c r="B2281" s="70">
        <v>11900</v>
      </c>
      <c r="C2281" s="70">
        <v>6</v>
      </c>
      <c r="D2281" s="70">
        <f t="shared" si="200"/>
        <v>94652</v>
      </c>
      <c r="E2281" s="70">
        <f t="shared" si="197"/>
        <v>94772</v>
      </c>
      <c r="F2281" s="70"/>
      <c r="G2281" s="70" t="s">
        <v>277</v>
      </c>
      <c r="H2281" s="70" t="s">
        <v>356</v>
      </c>
      <c r="I2281" s="70"/>
      <c r="J2281" s="70" t="s">
        <v>279</v>
      </c>
      <c r="K2281" s="70">
        <v>1</v>
      </c>
      <c r="L2281" s="70" t="s">
        <v>434</v>
      </c>
      <c r="M2281" s="71">
        <f t="shared" si="198"/>
        <v>120</v>
      </c>
      <c r="N2281" s="70"/>
      <c r="O2281" s="70">
        <f t="shared" ref="O2281:O2344" si="201">(E2281-D2281)/$E$438</f>
        <v>0.0013182901776396</v>
      </c>
      <c r="P2281" s="70">
        <v>11000</v>
      </c>
    </row>
    <row r="2282" s="66" customFormat="1" spans="1:16">
      <c r="A2282" s="71">
        <v>2280</v>
      </c>
      <c r="B2282" s="70">
        <v>11900</v>
      </c>
      <c r="C2282" s="70">
        <v>6</v>
      </c>
      <c r="D2282" s="70">
        <f t="shared" si="200"/>
        <v>94772</v>
      </c>
      <c r="E2282" s="70">
        <f t="shared" si="197"/>
        <v>94892</v>
      </c>
      <c r="F2282" s="70"/>
      <c r="G2282" s="70" t="s">
        <v>280</v>
      </c>
      <c r="H2282" s="70" t="s">
        <v>357</v>
      </c>
      <c r="I2282" s="70"/>
      <c r="J2282" s="70" t="s">
        <v>279</v>
      </c>
      <c r="K2282" s="70">
        <v>1</v>
      </c>
      <c r="L2282" s="70" t="s">
        <v>434</v>
      </c>
      <c r="M2282" s="71">
        <f t="shared" si="198"/>
        <v>120</v>
      </c>
      <c r="N2282" s="70"/>
      <c r="O2282" s="70">
        <f t="shared" si="201"/>
        <v>0.0013182901776396</v>
      </c>
      <c r="P2282" s="70">
        <v>11001</v>
      </c>
    </row>
    <row r="2283" s="66" customFormat="1" spans="1:16">
      <c r="A2283" s="71">
        <v>2281</v>
      </c>
      <c r="B2283" s="70">
        <v>11900</v>
      </c>
      <c r="C2283" s="70">
        <v>6</v>
      </c>
      <c r="D2283" s="70">
        <f t="shared" si="200"/>
        <v>94892</v>
      </c>
      <c r="E2283" s="70">
        <f t="shared" si="197"/>
        <v>95012</v>
      </c>
      <c r="F2283" s="70"/>
      <c r="G2283" s="70" t="s">
        <v>282</v>
      </c>
      <c r="H2283" s="70" t="s">
        <v>358</v>
      </c>
      <c r="I2283" s="70"/>
      <c r="J2283" s="70" t="s">
        <v>279</v>
      </c>
      <c r="K2283" s="70">
        <v>1</v>
      </c>
      <c r="L2283" s="70" t="s">
        <v>434</v>
      </c>
      <c r="M2283" s="71">
        <f t="shared" si="198"/>
        <v>120</v>
      </c>
      <c r="N2283" s="70"/>
      <c r="O2283" s="70">
        <f t="shared" si="201"/>
        <v>0.0013182901776396</v>
      </c>
      <c r="P2283" s="70">
        <v>11002</v>
      </c>
    </row>
    <row r="2284" s="66" customFormat="1" spans="1:16">
      <c r="A2284" s="71">
        <v>2282</v>
      </c>
      <c r="B2284" s="70">
        <v>11900</v>
      </c>
      <c r="C2284" s="70">
        <v>6</v>
      </c>
      <c r="D2284" s="70">
        <f t="shared" si="200"/>
        <v>95012</v>
      </c>
      <c r="E2284" s="70">
        <f t="shared" si="197"/>
        <v>95132</v>
      </c>
      <c r="F2284" s="70"/>
      <c r="G2284" s="70" t="s">
        <v>284</v>
      </c>
      <c r="H2284" s="70" t="s">
        <v>359</v>
      </c>
      <c r="I2284" s="70"/>
      <c r="J2284" s="70" t="s">
        <v>279</v>
      </c>
      <c r="K2284" s="70">
        <v>1</v>
      </c>
      <c r="L2284" s="70" t="s">
        <v>434</v>
      </c>
      <c r="M2284" s="71">
        <f t="shared" si="198"/>
        <v>120</v>
      </c>
      <c r="N2284" s="70"/>
      <c r="O2284" s="70">
        <f t="shared" si="201"/>
        <v>0.0013182901776396</v>
      </c>
      <c r="P2284" s="70">
        <v>11003</v>
      </c>
    </row>
    <row r="2285" s="66" customFormat="1" spans="1:16">
      <c r="A2285" s="71">
        <v>2283</v>
      </c>
      <c r="B2285" s="70">
        <v>11900</v>
      </c>
      <c r="C2285" s="70">
        <v>6</v>
      </c>
      <c r="D2285" s="70">
        <f t="shared" si="200"/>
        <v>95132</v>
      </c>
      <c r="E2285" s="70">
        <f t="shared" si="197"/>
        <v>95252</v>
      </c>
      <c r="F2285" s="70"/>
      <c r="G2285" s="70" t="s">
        <v>286</v>
      </c>
      <c r="H2285" s="70" t="s">
        <v>360</v>
      </c>
      <c r="I2285" s="70"/>
      <c r="J2285" s="70" t="s">
        <v>279</v>
      </c>
      <c r="K2285" s="70">
        <v>1</v>
      </c>
      <c r="L2285" s="70" t="s">
        <v>434</v>
      </c>
      <c r="M2285" s="71">
        <f t="shared" si="198"/>
        <v>120</v>
      </c>
      <c r="N2285" s="70"/>
      <c r="O2285" s="70">
        <f t="shared" si="201"/>
        <v>0.0013182901776396</v>
      </c>
      <c r="P2285" s="70">
        <v>11004</v>
      </c>
    </row>
    <row r="2286" s="66" customFormat="1" spans="1:16">
      <c r="A2286" s="71">
        <v>2284</v>
      </c>
      <c r="B2286" s="70">
        <v>11900</v>
      </c>
      <c r="C2286" s="70">
        <v>6</v>
      </c>
      <c r="D2286" s="70">
        <f t="shared" si="200"/>
        <v>95252</v>
      </c>
      <c r="E2286" s="70">
        <f t="shared" si="197"/>
        <v>95372</v>
      </c>
      <c r="F2286" s="70"/>
      <c r="G2286" s="70" t="s">
        <v>288</v>
      </c>
      <c r="H2286" s="70" t="s">
        <v>361</v>
      </c>
      <c r="I2286" s="70"/>
      <c r="J2286" s="70" t="s">
        <v>279</v>
      </c>
      <c r="K2286" s="70">
        <v>1</v>
      </c>
      <c r="L2286" s="70" t="s">
        <v>434</v>
      </c>
      <c r="M2286" s="71">
        <f t="shared" si="198"/>
        <v>120</v>
      </c>
      <c r="N2286" s="70"/>
      <c r="O2286" s="70">
        <f t="shared" si="201"/>
        <v>0.0013182901776396</v>
      </c>
      <c r="P2286" s="70">
        <v>11005</v>
      </c>
    </row>
    <row r="2287" s="66" customFormat="1" spans="1:16">
      <c r="A2287" s="71">
        <v>2285</v>
      </c>
      <c r="B2287" s="70">
        <v>11900</v>
      </c>
      <c r="C2287" s="70">
        <v>6</v>
      </c>
      <c r="D2287" s="70">
        <f t="shared" si="200"/>
        <v>95372</v>
      </c>
      <c r="E2287" s="70">
        <f t="shared" si="197"/>
        <v>95492</v>
      </c>
      <c r="F2287" s="70"/>
      <c r="G2287" s="70" t="s">
        <v>290</v>
      </c>
      <c r="H2287" s="70" t="s">
        <v>362</v>
      </c>
      <c r="I2287" s="70"/>
      <c r="J2287" s="70" t="s">
        <v>279</v>
      </c>
      <c r="K2287" s="70">
        <v>1</v>
      </c>
      <c r="L2287" s="70" t="s">
        <v>434</v>
      </c>
      <c r="M2287" s="71">
        <f t="shared" si="198"/>
        <v>120</v>
      </c>
      <c r="N2287" s="70"/>
      <c r="O2287" s="70">
        <f t="shared" si="201"/>
        <v>0.0013182901776396</v>
      </c>
      <c r="P2287" s="70">
        <v>11006</v>
      </c>
    </row>
    <row r="2288" s="66" customFormat="1" spans="1:16">
      <c r="A2288" s="71">
        <v>2286</v>
      </c>
      <c r="B2288" s="70">
        <v>11900</v>
      </c>
      <c r="C2288" s="70">
        <v>6</v>
      </c>
      <c r="D2288" s="70">
        <f t="shared" si="200"/>
        <v>95492</v>
      </c>
      <c r="E2288" s="70">
        <f t="shared" si="197"/>
        <v>95612</v>
      </c>
      <c r="F2288" s="70"/>
      <c r="G2288" s="70" t="s">
        <v>292</v>
      </c>
      <c r="H2288" s="70" t="s">
        <v>363</v>
      </c>
      <c r="I2288" s="70"/>
      <c r="J2288" s="70" t="s">
        <v>279</v>
      </c>
      <c r="K2288" s="70">
        <v>1</v>
      </c>
      <c r="L2288" s="70" t="s">
        <v>434</v>
      </c>
      <c r="M2288" s="71">
        <f t="shared" si="198"/>
        <v>120</v>
      </c>
      <c r="N2288" s="70"/>
      <c r="O2288" s="70">
        <f t="shared" si="201"/>
        <v>0.0013182901776396</v>
      </c>
      <c r="P2288" s="70">
        <v>11007</v>
      </c>
    </row>
    <row r="2289" s="66" customFormat="1" spans="1:16">
      <c r="A2289" s="71">
        <v>2287</v>
      </c>
      <c r="B2289" s="70">
        <v>11900</v>
      </c>
      <c r="C2289" s="70">
        <v>6</v>
      </c>
      <c r="D2289" s="70">
        <f t="shared" si="200"/>
        <v>95612</v>
      </c>
      <c r="E2289" s="70">
        <f t="shared" si="197"/>
        <v>95732</v>
      </c>
      <c r="F2289" s="70"/>
      <c r="G2289" s="70" t="s">
        <v>294</v>
      </c>
      <c r="H2289" s="70" t="s">
        <v>364</v>
      </c>
      <c r="I2289" s="70"/>
      <c r="J2289" s="70" t="s">
        <v>279</v>
      </c>
      <c r="K2289" s="70">
        <v>1</v>
      </c>
      <c r="L2289" s="70" t="s">
        <v>434</v>
      </c>
      <c r="M2289" s="71">
        <f t="shared" si="198"/>
        <v>120</v>
      </c>
      <c r="N2289" s="70"/>
      <c r="O2289" s="70">
        <f t="shared" si="201"/>
        <v>0.0013182901776396</v>
      </c>
      <c r="P2289" s="70">
        <v>11008</v>
      </c>
    </row>
    <row r="2290" s="66" customFormat="1" spans="1:16">
      <c r="A2290" s="71">
        <v>2288</v>
      </c>
      <c r="B2290" s="70">
        <v>11900</v>
      </c>
      <c r="C2290" s="70">
        <v>6</v>
      </c>
      <c r="D2290" s="70">
        <f t="shared" si="200"/>
        <v>95732</v>
      </c>
      <c r="E2290" s="70">
        <f t="shared" si="197"/>
        <v>95852</v>
      </c>
      <c r="F2290" s="70"/>
      <c r="G2290" s="70" t="s">
        <v>296</v>
      </c>
      <c r="H2290" s="70" t="s">
        <v>365</v>
      </c>
      <c r="I2290" s="70"/>
      <c r="J2290" s="70" t="s">
        <v>279</v>
      </c>
      <c r="K2290" s="70">
        <v>1</v>
      </c>
      <c r="L2290" s="70" t="s">
        <v>434</v>
      </c>
      <c r="M2290" s="71">
        <f t="shared" si="198"/>
        <v>120</v>
      </c>
      <c r="N2290" s="70"/>
      <c r="O2290" s="70">
        <f t="shared" si="201"/>
        <v>0.0013182901776396</v>
      </c>
      <c r="P2290" s="70">
        <v>11009</v>
      </c>
    </row>
    <row r="2291" s="66" customFormat="1" spans="1:16">
      <c r="A2291" s="71">
        <v>2289</v>
      </c>
      <c r="B2291" s="70">
        <v>11900</v>
      </c>
      <c r="C2291" s="70">
        <v>6</v>
      </c>
      <c r="D2291" s="70">
        <f t="shared" si="200"/>
        <v>95852</v>
      </c>
      <c r="E2291" s="70">
        <f t="shared" si="197"/>
        <v>95972</v>
      </c>
      <c r="F2291" s="70"/>
      <c r="G2291" s="70" t="s">
        <v>298</v>
      </c>
      <c r="H2291" s="70" t="s">
        <v>366</v>
      </c>
      <c r="I2291" s="70"/>
      <c r="J2291" s="70" t="s">
        <v>279</v>
      </c>
      <c r="K2291" s="70">
        <v>1</v>
      </c>
      <c r="L2291" s="70" t="s">
        <v>434</v>
      </c>
      <c r="M2291" s="71">
        <f t="shared" si="198"/>
        <v>120</v>
      </c>
      <c r="N2291" s="70"/>
      <c r="O2291" s="70">
        <f t="shared" si="201"/>
        <v>0.0013182901776396</v>
      </c>
      <c r="P2291" s="70">
        <v>11010</v>
      </c>
    </row>
    <row r="2292" s="66" customFormat="1" spans="1:16">
      <c r="A2292" s="71">
        <v>2290</v>
      </c>
      <c r="B2292" s="70">
        <v>11900</v>
      </c>
      <c r="C2292" s="70">
        <v>6</v>
      </c>
      <c r="D2292" s="70">
        <f t="shared" si="200"/>
        <v>95972</v>
      </c>
      <c r="E2292" s="70">
        <f t="shared" si="197"/>
        <v>96092</v>
      </c>
      <c r="F2292" s="70"/>
      <c r="G2292" s="70" t="s">
        <v>300</v>
      </c>
      <c r="H2292" s="70" t="s">
        <v>367</v>
      </c>
      <c r="I2292" s="70"/>
      <c r="J2292" s="70" t="s">
        <v>279</v>
      </c>
      <c r="K2292" s="70">
        <v>1</v>
      </c>
      <c r="L2292" s="70" t="s">
        <v>434</v>
      </c>
      <c r="M2292" s="71">
        <f t="shared" si="198"/>
        <v>120</v>
      </c>
      <c r="N2292" s="70"/>
      <c r="O2292" s="70">
        <f t="shared" si="201"/>
        <v>0.0013182901776396</v>
      </c>
      <c r="P2292" s="70">
        <v>11011</v>
      </c>
    </row>
    <row r="2293" s="66" customFormat="1" spans="1:16">
      <c r="A2293" s="71">
        <v>2291</v>
      </c>
      <c r="B2293" s="70">
        <v>11900</v>
      </c>
      <c r="C2293" s="70">
        <v>6</v>
      </c>
      <c r="D2293" s="70">
        <f t="shared" si="200"/>
        <v>96092</v>
      </c>
      <c r="E2293" s="70">
        <f t="shared" si="197"/>
        <v>96212</v>
      </c>
      <c r="F2293" s="70"/>
      <c r="G2293" s="70" t="s">
        <v>302</v>
      </c>
      <c r="H2293" s="70" t="s">
        <v>368</v>
      </c>
      <c r="I2293" s="70"/>
      <c r="J2293" s="70" t="s">
        <v>279</v>
      </c>
      <c r="K2293" s="70">
        <v>1</v>
      </c>
      <c r="L2293" s="70" t="s">
        <v>434</v>
      </c>
      <c r="M2293" s="71">
        <f t="shared" si="198"/>
        <v>120</v>
      </c>
      <c r="N2293" s="70"/>
      <c r="O2293" s="70">
        <f t="shared" si="201"/>
        <v>0.0013182901776396</v>
      </c>
      <c r="P2293" s="70">
        <v>11012</v>
      </c>
    </row>
    <row r="2294" s="66" customFormat="1" spans="1:16">
      <c r="A2294" s="71">
        <v>2292</v>
      </c>
      <c r="B2294" s="70">
        <v>11900</v>
      </c>
      <c r="C2294" s="70">
        <v>6</v>
      </c>
      <c r="D2294" s="70">
        <f t="shared" si="200"/>
        <v>96212</v>
      </c>
      <c r="E2294" s="70">
        <f t="shared" si="197"/>
        <v>96332</v>
      </c>
      <c r="F2294" s="70"/>
      <c r="G2294" s="70" t="s">
        <v>304</v>
      </c>
      <c r="H2294" s="70" t="s">
        <v>369</v>
      </c>
      <c r="I2294" s="70"/>
      <c r="J2294" s="70" t="s">
        <v>279</v>
      </c>
      <c r="K2294" s="70">
        <v>1</v>
      </c>
      <c r="L2294" s="70" t="s">
        <v>434</v>
      </c>
      <c r="M2294" s="71">
        <f t="shared" si="198"/>
        <v>120</v>
      </c>
      <c r="N2294" s="70"/>
      <c r="O2294" s="70">
        <f t="shared" si="201"/>
        <v>0.0013182901776396</v>
      </c>
      <c r="P2294" s="70">
        <v>11013</v>
      </c>
    </row>
    <row r="2295" s="66" customFormat="1" spans="1:16">
      <c r="A2295" s="71">
        <v>2293</v>
      </c>
      <c r="B2295" s="70">
        <v>11900</v>
      </c>
      <c r="C2295" s="70">
        <v>6</v>
      </c>
      <c r="D2295" s="70">
        <f t="shared" si="200"/>
        <v>96332</v>
      </c>
      <c r="E2295" s="70">
        <f t="shared" si="197"/>
        <v>96452</v>
      </c>
      <c r="F2295" s="70"/>
      <c r="G2295" s="70" t="s">
        <v>306</v>
      </c>
      <c r="H2295" s="70" t="s">
        <v>370</v>
      </c>
      <c r="I2295" s="70"/>
      <c r="J2295" s="70" t="s">
        <v>279</v>
      </c>
      <c r="K2295" s="70">
        <v>1</v>
      </c>
      <c r="L2295" s="70" t="s">
        <v>434</v>
      </c>
      <c r="M2295" s="71">
        <f t="shared" si="198"/>
        <v>120</v>
      </c>
      <c r="N2295" s="70"/>
      <c r="O2295" s="70">
        <f t="shared" si="201"/>
        <v>0.0013182901776396</v>
      </c>
      <c r="P2295" s="70">
        <v>11014</v>
      </c>
    </row>
    <row r="2296" s="66" customFormat="1" spans="1:16">
      <c r="A2296" s="71">
        <v>2294</v>
      </c>
      <c r="B2296" s="70">
        <v>11900</v>
      </c>
      <c r="C2296" s="70">
        <v>6</v>
      </c>
      <c r="D2296" s="70">
        <f t="shared" si="200"/>
        <v>96452</v>
      </c>
      <c r="E2296" s="70">
        <f t="shared" si="197"/>
        <v>96572</v>
      </c>
      <c r="F2296" s="70"/>
      <c r="G2296" s="70" t="s">
        <v>308</v>
      </c>
      <c r="H2296" s="70" t="s">
        <v>371</v>
      </c>
      <c r="I2296" s="70"/>
      <c r="J2296" s="70" t="s">
        <v>279</v>
      </c>
      <c r="K2296" s="70">
        <v>1</v>
      </c>
      <c r="L2296" s="70" t="s">
        <v>434</v>
      </c>
      <c r="M2296" s="71">
        <f t="shared" si="198"/>
        <v>120</v>
      </c>
      <c r="N2296" s="70"/>
      <c r="O2296" s="70">
        <f t="shared" si="201"/>
        <v>0.0013182901776396</v>
      </c>
      <c r="P2296" s="70">
        <v>11015</v>
      </c>
    </row>
    <row r="2297" s="66" customFormat="1" spans="1:16">
      <c r="A2297" s="71">
        <v>2295</v>
      </c>
      <c r="B2297" s="70">
        <v>11900</v>
      </c>
      <c r="C2297" s="70">
        <v>6</v>
      </c>
      <c r="D2297" s="70">
        <f t="shared" si="200"/>
        <v>96572</v>
      </c>
      <c r="E2297" s="70">
        <f t="shared" si="197"/>
        <v>96692</v>
      </c>
      <c r="F2297" s="70"/>
      <c r="G2297" s="70" t="s">
        <v>310</v>
      </c>
      <c r="H2297" s="70" t="s">
        <v>372</v>
      </c>
      <c r="I2297" s="70"/>
      <c r="J2297" s="70" t="s">
        <v>279</v>
      </c>
      <c r="K2297" s="70">
        <v>1</v>
      </c>
      <c r="L2297" s="70" t="s">
        <v>434</v>
      </c>
      <c r="M2297" s="71">
        <f t="shared" si="198"/>
        <v>120</v>
      </c>
      <c r="N2297" s="70"/>
      <c r="O2297" s="70">
        <f t="shared" si="201"/>
        <v>0.0013182901776396</v>
      </c>
      <c r="P2297" s="70">
        <v>11016</v>
      </c>
    </row>
    <row r="2298" s="66" customFormat="1" spans="1:16">
      <c r="A2298" s="71">
        <v>2296</v>
      </c>
      <c r="B2298" s="70">
        <v>11900</v>
      </c>
      <c r="C2298" s="70">
        <v>6</v>
      </c>
      <c r="D2298" s="70">
        <f t="shared" si="200"/>
        <v>96692</v>
      </c>
      <c r="E2298" s="70">
        <f t="shared" si="197"/>
        <v>96812</v>
      </c>
      <c r="F2298" s="70"/>
      <c r="G2298" s="70" t="s">
        <v>312</v>
      </c>
      <c r="H2298" s="70" t="s">
        <v>373</v>
      </c>
      <c r="I2298" s="70"/>
      <c r="J2298" s="70" t="s">
        <v>279</v>
      </c>
      <c r="K2298" s="70">
        <v>1</v>
      </c>
      <c r="L2298" s="70" t="s">
        <v>434</v>
      </c>
      <c r="M2298" s="71">
        <f t="shared" si="198"/>
        <v>120</v>
      </c>
      <c r="N2298" s="70"/>
      <c r="O2298" s="70">
        <f t="shared" si="201"/>
        <v>0.0013182901776396</v>
      </c>
      <c r="P2298" s="70">
        <v>11017</v>
      </c>
    </row>
    <row r="2299" s="66" customFormat="1" spans="1:16">
      <c r="A2299" s="71">
        <v>2297</v>
      </c>
      <c r="B2299" s="70">
        <v>11900</v>
      </c>
      <c r="C2299" s="70">
        <v>6</v>
      </c>
      <c r="D2299" s="70">
        <f t="shared" si="200"/>
        <v>96812</v>
      </c>
      <c r="E2299" s="70">
        <f t="shared" si="197"/>
        <v>96932</v>
      </c>
      <c r="F2299" s="70"/>
      <c r="G2299" s="70" t="s">
        <v>314</v>
      </c>
      <c r="H2299" s="70" t="s">
        <v>374</v>
      </c>
      <c r="I2299" s="70"/>
      <c r="J2299" s="70" t="s">
        <v>279</v>
      </c>
      <c r="K2299" s="70">
        <v>1</v>
      </c>
      <c r="L2299" s="70" t="s">
        <v>434</v>
      </c>
      <c r="M2299" s="71">
        <f t="shared" si="198"/>
        <v>120</v>
      </c>
      <c r="N2299" s="70"/>
      <c r="O2299" s="70">
        <f t="shared" si="201"/>
        <v>0.0013182901776396</v>
      </c>
      <c r="P2299" s="70">
        <v>11018</v>
      </c>
    </row>
    <row r="2300" s="66" customFormat="1" spans="1:16">
      <c r="A2300" s="71">
        <v>2298</v>
      </c>
      <c r="B2300" s="70">
        <v>11900</v>
      </c>
      <c r="C2300" s="70">
        <v>6</v>
      </c>
      <c r="D2300" s="70">
        <f t="shared" si="200"/>
        <v>96932</v>
      </c>
      <c r="E2300" s="70">
        <f t="shared" si="197"/>
        <v>97052</v>
      </c>
      <c r="F2300" s="70"/>
      <c r="G2300" s="70" t="s">
        <v>316</v>
      </c>
      <c r="H2300" s="70" t="s">
        <v>375</v>
      </c>
      <c r="I2300" s="70"/>
      <c r="J2300" s="70" t="s">
        <v>279</v>
      </c>
      <c r="K2300" s="70">
        <v>1</v>
      </c>
      <c r="L2300" s="70" t="s">
        <v>434</v>
      </c>
      <c r="M2300" s="71">
        <f t="shared" si="198"/>
        <v>120</v>
      </c>
      <c r="N2300" s="70"/>
      <c r="O2300" s="70">
        <f t="shared" si="201"/>
        <v>0.0013182901776396</v>
      </c>
      <c r="P2300" s="70">
        <v>11019</v>
      </c>
    </row>
    <row r="2301" s="66" customFormat="1" spans="1:16">
      <c r="A2301" s="71">
        <v>2299</v>
      </c>
      <c r="B2301" s="70">
        <v>11900</v>
      </c>
      <c r="C2301" s="70">
        <v>6</v>
      </c>
      <c r="D2301" s="70">
        <f t="shared" si="200"/>
        <v>97052</v>
      </c>
      <c r="E2301" s="70">
        <f t="shared" si="197"/>
        <v>97172</v>
      </c>
      <c r="F2301" s="70"/>
      <c r="G2301" s="70" t="s">
        <v>318</v>
      </c>
      <c r="H2301" s="70" t="s">
        <v>376</v>
      </c>
      <c r="I2301" s="70"/>
      <c r="J2301" s="70" t="s">
        <v>279</v>
      </c>
      <c r="K2301" s="70">
        <v>1</v>
      </c>
      <c r="L2301" s="70" t="s">
        <v>434</v>
      </c>
      <c r="M2301" s="71">
        <f t="shared" si="198"/>
        <v>120</v>
      </c>
      <c r="N2301" s="70"/>
      <c r="O2301" s="70">
        <f t="shared" si="201"/>
        <v>0.0013182901776396</v>
      </c>
      <c r="P2301" s="70">
        <v>11020</v>
      </c>
    </row>
    <row r="2302" s="66" customFormat="1" spans="1:16">
      <c r="A2302" s="71">
        <v>2300</v>
      </c>
      <c r="B2302" s="70">
        <v>11900</v>
      </c>
      <c r="C2302" s="70">
        <v>6</v>
      </c>
      <c r="D2302" s="70">
        <f t="shared" si="200"/>
        <v>97172</v>
      </c>
      <c r="E2302" s="70">
        <f t="shared" si="197"/>
        <v>97292</v>
      </c>
      <c r="F2302" s="70"/>
      <c r="G2302" s="70" t="s">
        <v>320</v>
      </c>
      <c r="H2302" s="70" t="s">
        <v>377</v>
      </c>
      <c r="I2302" s="70"/>
      <c r="J2302" s="70" t="s">
        <v>279</v>
      </c>
      <c r="K2302" s="70">
        <v>1</v>
      </c>
      <c r="L2302" s="70" t="s">
        <v>434</v>
      </c>
      <c r="M2302" s="71">
        <f t="shared" si="198"/>
        <v>120</v>
      </c>
      <c r="N2302" s="70"/>
      <c r="O2302" s="70">
        <f t="shared" si="201"/>
        <v>0.0013182901776396</v>
      </c>
      <c r="P2302" s="70">
        <v>11021</v>
      </c>
    </row>
    <row r="2303" s="66" customFormat="1" spans="1:16">
      <c r="A2303" s="71">
        <v>2301</v>
      </c>
      <c r="B2303" s="70">
        <v>11900</v>
      </c>
      <c r="C2303" s="70">
        <v>6</v>
      </c>
      <c r="D2303" s="70">
        <f t="shared" si="200"/>
        <v>97292</v>
      </c>
      <c r="E2303" s="70">
        <f t="shared" si="197"/>
        <v>97412</v>
      </c>
      <c r="F2303" s="70"/>
      <c r="G2303" s="70" t="s">
        <v>322</v>
      </c>
      <c r="H2303" s="70" t="s">
        <v>378</v>
      </c>
      <c r="I2303" s="70"/>
      <c r="J2303" s="70" t="s">
        <v>279</v>
      </c>
      <c r="K2303" s="70">
        <v>1</v>
      </c>
      <c r="L2303" s="70" t="s">
        <v>434</v>
      </c>
      <c r="M2303" s="71">
        <f t="shared" si="198"/>
        <v>120</v>
      </c>
      <c r="N2303" s="70"/>
      <c r="O2303" s="70">
        <f t="shared" si="201"/>
        <v>0.0013182901776396</v>
      </c>
      <c r="P2303" s="70">
        <v>11022</v>
      </c>
    </row>
    <row r="2304" s="66" customFormat="1" spans="1:16">
      <c r="A2304" s="71">
        <v>2302</v>
      </c>
      <c r="B2304" s="70">
        <v>11900</v>
      </c>
      <c r="C2304" s="70">
        <v>6</v>
      </c>
      <c r="D2304" s="70">
        <f t="shared" si="200"/>
        <v>97412</v>
      </c>
      <c r="E2304" s="70">
        <f t="shared" si="197"/>
        <v>97532</v>
      </c>
      <c r="F2304" s="70"/>
      <c r="G2304" s="70" t="s">
        <v>324</v>
      </c>
      <c r="H2304" s="70" t="s">
        <v>379</v>
      </c>
      <c r="I2304" s="70"/>
      <c r="J2304" s="70" t="s">
        <v>279</v>
      </c>
      <c r="K2304" s="70">
        <v>1</v>
      </c>
      <c r="L2304" s="70" t="s">
        <v>434</v>
      </c>
      <c r="M2304" s="71">
        <f t="shared" si="198"/>
        <v>120</v>
      </c>
      <c r="N2304" s="70"/>
      <c r="O2304" s="70">
        <f t="shared" si="201"/>
        <v>0.0013182901776396</v>
      </c>
      <c r="P2304" s="70">
        <v>11023</v>
      </c>
    </row>
    <row r="2305" s="66" customFormat="1" spans="1:16">
      <c r="A2305" s="71">
        <v>2303</v>
      </c>
      <c r="B2305" s="70">
        <v>11900</v>
      </c>
      <c r="C2305" s="70">
        <v>6</v>
      </c>
      <c r="D2305" s="70">
        <f t="shared" si="200"/>
        <v>97532</v>
      </c>
      <c r="E2305" s="70">
        <f t="shared" si="197"/>
        <v>97652</v>
      </c>
      <c r="F2305" s="70"/>
      <c r="G2305" s="70" t="s">
        <v>326</v>
      </c>
      <c r="H2305" s="70" t="s">
        <v>380</v>
      </c>
      <c r="I2305" s="70"/>
      <c r="J2305" s="70" t="s">
        <v>279</v>
      </c>
      <c r="K2305" s="70">
        <v>1</v>
      </c>
      <c r="L2305" s="70" t="s">
        <v>434</v>
      </c>
      <c r="M2305" s="71">
        <f t="shared" si="198"/>
        <v>120</v>
      </c>
      <c r="N2305" s="70"/>
      <c r="O2305" s="70">
        <f t="shared" si="201"/>
        <v>0.0013182901776396</v>
      </c>
      <c r="P2305" s="70">
        <v>11024</v>
      </c>
    </row>
    <row r="2306" s="66" customFormat="1" spans="1:16">
      <c r="A2306" s="71">
        <v>2304</v>
      </c>
      <c r="B2306" s="70">
        <v>11900</v>
      </c>
      <c r="C2306" s="70">
        <v>6</v>
      </c>
      <c r="D2306" s="70">
        <f t="shared" si="200"/>
        <v>97652</v>
      </c>
      <c r="E2306" s="70">
        <f t="shared" si="197"/>
        <v>97772</v>
      </c>
      <c r="F2306" s="70"/>
      <c r="G2306" s="70" t="s">
        <v>328</v>
      </c>
      <c r="H2306" s="70" t="s">
        <v>381</v>
      </c>
      <c r="I2306" s="70"/>
      <c r="J2306" s="70" t="s">
        <v>279</v>
      </c>
      <c r="K2306" s="70">
        <v>1</v>
      </c>
      <c r="L2306" s="70" t="s">
        <v>434</v>
      </c>
      <c r="M2306" s="71">
        <f t="shared" si="198"/>
        <v>120</v>
      </c>
      <c r="N2306" s="70"/>
      <c r="O2306" s="70">
        <f t="shared" si="201"/>
        <v>0.0013182901776396</v>
      </c>
      <c r="P2306" s="70">
        <v>11025</v>
      </c>
    </row>
    <row r="2307" s="66" customFormat="1" spans="1:16">
      <c r="A2307" s="71">
        <v>2305</v>
      </c>
      <c r="B2307" s="70">
        <v>11900</v>
      </c>
      <c r="C2307" s="70">
        <v>6</v>
      </c>
      <c r="D2307" s="70">
        <f t="shared" si="200"/>
        <v>97772</v>
      </c>
      <c r="E2307" s="70">
        <f t="shared" si="197"/>
        <v>97892</v>
      </c>
      <c r="F2307" s="70"/>
      <c r="G2307" s="70" t="s">
        <v>330</v>
      </c>
      <c r="H2307" s="70" t="s">
        <v>382</v>
      </c>
      <c r="I2307" s="70"/>
      <c r="J2307" s="70" t="s">
        <v>279</v>
      </c>
      <c r="K2307" s="70">
        <v>1</v>
      </c>
      <c r="L2307" s="70" t="s">
        <v>434</v>
      </c>
      <c r="M2307" s="71">
        <f t="shared" si="198"/>
        <v>120</v>
      </c>
      <c r="N2307" s="70"/>
      <c r="O2307" s="70">
        <f t="shared" si="201"/>
        <v>0.0013182901776396</v>
      </c>
      <c r="P2307" s="70">
        <v>11026</v>
      </c>
    </row>
    <row r="2308" s="66" customFormat="1" spans="1:16">
      <c r="A2308" s="71">
        <v>2306</v>
      </c>
      <c r="B2308" s="70">
        <v>11900</v>
      </c>
      <c r="C2308" s="70">
        <v>6</v>
      </c>
      <c r="D2308" s="70">
        <f t="shared" si="200"/>
        <v>97892</v>
      </c>
      <c r="E2308" s="70">
        <f t="shared" si="197"/>
        <v>98012</v>
      </c>
      <c r="F2308" s="70"/>
      <c r="G2308" s="70" t="s">
        <v>332</v>
      </c>
      <c r="H2308" s="70" t="s">
        <v>383</v>
      </c>
      <c r="I2308" s="70"/>
      <c r="J2308" s="70" t="s">
        <v>279</v>
      </c>
      <c r="K2308" s="70">
        <v>1</v>
      </c>
      <c r="L2308" s="70" t="s">
        <v>434</v>
      </c>
      <c r="M2308" s="71">
        <f t="shared" si="198"/>
        <v>120</v>
      </c>
      <c r="N2308" s="70"/>
      <c r="O2308" s="70">
        <f t="shared" si="201"/>
        <v>0.0013182901776396</v>
      </c>
      <c r="P2308" s="70">
        <v>11027</v>
      </c>
    </row>
    <row r="2309" s="66" customFormat="1" spans="1:16">
      <c r="A2309" s="71">
        <v>2307</v>
      </c>
      <c r="B2309" s="70">
        <v>11900</v>
      </c>
      <c r="C2309" s="70">
        <v>6</v>
      </c>
      <c r="D2309" s="70">
        <f t="shared" si="200"/>
        <v>98012</v>
      </c>
      <c r="E2309" s="70">
        <f t="shared" si="197"/>
        <v>98132</v>
      </c>
      <c r="F2309" s="70"/>
      <c r="G2309" s="70" t="s">
        <v>334</v>
      </c>
      <c r="H2309" s="70" t="s">
        <v>384</v>
      </c>
      <c r="I2309" s="70"/>
      <c r="J2309" s="70" t="s">
        <v>279</v>
      </c>
      <c r="K2309" s="70">
        <v>1</v>
      </c>
      <c r="L2309" s="70" t="s">
        <v>434</v>
      </c>
      <c r="M2309" s="71">
        <f t="shared" si="198"/>
        <v>120</v>
      </c>
      <c r="N2309" s="70"/>
      <c r="O2309" s="70">
        <f t="shared" si="201"/>
        <v>0.0013182901776396</v>
      </c>
      <c r="P2309" s="70">
        <v>11028</v>
      </c>
    </row>
    <row r="2310" s="66" customFormat="1" spans="1:16">
      <c r="A2310" s="71">
        <v>2308</v>
      </c>
      <c r="B2310" s="70">
        <v>11900</v>
      </c>
      <c r="C2310" s="70">
        <v>6</v>
      </c>
      <c r="D2310" s="70">
        <f t="shared" si="200"/>
        <v>98132</v>
      </c>
      <c r="E2310" s="70">
        <f t="shared" si="197"/>
        <v>98252</v>
      </c>
      <c r="F2310" s="70"/>
      <c r="G2310" s="70" t="s">
        <v>336</v>
      </c>
      <c r="H2310" s="70" t="s">
        <v>385</v>
      </c>
      <c r="I2310" s="70"/>
      <c r="J2310" s="70" t="s">
        <v>279</v>
      </c>
      <c r="K2310" s="70">
        <v>1</v>
      </c>
      <c r="L2310" s="70" t="s">
        <v>434</v>
      </c>
      <c r="M2310" s="71">
        <f t="shared" si="198"/>
        <v>120</v>
      </c>
      <c r="N2310" s="70"/>
      <c r="O2310" s="70">
        <f t="shared" si="201"/>
        <v>0.0013182901776396</v>
      </c>
      <c r="P2310" s="70">
        <v>11029</v>
      </c>
    </row>
    <row r="2311" s="66" customFormat="1" spans="1:16">
      <c r="A2311" s="71">
        <v>2309</v>
      </c>
      <c r="B2311" s="70">
        <v>11900</v>
      </c>
      <c r="C2311" s="70">
        <v>6</v>
      </c>
      <c r="D2311" s="70">
        <f t="shared" si="200"/>
        <v>98252</v>
      </c>
      <c r="E2311" s="70">
        <f t="shared" si="197"/>
        <v>98372</v>
      </c>
      <c r="F2311" s="70"/>
      <c r="G2311" s="70" t="s">
        <v>338</v>
      </c>
      <c r="H2311" s="70" t="s">
        <v>386</v>
      </c>
      <c r="I2311" s="70"/>
      <c r="J2311" s="70" t="s">
        <v>279</v>
      </c>
      <c r="K2311" s="70">
        <v>1</v>
      </c>
      <c r="L2311" s="70" t="s">
        <v>434</v>
      </c>
      <c r="M2311" s="71">
        <f t="shared" si="198"/>
        <v>120</v>
      </c>
      <c r="N2311" s="70"/>
      <c r="O2311" s="70">
        <f t="shared" si="201"/>
        <v>0.0013182901776396</v>
      </c>
      <c r="P2311" s="70">
        <v>11030</v>
      </c>
    </row>
    <row r="2312" s="66" customFormat="1" spans="1:16">
      <c r="A2312" s="71">
        <v>2310</v>
      </c>
      <c r="B2312" s="70">
        <v>11900</v>
      </c>
      <c r="C2312" s="70">
        <v>6</v>
      </c>
      <c r="D2312" s="70">
        <f t="shared" si="200"/>
        <v>98372</v>
      </c>
      <c r="E2312" s="70">
        <f t="shared" si="197"/>
        <v>98492</v>
      </c>
      <c r="F2312" s="70"/>
      <c r="G2312" s="70" t="s">
        <v>340</v>
      </c>
      <c r="H2312" s="70" t="s">
        <v>387</v>
      </c>
      <c r="I2312" s="70"/>
      <c r="J2312" s="70" t="s">
        <v>279</v>
      </c>
      <c r="K2312" s="70">
        <v>1</v>
      </c>
      <c r="L2312" s="70" t="s">
        <v>434</v>
      </c>
      <c r="M2312" s="71">
        <f t="shared" si="198"/>
        <v>120</v>
      </c>
      <c r="N2312" s="70"/>
      <c r="O2312" s="70">
        <f t="shared" si="201"/>
        <v>0.0013182901776396</v>
      </c>
      <c r="P2312" s="70">
        <v>11031</v>
      </c>
    </row>
    <row r="2313" s="66" customFormat="1" spans="1:16">
      <c r="A2313" s="71">
        <v>2311</v>
      </c>
      <c r="B2313" s="70">
        <v>11900</v>
      </c>
      <c r="C2313" s="70">
        <v>6</v>
      </c>
      <c r="D2313" s="70">
        <f t="shared" si="200"/>
        <v>98492</v>
      </c>
      <c r="E2313" s="70">
        <f t="shared" si="197"/>
        <v>98612</v>
      </c>
      <c r="F2313" s="70"/>
      <c r="G2313" s="70" t="s">
        <v>342</v>
      </c>
      <c r="H2313" s="70" t="s">
        <v>388</v>
      </c>
      <c r="I2313" s="70"/>
      <c r="J2313" s="70" t="s">
        <v>279</v>
      </c>
      <c r="K2313" s="70">
        <v>1</v>
      </c>
      <c r="L2313" s="70" t="s">
        <v>434</v>
      </c>
      <c r="M2313" s="71">
        <f t="shared" si="198"/>
        <v>120</v>
      </c>
      <c r="N2313" s="70"/>
      <c r="O2313" s="70">
        <f t="shared" si="201"/>
        <v>0.0013182901776396</v>
      </c>
      <c r="P2313" s="70">
        <v>11032</v>
      </c>
    </row>
    <row r="2314" s="66" customFormat="1" spans="1:16">
      <c r="A2314" s="71">
        <v>2312</v>
      </c>
      <c r="B2314" s="70">
        <v>11900</v>
      </c>
      <c r="C2314" s="70">
        <v>6</v>
      </c>
      <c r="D2314" s="70">
        <f t="shared" si="200"/>
        <v>98612</v>
      </c>
      <c r="E2314" s="70">
        <f t="shared" si="197"/>
        <v>98732</v>
      </c>
      <c r="F2314" s="70"/>
      <c r="G2314" s="70" t="s">
        <v>344</v>
      </c>
      <c r="H2314" s="70" t="s">
        <v>389</v>
      </c>
      <c r="I2314" s="70"/>
      <c r="J2314" s="70" t="s">
        <v>279</v>
      </c>
      <c r="K2314" s="70">
        <v>1</v>
      </c>
      <c r="L2314" s="70" t="s">
        <v>434</v>
      </c>
      <c r="M2314" s="71">
        <f t="shared" si="198"/>
        <v>120</v>
      </c>
      <c r="N2314" s="70"/>
      <c r="O2314" s="70">
        <f t="shared" si="201"/>
        <v>0.0013182901776396</v>
      </c>
      <c r="P2314" s="70">
        <v>11033</v>
      </c>
    </row>
    <row r="2315" s="66" customFormat="1" spans="1:16">
      <c r="A2315" s="71">
        <v>2313</v>
      </c>
      <c r="B2315" s="70">
        <v>11900</v>
      </c>
      <c r="C2315" s="70">
        <v>6</v>
      </c>
      <c r="D2315" s="70">
        <f t="shared" si="200"/>
        <v>98732</v>
      </c>
      <c r="E2315" s="70">
        <f t="shared" si="197"/>
        <v>98852</v>
      </c>
      <c r="F2315" s="70"/>
      <c r="G2315" s="70" t="s">
        <v>346</v>
      </c>
      <c r="H2315" s="70" t="s">
        <v>390</v>
      </c>
      <c r="I2315" s="70"/>
      <c r="J2315" s="70" t="s">
        <v>279</v>
      </c>
      <c r="K2315" s="70">
        <v>1</v>
      </c>
      <c r="L2315" s="70" t="s">
        <v>434</v>
      </c>
      <c r="M2315" s="71">
        <f t="shared" si="198"/>
        <v>120</v>
      </c>
      <c r="N2315" s="70"/>
      <c r="O2315" s="70">
        <f t="shared" si="201"/>
        <v>0.0013182901776396</v>
      </c>
      <c r="P2315" s="70">
        <v>11034</v>
      </c>
    </row>
    <row r="2316" s="66" customFormat="1" spans="1:16">
      <c r="A2316" s="71">
        <v>2314</v>
      </c>
      <c r="B2316" s="70">
        <v>11900</v>
      </c>
      <c r="C2316" s="70">
        <v>6</v>
      </c>
      <c r="D2316" s="70">
        <f t="shared" si="200"/>
        <v>98852</v>
      </c>
      <c r="E2316" s="70">
        <f t="shared" si="197"/>
        <v>98972</v>
      </c>
      <c r="F2316" s="70"/>
      <c r="G2316" s="70" t="s">
        <v>348</v>
      </c>
      <c r="H2316" s="70" t="s">
        <v>391</v>
      </c>
      <c r="I2316" s="70"/>
      <c r="J2316" s="70" t="s">
        <v>279</v>
      </c>
      <c r="K2316" s="70">
        <v>1</v>
      </c>
      <c r="L2316" s="70" t="s">
        <v>434</v>
      </c>
      <c r="M2316" s="71">
        <f t="shared" si="198"/>
        <v>120</v>
      </c>
      <c r="N2316" s="70"/>
      <c r="O2316" s="70">
        <f t="shared" si="201"/>
        <v>0.0013182901776396</v>
      </c>
      <c r="P2316" s="70">
        <v>11035</v>
      </c>
    </row>
    <row r="2317" s="66" customFormat="1" spans="1:16">
      <c r="A2317" s="71">
        <v>2315</v>
      </c>
      <c r="B2317" s="70">
        <v>11900</v>
      </c>
      <c r="C2317" s="70">
        <v>6</v>
      </c>
      <c r="D2317" s="70">
        <f t="shared" si="200"/>
        <v>98972</v>
      </c>
      <c r="E2317" s="70">
        <f t="shared" si="197"/>
        <v>99092</v>
      </c>
      <c r="F2317" s="70"/>
      <c r="G2317" s="70" t="s">
        <v>350</v>
      </c>
      <c r="H2317" s="70" t="s">
        <v>392</v>
      </c>
      <c r="I2317" s="70"/>
      <c r="J2317" s="70" t="s">
        <v>279</v>
      </c>
      <c r="K2317" s="70">
        <v>1</v>
      </c>
      <c r="L2317" s="70" t="s">
        <v>434</v>
      </c>
      <c r="M2317" s="71">
        <f t="shared" si="198"/>
        <v>120</v>
      </c>
      <c r="N2317" s="70"/>
      <c r="O2317" s="70">
        <f t="shared" si="201"/>
        <v>0.0013182901776396</v>
      </c>
      <c r="P2317" s="70">
        <v>11036</v>
      </c>
    </row>
    <row r="2318" s="66" customFormat="1" spans="1:16">
      <c r="A2318" s="71">
        <v>2316</v>
      </c>
      <c r="B2318" s="70">
        <v>11900</v>
      </c>
      <c r="C2318" s="70">
        <v>6</v>
      </c>
      <c r="D2318" s="70">
        <f t="shared" si="200"/>
        <v>99092</v>
      </c>
      <c r="E2318" s="70">
        <f t="shared" si="197"/>
        <v>99212</v>
      </c>
      <c r="F2318" s="70"/>
      <c r="G2318" s="70" t="s">
        <v>352</v>
      </c>
      <c r="H2318" s="70" t="s">
        <v>393</v>
      </c>
      <c r="I2318" s="70"/>
      <c r="J2318" s="70" t="s">
        <v>279</v>
      </c>
      <c r="K2318" s="70">
        <v>1</v>
      </c>
      <c r="L2318" s="70" t="s">
        <v>434</v>
      </c>
      <c r="M2318" s="71">
        <f t="shared" si="198"/>
        <v>120</v>
      </c>
      <c r="N2318" s="70"/>
      <c r="O2318" s="70">
        <f t="shared" si="201"/>
        <v>0.0013182901776396</v>
      </c>
      <c r="P2318" s="70">
        <v>11037</v>
      </c>
    </row>
    <row r="2319" s="66" customFormat="1" spans="1:16">
      <c r="A2319" s="71">
        <v>2317</v>
      </c>
      <c r="B2319" s="70">
        <v>11900</v>
      </c>
      <c r="C2319" s="70">
        <v>6</v>
      </c>
      <c r="D2319" s="70">
        <f t="shared" si="200"/>
        <v>99212</v>
      </c>
      <c r="E2319" s="70">
        <f t="shared" si="197"/>
        <v>99332</v>
      </c>
      <c r="F2319" s="70"/>
      <c r="G2319" s="70" t="s">
        <v>354</v>
      </c>
      <c r="H2319" s="70" t="s">
        <v>394</v>
      </c>
      <c r="I2319" s="70"/>
      <c r="J2319" s="70" t="s">
        <v>279</v>
      </c>
      <c r="K2319" s="70">
        <v>1</v>
      </c>
      <c r="L2319" s="70" t="s">
        <v>434</v>
      </c>
      <c r="M2319" s="71">
        <f t="shared" si="198"/>
        <v>120</v>
      </c>
      <c r="N2319" s="70"/>
      <c r="O2319" s="70">
        <f t="shared" si="201"/>
        <v>0.0013182901776396</v>
      </c>
      <c r="P2319" s="70">
        <v>11038</v>
      </c>
    </row>
    <row r="2320" s="66" customFormat="1" spans="1:16">
      <c r="A2320" s="71">
        <v>2318</v>
      </c>
      <c r="B2320" s="70">
        <v>11900</v>
      </c>
      <c r="C2320" s="70">
        <v>6</v>
      </c>
      <c r="D2320" s="70">
        <f t="shared" si="200"/>
        <v>99332</v>
      </c>
      <c r="E2320" s="70">
        <f t="shared" si="197"/>
        <v>99452</v>
      </c>
      <c r="F2320" s="70"/>
      <c r="G2320" s="70" t="s">
        <v>346</v>
      </c>
      <c r="H2320" s="70" t="s">
        <v>395</v>
      </c>
      <c r="I2320" s="70"/>
      <c r="J2320" s="70" t="s">
        <v>279</v>
      </c>
      <c r="K2320" s="70">
        <v>1</v>
      </c>
      <c r="L2320" s="70" t="s">
        <v>434</v>
      </c>
      <c r="M2320" s="71">
        <f t="shared" si="198"/>
        <v>120</v>
      </c>
      <c r="N2320" s="70"/>
      <c r="O2320" s="70">
        <f t="shared" si="201"/>
        <v>0.0013182901776396</v>
      </c>
      <c r="P2320" s="70">
        <v>11034</v>
      </c>
    </row>
    <row r="2321" s="66" customFormat="1" spans="1:20">
      <c r="A2321" s="71">
        <v>2319</v>
      </c>
      <c r="B2321" s="70">
        <v>11900</v>
      </c>
      <c r="C2321" s="70">
        <v>6</v>
      </c>
      <c r="D2321" s="70">
        <f t="shared" si="200"/>
        <v>99452</v>
      </c>
      <c r="E2321" s="70">
        <f t="shared" si="197"/>
        <v>99572</v>
      </c>
      <c r="F2321" s="70"/>
      <c r="G2321" s="70" t="s">
        <v>348</v>
      </c>
      <c r="H2321" s="70" t="s">
        <v>396</v>
      </c>
      <c r="I2321" s="70"/>
      <c r="J2321" s="70" t="s">
        <v>279</v>
      </c>
      <c r="K2321" s="70">
        <v>1</v>
      </c>
      <c r="L2321" s="70" t="s">
        <v>434</v>
      </c>
      <c r="M2321" s="71">
        <f t="shared" si="198"/>
        <v>120</v>
      </c>
      <c r="N2321" s="70"/>
      <c r="O2321" s="70">
        <f t="shared" si="201"/>
        <v>0.0013182901776396</v>
      </c>
      <c r="P2321" s="70">
        <v>11035</v>
      </c>
    </row>
    <row r="2322" s="66" customFormat="1" spans="1:20">
      <c r="A2322" s="71">
        <v>2320</v>
      </c>
      <c r="B2322" s="70">
        <v>11900</v>
      </c>
      <c r="C2322" s="70">
        <v>6</v>
      </c>
      <c r="D2322" s="70">
        <f t="shared" si="200"/>
        <v>99572</v>
      </c>
      <c r="E2322" s="70">
        <f t="shared" si="197"/>
        <v>99692</v>
      </c>
      <c r="F2322" s="70"/>
      <c r="G2322" s="70" t="s">
        <v>350</v>
      </c>
      <c r="H2322" s="70" t="s">
        <v>397</v>
      </c>
      <c r="I2322" s="70"/>
      <c r="J2322" s="70" t="s">
        <v>279</v>
      </c>
      <c r="K2322" s="70">
        <v>1</v>
      </c>
      <c r="L2322" s="70" t="s">
        <v>434</v>
      </c>
      <c r="M2322" s="71">
        <f t="shared" si="198"/>
        <v>120</v>
      </c>
      <c r="N2322" s="70"/>
      <c r="O2322" s="70">
        <f t="shared" si="201"/>
        <v>0.0013182901776396</v>
      </c>
      <c r="P2322" s="70">
        <v>11036</v>
      </c>
    </row>
    <row r="2323" s="66" customFormat="1" spans="1:20">
      <c r="A2323" s="71">
        <v>2321</v>
      </c>
      <c r="B2323" s="70">
        <v>11900</v>
      </c>
      <c r="C2323" s="70">
        <v>6</v>
      </c>
      <c r="D2323" s="70">
        <f t="shared" si="200"/>
        <v>99692</v>
      </c>
      <c r="E2323" s="70">
        <f t="shared" si="197"/>
        <v>99812</v>
      </c>
      <c r="F2323" s="70"/>
      <c r="G2323" s="70" t="s">
        <v>352</v>
      </c>
      <c r="H2323" s="70" t="s">
        <v>398</v>
      </c>
      <c r="I2323" s="70"/>
      <c r="J2323" s="70" t="s">
        <v>279</v>
      </c>
      <c r="K2323" s="70">
        <v>1</v>
      </c>
      <c r="L2323" s="70" t="s">
        <v>434</v>
      </c>
      <c r="M2323" s="71">
        <f t="shared" si="198"/>
        <v>120</v>
      </c>
      <c r="N2323" s="70"/>
      <c r="O2323" s="70">
        <f t="shared" si="201"/>
        <v>0.0013182901776396</v>
      </c>
      <c r="P2323" s="70">
        <v>11037</v>
      </c>
    </row>
    <row r="2324" s="66" customFormat="1" spans="1:20">
      <c r="A2324" s="71">
        <v>2322</v>
      </c>
      <c r="B2324" s="70">
        <v>11900</v>
      </c>
      <c r="C2324" s="70">
        <v>6</v>
      </c>
      <c r="D2324" s="70">
        <f t="shared" si="200"/>
        <v>99812</v>
      </c>
      <c r="E2324" s="70">
        <f t="shared" si="197"/>
        <v>99932</v>
      </c>
      <c r="F2324" s="70"/>
      <c r="G2324" s="70" t="s">
        <v>354</v>
      </c>
      <c r="H2324" s="70" t="s">
        <v>399</v>
      </c>
      <c r="I2324" s="70"/>
      <c r="J2324" s="70" t="s">
        <v>279</v>
      </c>
      <c r="K2324" s="70">
        <v>1</v>
      </c>
      <c r="L2324" s="70" t="s">
        <v>434</v>
      </c>
      <c r="M2324" s="71">
        <f t="shared" si="198"/>
        <v>120</v>
      </c>
      <c r="N2324" s="70"/>
      <c r="O2324" s="70">
        <f t="shared" si="201"/>
        <v>0.0013182901776396</v>
      </c>
      <c r="P2324" s="70">
        <v>11038</v>
      </c>
    </row>
    <row r="2325" spans="1:20">
      <c r="A2325" s="71">
        <v>2323</v>
      </c>
      <c r="B2325" s="70">
        <v>11900</v>
      </c>
      <c r="C2325" s="70">
        <v>6</v>
      </c>
      <c r="D2325" s="70">
        <f t="shared" si="200"/>
        <v>99932</v>
      </c>
      <c r="E2325" s="70">
        <f t="shared" si="197"/>
        <v>100052</v>
      </c>
      <c r="F2325" s="70"/>
      <c r="G2325" s="70">
        <f>VLOOKUP(H2325&amp;I2325,Sheet2!$J:$K,2,0)</f>
        <v>98020701</v>
      </c>
      <c r="H2325" s="70" t="s">
        <v>400</v>
      </c>
      <c r="I2325" s="70"/>
      <c r="J2325" s="70" t="s">
        <v>279</v>
      </c>
      <c r="K2325" s="70">
        <v>1</v>
      </c>
      <c r="L2325" s="70" t="s">
        <v>434</v>
      </c>
      <c r="M2325" s="71">
        <f t="shared" ref="M2325:M2355" si="202">ROUNDDOWN(VLOOKUP(J2325,$S$2059:$V$2065,4,0)*1000,0)</f>
        <v>120</v>
      </c>
      <c r="N2325" s="70"/>
      <c r="O2325" s="70">
        <f t="shared" si="201"/>
        <v>0.0013182901776396</v>
      </c>
      <c r="P2325" s="70">
        <v>11039</v>
      </c>
      <c r="R2325">
        <v>4992</v>
      </c>
      <c r="S2325">
        <f>39+44</f>
        <v>83</v>
      </c>
      <c r="T2325">
        <f>R2325/S2325</f>
        <v>60.144578313253</v>
      </c>
    </row>
    <row r="2326" spans="1:20">
      <c r="A2326" s="71">
        <v>2324</v>
      </c>
      <c r="B2326" s="70">
        <v>11900</v>
      </c>
      <c r="C2326" s="70">
        <v>6</v>
      </c>
      <c r="D2326" s="70">
        <f t="shared" si="200"/>
        <v>100052</v>
      </c>
      <c r="E2326" s="70">
        <f t="shared" si="197"/>
        <v>100172</v>
      </c>
      <c r="F2326" s="70"/>
      <c r="G2326" s="70">
        <f>VLOOKUP(H2326&amp;I2326,Sheet2!$J:$K,2,0)</f>
        <v>98020702</v>
      </c>
      <c r="H2326" s="70" t="s">
        <v>401</v>
      </c>
      <c r="I2326" s="70"/>
      <c r="J2326" s="70" t="s">
        <v>279</v>
      </c>
      <c r="K2326" s="70">
        <v>1</v>
      </c>
      <c r="L2326" s="70" t="s">
        <v>434</v>
      </c>
      <c r="M2326" s="71">
        <f t="shared" si="202"/>
        <v>120</v>
      </c>
      <c r="N2326" s="70"/>
      <c r="O2326" s="70">
        <f t="shared" si="201"/>
        <v>0.0013182901776396</v>
      </c>
      <c r="P2326" s="70">
        <v>11040</v>
      </c>
    </row>
    <row r="2327" spans="1:20">
      <c r="A2327" s="71">
        <v>2325</v>
      </c>
      <c r="B2327" s="70">
        <v>11900</v>
      </c>
      <c r="C2327" s="70">
        <v>6</v>
      </c>
      <c r="D2327" s="70">
        <f t="shared" si="200"/>
        <v>100172</v>
      </c>
      <c r="E2327" s="70">
        <f t="shared" si="197"/>
        <v>100292</v>
      </c>
      <c r="F2327" s="70"/>
      <c r="G2327" s="70">
        <f>VLOOKUP(H2327&amp;I2327,Sheet2!$J:$K,2,0)</f>
        <v>98050101</v>
      </c>
      <c r="H2327" s="70" t="s">
        <v>402</v>
      </c>
      <c r="I2327" s="70"/>
      <c r="J2327" s="70" t="s">
        <v>279</v>
      </c>
      <c r="K2327" s="70">
        <v>1</v>
      </c>
      <c r="L2327" s="70" t="s">
        <v>434</v>
      </c>
      <c r="M2327" s="71">
        <f t="shared" si="202"/>
        <v>120</v>
      </c>
      <c r="N2327" s="70"/>
      <c r="O2327" s="70">
        <f t="shared" si="201"/>
        <v>0.0013182901776396</v>
      </c>
      <c r="P2327" s="70">
        <v>11041</v>
      </c>
    </row>
    <row r="2328" spans="1:20">
      <c r="A2328" s="71">
        <v>2326</v>
      </c>
      <c r="B2328" s="70">
        <v>11900</v>
      </c>
      <c r="C2328" s="70">
        <v>6</v>
      </c>
      <c r="D2328" s="70">
        <f t="shared" si="200"/>
        <v>100292</v>
      </c>
      <c r="E2328" s="70">
        <f t="shared" si="197"/>
        <v>100412</v>
      </c>
      <c r="F2328" s="70"/>
      <c r="G2328" s="70">
        <f>VLOOKUP(H2328&amp;I2328,Sheet2!$J:$K,2,0)</f>
        <v>98050102</v>
      </c>
      <c r="H2328" s="70" t="s">
        <v>403</v>
      </c>
      <c r="I2328" s="70"/>
      <c r="J2328" s="70" t="s">
        <v>279</v>
      </c>
      <c r="K2328" s="70">
        <v>1</v>
      </c>
      <c r="L2328" s="70" t="s">
        <v>434</v>
      </c>
      <c r="M2328" s="71">
        <f t="shared" si="202"/>
        <v>120</v>
      </c>
      <c r="N2328" s="70"/>
      <c r="O2328" s="70">
        <f t="shared" si="201"/>
        <v>0.0013182901776396</v>
      </c>
      <c r="P2328" s="70">
        <v>11042</v>
      </c>
    </row>
    <row r="2329" spans="1:20">
      <c r="A2329" s="71">
        <v>2327</v>
      </c>
      <c r="B2329" s="70">
        <v>11900</v>
      </c>
      <c r="C2329" s="70">
        <v>6</v>
      </c>
      <c r="D2329" s="70">
        <f t="shared" si="200"/>
        <v>100412</v>
      </c>
      <c r="E2329" s="70">
        <f t="shared" si="197"/>
        <v>100532</v>
      </c>
      <c r="F2329" s="70"/>
      <c r="G2329" s="70">
        <f>VLOOKUP(H2329&amp;I2329,Sheet2!$J:$K,2,0)</f>
        <v>98050103</v>
      </c>
      <c r="H2329" s="70" t="s">
        <v>404</v>
      </c>
      <c r="I2329" s="70"/>
      <c r="J2329" s="70" t="s">
        <v>279</v>
      </c>
      <c r="K2329" s="70">
        <v>1</v>
      </c>
      <c r="L2329" s="70" t="s">
        <v>434</v>
      </c>
      <c r="M2329" s="71">
        <f t="shared" si="202"/>
        <v>120</v>
      </c>
      <c r="N2329" s="70"/>
      <c r="O2329" s="70">
        <f t="shared" si="201"/>
        <v>0.0013182901776396</v>
      </c>
      <c r="P2329" s="70">
        <v>11043</v>
      </c>
    </row>
    <row r="2330" spans="1:20">
      <c r="A2330" s="71">
        <v>2328</v>
      </c>
      <c r="B2330" s="70">
        <v>11900</v>
      </c>
      <c r="C2330" s="70">
        <v>6</v>
      </c>
      <c r="D2330" s="70">
        <f t="shared" si="200"/>
        <v>100532</v>
      </c>
      <c r="E2330" s="70">
        <f t="shared" ref="E2330:E2355" si="203">D2330+M2330</f>
        <v>100652</v>
      </c>
      <c r="F2330" s="70"/>
      <c r="G2330" s="70">
        <f>VLOOKUP(H2330&amp;I2330,Sheet2!$J:$K,2,0)</f>
        <v>98050104</v>
      </c>
      <c r="H2330" s="70" t="s">
        <v>405</v>
      </c>
      <c r="I2330" s="70"/>
      <c r="J2330" s="70" t="s">
        <v>279</v>
      </c>
      <c r="K2330" s="70">
        <v>1</v>
      </c>
      <c r="L2330" s="70" t="s">
        <v>434</v>
      </c>
      <c r="M2330" s="71">
        <f t="shared" si="202"/>
        <v>120</v>
      </c>
      <c r="N2330" s="70"/>
      <c r="O2330" s="70">
        <f t="shared" si="201"/>
        <v>0.0013182901776396</v>
      </c>
      <c r="P2330" s="70">
        <v>11044</v>
      </c>
    </row>
    <row r="2331" spans="1:20">
      <c r="A2331" s="71">
        <v>2329</v>
      </c>
      <c r="B2331" s="70">
        <v>11900</v>
      </c>
      <c r="C2331" s="70">
        <v>6</v>
      </c>
      <c r="D2331" s="70">
        <f t="shared" ref="D2331:D2355" si="204">E2330</f>
        <v>100652</v>
      </c>
      <c r="E2331" s="70">
        <f t="shared" si="203"/>
        <v>100772</v>
      </c>
      <c r="F2331" s="70"/>
      <c r="G2331" s="70">
        <f>VLOOKUP(H2331&amp;I2331,Sheet2!$J:$K,2,0)</f>
        <v>98050105</v>
      </c>
      <c r="H2331" s="70" t="s">
        <v>406</v>
      </c>
      <c r="I2331" s="70"/>
      <c r="J2331" s="70" t="s">
        <v>279</v>
      </c>
      <c r="K2331" s="70">
        <v>1</v>
      </c>
      <c r="L2331" s="70" t="s">
        <v>434</v>
      </c>
      <c r="M2331" s="71">
        <f t="shared" si="202"/>
        <v>120</v>
      </c>
      <c r="N2331" s="70"/>
      <c r="O2331" s="70">
        <f t="shared" si="201"/>
        <v>0.0013182901776396</v>
      </c>
      <c r="P2331" s="70">
        <v>11045</v>
      </c>
    </row>
    <row r="2332" spans="1:20">
      <c r="A2332" s="71">
        <v>2330</v>
      </c>
      <c r="B2332" s="70">
        <v>11900</v>
      </c>
      <c r="C2332" s="70">
        <v>6</v>
      </c>
      <c r="D2332" s="70">
        <f t="shared" si="204"/>
        <v>100772</v>
      </c>
      <c r="E2332" s="70">
        <f t="shared" si="203"/>
        <v>100892</v>
      </c>
      <c r="F2332" s="70"/>
      <c r="G2332" s="70">
        <f>VLOOKUP(H2332&amp;I2332,Sheet2!$J:$K,2,0)</f>
        <v>98060201</v>
      </c>
      <c r="H2332" s="70" t="s">
        <v>407</v>
      </c>
      <c r="I2332" s="70"/>
      <c r="J2332" s="70" t="s">
        <v>279</v>
      </c>
      <c r="K2332" s="70">
        <v>1</v>
      </c>
      <c r="L2332" s="70" t="s">
        <v>434</v>
      </c>
      <c r="M2332" s="71">
        <f t="shared" si="202"/>
        <v>120</v>
      </c>
      <c r="N2332" s="70"/>
      <c r="O2332" s="70">
        <f t="shared" si="201"/>
        <v>0.0013182901776396</v>
      </c>
      <c r="P2332" s="70">
        <v>11046</v>
      </c>
    </row>
    <row r="2333" spans="1:20">
      <c r="A2333" s="71">
        <v>2331</v>
      </c>
      <c r="B2333" s="70">
        <v>11900</v>
      </c>
      <c r="C2333" s="70">
        <v>6</v>
      </c>
      <c r="D2333" s="70">
        <f t="shared" si="204"/>
        <v>100892</v>
      </c>
      <c r="E2333" s="70">
        <f t="shared" si="203"/>
        <v>101012</v>
      </c>
      <c r="F2333" s="70"/>
      <c r="G2333" s="70">
        <f>VLOOKUP(H2333&amp;I2333,Sheet2!$J:$K,2,0)</f>
        <v>98060202</v>
      </c>
      <c r="H2333" s="70" t="s">
        <v>408</v>
      </c>
      <c r="I2333" s="70"/>
      <c r="J2333" s="70" t="s">
        <v>279</v>
      </c>
      <c r="K2333" s="70">
        <v>1</v>
      </c>
      <c r="L2333" s="70" t="s">
        <v>434</v>
      </c>
      <c r="M2333" s="71">
        <f t="shared" si="202"/>
        <v>120</v>
      </c>
      <c r="N2333" s="70"/>
      <c r="O2333" s="70">
        <f t="shared" si="201"/>
        <v>0.0013182901776396</v>
      </c>
      <c r="P2333" s="70">
        <v>11047</v>
      </c>
    </row>
    <row r="2334" spans="1:20">
      <c r="A2334" s="71">
        <v>2332</v>
      </c>
      <c r="B2334" s="70">
        <v>11900</v>
      </c>
      <c r="C2334" s="70">
        <v>6</v>
      </c>
      <c r="D2334" s="70">
        <f t="shared" si="204"/>
        <v>101012</v>
      </c>
      <c r="E2334" s="70">
        <f t="shared" si="203"/>
        <v>101132</v>
      </c>
      <c r="F2334" s="70"/>
      <c r="G2334" s="70">
        <f>VLOOKUP(H2334&amp;I2334,Sheet2!$J:$K,2,0)</f>
        <v>98010301</v>
      </c>
      <c r="H2334" s="70" t="s">
        <v>409</v>
      </c>
      <c r="I2334" s="70"/>
      <c r="J2334" s="70" t="s">
        <v>279</v>
      </c>
      <c r="K2334" s="70">
        <v>1</v>
      </c>
      <c r="L2334" s="70" t="s">
        <v>434</v>
      </c>
      <c r="M2334" s="71">
        <f t="shared" si="202"/>
        <v>120</v>
      </c>
      <c r="N2334" s="70"/>
      <c r="O2334" s="70">
        <f t="shared" si="201"/>
        <v>0.0013182901776396</v>
      </c>
      <c r="P2334" s="70">
        <v>11048</v>
      </c>
    </row>
    <row r="2335" spans="1:20">
      <c r="A2335" s="71">
        <v>2333</v>
      </c>
      <c r="B2335" s="70">
        <v>11900</v>
      </c>
      <c r="C2335" s="70">
        <v>6</v>
      </c>
      <c r="D2335" s="70">
        <f t="shared" si="204"/>
        <v>101132</v>
      </c>
      <c r="E2335" s="70">
        <f t="shared" si="203"/>
        <v>101252</v>
      </c>
      <c r="F2335" s="70"/>
      <c r="G2335" s="70">
        <f>VLOOKUP(H2335&amp;I2335,Sheet2!$J:$K,2,0)</f>
        <v>98010306</v>
      </c>
      <c r="H2335" s="70" t="s">
        <v>410</v>
      </c>
      <c r="I2335" s="70"/>
      <c r="J2335" s="70" t="s">
        <v>279</v>
      </c>
      <c r="K2335" s="70">
        <v>1</v>
      </c>
      <c r="L2335" s="70" t="s">
        <v>434</v>
      </c>
      <c r="M2335" s="71">
        <f t="shared" si="202"/>
        <v>120</v>
      </c>
      <c r="N2335" s="70"/>
      <c r="O2335" s="70">
        <f t="shared" si="201"/>
        <v>0.0013182901776396</v>
      </c>
      <c r="P2335" s="70">
        <v>11049</v>
      </c>
    </row>
    <row r="2336" spans="1:20">
      <c r="A2336" s="71">
        <v>2334</v>
      </c>
      <c r="B2336" s="70">
        <v>11900</v>
      </c>
      <c r="C2336" s="70">
        <v>6</v>
      </c>
      <c r="D2336" s="70">
        <f t="shared" si="204"/>
        <v>101252</v>
      </c>
      <c r="E2336" s="70">
        <f t="shared" si="203"/>
        <v>101372</v>
      </c>
      <c r="F2336" s="70"/>
      <c r="G2336" s="70">
        <f>VLOOKUP(H2336&amp;I2336,Sheet2!$J:$K,2,0)</f>
        <v>98010401</v>
      </c>
      <c r="H2336" s="70" t="s">
        <v>411</v>
      </c>
      <c r="I2336" s="70"/>
      <c r="J2336" s="70" t="s">
        <v>279</v>
      </c>
      <c r="K2336" s="70">
        <v>1</v>
      </c>
      <c r="L2336" s="70" t="s">
        <v>434</v>
      </c>
      <c r="M2336" s="71">
        <f t="shared" si="202"/>
        <v>120</v>
      </c>
      <c r="N2336" s="70"/>
      <c r="O2336" s="70">
        <f t="shared" si="201"/>
        <v>0.0013182901776396</v>
      </c>
      <c r="P2336" s="70">
        <v>11050</v>
      </c>
    </row>
    <row r="2337" spans="1:16">
      <c r="A2337" s="71">
        <v>2335</v>
      </c>
      <c r="B2337" s="70">
        <v>11900</v>
      </c>
      <c r="C2337" s="70">
        <v>6</v>
      </c>
      <c r="D2337" s="70">
        <f t="shared" si="204"/>
        <v>101372</v>
      </c>
      <c r="E2337" s="70">
        <f t="shared" si="203"/>
        <v>101492</v>
      </c>
      <c r="F2337" s="70"/>
      <c r="G2337" s="70">
        <f>VLOOKUP(H2337&amp;I2337,Sheet2!$J:$K,2,0)</f>
        <v>98010402</v>
      </c>
      <c r="H2337" s="70" t="s">
        <v>412</v>
      </c>
      <c r="I2337" s="70"/>
      <c r="J2337" s="70" t="s">
        <v>279</v>
      </c>
      <c r="K2337" s="70">
        <v>1</v>
      </c>
      <c r="L2337" s="70" t="s">
        <v>434</v>
      </c>
      <c r="M2337" s="71">
        <f t="shared" si="202"/>
        <v>120</v>
      </c>
      <c r="N2337" s="70"/>
      <c r="O2337" s="70">
        <f t="shared" si="201"/>
        <v>0.0013182901776396</v>
      </c>
      <c r="P2337" s="70">
        <v>11051</v>
      </c>
    </row>
    <row r="2338" spans="1:16">
      <c r="A2338" s="71">
        <v>2336</v>
      </c>
      <c r="B2338" s="70">
        <v>11900</v>
      </c>
      <c r="C2338" s="70">
        <v>6</v>
      </c>
      <c r="D2338" s="70">
        <f t="shared" si="204"/>
        <v>101492</v>
      </c>
      <c r="E2338" s="70">
        <f t="shared" si="203"/>
        <v>101612</v>
      </c>
      <c r="F2338" s="70"/>
      <c r="G2338" s="70">
        <f>VLOOKUP(H2338&amp;I2338,Sheet2!$J:$K,2,0)</f>
        <v>98130101</v>
      </c>
      <c r="H2338" s="70" t="s">
        <v>413</v>
      </c>
      <c r="I2338" s="70"/>
      <c r="J2338" s="70" t="s">
        <v>279</v>
      </c>
      <c r="K2338" s="70">
        <v>1</v>
      </c>
      <c r="L2338" s="70" t="s">
        <v>434</v>
      </c>
      <c r="M2338" s="71">
        <f t="shared" si="202"/>
        <v>120</v>
      </c>
      <c r="N2338" s="70"/>
      <c r="O2338" s="70">
        <f t="shared" si="201"/>
        <v>0.0013182901776396</v>
      </c>
      <c r="P2338" s="70">
        <v>11052</v>
      </c>
    </row>
    <row r="2339" spans="1:16">
      <c r="A2339" s="71">
        <v>2337</v>
      </c>
      <c r="B2339" s="70">
        <v>11900</v>
      </c>
      <c r="C2339" s="70">
        <v>6</v>
      </c>
      <c r="D2339" s="70">
        <f t="shared" si="204"/>
        <v>101612</v>
      </c>
      <c r="E2339" s="70">
        <f t="shared" si="203"/>
        <v>101732</v>
      </c>
      <c r="F2339" s="70"/>
      <c r="G2339" s="70">
        <f>VLOOKUP(H2339&amp;I2339,Sheet2!$J:$K,2,0)</f>
        <v>98130102</v>
      </c>
      <c r="H2339" s="70" t="s">
        <v>414</v>
      </c>
      <c r="I2339" s="70"/>
      <c r="J2339" s="70" t="s">
        <v>279</v>
      </c>
      <c r="K2339" s="70">
        <v>1</v>
      </c>
      <c r="L2339" s="70" t="s">
        <v>434</v>
      </c>
      <c r="M2339" s="71">
        <f t="shared" si="202"/>
        <v>120</v>
      </c>
      <c r="N2339" s="70"/>
      <c r="O2339" s="70">
        <f t="shared" si="201"/>
        <v>0.0013182901776396</v>
      </c>
      <c r="P2339" s="70">
        <v>11053</v>
      </c>
    </row>
    <row r="2340" spans="1:16">
      <c r="A2340" s="71">
        <v>2338</v>
      </c>
      <c r="B2340" s="70">
        <v>11900</v>
      </c>
      <c r="C2340" s="70">
        <v>6</v>
      </c>
      <c r="D2340" s="70">
        <f t="shared" si="204"/>
        <v>101732</v>
      </c>
      <c r="E2340" s="70">
        <f t="shared" si="203"/>
        <v>101852</v>
      </c>
      <c r="F2340" s="70"/>
      <c r="G2340" s="70">
        <f>VLOOKUP(H2340&amp;I2340,Sheet2!$J:$K,2,0)</f>
        <v>98130103</v>
      </c>
      <c r="H2340" s="70" t="s">
        <v>415</v>
      </c>
      <c r="I2340" s="70"/>
      <c r="J2340" s="70" t="s">
        <v>279</v>
      </c>
      <c r="K2340" s="70">
        <v>1</v>
      </c>
      <c r="L2340" s="70" t="s">
        <v>434</v>
      </c>
      <c r="M2340" s="71">
        <f t="shared" si="202"/>
        <v>120</v>
      </c>
      <c r="N2340" s="70"/>
      <c r="O2340" s="70">
        <f t="shared" si="201"/>
        <v>0.0013182901776396</v>
      </c>
      <c r="P2340" s="70">
        <v>11054</v>
      </c>
    </row>
    <row r="2341" spans="1:16">
      <c r="A2341" s="71">
        <v>2339</v>
      </c>
      <c r="B2341" s="70">
        <v>11900</v>
      </c>
      <c r="C2341" s="70">
        <v>6</v>
      </c>
      <c r="D2341" s="70">
        <f t="shared" si="204"/>
        <v>101852</v>
      </c>
      <c r="E2341" s="70">
        <f t="shared" si="203"/>
        <v>101972</v>
      </c>
      <c r="F2341" s="70"/>
      <c r="G2341" s="70">
        <f>VLOOKUP(H2341&amp;I2341,Sheet2!$J:$K,2,0)</f>
        <v>98130201</v>
      </c>
      <c r="H2341" s="70" t="s">
        <v>416</v>
      </c>
      <c r="I2341" s="70"/>
      <c r="J2341" s="70" t="s">
        <v>279</v>
      </c>
      <c r="K2341" s="70">
        <v>1</v>
      </c>
      <c r="L2341" s="70" t="s">
        <v>434</v>
      </c>
      <c r="M2341" s="71">
        <f t="shared" si="202"/>
        <v>120</v>
      </c>
      <c r="N2341" s="70"/>
      <c r="O2341" s="70">
        <f t="shared" si="201"/>
        <v>0.0013182901776396</v>
      </c>
      <c r="P2341" s="70">
        <v>11055</v>
      </c>
    </row>
    <row r="2342" spans="1:16">
      <c r="A2342" s="71">
        <v>2340</v>
      </c>
      <c r="B2342" s="70">
        <v>11900</v>
      </c>
      <c r="C2342" s="70">
        <v>6</v>
      </c>
      <c r="D2342" s="70">
        <f t="shared" si="204"/>
        <v>101972</v>
      </c>
      <c r="E2342" s="70">
        <f t="shared" si="203"/>
        <v>102092</v>
      </c>
      <c r="F2342" s="70"/>
      <c r="G2342" s="70">
        <f>VLOOKUP(H2342&amp;I2342,Sheet2!$J:$K,2,0)</f>
        <v>98130202</v>
      </c>
      <c r="H2342" s="70" t="s">
        <v>417</v>
      </c>
      <c r="I2342" s="70"/>
      <c r="J2342" s="70" t="s">
        <v>279</v>
      </c>
      <c r="K2342" s="70">
        <v>1</v>
      </c>
      <c r="L2342" s="70" t="s">
        <v>434</v>
      </c>
      <c r="M2342" s="71">
        <f t="shared" si="202"/>
        <v>120</v>
      </c>
      <c r="N2342" s="70"/>
      <c r="O2342" s="70">
        <f t="shared" si="201"/>
        <v>0.0013182901776396</v>
      </c>
      <c r="P2342" s="70">
        <v>11056</v>
      </c>
    </row>
    <row r="2343" spans="1:16">
      <c r="A2343" s="71">
        <v>2341</v>
      </c>
      <c r="B2343" s="70">
        <v>11900</v>
      </c>
      <c r="C2343" s="70">
        <v>6</v>
      </c>
      <c r="D2343" s="70">
        <f t="shared" si="204"/>
        <v>102092</v>
      </c>
      <c r="E2343" s="70">
        <f t="shared" si="203"/>
        <v>102212</v>
      </c>
      <c r="F2343" s="70"/>
      <c r="G2343" s="70">
        <f>VLOOKUP(H2343&amp;I2343,Sheet2!$J:$K,2,0)</f>
        <v>98150101</v>
      </c>
      <c r="H2343" s="70" t="s">
        <v>418</v>
      </c>
      <c r="I2343" s="70"/>
      <c r="J2343" s="70" t="s">
        <v>279</v>
      </c>
      <c r="K2343" s="70">
        <v>1</v>
      </c>
      <c r="L2343" s="70" t="s">
        <v>434</v>
      </c>
      <c r="M2343" s="71">
        <f t="shared" si="202"/>
        <v>120</v>
      </c>
      <c r="N2343" s="70"/>
      <c r="O2343" s="70">
        <f t="shared" si="201"/>
        <v>0.0013182901776396</v>
      </c>
      <c r="P2343" s="70">
        <v>11057</v>
      </c>
    </row>
    <row r="2344" spans="1:16">
      <c r="A2344" s="71">
        <v>2342</v>
      </c>
      <c r="B2344" s="70">
        <v>11900</v>
      </c>
      <c r="C2344" s="70">
        <v>6</v>
      </c>
      <c r="D2344" s="70">
        <f t="shared" si="204"/>
        <v>102212</v>
      </c>
      <c r="E2344" s="70">
        <f t="shared" si="203"/>
        <v>102332</v>
      </c>
      <c r="F2344" s="70"/>
      <c r="G2344" s="70">
        <f>VLOOKUP(H2344&amp;I2344,Sheet2!$J:$K,2,0)</f>
        <v>98150102</v>
      </c>
      <c r="H2344" s="70" t="s">
        <v>419</v>
      </c>
      <c r="I2344" s="70"/>
      <c r="J2344" s="70" t="s">
        <v>279</v>
      </c>
      <c r="K2344" s="70">
        <v>1</v>
      </c>
      <c r="L2344" s="70" t="s">
        <v>434</v>
      </c>
      <c r="M2344" s="71">
        <f t="shared" si="202"/>
        <v>120</v>
      </c>
      <c r="N2344" s="70"/>
      <c r="O2344" s="70">
        <f t="shared" si="201"/>
        <v>0.0013182901776396</v>
      </c>
      <c r="P2344" s="70">
        <v>11058</v>
      </c>
    </row>
    <row r="2345" spans="1:16">
      <c r="A2345" s="71">
        <v>2343</v>
      </c>
      <c r="B2345" s="70">
        <v>11900</v>
      </c>
      <c r="C2345" s="70">
        <v>6</v>
      </c>
      <c r="D2345" s="70">
        <f t="shared" si="204"/>
        <v>102332</v>
      </c>
      <c r="E2345" s="70">
        <f t="shared" si="203"/>
        <v>102452</v>
      </c>
      <c r="F2345" s="70"/>
      <c r="G2345" s="70">
        <f>VLOOKUP(H2345&amp;I2345,Sheet2!$J:$K,2,0)</f>
        <v>98150103</v>
      </c>
      <c r="H2345" s="70" t="s">
        <v>420</v>
      </c>
      <c r="I2345" s="70"/>
      <c r="J2345" s="70" t="s">
        <v>279</v>
      </c>
      <c r="K2345" s="70">
        <v>1</v>
      </c>
      <c r="L2345" s="70" t="s">
        <v>434</v>
      </c>
      <c r="M2345" s="71">
        <f t="shared" si="202"/>
        <v>120</v>
      </c>
      <c r="N2345" s="70"/>
      <c r="O2345" s="70">
        <f t="shared" ref="O2345:O2355" si="205">(E2345-D2345)/$E$438</f>
        <v>0.0013182901776396</v>
      </c>
      <c r="P2345" s="70">
        <v>11059</v>
      </c>
    </row>
    <row r="2346" spans="1:16">
      <c r="A2346" s="71">
        <v>2344</v>
      </c>
      <c r="B2346" s="70">
        <v>11900</v>
      </c>
      <c r="C2346" s="70">
        <v>6</v>
      </c>
      <c r="D2346" s="70">
        <f t="shared" si="204"/>
        <v>102452</v>
      </c>
      <c r="E2346" s="70">
        <f t="shared" si="203"/>
        <v>102572</v>
      </c>
      <c r="F2346" s="70"/>
      <c r="G2346" s="70">
        <f>VLOOKUP(H2346&amp;I2346,Sheet2!$J:$K,2,0)</f>
        <v>98100301</v>
      </c>
      <c r="H2346" s="70" t="s">
        <v>421</v>
      </c>
      <c r="I2346" s="70"/>
      <c r="J2346" s="70" t="s">
        <v>279</v>
      </c>
      <c r="K2346" s="70">
        <v>1</v>
      </c>
      <c r="L2346" s="70" t="s">
        <v>434</v>
      </c>
      <c r="M2346" s="71">
        <f t="shared" si="202"/>
        <v>120</v>
      </c>
      <c r="N2346" s="70"/>
      <c r="O2346" s="70">
        <f t="shared" si="205"/>
        <v>0.0013182901776396</v>
      </c>
      <c r="P2346" s="70">
        <v>11060</v>
      </c>
    </row>
    <row r="2347" spans="1:16">
      <c r="A2347" s="71">
        <v>2345</v>
      </c>
      <c r="B2347" s="70">
        <v>11900</v>
      </c>
      <c r="C2347" s="70">
        <v>6</v>
      </c>
      <c r="D2347" s="70">
        <f t="shared" si="204"/>
        <v>102572</v>
      </c>
      <c r="E2347" s="70">
        <f t="shared" si="203"/>
        <v>102692</v>
      </c>
      <c r="F2347" s="70"/>
      <c r="G2347" s="70" t="str">
        <f>VLOOKUP(H2347&amp;I2347,Sheet2!$J:$K,2,0)</f>
        <v>98100302</v>
      </c>
      <c r="H2347" s="70" t="s">
        <v>422</v>
      </c>
      <c r="I2347" s="70"/>
      <c r="J2347" s="70" t="s">
        <v>279</v>
      </c>
      <c r="K2347" s="70">
        <v>1</v>
      </c>
      <c r="L2347" s="70" t="s">
        <v>434</v>
      </c>
      <c r="M2347" s="71">
        <f t="shared" si="202"/>
        <v>120</v>
      </c>
      <c r="N2347" s="70"/>
      <c r="O2347" s="70">
        <f t="shared" si="205"/>
        <v>0.0013182901776396</v>
      </c>
      <c r="P2347" s="70">
        <v>11061</v>
      </c>
    </row>
    <row r="2348" spans="1:16">
      <c r="A2348" s="71">
        <v>2346</v>
      </c>
      <c r="B2348" s="70">
        <v>11900</v>
      </c>
      <c r="C2348" s="70">
        <v>6</v>
      </c>
      <c r="D2348" s="70">
        <f t="shared" si="204"/>
        <v>102692</v>
      </c>
      <c r="E2348" s="70">
        <f t="shared" si="203"/>
        <v>102812</v>
      </c>
      <c r="F2348" s="70"/>
      <c r="G2348" s="70">
        <f>VLOOKUP(H2348&amp;I2348,Sheet2!$J:$K,2,0)</f>
        <v>98100401</v>
      </c>
      <c r="H2348" s="70" t="s">
        <v>423</v>
      </c>
      <c r="I2348" s="70"/>
      <c r="J2348" s="70" t="s">
        <v>279</v>
      </c>
      <c r="K2348" s="70">
        <v>1</v>
      </c>
      <c r="L2348" s="70" t="s">
        <v>434</v>
      </c>
      <c r="M2348" s="71">
        <f t="shared" si="202"/>
        <v>120</v>
      </c>
      <c r="N2348" s="70"/>
      <c r="O2348" s="70">
        <f t="shared" si="205"/>
        <v>0.0013182901776396</v>
      </c>
      <c r="P2348" s="70">
        <v>11062</v>
      </c>
    </row>
    <row r="2349" spans="1:16">
      <c r="A2349" s="71">
        <v>2347</v>
      </c>
      <c r="B2349" s="70">
        <v>11900</v>
      </c>
      <c r="C2349" s="70">
        <v>6</v>
      </c>
      <c r="D2349" s="70">
        <f t="shared" si="204"/>
        <v>102812</v>
      </c>
      <c r="E2349" s="70">
        <f t="shared" si="203"/>
        <v>102932</v>
      </c>
      <c r="F2349" s="70"/>
      <c r="G2349" s="70" t="str">
        <f>VLOOKUP(H2349&amp;I2349,Sheet2!$J:$K,2,0)</f>
        <v>98100402</v>
      </c>
      <c r="H2349" s="70" t="s">
        <v>424</v>
      </c>
      <c r="I2349" s="70"/>
      <c r="J2349" s="70" t="s">
        <v>279</v>
      </c>
      <c r="K2349" s="70">
        <v>1</v>
      </c>
      <c r="L2349" s="70" t="s">
        <v>434</v>
      </c>
      <c r="M2349" s="71">
        <f t="shared" si="202"/>
        <v>120</v>
      </c>
      <c r="N2349" s="70"/>
      <c r="O2349" s="70">
        <f t="shared" si="205"/>
        <v>0.0013182901776396</v>
      </c>
      <c r="P2349" s="70">
        <v>11063</v>
      </c>
    </row>
    <row r="2350" spans="1:16">
      <c r="A2350" s="71">
        <v>2348</v>
      </c>
      <c r="B2350" s="70">
        <v>11900</v>
      </c>
      <c r="C2350" s="70">
        <v>6</v>
      </c>
      <c r="D2350" s="70">
        <f t="shared" si="204"/>
        <v>102932</v>
      </c>
      <c r="E2350" s="70">
        <f t="shared" si="203"/>
        <v>103052</v>
      </c>
      <c r="F2350" s="70"/>
      <c r="G2350" s="70">
        <f>VLOOKUP(H2350&amp;I2350,Sheet2!$J:$K,2,0)</f>
        <v>98040401</v>
      </c>
      <c r="H2350" s="70" t="s">
        <v>425</v>
      </c>
      <c r="I2350" s="70"/>
      <c r="J2350" s="70" t="s">
        <v>279</v>
      </c>
      <c r="K2350" s="70">
        <v>1</v>
      </c>
      <c r="L2350" s="70" t="s">
        <v>434</v>
      </c>
      <c r="M2350" s="71">
        <f t="shared" si="202"/>
        <v>120</v>
      </c>
      <c r="N2350" s="70"/>
      <c r="O2350" s="70">
        <f t="shared" si="205"/>
        <v>0.0013182901776396</v>
      </c>
      <c r="P2350" s="70">
        <v>11064</v>
      </c>
    </row>
    <row r="2351" spans="1:16">
      <c r="A2351" s="71">
        <v>2349</v>
      </c>
      <c r="B2351" s="70">
        <v>11900</v>
      </c>
      <c r="C2351" s="70">
        <v>6</v>
      </c>
      <c r="D2351" s="70">
        <f t="shared" si="204"/>
        <v>103052</v>
      </c>
      <c r="E2351" s="70">
        <f t="shared" si="203"/>
        <v>103172</v>
      </c>
      <c r="F2351" s="70"/>
      <c r="G2351" s="70">
        <f>VLOOKUP(H2351&amp;I2351,Sheet2!$J:$K,2,0)</f>
        <v>98040402</v>
      </c>
      <c r="H2351" s="70" t="s">
        <v>426</v>
      </c>
      <c r="I2351" s="70"/>
      <c r="J2351" s="70" t="s">
        <v>279</v>
      </c>
      <c r="K2351" s="70">
        <v>1</v>
      </c>
      <c r="L2351" s="70" t="s">
        <v>434</v>
      </c>
      <c r="M2351" s="71">
        <f t="shared" si="202"/>
        <v>120</v>
      </c>
      <c r="N2351" s="70"/>
      <c r="O2351" s="70">
        <f t="shared" si="205"/>
        <v>0.0013182901776396</v>
      </c>
      <c r="P2351" s="70">
        <v>11065</v>
      </c>
    </row>
    <row r="2352" spans="1:16">
      <c r="A2352" s="71">
        <v>2350</v>
      </c>
      <c r="B2352" s="70">
        <v>11900</v>
      </c>
      <c r="C2352" s="70">
        <v>6</v>
      </c>
      <c r="D2352" s="70">
        <f t="shared" si="204"/>
        <v>103172</v>
      </c>
      <c r="E2352" s="70">
        <f t="shared" si="203"/>
        <v>103292</v>
      </c>
      <c r="F2352" s="70"/>
      <c r="G2352" s="70">
        <f>VLOOKUP(H2352&amp;I2352,Sheet2!$J:$K,2,0)</f>
        <v>98040403</v>
      </c>
      <c r="H2352" s="70" t="s">
        <v>427</v>
      </c>
      <c r="I2352" s="70"/>
      <c r="J2352" s="70" t="s">
        <v>279</v>
      </c>
      <c r="K2352" s="70">
        <v>1</v>
      </c>
      <c r="L2352" s="70" t="s">
        <v>434</v>
      </c>
      <c r="M2352" s="71">
        <f t="shared" si="202"/>
        <v>120</v>
      </c>
      <c r="N2352" s="70"/>
      <c r="O2352" s="70">
        <f t="shared" si="205"/>
        <v>0.0013182901776396</v>
      </c>
      <c r="P2352" s="70">
        <v>11066</v>
      </c>
    </row>
    <row r="2353" spans="1:25">
      <c r="A2353" s="71">
        <v>2351</v>
      </c>
      <c r="B2353" s="70">
        <v>11900</v>
      </c>
      <c r="C2353" s="70">
        <v>6</v>
      </c>
      <c r="D2353" s="70">
        <f t="shared" si="204"/>
        <v>103292</v>
      </c>
      <c r="E2353" s="70">
        <f t="shared" si="203"/>
        <v>103412</v>
      </c>
      <c r="F2353" s="70"/>
      <c r="G2353" s="70">
        <f>VLOOKUP(H2353&amp;I2353,Sheet2!$J:$K,2,0)</f>
        <v>98030201</v>
      </c>
      <c r="H2353" s="70" t="s">
        <v>428</v>
      </c>
      <c r="I2353" s="70"/>
      <c r="J2353" s="70" t="s">
        <v>279</v>
      </c>
      <c r="K2353" s="70">
        <v>1</v>
      </c>
      <c r="L2353" s="70" t="s">
        <v>434</v>
      </c>
      <c r="M2353" s="71">
        <f t="shared" si="202"/>
        <v>120</v>
      </c>
      <c r="N2353" s="70"/>
      <c r="O2353" s="70">
        <f t="shared" si="205"/>
        <v>0.0013182901776396</v>
      </c>
      <c r="P2353" s="70">
        <v>11067</v>
      </c>
    </row>
    <row r="2354" spans="1:25">
      <c r="A2354" s="71">
        <v>2352</v>
      </c>
      <c r="B2354" s="70">
        <v>11900</v>
      </c>
      <c r="C2354" s="70">
        <v>6</v>
      </c>
      <c r="D2354" s="70">
        <f t="shared" si="204"/>
        <v>103412</v>
      </c>
      <c r="E2354" s="70">
        <f t="shared" si="203"/>
        <v>103532</v>
      </c>
      <c r="F2354" s="70"/>
      <c r="G2354" s="70">
        <f>VLOOKUP(H2354&amp;I2354,Sheet2!$J:$K,2,0)</f>
        <v>98030202</v>
      </c>
      <c r="H2354" s="70" t="s">
        <v>429</v>
      </c>
      <c r="I2354" s="70"/>
      <c r="J2354" s="70" t="s">
        <v>279</v>
      </c>
      <c r="K2354" s="70">
        <v>1</v>
      </c>
      <c r="L2354" s="70" t="s">
        <v>434</v>
      </c>
      <c r="M2354" s="71">
        <f t="shared" si="202"/>
        <v>120</v>
      </c>
      <c r="N2354" s="70"/>
      <c r="O2354" s="70">
        <f t="shared" si="205"/>
        <v>0.0013182901776396</v>
      </c>
      <c r="P2354" s="70">
        <v>11068</v>
      </c>
    </row>
    <row r="2355" spans="1:25">
      <c r="A2355" s="71">
        <v>2353</v>
      </c>
      <c r="B2355" s="70">
        <v>11900</v>
      </c>
      <c r="C2355" s="70">
        <v>6</v>
      </c>
      <c r="D2355" s="70">
        <f t="shared" si="204"/>
        <v>103532</v>
      </c>
      <c r="E2355" s="70">
        <f t="shared" si="203"/>
        <v>103652</v>
      </c>
      <c r="F2355" s="70"/>
      <c r="G2355" s="70">
        <f>VLOOKUP(H2355&amp;I2355,Sheet2!$J:$K,2,0)</f>
        <v>98030203</v>
      </c>
      <c r="H2355" s="70" t="s">
        <v>430</v>
      </c>
      <c r="I2355" s="70"/>
      <c r="J2355" s="70" t="s">
        <v>279</v>
      </c>
      <c r="K2355" s="70">
        <v>1</v>
      </c>
      <c r="L2355" s="70" t="s">
        <v>434</v>
      </c>
      <c r="M2355" s="71">
        <f t="shared" si="202"/>
        <v>120</v>
      </c>
      <c r="N2355" s="70"/>
      <c r="O2355" s="70">
        <f t="shared" si="205"/>
        <v>0.0013182901776396</v>
      </c>
      <c r="P2355" s="70">
        <v>11069</v>
      </c>
    </row>
    <row r="2356" spans="1:25">
      <c r="A2356" s="71">
        <v>2354</v>
      </c>
      <c r="B2356">
        <v>12000</v>
      </c>
      <c r="C2356">
        <v>1</v>
      </c>
      <c r="D2356">
        <v>0</v>
      </c>
      <c r="E2356">
        <f>M2356</f>
        <v>312</v>
      </c>
      <c r="F2356"/>
      <c r="G2356">
        <v>95501002</v>
      </c>
      <c r="H2356" t="s">
        <v>432</v>
      </c>
      <c r="I2356"/>
      <c r="J2356" t="s">
        <v>433</v>
      </c>
      <c r="K2356">
        <v>1</v>
      </c>
      <c r="L2356" t="s">
        <v>606</v>
      </c>
      <c r="M2356">
        <f t="shared" ref="M2356:M2387" si="206">ROUNDDOWN(VLOOKUP(J2356,$T$2364:$W$2370,4,0)*1000,0)</f>
        <v>312</v>
      </c>
      <c r="O2356" s="67">
        <f t="shared" ref="O2356:O2419" si="207">(E2356-D2356)/$E$2560</f>
        <v>0.00263767478822515</v>
      </c>
      <c r="P2356" s="67">
        <v>11000</v>
      </c>
      <c r="T2356" t="s">
        <v>607</v>
      </c>
      <c r="U2356" t="s">
        <v>200</v>
      </c>
      <c r="V2356" t="s">
        <v>608</v>
      </c>
      <c r="W2356" t="s">
        <v>436</v>
      </c>
      <c r="X2356" t="s">
        <v>609</v>
      </c>
    </row>
    <row r="2357" spans="1:25">
      <c r="A2357" s="71">
        <v>2355</v>
      </c>
      <c r="B2357">
        <v>12000</v>
      </c>
      <c r="C2357">
        <v>1</v>
      </c>
      <c r="D2357">
        <f t="shared" ref="D2357:D2388" si="208">E2356</f>
        <v>312</v>
      </c>
      <c r="E2357">
        <f t="shared" ref="E2357:E2388" si="209">D2357+M2357</f>
        <v>624</v>
      </c>
      <c r="F2357"/>
      <c r="G2357">
        <v>95501011</v>
      </c>
      <c r="H2357" t="s">
        <v>437</v>
      </c>
      <c r="I2357"/>
      <c r="J2357" t="s">
        <v>433</v>
      </c>
      <c r="K2357">
        <v>1</v>
      </c>
      <c r="L2357" t="s">
        <v>606</v>
      </c>
      <c r="M2357">
        <f t="shared" si="206"/>
        <v>312</v>
      </c>
      <c r="O2357" s="67">
        <f t="shared" si="207"/>
        <v>0.00263767478822515</v>
      </c>
      <c r="P2357" s="67">
        <v>11000</v>
      </c>
      <c r="U2357">
        <f>SUM(O2356:O2463)</f>
        <v>0.253419677730247</v>
      </c>
      <c r="V2357">
        <f>SUM(O2464:O2483)</f>
        <v>0.29589300508936</v>
      </c>
      <c r="W2357">
        <f>SUM(O2484:O2503)</f>
        <v>0.2113521464924</v>
      </c>
      <c r="X2357">
        <f>SUM(O2523:O2560)</f>
        <v>0.0385506315202137</v>
      </c>
      <c r="Y2357">
        <f>SUM(U2357:X2357)</f>
        <v>0.79921546083222</v>
      </c>
    </row>
    <row r="2358" spans="1:25">
      <c r="A2358" s="71">
        <v>2356</v>
      </c>
      <c r="B2358">
        <v>12000</v>
      </c>
      <c r="C2358">
        <v>1</v>
      </c>
      <c r="D2358">
        <f t="shared" si="208"/>
        <v>624</v>
      </c>
      <c r="E2358">
        <f t="shared" si="209"/>
        <v>936</v>
      </c>
      <c r="F2358"/>
      <c r="G2358">
        <v>95502002</v>
      </c>
      <c r="H2358" t="s">
        <v>438</v>
      </c>
      <c r="I2358"/>
      <c r="J2358" t="s">
        <v>433</v>
      </c>
      <c r="K2358">
        <v>1</v>
      </c>
      <c r="L2358" t="s">
        <v>606</v>
      </c>
      <c r="M2358">
        <f t="shared" si="206"/>
        <v>312</v>
      </c>
      <c r="O2358" s="67">
        <f t="shared" si="207"/>
        <v>0.00263767478822515</v>
      </c>
      <c r="P2358" s="67">
        <v>11000</v>
      </c>
    </row>
    <row r="2359" spans="1:25">
      <c r="A2359" s="71">
        <v>2357</v>
      </c>
      <c r="B2359">
        <v>12000</v>
      </c>
      <c r="C2359">
        <v>1</v>
      </c>
      <c r="D2359">
        <f t="shared" si="208"/>
        <v>936</v>
      </c>
      <c r="E2359">
        <f t="shared" si="209"/>
        <v>1248</v>
      </c>
      <c r="F2359"/>
      <c r="G2359">
        <v>95502011</v>
      </c>
      <c r="H2359" t="s">
        <v>439</v>
      </c>
      <c r="I2359"/>
      <c r="J2359" t="s">
        <v>433</v>
      </c>
      <c r="K2359">
        <v>1</v>
      </c>
      <c r="L2359" t="s">
        <v>606</v>
      </c>
      <c r="M2359">
        <f t="shared" si="206"/>
        <v>312</v>
      </c>
      <c r="O2359" s="67">
        <f t="shared" si="207"/>
        <v>0.00263767478822515</v>
      </c>
      <c r="P2359" s="67">
        <v>11000</v>
      </c>
      <c r="U2359" t="str">
        <f>"散学+通式:"&amp;SUM(O2356:O2403)</f>
        <v>散学+通式:0.126608389834807</v>
      </c>
    </row>
    <row r="2360" spans="1:25">
      <c r="A2360" s="71">
        <v>2358</v>
      </c>
      <c r="B2360">
        <v>12000</v>
      </c>
      <c r="C2360">
        <v>1</v>
      </c>
      <c r="D2360">
        <f t="shared" si="208"/>
        <v>1248</v>
      </c>
      <c r="E2360">
        <f t="shared" si="209"/>
        <v>1560</v>
      </c>
      <c r="F2360"/>
      <c r="G2360">
        <v>95503002</v>
      </c>
      <c r="H2360" t="s">
        <v>445</v>
      </c>
      <c r="I2360"/>
      <c r="J2360" t="s">
        <v>433</v>
      </c>
      <c r="K2360">
        <v>1</v>
      </c>
      <c r="L2360" t="s">
        <v>606</v>
      </c>
      <c r="M2360">
        <f t="shared" si="206"/>
        <v>312</v>
      </c>
      <c r="O2360" s="67">
        <f t="shared" si="207"/>
        <v>0.00263767478822515</v>
      </c>
      <c r="P2360" s="67">
        <v>11000</v>
      </c>
      <c r="U2360" t="str">
        <f>"纯秘籍："&amp;SUM(O2404:O2463)</f>
        <v>纯秘籍：0.12681128789544</v>
      </c>
    </row>
    <row r="2361" spans="1:25">
      <c r="A2361" s="71">
        <v>2359</v>
      </c>
      <c r="B2361">
        <v>12000</v>
      </c>
      <c r="C2361">
        <v>1</v>
      </c>
      <c r="D2361">
        <f t="shared" si="208"/>
        <v>1560</v>
      </c>
      <c r="E2361">
        <f t="shared" si="209"/>
        <v>1872</v>
      </c>
      <c r="F2361"/>
      <c r="G2361">
        <v>95503011</v>
      </c>
      <c r="H2361" t="s">
        <v>446</v>
      </c>
      <c r="I2361"/>
      <c r="J2361" t="s">
        <v>433</v>
      </c>
      <c r="K2361">
        <v>1</v>
      </c>
      <c r="L2361" t="s">
        <v>606</v>
      </c>
      <c r="M2361">
        <f t="shared" si="206"/>
        <v>312</v>
      </c>
      <c r="O2361" s="67">
        <f t="shared" si="207"/>
        <v>0.00263767478822515</v>
      </c>
      <c r="P2361" s="67">
        <v>11000</v>
      </c>
    </row>
    <row r="2362" spans="1:25">
      <c r="A2362" s="71">
        <v>2360</v>
      </c>
      <c r="B2362">
        <v>12000</v>
      </c>
      <c r="C2362">
        <v>1</v>
      </c>
      <c r="D2362">
        <f t="shared" si="208"/>
        <v>1872</v>
      </c>
      <c r="E2362">
        <f t="shared" si="209"/>
        <v>2184</v>
      </c>
      <c r="F2362"/>
      <c r="G2362">
        <v>95504002</v>
      </c>
      <c r="H2362" t="s">
        <v>447</v>
      </c>
      <c r="I2362"/>
      <c r="J2362" t="s">
        <v>433</v>
      </c>
      <c r="K2362">
        <v>1</v>
      </c>
      <c r="L2362" t="s">
        <v>606</v>
      </c>
      <c r="M2362">
        <f t="shared" si="206"/>
        <v>312</v>
      </c>
      <c r="O2362" s="67">
        <f t="shared" si="207"/>
        <v>0.00263767478822515</v>
      </c>
      <c r="P2362" s="67">
        <v>11000</v>
      </c>
    </row>
    <row r="2363" spans="1:25">
      <c r="A2363" s="71">
        <v>2361</v>
      </c>
      <c r="B2363">
        <v>12000</v>
      </c>
      <c r="C2363">
        <v>1</v>
      </c>
      <c r="D2363">
        <f t="shared" si="208"/>
        <v>2184</v>
      </c>
      <c r="E2363">
        <f t="shared" si="209"/>
        <v>2496</v>
      </c>
      <c r="F2363"/>
      <c r="G2363">
        <v>95504011</v>
      </c>
      <c r="H2363" t="s">
        <v>448</v>
      </c>
      <c r="I2363"/>
      <c r="J2363" t="s">
        <v>433</v>
      </c>
      <c r="K2363">
        <v>1</v>
      </c>
      <c r="L2363" t="s">
        <v>606</v>
      </c>
      <c r="M2363">
        <f t="shared" si="206"/>
        <v>312</v>
      </c>
      <c r="O2363" s="67">
        <f t="shared" si="207"/>
        <v>0.00263767478822515</v>
      </c>
      <c r="P2363" s="67">
        <v>11000</v>
      </c>
      <c r="U2363" t="s">
        <v>440</v>
      </c>
      <c r="V2363" t="s">
        <v>441</v>
      </c>
      <c r="W2363" t="s">
        <v>442</v>
      </c>
      <c r="X2363" t="s">
        <v>443</v>
      </c>
      <c r="Y2363" t="s">
        <v>444</v>
      </c>
    </row>
    <row r="2364" spans="1:25">
      <c r="A2364" s="71">
        <v>2362</v>
      </c>
      <c r="B2364">
        <v>12000</v>
      </c>
      <c r="C2364">
        <v>1</v>
      </c>
      <c r="D2364">
        <f t="shared" si="208"/>
        <v>2496</v>
      </c>
      <c r="E2364">
        <f t="shared" si="209"/>
        <v>2808</v>
      </c>
      <c r="F2364"/>
      <c r="G2364">
        <v>95505002</v>
      </c>
      <c r="H2364" t="s">
        <v>449</v>
      </c>
      <c r="I2364"/>
      <c r="J2364" t="s">
        <v>433</v>
      </c>
      <c r="K2364">
        <v>1</v>
      </c>
      <c r="L2364" t="s">
        <v>606</v>
      </c>
      <c r="M2364">
        <f t="shared" si="206"/>
        <v>312</v>
      </c>
      <c r="O2364" s="67">
        <f t="shared" si="207"/>
        <v>0.00263767478822515</v>
      </c>
      <c r="P2364" s="67">
        <v>11000</v>
      </c>
      <c r="T2364" t="s">
        <v>433</v>
      </c>
      <c r="U2364">
        <v>15</v>
      </c>
      <c r="V2364">
        <v>48</v>
      </c>
      <c r="W2364">
        <f>U2364/V2364</f>
        <v>0.3125</v>
      </c>
      <c r="X2364">
        <f>W2364*$Y$2364</f>
        <v>5</v>
      </c>
      <c r="Y2364">
        <v>16</v>
      </c>
    </row>
    <row r="2365" spans="1:25">
      <c r="A2365" s="71">
        <v>2363</v>
      </c>
      <c r="B2365">
        <v>12000</v>
      </c>
      <c r="C2365">
        <v>1</v>
      </c>
      <c r="D2365">
        <f t="shared" si="208"/>
        <v>2808</v>
      </c>
      <c r="E2365">
        <f t="shared" si="209"/>
        <v>3120</v>
      </c>
      <c r="F2365"/>
      <c r="G2365">
        <v>95505011</v>
      </c>
      <c r="H2365" t="s">
        <v>450</v>
      </c>
      <c r="I2365"/>
      <c r="J2365" t="s">
        <v>433</v>
      </c>
      <c r="K2365">
        <v>1</v>
      </c>
      <c r="L2365" t="s">
        <v>606</v>
      </c>
      <c r="M2365">
        <f t="shared" si="206"/>
        <v>312</v>
      </c>
      <c r="O2365" s="67">
        <f t="shared" si="207"/>
        <v>0.00263767478822515</v>
      </c>
      <c r="P2365" s="67">
        <v>11000</v>
      </c>
      <c r="T2365" t="s">
        <v>200</v>
      </c>
      <c r="U2365">
        <v>15</v>
      </c>
      <c r="V2365">
        <v>60</v>
      </c>
      <c r="W2365">
        <f>U2365/V2365</f>
        <v>0.25</v>
      </c>
      <c r="X2365">
        <f>W2365*$Y$2364</f>
        <v>4</v>
      </c>
    </row>
    <row r="2366" spans="1:25">
      <c r="A2366" s="71">
        <v>2364</v>
      </c>
      <c r="B2366">
        <v>12000</v>
      </c>
      <c r="C2366">
        <v>1</v>
      </c>
      <c r="D2366">
        <f t="shared" si="208"/>
        <v>3120</v>
      </c>
      <c r="E2366">
        <f t="shared" si="209"/>
        <v>3432</v>
      </c>
      <c r="F2366"/>
      <c r="G2366">
        <v>95506002</v>
      </c>
      <c r="H2366" t="s">
        <v>451</v>
      </c>
      <c r="I2366"/>
      <c r="J2366" t="s">
        <v>433</v>
      </c>
      <c r="K2366">
        <v>1</v>
      </c>
      <c r="L2366" t="s">
        <v>606</v>
      </c>
      <c r="M2366">
        <f t="shared" si="206"/>
        <v>312</v>
      </c>
      <c r="O2366" s="67">
        <f t="shared" si="207"/>
        <v>0.00263767478822515</v>
      </c>
      <c r="P2366" s="67">
        <v>11000</v>
      </c>
      <c r="T2366" t="s">
        <v>610</v>
      </c>
      <c r="U2366">
        <v>35</v>
      </c>
      <c r="V2366">
        <v>20</v>
      </c>
      <c r="W2366">
        <f>U2366/V2366</f>
        <v>1.75</v>
      </c>
      <c r="X2366">
        <f>W2366*$Y$2364</f>
        <v>28</v>
      </c>
    </row>
    <row r="2367" spans="1:25">
      <c r="A2367" s="71">
        <v>2365</v>
      </c>
      <c r="B2367">
        <v>12000</v>
      </c>
      <c r="C2367">
        <v>1</v>
      </c>
      <c r="D2367">
        <f t="shared" si="208"/>
        <v>3432</v>
      </c>
      <c r="E2367">
        <f t="shared" si="209"/>
        <v>3744</v>
      </c>
      <c r="F2367"/>
      <c r="G2367">
        <v>95506011</v>
      </c>
      <c r="H2367" t="s">
        <v>452</v>
      </c>
      <c r="I2367"/>
      <c r="J2367" t="s">
        <v>433</v>
      </c>
      <c r="K2367">
        <v>1</v>
      </c>
      <c r="L2367" t="s">
        <v>606</v>
      </c>
      <c r="M2367">
        <f t="shared" si="206"/>
        <v>312</v>
      </c>
      <c r="O2367" s="67">
        <f t="shared" si="207"/>
        <v>0.00263767478822515</v>
      </c>
      <c r="P2367" s="67">
        <v>11000</v>
      </c>
      <c r="T2367" t="s">
        <v>436</v>
      </c>
      <c r="U2367">
        <v>25</v>
      </c>
      <c r="V2367">
        <v>20</v>
      </c>
      <c r="W2367">
        <f>U2367/V2367</f>
        <v>1.25</v>
      </c>
      <c r="X2367">
        <f>W2367*$Y$2364</f>
        <v>20</v>
      </c>
    </row>
    <row r="2368" spans="1:25">
      <c r="A2368" s="71">
        <v>2366</v>
      </c>
      <c r="B2368">
        <v>12000</v>
      </c>
      <c r="C2368">
        <v>1</v>
      </c>
      <c r="D2368">
        <f t="shared" si="208"/>
        <v>3744</v>
      </c>
      <c r="E2368">
        <f t="shared" si="209"/>
        <v>4056</v>
      </c>
      <c r="F2368"/>
      <c r="G2368">
        <v>95509002</v>
      </c>
      <c r="H2368" t="s">
        <v>453</v>
      </c>
      <c r="I2368"/>
      <c r="J2368" t="s">
        <v>433</v>
      </c>
      <c r="K2368">
        <v>1</v>
      </c>
      <c r="L2368" t="s">
        <v>606</v>
      </c>
      <c r="M2368">
        <f t="shared" si="206"/>
        <v>312</v>
      </c>
      <c r="O2368" s="67">
        <f t="shared" si="207"/>
        <v>0.00263767478822515</v>
      </c>
      <c r="P2368" s="67">
        <v>11000</v>
      </c>
      <c r="T2368" t="s">
        <v>279</v>
      </c>
      <c r="U2368">
        <v>10</v>
      </c>
      <c r="V2368">
        <v>83</v>
      </c>
      <c r="W2368">
        <f>U2368/V2368</f>
        <v>0.120481927710843</v>
      </c>
      <c r="X2368">
        <f>W2368*$Y$2364</f>
        <v>1.92771084337349</v>
      </c>
    </row>
    <row r="2369" spans="1:16">
      <c r="A2369" s="71">
        <v>2367</v>
      </c>
      <c r="B2369">
        <v>12000</v>
      </c>
      <c r="C2369">
        <v>1</v>
      </c>
      <c r="D2369">
        <f t="shared" si="208"/>
        <v>4056</v>
      </c>
      <c r="E2369">
        <f t="shared" si="209"/>
        <v>4368</v>
      </c>
      <c r="F2369"/>
      <c r="G2369">
        <v>95509011</v>
      </c>
      <c r="H2369" t="s">
        <v>454</v>
      </c>
      <c r="I2369"/>
      <c r="J2369" t="s">
        <v>433</v>
      </c>
      <c r="K2369">
        <v>1</v>
      </c>
      <c r="L2369" t="s">
        <v>606</v>
      </c>
      <c r="M2369">
        <f t="shared" si="206"/>
        <v>312</v>
      </c>
      <c r="O2369" s="67">
        <f t="shared" si="207"/>
        <v>0.00263767478822515</v>
      </c>
      <c r="P2369" s="67">
        <v>11000</v>
      </c>
    </row>
    <row r="2370" spans="1:16">
      <c r="A2370" s="71">
        <v>2368</v>
      </c>
      <c r="B2370">
        <v>12000</v>
      </c>
      <c r="C2370">
        <v>1</v>
      </c>
      <c r="D2370">
        <f t="shared" si="208"/>
        <v>4368</v>
      </c>
      <c r="E2370">
        <f t="shared" si="209"/>
        <v>4680</v>
      </c>
      <c r="F2370"/>
      <c r="G2370">
        <v>95510002</v>
      </c>
      <c r="H2370" t="s">
        <v>455</v>
      </c>
      <c r="I2370"/>
      <c r="J2370" t="s">
        <v>433</v>
      </c>
      <c r="K2370">
        <v>1</v>
      </c>
      <c r="L2370" t="s">
        <v>606</v>
      </c>
      <c r="M2370">
        <f t="shared" si="206"/>
        <v>312</v>
      </c>
      <c r="O2370" s="67">
        <f t="shared" si="207"/>
        <v>0.00263767478822515</v>
      </c>
      <c r="P2370" s="67">
        <v>11000</v>
      </c>
    </row>
    <row r="2371" spans="1:16">
      <c r="A2371" s="71">
        <v>2369</v>
      </c>
      <c r="B2371">
        <v>12000</v>
      </c>
      <c r="C2371">
        <v>1</v>
      </c>
      <c r="D2371">
        <f t="shared" si="208"/>
        <v>4680</v>
      </c>
      <c r="E2371">
        <f t="shared" si="209"/>
        <v>4992</v>
      </c>
      <c r="F2371"/>
      <c r="G2371">
        <v>95510011</v>
      </c>
      <c r="H2371" t="s">
        <v>456</v>
      </c>
      <c r="I2371"/>
      <c r="J2371" t="s">
        <v>433</v>
      </c>
      <c r="K2371">
        <v>1</v>
      </c>
      <c r="L2371" t="s">
        <v>606</v>
      </c>
      <c r="M2371">
        <f t="shared" si="206"/>
        <v>312</v>
      </c>
      <c r="O2371" s="67">
        <f t="shared" si="207"/>
        <v>0.00263767478822515</v>
      </c>
      <c r="P2371" s="67">
        <v>11000</v>
      </c>
    </row>
    <row r="2372" spans="1:16">
      <c r="A2372" s="71">
        <v>2370</v>
      </c>
      <c r="B2372">
        <v>12000</v>
      </c>
      <c r="C2372">
        <v>1</v>
      </c>
      <c r="D2372">
        <f t="shared" si="208"/>
        <v>4992</v>
      </c>
      <c r="E2372">
        <f t="shared" si="209"/>
        <v>5304</v>
      </c>
      <c r="F2372"/>
      <c r="G2372">
        <v>95511002</v>
      </c>
      <c r="H2372" t="s">
        <v>457</v>
      </c>
      <c r="I2372"/>
      <c r="J2372" t="s">
        <v>433</v>
      </c>
      <c r="K2372">
        <v>1</v>
      </c>
      <c r="L2372" t="s">
        <v>606</v>
      </c>
      <c r="M2372">
        <f t="shared" si="206"/>
        <v>312</v>
      </c>
      <c r="O2372" s="67">
        <f t="shared" si="207"/>
        <v>0.00263767478822515</v>
      </c>
      <c r="P2372" s="67">
        <v>11000</v>
      </c>
    </row>
    <row r="2373" spans="1:16">
      <c r="A2373" s="71">
        <v>2371</v>
      </c>
      <c r="B2373">
        <v>12000</v>
      </c>
      <c r="C2373">
        <v>1</v>
      </c>
      <c r="D2373">
        <f t="shared" si="208"/>
        <v>5304</v>
      </c>
      <c r="E2373">
        <f t="shared" si="209"/>
        <v>5616</v>
      </c>
      <c r="F2373"/>
      <c r="G2373">
        <v>95511011</v>
      </c>
      <c r="H2373" t="s">
        <v>458</v>
      </c>
      <c r="I2373"/>
      <c r="J2373" t="s">
        <v>433</v>
      </c>
      <c r="K2373">
        <v>1</v>
      </c>
      <c r="L2373" t="s">
        <v>606</v>
      </c>
      <c r="M2373">
        <f t="shared" si="206"/>
        <v>312</v>
      </c>
      <c r="O2373" s="67">
        <f t="shared" si="207"/>
        <v>0.00263767478822515</v>
      </c>
      <c r="P2373" s="67">
        <v>11000</v>
      </c>
    </row>
    <row r="2374" spans="1:16">
      <c r="A2374" s="71">
        <v>2372</v>
      </c>
      <c r="B2374">
        <v>12000</v>
      </c>
      <c r="C2374">
        <v>1</v>
      </c>
      <c r="D2374">
        <f t="shared" si="208"/>
        <v>5616</v>
      </c>
      <c r="E2374">
        <f t="shared" si="209"/>
        <v>5928</v>
      </c>
      <c r="F2374"/>
      <c r="G2374">
        <v>95512002</v>
      </c>
      <c r="H2374" t="s">
        <v>459</v>
      </c>
      <c r="I2374"/>
      <c r="J2374" t="s">
        <v>433</v>
      </c>
      <c r="K2374">
        <v>1</v>
      </c>
      <c r="L2374" t="s">
        <v>606</v>
      </c>
      <c r="M2374">
        <f t="shared" si="206"/>
        <v>312</v>
      </c>
      <c r="O2374" s="67">
        <f t="shared" si="207"/>
        <v>0.00263767478822515</v>
      </c>
      <c r="P2374" s="67">
        <v>11000</v>
      </c>
    </row>
    <row r="2375" spans="1:16">
      <c r="A2375" s="71">
        <v>2373</v>
      </c>
      <c r="B2375">
        <v>12000</v>
      </c>
      <c r="C2375">
        <v>1</v>
      </c>
      <c r="D2375">
        <f t="shared" si="208"/>
        <v>5928</v>
      </c>
      <c r="E2375">
        <f t="shared" si="209"/>
        <v>6240</v>
      </c>
      <c r="F2375"/>
      <c r="G2375">
        <v>95512011</v>
      </c>
      <c r="H2375" t="s">
        <v>460</v>
      </c>
      <c r="I2375"/>
      <c r="J2375" t="s">
        <v>433</v>
      </c>
      <c r="K2375">
        <v>1</v>
      </c>
      <c r="L2375" t="s">
        <v>606</v>
      </c>
      <c r="M2375">
        <f t="shared" si="206"/>
        <v>312</v>
      </c>
      <c r="O2375" s="67">
        <f t="shared" si="207"/>
        <v>0.00263767478822515</v>
      </c>
      <c r="P2375" s="67">
        <v>11000</v>
      </c>
    </row>
    <row r="2376" spans="1:16">
      <c r="A2376" s="71">
        <v>2374</v>
      </c>
      <c r="B2376">
        <v>12000</v>
      </c>
      <c r="C2376">
        <v>1</v>
      </c>
      <c r="D2376">
        <f t="shared" si="208"/>
        <v>6240</v>
      </c>
      <c r="E2376">
        <f t="shared" si="209"/>
        <v>6552</v>
      </c>
      <c r="F2376"/>
      <c r="G2376">
        <v>95514002</v>
      </c>
      <c r="H2376" t="s">
        <v>461</v>
      </c>
      <c r="I2376"/>
      <c r="J2376" t="s">
        <v>433</v>
      </c>
      <c r="K2376">
        <v>1</v>
      </c>
      <c r="L2376" t="s">
        <v>606</v>
      </c>
      <c r="M2376">
        <f t="shared" si="206"/>
        <v>312</v>
      </c>
      <c r="O2376" s="67">
        <f t="shared" si="207"/>
        <v>0.00263767478822515</v>
      </c>
      <c r="P2376" s="67">
        <v>11000</v>
      </c>
    </row>
    <row r="2377" spans="1:16">
      <c r="A2377" s="71">
        <v>2375</v>
      </c>
      <c r="B2377">
        <v>12000</v>
      </c>
      <c r="C2377">
        <v>1</v>
      </c>
      <c r="D2377">
        <f t="shared" si="208"/>
        <v>6552</v>
      </c>
      <c r="E2377">
        <f t="shared" si="209"/>
        <v>6864</v>
      </c>
      <c r="F2377"/>
      <c r="G2377">
        <v>95514011</v>
      </c>
      <c r="H2377" t="s">
        <v>462</v>
      </c>
      <c r="I2377"/>
      <c r="J2377" t="s">
        <v>433</v>
      </c>
      <c r="K2377">
        <v>1</v>
      </c>
      <c r="L2377" t="s">
        <v>606</v>
      </c>
      <c r="M2377">
        <f t="shared" si="206"/>
        <v>312</v>
      </c>
      <c r="O2377" s="67">
        <f t="shared" si="207"/>
        <v>0.00263767478822515</v>
      </c>
      <c r="P2377" s="67">
        <v>11000</v>
      </c>
    </row>
    <row r="2378" spans="1:16">
      <c r="A2378" s="71">
        <v>2376</v>
      </c>
      <c r="B2378">
        <v>12000</v>
      </c>
      <c r="C2378">
        <v>1</v>
      </c>
      <c r="D2378">
        <f t="shared" si="208"/>
        <v>6864</v>
      </c>
      <c r="E2378">
        <f t="shared" si="209"/>
        <v>7176</v>
      </c>
      <c r="F2378"/>
      <c r="G2378">
        <v>95515002</v>
      </c>
      <c r="H2378" t="s">
        <v>463</v>
      </c>
      <c r="I2378"/>
      <c r="J2378" t="s">
        <v>433</v>
      </c>
      <c r="K2378">
        <v>1</v>
      </c>
      <c r="L2378" t="s">
        <v>606</v>
      </c>
      <c r="M2378">
        <f t="shared" si="206"/>
        <v>312</v>
      </c>
      <c r="O2378" s="67">
        <f t="shared" si="207"/>
        <v>0.00263767478822515</v>
      </c>
      <c r="P2378" s="67">
        <v>11000</v>
      </c>
    </row>
    <row r="2379" spans="1:16">
      <c r="A2379" s="71">
        <v>2377</v>
      </c>
      <c r="B2379">
        <v>12000</v>
      </c>
      <c r="C2379">
        <v>1</v>
      </c>
      <c r="D2379">
        <f t="shared" si="208"/>
        <v>7176</v>
      </c>
      <c r="E2379">
        <f t="shared" si="209"/>
        <v>7488</v>
      </c>
      <c r="F2379"/>
      <c r="G2379">
        <v>95515011</v>
      </c>
      <c r="H2379" t="s">
        <v>464</v>
      </c>
      <c r="I2379"/>
      <c r="J2379" t="s">
        <v>433</v>
      </c>
      <c r="K2379">
        <v>1</v>
      </c>
      <c r="L2379" t="s">
        <v>606</v>
      </c>
      <c r="M2379">
        <f t="shared" si="206"/>
        <v>312</v>
      </c>
      <c r="O2379" s="67">
        <f t="shared" si="207"/>
        <v>0.00263767478822515</v>
      </c>
      <c r="P2379" s="67">
        <v>11000</v>
      </c>
    </row>
    <row r="2380" spans="1:16">
      <c r="A2380" s="71">
        <v>2378</v>
      </c>
      <c r="B2380">
        <v>12000</v>
      </c>
      <c r="C2380">
        <v>1</v>
      </c>
      <c r="D2380">
        <f t="shared" si="208"/>
        <v>7488</v>
      </c>
      <c r="E2380">
        <f t="shared" si="209"/>
        <v>7800</v>
      </c>
      <c r="F2380"/>
      <c r="G2380">
        <v>95901001</v>
      </c>
      <c r="H2380" t="s">
        <v>465</v>
      </c>
      <c r="I2380"/>
      <c r="J2380" t="s">
        <v>433</v>
      </c>
      <c r="K2380">
        <v>1</v>
      </c>
      <c r="L2380" t="s">
        <v>606</v>
      </c>
      <c r="M2380">
        <f t="shared" si="206"/>
        <v>312</v>
      </c>
      <c r="O2380" s="67">
        <f t="shared" si="207"/>
        <v>0.00263767478822515</v>
      </c>
      <c r="P2380" s="67">
        <v>11000</v>
      </c>
    </row>
    <row r="2381" spans="1:16">
      <c r="A2381" s="71">
        <v>2379</v>
      </c>
      <c r="B2381">
        <v>12000</v>
      </c>
      <c r="C2381">
        <v>1</v>
      </c>
      <c r="D2381">
        <f t="shared" si="208"/>
        <v>7800</v>
      </c>
      <c r="E2381">
        <f t="shared" si="209"/>
        <v>8112</v>
      </c>
      <c r="F2381"/>
      <c r="G2381">
        <v>95901002</v>
      </c>
      <c r="H2381" t="s">
        <v>466</v>
      </c>
      <c r="I2381"/>
      <c r="J2381" t="s">
        <v>433</v>
      </c>
      <c r="K2381">
        <v>1</v>
      </c>
      <c r="L2381" t="s">
        <v>606</v>
      </c>
      <c r="M2381">
        <f t="shared" si="206"/>
        <v>312</v>
      </c>
      <c r="O2381" s="67">
        <f t="shared" si="207"/>
        <v>0.00263767478822515</v>
      </c>
      <c r="P2381" s="67">
        <v>11000</v>
      </c>
    </row>
    <row r="2382" spans="1:16">
      <c r="A2382" s="71">
        <v>2380</v>
      </c>
      <c r="B2382">
        <v>12000</v>
      </c>
      <c r="C2382">
        <v>1</v>
      </c>
      <c r="D2382">
        <f t="shared" si="208"/>
        <v>8112</v>
      </c>
      <c r="E2382">
        <f t="shared" si="209"/>
        <v>8424</v>
      </c>
      <c r="F2382"/>
      <c r="G2382">
        <v>95902001</v>
      </c>
      <c r="H2382" t="s">
        <v>467</v>
      </c>
      <c r="I2382"/>
      <c r="J2382" t="s">
        <v>433</v>
      </c>
      <c r="K2382">
        <v>1</v>
      </c>
      <c r="L2382" t="s">
        <v>606</v>
      </c>
      <c r="M2382">
        <f t="shared" si="206"/>
        <v>312</v>
      </c>
      <c r="O2382" s="67">
        <f t="shared" si="207"/>
        <v>0.00263767478822515</v>
      </c>
      <c r="P2382" s="67">
        <v>11000</v>
      </c>
    </row>
    <row r="2383" spans="1:16">
      <c r="A2383" s="71">
        <v>2381</v>
      </c>
      <c r="B2383">
        <v>12000</v>
      </c>
      <c r="C2383">
        <v>1</v>
      </c>
      <c r="D2383">
        <f t="shared" si="208"/>
        <v>8424</v>
      </c>
      <c r="E2383">
        <f t="shared" si="209"/>
        <v>8736</v>
      </c>
      <c r="F2383"/>
      <c r="G2383">
        <v>95902002</v>
      </c>
      <c r="H2383" t="s">
        <v>468</v>
      </c>
      <c r="I2383"/>
      <c r="J2383" t="s">
        <v>433</v>
      </c>
      <c r="K2383">
        <v>1</v>
      </c>
      <c r="L2383" t="s">
        <v>606</v>
      </c>
      <c r="M2383">
        <f t="shared" si="206"/>
        <v>312</v>
      </c>
      <c r="O2383" s="67">
        <f t="shared" si="207"/>
        <v>0.00263767478822515</v>
      </c>
      <c r="P2383" s="67">
        <v>11000</v>
      </c>
    </row>
    <row r="2384" spans="1:16">
      <c r="A2384" s="71">
        <v>2382</v>
      </c>
      <c r="B2384">
        <v>12000</v>
      </c>
      <c r="C2384">
        <v>1</v>
      </c>
      <c r="D2384">
        <f t="shared" si="208"/>
        <v>8736</v>
      </c>
      <c r="E2384">
        <f t="shared" si="209"/>
        <v>9048</v>
      </c>
      <c r="F2384"/>
      <c r="G2384">
        <v>95903001</v>
      </c>
      <c r="H2384" t="s">
        <v>469</v>
      </c>
      <c r="I2384"/>
      <c r="J2384" t="s">
        <v>433</v>
      </c>
      <c r="K2384">
        <v>1</v>
      </c>
      <c r="L2384" t="s">
        <v>606</v>
      </c>
      <c r="M2384">
        <f t="shared" si="206"/>
        <v>312</v>
      </c>
      <c r="O2384" s="67">
        <f t="shared" si="207"/>
        <v>0.00263767478822515</v>
      </c>
      <c r="P2384" s="67">
        <v>11000</v>
      </c>
    </row>
    <row r="2385" spans="1:16">
      <c r="A2385" s="71">
        <v>2383</v>
      </c>
      <c r="B2385">
        <v>12000</v>
      </c>
      <c r="C2385">
        <v>1</v>
      </c>
      <c r="D2385">
        <f t="shared" si="208"/>
        <v>9048</v>
      </c>
      <c r="E2385">
        <f t="shared" si="209"/>
        <v>9360</v>
      </c>
      <c r="F2385"/>
      <c r="G2385">
        <v>95903002</v>
      </c>
      <c r="H2385" t="s">
        <v>470</v>
      </c>
      <c r="I2385"/>
      <c r="J2385" t="s">
        <v>433</v>
      </c>
      <c r="K2385">
        <v>1</v>
      </c>
      <c r="L2385" t="s">
        <v>606</v>
      </c>
      <c r="M2385">
        <f t="shared" si="206"/>
        <v>312</v>
      </c>
      <c r="O2385" s="67">
        <f t="shared" si="207"/>
        <v>0.00263767478822515</v>
      </c>
      <c r="P2385" s="67">
        <v>11000</v>
      </c>
    </row>
    <row r="2386" spans="1:16">
      <c r="A2386" s="71">
        <v>2384</v>
      </c>
      <c r="B2386">
        <v>12000</v>
      </c>
      <c r="C2386">
        <v>1</v>
      </c>
      <c r="D2386">
        <f t="shared" si="208"/>
        <v>9360</v>
      </c>
      <c r="E2386">
        <f t="shared" si="209"/>
        <v>9672</v>
      </c>
      <c r="F2386"/>
      <c r="G2386">
        <v>95904002</v>
      </c>
      <c r="H2386" t="s">
        <v>471</v>
      </c>
      <c r="I2386"/>
      <c r="J2386" t="s">
        <v>433</v>
      </c>
      <c r="K2386">
        <v>1</v>
      </c>
      <c r="L2386" t="s">
        <v>606</v>
      </c>
      <c r="M2386">
        <f t="shared" si="206"/>
        <v>312</v>
      </c>
      <c r="O2386" s="67">
        <f t="shared" si="207"/>
        <v>0.00263767478822515</v>
      </c>
      <c r="P2386" s="67">
        <v>11000</v>
      </c>
    </row>
    <row r="2387" spans="1:16">
      <c r="A2387" s="71">
        <v>2385</v>
      </c>
      <c r="B2387">
        <v>12000</v>
      </c>
      <c r="C2387">
        <v>1</v>
      </c>
      <c r="D2387">
        <f t="shared" si="208"/>
        <v>9672</v>
      </c>
      <c r="E2387">
        <f t="shared" si="209"/>
        <v>9984</v>
      </c>
      <c r="F2387"/>
      <c r="G2387">
        <v>95904001</v>
      </c>
      <c r="H2387" t="s">
        <v>472</v>
      </c>
      <c r="I2387"/>
      <c r="J2387" t="s">
        <v>433</v>
      </c>
      <c r="K2387">
        <v>1</v>
      </c>
      <c r="L2387" t="s">
        <v>606</v>
      </c>
      <c r="M2387">
        <f t="shared" si="206"/>
        <v>312</v>
      </c>
      <c r="O2387" s="67">
        <f t="shared" si="207"/>
        <v>0.00263767478822515</v>
      </c>
      <c r="P2387" s="67">
        <v>11000</v>
      </c>
    </row>
    <row r="2388" spans="1:16">
      <c r="A2388" s="71">
        <v>2386</v>
      </c>
      <c r="B2388">
        <v>12000</v>
      </c>
      <c r="C2388">
        <v>1</v>
      </c>
      <c r="D2388">
        <f t="shared" si="208"/>
        <v>9984</v>
      </c>
      <c r="E2388">
        <f t="shared" si="209"/>
        <v>10296</v>
      </c>
      <c r="F2388"/>
      <c r="G2388">
        <v>95905002</v>
      </c>
      <c r="H2388" t="s">
        <v>473</v>
      </c>
      <c r="I2388"/>
      <c r="J2388" t="s">
        <v>433</v>
      </c>
      <c r="K2388">
        <v>1</v>
      </c>
      <c r="L2388" t="s">
        <v>606</v>
      </c>
      <c r="M2388">
        <f t="shared" ref="M2388:M2419" si="210">ROUNDDOWN(VLOOKUP(J2388,$T$2364:$W$2370,4,0)*1000,0)</f>
        <v>312</v>
      </c>
      <c r="O2388" s="67">
        <f t="shared" si="207"/>
        <v>0.00263767478822515</v>
      </c>
      <c r="P2388" s="67">
        <v>11000</v>
      </c>
    </row>
    <row r="2389" spans="1:16">
      <c r="A2389" s="71">
        <v>2387</v>
      </c>
      <c r="B2389">
        <v>12000</v>
      </c>
      <c r="C2389">
        <v>1</v>
      </c>
      <c r="D2389">
        <f t="shared" ref="D2389:D2420" si="211">E2388</f>
        <v>10296</v>
      </c>
      <c r="E2389">
        <f t="shared" ref="E2389:E2420" si="212">D2389+M2389</f>
        <v>10608</v>
      </c>
      <c r="F2389"/>
      <c r="G2389">
        <v>95905001</v>
      </c>
      <c r="H2389" t="s">
        <v>474</v>
      </c>
      <c r="I2389"/>
      <c r="J2389" t="s">
        <v>433</v>
      </c>
      <c r="K2389">
        <v>1</v>
      </c>
      <c r="L2389" t="s">
        <v>606</v>
      </c>
      <c r="M2389">
        <f t="shared" si="210"/>
        <v>312</v>
      </c>
      <c r="O2389" s="67">
        <f t="shared" si="207"/>
        <v>0.00263767478822515</v>
      </c>
      <c r="P2389" s="67">
        <v>11000</v>
      </c>
    </row>
    <row r="2390" spans="1:16">
      <c r="A2390" s="71">
        <v>2388</v>
      </c>
      <c r="B2390">
        <v>12000</v>
      </c>
      <c r="C2390">
        <v>1</v>
      </c>
      <c r="D2390">
        <f t="shared" si="211"/>
        <v>10608</v>
      </c>
      <c r="E2390">
        <f t="shared" si="212"/>
        <v>10920</v>
      </c>
      <c r="F2390"/>
      <c r="G2390">
        <v>95906001</v>
      </c>
      <c r="H2390" t="s">
        <v>475</v>
      </c>
      <c r="I2390"/>
      <c r="J2390" t="s">
        <v>433</v>
      </c>
      <c r="K2390">
        <v>1</v>
      </c>
      <c r="L2390" t="s">
        <v>606</v>
      </c>
      <c r="M2390">
        <f t="shared" si="210"/>
        <v>312</v>
      </c>
      <c r="O2390" s="67">
        <f t="shared" si="207"/>
        <v>0.00263767478822515</v>
      </c>
      <c r="P2390" s="67">
        <v>11000</v>
      </c>
    </row>
    <row r="2391" spans="1:16">
      <c r="A2391" s="71">
        <v>2389</v>
      </c>
      <c r="B2391">
        <v>12000</v>
      </c>
      <c r="C2391">
        <v>1</v>
      </c>
      <c r="D2391">
        <f t="shared" si="211"/>
        <v>10920</v>
      </c>
      <c r="E2391">
        <f t="shared" si="212"/>
        <v>11232</v>
      </c>
      <c r="F2391"/>
      <c r="G2391">
        <v>95906002</v>
      </c>
      <c r="H2391" t="s">
        <v>476</v>
      </c>
      <c r="I2391"/>
      <c r="J2391" t="s">
        <v>433</v>
      </c>
      <c r="K2391">
        <v>1</v>
      </c>
      <c r="L2391" t="s">
        <v>606</v>
      </c>
      <c r="M2391">
        <f t="shared" si="210"/>
        <v>312</v>
      </c>
      <c r="O2391" s="67">
        <f t="shared" si="207"/>
        <v>0.00263767478822515</v>
      </c>
      <c r="P2391" s="67">
        <v>11000</v>
      </c>
    </row>
    <row r="2392" spans="1:16">
      <c r="A2392" s="71">
        <v>2390</v>
      </c>
      <c r="B2392">
        <v>12000</v>
      </c>
      <c r="C2392">
        <v>1</v>
      </c>
      <c r="D2392">
        <f t="shared" si="211"/>
        <v>11232</v>
      </c>
      <c r="E2392">
        <f t="shared" si="212"/>
        <v>11544</v>
      </c>
      <c r="F2392"/>
      <c r="G2392">
        <v>95909001</v>
      </c>
      <c r="H2392" t="s">
        <v>477</v>
      </c>
      <c r="I2392"/>
      <c r="J2392" t="s">
        <v>433</v>
      </c>
      <c r="K2392">
        <v>1</v>
      </c>
      <c r="L2392" t="s">
        <v>606</v>
      </c>
      <c r="M2392">
        <f t="shared" si="210"/>
        <v>312</v>
      </c>
      <c r="O2392" s="67">
        <f t="shared" si="207"/>
        <v>0.00263767478822515</v>
      </c>
      <c r="P2392" s="67">
        <v>11000</v>
      </c>
    </row>
    <row r="2393" spans="1:16">
      <c r="A2393" s="71">
        <v>2391</v>
      </c>
      <c r="B2393">
        <v>12000</v>
      </c>
      <c r="C2393">
        <v>1</v>
      </c>
      <c r="D2393">
        <f t="shared" si="211"/>
        <v>11544</v>
      </c>
      <c r="E2393">
        <f t="shared" si="212"/>
        <v>11856</v>
      </c>
      <c r="F2393"/>
      <c r="G2393">
        <v>95909002</v>
      </c>
      <c r="H2393" t="s">
        <v>478</v>
      </c>
      <c r="I2393"/>
      <c r="J2393" t="s">
        <v>433</v>
      </c>
      <c r="K2393">
        <v>1</v>
      </c>
      <c r="L2393" t="s">
        <v>606</v>
      </c>
      <c r="M2393">
        <f t="shared" si="210"/>
        <v>312</v>
      </c>
      <c r="O2393" s="67">
        <f t="shared" si="207"/>
        <v>0.00263767478822515</v>
      </c>
      <c r="P2393" s="67">
        <v>11000</v>
      </c>
    </row>
    <row r="2394" spans="1:16">
      <c r="A2394" s="71">
        <v>2392</v>
      </c>
      <c r="B2394">
        <v>12000</v>
      </c>
      <c r="C2394">
        <v>1</v>
      </c>
      <c r="D2394">
        <f t="shared" si="211"/>
        <v>11856</v>
      </c>
      <c r="E2394">
        <f t="shared" si="212"/>
        <v>12168</v>
      </c>
      <c r="F2394"/>
      <c r="G2394">
        <v>95910001</v>
      </c>
      <c r="H2394" t="s">
        <v>479</v>
      </c>
      <c r="I2394"/>
      <c r="J2394" t="s">
        <v>433</v>
      </c>
      <c r="K2394">
        <v>1</v>
      </c>
      <c r="L2394" t="s">
        <v>606</v>
      </c>
      <c r="M2394">
        <f t="shared" si="210"/>
        <v>312</v>
      </c>
      <c r="O2394" s="67">
        <f t="shared" si="207"/>
        <v>0.00263767478822515</v>
      </c>
      <c r="P2394" s="67">
        <v>11000</v>
      </c>
    </row>
    <row r="2395" spans="1:16">
      <c r="A2395" s="71">
        <v>2393</v>
      </c>
      <c r="B2395">
        <v>12000</v>
      </c>
      <c r="C2395">
        <v>1</v>
      </c>
      <c r="D2395">
        <f t="shared" si="211"/>
        <v>12168</v>
      </c>
      <c r="E2395">
        <f t="shared" si="212"/>
        <v>12480</v>
      </c>
      <c r="F2395"/>
      <c r="G2395">
        <v>95910002</v>
      </c>
      <c r="H2395" t="s">
        <v>480</v>
      </c>
      <c r="I2395"/>
      <c r="J2395" t="s">
        <v>433</v>
      </c>
      <c r="K2395">
        <v>1</v>
      </c>
      <c r="L2395" t="s">
        <v>606</v>
      </c>
      <c r="M2395">
        <f t="shared" si="210"/>
        <v>312</v>
      </c>
      <c r="O2395" s="67">
        <f t="shared" si="207"/>
        <v>0.00263767478822515</v>
      </c>
      <c r="P2395" s="67">
        <v>11000</v>
      </c>
    </row>
    <row r="2396" spans="1:16">
      <c r="A2396" s="71">
        <v>2394</v>
      </c>
      <c r="B2396">
        <v>12000</v>
      </c>
      <c r="C2396">
        <v>1</v>
      </c>
      <c r="D2396">
        <f t="shared" si="211"/>
        <v>12480</v>
      </c>
      <c r="E2396">
        <f t="shared" si="212"/>
        <v>12792</v>
      </c>
      <c r="F2396"/>
      <c r="G2396">
        <v>95911001</v>
      </c>
      <c r="H2396" t="s">
        <v>481</v>
      </c>
      <c r="I2396"/>
      <c r="J2396" t="s">
        <v>433</v>
      </c>
      <c r="K2396">
        <v>1</v>
      </c>
      <c r="L2396" t="s">
        <v>606</v>
      </c>
      <c r="M2396">
        <f t="shared" si="210"/>
        <v>312</v>
      </c>
      <c r="O2396" s="67">
        <f t="shared" si="207"/>
        <v>0.00263767478822515</v>
      </c>
      <c r="P2396" s="67">
        <v>11000</v>
      </c>
    </row>
    <row r="2397" spans="1:16">
      <c r="A2397" s="71">
        <v>2395</v>
      </c>
      <c r="B2397">
        <v>12000</v>
      </c>
      <c r="C2397">
        <v>1</v>
      </c>
      <c r="D2397">
        <f t="shared" si="211"/>
        <v>12792</v>
      </c>
      <c r="E2397">
        <f t="shared" si="212"/>
        <v>13104</v>
      </c>
      <c r="F2397"/>
      <c r="G2397">
        <v>95911002</v>
      </c>
      <c r="H2397" t="s">
        <v>482</v>
      </c>
      <c r="I2397"/>
      <c r="J2397" t="s">
        <v>433</v>
      </c>
      <c r="K2397">
        <v>1</v>
      </c>
      <c r="L2397" t="s">
        <v>606</v>
      </c>
      <c r="M2397">
        <f t="shared" si="210"/>
        <v>312</v>
      </c>
      <c r="O2397" s="67">
        <f t="shared" si="207"/>
        <v>0.00263767478822515</v>
      </c>
      <c r="P2397" s="67">
        <v>11000</v>
      </c>
    </row>
    <row r="2398" spans="1:16">
      <c r="A2398" s="71">
        <v>2396</v>
      </c>
      <c r="B2398">
        <v>12000</v>
      </c>
      <c r="C2398">
        <v>1</v>
      </c>
      <c r="D2398">
        <f t="shared" si="211"/>
        <v>13104</v>
      </c>
      <c r="E2398">
        <f t="shared" si="212"/>
        <v>13416</v>
      </c>
      <c r="F2398"/>
      <c r="G2398">
        <v>95912001</v>
      </c>
      <c r="H2398" t="s">
        <v>483</v>
      </c>
      <c r="I2398"/>
      <c r="J2398" t="s">
        <v>433</v>
      </c>
      <c r="K2398">
        <v>1</v>
      </c>
      <c r="L2398" t="s">
        <v>606</v>
      </c>
      <c r="M2398">
        <f t="shared" si="210"/>
        <v>312</v>
      </c>
      <c r="O2398" s="67">
        <f t="shared" si="207"/>
        <v>0.00263767478822515</v>
      </c>
      <c r="P2398" s="67">
        <v>11000</v>
      </c>
    </row>
    <row r="2399" spans="1:16">
      <c r="A2399" s="71">
        <v>2397</v>
      </c>
      <c r="B2399">
        <v>12000</v>
      </c>
      <c r="C2399">
        <v>1</v>
      </c>
      <c r="D2399">
        <f t="shared" si="211"/>
        <v>13416</v>
      </c>
      <c r="E2399">
        <f t="shared" si="212"/>
        <v>13728</v>
      </c>
      <c r="F2399"/>
      <c r="G2399">
        <v>95912002</v>
      </c>
      <c r="H2399" t="s">
        <v>484</v>
      </c>
      <c r="I2399"/>
      <c r="J2399" t="s">
        <v>433</v>
      </c>
      <c r="K2399">
        <v>1</v>
      </c>
      <c r="L2399" t="s">
        <v>606</v>
      </c>
      <c r="M2399">
        <f t="shared" si="210"/>
        <v>312</v>
      </c>
      <c r="O2399" s="67">
        <f t="shared" si="207"/>
        <v>0.00263767478822515</v>
      </c>
      <c r="P2399" s="67">
        <v>11000</v>
      </c>
    </row>
    <row r="2400" spans="1:16">
      <c r="A2400" s="71">
        <v>2398</v>
      </c>
      <c r="B2400">
        <v>12000</v>
      </c>
      <c r="C2400">
        <v>1</v>
      </c>
      <c r="D2400">
        <f t="shared" si="211"/>
        <v>13728</v>
      </c>
      <c r="E2400">
        <f t="shared" si="212"/>
        <v>14040</v>
      </c>
      <c r="F2400"/>
      <c r="G2400">
        <v>95914001</v>
      </c>
      <c r="H2400" t="s">
        <v>485</v>
      </c>
      <c r="I2400"/>
      <c r="J2400" t="s">
        <v>433</v>
      </c>
      <c r="K2400">
        <v>1</v>
      </c>
      <c r="L2400" t="s">
        <v>606</v>
      </c>
      <c r="M2400">
        <f t="shared" si="210"/>
        <v>312</v>
      </c>
      <c r="O2400" s="67">
        <f t="shared" si="207"/>
        <v>0.00263767478822515</v>
      </c>
      <c r="P2400" s="67">
        <v>11000</v>
      </c>
    </row>
    <row r="2401" spans="1:16">
      <c r="A2401" s="71">
        <v>2399</v>
      </c>
      <c r="B2401">
        <v>12000</v>
      </c>
      <c r="C2401">
        <v>1</v>
      </c>
      <c r="D2401">
        <f t="shared" si="211"/>
        <v>14040</v>
      </c>
      <c r="E2401">
        <f t="shared" si="212"/>
        <v>14352</v>
      </c>
      <c r="F2401"/>
      <c r="G2401">
        <v>95914002</v>
      </c>
      <c r="H2401" t="s">
        <v>486</v>
      </c>
      <c r="I2401"/>
      <c r="J2401" t="s">
        <v>433</v>
      </c>
      <c r="K2401">
        <v>1</v>
      </c>
      <c r="L2401" t="s">
        <v>606</v>
      </c>
      <c r="M2401">
        <f t="shared" si="210"/>
        <v>312</v>
      </c>
      <c r="O2401" s="67">
        <f t="shared" si="207"/>
        <v>0.00263767478822515</v>
      </c>
      <c r="P2401" s="67">
        <v>11000</v>
      </c>
    </row>
    <row r="2402" spans="1:16">
      <c r="A2402" s="71">
        <v>2400</v>
      </c>
      <c r="B2402">
        <v>12000</v>
      </c>
      <c r="C2402">
        <v>1</v>
      </c>
      <c r="D2402">
        <f t="shared" si="211"/>
        <v>14352</v>
      </c>
      <c r="E2402">
        <f t="shared" si="212"/>
        <v>14664</v>
      </c>
      <c r="F2402"/>
      <c r="G2402">
        <v>95915001</v>
      </c>
      <c r="H2402" t="s">
        <v>487</v>
      </c>
      <c r="I2402"/>
      <c r="J2402" t="s">
        <v>433</v>
      </c>
      <c r="K2402">
        <v>1</v>
      </c>
      <c r="L2402" t="s">
        <v>606</v>
      </c>
      <c r="M2402">
        <f t="shared" si="210"/>
        <v>312</v>
      </c>
      <c r="O2402" s="67">
        <f t="shared" si="207"/>
        <v>0.00263767478822515</v>
      </c>
      <c r="P2402" s="67">
        <v>11000</v>
      </c>
    </row>
    <row r="2403" spans="1:16">
      <c r="A2403" s="71">
        <v>2401</v>
      </c>
      <c r="B2403">
        <v>12000</v>
      </c>
      <c r="C2403">
        <v>1</v>
      </c>
      <c r="D2403">
        <f t="shared" si="211"/>
        <v>14664</v>
      </c>
      <c r="E2403">
        <f t="shared" si="212"/>
        <v>14976</v>
      </c>
      <c r="F2403"/>
      <c r="G2403">
        <v>95915002</v>
      </c>
      <c r="H2403" t="s">
        <v>488</v>
      </c>
      <c r="I2403"/>
      <c r="J2403" t="s">
        <v>433</v>
      </c>
      <c r="K2403">
        <v>1</v>
      </c>
      <c r="L2403" t="s">
        <v>606</v>
      </c>
      <c r="M2403">
        <f t="shared" si="210"/>
        <v>312</v>
      </c>
      <c r="O2403" s="67">
        <f t="shared" si="207"/>
        <v>0.00263767478822515</v>
      </c>
      <c r="P2403" s="67">
        <v>11000</v>
      </c>
    </row>
    <row r="2404" spans="1:16">
      <c r="A2404" s="71">
        <v>2402</v>
      </c>
      <c r="B2404">
        <v>12000</v>
      </c>
      <c r="C2404">
        <v>6</v>
      </c>
      <c r="D2404">
        <f t="shared" si="211"/>
        <v>14976</v>
      </c>
      <c r="E2404">
        <f t="shared" si="212"/>
        <v>15226</v>
      </c>
      <c r="F2404"/>
      <c r="G2404">
        <v>95101018</v>
      </c>
      <c r="H2404" t="s">
        <v>489</v>
      </c>
      <c r="I2404"/>
      <c r="J2404" t="s">
        <v>200</v>
      </c>
      <c r="K2404">
        <v>1</v>
      </c>
      <c r="L2404" t="s">
        <v>606</v>
      </c>
      <c r="M2404">
        <f t="shared" si="210"/>
        <v>250</v>
      </c>
      <c r="O2404" s="67">
        <f t="shared" si="207"/>
        <v>0.002113521464924</v>
      </c>
      <c r="P2404" s="67">
        <v>11000</v>
      </c>
    </row>
    <row r="2405" spans="1:16">
      <c r="A2405" s="71">
        <v>2403</v>
      </c>
      <c r="B2405">
        <v>12000</v>
      </c>
      <c r="C2405">
        <v>6</v>
      </c>
      <c r="D2405">
        <f t="shared" si="211"/>
        <v>15226</v>
      </c>
      <c r="E2405">
        <f t="shared" si="212"/>
        <v>15476</v>
      </c>
      <c r="F2405"/>
      <c r="G2405">
        <v>95101028</v>
      </c>
      <c r="H2405" t="s">
        <v>490</v>
      </c>
      <c r="I2405"/>
      <c r="J2405" t="s">
        <v>200</v>
      </c>
      <c r="K2405">
        <v>1</v>
      </c>
      <c r="L2405" t="s">
        <v>606</v>
      </c>
      <c r="M2405">
        <f t="shared" si="210"/>
        <v>250</v>
      </c>
      <c r="N2405"/>
      <c r="O2405">
        <f t="shared" si="207"/>
        <v>0.002113521464924</v>
      </c>
      <c r="P2405">
        <v>11000</v>
      </c>
    </row>
    <row r="2406" spans="1:16">
      <c r="A2406" s="71">
        <v>2404</v>
      </c>
      <c r="B2406">
        <v>12000</v>
      </c>
      <c r="C2406">
        <v>6</v>
      </c>
      <c r="D2406">
        <f t="shared" si="211"/>
        <v>15476</v>
      </c>
      <c r="E2406">
        <f t="shared" si="212"/>
        <v>15726</v>
      </c>
      <c r="F2406"/>
      <c r="G2406">
        <v>95102018</v>
      </c>
      <c r="H2406" t="s">
        <v>491</v>
      </c>
      <c r="I2406"/>
      <c r="J2406" t="s">
        <v>200</v>
      </c>
      <c r="K2406">
        <v>1</v>
      </c>
      <c r="L2406" t="s">
        <v>606</v>
      </c>
      <c r="M2406">
        <f t="shared" si="210"/>
        <v>250</v>
      </c>
      <c r="N2406"/>
      <c r="O2406">
        <f t="shared" si="207"/>
        <v>0.002113521464924</v>
      </c>
      <c r="P2406">
        <v>11000</v>
      </c>
    </row>
    <row r="2407" spans="1:16">
      <c r="A2407" s="71">
        <v>2405</v>
      </c>
      <c r="B2407">
        <v>12000</v>
      </c>
      <c r="C2407">
        <v>6</v>
      </c>
      <c r="D2407">
        <f t="shared" si="211"/>
        <v>15726</v>
      </c>
      <c r="E2407">
        <f t="shared" si="212"/>
        <v>15976</v>
      </c>
      <c r="F2407"/>
      <c r="G2407">
        <v>95102028</v>
      </c>
      <c r="H2407" t="s">
        <v>492</v>
      </c>
      <c r="I2407"/>
      <c r="J2407" t="s">
        <v>200</v>
      </c>
      <c r="K2407">
        <v>1</v>
      </c>
      <c r="L2407" t="s">
        <v>606</v>
      </c>
      <c r="M2407">
        <f t="shared" si="210"/>
        <v>250</v>
      </c>
      <c r="N2407"/>
      <c r="O2407">
        <f t="shared" si="207"/>
        <v>0.002113521464924</v>
      </c>
      <c r="P2407">
        <v>11000</v>
      </c>
    </row>
    <row r="2408" spans="1:16">
      <c r="A2408" s="71">
        <v>2406</v>
      </c>
      <c r="B2408">
        <v>12000</v>
      </c>
      <c r="C2408">
        <v>6</v>
      </c>
      <c r="D2408">
        <f t="shared" si="211"/>
        <v>15976</v>
      </c>
      <c r="E2408">
        <f t="shared" si="212"/>
        <v>16226</v>
      </c>
      <c r="F2408"/>
      <c r="G2408">
        <v>95103018</v>
      </c>
      <c r="H2408" t="s">
        <v>493</v>
      </c>
      <c r="I2408"/>
      <c r="J2408" t="s">
        <v>200</v>
      </c>
      <c r="K2408">
        <v>1</v>
      </c>
      <c r="L2408" t="s">
        <v>606</v>
      </c>
      <c r="M2408">
        <f t="shared" si="210"/>
        <v>250</v>
      </c>
      <c r="N2408"/>
      <c r="O2408">
        <f t="shared" si="207"/>
        <v>0.002113521464924</v>
      </c>
      <c r="P2408">
        <v>11000</v>
      </c>
    </row>
    <row r="2409" spans="1:16">
      <c r="A2409" s="71">
        <v>2407</v>
      </c>
      <c r="B2409">
        <v>12000</v>
      </c>
      <c r="C2409">
        <v>6</v>
      </c>
      <c r="D2409">
        <f t="shared" si="211"/>
        <v>16226</v>
      </c>
      <c r="E2409">
        <f t="shared" si="212"/>
        <v>16476</v>
      </c>
      <c r="F2409"/>
      <c r="G2409">
        <v>95104018</v>
      </c>
      <c r="H2409" t="s">
        <v>494</v>
      </c>
      <c r="I2409"/>
      <c r="J2409" t="s">
        <v>200</v>
      </c>
      <c r="K2409">
        <v>1</v>
      </c>
      <c r="L2409" t="s">
        <v>606</v>
      </c>
      <c r="M2409">
        <f t="shared" si="210"/>
        <v>250</v>
      </c>
      <c r="N2409"/>
      <c r="O2409">
        <f t="shared" si="207"/>
        <v>0.002113521464924</v>
      </c>
      <c r="P2409">
        <v>11000</v>
      </c>
    </row>
    <row r="2410" spans="1:16">
      <c r="A2410" s="71">
        <v>2408</v>
      </c>
      <c r="B2410">
        <v>12000</v>
      </c>
      <c r="C2410">
        <v>6</v>
      </c>
      <c r="D2410">
        <f t="shared" si="211"/>
        <v>16476</v>
      </c>
      <c r="E2410">
        <f t="shared" si="212"/>
        <v>16726</v>
      </c>
      <c r="F2410"/>
      <c r="G2410">
        <v>95104028</v>
      </c>
      <c r="H2410" t="s">
        <v>495</v>
      </c>
      <c r="I2410"/>
      <c r="J2410" t="s">
        <v>200</v>
      </c>
      <c r="K2410">
        <v>1</v>
      </c>
      <c r="L2410" t="s">
        <v>606</v>
      </c>
      <c r="M2410">
        <f t="shared" si="210"/>
        <v>250</v>
      </c>
      <c r="N2410"/>
      <c r="O2410">
        <f t="shared" si="207"/>
        <v>0.002113521464924</v>
      </c>
      <c r="P2410">
        <v>11000</v>
      </c>
    </row>
    <row r="2411" spans="1:16">
      <c r="A2411" s="71">
        <v>2409</v>
      </c>
      <c r="B2411">
        <v>12000</v>
      </c>
      <c r="C2411">
        <v>6</v>
      </c>
      <c r="D2411">
        <f t="shared" si="211"/>
        <v>16726</v>
      </c>
      <c r="E2411">
        <f t="shared" si="212"/>
        <v>16976</v>
      </c>
      <c r="F2411"/>
      <c r="G2411">
        <v>95104038</v>
      </c>
      <c r="H2411" t="s">
        <v>496</v>
      </c>
      <c r="I2411"/>
      <c r="J2411" t="s">
        <v>200</v>
      </c>
      <c r="K2411">
        <v>1</v>
      </c>
      <c r="L2411" t="s">
        <v>606</v>
      </c>
      <c r="M2411">
        <f t="shared" si="210"/>
        <v>250</v>
      </c>
      <c r="N2411"/>
      <c r="O2411">
        <f t="shared" si="207"/>
        <v>0.002113521464924</v>
      </c>
      <c r="P2411">
        <v>11000</v>
      </c>
    </row>
    <row r="2412" spans="1:16">
      <c r="A2412" s="71">
        <v>2410</v>
      </c>
      <c r="B2412">
        <v>12000</v>
      </c>
      <c r="C2412">
        <v>6</v>
      </c>
      <c r="D2412">
        <f t="shared" si="211"/>
        <v>16976</v>
      </c>
      <c r="E2412">
        <f t="shared" si="212"/>
        <v>17226</v>
      </c>
      <c r="F2412"/>
      <c r="G2412">
        <v>95106018</v>
      </c>
      <c r="H2412" t="s">
        <v>497</v>
      </c>
      <c r="I2412"/>
      <c r="J2412" t="s">
        <v>200</v>
      </c>
      <c r="K2412">
        <v>1</v>
      </c>
      <c r="L2412" t="s">
        <v>606</v>
      </c>
      <c r="M2412">
        <f t="shared" si="210"/>
        <v>250</v>
      </c>
      <c r="N2412"/>
      <c r="O2412">
        <f t="shared" si="207"/>
        <v>0.002113521464924</v>
      </c>
      <c r="P2412">
        <v>11000</v>
      </c>
    </row>
    <row r="2413" spans="1:16">
      <c r="A2413" s="71">
        <v>2411</v>
      </c>
      <c r="B2413">
        <v>12000</v>
      </c>
      <c r="C2413">
        <v>6</v>
      </c>
      <c r="D2413">
        <f t="shared" si="211"/>
        <v>17226</v>
      </c>
      <c r="E2413">
        <f t="shared" si="212"/>
        <v>17476</v>
      </c>
      <c r="F2413"/>
      <c r="G2413">
        <v>95109018</v>
      </c>
      <c r="H2413" t="s">
        <v>498</v>
      </c>
      <c r="I2413"/>
      <c r="J2413" t="s">
        <v>200</v>
      </c>
      <c r="K2413">
        <v>1</v>
      </c>
      <c r="L2413" t="s">
        <v>606</v>
      </c>
      <c r="M2413">
        <f t="shared" si="210"/>
        <v>250</v>
      </c>
      <c r="N2413"/>
      <c r="O2413">
        <f t="shared" si="207"/>
        <v>0.002113521464924</v>
      </c>
      <c r="P2413">
        <v>11000</v>
      </c>
    </row>
    <row r="2414" spans="1:16">
      <c r="A2414" s="71">
        <v>2412</v>
      </c>
      <c r="B2414">
        <v>12000</v>
      </c>
      <c r="C2414">
        <v>6</v>
      </c>
      <c r="D2414">
        <f t="shared" si="211"/>
        <v>17476</v>
      </c>
      <c r="E2414">
        <f t="shared" si="212"/>
        <v>17726</v>
      </c>
      <c r="F2414"/>
      <c r="G2414">
        <v>95110018</v>
      </c>
      <c r="H2414" t="s">
        <v>499</v>
      </c>
      <c r="I2414"/>
      <c r="J2414" t="s">
        <v>200</v>
      </c>
      <c r="K2414">
        <v>1</v>
      </c>
      <c r="L2414" t="s">
        <v>606</v>
      </c>
      <c r="M2414">
        <f t="shared" si="210"/>
        <v>250</v>
      </c>
      <c r="N2414"/>
      <c r="O2414">
        <f t="shared" si="207"/>
        <v>0.002113521464924</v>
      </c>
      <c r="P2414">
        <v>11000</v>
      </c>
    </row>
    <row r="2415" spans="1:16">
      <c r="A2415" s="71">
        <v>2413</v>
      </c>
      <c r="B2415">
        <v>12000</v>
      </c>
      <c r="C2415">
        <v>6</v>
      </c>
      <c r="D2415">
        <f t="shared" si="211"/>
        <v>17726</v>
      </c>
      <c r="E2415">
        <f t="shared" si="212"/>
        <v>17976</v>
      </c>
      <c r="F2415"/>
      <c r="G2415">
        <v>95111018</v>
      </c>
      <c r="H2415" t="s">
        <v>500</v>
      </c>
      <c r="I2415"/>
      <c r="J2415" t="s">
        <v>200</v>
      </c>
      <c r="K2415">
        <v>1</v>
      </c>
      <c r="L2415" t="s">
        <v>606</v>
      </c>
      <c r="M2415">
        <f t="shared" si="210"/>
        <v>250</v>
      </c>
      <c r="N2415"/>
      <c r="O2415">
        <f t="shared" si="207"/>
        <v>0.002113521464924</v>
      </c>
      <c r="P2415">
        <v>11000</v>
      </c>
    </row>
    <row r="2416" spans="1:16">
      <c r="A2416" s="71">
        <v>2414</v>
      </c>
      <c r="B2416">
        <v>12000</v>
      </c>
      <c r="C2416">
        <v>6</v>
      </c>
      <c r="D2416">
        <f t="shared" si="211"/>
        <v>17976</v>
      </c>
      <c r="E2416">
        <f t="shared" si="212"/>
        <v>18226</v>
      </c>
      <c r="F2416"/>
      <c r="G2416">
        <v>95120018</v>
      </c>
      <c r="H2416" t="s">
        <v>501</v>
      </c>
      <c r="I2416"/>
      <c r="J2416" t="s">
        <v>200</v>
      </c>
      <c r="K2416">
        <v>1</v>
      </c>
      <c r="L2416" t="s">
        <v>606</v>
      </c>
      <c r="M2416">
        <f t="shared" si="210"/>
        <v>250</v>
      </c>
      <c r="N2416"/>
      <c r="O2416">
        <f t="shared" si="207"/>
        <v>0.002113521464924</v>
      </c>
      <c r="P2416">
        <v>11000</v>
      </c>
    </row>
    <row r="2417" spans="1:16">
      <c r="A2417" s="71">
        <v>2415</v>
      </c>
      <c r="B2417">
        <v>12000</v>
      </c>
      <c r="C2417">
        <v>6</v>
      </c>
      <c r="D2417">
        <f t="shared" si="211"/>
        <v>18226</v>
      </c>
      <c r="E2417">
        <f t="shared" si="212"/>
        <v>18476</v>
      </c>
      <c r="F2417"/>
      <c r="G2417">
        <v>95140018</v>
      </c>
      <c r="H2417" t="s">
        <v>502</v>
      </c>
      <c r="I2417"/>
      <c r="J2417" t="s">
        <v>200</v>
      </c>
      <c r="K2417">
        <v>1</v>
      </c>
      <c r="L2417" t="s">
        <v>606</v>
      </c>
      <c r="M2417">
        <f t="shared" si="210"/>
        <v>250</v>
      </c>
      <c r="N2417"/>
      <c r="O2417">
        <f t="shared" si="207"/>
        <v>0.002113521464924</v>
      </c>
      <c r="P2417">
        <v>11000</v>
      </c>
    </row>
    <row r="2418" spans="1:16">
      <c r="A2418" s="71">
        <v>2416</v>
      </c>
      <c r="B2418" s="84">
        <v>12000</v>
      </c>
      <c r="C2418" s="84">
        <v>6</v>
      </c>
      <c r="D2418" s="84">
        <f t="shared" si="211"/>
        <v>18476</v>
      </c>
      <c r="E2418" s="84">
        <f t="shared" si="212"/>
        <v>18726</v>
      </c>
      <c r="F2418" s="84"/>
      <c r="G2418" s="84">
        <v>95105028</v>
      </c>
      <c r="H2418" s="84" t="s">
        <v>503</v>
      </c>
      <c r="I2418" s="84"/>
      <c r="J2418" s="84" t="s">
        <v>200</v>
      </c>
      <c r="K2418" s="84">
        <v>1</v>
      </c>
      <c r="L2418" s="84" t="s">
        <v>606</v>
      </c>
      <c r="M2418" s="84">
        <f t="shared" si="210"/>
        <v>250</v>
      </c>
      <c r="N2418" s="84"/>
      <c r="O2418" s="84">
        <f t="shared" si="207"/>
        <v>0.002113521464924</v>
      </c>
      <c r="P2418" s="84">
        <v>11000</v>
      </c>
    </row>
    <row r="2419" spans="1:16">
      <c r="A2419" s="71">
        <v>2417</v>
      </c>
      <c r="B2419" s="84">
        <v>12000</v>
      </c>
      <c r="C2419" s="84">
        <v>6</v>
      </c>
      <c r="D2419" s="84">
        <f t="shared" si="211"/>
        <v>18726</v>
      </c>
      <c r="E2419" s="84">
        <f t="shared" si="212"/>
        <v>18976</v>
      </c>
      <c r="F2419" s="84"/>
      <c r="G2419" s="84">
        <v>95109028</v>
      </c>
      <c r="H2419" s="84" t="s">
        <v>504</v>
      </c>
      <c r="I2419" s="84"/>
      <c r="J2419" s="84" t="s">
        <v>200</v>
      </c>
      <c r="K2419" s="84">
        <v>1</v>
      </c>
      <c r="L2419" s="84" t="s">
        <v>606</v>
      </c>
      <c r="M2419" s="84">
        <f t="shared" si="210"/>
        <v>250</v>
      </c>
      <c r="N2419" s="84"/>
      <c r="O2419" s="84">
        <f t="shared" si="207"/>
        <v>0.002113521464924</v>
      </c>
      <c r="P2419" s="84">
        <v>11000</v>
      </c>
    </row>
    <row r="2420" spans="1:16">
      <c r="A2420" s="71">
        <v>2418</v>
      </c>
      <c r="B2420" s="84">
        <v>12000</v>
      </c>
      <c r="C2420" s="84">
        <v>6</v>
      </c>
      <c r="D2420" s="84">
        <f t="shared" si="211"/>
        <v>18976</v>
      </c>
      <c r="E2420" s="84">
        <f t="shared" si="212"/>
        <v>19226</v>
      </c>
      <c r="F2420" s="84"/>
      <c r="G2420" s="84">
        <v>95110028</v>
      </c>
      <c r="H2420" s="84" t="s">
        <v>505</v>
      </c>
      <c r="I2420" s="84"/>
      <c r="J2420" s="84" t="s">
        <v>200</v>
      </c>
      <c r="K2420" s="84">
        <v>1</v>
      </c>
      <c r="L2420" s="84" t="s">
        <v>606</v>
      </c>
      <c r="M2420" s="84">
        <f t="shared" ref="M2420:M2451" si="213">ROUNDDOWN(VLOOKUP(J2420,$T$2364:$W$2370,4,0)*1000,0)</f>
        <v>250</v>
      </c>
      <c r="N2420" s="84"/>
      <c r="O2420" s="84">
        <f t="shared" ref="O2420:O2483" si="214">(E2420-D2420)/$E$2560</f>
        <v>0.002113521464924</v>
      </c>
      <c r="P2420" s="84">
        <v>11000</v>
      </c>
    </row>
    <row r="2421" spans="1:16">
      <c r="A2421" s="71">
        <v>2419</v>
      </c>
      <c r="B2421" s="84">
        <v>12000</v>
      </c>
      <c r="C2421" s="84">
        <v>6</v>
      </c>
      <c r="D2421" s="84">
        <f t="shared" ref="D2421:D2452" si="215">E2420</f>
        <v>19226</v>
      </c>
      <c r="E2421" s="84">
        <f t="shared" ref="E2421:E2452" si="216">D2421+M2421</f>
        <v>19476</v>
      </c>
      <c r="F2421" s="84"/>
      <c r="G2421" s="84">
        <v>95150028</v>
      </c>
      <c r="H2421" s="84" t="s">
        <v>506</v>
      </c>
      <c r="I2421" s="84"/>
      <c r="J2421" s="84" t="s">
        <v>200</v>
      </c>
      <c r="K2421" s="84">
        <v>1</v>
      </c>
      <c r="L2421" s="84" t="s">
        <v>606</v>
      </c>
      <c r="M2421" s="84">
        <f t="shared" si="213"/>
        <v>250</v>
      </c>
      <c r="N2421" s="84"/>
      <c r="O2421" s="84">
        <f t="shared" si="214"/>
        <v>0.002113521464924</v>
      </c>
      <c r="P2421" s="84">
        <v>11000</v>
      </c>
    </row>
    <row r="2422" spans="1:16">
      <c r="A2422" s="71">
        <v>2420</v>
      </c>
      <c r="B2422">
        <v>12000</v>
      </c>
      <c r="C2422">
        <v>6</v>
      </c>
      <c r="D2422">
        <f t="shared" si="215"/>
        <v>19476</v>
      </c>
      <c r="E2422">
        <f t="shared" si="216"/>
        <v>19726</v>
      </c>
      <c r="F2422"/>
      <c r="G2422">
        <v>95201038</v>
      </c>
      <c r="H2422" t="s">
        <v>507</v>
      </c>
      <c r="I2422"/>
      <c r="J2422" t="s">
        <v>200</v>
      </c>
      <c r="K2422">
        <v>1</v>
      </c>
      <c r="L2422" t="s">
        <v>606</v>
      </c>
      <c r="M2422">
        <f t="shared" si="213"/>
        <v>250</v>
      </c>
      <c r="N2422"/>
      <c r="O2422">
        <f t="shared" si="214"/>
        <v>0.002113521464924</v>
      </c>
      <c r="P2422">
        <v>11000</v>
      </c>
    </row>
    <row r="2423" spans="1:16">
      <c r="A2423" s="71">
        <v>2421</v>
      </c>
      <c r="B2423">
        <v>12000</v>
      </c>
      <c r="C2423">
        <v>6</v>
      </c>
      <c r="D2423">
        <f t="shared" si="215"/>
        <v>19726</v>
      </c>
      <c r="E2423">
        <f t="shared" si="216"/>
        <v>19976</v>
      </c>
      <c r="F2423"/>
      <c r="G2423">
        <v>95201118</v>
      </c>
      <c r="H2423" t="s">
        <v>508</v>
      </c>
      <c r="I2423"/>
      <c r="J2423" t="s">
        <v>200</v>
      </c>
      <c r="K2423">
        <v>1</v>
      </c>
      <c r="L2423" t="s">
        <v>606</v>
      </c>
      <c r="M2423">
        <f t="shared" si="213"/>
        <v>250</v>
      </c>
      <c r="N2423"/>
      <c r="O2423">
        <f t="shared" si="214"/>
        <v>0.002113521464924</v>
      </c>
      <c r="P2423">
        <v>11000</v>
      </c>
    </row>
    <row r="2424" spans="1:16">
      <c r="A2424" s="71">
        <v>2422</v>
      </c>
      <c r="B2424">
        <v>12000</v>
      </c>
      <c r="C2424">
        <v>6</v>
      </c>
      <c r="D2424">
        <f t="shared" si="215"/>
        <v>19976</v>
      </c>
      <c r="E2424">
        <f t="shared" si="216"/>
        <v>20226</v>
      </c>
      <c r="F2424"/>
      <c r="G2424">
        <v>95201158</v>
      </c>
      <c r="H2424" t="s">
        <v>509</v>
      </c>
      <c r="I2424"/>
      <c r="J2424" t="s">
        <v>200</v>
      </c>
      <c r="K2424">
        <v>1</v>
      </c>
      <c r="L2424" t="s">
        <v>606</v>
      </c>
      <c r="M2424">
        <f t="shared" si="213"/>
        <v>250</v>
      </c>
      <c r="N2424"/>
      <c r="O2424">
        <f t="shared" si="214"/>
        <v>0.002113521464924</v>
      </c>
      <c r="P2424">
        <v>11000</v>
      </c>
    </row>
    <row r="2425" spans="1:16">
      <c r="A2425" s="71">
        <v>2423</v>
      </c>
      <c r="B2425">
        <v>12000</v>
      </c>
      <c r="C2425">
        <v>6</v>
      </c>
      <c r="D2425">
        <f t="shared" si="215"/>
        <v>20226</v>
      </c>
      <c r="E2425">
        <f t="shared" si="216"/>
        <v>20476</v>
      </c>
      <c r="F2425"/>
      <c r="G2425">
        <v>95201168</v>
      </c>
      <c r="H2425" t="s">
        <v>510</v>
      </c>
      <c r="I2425"/>
      <c r="J2425" t="s">
        <v>200</v>
      </c>
      <c r="K2425">
        <v>1</v>
      </c>
      <c r="L2425" t="s">
        <v>606</v>
      </c>
      <c r="M2425">
        <f t="shared" si="213"/>
        <v>250</v>
      </c>
      <c r="N2425"/>
      <c r="O2425">
        <f t="shared" si="214"/>
        <v>0.002113521464924</v>
      </c>
      <c r="P2425">
        <v>11000</v>
      </c>
    </row>
    <row r="2426" spans="1:16">
      <c r="A2426" s="71">
        <v>2424</v>
      </c>
      <c r="B2426">
        <v>12000</v>
      </c>
      <c r="C2426">
        <v>6</v>
      </c>
      <c r="D2426">
        <f t="shared" si="215"/>
        <v>20476</v>
      </c>
      <c r="E2426">
        <f t="shared" si="216"/>
        <v>20726</v>
      </c>
      <c r="F2426"/>
      <c r="G2426">
        <v>95201188</v>
      </c>
      <c r="H2426" t="s">
        <v>511</v>
      </c>
      <c r="I2426"/>
      <c r="J2426" t="s">
        <v>200</v>
      </c>
      <c r="K2426">
        <v>1</v>
      </c>
      <c r="L2426" t="s">
        <v>606</v>
      </c>
      <c r="M2426">
        <f t="shared" si="213"/>
        <v>250</v>
      </c>
      <c r="N2426"/>
      <c r="O2426">
        <f t="shared" si="214"/>
        <v>0.002113521464924</v>
      </c>
      <c r="P2426">
        <v>11000</v>
      </c>
    </row>
    <row r="2427" spans="1:16">
      <c r="A2427" s="71">
        <v>2425</v>
      </c>
      <c r="B2427">
        <v>12000</v>
      </c>
      <c r="C2427">
        <v>6</v>
      </c>
      <c r="D2427">
        <f t="shared" si="215"/>
        <v>20726</v>
      </c>
      <c r="E2427">
        <f t="shared" si="216"/>
        <v>20976</v>
      </c>
      <c r="F2427"/>
      <c r="G2427">
        <v>95301028</v>
      </c>
      <c r="H2427" t="s">
        <v>512</v>
      </c>
      <c r="I2427"/>
      <c r="J2427" t="s">
        <v>200</v>
      </c>
      <c r="K2427">
        <v>1</v>
      </c>
      <c r="L2427" t="s">
        <v>606</v>
      </c>
      <c r="M2427">
        <f t="shared" si="213"/>
        <v>250</v>
      </c>
      <c r="N2427"/>
      <c r="O2427">
        <f t="shared" si="214"/>
        <v>0.002113521464924</v>
      </c>
      <c r="P2427">
        <v>11000</v>
      </c>
    </row>
    <row r="2428" spans="1:16">
      <c r="A2428" s="71">
        <v>2426</v>
      </c>
      <c r="B2428">
        <v>12000</v>
      </c>
      <c r="C2428">
        <v>6</v>
      </c>
      <c r="D2428">
        <f t="shared" si="215"/>
        <v>20976</v>
      </c>
      <c r="E2428">
        <f t="shared" si="216"/>
        <v>21226</v>
      </c>
      <c r="F2428"/>
      <c r="G2428">
        <v>95301048</v>
      </c>
      <c r="H2428" t="s">
        <v>513</v>
      </c>
      <c r="I2428"/>
      <c r="J2428" t="s">
        <v>200</v>
      </c>
      <c r="K2428">
        <v>1</v>
      </c>
      <c r="L2428" t="s">
        <v>606</v>
      </c>
      <c r="M2428">
        <f t="shared" si="213"/>
        <v>250</v>
      </c>
      <c r="N2428"/>
      <c r="O2428">
        <f t="shared" si="214"/>
        <v>0.002113521464924</v>
      </c>
      <c r="P2428">
        <v>11000</v>
      </c>
    </row>
    <row r="2429" spans="1:16">
      <c r="A2429" s="71">
        <v>2427</v>
      </c>
      <c r="B2429">
        <v>12000</v>
      </c>
      <c r="C2429">
        <v>6</v>
      </c>
      <c r="D2429">
        <f t="shared" si="215"/>
        <v>21226</v>
      </c>
      <c r="E2429">
        <f t="shared" si="216"/>
        <v>21476</v>
      </c>
      <c r="F2429"/>
      <c r="G2429">
        <v>95301058</v>
      </c>
      <c r="H2429" t="s">
        <v>514</v>
      </c>
      <c r="I2429"/>
      <c r="J2429" t="s">
        <v>200</v>
      </c>
      <c r="K2429">
        <v>1</v>
      </c>
      <c r="L2429" t="s">
        <v>606</v>
      </c>
      <c r="M2429">
        <f t="shared" si="213"/>
        <v>250</v>
      </c>
      <c r="N2429"/>
      <c r="O2429">
        <f t="shared" si="214"/>
        <v>0.002113521464924</v>
      </c>
      <c r="P2429">
        <v>11000</v>
      </c>
    </row>
    <row r="2430" spans="1:16">
      <c r="A2430" s="71">
        <v>2428</v>
      </c>
      <c r="B2430">
        <v>12000</v>
      </c>
      <c r="C2430">
        <v>6</v>
      </c>
      <c r="D2430">
        <f t="shared" si="215"/>
        <v>21476</v>
      </c>
      <c r="E2430">
        <f t="shared" si="216"/>
        <v>21726</v>
      </c>
      <c r="F2430"/>
      <c r="G2430">
        <v>95301138</v>
      </c>
      <c r="H2430" t="s">
        <v>515</v>
      </c>
      <c r="I2430"/>
      <c r="J2430" t="s">
        <v>200</v>
      </c>
      <c r="K2430">
        <v>1</v>
      </c>
      <c r="L2430" t="s">
        <v>606</v>
      </c>
      <c r="M2430">
        <f t="shared" si="213"/>
        <v>250</v>
      </c>
      <c r="N2430"/>
      <c r="O2430">
        <f t="shared" si="214"/>
        <v>0.002113521464924</v>
      </c>
      <c r="P2430">
        <v>11000</v>
      </c>
    </row>
    <row r="2431" spans="1:16">
      <c r="A2431" s="71">
        <v>2429</v>
      </c>
      <c r="B2431">
        <v>12000</v>
      </c>
      <c r="C2431">
        <v>6</v>
      </c>
      <c r="D2431">
        <f t="shared" si="215"/>
        <v>21726</v>
      </c>
      <c r="E2431">
        <f t="shared" si="216"/>
        <v>21976</v>
      </c>
      <c r="F2431"/>
      <c r="G2431">
        <v>95301098</v>
      </c>
      <c r="H2431" t="s">
        <v>516</v>
      </c>
      <c r="I2431"/>
      <c r="J2431" t="s">
        <v>200</v>
      </c>
      <c r="K2431">
        <v>1</v>
      </c>
      <c r="L2431" t="s">
        <v>606</v>
      </c>
      <c r="M2431">
        <f t="shared" si="213"/>
        <v>250</v>
      </c>
      <c r="N2431"/>
      <c r="O2431">
        <f t="shared" si="214"/>
        <v>0.002113521464924</v>
      </c>
      <c r="P2431">
        <v>11000</v>
      </c>
    </row>
    <row r="2432" spans="1:16">
      <c r="A2432" s="71">
        <v>2430</v>
      </c>
      <c r="B2432">
        <v>12000</v>
      </c>
      <c r="C2432">
        <v>6</v>
      </c>
      <c r="D2432">
        <f t="shared" si="215"/>
        <v>21976</v>
      </c>
      <c r="E2432">
        <f t="shared" si="216"/>
        <v>22226</v>
      </c>
      <c r="F2432"/>
      <c r="G2432">
        <v>95301158</v>
      </c>
      <c r="H2432" t="s">
        <v>517</v>
      </c>
      <c r="I2432"/>
      <c r="J2432" t="s">
        <v>200</v>
      </c>
      <c r="K2432">
        <v>1</v>
      </c>
      <c r="L2432" t="s">
        <v>606</v>
      </c>
      <c r="M2432">
        <f t="shared" si="213"/>
        <v>250</v>
      </c>
      <c r="N2432"/>
      <c r="O2432">
        <f t="shared" si="214"/>
        <v>0.002113521464924</v>
      </c>
      <c r="P2432">
        <v>11000</v>
      </c>
    </row>
    <row r="2433" spans="1:16">
      <c r="A2433" s="71">
        <v>2431</v>
      </c>
      <c r="B2433">
        <v>12000</v>
      </c>
      <c r="C2433">
        <v>6</v>
      </c>
      <c r="D2433">
        <f t="shared" si="215"/>
        <v>22226</v>
      </c>
      <c r="E2433">
        <f t="shared" si="216"/>
        <v>22476</v>
      </c>
      <c r="F2433"/>
      <c r="G2433">
        <v>95301148</v>
      </c>
      <c r="H2433" t="s">
        <v>518</v>
      </c>
      <c r="I2433"/>
      <c r="J2433" t="s">
        <v>200</v>
      </c>
      <c r="K2433">
        <v>1</v>
      </c>
      <c r="L2433" t="s">
        <v>606</v>
      </c>
      <c r="M2433">
        <f t="shared" si="213"/>
        <v>250</v>
      </c>
      <c r="N2433"/>
      <c r="O2433">
        <f t="shared" si="214"/>
        <v>0.002113521464924</v>
      </c>
      <c r="P2433">
        <v>11000</v>
      </c>
    </row>
    <row r="2434" spans="1:16">
      <c r="A2434" s="71">
        <v>2432</v>
      </c>
      <c r="B2434">
        <v>12000</v>
      </c>
      <c r="C2434">
        <v>6</v>
      </c>
      <c r="D2434">
        <f t="shared" si="215"/>
        <v>22476</v>
      </c>
      <c r="E2434">
        <f t="shared" si="216"/>
        <v>22726</v>
      </c>
      <c r="F2434"/>
      <c r="G2434">
        <v>95101019</v>
      </c>
      <c r="H2434" t="s">
        <v>519</v>
      </c>
      <c r="I2434"/>
      <c r="J2434" t="s">
        <v>200</v>
      </c>
      <c r="K2434">
        <v>1</v>
      </c>
      <c r="L2434" t="s">
        <v>606</v>
      </c>
      <c r="M2434">
        <f t="shared" si="213"/>
        <v>250</v>
      </c>
      <c r="N2434"/>
      <c r="O2434">
        <f t="shared" si="214"/>
        <v>0.002113521464924</v>
      </c>
      <c r="P2434">
        <v>11000</v>
      </c>
    </row>
    <row r="2435" spans="1:16">
      <c r="A2435" s="71">
        <v>2433</v>
      </c>
      <c r="B2435">
        <v>12000</v>
      </c>
      <c r="C2435">
        <v>6</v>
      </c>
      <c r="D2435">
        <f t="shared" si="215"/>
        <v>22726</v>
      </c>
      <c r="E2435">
        <f t="shared" si="216"/>
        <v>22976</v>
      </c>
      <c r="F2435"/>
      <c r="G2435">
        <v>95101029</v>
      </c>
      <c r="H2435" t="s">
        <v>520</v>
      </c>
      <c r="I2435"/>
      <c r="J2435" t="s">
        <v>200</v>
      </c>
      <c r="K2435">
        <v>1</v>
      </c>
      <c r="L2435" t="s">
        <v>606</v>
      </c>
      <c r="M2435">
        <f t="shared" si="213"/>
        <v>250</v>
      </c>
      <c r="N2435"/>
      <c r="O2435">
        <f t="shared" si="214"/>
        <v>0.002113521464924</v>
      </c>
      <c r="P2435">
        <v>11000</v>
      </c>
    </row>
    <row r="2436" spans="1:16">
      <c r="A2436" s="71">
        <v>2434</v>
      </c>
      <c r="B2436">
        <v>12000</v>
      </c>
      <c r="C2436">
        <v>6</v>
      </c>
      <c r="D2436">
        <f t="shared" si="215"/>
        <v>22976</v>
      </c>
      <c r="E2436">
        <f t="shared" si="216"/>
        <v>23226</v>
      </c>
      <c r="F2436"/>
      <c r="G2436">
        <v>95102019</v>
      </c>
      <c r="H2436" t="s">
        <v>521</v>
      </c>
      <c r="I2436"/>
      <c r="J2436" t="s">
        <v>200</v>
      </c>
      <c r="K2436">
        <v>1</v>
      </c>
      <c r="L2436" t="s">
        <v>606</v>
      </c>
      <c r="M2436">
        <f t="shared" si="213"/>
        <v>250</v>
      </c>
      <c r="N2436"/>
      <c r="O2436">
        <f t="shared" si="214"/>
        <v>0.002113521464924</v>
      </c>
      <c r="P2436">
        <v>11000</v>
      </c>
    </row>
    <row r="2437" spans="1:16">
      <c r="A2437" s="71">
        <v>2435</v>
      </c>
      <c r="B2437">
        <v>12000</v>
      </c>
      <c r="C2437">
        <v>6</v>
      </c>
      <c r="D2437">
        <f t="shared" si="215"/>
        <v>23226</v>
      </c>
      <c r="E2437">
        <f t="shared" si="216"/>
        <v>23476</v>
      </c>
      <c r="F2437"/>
      <c r="G2437">
        <v>95102029</v>
      </c>
      <c r="H2437" t="s">
        <v>522</v>
      </c>
      <c r="I2437"/>
      <c r="J2437" t="s">
        <v>200</v>
      </c>
      <c r="K2437">
        <v>1</v>
      </c>
      <c r="L2437" t="s">
        <v>606</v>
      </c>
      <c r="M2437">
        <f t="shared" si="213"/>
        <v>250</v>
      </c>
      <c r="N2437"/>
      <c r="O2437">
        <f t="shared" si="214"/>
        <v>0.002113521464924</v>
      </c>
      <c r="P2437">
        <v>11000</v>
      </c>
    </row>
    <row r="2438" spans="1:16">
      <c r="A2438" s="71">
        <v>2436</v>
      </c>
      <c r="B2438">
        <v>12000</v>
      </c>
      <c r="C2438">
        <v>6</v>
      </c>
      <c r="D2438">
        <f t="shared" si="215"/>
        <v>23476</v>
      </c>
      <c r="E2438">
        <f t="shared" si="216"/>
        <v>23726</v>
      </c>
      <c r="F2438"/>
      <c r="G2438">
        <v>95103019</v>
      </c>
      <c r="H2438" t="s">
        <v>523</v>
      </c>
      <c r="I2438"/>
      <c r="J2438" t="s">
        <v>200</v>
      </c>
      <c r="K2438">
        <v>1</v>
      </c>
      <c r="L2438" t="s">
        <v>606</v>
      </c>
      <c r="M2438">
        <f t="shared" si="213"/>
        <v>250</v>
      </c>
      <c r="N2438"/>
      <c r="O2438">
        <f t="shared" si="214"/>
        <v>0.002113521464924</v>
      </c>
      <c r="P2438">
        <v>11000</v>
      </c>
    </row>
    <row r="2439" spans="1:16">
      <c r="A2439" s="71">
        <v>2437</v>
      </c>
      <c r="B2439">
        <v>12000</v>
      </c>
      <c r="C2439">
        <v>6</v>
      </c>
      <c r="D2439">
        <f t="shared" si="215"/>
        <v>23726</v>
      </c>
      <c r="E2439">
        <f t="shared" si="216"/>
        <v>23976</v>
      </c>
      <c r="F2439"/>
      <c r="G2439">
        <v>95104019</v>
      </c>
      <c r="H2439" t="s">
        <v>524</v>
      </c>
      <c r="I2439"/>
      <c r="J2439" t="s">
        <v>200</v>
      </c>
      <c r="K2439">
        <v>1</v>
      </c>
      <c r="L2439" t="s">
        <v>606</v>
      </c>
      <c r="M2439">
        <f t="shared" si="213"/>
        <v>250</v>
      </c>
      <c r="N2439"/>
      <c r="O2439">
        <f t="shared" si="214"/>
        <v>0.002113521464924</v>
      </c>
      <c r="P2439">
        <v>11000</v>
      </c>
    </row>
    <row r="2440" spans="1:16">
      <c r="A2440" s="71">
        <v>2438</v>
      </c>
      <c r="B2440">
        <v>12000</v>
      </c>
      <c r="C2440">
        <v>6</v>
      </c>
      <c r="D2440">
        <f t="shared" si="215"/>
        <v>23976</v>
      </c>
      <c r="E2440">
        <f t="shared" si="216"/>
        <v>24226</v>
      </c>
      <c r="F2440"/>
      <c r="G2440">
        <v>95104029</v>
      </c>
      <c r="H2440" t="s">
        <v>525</v>
      </c>
      <c r="I2440"/>
      <c r="J2440" t="s">
        <v>200</v>
      </c>
      <c r="K2440">
        <v>1</v>
      </c>
      <c r="L2440" t="s">
        <v>606</v>
      </c>
      <c r="M2440">
        <f t="shared" si="213"/>
        <v>250</v>
      </c>
      <c r="N2440"/>
      <c r="O2440">
        <f t="shared" si="214"/>
        <v>0.002113521464924</v>
      </c>
      <c r="P2440">
        <v>11000</v>
      </c>
    </row>
    <row r="2441" spans="1:16">
      <c r="A2441" s="71">
        <v>2439</v>
      </c>
      <c r="B2441">
        <v>12000</v>
      </c>
      <c r="C2441">
        <v>6</v>
      </c>
      <c r="D2441">
        <f t="shared" si="215"/>
        <v>24226</v>
      </c>
      <c r="E2441">
        <f t="shared" si="216"/>
        <v>24476</v>
      </c>
      <c r="F2441"/>
      <c r="G2441">
        <v>95104039</v>
      </c>
      <c r="H2441" t="s">
        <v>526</v>
      </c>
      <c r="I2441"/>
      <c r="J2441" t="s">
        <v>200</v>
      </c>
      <c r="K2441">
        <v>1</v>
      </c>
      <c r="L2441" t="s">
        <v>606</v>
      </c>
      <c r="M2441">
        <f t="shared" si="213"/>
        <v>250</v>
      </c>
      <c r="N2441"/>
      <c r="O2441">
        <f t="shared" si="214"/>
        <v>0.002113521464924</v>
      </c>
      <c r="P2441">
        <v>11000</v>
      </c>
    </row>
    <row r="2442" spans="1:16">
      <c r="A2442" s="71">
        <v>2440</v>
      </c>
      <c r="B2442">
        <v>12000</v>
      </c>
      <c r="C2442">
        <v>6</v>
      </c>
      <c r="D2442">
        <f t="shared" si="215"/>
        <v>24476</v>
      </c>
      <c r="E2442">
        <f t="shared" si="216"/>
        <v>24726</v>
      </c>
      <c r="F2442"/>
      <c r="G2442">
        <v>95106019</v>
      </c>
      <c r="H2442" t="s">
        <v>527</v>
      </c>
      <c r="I2442"/>
      <c r="J2442" t="s">
        <v>200</v>
      </c>
      <c r="K2442">
        <v>1</v>
      </c>
      <c r="L2442" t="s">
        <v>606</v>
      </c>
      <c r="M2442">
        <f t="shared" si="213"/>
        <v>250</v>
      </c>
      <c r="N2442"/>
      <c r="O2442">
        <f t="shared" si="214"/>
        <v>0.002113521464924</v>
      </c>
      <c r="P2442">
        <v>11000</v>
      </c>
    </row>
    <row r="2443" spans="1:16">
      <c r="A2443" s="71">
        <v>2441</v>
      </c>
      <c r="B2443">
        <v>12000</v>
      </c>
      <c r="C2443">
        <v>6</v>
      </c>
      <c r="D2443">
        <f t="shared" si="215"/>
        <v>24726</v>
      </c>
      <c r="E2443">
        <f t="shared" si="216"/>
        <v>24976</v>
      </c>
      <c r="F2443"/>
      <c r="G2443">
        <v>95109019</v>
      </c>
      <c r="H2443" t="s">
        <v>528</v>
      </c>
      <c r="I2443"/>
      <c r="J2443" t="s">
        <v>200</v>
      </c>
      <c r="K2443">
        <v>1</v>
      </c>
      <c r="L2443" t="s">
        <v>606</v>
      </c>
      <c r="M2443">
        <f t="shared" si="213"/>
        <v>250</v>
      </c>
      <c r="N2443"/>
      <c r="O2443">
        <f t="shared" si="214"/>
        <v>0.002113521464924</v>
      </c>
      <c r="P2443">
        <v>11000</v>
      </c>
    </row>
    <row r="2444" spans="1:16">
      <c r="A2444" s="71">
        <v>2442</v>
      </c>
      <c r="B2444">
        <v>12000</v>
      </c>
      <c r="C2444">
        <v>6</v>
      </c>
      <c r="D2444">
        <f t="shared" si="215"/>
        <v>24976</v>
      </c>
      <c r="E2444">
        <f t="shared" si="216"/>
        <v>25226</v>
      </c>
      <c r="F2444"/>
      <c r="G2444">
        <v>95110019</v>
      </c>
      <c r="H2444" t="s">
        <v>529</v>
      </c>
      <c r="I2444"/>
      <c r="J2444" t="s">
        <v>200</v>
      </c>
      <c r="K2444">
        <v>1</v>
      </c>
      <c r="L2444" t="s">
        <v>606</v>
      </c>
      <c r="M2444">
        <f t="shared" si="213"/>
        <v>250</v>
      </c>
      <c r="N2444"/>
      <c r="O2444">
        <f t="shared" si="214"/>
        <v>0.002113521464924</v>
      </c>
      <c r="P2444">
        <v>11000</v>
      </c>
    </row>
    <row r="2445" spans="1:16">
      <c r="A2445" s="71">
        <v>2443</v>
      </c>
      <c r="B2445">
        <v>12000</v>
      </c>
      <c r="C2445">
        <v>6</v>
      </c>
      <c r="D2445">
        <f t="shared" si="215"/>
        <v>25226</v>
      </c>
      <c r="E2445">
        <f t="shared" si="216"/>
        <v>25476</v>
      </c>
      <c r="F2445"/>
      <c r="G2445">
        <v>95111019</v>
      </c>
      <c r="H2445" t="s">
        <v>530</v>
      </c>
      <c r="I2445"/>
      <c r="J2445" t="s">
        <v>200</v>
      </c>
      <c r="K2445">
        <v>1</v>
      </c>
      <c r="L2445" t="s">
        <v>606</v>
      </c>
      <c r="M2445">
        <f t="shared" si="213"/>
        <v>250</v>
      </c>
      <c r="N2445"/>
      <c r="O2445">
        <f t="shared" si="214"/>
        <v>0.002113521464924</v>
      </c>
      <c r="P2445">
        <v>11000</v>
      </c>
    </row>
    <row r="2446" spans="1:16">
      <c r="A2446" s="71">
        <v>2444</v>
      </c>
      <c r="B2446">
        <v>12000</v>
      </c>
      <c r="C2446">
        <v>6</v>
      </c>
      <c r="D2446">
        <f t="shared" si="215"/>
        <v>25476</v>
      </c>
      <c r="E2446">
        <f t="shared" si="216"/>
        <v>25726</v>
      </c>
      <c r="F2446"/>
      <c r="G2446">
        <v>95120019</v>
      </c>
      <c r="H2446" t="s">
        <v>531</v>
      </c>
      <c r="I2446"/>
      <c r="J2446" t="s">
        <v>200</v>
      </c>
      <c r="K2446">
        <v>1</v>
      </c>
      <c r="L2446" t="s">
        <v>606</v>
      </c>
      <c r="M2446">
        <f t="shared" si="213"/>
        <v>250</v>
      </c>
      <c r="N2446"/>
      <c r="O2446">
        <f t="shared" si="214"/>
        <v>0.002113521464924</v>
      </c>
      <c r="P2446">
        <v>11000</v>
      </c>
    </row>
    <row r="2447" spans="1:16">
      <c r="A2447" s="71">
        <v>2445</v>
      </c>
      <c r="B2447">
        <v>12000</v>
      </c>
      <c r="C2447">
        <v>6</v>
      </c>
      <c r="D2447">
        <f t="shared" si="215"/>
        <v>25726</v>
      </c>
      <c r="E2447">
        <f t="shared" si="216"/>
        <v>25976</v>
      </c>
      <c r="F2447"/>
      <c r="G2447">
        <v>95140019</v>
      </c>
      <c r="H2447" t="s">
        <v>532</v>
      </c>
      <c r="I2447"/>
      <c r="J2447" t="s">
        <v>200</v>
      </c>
      <c r="K2447">
        <v>1</v>
      </c>
      <c r="L2447" t="s">
        <v>606</v>
      </c>
      <c r="M2447">
        <f t="shared" si="213"/>
        <v>250</v>
      </c>
      <c r="N2447"/>
      <c r="O2447">
        <f t="shared" si="214"/>
        <v>0.002113521464924</v>
      </c>
      <c r="P2447">
        <v>11000</v>
      </c>
    </row>
    <row r="2448" spans="1:16">
      <c r="A2448" s="71">
        <v>2446</v>
      </c>
      <c r="B2448">
        <v>12000</v>
      </c>
      <c r="C2448">
        <v>6</v>
      </c>
      <c r="D2448">
        <f t="shared" si="215"/>
        <v>25976</v>
      </c>
      <c r="E2448">
        <f t="shared" si="216"/>
        <v>26226</v>
      </c>
      <c r="F2448"/>
      <c r="G2448">
        <v>95105029</v>
      </c>
      <c r="H2448" t="s">
        <v>533</v>
      </c>
      <c r="I2448"/>
      <c r="J2448" t="s">
        <v>200</v>
      </c>
      <c r="K2448">
        <v>1</v>
      </c>
      <c r="L2448" t="s">
        <v>606</v>
      </c>
      <c r="M2448">
        <f t="shared" si="213"/>
        <v>250</v>
      </c>
      <c r="N2448"/>
      <c r="O2448">
        <f t="shared" si="214"/>
        <v>0.002113521464924</v>
      </c>
      <c r="P2448">
        <v>11000</v>
      </c>
    </row>
    <row r="2449" spans="1:21">
      <c r="A2449" s="71">
        <v>2447</v>
      </c>
      <c r="B2449">
        <v>12000</v>
      </c>
      <c r="C2449">
        <v>6</v>
      </c>
      <c r="D2449">
        <f t="shared" si="215"/>
        <v>26226</v>
      </c>
      <c r="E2449">
        <f t="shared" si="216"/>
        <v>26476</v>
      </c>
      <c r="F2449"/>
      <c r="G2449">
        <v>95109029</v>
      </c>
      <c r="H2449" t="s">
        <v>534</v>
      </c>
      <c r="I2449"/>
      <c r="J2449" t="s">
        <v>200</v>
      </c>
      <c r="K2449">
        <v>1</v>
      </c>
      <c r="L2449" t="s">
        <v>606</v>
      </c>
      <c r="M2449">
        <f t="shared" si="213"/>
        <v>250</v>
      </c>
      <c r="N2449"/>
      <c r="O2449">
        <f t="shared" si="214"/>
        <v>0.002113521464924</v>
      </c>
      <c r="P2449">
        <v>11000</v>
      </c>
    </row>
    <row r="2450" spans="1:21">
      <c r="A2450" s="71">
        <v>2448</v>
      </c>
      <c r="B2450">
        <v>12000</v>
      </c>
      <c r="C2450">
        <v>6</v>
      </c>
      <c r="D2450">
        <f t="shared" si="215"/>
        <v>26476</v>
      </c>
      <c r="E2450">
        <f t="shared" si="216"/>
        <v>26726</v>
      </c>
      <c r="F2450"/>
      <c r="G2450">
        <v>95110029</v>
      </c>
      <c r="H2450" t="s">
        <v>535</v>
      </c>
      <c r="I2450"/>
      <c r="J2450" t="s">
        <v>200</v>
      </c>
      <c r="K2450">
        <v>1</v>
      </c>
      <c r="L2450" t="s">
        <v>606</v>
      </c>
      <c r="M2450">
        <f t="shared" si="213"/>
        <v>250</v>
      </c>
      <c r="N2450"/>
      <c r="O2450">
        <f t="shared" si="214"/>
        <v>0.002113521464924</v>
      </c>
      <c r="P2450">
        <v>11000</v>
      </c>
    </row>
    <row r="2451" spans="1:21">
      <c r="A2451" s="71">
        <v>2449</v>
      </c>
      <c r="B2451">
        <v>12000</v>
      </c>
      <c r="C2451">
        <v>6</v>
      </c>
      <c r="D2451">
        <f t="shared" si="215"/>
        <v>26726</v>
      </c>
      <c r="E2451">
        <f t="shared" si="216"/>
        <v>26976</v>
      </c>
      <c r="F2451"/>
      <c r="G2451">
        <v>95150029</v>
      </c>
      <c r="H2451" t="s">
        <v>536</v>
      </c>
      <c r="I2451"/>
      <c r="J2451" t="s">
        <v>200</v>
      </c>
      <c r="K2451">
        <v>1</v>
      </c>
      <c r="L2451" t="s">
        <v>606</v>
      </c>
      <c r="M2451">
        <f t="shared" si="213"/>
        <v>250</v>
      </c>
      <c r="N2451"/>
      <c r="O2451">
        <f t="shared" si="214"/>
        <v>0.002113521464924</v>
      </c>
      <c r="P2451">
        <v>11000</v>
      </c>
    </row>
    <row r="2452" spans="1:21">
      <c r="A2452" s="71">
        <v>2450</v>
      </c>
      <c r="B2452">
        <v>12000</v>
      </c>
      <c r="C2452">
        <v>6</v>
      </c>
      <c r="D2452">
        <f t="shared" si="215"/>
        <v>26976</v>
      </c>
      <c r="E2452">
        <f t="shared" si="216"/>
        <v>27226</v>
      </c>
      <c r="F2452"/>
      <c r="G2452">
        <v>95201039</v>
      </c>
      <c r="H2452" t="s">
        <v>537</v>
      </c>
      <c r="I2452"/>
      <c r="J2452" t="s">
        <v>200</v>
      </c>
      <c r="K2452">
        <v>1</v>
      </c>
      <c r="L2452" t="s">
        <v>606</v>
      </c>
      <c r="M2452">
        <f t="shared" ref="M2452:M2483" si="217">ROUNDDOWN(VLOOKUP(J2452,$T$2364:$W$2370,4,0)*1000,0)</f>
        <v>250</v>
      </c>
      <c r="N2452"/>
      <c r="O2452">
        <f t="shared" si="214"/>
        <v>0.002113521464924</v>
      </c>
      <c r="P2452">
        <v>11000</v>
      </c>
    </row>
    <row r="2453" spans="1:21">
      <c r="A2453" s="71">
        <v>2451</v>
      </c>
      <c r="B2453">
        <v>12000</v>
      </c>
      <c r="C2453">
        <v>6</v>
      </c>
      <c r="D2453">
        <f t="shared" ref="D2453:D2484" si="218">E2452</f>
        <v>27226</v>
      </c>
      <c r="E2453">
        <f t="shared" ref="E2453:E2484" si="219">D2453+M2453</f>
        <v>27476</v>
      </c>
      <c r="F2453"/>
      <c r="G2453">
        <v>95201119</v>
      </c>
      <c r="H2453" t="s">
        <v>538</v>
      </c>
      <c r="I2453"/>
      <c r="J2453" t="s">
        <v>200</v>
      </c>
      <c r="K2453">
        <v>1</v>
      </c>
      <c r="L2453" t="s">
        <v>606</v>
      </c>
      <c r="M2453">
        <f t="shared" si="217"/>
        <v>250</v>
      </c>
      <c r="N2453"/>
      <c r="O2453">
        <f t="shared" si="214"/>
        <v>0.002113521464924</v>
      </c>
      <c r="P2453">
        <v>11000</v>
      </c>
    </row>
    <row r="2454" spans="1:21">
      <c r="A2454" s="71">
        <v>2452</v>
      </c>
      <c r="B2454">
        <v>12000</v>
      </c>
      <c r="C2454">
        <v>6</v>
      </c>
      <c r="D2454">
        <f t="shared" si="218"/>
        <v>27476</v>
      </c>
      <c r="E2454">
        <f t="shared" si="219"/>
        <v>27726</v>
      </c>
      <c r="F2454"/>
      <c r="G2454">
        <v>95201159</v>
      </c>
      <c r="H2454" t="s">
        <v>539</v>
      </c>
      <c r="I2454"/>
      <c r="J2454" t="s">
        <v>200</v>
      </c>
      <c r="K2454">
        <v>1</v>
      </c>
      <c r="L2454" t="s">
        <v>606</v>
      </c>
      <c r="M2454">
        <f t="shared" si="217"/>
        <v>250</v>
      </c>
      <c r="N2454"/>
      <c r="O2454">
        <f t="shared" si="214"/>
        <v>0.002113521464924</v>
      </c>
      <c r="P2454">
        <v>11000</v>
      </c>
    </row>
    <row r="2455" spans="1:21">
      <c r="A2455" s="71">
        <v>2453</v>
      </c>
      <c r="B2455">
        <v>12000</v>
      </c>
      <c r="C2455">
        <v>6</v>
      </c>
      <c r="D2455">
        <f t="shared" si="218"/>
        <v>27726</v>
      </c>
      <c r="E2455">
        <f t="shared" si="219"/>
        <v>27976</v>
      </c>
      <c r="F2455"/>
      <c r="G2455">
        <v>95201169</v>
      </c>
      <c r="H2455" t="s">
        <v>540</v>
      </c>
      <c r="I2455"/>
      <c r="J2455" t="s">
        <v>200</v>
      </c>
      <c r="K2455">
        <v>1</v>
      </c>
      <c r="L2455" t="s">
        <v>606</v>
      </c>
      <c r="M2455">
        <f t="shared" si="217"/>
        <v>250</v>
      </c>
      <c r="N2455"/>
      <c r="O2455">
        <f t="shared" si="214"/>
        <v>0.002113521464924</v>
      </c>
      <c r="P2455">
        <v>11000</v>
      </c>
    </row>
    <row r="2456" spans="1:21">
      <c r="A2456" s="71">
        <v>2454</v>
      </c>
      <c r="B2456">
        <v>12000</v>
      </c>
      <c r="C2456">
        <v>6</v>
      </c>
      <c r="D2456">
        <f t="shared" si="218"/>
        <v>27976</v>
      </c>
      <c r="E2456">
        <f t="shared" si="219"/>
        <v>28226</v>
      </c>
      <c r="F2456"/>
      <c r="G2456">
        <v>95201189</v>
      </c>
      <c r="H2456" t="s">
        <v>541</v>
      </c>
      <c r="I2456"/>
      <c r="J2456" t="s">
        <v>200</v>
      </c>
      <c r="K2456" s="71">
        <v>1</v>
      </c>
      <c r="L2456" t="s">
        <v>606</v>
      </c>
      <c r="M2456">
        <f t="shared" si="217"/>
        <v>250</v>
      </c>
      <c r="N2456"/>
      <c r="O2456">
        <f t="shared" si="214"/>
        <v>0.002113521464924</v>
      </c>
      <c r="P2456">
        <v>11000</v>
      </c>
    </row>
    <row r="2457" spans="1:21">
      <c r="A2457" s="71">
        <v>2455</v>
      </c>
      <c r="B2457">
        <v>12000</v>
      </c>
      <c r="C2457">
        <v>6</v>
      </c>
      <c r="D2457">
        <f t="shared" si="218"/>
        <v>28226</v>
      </c>
      <c r="E2457">
        <f t="shared" si="219"/>
        <v>28476</v>
      </c>
      <c r="F2457"/>
      <c r="G2457">
        <v>95301029</v>
      </c>
      <c r="H2457" t="s">
        <v>542</v>
      </c>
      <c r="I2457"/>
      <c r="J2457" t="s">
        <v>200</v>
      </c>
      <c r="K2457">
        <v>1</v>
      </c>
      <c r="L2457" t="s">
        <v>606</v>
      </c>
      <c r="M2457">
        <f t="shared" si="217"/>
        <v>250</v>
      </c>
      <c r="N2457"/>
      <c r="O2457">
        <f t="shared" si="214"/>
        <v>0.002113521464924</v>
      </c>
      <c r="P2457">
        <v>11000</v>
      </c>
    </row>
    <row r="2458" spans="1:21">
      <c r="A2458" s="71">
        <v>2456</v>
      </c>
      <c r="B2458">
        <v>12000</v>
      </c>
      <c r="C2458">
        <v>6</v>
      </c>
      <c r="D2458">
        <f t="shared" si="218"/>
        <v>28476</v>
      </c>
      <c r="E2458">
        <f t="shared" si="219"/>
        <v>28726</v>
      </c>
      <c r="F2458"/>
      <c r="G2458">
        <v>95301049</v>
      </c>
      <c r="H2458" t="s">
        <v>543</v>
      </c>
      <c r="I2458"/>
      <c r="J2458" t="s">
        <v>200</v>
      </c>
      <c r="K2458">
        <v>1</v>
      </c>
      <c r="L2458" t="s">
        <v>606</v>
      </c>
      <c r="M2458">
        <f t="shared" si="217"/>
        <v>250</v>
      </c>
      <c r="N2458"/>
      <c r="O2458">
        <f t="shared" si="214"/>
        <v>0.002113521464924</v>
      </c>
      <c r="P2458">
        <v>11000</v>
      </c>
    </row>
    <row r="2459" spans="1:21">
      <c r="A2459" s="71">
        <v>2457</v>
      </c>
      <c r="B2459">
        <v>12000</v>
      </c>
      <c r="C2459">
        <v>6</v>
      </c>
      <c r="D2459">
        <f t="shared" si="218"/>
        <v>28726</v>
      </c>
      <c r="E2459">
        <f t="shared" si="219"/>
        <v>28976</v>
      </c>
      <c r="F2459"/>
      <c r="G2459">
        <v>95301059</v>
      </c>
      <c r="H2459" t="s">
        <v>544</v>
      </c>
      <c r="I2459"/>
      <c r="J2459" t="s">
        <v>200</v>
      </c>
      <c r="K2459">
        <v>1</v>
      </c>
      <c r="L2459" t="s">
        <v>606</v>
      </c>
      <c r="M2459">
        <f t="shared" si="217"/>
        <v>250</v>
      </c>
      <c r="N2459"/>
      <c r="O2459">
        <f t="shared" si="214"/>
        <v>0.002113521464924</v>
      </c>
      <c r="P2459">
        <v>11000</v>
      </c>
    </row>
    <row r="2460" spans="1:21">
      <c r="A2460" s="71">
        <v>2458</v>
      </c>
      <c r="B2460">
        <v>12000</v>
      </c>
      <c r="C2460">
        <v>6</v>
      </c>
      <c r="D2460">
        <f t="shared" si="218"/>
        <v>28976</v>
      </c>
      <c r="E2460">
        <f t="shared" si="219"/>
        <v>29226</v>
      </c>
      <c r="F2460"/>
      <c r="G2460">
        <v>95301139</v>
      </c>
      <c r="H2460" t="s">
        <v>545</v>
      </c>
      <c r="I2460"/>
      <c r="J2460" t="s">
        <v>200</v>
      </c>
      <c r="K2460">
        <v>1</v>
      </c>
      <c r="L2460" t="s">
        <v>606</v>
      </c>
      <c r="M2460">
        <f t="shared" si="217"/>
        <v>250</v>
      </c>
      <c r="N2460"/>
      <c r="O2460">
        <f t="shared" si="214"/>
        <v>0.002113521464924</v>
      </c>
      <c r="P2460">
        <v>11000</v>
      </c>
      <c r="T2460" t="s">
        <v>199</v>
      </c>
      <c r="U2460" t="s">
        <v>233</v>
      </c>
    </row>
    <row r="2461" spans="1:21">
      <c r="A2461" s="71">
        <v>2459</v>
      </c>
      <c r="B2461">
        <v>12000</v>
      </c>
      <c r="C2461">
        <v>6</v>
      </c>
      <c r="D2461">
        <f t="shared" si="218"/>
        <v>29226</v>
      </c>
      <c r="E2461">
        <f t="shared" si="219"/>
        <v>29476</v>
      </c>
      <c r="F2461"/>
      <c r="G2461">
        <v>95301099</v>
      </c>
      <c r="H2461" t="s">
        <v>546</v>
      </c>
      <c r="I2461"/>
      <c r="J2461" t="s">
        <v>200</v>
      </c>
      <c r="K2461">
        <v>1</v>
      </c>
      <c r="L2461" t="s">
        <v>606</v>
      </c>
      <c r="M2461">
        <f t="shared" si="217"/>
        <v>250</v>
      </c>
      <c r="N2461"/>
      <c r="O2461">
        <f t="shared" si="214"/>
        <v>0.002113521464924</v>
      </c>
      <c r="P2461">
        <v>11000</v>
      </c>
    </row>
    <row r="2462" spans="1:21">
      <c r="A2462" s="71">
        <v>2460</v>
      </c>
      <c r="B2462">
        <v>12000</v>
      </c>
      <c r="C2462">
        <v>6</v>
      </c>
      <c r="D2462">
        <f t="shared" si="218"/>
        <v>29476</v>
      </c>
      <c r="E2462">
        <f t="shared" si="219"/>
        <v>29726</v>
      </c>
      <c r="F2462"/>
      <c r="G2462">
        <v>95301159</v>
      </c>
      <c r="H2462" t="s">
        <v>547</v>
      </c>
      <c r="I2462"/>
      <c r="J2462" t="s">
        <v>200</v>
      </c>
      <c r="K2462">
        <v>1</v>
      </c>
      <c r="L2462" t="s">
        <v>606</v>
      </c>
      <c r="M2462">
        <f t="shared" si="217"/>
        <v>250</v>
      </c>
      <c r="N2462"/>
      <c r="O2462">
        <f t="shared" si="214"/>
        <v>0.002113521464924</v>
      </c>
      <c r="P2462">
        <v>11000</v>
      </c>
      <c r="Q2462" t="str">
        <f t="shared" ref="Q2462:Q2491" si="220">LEFT(H2404,LEN(H2404)-4)&amp;$U$2460</f>
        <v>千锻拳势（下册）</v>
      </c>
    </row>
    <row r="2463" spans="1:21">
      <c r="A2463" s="71">
        <v>2461</v>
      </c>
      <c r="B2463">
        <v>12000</v>
      </c>
      <c r="C2463">
        <v>6</v>
      </c>
      <c r="D2463">
        <f t="shared" si="218"/>
        <v>29726</v>
      </c>
      <c r="E2463">
        <f t="shared" si="219"/>
        <v>29976</v>
      </c>
      <c r="F2463"/>
      <c r="G2463">
        <v>95301149</v>
      </c>
      <c r="H2463" t="s">
        <v>548</v>
      </c>
      <c r="I2463"/>
      <c r="J2463" t="s">
        <v>200</v>
      </c>
      <c r="K2463">
        <v>1</v>
      </c>
      <c r="L2463" t="s">
        <v>606</v>
      </c>
      <c r="M2463">
        <f t="shared" si="217"/>
        <v>250</v>
      </c>
      <c r="N2463"/>
      <c r="O2463">
        <f t="shared" si="214"/>
        <v>0.002113521464924</v>
      </c>
      <c r="P2463">
        <v>11000</v>
      </c>
      <c r="Q2463" t="str">
        <f t="shared" si="220"/>
        <v>伏阳开碑拳（下册）</v>
      </c>
    </row>
    <row r="2464" spans="1:21">
      <c r="A2464" s="71">
        <v>2462</v>
      </c>
      <c r="B2464">
        <v>12000</v>
      </c>
      <c r="C2464">
        <f>VLOOKUP(H2464,[2]药品!$B:$E,4,0)</f>
        <v>1</v>
      </c>
      <c r="D2464">
        <f t="shared" si="218"/>
        <v>29976</v>
      </c>
      <c r="E2464">
        <f t="shared" si="219"/>
        <v>31726</v>
      </c>
      <c r="F2464"/>
      <c r="G2464">
        <v>901000</v>
      </c>
      <c r="H2464" t="s">
        <v>234</v>
      </c>
      <c r="I2464"/>
      <c r="J2464" t="s">
        <v>610</v>
      </c>
      <c r="K2464">
        <v>1</v>
      </c>
      <c r="L2464" t="s">
        <v>606</v>
      </c>
      <c r="M2464">
        <f t="shared" si="217"/>
        <v>1750</v>
      </c>
      <c r="N2464"/>
      <c r="O2464">
        <f t="shared" si="214"/>
        <v>0.014794650254468</v>
      </c>
      <c r="P2464">
        <v>11000</v>
      </c>
      <c r="Q2464" t="str">
        <f t="shared" si="220"/>
        <v>凌鸿剑势（下册）</v>
      </c>
    </row>
    <row r="2465" spans="1:17">
      <c r="A2465" s="71">
        <v>2463</v>
      </c>
      <c r="B2465">
        <v>12000</v>
      </c>
      <c r="C2465">
        <f>VLOOKUP(H2465,[2]药品!$B:$E,4,0)</f>
        <v>2</v>
      </c>
      <c r="D2465">
        <f t="shared" si="218"/>
        <v>31726</v>
      </c>
      <c r="E2465">
        <f t="shared" si="219"/>
        <v>33476</v>
      </c>
      <c r="F2465"/>
      <c r="G2465">
        <v>901001</v>
      </c>
      <c r="H2465" t="s">
        <v>236</v>
      </c>
      <c r="I2465"/>
      <c r="J2465" t="s">
        <v>610</v>
      </c>
      <c r="K2465">
        <v>1</v>
      </c>
      <c r="L2465" t="s">
        <v>606</v>
      </c>
      <c r="M2465">
        <f t="shared" si="217"/>
        <v>1750</v>
      </c>
      <c r="N2465"/>
      <c r="O2465">
        <f t="shared" si="214"/>
        <v>0.014794650254468</v>
      </c>
      <c r="P2465">
        <v>11000</v>
      </c>
      <c r="Q2465" t="str">
        <f t="shared" si="220"/>
        <v>清风剑法（下册）</v>
      </c>
    </row>
    <row r="2466" spans="1:17">
      <c r="A2466" s="71">
        <v>2464</v>
      </c>
      <c r="B2466">
        <v>12000</v>
      </c>
      <c r="C2466">
        <f>VLOOKUP(H2466,[2]药品!$B:$E,4,0)</f>
        <v>3</v>
      </c>
      <c r="D2466">
        <f t="shared" si="218"/>
        <v>33476</v>
      </c>
      <c r="E2466">
        <f t="shared" si="219"/>
        <v>35226</v>
      </c>
      <c r="F2466"/>
      <c r="G2466">
        <v>901002</v>
      </c>
      <c r="H2466" t="s">
        <v>237</v>
      </c>
      <c r="I2466"/>
      <c r="J2466" t="s">
        <v>610</v>
      </c>
      <c r="K2466">
        <v>1</v>
      </c>
      <c r="L2466" t="s">
        <v>606</v>
      </c>
      <c r="M2466">
        <f t="shared" si="217"/>
        <v>1750</v>
      </c>
      <c r="N2466"/>
      <c r="O2466">
        <f t="shared" si="214"/>
        <v>0.014794650254468</v>
      </c>
      <c r="P2466">
        <v>11000</v>
      </c>
      <c r="Q2466" t="str">
        <f t="shared" si="220"/>
        <v>斩铁无锋卷（下册）</v>
      </c>
    </row>
    <row r="2467" spans="1:17">
      <c r="A2467" s="71">
        <v>2465</v>
      </c>
      <c r="B2467">
        <v>12000</v>
      </c>
      <c r="C2467">
        <f>VLOOKUP(H2467,[2]药品!$B:$E,4,0)</f>
        <v>4</v>
      </c>
      <c r="D2467">
        <f t="shared" si="218"/>
        <v>35226</v>
      </c>
      <c r="E2467">
        <f t="shared" si="219"/>
        <v>36976</v>
      </c>
      <c r="F2467"/>
      <c r="G2467">
        <v>901003</v>
      </c>
      <c r="H2467" t="s">
        <v>238</v>
      </c>
      <c r="I2467"/>
      <c r="J2467" t="s">
        <v>610</v>
      </c>
      <c r="K2467">
        <v>1</v>
      </c>
      <c r="L2467" t="s">
        <v>606</v>
      </c>
      <c r="M2467">
        <f t="shared" si="217"/>
        <v>1750</v>
      </c>
      <c r="N2467"/>
      <c r="O2467">
        <f t="shared" si="214"/>
        <v>0.014794650254468</v>
      </c>
      <c r="P2467">
        <v>11000</v>
      </c>
      <c r="Q2467" t="str">
        <f t="shared" si="220"/>
        <v>北顾枪法（下册）</v>
      </c>
    </row>
    <row r="2468" spans="1:17">
      <c r="A2468" s="71">
        <v>2466</v>
      </c>
      <c r="B2468">
        <v>12000</v>
      </c>
      <c r="C2468">
        <f>VLOOKUP(H2468,[2]药品!$B:$E,4,0)</f>
        <v>1</v>
      </c>
      <c r="D2468">
        <f t="shared" si="218"/>
        <v>36976</v>
      </c>
      <c r="E2468">
        <f t="shared" si="219"/>
        <v>38726</v>
      </c>
      <c r="F2468"/>
      <c r="G2468">
        <v>901100</v>
      </c>
      <c r="H2468" t="s">
        <v>239</v>
      </c>
      <c r="I2468"/>
      <c r="J2468" t="s">
        <v>610</v>
      </c>
      <c r="K2468">
        <v>1</v>
      </c>
      <c r="L2468" t="s">
        <v>606</v>
      </c>
      <c r="M2468">
        <f t="shared" si="217"/>
        <v>1750</v>
      </c>
      <c r="N2468"/>
      <c r="O2468">
        <f t="shared" si="214"/>
        <v>0.014794650254468</v>
      </c>
      <c r="P2468">
        <v>11000</v>
      </c>
      <c r="Q2468" t="str">
        <f t="shared" si="220"/>
        <v>玄黄入阵旌（下册）</v>
      </c>
    </row>
    <row r="2469" spans="1:17">
      <c r="A2469" s="71">
        <v>2467</v>
      </c>
      <c r="B2469">
        <v>12000</v>
      </c>
      <c r="C2469">
        <f>VLOOKUP(H2469,[2]药品!$B:$E,4,0)</f>
        <v>2</v>
      </c>
      <c r="D2469">
        <f t="shared" si="218"/>
        <v>38726</v>
      </c>
      <c r="E2469">
        <f t="shared" si="219"/>
        <v>40476</v>
      </c>
      <c r="F2469"/>
      <c r="G2469">
        <v>901101</v>
      </c>
      <c r="H2469" t="s">
        <v>240</v>
      </c>
      <c r="I2469"/>
      <c r="J2469" t="s">
        <v>610</v>
      </c>
      <c r="K2469">
        <v>1</v>
      </c>
      <c r="L2469" t="s">
        <v>606</v>
      </c>
      <c r="M2469">
        <f t="shared" si="217"/>
        <v>1750</v>
      </c>
      <c r="N2469"/>
      <c r="O2469">
        <f t="shared" si="214"/>
        <v>0.014794650254468</v>
      </c>
      <c r="P2469">
        <v>11000</v>
      </c>
      <c r="Q2469" t="str">
        <f t="shared" si="220"/>
        <v>众相菩提杖（下册）</v>
      </c>
    </row>
    <row r="2470" spans="1:17">
      <c r="A2470" s="71">
        <v>2468</v>
      </c>
      <c r="B2470">
        <v>12000</v>
      </c>
      <c r="C2470">
        <f>VLOOKUP(H2470,[2]药品!$B:$E,4,0)</f>
        <v>3</v>
      </c>
      <c r="D2470">
        <f t="shared" si="218"/>
        <v>40476</v>
      </c>
      <c r="E2470">
        <f t="shared" si="219"/>
        <v>42226</v>
      </c>
      <c r="F2470"/>
      <c r="G2470">
        <v>901102</v>
      </c>
      <c r="H2470" t="s">
        <v>241</v>
      </c>
      <c r="I2470"/>
      <c r="J2470" t="s">
        <v>610</v>
      </c>
      <c r="K2470">
        <v>1</v>
      </c>
      <c r="L2470" t="s">
        <v>606</v>
      </c>
      <c r="M2470">
        <f t="shared" si="217"/>
        <v>1750</v>
      </c>
      <c r="N2470"/>
      <c r="O2470">
        <f t="shared" si="214"/>
        <v>0.014794650254468</v>
      </c>
      <c r="P2470">
        <v>11000</v>
      </c>
      <c r="Q2470" t="str">
        <f t="shared" si="220"/>
        <v>暴雨梨花刀（下册）</v>
      </c>
    </row>
    <row r="2471" spans="1:17">
      <c r="A2471" s="71">
        <v>2469</v>
      </c>
      <c r="B2471">
        <v>12000</v>
      </c>
      <c r="C2471">
        <f>VLOOKUP(H2471,[2]药品!$B:$E,4,0)</f>
        <v>4</v>
      </c>
      <c r="D2471">
        <f t="shared" si="218"/>
        <v>42226</v>
      </c>
      <c r="E2471">
        <f t="shared" si="219"/>
        <v>43976</v>
      </c>
      <c r="F2471"/>
      <c r="G2471">
        <v>901103</v>
      </c>
      <c r="H2471" t="s">
        <v>242</v>
      </c>
      <c r="I2471"/>
      <c r="J2471" t="s">
        <v>610</v>
      </c>
      <c r="K2471">
        <v>1</v>
      </c>
      <c r="L2471" t="s">
        <v>606</v>
      </c>
      <c r="M2471">
        <f t="shared" si="217"/>
        <v>1750</v>
      </c>
      <c r="N2471"/>
      <c r="O2471">
        <f t="shared" si="214"/>
        <v>0.014794650254468</v>
      </c>
      <c r="P2471">
        <v>11000</v>
      </c>
      <c r="Q2471" t="str">
        <f t="shared" si="220"/>
        <v>醉饮降龙无双式（下册）</v>
      </c>
    </row>
    <row r="2472" spans="1:17">
      <c r="A2472" s="71">
        <v>2470</v>
      </c>
      <c r="B2472">
        <v>12000</v>
      </c>
      <c r="C2472">
        <v>2</v>
      </c>
      <c r="D2472">
        <f t="shared" si="218"/>
        <v>43976</v>
      </c>
      <c r="E2472">
        <f t="shared" si="219"/>
        <v>45726</v>
      </c>
      <c r="F2472"/>
      <c r="G2472">
        <v>907009</v>
      </c>
      <c r="H2472" t="s">
        <v>265</v>
      </c>
      <c r="I2472"/>
      <c r="J2472" t="s">
        <v>610</v>
      </c>
      <c r="K2472">
        <v>1</v>
      </c>
      <c r="L2472" t="s">
        <v>606</v>
      </c>
      <c r="M2472">
        <f t="shared" si="217"/>
        <v>1750</v>
      </c>
      <c r="N2472"/>
      <c r="O2472">
        <f t="shared" si="214"/>
        <v>0.014794650254468</v>
      </c>
      <c r="P2472">
        <v>11000</v>
      </c>
      <c r="Q2472" t="str">
        <f t="shared" si="220"/>
        <v>无心流·拔刀术（下册）</v>
      </c>
    </row>
    <row r="2473" spans="1:17">
      <c r="A2473" s="71">
        <v>2471</v>
      </c>
      <c r="B2473">
        <v>12000</v>
      </c>
      <c r="C2473">
        <v>2</v>
      </c>
      <c r="D2473">
        <f t="shared" si="218"/>
        <v>45726</v>
      </c>
      <c r="E2473">
        <f t="shared" si="219"/>
        <v>47476</v>
      </c>
      <c r="F2473"/>
      <c r="G2473">
        <v>907010</v>
      </c>
      <c r="H2473" t="s">
        <v>267</v>
      </c>
      <c r="I2473"/>
      <c r="J2473" t="s">
        <v>610</v>
      </c>
      <c r="K2473">
        <v>1</v>
      </c>
      <c r="L2473" t="s">
        <v>606</v>
      </c>
      <c r="M2473">
        <f t="shared" si="217"/>
        <v>1750</v>
      </c>
      <c r="N2473"/>
      <c r="O2473">
        <f t="shared" si="214"/>
        <v>0.014794650254468</v>
      </c>
      <c r="P2473">
        <v>11000</v>
      </c>
      <c r="Q2473" t="str">
        <f t="shared" si="220"/>
        <v>流缶金绳镖（下册）</v>
      </c>
    </row>
    <row r="2474" spans="1:17">
      <c r="A2474" s="71">
        <v>2472</v>
      </c>
      <c r="B2474">
        <v>12000</v>
      </c>
      <c r="C2474">
        <v>2</v>
      </c>
      <c r="D2474">
        <f t="shared" si="218"/>
        <v>47476</v>
      </c>
      <c r="E2474">
        <f t="shared" si="219"/>
        <v>49226</v>
      </c>
      <c r="F2474"/>
      <c r="G2474">
        <v>907011</v>
      </c>
      <c r="H2474" t="s">
        <v>268</v>
      </c>
      <c r="I2474"/>
      <c r="J2474" t="s">
        <v>610</v>
      </c>
      <c r="K2474">
        <v>1</v>
      </c>
      <c r="L2474" t="s">
        <v>606</v>
      </c>
      <c r="M2474">
        <f t="shared" si="217"/>
        <v>1750</v>
      </c>
      <c r="N2474"/>
      <c r="O2474">
        <f t="shared" si="214"/>
        <v>0.014794650254468</v>
      </c>
      <c r="P2474">
        <v>11000</v>
      </c>
      <c r="Q2474" t="str">
        <f t="shared" si="220"/>
        <v>锋狩控弦决（下册）</v>
      </c>
    </row>
    <row r="2475" spans="1:17">
      <c r="A2475" s="71">
        <v>2473</v>
      </c>
      <c r="B2475">
        <v>12000</v>
      </c>
      <c r="C2475">
        <v>2</v>
      </c>
      <c r="D2475">
        <f t="shared" si="218"/>
        <v>49226</v>
      </c>
      <c r="E2475">
        <f t="shared" si="219"/>
        <v>50976</v>
      </c>
      <c r="F2475"/>
      <c r="G2475">
        <v>907012</v>
      </c>
      <c r="H2475" t="s">
        <v>269</v>
      </c>
      <c r="I2475"/>
      <c r="J2475" t="s">
        <v>610</v>
      </c>
      <c r="K2475">
        <v>1</v>
      </c>
      <c r="L2475" t="s">
        <v>606</v>
      </c>
      <c r="M2475">
        <f t="shared" si="217"/>
        <v>1750</v>
      </c>
      <c r="N2475"/>
      <c r="O2475">
        <f t="shared" si="214"/>
        <v>0.014794650254468</v>
      </c>
      <c r="P2475">
        <v>11000</v>
      </c>
      <c r="Q2475" t="str">
        <f t="shared" si="220"/>
        <v>西域火器·珠（下册）</v>
      </c>
    </row>
    <row r="2476" spans="1:17">
      <c r="A2476" s="71">
        <v>2474</v>
      </c>
      <c r="B2476">
        <v>12000</v>
      </c>
      <c r="C2476">
        <v>2</v>
      </c>
      <c r="D2476">
        <f t="shared" si="218"/>
        <v>50976</v>
      </c>
      <c r="E2476">
        <f t="shared" si="219"/>
        <v>52726</v>
      </c>
      <c r="F2476"/>
      <c r="G2476">
        <v>907014</v>
      </c>
      <c r="H2476" t="s">
        <v>270</v>
      </c>
      <c r="I2476"/>
      <c r="J2476" t="s">
        <v>610</v>
      </c>
      <c r="K2476">
        <v>1</v>
      </c>
      <c r="L2476" t="s">
        <v>606</v>
      </c>
      <c r="M2476">
        <f t="shared" si="217"/>
        <v>1750</v>
      </c>
      <c r="N2476"/>
      <c r="O2476">
        <f t="shared" si="214"/>
        <v>0.014794650254468</v>
      </c>
      <c r="P2476">
        <v>11000</v>
      </c>
      <c r="Q2476" t="str">
        <f t="shared" si="220"/>
        <v>小周天扇法（下册）</v>
      </c>
    </row>
    <row r="2477" spans="1:17">
      <c r="A2477" s="71">
        <v>2475</v>
      </c>
      <c r="B2477">
        <v>12000</v>
      </c>
      <c r="C2477">
        <v>2</v>
      </c>
      <c r="D2477">
        <f t="shared" si="218"/>
        <v>52726</v>
      </c>
      <c r="E2477">
        <f t="shared" si="219"/>
        <v>54476</v>
      </c>
      <c r="F2477"/>
      <c r="G2477">
        <v>907017</v>
      </c>
      <c r="H2477" t="s">
        <v>271</v>
      </c>
      <c r="I2477"/>
      <c r="J2477" t="s">
        <v>610</v>
      </c>
      <c r="K2477">
        <v>1</v>
      </c>
      <c r="L2477" t="s">
        <v>606</v>
      </c>
      <c r="M2477">
        <f t="shared" si="217"/>
        <v>1750</v>
      </c>
      <c r="N2477"/>
      <c r="O2477">
        <f t="shared" si="214"/>
        <v>0.014794650254468</v>
      </c>
      <c r="P2477">
        <v>11000</v>
      </c>
      <c r="Q2477" t="str">
        <f t="shared" si="220"/>
        <v>踪影孤鸿（下册）</v>
      </c>
    </row>
    <row r="2478" spans="1:17">
      <c r="A2478" s="71">
        <v>2476</v>
      </c>
      <c r="B2478">
        <v>12000</v>
      </c>
      <c r="C2478">
        <v>2</v>
      </c>
      <c r="D2478">
        <f t="shared" si="218"/>
        <v>54476</v>
      </c>
      <c r="E2478">
        <f t="shared" si="219"/>
        <v>56226</v>
      </c>
      <c r="F2478"/>
      <c r="G2478">
        <v>907018</v>
      </c>
      <c r="H2478" t="s">
        <v>272</v>
      </c>
      <c r="I2478"/>
      <c r="J2478" t="s">
        <v>610</v>
      </c>
      <c r="K2478">
        <v>1</v>
      </c>
      <c r="L2478" t="s">
        <v>606</v>
      </c>
      <c r="M2478">
        <f t="shared" si="217"/>
        <v>1750</v>
      </c>
      <c r="N2478"/>
      <c r="O2478">
        <f t="shared" si="214"/>
        <v>0.014794650254468</v>
      </c>
      <c r="P2478">
        <v>11000</v>
      </c>
      <c r="Q2478" t="str">
        <f t="shared" si="220"/>
        <v>密剑·山中石响（下册）</v>
      </c>
    </row>
    <row r="2479" spans="1:17">
      <c r="A2479" s="71">
        <v>2477</v>
      </c>
      <c r="B2479">
        <v>12000</v>
      </c>
      <c r="C2479">
        <v>2</v>
      </c>
      <c r="D2479">
        <f t="shared" si="218"/>
        <v>56226</v>
      </c>
      <c r="E2479">
        <f t="shared" si="219"/>
        <v>57976</v>
      </c>
      <c r="F2479"/>
      <c r="G2479">
        <v>907033</v>
      </c>
      <c r="H2479" t="s">
        <v>273</v>
      </c>
      <c r="I2479"/>
      <c r="J2479" t="s">
        <v>610</v>
      </c>
      <c r="K2479">
        <v>1</v>
      </c>
      <c r="L2479" t="s">
        <v>606</v>
      </c>
      <c r="M2479">
        <f t="shared" si="217"/>
        <v>1750</v>
      </c>
      <c r="N2479"/>
      <c r="O2479">
        <f t="shared" si="214"/>
        <v>0.014794650254468</v>
      </c>
      <c r="P2479">
        <v>11000</v>
      </c>
      <c r="Q2479" t="str">
        <f t="shared" si="220"/>
        <v>月残经（下册）</v>
      </c>
    </row>
    <row r="2480" spans="1:17">
      <c r="A2480" s="71">
        <v>2478</v>
      </c>
      <c r="B2480">
        <v>12000</v>
      </c>
      <c r="C2480">
        <v>2</v>
      </c>
      <c r="D2480">
        <f t="shared" si="218"/>
        <v>57976</v>
      </c>
      <c r="E2480">
        <f t="shared" si="219"/>
        <v>59726</v>
      </c>
      <c r="F2480"/>
      <c r="G2480">
        <v>907035</v>
      </c>
      <c r="H2480" t="s">
        <v>274</v>
      </c>
      <c r="I2480"/>
      <c r="J2480" t="s">
        <v>610</v>
      </c>
      <c r="K2480">
        <v>1</v>
      </c>
      <c r="L2480" t="s">
        <v>606</v>
      </c>
      <c r="M2480">
        <f t="shared" si="217"/>
        <v>1750</v>
      </c>
      <c r="N2480"/>
      <c r="O2480">
        <f t="shared" si="214"/>
        <v>0.014794650254468</v>
      </c>
      <c r="P2480">
        <v>11000</v>
      </c>
      <c r="Q2480" t="str">
        <f t="shared" si="220"/>
        <v>连珏天璧法（下册）</v>
      </c>
    </row>
    <row r="2481" spans="1:17">
      <c r="A2481" s="71">
        <v>2479</v>
      </c>
      <c r="B2481">
        <v>12000</v>
      </c>
      <c r="C2481">
        <v>2</v>
      </c>
      <c r="D2481">
        <f t="shared" si="218"/>
        <v>59726</v>
      </c>
      <c r="E2481">
        <f t="shared" si="219"/>
        <v>61476</v>
      </c>
      <c r="F2481"/>
      <c r="G2481">
        <v>907036</v>
      </c>
      <c r="H2481" t="s">
        <v>275</v>
      </c>
      <c r="I2481"/>
      <c r="J2481" t="s">
        <v>610</v>
      </c>
      <c r="K2481">
        <v>1</v>
      </c>
      <c r="L2481" t="s">
        <v>606</v>
      </c>
      <c r="M2481">
        <f t="shared" si="217"/>
        <v>1750</v>
      </c>
      <c r="N2481"/>
      <c r="O2481">
        <f t="shared" si="214"/>
        <v>0.014794650254468</v>
      </c>
      <c r="P2481">
        <v>11000</v>
      </c>
      <c r="Q2481" t="str">
        <f t="shared" si="220"/>
        <v>昭霞别册（下册）</v>
      </c>
    </row>
    <row r="2482" spans="1:17">
      <c r="A2482" s="71">
        <v>2480</v>
      </c>
      <c r="B2482">
        <v>12000</v>
      </c>
      <c r="C2482">
        <v>2</v>
      </c>
      <c r="D2482">
        <f t="shared" si="218"/>
        <v>61476</v>
      </c>
      <c r="E2482">
        <f t="shared" si="219"/>
        <v>63226</v>
      </c>
      <c r="F2482"/>
      <c r="G2482">
        <v>907038</v>
      </c>
      <c r="H2482" t="s">
        <v>276</v>
      </c>
      <c r="I2482"/>
      <c r="J2482" t="s">
        <v>610</v>
      </c>
      <c r="K2482">
        <v>1</v>
      </c>
      <c r="L2482" t="s">
        <v>606</v>
      </c>
      <c r="M2482">
        <f t="shared" si="217"/>
        <v>1750</v>
      </c>
      <c r="N2482"/>
      <c r="O2482">
        <f t="shared" si="214"/>
        <v>0.014794650254468</v>
      </c>
      <c r="P2482">
        <v>11000</v>
      </c>
      <c r="Q2482" t="str">
        <f t="shared" si="220"/>
        <v>霸王卸甲（下册）</v>
      </c>
    </row>
    <row r="2483" spans="1:17">
      <c r="A2483" s="71">
        <v>2481</v>
      </c>
      <c r="B2483">
        <v>12000</v>
      </c>
      <c r="C2483">
        <v>2</v>
      </c>
      <c r="D2483">
        <f t="shared" si="218"/>
        <v>63226</v>
      </c>
      <c r="E2483">
        <f t="shared" si="219"/>
        <v>64976</v>
      </c>
      <c r="F2483"/>
      <c r="G2483">
        <v>907040</v>
      </c>
      <c r="H2483" t="s">
        <v>611</v>
      </c>
      <c r="I2483"/>
      <c r="J2483" t="s">
        <v>610</v>
      </c>
      <c r="K2483">
        <v>1</v>
      </c>
      <c r="L2483" t="s">
        <v>606</v>
      </c>
      <c r="M2483">
        <f t="shared" si="217"/>
        <v>1750</v>
      </c>
      <c r="N2483"/>
      <c r="O2483">
        <f t="shared" si="214"/>
        <v>0.014794650254468</v>
      </c>
      <c r="P2483">
        <v>11000</v>
      </c>
      <c r="Q2483" t="str">
        <f t="shared" si="220"/>
        <v>青囊宝钞（下册）</v>
      </c>
    </row>
    <row r="2484" spans="1:17">
      <c r="A2484" s="71">
        <v>2482</v>
      </c>
      <c r="B2484">
        <v>12000</v>
      </c>
      <c r="C2484">
        <v>2</v>
      </c>
      <c r="D2484">
        <f t="shared" si="218"/>
        <v>64976</v>
      </c>
      <c r="E2484">
        <f t="shared" si="219"/>
        <v>66226</v>
      </c>
      <c r="F2484"/>
      <c r="G2484">
        <v>904001</v>
      </c>
      <c r="H2484" t="s">
        <v>550</v>
      </c>
      <c r="I2484"/>
      <c r="J2484" t="s">
        <v>436</v>
      </c>
      <c r="K2484">
        <v>1</v>
      </c>
      <c r="L2484" t="s">
        <v>606</v>
      </c>
      <c r="M2484">
        <f t="shared" ref="M2484:M2534" si="221">ROUNDDOWN(VLOOKUP(J2484,$T$2364:$W$2370,4,0)*1000,0)</f>
        <v>1250</v>
      </c>
      <c r="N2484"/>
      <c r="O2484">
        <f t="shared" ref="O2484:O2503" si="222">(E2484-D2484)/$E$2560</f>
        <v>0.01056760732462</v>
      </c>
      <c r="P2484">
        <v>11000</v>
      </c>
      <c r="Q2484" t="str">
        <f t="shared" si="220"/>
        <v>支山祁（下册）</v>
      </c>
    </row>
    <row r="2485" spans="1:17">
      <c r="A2485" s="71">
        <v>2483</v>
      </c>
      <c r="B2485">
        <v>12000</v>
      </c>
      <c r="C2485">
        <v>2</v>
      </c>
      <c r="D2485">
        <f t="shared" ref="D2485:D2535" si="223">E2484</f>
        <v>66226</v>
      </c>
      <c r="E2485">
        <f t="shared" ref="E2485:E2535" si="224">D2485+M2485</f>
        <v>67476</v>
      </c>
      <c r="F2485"/>
      <c r="G2485">
        <v>904002</v>
      </c>
      <c r="H2485" t="s">
        <v>551</v>
      </c>
      <c r="I2485"/>
      <c r="J2485" t="s">
        <v>436</v>
      </c>
      <c r="K2485">
        <v>1</v>
      </c>
      <c r="L2485" t="s">
        <v>606</v>
      </c>
      <c r="M2485">
        <f t="shared" si="221"/>
        <v>1250</v>
      </c>
      <c r="N2485"/>
      <c r="O2485">
        <f t="shared" si="222"/>
        <v>0.01056760732462</v>
      </c>
      <c r="P2485">
        <v>11000</v>
      </c>
      <c r="Q2485" t="str">
        <f t="shared" si="220"/>
        <v>赶蝉游身环（下册）</v>
      </c>
    </row>
    <row r="2486" spans="1:17">
      <c r="A2486" s="71">
        <v>2484</v>
      </c>
      <c r="B2486">
        <v>12000</v>
      </c>
      <c r="C2486">
        <v>2</v>
      </c>
      <c r="D2486">
        <f t="shared" si="223"/>
        <v>67476</v>
      </c>
      <c r="E2486">
        <f t="shared" si="224"/>
        <v>68726</v>
      </c>
      <c r="F2486"/>
      <c r="G2486">
        <v>904003</v>
      </c>
      <c r="H2486" t="s">
        <v>552</v>
      </c>
      <c r="I2486"/>
      <c r="J2486" t="s">
        <v>436</v>
      </c>
      <c r="K2486">
        <v>1</v>
      </c>
      <c r="L2486" t="s">
        <v>606</v>
      </c>
      <c r="M2486">
        <f t="shared" si="221"/>
        <v>1250</v>
      </c>
      <c r="N2486"/>
      <c r="O2486">
        <f t="shared" si="222"/>
        <v>0.01056760732462</v>
      </c>
      <c r="P2486">
        <v>11000</v>
      </c>
      <c r="Q2486" t="str">
        <f t="shared" si="220"/>
        <v>洛神踏雪步（下册）</v>
      </c>
    </row>
    <row r="2487" spans="1:17">
      <c r="A2487" s="71">
        <v>2485</v>
      </c>
      <c r="B2487">
        <v>12000</v>
      </c>
      <c r="C2487">
        <v>2</v>
      </c>
      <c r="D2487">
        <f t="shared" si="223"/>
        <v>68726</v>
      </c>
      <c r="E2487">
        <f t="shared" si="224"/>
        <v>69976</v>
      </c>
      <c r="F2487"/>
      <c r="G2487">
        <v>904004</v>
      </c>
      <c r="H2487" t="s">
        <v>553</v>
      </c>
      <c r="I2487"/>
      <c r="J2487" t="s">
        <v>436</v>
      </c>
      <c r="K2487">
        <v>1</v>
      </c>
      <c r="L2487" t="s">
        <v>606</v>
      </c>
      <c r="M2487">
        <f t="shared" si="221"/>
        <v>1250</v>
      </c>
      <c r="N2487"/>
      <c r="O2487">
        <f t="shared" si="222"/>
        <v>0.01056760732462</v>
      </c>
      <c r="P2487">
        <v>11000</v>
      </c>
      <c r="Q2487" t="str">
        <f t="shared" si="220"/>
        <v>晴梅花步（下册）</v>
      </c>
    </row>
    <row r="2488" spans="1:17">
      <c r="A2488" s="71">
        <v>2486</v>
      </c>
      <c r="B2488">
        <v>12000</v>
      </c>
      <c r="C2488">
        <v>2</v>
      </c>
      <c r="D2488">
        <f t="shared" si="223"/>
        <v>69976</v>
      </c>
      <c r="E2488">
        <f t="shared" si="224"/>
        <v>71226</v>
      </c>
      <c r="F2488"/>
      <c r="G2488">
        <v>904011</v>
      </c>
      <c r="H2488" t="s">
        <v>554</v>
      </c>
      <c r="I2488"/>
      <c r="J2488" t="s">
        <v>436</v>
      </c>
      <c r="K2488">
        <v>1</v>
      </c>
      <c r="L2488" t="s">
        <v>606</v>
      </c>
      <c r="M2488">
        <f t="shared" si="221"/>
        <v>1250</v>
      </c>
      <c r="N2488"/>
      <c r="O2488">
        <f t="shared" si="222"/>
        <v>0.01056760732462</v>
      </c>
      <c r="P2488">
        <v>11000</v>
      </c>
      <c r="Q2488" t="str">
        <f t="shared" si="220"/>
        <v>紫乌啸凤图（下册）</v>
      </c>
    </row>
    <row r="2489" spans="1:17">
      <c r="A2489" s="71">
        <v>2487</v>
      </c>
      <c r="B2489">
        <v>12000</v>
      </c>
      <c r="C2489">
        <v>2</v>
      </c>
      <c r="D2489">
        <f t="shared" si="223"/>
        <v>71226</v>
      </c>
      <c r="E2489">
        <f t="shared" si="224"/>
        <v>72476</v>
      </c>
      <c r="F2489"/>
      <c r="G2489">
        <v>904012</v>
      </c>
      <c r="H2489" t="s">
        <v>555</v>
      </c>
      <c r="I2489"/>
      <c r="J2489" t="s">
        <v>436</v>
      </c>
      <c r="K2489">
        <v>1</v>
      </c>
      <c r="L2489" t="s">
        <v>606</v>
      </c>
      <c r="M2489">
        <f t="shared" si="221"/>
        <v>1250</v>
      </c>
      <c r="N2489"/>
      <c r="O2489">
        <f t="shared" si="222"/>
        <v>0.01056760732462</v>
      </c>
      <c r="P2489">
        <v>11000</v>
      </c>
      <c r="Q2489" t="str">
        <f t="shared" si="220"/>
        <v>燕纵步（下册）</v>
      </c>
    </row>
    <row r="2490" spans="1:17">
      <c r="A2490" s="71">
        <v>2488</v>
      </c>
      <c r="B2490">
        <v>12000</v>
      </c>
      <c r="C2490">
        <v>2</v>
      </c>
      <c r="D2490">
        <f t="shared" si="223"/>
        <v>72476</v>
      </c>
      <c r="E2490">
        <f t="shared" si="224"/>
        <v>73726</v>
      </c>
      <c r="F2490"/>
      <c r="G2490">
        <v>904013</v>
      </c>
      <c r="H2490" t="s">
        <v>556</v>
      </c>
      <c r="I2490"/>
      <c r="J2490" t="s">
        <v>436</v>
      </c>
      <c r="K2490">
        <v>1</v>
      </c>
      <c r="L2490" t="s">
        <v>606</v>
      </c>
      <c r="M2490">
        <f t="shared" si="221"/>
        <v>1250</v>
      </c>
      <c r="N2490"/>
      <c r="O2490">
        <f t="shared" si="222"/>
        <v>0.01056760732462</v>
      </c>
      <c r="P2490">
        <v>11000</v>
      </c>
      <c r="Q2490" t="str">
        <f t="shared" si="220"/>
        <v>逆流十二身（下册）</v>
      </c>
    </row>
    <row r="2491" spans="1:17">
      <c r="A2491" s="71">
        <v>2489</v>
      </c>
      <c r="B2491">
        <v>12000</v>
      </c>
      <c r="C2491">
        <v>2</v>
      </c>
      <c r="D2491">
        <f t="shared" si="223"/>
        <v>73726</v>
      </c>
      <c r="E2491">
        <f t="shared" si="224"/>
        <v>74976</v>
      </c>
      <c r="F2491"/>
      <c r="G2491">
        <v>904014</v>
      </c>
      <c r="H2491" t="s">
        <v>557</v>
      </c>
      <c r="I2491"/>
      <c r="J2491" t="s">
        <v>436</v>
      </c>
      <c r="K2491">
        <v>1</v>
      </c>
      <c r="L2491" t="s">
        <v>606</v>
      </c>
      <c r="M2491">
        <f t="shared" si="221"/>
        <v>1250</v>
      </c>
      <c r="N2491"/>
      <c r="O2491">
        <f t="shared" si="222"/>
        <v>0.01056760732462</v>
      </c>
      <c r="P2491">
        <v>11000</v>
      </c>
      <c r="Q2491" t="str">
        <f t="shared" si="220"/>
        <v>撼山步（下册）</v>
      </c>
    </row>
    <row r="2492" spans="1:17">
      <c r="A2492" s="71">
        <v>2490</v>
      </c>
      <c r="B2492">
        <v>12000</v>
      </c>
      <c r="C2492">
        <v>2</v>
      </c>
      <c r="D2492">
        <f t="shared" si="223"/>
        <v>74976</v>
      </c>
      <c r="E2492">
        <f t="shared" si="224"/>
        <v>76226</v>
      </c>
      <c r="F2492"/>
      <c r="G2492">
        <v>904015</v>
      </c>
      <c r="H2492" t="s">
        <v>558</v>
      </c>
      <c r="I2492"/>
      <c r="J2492" t="s">
        <v>436</v>
      </c>
      <c r="K2492">
        <v>1</v>
      </c>
      <c r="L2492" t="s">
        <v>606</v>
      </c>
      <c r="M2492">
        <f t="shared" si="221"/>
        <v>1250</v>
      </c>
      <c r="N2492"/>
      <c r="O2492">
        <f t="shared" si="222"/>
        <v>0.01056760732462</v>
      </c>
      <c r="P2492">
        <v>11000</v>
      </c>
    </row>
    <row r="2493" spans="1:17">
      <c r="A2493" s="71">
        <v>2491</v>
      </c>
      <c r="B2493">
        <v>12000</v>
      </c>
      <c r="C2493">
        <v>2</v>
      </c>
      <c r="D2493">
        <f t="shared" si="223"/>
        <v>76226</v>
      </c>
      <c r="E2493">
        <f t="shared" si="224"/>
        <v>77476</v>
      </c>
      <c r="F2493"/>
      <c r="G2493">
        <v>904016</v>
      </c>
      <c r="H2493" t="s">
        <v>559</v>
      </c>
      <c r="I2493"/>
      <c r="J2493" t="s">
        <v>436</v>
      </c>
      <c r="K2493">
        <v>1</v>
      </c>
      <c r="L2493" t="s">
        <v>606</v>
      </c>
      <c r="M2493">
        <f t="shared" si="221"/>
        <v>1250</v>
      </c>
      <c r="N2493"/>
      <c r="O2493">
        <f t="shared" si="222"/>
        <v>0.01056760732462</v>
      </c>
      <c r="P2493">
        <v>11000</v>
      </c>
    </row>
    <row r="2494" spans="1:17">
      <c r="A2494" s="71">
        <v>2492</v>
      </c>
      <c r="B2494">
        <v>12000</v>
      </c>
      <c r="C2494">
        <v>2</v>
      </c>
      <c r="D2494">
        <f t="shared" si="223"/>
        <v>77476</v>
      </c>
      <c r="E2494">
        <f t="shared" si="224"/>
        <v>78726</v>
      </c>
      <c r="F2494"/>
      <c r="G2494">
        <v>904017</v>
      </c>
      <c r="H2494" t="s">
        <v>560</v>
      </c>
      <c r="I2494"/>
      <c r="J2494" t="s">
        <v>436</v>
      </c>
      <c r="K2494">
        <v>1</v>
      </c>
      <c r="L2494" t="s">
        <v>606</v>
      </c>
      <c r="M2494">
        <f t="shared" si="221"/>
        <v>1250</v>
      </c>
      <c r="N2494"/>
      <c r="O2494">
        <f t="shared" si="222"/>
        <v>0.01056760732462</v>
      </c>
      <c r="P2494">
        <v>11000</v>
      </c>
    </row>
    <row r="2495" spans="1:17">
      <c r="A2495" s="71">
        <v>2493</v>
      </c>
      <c r="B2495">
        <v>12000</v>
      </c>
      <c r="C2495">
        <v>2</v>
      </c>
      <c r="D2495">
        <f t="shared" si="223"/>
        <v>78726</v>
      </c>
      <c r="E2495">
        <f t="shared" si="224"/>
        <v>79976</v>
      </c>
      <c r="F2495"/>
      <c r="G2495">
        <v>904018</v>
      </c>
      <c r="H2495" t="s">
        <v>561</v>
      </c>
      <c r="I2495"/>
      <c r="J2495" t="s">
        <v>436</v>
      </c>
      <c r="K2495">
        <v>1</v>
      </c>
      <c r="L2495" t="s">
        <v>606</v>
      </c>
      <c r="M2495">
        <f t="shared" si="221"/>
        <v>1250</v>
      </c>
      <c r="N2495"/>
      <c r="O2495">
        <f t="shared" si="222"/>
        <v>0.01056760732462</v>
      </c>
      <c r="P2495">
        <v>11000</v>
      </c>
    </row>
    <row r="2496" spans="1:17">
      <c r="A2496" s="71">
        <v>2494</v>
      </c>
      <c r="B2496">
        <v>12000</v>
      </c>
      <c r="C2496">
        <v>2</v>
      </c>
      <c r="D2496">
        <f t="shared" si="223"/>
        <v>79976</v>
      </c>
      <c r="E2496">
        <f t="shared" si="224"/>
        <v>81226</v>
      </c>
      <c r="F2496"/>
      <c r="G2496">
        <v>904019</v>
      </c>
      <c r="H2496" t="s">
        <v>562</v>
      </c>
      <c r="I2496"/>
      <c r="J2496" t="s">
        <v>436</v>
      </c>
      <c r="K2496">
        <v>1</v>
      </c>
      <c r="L2496" t="s">
        <v>606</v>
      </c>
      <c r="M2496">
        <f t="shared" si="221"/>
        <v>1250</v>
      </c>
      <c r="N2496"/>
      <c r="O2496">
        <f t="shared" si="222"/>
        <v>0.01056760732462</v>
      </c>
      <c r="P2496">
        <v>11000</v>
      </c>
    </row>
    <row r="2497" spans="1:16">
      <c r="A2497" s="71">
        <v>2495</v>
      </c>
      <c r="B2497">
        <v>12000</v>
      </c>
      <c r="C2497">
        <v>2</v>
      </c>
      <c r="D2497">
        <f t="shared" si="223"/>
        <v>81226</v>
      </c>
      <c r="E2497">
        <f t="shared" si="224"/>
        <v>82476</v>
      </c>
      <c r="F2497"/>
      <c r="G2497">
        <v>904020</v>
      </c>
      <c r="H2497" t="s">
        <v>563</v>
      </c>
      <c r="I2497"/>
      <c r="J2497" t="s">
        <v>436</v>
      </c>
      <c r="K2497">
        <v>1</v>
      </c>
      <c r="L2497" t="s">
        <v>606</v>
      </c>
      <c r="M2497">
        <f t="shared" si="221"/>
        <v>1250</v>
      </c>
      <c r="N2497"/>
      <c r="O2497">
        <f t="shared" si="222"/>
        <v>0.01056760732462</v>
      </c>
      <c r="P2497">
        <v>11000</v>
      </c>
    </row>
    <row r="2498" spans="1:16">
      <c r="A2498" s="71">
        <v>2496</v>
      </c>
      <c r="B2498">
        <v>12000</v>
      </c>
      <c r="C2498">
        <v>2</v>
      </c>
      <c r="D2498">
        <f t="shared" si="223"/>
        <v>82476</v>
      </c>
      <c r="E2498">
        <f t="shared" si="224"/>
        <v>83726</v>
      </c>
      <c r="F2498"/>
      <c r="G2498">
        <v>904053</v>
      </c>
      <c r="H2498" t="s">
        <v>564</v>
      </c>
      <c r="I2498"/>
      <c r="J2498" t="s">
        <v>436</v>
      </c>
      <c r="K2498">
        <v>1</v>
      </c>
      <c r="L2498" t="s">
        <v>606</v>
      </c>
      <c r="M2498">
        <f t="shared" si="221"/>
        <v>1250</v>
      </c>
      <c r="N2498"/>
      <c r="O2498">
        <f t="shared" si="222"/>
        <v>0.01056760732462</v>
      </c>
      <c r="P2498">
        <v>11000</v>
      </c>
    </row>
    <row r="2499" spans="1:16">
      <c r="A2499" s="71">
        <v>2497</v>
      </c>
      <c r="B2499">
        <v>12000</v>
      </c>
      <c r="C2499">
        <v>2</v>
      </c>
      <c r="D2499">
        <f t="shared" si="223"/>
        <v>83726</v>
      </c>
      <c r="E2499">
        <f t="shared" si="224"/>
        <v>84976</v>
      </c>
      <c r="F2499"/>
      <c r="G2499">
        <v>904054</v>
      </c>
      <c r="H2499" t="s">
        <v>565</v>
      </c>
      <c r="I2499"/>
      <c r="J2499" t="s">
        <v>436</v>
      </c>
      <c r="K2499">
        <v>1</v>
      </c>
      <c r="L2499" t="s">
        <v>606</v>
      </c>
      <c r="M2499">
        <f t="shared" si="221"/>
        <v>1250</v>
      </c>
      <c r="N2499"/>
      <c r="O2499">
        <f t="shared" si="222"/>
        <v>0.01056760732462</v>
      </c>
      <c r="P2499">
        <v>11000</v>
      </c>
    </row>
    <row r="2500" spans="1:16">
      <c r="A2500" s="71">
        <v>2498</v>
      </c>
      <c r="B2500">
        <v>12000</v>
      </c>
      <c r="C2500">
        <v>2</v>
      </c>
      <c r="D2500">
        <f t="shared" si="223"/>
        <v>84976</v>
      </c>
      <c r="E2500">
        <f t="shared" si="224"/>
        <v>86226</v>
      </c>
      <c r="F2500"/>
      <c r="G2500">
        <v>904055</v>
      </c>
      <c r="H2500" t="s">
        <v>566</v>
      </c>
      <c r="I2500"/>
      <c r="J2500" t="s">
        <v>436</v>
      </c>
      <c r="K2500">
        <v>1</v>
      </c>
      <c r="L2500" t="s">
        <v>606</v>
      </c>
      <c r="M2500">
        <f t="shared" si="221"/>
        <v>1250</v>
      </c>
      <c r="N2500"/>
      <c r="O2500">
        <f t="shared" si="222"/>
        <v>0.01056760732462</v>
      </c>
      <c r="P2500">
        <v>11000</v>
      </c>
    </row>
    <row r="2501" spans="1:16">
      <c r="A2501" s="71">
        <v>2499</v>
      </c>
      <c r="B2501">
        <v>12000</v>
      </c>
      <c r="C2501">
        <v>2</v>
      </c>
      <c r="D2501">
        <f t="shared" si="223"/>
        <v>86226</v>
      </c>
      <c r="E2501">
        <f t="shared" si="224"/>
        <v>87476</v>
      </c>
      <c r="F2501"/>
      <c r="G2501">
        <v>904056</v>
      </c>
      <c r="H2501" t="s">
        <v>567</v>
      </c>
      <c r="I2501"/>
      <c r="J2501" t="s">
        <v>436</v>
      </c>
      <c r="K2501">
        <v>1</v>
      </c>
      <c r="L2501" t="s">
        <v>606</v>
      </c>
      <c r="M2501">
        <f t="shared" si="221"/>
        <v>1250</v>
      </c>
      <c r="N2501"/>
      <c r="O2501">
        <f t="shared" si="222"/>
        <v>0.01056760732462</v>
      </c>
      <c r="P2501">
        <v>11000</v>
      </c>
    </row>
    <row r="2502" spans="1:16">
      <c r="A2502" s="71">
        <v>2500</v>
      </c>
      <c r="B2502">
        <v>12000</v>
      </c>
      <c r="C2502">
        <v>2</v>
      </c>
      <c r="D2502">
        <f t="shared" si="223"/>
        <v>87476</v>
      </c>
      <c r="E2502">
        <f t="shared" si="224"/>
        <v>88726</v>
      </c>
      <c r="F2502"/>
      <c r="G2502">
        <v>904057</v>
      </c>
      <c r="H2502" t="s">
        <v>568</v>
      </c>
      <c r="I2502"/>
      <c r="J2502" t="s">
        <v>436</v>
      </c>
      <c r="K2502">
        <v>1</v>
      </c>
      <c r="L2502" t="s">
        <v>606</v>
      </c>
      <c r="M2502">
        <f t="shared" si="221"/>
        <v>1250</v>
      </c>
      <c r="N2502"/>
      <c r="O2502">
        <f t="shared" si="222"/>
        <v>0.01056760732462</v>
      </c>
      <c r="P2502">
        <v>11000</v>
      </c>
    </row>
    <row r="2503" spans="1:16">
      <c r="A2503" s="71">
        <v>2501</v>
      </c>
      <c r="B2503">
        <v>12000</v>
      </c>
      <c r="C2503">
        <v>2</v>
      </c>
      <c r="D2503">
        <f t="shared" si="223"/>
        <v>88726</v>
      </c>
      <c r="E2503">
        <f t="shared" si="224"/>
        <v>89976</v>
      </c>
      <c r="F2503"/>
      <c r="G2503">
        <v>904058</v>
      </c>
      <c r="H2503" t="s">
        <v>549</v>
      </c>
      <c r="I2503"/>
      <c r="J2503" t="s">
        <v>436</v>
      </c>
      <c r="K2503">
        <v>1</v>
      </c>
      <c r="L2503" t="s">
        <v>606</v>
      </c>
      <c r="M2503">
        <f t="shared" si="221"/>
        <v>1250</v>
      </c>
      <c r="N2503"/>
      <c r="O2503">
        <f t="shared" si="222"/>
        <v>0.01056760732462</v>
      </c>
      <c r="P2503">
        <v>11000</v>
      </c>
    </row>
    <row r="2504" spans="1:16">
      <c r="A2504" s="71">
        <v>2502</v>
      </c>
      <c r="B2504">
        <v>12000</v>
      </c>
      <c r="C2504">
        <v>2</v>
      </c>
      <c r="D2504">
        <f t="shared" si="223"/>
        <v>89976</v>
      </c>
      <c r="E2504">
        <f t="shared" si="224"/>
        <v>91226</v>
      </c>
      <c r="F2504"/>
      <c r="G2504">
        <v>904026</v>
      </c>
      <c r="H2504" t="s">
        <v>569</v>
      </c>
      <c r="I2504"/>
      <c r="J2504" t="s">
        <v>436</v>
      </c>
      <c r="K2504">
        <v>1</v>
      </c>
      <c r="L2504" t="s">
        <v>606</v>
      </c>
      <c r="M2504">
        <f t="shared" si="221"/>
        <v>1250</v>
      </c>
      <c r="N2504"/>
      <c r="O2504">
        <f t="shared" ref="O2504:O2534" si="225">(E2504-D2504)/$E$2560</f>
        <v>0.01056760732462</v>
      </c>
      <c r="P2504">
        <v>11000</v>
      </c>
    </row>
    <row r="2505" spans="1:16">
      <c r="A2505" s="71">
        <v>2503</v>
      </c>
      <c r="B2505">
        <v>12000</v>
      </c>
      <c r="C2505">
        <v>2</v>
      </c>
      <c r="D2505">
        <f t="shared" si="223"/>
        <v>91226</v>
      </c>
      <c r="E2505">
        <f t="shared" si="224"/>
        <v>92476</v>
      </c>
      <c r="F2505"/>
      <c r="G2505">
        <v>904027</v>
      </c>
      <c r="H2505" t="s">
        <v>570</v>
      </c>
      <c r="I2505"/>
      <c r="J2505" t="s">
        <v>436</v>
      </c>
      <c r="K2505">
        <v>1</v>
      </c>
      <c r="L2505" t="s">
        <v>606</v>
      </c>
      <c r="M2505">
        <f t="shared" si="221"/>
        <v>1250</v>
      </c>
      <c r="N2505"/>
      <c r="O2505">
        <f t="shared" si="225"/>
        <v>0.01056760732462</v>
      </c>
      <c r="P2505">
        <v>11000</v>
      </c>
    </row>
    <row r="2506" spans="1:16">
      <c r="A2506" s="71">
        <v>2504</v>
      </c>
      <c r="B2506">
        <v>12000</v>
      </c>
      <c r="C2506">
        <v>2</v>
      </c>
      <c r="D2506">
        <f t="shared" si="223"/>
        <v>92476</v>
      </c>
      <c r="E2506">
        <f t="shared" si="224"/>
        <v>93726</v>
      </c>
      <c r="F2506"/>
      <c r="G2506">
        <v>904028</v>
      </c>
      <c r="H2506" t="s">
        <v>571</v>
      </c>
      <c r="I2506"/>
      <c r="J2506" t="s">
        <v>436</v>
      </c>
      <c r="K2506">
        <v>1</v>
      </c>
      <c r="L2506" t="s">
        <v>606</v>
      </c>
      <c r="M2506">
        <f t="shared" si="221"/>
        <v>1250</v>
      </c>
      <c r="N2506"/>
      <c r="O2506">
        <f t="shared" si="225"/>
        <v>0.01056760732462</v>
      </c>
      <c r="P2506">
        <v>11000</v>
      </c>
    </row>
    <row r="2507" spans="1:16">
      <c r="A2507" s="71">
        <v>2505</v>
      </c>
      <c r="B2507">
        <v>12000</v>
      </c>
      <c r="C2507">
        <v>2</v>
      </c>
      <c r="D2507">
        <f t="shared" si="223"/>
        <v>93726</v>
      </c>
      <c r="E2507">
        <f t="shared" si="224"/>
        <v>94976</v>
      </c>
      <c r="F2507"/>
      <c r="G2507">
        <v>904029</v>
      </c>
      <c r="H2507" t="s">
        <v>572</v>
      </c>
      <c r="I2507"/>
      <c r="J2507" t="s">
        <v>436</v>
      </c>
      <c r="K2507">
        <v>1</v>
      </c>
      <c r="L2507" t="s">
        <v>606</v>
      </c>
      <c r="M2507">
        <f t="shared" si="221"/>
        <v>1250</v>
      </c>
      <c r="N2507"/>
      <c r="O2507">
        <f t="shared" si="225"/>
        <v>0.01056760732462</v>
      </c>
      <c r="P2507">
        <v>11000</v>
      </c>
    </row>
    <row r="2508" spans="1:16">
      <c r="A2508" s="71">
        <v>2506</v>
      </c>
      <c r="B2508">
        <v>12000</v>
      </c>
      <c r="C2508">
        <v>2</v>
      </c>
      <c r="D2508">
        <f t="shared" si="223"/>
        <v>94976</v>
      </c>
      <c r="E2508">
        <f t="shared" si="224"/>
        <v>96226</v>
      </c>
      <c r="F2508"/>
      <c r="G2508">
        <v>904030</v>
      </c>
      <c r="H2508" t="s">
        <v>573</v>
      </c>
      <c r="I2508"/>
      <c r="J2508" t="s">
        <v>436</v>
      </c>
      <c r="K2508">
        <v>1</v>
      </c>
      <c r="L2508" t="s">
        <v>606</v>
      </c>
      <c r="M2508">
        <f t="shared" si="221"/>
        <v>1250</v>
      </c>
      <c r="N2508"/>
      <c r="O2508">
        <f t="shared" si="225"/>
        <v>0.01056760732462</v>
      </c>
      <c r="P2508">
        <v>11000</v>
      </c>
    </row>
    <row r="2509" spans="1:16">
      <c r="A2509" s="71">
        <v>2507</v>
      </c>
      <c r="B2509">
        <v>12000</v>
      </c>
      <c r="C2509">
        <v>2</v>
      </c>
      <c r="D2509">
        <f t="shared" si="223"/>
        <v>96226</v>
      </c>
      <c r="E2509">
        <f t="shared" si="224"/>
        <v>97476</v>
      </c>
      <c r="F2509"/>
      <c r="G2509">
        <v>904031</v>
      </c>
      <c r="H2509" t="s">
        <v>574</v>
      </c>
      <c r="I2509"/>
      <c r="J2509" t="s">
        <v>436</v>
      </c>
      <c r="K2509">
        <v>1</v>
      </c>
      <c r="L2509" t="s">
        <v>606</v>
      </c>
      <c r="M2509">
        <f t="shared" si="221"/>
        <v>1250</v>
      </c>
      <c r="N2509"/>
      <c r="O2509">
        <f t="shared" si="225"/>
        <v>0.01056760732462</v>
      </c>
      <c r="P2509">
        <v>11000</v>
      </c>
    </row>
    <row r="2510" spans="1:16">
      <c r="A2510" s="71">
        <v>2508</v>
      </c>
      <c r="B2510">
        <v>12000</v>
      </c>
      <c r="C2510">
        <v>2</v>
      </c>
      <c r="D2510">
        <f t="shared" si="223"/>
        <v>97476</v>
      </c>
      <c r="E2510">
        <f t="shared" si="224"/>
        <v>98726</v>
      </c>
      <c r="F2510"/>
      <c r="G2510">
        <v>904036</v>
      </c>
      <c r="H2510" t="s">
        <v>575</v>
      </c>
      <c r="I2510"/>
      <c r="J2510" t="s">
        <v>436</v>
      </c>
      <c r="K2510">
        <v>1</v>
      </c>
      <c r="L2510" t="s">
        <v>606</v>
      </c>
      <c r="M2510">
        <f t="shared" si="221"/>
        <v>1250</v>
      </c>
      <c r="N2510"/>
      <c r="O2510">
        <f t="shared" si="225"/>
        <v>0.01056760732462</v>
      </c>
      <c r="P2510">
        <v>11000</v>
      </c>
    </row>
    <row r="2511" spans="1:16">
      <c r="A2511" s="71">
        <v>2509</v>
      </c>
      <c r="B2511">
        <v>12000</v>
      </c>
      <c r="C2511">
        <v>2</v>
      </c>
      <c r="D2511">
        <f t="shared" si="223"/>
        <v>98726</v>
      </c>
      <c r="E2511">
        <f t="shared" si="224"/>
        <v>99976</v>
      </c>
      <c r="F2511"/>
      <c r="G2511">
        <v>904037</v>
      </c>
      <c r="H2511" t="s">
        <v>576</v>
      </c>
      <c r="I2511"/>
      <c r="J2511" t="s">
        <v>436</v>
      </c>
      <c r="K2511">
        <v>1</v>
      </c>
      <c r="L2511" t="s">
        <v>606</v>
      </c>
      <c r="M2511">
        <f t="shared" si="221"/>
        <v>1250</v>
      </c>
      <c r="N2511"/>
      <c r="O2511">
        <f t="shared" si="225"/>
        <v>0.01056760732462</v>
      </c>
      <c r="P2511">
        <v>11000</v>
      </c>
    </row>
    <row r="2512" spans="1:16">
      <c r="A2512" s="71">
        <v>2510</v>
      </c>
      <c r="B2512">
        <v>12000</v>
      </c>
      <c r="C2512">
        <v>2</v>
      </c>
      <c r="D2512">
        <f t="shared" si="223"/>
        <v>99976</v>
      </c>
      <c r="E2512">
        <f t="shared" si="224"/>
        <v>101226</v>
      </c>
      <c r="F2512"/>
      <c r="G2512">
        <v>904038</v>
      </c>
      <c r="H2512" t="s">
        <v>577</v>
      </c>
      <c r="I2512"/>
      <c r="J2512" t="s">
        <v>436</v>
      </c>
      <c r="K2512">
        <v>1</v>
      </c>
      <c r="L2512" t="s">
        <v>606</v>
      </c>
      <c r="M2512">
        <f t="shared" si="221"/>
        <v>1250</v>
      </c>
      <c r="N2512"/>
      <c r="O2512">
        <f t="shared" si="225"/>
        <v>0.01056760732462</v>
      </c>
      <c r="P2512">
        <v>11000</v>
      </c>
    </row>
    <row r="2513" spans="1:16">
      <c r="A2513" s="71">
        <v>2511</v>
      </c>
      <c r="B2513">
        <v>12000</v>
      </c>
      <c r="C2513">
        <v>2</v>
      </c>
      <c r="D2513">
        <f t="shared" si="223"/>
        <v>101226</v>
      </c>
      <c r="E2513">
        <f t="shared" si="224"/>
        <v>102476</v>
      </c>
      <c r="F2513"/>
      <c r="G2513">
        <v>904040</v>
      </c>
      <c r="H2513" t="s">
        <v>578</v>
      </c>
      <c r="I2513"/>
      <c r="J2513" t="s">
        <v>436</v>
      </c>
      <c r="K2513">
        <v>1</v>
      </c>
      <c r="L2513" t="s">
        <v>606</v>
      </c>
      <c r="M2513">
        <f t="shared" si="221"/>
        <v>1250</v>
      </c>
      <c r="N2513"/>
      <c r="O2513">
        <f t="shared" si="225"/>
        <v>0.01056760732462</v>
      </c>
      <c r="P2513">
        <v>11000</v>
      </c>
    </row>
    <row r="2514" spans="1:16">
      <c r="A2514" s="71">
        <v>2512</v>
      </c>
      <c r="B2514">
        <v>12000</v>
      </c>
      <c r="C2514">
        <v>2</v>
      </c>
      <c r="D2514">
        <f t="shared" si="223"/>
        <v>102476</v>
      </c>
      <c r="E2514">
        <f t="shared" si="224"/>
        <v>103726</v>
      </c>
      <c r="F2514"/>
      <c r="G2514">
        <v>904041</v>
      </c>
      <c r="H2514" t="s">
        <v>579</v>
      </c>
      <c r="I2514"/>
      <c r="J2514" t="s">
        <v>436</v>
      </c>
      <c r="K2514">
        <v>1</v>
      </c>
      <c r="L2514" t="s">
        <v>606</v>
      </c>
      <c r="M2514">
        <f t="shared" si="221"/>
        <v>1250</v>
      </c>
      <c r="N2514"/>
      <c r="O2514">
        <f t="shared" si="225"/>
        <v>0.01056760732462</v>
      </c>
      <c r="P2514">
        <v>11000</v>
      </c>
    </row>
    <row r="2515" spans="1:16">
      <c r="A2515" s="71">
        <v>2513</v>
      </c>
      <c r="B2515">
        <v>12000</v>
      </c>
      <c r="C2515">
        <v>2</v>
      </c>
      <c r="D2515">
        <f t="shared" si="223"/>
        <v>103726</v>
      </c>
      <c r="E2515">
        <f t="shared" si="224"/>
        <v>104976</v>
      </c>
      <c r="F2515"/>
      <c r="G2515">
        <v>904042</v>
      </c>
      <c r="H2515" t="s">
        <v>580</v>
      </c>
      <c r="I2515"/>
      <c r="J2515" t="s">
        <v>436</v>
      </c>
      <c r="K2515">
        <v>1</v>
      </c>
      <c r="L2515" t="s">
        <v>606</v>
      </c>
      <c r="M2515">
        <f t="shared" si="221"/>
        <v>1250</v>
      </c>
      <c r="N2515"/>
      <c r="O2515">
        <f t="shared" si="225"/>
        <v>0.01056760732462</v>
      </c>
      <c r="P2515">
        <v>11000</v>
      </c>
    </row>
    <row r="2516" spans="1:16">
      <c r="A2516" s="71">
        <v>2514</v>
      </c>
      <c r="B2516">
        <v>12000</v>
      </c>
      <c r="C2516">
        <v>2</v>
      </c>
      <c r="D2516">
        <f t="shared" si="223"/>
        <v>104976</v>
      </c>
      <c r="E2516">
        <f t="shared" si="224"/>
        <v>106226</v>
      </c>
      <c r="F2516"/>
      <c r="G2516">
        <v>904043</v>
      </c>
      <c r="H2516" t="s">
        <v>581</v>
      </c>
      <c r="I2516"/>
      <c r="J2516" t="s">
        <v>436</v>
      </c>
      <c r="K2516">
        <v>1</v>
      </c>
      <c r="L2516" t="s">
        <v>606</v>
      </c>
      <c r="M2516">
        <f t="shared" si="221"/>
        <v>1250</v>
      </c>
      <c r="N2516"/>
      <c r="O2516">
        <f t="shared" si="225"/>
        <v>0.01056760732462</v>
      </c>
      <c r="P2516">
        <v>11000</v>
      </c>
    </row>
    <row r="2517" spans="1:16">
      <c r="A2517" s="71">
        <v>2515</v>
      </c>
      <c r="B2517">
        <v>12000</v>
      </c>
      <c r="C2517">
        <v>2</v>
      </c>
      <c r="D2517">
        <f t="shared" si="223"/>
        <v>106226</v>
      </c>
      <c r="E2517">
        <f t="shared" si="224"/>
        <v>107476</v>
      </c>
      <c r="F2517"/>
      <c r="G2517">
        <v>904044</v>
      </c>
      <c r="H2517" t="s">
        <v>582</v>
      </c>
      <c r="I2517"/>
      <c r="J2517" t="s">
        <v>436</v>
      </c>
      <c r="K2517">
        <v>1</v>
      </c>
      <c r="L2517" t="s">
        <v>606</v>
      </c>
      <c r="M2517">
        <f t="shared" si="221"/>
        <v>1250</v>
      </c>
      <c r="N2517"/>
      <c r="O2517">
        <f t="shared" si="225"/>
        <v>0.01056760732462</v>
      </c>
      <c r="P2517">
        <v>11000</v>
      </c>
    </row>
    <row r="2518" spans="1:16">
      <c r="A2518" s="71">
        <v>2516</v>
      </c>
      <c r="B2518">
        <v>12000</v>
      </c>
      <c r="C2518">
        <v>2</v>
      </c>
      <c r="D2518">
        <f t="shared" si="223"/>
        <v>107476</v>
      </c>
      <c r="E2518">
        <f t="shared" si="224"/>
        <v>108726</v>
      </c>
      <c r="F2518"/>
      <c r="G2518">
        <v>904045</v>
      </c>
      <c r="H2518" t="s">
        <v>583</v>
      </c>
      <c r="I2518"/>
      <c r="J2518" t="s">
        <v>436</v>
      </c>
      <c r="K2518">
        <v>1</v>
      </c>
      <c r="L2518" t="s">
        <v>606</v>
      </c>
      <c r="M2518">
        <f t="shared" si="221"/>
        <v>1250</v>
      </c>
      <c r="N2518"/>
      <c r="O2518">
        <f t="shared" si="225"/>
        <v>0.01056760732462</v>
      </c>
      <c r="P2518">
        <v>11000</v>
      </c>
    </row>
    <row r="2519" spans="1:16">
      <c r="A2519" s="71">
        <v>2517</v>
      </c>
      <c r="B2519">
        <v>12000</v>
      </c>
      <c r="C2519">
        <v>2</v>
      </c>
      <c r="D2519">
        <f t="shared" si="223"/>
        <v>108726</v>
      </c>
      <c r="E2519">
        <f t="shared" si="224"/>
        <v>109976</v>
      </c>
      <c r="F2519"/>
      <c r="G2519">
        <v>904046</v>
      </c>
      <c r="H2519" t="s">
        <v>584</v>
      </c>
      <c r="I2519"/>
      <c r="J2519" t="s">
        <v>436</v>
      </c>
      <c r="K2519">
        <v>1</v>
      </c>
      <c r="L2519" t="s">
        <v>606</v>
      </c>
      <c r="M2519">
        <f t="shared" si="221"/>
        <v>1250</v>
      </c>
      <c r="N2519"/>
      <c r="O2519">
        <f t="shared" si="225"/>
        <v>0.01056760732462</v>
      </c>
      <c r="P2519">
        <v>11000</v>
      </c>
    </row>
    <row r="2520" spans="1:16">
      <c r="A2520" s="71">
        <v>2518</v>
      </c>
      <c r="B2520">
        <v>12000</v>
      </c>
      <c r="C2520">
        <v>2</v>
      </c>
      <c r="D2520">
        <f t="shared" si="223"/>
        <v>109976</v>
      </c>
      <c r="E2520">
        <f t="shared" si="224"/>
        <v>111226</v>
      </c>
      <c r="F2520"/>
      <c r="G2520">
        <v>904047</v>
      </c>
      <c r="H2520" t="s">
        <v>585</v>
      </c>
      <c r="I2520"/>
      <c r="J2520" t="s">
        <v>436</v>
      </c>
      <c r="K2520">
        <v>1</v>
      </c>
      <c r="L2520" t="s">
        <v>606</v>
      </c>
      <c r="M2520">
        <f t="shared" si="221"/>
        <v>1250</v>
      </c>
      <c r="N2520"/>
      <c r="O2520">
        <f t="shared" si="225"/>
        <v>0.01056760732462</v>
      </c>
      <c r="P2520">
        <v>11000</v>
      </c>
    </row>
    <row r="2521" spans="1:16">
      <c r="A2521" s="71">
        <v>2519</v>
      </c>
      <c r="B2521">
        <v>12000</v>
      </c>
      <c r="C2521">
        <v>2</v>
      </c>
      <c r="D2521">
        <f t="shared" si="223"/>
        <v>111226</v>
      </c>
      <c r="E2521">
        <f t="shared" si="224"/>
        <v>112476</v>
      </c>
      <c r="F2521"/>
      <c r="G2521">
        <v>904048</v>
      </c>
      <c r="H2521" t="s">
        <v>586</v>
      </c>
      <c r="I2521"/>
      <c r="J2521" t="s">
        <v>436</v>
      </c>
      <c r="K2521">
        <v>1</v>
      </c>
      <c r="L2521" t="s">
        <v>606</v>
      </c>
      <c r="M2521">
        <f t="shared" si="221"/>
        <v>1250</v>
      </c>
      <c r="N2521"/>
      <c r="O2521">
        <f t="shared" si="225"/>
        <v>0.01056760732462</v>
      </c>
      <c r="P2521">
        <v>11000</v>
      </c>
    </row>
    <row r="2522" spans="1:16">
      <c r="A2522" s="71">
        <v>2520</v>
      </c>
      <c r="B2522">
        <v>12000</v>
      </c>
      <c r="C2522">
        <v>2</v>
      </c>
      <c r="D2522">
        <f t="shared" si="223"/>
        <v>112476</v>
      </c>
      <c r="E2522">
        <f t="shared" si="224"/>
        <v>113726</v>
      </c>
      <c r="F2522"/>
      <c r="G2522">
        <v>904049</v>
      </c>
      <c r="H2522" t="s">
        <v>587</v>
      </c>
      <c r="I2522"/>
      <c r="J2522" t="s">
        <v>436</v>
      </c>
      <c r="K2522">
        <v>1</v>
      </c>
      <c r="L2522" t="s">
        <v>606</v>
      </c>
      <c r="M2522">
        <f t="shared" si="221"/>
        <v>1250</v>
      </c>
      <c r="N2522"/>
      <c r="O2522">
        <f t="shared" si="225"/>
        <v>0.01056760732462</v>
      </c>
      <c r="P2522">
        <v>11000</v>
      </c>
    </row>
    <row r="2523" spans="1:16">
      <c r="A2523">
        <v>2521</v>
      </c>
      <c r="B2523">
        <v>12000</v>
      </c>
      <c r="C2523">
        <v>6</v>
      </c>
      <c r="D2523">
        <f t="shared" si="223"/>
        <v>113726</v>
      </c>
      <c r="E2523">
        <f t="shared" si="224"/>
        <v>113846</v>
      </c>
      <c r="F2523"/>
      <c r="G2523" t="s">
        <v>280</v>
      </c>
      <c r="H2523" t="s">
        <v>281</v>
      </c>
      <c r="I2523"/>
      <c r="J2523" t="s">
        <v>279</v>
      </c>
      <c r="K2523">
        <v>1</v>
      </c>
      <c r="L2523" t="s">
        <v>606</v>
      </c>
      <c r="M2523">
        <f t="shared" si="221"/>
        <v>120</v>
      </c>
      <c r="N2523"/>
      <c r="O2523">
        <f t="shared" si="225"/>
        <v>0.00101449030316352</v>
      </c>
      <c r="P2523">
        <v>11001</v>
      </c>
    </row>
    <row r="2524" spans="1:16">
      <c r="A2524">
        <v>2522</v>
      </c>
      <c r="B2524">
        <v>12000</v>
      </c>
      <c r="C2524">
        <v>6</v>
      </c>
      <c r="D2524">
        <f t="shared" si="223"/>
        <v>113846</v>
      </c>
      <c r="E2524">
        <f t="shared" si="224"/>
        <v>113966</v>
      </c>
      <c r="F2524"/>
      <c r="G2524" t="s">
        <v>282</v>
      </c>
      <c r="H2524" t="s">
        <v>283</v>
      </c>
      <c r="I2524"/>
      <c r="J2524" t="s">
        <v>279</v>
      </c>
      <c r="K2524">
        <v>1</v>
      </c>
      <c r="L2524" t="s">
        <v>606</v>
      </c>
      <c r="M2524">
        <f t="shared" si="221"/>
        <v>120</v>
      </c>
      <c r="N2524"/>
      <c r="O2524">
        <f t="shared" si="225"/>
        <v>0.00101449030316352</v>
      </c>
      <c r="P2524">
        <v>11002</v>
      </c>
    </row>
    <row r="2525" spans="1:16">
      <c r="A2525">
        <v>2523</v>
      </c>
      <c r="B2525">
        <v>12000</v>
      </c>
      <c r="C2525">
        <v>6</v>
      </c>
      <c r="D2525">
        <f t="shared" si="223"/>
        <v>113966</v>
      </c>
      <c r="E2525">
        <f t="shared" si="224"/>
        <v>114086</v>
      </c>
      <c r="F2525"/>
      <c r="G2525" t="s">
        <v>284</v>
      </c>
      <c r="H2525" t="s">
        <v>285</v>
      </c>
      <c r="I2525"/>
      <c r="J2525" t="s">
        <v>279</v>
      </c>
      <c r="K2525">
        <v>1</v>
      </c>
      <c r="L2525" t="s">
        <v>606</v>
      </c>
      <c r="M2525">
        <f t="shared" si="221"/>
        <v>120</v>
      </c>
      <c r="N2525"/>
      <c r="O2525">
        <f t="shared" si="225"/>
        <v>0.00101449030316352</v>
      </c>
      <c r="P2525">
        <v>11003</v>
      </c>
    </row>
    <row r="2526" spans="1:16">
      <c r="A2526">
        <v>2524</v>
      </c>
      <c r="B2526">
        <v>12000</v>
      </c>
      <c r="C2526">
        <v>6</v>
      </c>
      <c r="D2526">
        <f t="shared" si="223"/>
        <v>114086</v>
      </c>
      <c r="E2526">
        <f t="shared" si="224"/>
        <v>114206</v>
      </c>
      <c r="F2526"/>
      <c r="G2526" t="s">
        <v>286</v>
      </c>
      <c r="H2526" t="s">
        <v>287</v>
      </c>
      <c r="I2526"/>
      <c r="J2526" t="s">
        <v>279</v>
      </c>
      <c r="K2526">
        <v>1</v>
      </c>
      <c r="L2526" t="s">
        <v>606</v>
      </c>
      <c r="M2526">
        <f t="shared" si="221"/>
        <v>120</v>
      </c>
      <c r="N2526"/>
      <c r="O2526">
        <f t="shared" si="225"/>
        <v>0.00101449030316352</v>
      </c>
      <c r="P2526">
        <v>11004</v>
      </c>
    </row>
    <row r="2527" spans="1:16">
      <c r="A2527">
        <v>2525</v>
      </c>
      <c r="B2527">
        <v>12000</v>
      </c>
      <c r="C2527">
        <v>6</v>
      </c>
      <c r="D2527">
        <f t="shared" si="223"/>
        <v>114206</v>
      </c>
      <c r="E2527">
        <f t="shared" si="224"/>
        <v>114326</v>
      </c>
      <c r="F2527"/>
      <c r="G2527" t="s">
        <v>288</v>
      </c>
      <c r="H2527" t="s">
        <v>289</v>
      </c>
      <c r="I2527"/>
      <c r="J2527" t="s">
        <v>279</v>
      </c>
      <c r="K2527">
        <v>1</v>
      </c>
      <c r="L2527" t="s">
        <v>606</v>
      </c>
      <c r="M2527">
        <f t="shared" si="221"/>
        <v>120</v>
      </c>
      <c r="N2527"/>
      <c r="O2527">
        <f t="shared" si="225"/>
        <v>0.00101449030316352</v>
      </c>
      <c r="P2527">
        <v>11005</v>
      </c>
    </row>
    <row r="2528" spans="1:16">
      <c r="A2528">
        <v>2526</v>
      </c>
      <c r="B2528">
        <v>12000</v>
      </c>
      <c r="C2528">
        <v>6</v>
      </c>
      <c r="D2528">
        <f t="shared" si="223"/>
        <v>114326</v>
      </c>
      <c r="E2528">
        <f t="shared" si="224"/>
        <v>114446</v>
      </c>
      <c r="F2528"/>
      <c r="G2528" t="s">
        <v>290</v>
      </c>
      <c r="H2528" t="s">
        <v>291</v>
      </c>
      <c r="I2528"/>
      <c r="J2528" t="s">
        <v>279</v>
      </c>
      <c r="K2528">
        <v>1</v>
      </c>
      <c r="L2528" t="s">
        <v>606</v>
      </c>
      <c r="M2528">
        <f t="shared" si="221"/>
        <v>120</v>
      </c>
      <c r="N2528"/>
      <c r="O2528">
        <f t="shared" si="225"/>
        <v>0.00101449030316352</v>
      </c>
      <c r="P2528">
        <v>11006</v>
      </c>
    </row>
    <row r="2529" spans="1:16">
      <c r="A2529">
        <v>2527</v>
      </c>
      <c r="B2529">
        <v>12000</v>
      </c>
      <c r="C2529">
        <v>6</v>
      </c>
      <c r="D2529">
        <f t="shared" si="223"/>
        <v>114446</v>
      </c>
      <c r="E2529">
        <f t="shared" si="224"/>
        <v>114566</v>
      </c>
      <c r="F2529"/>
      <c r="G2529" t="s">
        <v>292</v>
      </c>
      <c r="H2529" t="s">
        <v>293</v>
      </c>
      <c r="I2529"/>
      <c r="J2529" t="s">
        <v>279</v>
      </c>
      <c r="K2529">
        <v>1</v>
      </c>
      <c r="L2529" t="s">
        <v>606</v>
      </c>
      <c r="M2529">
        <f t="shared" si="221"/>
        <v>120</v>
      </c>
      <c r="N2529"/>
      <c r="O2529">
        <f t="shared" si="225"/>
        <v>0.00101449030316352</v>
      </c>
      <c r="P2529">
        <v>11007</v>
      </c>
    </row>
    <row r="2530" spans="1:16">
      <c r="A2530">
        <v>2528</v>
      </c>
      <c r="B2530">
        <v>12000</v>
      </c>
      <c r="C2530">
        <v>6</v>
      </c>
      <c r="D2530">
        <f t="shared" si="223"/>
        <v>114566</v>
      </c>
      <c r="E2530">
        <f t="shared" si="224"/>
        <v>114686</v>
      </c>
      <c r="F2530"/>
      <c r="G2530" t="s">
        <v>294</v>
      </c>
      <c r="H2530" t="s">
        <v>295</v>
      </c>
      <c r="I2530"/>
      <c r="J2530" t="s">
        <v>279</v>
      </c>
      <c r="K2530">
        <v>1</v>
      </c>
      <c r="L2530" t="s">
        <v>606</v>
      </c>
      <c r="M2530">
        <f t="shared" si="221"/>
        <v>120</v>
      </c>
      <c r="N2530"/>
      <c r="O2530">
        <f t="shared" si="225"/>
        <v>0.00101449030316352</v>
      </c>
      <c r="P2530">
        <v>11008</v>
      </c>
    </row>
    <row r="2531" spans="1:16">
      <c r="A2531">
        <v>2529</v>
      </c>
      <c r="B2531">
        <v>12000</v>
      </c>
      <c r="C2531">
        <v>6</v>
      </c>
      <c r="D2531">
        <f t="shared" si="223"/>
        <v>114686</v>
      </c>
      <c r="E2531">
        <f t="shared" si="224"/>
        <v>114806</v>
      </c>
      <c r="F2531"/>
      <c r="G2531" t="s">
        <v>296</v>
      </c>
      <c r="H2531" t="s">
        <v>297</v>
      </c>
      <c r="I2531"/>
      <c r="J2531" t="s">
        <v>279</v>
      </c>
      <c r="K2531">
        <v>1</v>
      </c>
      <c r="L2531" t="s">
        <v>606</v>
      </c>
      <c r="M2531">
        <f t="shared" si="221"/>
        <v>120</v>
      </c>
      <c r="N2531"/>
      <c r="O2531">
        <f t="shared" si="225"/>
        <v>0.00101449030316352</v>
      </c>
      <c r="P2531">
        <v>11009</v>
      </c>
    </row>
    <row r="2532" spans="1:16">
      <c r="A2532">
        <v>2530</v>
      </c>
      <c r="B2532">
        <v>12000</v>
      </c>
      <c r="C2532">
        <v>6</v>
      </c>
      <c r="D2532">
        <f t="shared" si="223"/>
        <v>114806</v>
      </c>
      <c r="E2532">
        <f t="shared" si="224"/>
        <v>114926</v>
      </c>
      <c r="F2532"/>
      <c r="G2532" t="s">
        <v>298</v>
      </c>
      <c r="H2532" t="s">
        <v>299</v>
      </c>
      <c r="I2532"/>
      <c r="J2532" t="s">
        <v>279</v>
      </c>
      <c r="K2532">
        <v>1</v>
      </c>
      <c r="L2532" t="s">
        <v>606</v>
      </c>
      <c r="M2532">
        <f t="shared" si="221"/>
        <v>120</v>
      </c>
      <c r="N2532"/>
      <c r="O2532">
        <f t="shared" si="225"/>
        <v>0.00101449030316352</v>
      </c>
      <c r="P2532">
        <v>11010</v>
      </c>
    </row>
    <row r="2533" spans="1:16">
      <c r="A2533">
        <v>2531</v>
      </c>
      <c r="B2533">
        <v>12000</v>
      </c>
      <c r="C2533">
        <v>6</v>
      </c>
      <c r="D2533">
        <f t="shared" si="223"/>
        <v>114926</v>
      </c>
      <c r="E2533">
        <f t="shared" si="224"/>
        <v>115046</v>
      </c>
      <c r="F2533"/>
      <c r="G2533" t="s">
        <v>300</v>
      </c>
      <c r="H2533" t="s">
        <v>301</v>
      </c>
      <c r="I2533"/>
      <c r="J2533" t="s">
        <v>279</v>
      </c>
      <c r="K2533">
        <v>1</v>
      </c>
      <c r="L2533" t="s">
        <v>606</v>
      </c>
      <c r="M2533">
        <f t="shared" si="221"/>
        <v>120</v>
      </c>
      <c r="N2533"/>
      <c r="O2533">
        <f t="shared" si="225"/>
        <v>0.00101449030316352</v>
      </c>
      <c r="P2533">
        <v>11011</v>
      </c>
    </row>
    <row r="2534" spans="1:16">
      <c r="A2534">
        <v>2532</v>
      </c>
      <c r="B2534">
        <v>12000</v>
      </c>
      <c r="C2534">
        <v>6</v>
      </c>
      <c r="D2534">
        <f t="shared" si="223"/>
        <v>115046</v>
      </c>
      <c r="E2534">
        <f t="shared" si="224"/>
        <v>115166</v>
      </c>
      <c r="F2534"/>
      <c r="G2534" t="s">
        <v>302</v>
      </c>
      <c r="H2534" t="s">
        <v>303</v>
      </c>
      <c r="I2534"/>
      <c r="J2534" t="s">
        <v>279</v>
      </c>
      <c r="K2534">
        <v>1</v>
      </c>
      <c r="L2534" t="s">
        <v>606</v>
      </c>
      <c r="M2534">
        <f t="shared" si="221"/>
        <v>120</v>
      </c>
      <c r="N2534"/>
      <c r="O2534">
        <f t="shared" si="225"/>
        <v>0.00101449030316352</v>
      </c>
      <c r="P2534">
        <v>11012</v>
      </c>
    </row>
    <row r="2535" spans="1:16">
      <c r="A2535">
        <v>2533</v>
      </c>
      <c r="B2535">
        <v>12000</v>
      </c>
      <c r="C2535">
        <v>6</v>
      </c>
      <c r="D2535">
        <f t="shared" si="223"/>
        <v>115166</v>
      </c>
      <c r="E2535">
        <f t="shared" si="224"/>
        <v>115286</v>
      </c>
      <c r="F2535"/>
      <c r="G2535" t="s">
        <v>304</v>
      </c>
      <c r="H2535" t="s">
        <v>305</v>
      </c>
      <c r="I2535"/>
      <c r="J2535" t="s">
        <v>279</v>
      </c>
      <c r="K2535">
        <v>1</v>
      </c>
      <c r="L2535" t="s">
        <v>606</v>
      </c>
      <c r="M2535">
        <f t="shared" ref="M2535:M2560" si="226">ROUNDDOWN(VLOOKUP(J2535,$T$2364:$W$2370,4,0)*1000,0)</f>
        <v>120</v>
      </c>
      <c r="N2535"/>
      <c r="O2535">
        <f t="shared" ref="O2535:O2560" si="227">(E2535-D2535)/$E$2560</f>
        <v>0.00101449030316352</v>
      </c>
      <c r="P2535">
        <v>11013</v>
      </c>
    </row>
    <row r="2536" spans="1:16">
      <c r="A2536">
        <v>2534</v>
      </c>
      <c r="B2536">
        <v>12000</v>
      </c>
      <c r="C2536">
        <v>6</v>
      </c>
      <c r="D2536">
        <f t="shared" ref="D2536:D2599" si="228">E2535</f>
        <v>115286</v>
      </c>
      <c r="E2536">
        <f t="shared" ref="E2536:E2599" si="229">D2536+M2536</f>
        <v>115406</v>
      </c>
      <c r="F2536"/>
      <c r="G2536" t="s">
        <v>306</v>
      </c>
      <c r="H2536" t="s">
        <v>307</v>
      </c>
      <c r="I2536"/>
      <c r="J2536" t="s">
        <v>279</v>
      </c>
      <c r="K2536">
        <v>1</v>
      </c>
      <c r="L2536" t="s">
        <v>606</v>
      </c>
      <c r="M2536">
        <f t="shared" si="226"/>
        <v>120</v>
      </c>
      <c r="N2536"/>
      <c r="O2536">
        <f t="shared" si="227"/>
        <v>0.00101449030316352</v>
      </c>
      <c r="P2536">
        <v>11014</v>
      </c>
    </row>
    <row r="2537" spans="1:16">
      <c r="A2537">
        <v>2535</v>
      </c>
      <c r="B2537">
        <v>12000</v>
      </c>
      <c r="C2537">
        <v>6</v>
      </c>
      <c r="D2537">
        <f t="shared" si="228"/>
        <v>115406</v>
      </c>
      <c r="E2537">
        <f t="shared" si="229"/>
        <v>115526</v>
      </c>
      <c r="F2537"/>
      <c r="G2537" t="s">
        <v>308</v>
      </c>
      <c r="H2537" t="s">
        <v>309</v>
      </c>
      <c r="I2537"/>
      <c r="J2537" t="s">
        <v>279</v>
      </c>
      <c r="K2537">
        <v>1</v>
      </c>
      <c r="L2537" t="s">
        <v>606</v>
      </c>
      <c r="M2537">
        <f t="shared" si="226"/>
        <v>120</v>
      </c>
      <c r="N2537"/>
      <c r="O2537">
        <f t="shared" si="227"/>
        <v>0.00101449030316352</v>
      </c>
      <c r="P2537">
        <v>11015</v>
      </c>
    </row>
    <row r="2538" spans="1:16">
      <c r="A2538">
        <v>2536</v>
      </c>
      <c r="B2538">
        <v>12000</v>
      </c>
      <c r="C2538">
        <v>6</v>
      </c>
      <c r="D2538">
        <f t="shared" si="228"/>
        <v>115526</v>
      </c>
      <c r="E2538">
        <f t="shared" si="229"/>
        <v>115646</v>
      </c>
      <c r="F2538"/>
      <c r="G2538" t="s">
        <v>310</v>
      </c>
      <c r="H2538" t="s">
        <v>588</v>
      </c>
      <c r="I2538"/>
      <c r="J2538" t="s">
        <v>279</v>
      </c>
      <c r="K2538">
        <v>1</v>
      </c>
      <c r="L2538" t="s">
        <v>606</v>
      </c>
      <c r="M2538">
        <f t="shared" si="226"/>
        <v>120</v>
      </c>
      <c r="N2538"/>
      <c r="O2538">
        <f t="shared" si="227"/>
        <v>0.00101449030316352</v>
      </c>
      <c r="P2538">
        <v>11016</v>
      </c>
    </row>
    <row r="2539" spans="1:16">
      <c r="A2539">
        <v>2537</v>
      </c>
      <c r="B2539">
        <v>12000</v>
      </c>
      <c r="C2539">
        <v>6</v>
      </c>
      <c r="D2539">
        <f t="shared" si="228"/>
        <v>115646</v>
      </c>
      <c r="E2539">
        <f t="shared" si="229"/>
        <v>115766</v>
      </c>
      <c r="F2539"/>
      <c r="G2539" t="s">
        <v>312</v>
      </c>
      <c r="H2539" t="s">
        <v>589</v>
      </c>
      <c r="I2539"/>
      <c r="J2539" t="s">
        <v>279</v>
      </c>
      <c r="K2539">
        <v>1</v>
      </c>
      <c r="L2539" t="s">
        <v>606</v>
      </c>
      <c r="M2539">
        <f t="shared" si="226"/>
        <v>120</v>
      </c>
      <c r="N2539"/>
      <c r="O2539">
        <f t="shared" si="227"/>
        <v>0.00101449030316352</v>
      </c>
      <c r="P2539">
        <v>11017</v>
      </c>
    </row>
    <row r="2540" spans="1:16">
      <c r="A2540">
        <v>2538</v>
      </c>
      <c r="B2540">
        <v>12000</v>
      </c>
      <c r="C2540">
        <v>6</v>
      </c>
      <c r="D2540">
        <f t="shared" si="228"/>
        <v>115766</v>
      </c>
      <c r="E2540">
        <f t="shared" si="229"/>
        <v>115886</v>
      </c>
      <c r="F2540"/>
      <c r="G2540" t="s">
        <v>314</v>
      </c>
      <c r="H2540" t="s">
        <v>590</v>
      </c>
      <c r="I2540"/>
      <c r="J2540" t="s">
        <v>279</v>
      </c>
      <c r="K2540">
        <v>1</v>
      </c>
      <c r="L2540" t="s">
        <v>606</v>
      </c>
      <c r="M2540">
        <f t="shared" si="226"/>
        <v>120</v>
      </c>
      <c r="N2540"/>
      <c r="O2540">
        <f t="shared" si="227"/>
        <v>0.00101449030316352</v>
      </c>
      <c r="P2540">
        <v>11018</v>
      </c>
    </row>
    <row r="2541" spans="1:16">
      <c r="A2541">
        <v>2539</v>
      </c>
      <c r="B2541">
        <v>12000</v>
      </c>
      <c r="C2541">
        <v>6</v>
      </c>
      <c r="D2541">
        <f t="shared" si="228"/>
        <v>115886</v>
      </c>
      <c r="E2541">
        <f t="shared" si="229"/>
        <v>116006</v>
      </c>
      <c r="F2541"/>
      <c r="G2541" t="s">
        <v>316</v>
      </c>
      <c r="H2541" t="s">
        <v>591</v>
      </c>
      <c r="I2541"/>
      <c r="J2541" t="s">
        <v>279</v>
      </c>
      <c r="K2541">
        <v>1</v>
      </c>
      <c r="L2541" t="s">
        <v>606</v>
      </c>
      <c r="M2541">
        <f t="shared" si="226"/>
        <v>120</v>
      </c>
      <c r="N2541"/>
      <c r="O2541">
        <f t="shared" si="227"/>
        <v>0.00101449030316352</v>
      </c>
      <c r="P2541">
        <v>11019</v>
      </c>
    </row>
    <row r="2542" spans="1:16">
      <c r="A2542">
        <v>2540</v>
      </c>
      <c r="B2542">
        <v>12000</v>
      </c>
      <c r="C2542">
        <v>6</v>
      </c>
      <c r="D2542">
        <f t="shared" si="228"/>
        <v>116006</v>
      </c>
      <c r="E2542">
        <f t="shared" si="229"/>
        <v>116126</v>
      </c>
      <c r="F2542"/>
      <c r="G2542" t="s">
        <v>318</v>
      </c>
      <c r="H2542" t="s">
        <v>592</v>
      </c>
      <c r="I2542"/>
      <c r="J2542" t="s">
        <v>279</v>
      </c>
      <c r="K2542">
        <v>1</v>
      </c>
      <c r="L2542" t="s">
        <v>606</v>
      </c>
      <c r="M2542">
        <f t="shared" si="226"/>
        <v>120</v>
      </c>
      <c r="N2542"/>
      <c r="O2542">
        <f t="shared" si="227"/>
        <v>0.00101449030316352</v>
      </c>
      <c r="P2542">
        <v>11020</v>
      </c>
    </row>
    <row r="2543" spans="1:16">
      <c r="A2543">
        <v>2541</v>
      </c>
      <c r="B2543">
        <v>12000</v>
      </c>
      <c r="C2543">
        <v>6</v>
      </c>
      <c r="D2543">
        <f t="shared" si="228"/>
        <v>116126</v>
      </c>
      <c r="E2543">
        <f t="shared" si="229"/>
        <v>116246</v>
      </c>
      <c r="F2543"/>
      <c r="G2543" t="s">
        <v>320</v>
      </c>
      <c r="H2543" t="s">
        <v>593</v>
      </c>
      <c r="I2543"/>
      <c r="J2543" t="s">
        <v>279</v>
      </c>
      <c r="K2543">
        <v>1</v>
      </c>
      <c r="L2543" t="s">
        <v>606</v>
      </c>
      <c r="M2543">
        <f t="shared" si="226"/>
        <v>120</v>
      </c>
      <c r="N2543"/>
      <c r="O2543">
        <f t="shared" si="227"/>
        <v>0.00101449030316352</v>
      </c>
      <c r="P2543">
        <v>11021</v>
      </c>
    </row>
    <row r="2544" spans="1:16">
      <c r="A2544">
        <v>2542</v>
      </c>
      <c r="B2544">
        <v>12000</v>
      </c>
      <c r="C2544">
        <v>6</v>
      </c>
      <c r="D2544">
        <f t="shared" si="228"/>
        <v>116246</v>
      </c>
      <c r="E2544">
        <f t="shared" si="229"/>
        <v>116366</v>
      </c>
      <c r="F2544"/>
      <c r="G2544" t="s">
        <v>322</v>
      </c>
      <c r="H2544" t="s">
        <v>323</v>
      </c>
      <c r="I2544"/>
      <c r="J2544" t="s">
        <v>279</v>
      </c>
      <c r="K2544">
        <v>1</v>
      </c>
      <c r="L2544" t="s">
        <v>606</v>
      </c>
      <c r="M2544">
        <f t="shared" si="226"/>
        <v>120</v>
      </c>
      <c r="N2544"/>
      <c r="O2544">
        <f t="shared" si="227"/>
        <v>0.00101449030316352</v>
      </c>
      <c r="P2544">
        <v>11022</v>
      </c>
    </row>
    <row r="2545" spans="1:16">
      <c r="A2545">
        <v>2543</v>
      </c>
      <c r="B2545">
        <v>12000</v>
      </c>
      <c r="C2545">
        <v>6</v>
      </c>
      <c r="D2545">
        <f t="shared" si="228"/>
        <v>116366</v>
      </c>
      <c r="E2545">
        <f t="shared" si="229"/>
        <v>116486</v>
      </c>
      <c r="F2545"/>
      <c r="G2545" t="s">
        <v>324</v>
      </c>
      <c r="H2545" t="s">
        <v>594</v>
      </c>
      <c r="I2545"/>
      <c r="J2545" t="s">
        <v>279</v>
      </c>
      <c r="K2545">
        <v>1</v>
      </c>
      <c r="L2545" t="s">
        <v>606</v>
      </c>
      <c r="M2545">
        <f t="shared" si="226"/>
        <v>120</v>
      </c>
      <c r="N2545"/>
      <c r="O2545">
        <f t="shared" si="227"/>
        <v>0.00101449030316352</v>
      </c>
      <c r="P2545">
        <v>11023</v>
      </c>
    </row>
    <row r="2546" spans="1:16">
      <c r="A2546">
        <v>2544</v>
      </c>
      <c r="B2546">
        <v>12000</v>
      </c>
      <c r="C2546">
        <v>6</v>
      </c>
      <c r="D2546">
        <f t="shared" si="228"/>
        <v>116486</v>
      </c>
      <c r="E2546">
        <f t="shared" si="229"/>
        <v>116606</v>
      </c>
      <c r="F2546"/>
      <c r="G2546" t="s">
        <v>326</v>
      </c>
      <c r="H2546" t="s">
        <v>595</v>
      </c>
      <c r="I2546"/>
      <c r="J2546" t="s">
        <v>279</v>
      </c>
      <c r="K2546">
        <v>1</v>
      </c>
      <c r="L2546" t="s">
        <v>606</v>
      </c>
      <c r="M2546">
        <f t="shared" si="226"/>
        <v>120</v>
      </c>
      <c r="N2546"/>
      <c r="O2546">
        <f t="shared" si="227"/>
        <v>0.00101449030316352</v>
      </c>
      <c r="P2546">
        <v>11024</v>
      </c>
    </row>
    <row r="2547" spans="1:16">
      <c r="A2547">
        <v>2545</v>
      </c>
      <c r="B2547">
        <v>12000</v>
      </c>
      <c r="C2547">
        <v>6</v>
      </c>
      <c r="D2547">
        <f t="shared" si="228"/>
        <v>116606</v>
      </c>
      <c r="E2547">
        <f t="shared" si="229"/>
        <v>116726</v>
      </c>
      <c r="F2547"/>
      <c r="G2547" t="s">
        <v>328</v>
      </c>
      <c r="H2547" t="s">
        <v>329</v>
      </c>
      <c r="I2547"/>
      <c r="J2547" t="s">
        <v>279</v>
      </c>
      <c r="K2547">
        <v>1</v>
      </c>
      <c r="L2547" t="s">
        <v>606</v>
      </c>
      <c r="M2547">
        <f t="shared" si="226"/>
        <v>120</v>
      </c>
      <c r="N2547"/>
      <c r="O2547">
        <f t="shared" si="227"/>
        <v>0.00101449030316352</v>
      </c>
      <c r="P2547">
        <v>11025</v>
      </c>
    </row>
    <row r="2548" spans="1:16">
      <c r="A2548">
        <v>2546</v>
      </c>
      <c r="B2548">
        <v>12000</v>
      </c>
      <c r="C2548">
        <v>6</v>
      </c>
      <c r="D2548">
        <f t="shared" si="228"/>
        <v>116726</v>
      </c>
      <c r="E2548">
        <f t="shared" si="229"/>
        <v>116846</v>
      </c>
      <c r="F2548"/>
      <c r="G2548" t="s">
        <v>330</v>
      </c>
      <c r="H2548" t="s">
        <v>331</v>
      </c>
      <c r="I2548"/>
      <c r="J2548" t="s">
        <v>279</v>
      </c>
      <c r="K2548">
        <v>1</v>
      </c>
      <c r="L2548" t="s">
        <v>606</v>
      </c>
      <c r="M2548">
        <f t="shared" si="226"/>
        <v>120</v>
      </c>
      <c r="N2548"/>
      <c r="O2548">
        <f t="shared" si="227"/>
        <v>0.00101449030316352</v>
      </c>
      <c r="P2548">
        <v>11026</v>
      </c>
    </row>
    <row r="2549" spans="1:16">
      <c r="A2549">
        <v>2547</v>
      </c>
      <c r="B2549">
        <v>12000</v>
      </c>
      <c r="C2549">
        <v>6</v>
      </c>
      <c r="D2549">
        <f t="shared" si="228"/>
        <v>116846</v>
      </c>
      <c r="E2549">
        <f t="shared" si="229"/>
        <v>116966</v>
      </c>
      <c r="F2549"/>
      <c r="G2549" t="s">
        <v>332</v>
      </c>
      <c r="H2549" t="s">
        <v>333</v>
      </c>
      <c r="I2549"/>
      <c r="J2549" t="s">
        <v>279</v>
      </c>
      <c r="K2549">
        <v>1</v>
      </c>
      <c r="L2549" t="s">
        <v>606</v>
      </c>
      <c r="M2549">
        <f t="shared" si="226"/>
        <v>120</v>
      </c>
      <c r="N2549"/>
      <c r="O2549">
        <f t="shared" si="227"/>
        <v>0.00101449030316352</v>
      </c>
      <c r="P2549">
        <v>11027</v>
      </c>
    </row>
    <row r="2550" spans="1:16">
      <c r="A2550">
        <v>2548</v>
      </c>
      <c r="B2550">
        <v>12000</v>
      </c>
      <c r="C2550">
        <v>6</v>
      </c>
      <c r="D2550">
        <f t="shared" si="228"/>
        <v>116966</v>
      </c>
      <c r="E2550">
        <f t="shared" si="229"/>
        <v>117086</v>
      </c>
      <c r="F2550"/>
      <c r="G2550" t="s">
        <v>334</v>
      </c>
      <c r="H2550" t="s">
        <v>335</v>
      </c>
      <c r="I2550"/>
      <c r="J2550" t="s">
        <v>279</v>
      </c>
      <c r="K2550">
        <v>1</v>
      </c>
      <c r="L2550" t="s">
        <v>606</v>
      </c>
      <c r="M2550">
        <f t="shared" si="226"/>
        <v>120</v>
      </c>
      <c r="N2550"/>
      <c r="O2550">
        <f t="shared" si="227"/>
        <v>0.00101449030316352</v>
      </c>
      <c r="P2550">
        <v>11028</v>
      </c>
    </row>
    <row r="2551" spans="1:16">
      <c r="A2551">
        <v>2549</v>
      </c>
      <c r="B2551">
        <v>12000</v>
      </c>
      <c r="C2551">
        <v>6</v>
      </c>
      <c r="D2551">
        <f t="shared" si="228"/>
        <v>117086</v>
      </c>
      <c r="E2551">
        <f t="shared" si="229"/>
        <v>117206</v>
      </c>
      <c r="F2551"/>
      <c r="G2551" t="s">
        <v>336</v>
      </c>
      <c r="H2551" t="s">
        <v>596</v>
      </c>
      <c r="I2551"/>
      <c r="J2551" t="s">
        <v>279</v>
      </c>
      <c r="K2551">
        <v>1</v>
      </c>
      <c r="L2551" t="s">
        <v>606</v>
      </c>
      <c r="M2551">
        <f t="shared" si="226"/>
        <v>120</v>
      </c>
      <c r="N2551"/>
      <c r="O2551">
        <f t="shared" si="227"/>
        <v>0.00101449030316352</v>
      </c>
      <c r="P2551">
        <v>11029</v>
      </c>
    </row>
    <row r="2552" spans="1:16">
      <c r="A2552">
        <v>2550</v>
      </c>
      <c r="B2552">
        <v>12000</v>
      </c>
      <c r="C2552">
        <v>6</v>
      </c>
      <c r="D2552">
        <f t="shared" si="228"/>
        <v>117206</v>
      </c>
      <c r="E2552">
        <f t="shared" si="229"/>
        <v>117326</v>
      </c>
      <c r="F2552"/>
      <c r="G2552" t="s">
        <v>338</v>
      </c>
      <c r="H2552" t="s">
        <v>597</v>
      </c>
      <c r="I2552"/>
      <c r="J2552" t="s">
        <v>279</v>
      </c>
      <c r="K2552">
        <v>1</v>
      </c>
      <c r="L2552" t="s">
        <v>606</v>
      </c>
      <c r="M2552">
        <f t="shared" si="226"/>
        <v>120</v>
      </c>
      <c r="N2552"/>
      <c r="O2552">
        <f t="shared" si="227"/>
        <v>0.00101449030316352</v>
      </c>
      <c r="P2552">
        <v>11030</v>
      </c>
    </row>
    <row r="2553" spans="1:16">
      <c r="A2553">
        <v>2551</v>
      </c>
      <c r="B2553">
        <v>12000</v>
      </c>
      <c r="C2553">
        <v>6</v>
      </c>
      <c r="D2553">
        <f t="shared" si="228"/>
        <v>117326</v>
      </c>
      <c r="E2553">
        <f t="shared" si="229"/>
        <v>117446</v>
      </c>
      <c r="F2553"/>
      <c r="G2553" t="s">
        <v>340</v>
      </c>
      <c r="H2553" t="s">
        <v>598</v>
      </c>
      <c r="I2553"/>
      <c r="J2553" t="s">
        <v>279</v>
      </c>
      <c r="K2553">
        <v>1</v>
      </c>
      <c r="L2553" t="s">
        <v>606</v>
      </c>
      <c r="M2553">
        <f t="shared" si="226"/>
        <v>120</v>
      </c>
      <c r="N2553"/>
      <c r="O2553">
        <f t="shared" si="227"/>
        <v>0.00101449030316352</v>
      </c>
      <c r="P2553">
        <v>11031</v>
      </c>
    </row>
    <row r="2554" spans="1:16">
      <c r="A2554">
        <v>2552</v>
      </c>
      <c r="B2554">
        <v>12000</v>
      </c>
      <c r="C2554">
        <v>6</v>
      </c>
      <c r="D2554">
        <f t="shared" si="228"/>
        <v>117446</v>
      </c>
      <c r="E2554">
        <f t="shared" si="229"/>
        <v>117566</v>
      </c>
      <c r="F2554"/>
      <c r="G2554" t="s">
        <v>342</v>
      </c>
      <c r="H2554" t="s">
        <v>599</v>
      </c>
      <c r="I2554"/>
      <c r="J2554" t="s">
        <v>279</v>
      </c>
      <c r="K2554">
        <v>1</v>
      </c>
      <c r="L2554" t="s">
        <v>606</v>
      </c>
      <c r="M2554">
        <f t="shared" si="226"/>
        <v>120</v>
      </c>
      <c r="N2554"/>
      <c r="O2554">
        <f t="shared" si="227"/>
        <v>0.00101449030316352</v>
      </c>
      <c r="P2554">
        <v>11032</v>
      </c>
    </row>
    <row r="2555" spans="1:16">
      <c r="A2555">
        <v>2553</v>
      </c>
      <c r="B2555">
        <v>12000</v>
      </c>
      <c r="C2555">
        <v>6</v>
      </c>
      <c r="D2555">
        <f t="shared" si="228"/>
        <v>117566</v>
      </c>
      <c r="E2555">
        <f t="shared" si="229"/>
        <v>117686</v>
      </c>
      <c r="F2555"/>
      <c r="G2555" t="s">
        <v>344</v>
      </c>
      <c r="H2555" t="s">
        <v>600</v>
      </c>
      <c r="I2555"/>
      <c r="J2555" t="s">
        <v>279</v>
      </c>
      <c r="K2555">
        <v>1</v>
      </c>
      <c r="L2555" t="s">
        <v>606</v>
      </c>
      <c r="M2555">
        <f t="shared" si="226"/>
        <v>120</v>
      </c>
      <c r="N2555"/>
      <c r="O2555">
        <f t="shared" si="227"/>
        <v>0.00101449030316352</v>
      </c>
      <c r="P2555">
        <v>11033</v>
      </c>
    </row>
    <row r="2556" spans="1:16">
      <c r="A2556">
        <v>2554</v>
      </c>
      <c r="B2556">
        <v>12000</v>
      </c>
      <c r="C2556">
        <v>6</v>
      </c>
      <c r="D2556">
        <f t="shared" si="228"/>
        <v>117686</v>
      </c>
      <c r="E2556">
        <f t="shared" si="229"/>
        <v>117806</v>
      </c>
      <c r="F2556"/>
      <c r="G2556" t="s">
        <v>346</v>
      </c>
      <c r="H2556" t="s">
        <v>601</v>
      </c>
      <c r="I2556"/>
      <c r="J2556" t="s">
        <v>279</v>
      </c>
      <c r="K2556">
        <v>1</v>
      </c>
      <c r="L2556" t="s">
        <v>606</v>
      </c>
      <c r="M2556">
        <f t="shared" si="226"/>
        <v>120</v>
      </c>
      <c r="N2556"/>
      <c r="O2556">
        <f t="shared" si="227"/>
        <v>0.00101449030316352</v>
      </c>
      <c r="P2556">
        <v>11034</v>
      </c>
    </row>
    <row r="2557" spans="1:16">
      <c r="A2557">
        <v>2555</v>
      </c>
      <c r="B2557">
        <v>12000</v>
      </c>
      <c r="C2557">
        <v>6</v>
      </c>
      <c r="D2557">
        <f t="shared" si="228"/>
        <v>117806</v>
      </c>
      <c r="E2557">
        <f t="shared" si="229"/>
        <v>117926</v>
      </c>
      <c r="F2557"/>
      <c r="G2557" t="s">
        <v>348</v>
      </c>
      <c r="H2557" t="s">
        <v>602</v>
      </c>
      <c r="I2557"/>
      <c r="J2557" t="s">
        <v>279</v>
      </c>
      <c r="K2557">
        <v>1</v>
      </c>
      <c r="L2557" t="s">
        <v>606</v>
      </c>
      <c r="M2557">
        <f t="shared" si="226"/>
        <v>120</v>
      </c>
      <c r="N2557"/>
      <c r="O2557">
        <f t="shared" si="227"/>
        <v>0.00101449030316352</v>
      </c>
      <c r="P2557">
        <v>11035</v>
      </c>
    </row>
    <row r="2558" spans="1:16">
      <c r="A2558">
        <v>2556</v>
      </c>
      <c r="B2558">
        <v>12000</v>
      </c>
      <c r="C2558">
        <v>6</v>
      </c>
      <c r="D2558">
        <f t="shared" si="228"/>
        <v>117926</v>
      </c>
      <c r="E2558">
        <f t="shared" si="229"/>
        <v>118046</v>
      </c>
      <c r="F2558"/>
      <c r="G2558" t="s">
        <v>350</v>
      </c>
      <c r="H2558" t="s">
        <v>603</v>
      </c>
      <c r="I2558"/>
      <c r="J2558" t="s">
        <v>279</v>
      </c>
      <c r="K2558">
        <v>1</v>
      </c>
      <c r="L2558" t="s">
        <v>606</v>
      </c>
      <c r="M2558">
        <f t="shared" si="226"/>
        <v>120</v>
      </c>
      <c r="N2558"/>
      <c r="O2558">
        <f t="shared" si="227"/>
        <v>0.00101449030316352</v>
      </c>
      <c r="P2558">
        <v>11036</v>
      </c>
    </row>
    <row r="2559" spans="1:16">
      <c r="A2559">
        <v>2557</v>
      </c>
      <c r="B2559">
        <v>12000</v>
      </c>
      <c r="C2559">
        <v>6</v>
      </c>
      <c r="D2559">
        <f t="shared" si="228"/>
        <v>118046</v>
      </c>
      <c r="E2559">
        <f t="shared" si="229"/>
        <v>118166</v>
      </c>
      <c r="F2559"/>
      <c r="G2559" t="s">
        <v>352</v>
      </c>
      <c r="H2559" t="s">
        <v>604</v>
      </c>
      <c r="I2559"/>
      <c r="J2559" t="s">
        <v>279</v>
      </c>
      <c r="K2559">
        <v>1</v>
      </c>
      <c r="L2559" t="s">
        <v>606</v>
      </c>
      <c r="M2559">
        <f t="shared" si="226"/>
        <v>120</v>
      </c>
      <c r="N2559"/>
      <c r="O2559">
        <f t="shared" si="227"/>
        <v>0.00101449030316352</v>
      </c>
      <c r="P2559">
        <v>11037</v>
      </c>
    </row>
    <row r="2560" spans="1:16">
      <c r="A2560">
        <v>2558</v>
      </c>
      <c r="B2560">
        <v>12000</v>
      </c>
      <c r="C2560">
        <v>6</v>
      </c>
      <c r="D2560">
        <f t="shared" si="228"/>
        <v>118166</v>
      </c>
      <c r="E2560">
        <f t="shared" si="229"/>
        <v>118286</v>
      </c>
      <c r="F2560"/>
      <c r="G2560" t="s">
        <v>354</v>
      </c>
      <c r="H2560" t="s">
        <v>605</v>
      </c>
      <c r="I2560"/>
      <c r="J2560" t="s">
        <v>279</v>
      </c>
      <c r="K2560">
        <v>1</v>
      </c>
      <c r="L2560" t="s">
        <v>606</v>
      </c>
      <c r="M2560">
        <f t="shared" si="226"/>
        <v>120</v>
      </c>
      <c r="N2560"/>
      <c r="O2560">
        <f t="shared" si="227"/>
        <v>0.00101449030316352</v>
      </c>
      <c r="P2560">
        <v>11038</v>
      </c>
    </row>
    <row r="2561" s="66" customFormat="1" spans="1:16">
      <c r="A2561" s="70">
        <v>2559</v>
      </c>
      <c r="B2561" s="70">
        <v>12000</v>
      </c>
      <c r="C2561" s="70">
        <v>6</v>
      </c>
      <c r="D2561" s="70">
        <f t="shared" si="228"/>
        <v>118286</v>
      </c>
      <c r="E2561" s="70">
        <f t="shared" si="229"/>
        <v>118406</v>
      </c>
      <c r="F2561" s="70"/>
      <c r="G2561" s="70" t="s">
        <v>277</v>
      </c>
      <c r="H2561" s="70" t="s">
        <v>356</v>
      </c>
      <c r="I2561" s="70"/>
      <c r="J2561" s="70" t="s">
        <v>279</v>
      </c>
      <c r="K2561" s="70">
        <v>1</v>
      </c>
      <c r="L2561" s="70" t="s">
        <v>606</v>
      </c>
      <c r="M2561" s="71">
        <f t="shared" ref="M2561:M2604" si="230">ROUNDDOWN(VLOOKUP(J2561,$S$2059:$V$2065,4,0)*1000,0)</f>
        <v>120</v>
      </c>
      <c r="N2561" s="70"/>
      <c r="O2561" s="70">
        <f t="shared" ref="O2561:O2624" si="231">(E2561-D2561)/$E$438</f>
        <v>0.0013182901776396</v>
      </c>
      <c r="P2561" s="70">
        <v>11000</v>
      </c>
    </row>
    <row r="2562" s="66" customFormat="1" spans="1:16">
      <c r="A2562" s="70">
        <v>2560</v>
      </c>
      <c r="B2562" s="70">
        <v>12000</v>
      </c>
      <c r="C2562" s="70">
        <v>6</v>
      </c>
      <c r="D2562" s="70">
        <f t="shared" si="228"/>
        <v>118406</v>
      </c>
      <c r="E2562" s="70">
        <f t="shared" si="229"/>
        <v>118526</v>
      </c>
      <c r="F2562" s="70"/>
      <c r="G2562" s="70" t="s">
        <v>280</v>
      </c>
      <c r="H2562" s="70" t="s">
        <v>357</v>
      </c>
      <c r="I2562" s="70"/>
      <c r="J2562" s="70" t="s">
        <v>279</v>
      </c>
      <c r="K2562" s="70">
        <v>1</v>
      </c>
      <c r="L2562" s="70" t="s">
        <v>606</v>
      </c>
      <c r="M2562" s="71">
        <f t="shared" si="230"/>
        <v>120</v>
      </c>
      <c r="N2562" s="70"/>
      <c r="O2562" s="70">
        <f t="shared" si="231"/>
        <v>0.0013182901776396</v>
      </c>
      <c r="P2562" s="70">
        <v>11001</v>
      </c>
    </row>
    <row r="2563" s="66" customFormat="1" spans="1:16">
      <c r="A2563" s="70">
        <v>2561</v>
      </c>
      <c r="B2563" s="70">
        <v>12000</v>
      </c>
      <c r="C2563" s="70">
        <v>6</v>
      </c>
      <c r="D2563" s="70">
        <f t="shared" si="228"/>
        <v>118526</v>
      </c>
      <c r="E2563" s="70">
        <f t="shared" si="229"/>
        <v>118646</v>
      </c>
      <c r="F2563" s="70"/>
      <c r="G2563" s="70" t="s">
        <v>282</v>
      </c>
      <c r="H2563" s="70" t="s">
        <v>358</v>
      </c>
      <c r="I2563" s="70"/>
      <c r="J2563" s="70" t="s">
        <v>279</v>
      </c>
      <c r="K2563" s="70">
        <v>1</v>
      </c>
      <c r="L2563" s="70" t="s">
        <v>606</v>
      </c>
      <c r="M2563" s="71">
        <f t="shared" si="230"/>
        <v>120</v>
      </c>
      <c r="N2563" s="70"/>
      <c r="O2563" s="70">
        <f t="shared" si="231"/>
        <v>0.0013182901776396</v>
      </c>
      <c r="P2563" s="70">
        <v>11002</v>
      </c>
    </row>
    <row r="2564" s="66" customFormat="1" spans="1:16">
      <c r="A2564" s="70">
        <v>2562</v>
      </c>
      <c r="B2564" s="70">
        <v>12000</v>
      </c>
      <c r="C2564" s="70">
        <v>6</v>
      </c>
      <c r="D2564" s="70">
        <f t="shared" si="228"/>
        <v>118646</v>
      </c>
      <c r="E2564" s="70">
        <f t="shared" si="229"/>
        <v>118766</v>
      </c>
      <c r="F2564" s="70"/>
      <c r="G2564" s="70" t="s">
        <v>284</v>
      </c>
      <c r="H2564" s="70" t="s">
        <v>359</v>
      </c>
      <c r="I2564" s="70"/>
      <c r="J2564" s="70" t="s">
        <v>279</v>
      </c>
      <c r="K2564" s="70">
        <v>1</v>
      </c>
      <c r="L2564" s="70" t="s">
        <v>606</v>
      </c>
      <c r="M2564" s="71">
        <f t="shared" si="230"/>
        <v>120</v>
      </c>
      <c r="N2564" s="70"/>
      <c r="O2564" s="70">
        <f t="shared" si="231"/>
        <v>0.0013182901776396</v>
      </c>
      <c r="P2564" s="70">
        <v>11003</v>
      </c>
    </row>
    <row r="2565" s="66" customFormat="1" spans="1:16">
      <c r="A2565" s="70">
        <v>2563</v>
      </c>
      <c r="B2565" s="70">
        <v>12000</v>
      </c>
      <c r="C2565" s="70">
        <v>6</v>
      </c>
      <c r="D2565" s="70">
        <f t="shared" si="228"/>
        <v>118766</v>
      </c>
      <c r="E2565" s="70">
        <f t="shared" si="229"/>
        <v>118886</v>
      </c>
      <c r="F2565" s="70"/>
      <c r="G2565" s="70" t="s">
        <v>286</v>
      </c>
      <c r="H2565" s="70" t="s">
        <v>360</v>
      </c>
      <c r="I2565" s="70"/>
      <c r="J2565" s="70" t="s">
        <v>279</v>
      </c>
      <c r="K2565" s="70">
        <v>1</v>
      </c>
      <c r="L2565" s="70" t="s">
        <v>606</v>
      </c>
      <c r="M2565" s="71">
        <f t="shared" si="230"/>
        <v>120</v>
      </c>
      <c r="N2565" s="70"/>
      <c r="O2565" s="70">
        <f t="shared" si="231"/>
        <v>0.0013182901776396</v>
      </c>
      <c r="P2565" s="70">
        <v>11004</v>
      </c>
    </row>
    <row r="2566" s="66" customFormat="1" spans="1:16">
      <c r="A2566" s="70">
        <v>2564</v>
      </c>
      <c r="B2566" s="70">
        <v>12000</v>
      </c>
      <c r="C2566" s="70">
        <v>6</v>
      </c>
      <c r="D2566" s="70">
        <f t="shared" si="228"/>
        <v>118886</v>
      </c>
      <c r="E2566" s="70">
        <f t="shared" si="229"/>
        <v>119006</v>
      </c>
      <c r="F2566" s="70"/>
      <c r="G2566" s="70" t="s">
        <v>288</v>
      </c>
      <c r="H2566" s="70" t="s">
        <v>361</v>
      </c>
      <c r="I2566" s="70"/>
      <c r="J2566" s="70" t="s">
        <v>279</v>
      </c>
      <c r="K2566" s="70">
        <v>1</v>
      </c>
      <c r="L2566" s="70" t="s">
        <v>606</v>
      </c>
      <c r="M2566" s="71">
        <f t="shared" si="230"/>
        <v>120</v>
      </c>
      <c r="N2566" s="70"/>
      <c r="O2566" s="70">
        <f t="shared" si="231"/>
        <v>0.0013182901776396</v>
      </c>
      <c r="P2566" s="70">
        <v>11005</v>
      </c>
    </row>
    <row r="2567" s="66" customFormat="1" spans="1:16">
      <c r="A2567" s="70">
        <v>2565</v>
      </c>
      <c r="B2567" s="70">
        <v>12000</v>
      </c>
      <c r="C2567" s="70">
        <v>6</v>
      </c>
      <c r="D2567" s="70">
        <f t="shared" si="228"/>
        <v>119006</v>
      </c>
      <c r="E2567" s="70">
        <f t="shared" si="229"/>
        <v>119126</v>
      </c>
      <c r="F2567" s="70"/>
      <c r="G2567" s="70" t="s">
        <v>290</v>
      </c>
      <c r="H2567" s="70" t="s">
        <v>362</v>
      </c>
      <c r="I2567" s="70"/>
      <c r="J2567" s="70" t="s">
        <v>279</v>
      </c>
      <c r="K2567" s="70">
        <v>1</v>
      </c>
      <c r="L2567" s="70" t="s">
        <v>606</v>
      </c>
      <c r="M2567" s="71">
        <f t="shared" si="230"/>
        <v>120</v>
      </c>
      <c r="N2567" s="70"/>
      <c r="O2567" s="70">
        <f t="shared" si="231"/>
        <v>0.0013182901776396</v>
      </c>
      <c r="P2567" s="70">
        <v>11006</v>
      </c>
    </row>
    <row r="2568" s="66" customFormat="1" spans="1:16">
      <c r="A2568" s="70">
        <v>2566</v>
      </c>
      <c r="B2568" s="70">
        <v>12000</v>
      </c>
      <c r="C2568" s="70">
        <v>6</v>
      </c>
      <c r="D2568" s="70">
        <f t="shared" si="228"/>
        <v>119126</v>
      </c>
      <c r="E2568" s="70">
        <f t="shared" si="229"/>
        <v>119246</v>
      </c>
      <c r="F2568" s="70"/>
      <c r="G2568" s="70" t="s">
        <v>292</v>
      </c>
      <c r="H2568" s="70" t="s">
        <v>363</v>
      </c>
      <c r="I2568" s="70"/>
      <c r="J2568" s="70" t="s">
        <v>279</v>
      </c>
      <c r="K2568" s="70">
        <v>1</v>
      </c>
      <c r="L2568" s="70" t="s">
        <v>606</v>
      </c>
      <c r="M2568" s="71">
        <f t="shared" si="230"/>
        <v>120</v>
      </c>
      <c r="N2568" s="70"/>
      <c r="O2568" s="70">
        <f t="shared" si="231"/>
        <v>0.0013182901776396</v>
      </c>
      <c r="P2568" s="70">
        <v>11007</v>
      </c>
    </row>
    <row r="2569" s="66" customFormat="1" spans="1:16">
      <c r="A2569" s="70">
        <v>2567</v>
      </c>
      <c r="B2569" s="70">
        <v>12000</v>
      </c>
      <c r="C2569" s="70">
        <v>6</v>
      </c>
      <c r="D2569" s="70">
        <f t="shared" si="228"/>
        <v>119246</v>
      </c>
      <c r="E2569" s="70">
        <f t="shared" si="229"/>
        <v>119366</v>
      </c>
      <c r="F2569" s="70"/>
      <c r="G2569" s="70" t="s">
        <v>294</v>
      </c>
      <c r="H2569" s="70" t="s">
        <v>364</v>
      </c>
      <c r="I2569" s="70"/>
      <c r="J2569" s="70" t="s">
        <v>279</v>
      </c>
      <c r="K2569" s="70">
        <v>1</v>
      </c>
      <c r="L2569" s="70" t="s">
        <v>606</v>
      </c>
      <c r="M2569" s="71">
        <f t="shared" si="230"/>
        <v>120</v>
      </c>
      <c r="N2569" s="70"/>
      <c r="O2569" s="70">
        <f t="shared" si="231"/>
        <v>0.0013182901776396</v>
      </c>
      <c r="P2569" s="70">
        <v>11008</v>
      </c>
    </row>
    <row r="2570" s="66" customFormat="1" spans="1:16">
      <c r="A2570" s="70">
        <v>2568</v>
      </c>
      <c r="B2570" s="70">
        <v>12000</v>
      </c>
      <c r="C2570" s="70">
        <v>6</v>
      </c>
      <c r="D2570" s="70">
        <f t="shared" si="228"/>
        <v>119366</v>
      </c>
      <c r="E2570" s="70">
        <f t="shared" si="229"/>
        <v>119486</v>
      </c>
      <c r="F2570" s="70"/>
      <c r="G2570" s="70" t="s">
        <v>296</v>
      </c>
      <c r="H2570" s="70" t="s">
        <v>365</v>
      </c>
      <c r="I2570" s="70"/>
      <c r="J2570" s="70" t="s">
        <v>279</v>
      </c>
      <c r="K2570" s="70">
        <v>1</v>
      </c>
      <c r="L2570" s="70" t="s">
        <v>606</v>
      </c>
      <c r="M2570" s="71">
        <f t="shared" si="230"/>
        <v>120</v>
      </c>
      <c r="N2570" s="70"/>
      <c r="O2570" s="70">
        <f t="shared" si="231"/>
        <v>0.0013182901776396</v>
      </c>
      <c r="P2570" s="70">
        <v>11009</v>
      </c>
    </row>
    <row r="2571" s="66" customFormat="1" spans="1:16">
      <c r="A2571" s="70">
        <v>2569</v>
      </c>
      <c r="B2571" s="70">
        <v>12000</v>
      </c>
      <c r="C2571" s="70">
        <v>6</v>
      </c>
      <c r="D2571" s="70">
        <f t="shared" si="228"/>
        <v>119486</v>
      </c>
      <c r="E2571" s="70">
        <f t="shared" si="229"/>
        <v>119606</v>
      </c>
      <c r="F2571" s="70"/>
      <c r="G2571" s="70" t="s">
        <v>298</v>
      </c>
      <c r="H2571" s="70" t="s">
        <v>366</v>
      </c>
      <c r="I2571" s="70"/>
      <c r="J2571" s="70" t="s">
        <v>279</v>
      </c>
      <c r="K2571" s="70">
        <v>1</v>
      </c>
      <c r="L2571" s="70" t="s">
        <v>606</v>
      </c>
      <c r="M2571" s="71">
        <f t="shared" si="230"/>
        <v>120</v>
      </c>
      <c r="N2571" s="70"/>
      <c r="O2571" s="70">
        <f t="shared" si="231"/>
        <v>0.0013182901776396</v>
      </c>
      <c r="P2571" s="70">
        <v>11010</v>
      </c>
    </row>
    <row r="2572" s="66" customFormat="1" spans="1:16">
      <c r="A2572" s="70">
        <v>2570</v>
      </c>
      <c r="B2572" s="70">
        <v>12000</v>
      </c>
      <c r="C2572" s="70">
        <v>6</v>
      </c>
      <c r="D2572" s="70">
        <f t="shared" si="228"/>
        <v>119606</v>
      </c>
      <c r="E2572" s="70">
        <f t="shared" si="229"/>
        <v>119726</v>
      </c>
      <c r="F2572" s="70"/>
      <c r="G2572" s="70" t="s">
        <v>300</v>
      </c>
      <c r="H2572" s="70" t="s">
        <v>367</v>
      </c>
      <c r="I2572" s="70"/>
      <c r="J2572" s="70" t="s">
        <v>279</v>
      </c>
      <c r="K2572" s="70">
        <v>1</v>
      </c>
      <c r="L2572" s="70" t="s">
        <v>606</v>
      </c>
      <c r="M2572" s="71">
        <f t="shared" si="230"/>
        <v>120</v>
      </c>
      <c r="N2572" s="70"/>
      <c r="O2572" s="70">
        <f t="shared" si="231"/>
        <v>0.0013182901776396</v>
      </c>
      <c r="P2572" s="70">
        <v>11011</v>
      </c>
    </row>
    <row r="2573" s="66" customFormat="1" spans="1:16">
      <c r="A2573" s="70">
        <v>2571</v>
      </c>
      <c r="B2573" s="70">
        <v>12000</v>
      </c>
      <c r="C2573" s="70">
        <v>6</v>
      </c>
      <c r="D2573" s="70">
        <f t="shared" si="228"/>
        <v>119726</v>
      </c>
      <c r="E2573" s="70">
        <f t="shared" si="229"/>
        <v>119846</v>
      </c>
      <c r="F2573" s="70"/>
      <c r="G2573" s="70" t="s">
        <v>302</v>
      </c>
      <c r="H2573" s="70" t="s">
        <v>368</v>
      </c>
      <c r="I2573" s="70"/>
      <c r="J2573" s="70" t="s">
        <v>279</v>
      </c>
      <c r="K2573" s="70">
        <v>1</v>
      </c>
      <c r="L2573" s="70" t="s">
        <v>606</v>
      </c>
      <c r="M2573" s="71">
        <f t="shared" si="230"/>
        <v>120</v>
      </c>
      <c r="N2573" s="70"/>
      <c r="O2573" s="70">
        <f t="shared" si="231"/>
        <v>0.0013182901776396</v>
      </c>
      <c r="P2573" s="70">
        <v>11012</v>
      </c>
    </row>
    <row r="2574" s="66" customFormat="1" spans="1:16">
      <c r="A2574" s="70">
        <v>2572</v>
      </c>
      <c r="B2574" s="70">
        <v>12000</v>
      </c>
      <c r="C2574" s="70">
        <v>6</v>
      </c>
      <c r="D2574" s="70">
        <f t="shared" si="228"/>
        <v>119846</v>
      </c>
      <c r="E2574" s="70">
        <f t="shared" si="229"/>
        <v>119966</v>
      </c>
      <c r="F2574" s="70"/>
      <c r="G2574" s="70" t="s">
        <v>304</v>
      </c>
      <c r="H2574" s="70" t="s">
        <v>369</v>
      </c>
      <c r="I2574" s="70"/>
      <c r="J2574" s="70" t="s">
        <v>279</v>
      </c>
      <c r="K2574" s="70">
        <v>1</v>
      </c>
      <c r="L2574" s="70" t="s">
        <v>606</v>
      </c>
      <c r="M2574" s="71">
        <f t="shared" si="230"/>
        <v>120</v>
      </c>
      <c r="N2574" s="70"/>
      <c r="O2574" s="70">
        <f t="shared" si="231"/>
        <v>0.0013182901776396</v>
      </c>
      <c r="P2574" s="70">
        <v>11013</v>
      </c>
    </row>
    <row r="2575" s="66" customFormat="1" spans="1:16">
      <c r="A2575" s="70">
        <v>2573</v>
      </c>
      <c r="B2575" s="70">
        <v>12000</v>
      </c>
      <c r="C2575" s="70">
        <v>6</v>
      </c>
      <c r="D2575" s="70">
        <f t="shared" si="228"/>
        <v>119966</v>
      </c>
      <c r="E2575" s="70">
        <f t="shared" si="229"/>
        <v>120086</v>
      </c>
      <c r="F2575" s="70"/>
      <c r="G2575" s="70" t="s">
        <v>306</v>
      </c>
      <c r="H2575" s="70" t="s">
        <v>370</v>
      </c>
      <c r="I2575" s="70"/>
      <c r="J2575" s="70" t="s">
        <v>279</v>
      </c>
      <c r="K2575" s="70">
        <v>1</v>
      </c>
      <c r="L2575" s="70" t="s">
        <v>606</v>
      </c>
      <c r="M2575" s="71">
        <f t="shared" si="230"/>
        <v>120</v>
      </c>
      <c r="N2575" s="70"/>
      <c r="O2575" s="70">
        <f t="shared" si="231"/>
        <v>0.0013182901776396</v>
      </c>
      <c r="P2575" s="70">
        <v>11014</v>
      </c>
    </row>
    <row r="2576" s="66" customFormat="1" spans="1:16">
      <c r="A2576" s="70">
        <v>2574</v>
      </c>
      <c r="B2576" s="70">
        <v>12000</v>
      </c>
      <c r="C2576" s="70">
        <v>6</v>
      </c>
      <c r="D2576" s="70">
        <f t="shared" si="228"/>
        <v>120086</v>
      </c>
      <c r="E2576" s="70">
        <f t="shared" si="229"/>
        <v>120206</v>
      </c>
      <c r="F2576" s="70"/>
      <c r="G2576" s="70" t="s">
        <v>308</v>
      </c>
      <c r="H2576" s="70" t="s">
        <v>371</v>
      </c>
      <c r="I2576" s="70"/>
      <c r="J2576" s="70" t="s">
        <v>279</v>
      </c>
      <c r="K2576" s="70">
        <v>1</v>
      </c>
      <c r="L2576" s="70" t="s">
        <v>606</v>
      </c>
      <c r="M2576" s="71">
        <f t="shared" si="230"/>
        <v>120</v>
      </c>
      <c r="N2576" s="70"/>
      <c r="O2576" s="70">
        <f t="shared" si="231"/>
        <v>0.0013182901776396</v>
      </c>
      <c r="P2576" s="70">
        <v>11015</v>
      </c>
    </row>
    <row r="2577" s="66" customFormat="1" spans="1:16">
      <c r="A2577" s="70">
        <v>2575</v>
      </c>
      <c r="B2577" s="70">
        <v>12000</v>
      </c>
      <c r="C2577" s="70">
        <v>6</v>
      </c>
      <c r="D2577" s="70">
        <f t="shared" si="228"/>
        <v>120206</v>
      </c>
      <c r="E2577" s="70">
        <f t="shared" si="229"/>
        <v>120326</v>
      </c>
      <c r="F2577" s="70"/>
      <c r="G2577" s="70" t="s">
        <v>310</v>
      </c>
      <c r="H2577" s="70" t="s">
        <v>372</v>
      </c>
      <c r="I2577" s="70"/>
      <c r="J2577" s="70" t="s">
        <v>279</v>
      </c>
      <c r="K2577" s="70">
        <v>1</v>
      </c>
      <c r="L2577" s="70" t="s">
        <v>606</v>
      </c>
      <c r="M2577" s="71">
        <f t="shared" si="230"/>
        <v>120</v>
      </c>
      <c r="N2577" s="70"/>
      <c r="O2577" s="70">
        <f t="shared" si="231"/>
        <v>0.0013182901776396</v>
      </c>
      <c r="P2577" s="70">
        <v>11016</v>
      </c>
    </row>
    <row r="2578" s="66" customFormat="1" spans="1:16">
      <c r="A2578" s="70">
        <v>2576</v>
      </c>
      <c r="B2578" s="70">
        <v>12000</v>
      </c>
      <c r="C2578" s="70">
        <v>6</v>
      </c>
      <c r="D2578" s="70">
        <f t="shared" si="228"/>
        <v>120326</v>
      </c>
      <c r="E2578" s="70">
        <f t="shared" si="229"/>
        <v>120446</v>
      </c>
      <c r="F2578" s="70"/>
      <c r="G2578" s="70" t="s">
        <v>312</v>
      </c>
      <c r="H2578" s="70" t="s">
        <v>373</v>
      </c>
      <c r="I2578" s="70"/>
      <c r="J2578" s="70" t="s">
        <v>279</v>
      </c>
      <c r="K2578" s="70">
        <v>1</v>
      </c>
      <c r="L2578" s="70" t="s">
        <v>606</v>
      </c>
      <c r="M2578" s="71">
        <f t="shared" si="230"/>
        <v>120</v>
      </c>
      <c r="N2578" s="70"/>
      <c r="O2578" s="70">
        <f t="shared" si="231"/>
        <v>0.0013182901776396</v>
      </c>
      <c r="P2578" s="70">
        <v>11017</v>
      </c>
    </row>
    <row r="2579" s="66" customFormat="1" spans="1:16">
      <c r="A2579" s="70">
        <v>2577</v>
      </c>
      <c r="B2579" s="70">
        <v>12000</v>
      </c>
      <c r="C2579" s="70">
        <v>6</v>
      </c>
      <c r="D2579" s="70">
        <f t="shared" si="228"/>
        <v>120446</v>
      </c>
      <c r="E2579" s="70">
        <f t="shared" si="229"/>
        <v>120566</v>
      </c>
      <c r="F2579" s="70"/>
      <c r="G2579" s="70" t="s">
        <v>314</v>
      </c>
      <c r="H2579" s="70" t="s">
        <v>374</v>
      </c>
      <c r="I2579" s="70"/>
      <c r="J2579" s="70" t="s">
        <v>279</v>
      </c>
      <c r="K2579" s="70">
        <v>1</v>
      </c>
      <c r="L2579" s="70" t="s">
        <v>606</v>
      </c>
      <c r="M2579" s="71">
        <f t="shared" si="230"/>
        <v>120</v>
      </c>
      <c r="N2579" s="70"/>
      <c r="O2579" s="70">
        <f t="shared" si="231"/>
        <v>0.0013182901776396</v>
      </c>
      <c r="P2579" s="70">
        <v>11018</v>
      </c>
    </row>
    <row r="2580" s="66" customFormat="1" spans="1:16">
      <c r="A2580" s="70">
        <v>2578</v>
      </c>
      <c r="B2580" s="70">
        <v>12000</v>
      </c>
      <c r="C2580" s="70">
        <v>6</v>
      </c>
      <c r="D2580" s="70">
        <f t="shared" si="228"/>
        <v>120566</v>
      </c>
      <c r="E2580" s="70">
        <f t="shared" si="229"/>
        <v>120686</v>
      </c>
      <c r="F2580" s="70"/>
      <c r="G2580" s="70" t="s">
        <v>316</v>
      </c>
      <c r="H2580" s="70" t="s">
        <v>375</v>
      </c>
      <c r="I2580" s="70"/>
      <c r="J2580" s="70" t="s">
        <v>279</v>
      </c>
      <c r="K2580" s="70">
        <v>1</v>
      </c>
      <c r="L2580" s="70" t="s">
        <v>606</v>
      </c>
      <c r="M2580" s="71">
        <f t="shared" si="230"/>
        <v>120</v>
      </c>
      <c r="N2580" s="70"/>
      <c r="O2580" s="70">
        <f t="shared" si="231"/>
        <v>0.0013182901776396</v>
      </c>
      <c r="P2580" s="70">
        <v>11019</v>
      </c>
    </row>
    <row r="2581" s="66" customFormat="1" spans="1:16">
      <c r="A2581" s="70">
        <v>2579</v>
      </c>
      <c r="B2581" s="70">
        <v>12000</v>
      </c>
      <c r="C2581" s="70">
        <v>6</v>
      </c>
      <c r="D2581" s="70">
        <f t="shared" si="228"/>
        <v>120686</v>
      </c>
      <c r="E2581" s="70">
        <f t="shared" si="229"/>
        <v>120806</v>
      </c>
      <c r="F2581" s="70"/>
      <c r="G2581" s="70" t="s">
        <v>318</v>
      </c>
      <c r="H2581" s="70" t="s">
        <v>376</v>
      </c>
      <c r="I2581" s="70"/>
      <c r="J2581" s="70" t="s">
        <v>279</v>
      </c>
      <c r="K2581" s="70">
        <v>1</v>
      </c>
      <c r="L2581" s="70" t="s">
        <v>606</v>
      </c>
      <c r="M2581" s="71">
        <f t="shared" si="230"/>
        <v>120</v>
      </c>
      <c r="N2581" s="70"/>
      <c r="O2581" s="70">
        <f t="shared" si="231"/>
        <v>0.0013182901776396</v>
      </c>
      <c r="P2581" s="70">
        <v>11020</v>
      </c>
    </row>
    <row r="2582" s="66" customFormat="1" spans="1:16">
      <c r="A2582" s="70">
        <v>2580</v>
      </c>
      <c r="B2582" s="70">
        <v>12000</v>
      </c>
      <c r="C2582" s="70">
        <v>6</v>
      </c>
      <c r="D2582" s="70">
        <f t="shared" si="228"/>
        <v>120806</v>
      </c>
      <c r="E2582" s="70">
        <f t="shared" si="229"/>
        <v>120926</v>
      </c>
      <c r="F2582" s="70"/>
      <c r="G2582" s="70" t="s">
        <v>320</v>
      </c>
      <c r="H2582" s="70" t="s">
        <v>377</v>
      </c>
      <c r="I2582" s="70"/>
      <c r="J2582" s="70" t="s">
        <v>279</v>
      </c>
      <c r="K2582" s="70">
        <v>1</v>
      </c>
      <c r="L2582" s="70" t="s">
        <v>606</v>
      </c>
      <c r="M2582" s="71">
        <f t="shared" si="230"/>
        <v>120</v>
      </c>
      <c r="N2582" s="70"/>
      <c r="O2582" s="70">
        <f t="shared" si="231"/>
        <v>0.0013182901776396</v>
      </c>
      <c r="P2582" s="70">
        <v>11021</v>
      </c>
    </row>
    <row r="2583" s="66" customFormat="1" spans="1:16">
      <c r="A2583" s="70">
        <v>2581</v>
      </c>
      <c r="B2583" s="70">
        <v>12000</v>
      </c>
      <c r="C2583" s="70">
        <v>6</v>
      </c>
      <c r="D2583" s="70">
        <f t="shared" si="228"/>
        <v>120926</v>
      </c>
      <c r="E2583" s="70">
        <f t="shared" si="229"/>
        <v>121046</v>
      </c>
      <c r="F2583" s="70"/>
      <c r="G2583" s="70" t="s">
        <v>322</v>
      </c>
      <c r="H2583" s="70" t="s">
        <v>378</v>
      </c>
      <c r="I2583" s="70"/>
      <c r="J2583" s="70" t="s">
        <v>279</v>
      </c>
      <c r="K2583" s="70">
        <v>1</v>
      </c>
      <c r="L2583" s="70" t="s">
        <v>606</v>
      </c>
      <c r="M2583" s="71">
        <f t="shared" si="230"/>
        <v>120</v>
      </c>
      <c r="N2583" s="70"/>
      <c r="O2583" s="70">
        <f t="shared" si="231"/>
        <v>0.0013182901776396</v>
      </c>
      <c r="P2583" s="70">
        <v>11022</v>
      </c>
    </row>
    <row r="2584" s="66" customFormat="1" spans="1:16">
      <c r="A2584" s="70">
        <v>2582</v>
      </c>
      <c r="B2584" s="70">
        <v>12000</v>
      </c>
      <c r="C2584" s="70">
        <v>6</v>
      </c>
      <c r="D2584" s="70">
        <f t="shared" si="228"/>
        <v>121046</v>
      </c>
      <c r="E2584" s="70">
        <f t="shared" si="229"/>
        <v>121166</v>
      </c>
      <c r="F2584" s="70"/>
      <c r="G2584" s="70" t="s">
        <v>324</v>
      </c>
      <c r="H2584" s="70" t="s">
        <v>379</v>
      </c>
      <c r="I2584" s="70"/>
      <c r="J2584" s="70" t="s">
        <v>279</v>
      </c>
      <c r="K2584" s="70">
        <v>1</v>
      </c>
      <c r="L2584" s="70" t="s">
        <v>606</v>
      </c>
      <c r="M2584" s="71">
        <f t="shared" si="230"/>
        <v>120</v>
      </c>
      <c r="N2584" s="70"/>
      <c r="O2584" s="70">
        <f t="shared" si="231"/>
        <v>0.0013182901776396</v>
      </c>
      <c r="P2584" s="70">
        <v>11023</v>
      </c>
    </row>
    <row r="2585" s="66" customFormat="1" spans="1:16">
      <c r="A2585" s="70">
        <v>2583</v>
      </c>
      <c r="B2585" s="70">
        <v>12000</v>
      </c>
      <c r="C2585" s="70">
        <v>6</v>
      </c>
      <c r="D2585" s="70">
        <f t="shared" si="228"/>
        <v>121166</v>
      </c>
      <c r="E2585" s="70">
        <f t="shared" si="229"/>
        <v>121286</v>
      </c>
      <c r="F2585" s="70"/>
      <c r="G2585" s="70" t="s">
        <v>326</v>
      </c>
      <c r="H2585" s="70" t="s">
        <v>380</v>
      </c>
      <c r="I2585" s="70"/>
      <c r="J2585" s="70" t="s">
        <v>279</v>
      </c>
      <c r="K2585" s="70">
        <v>1</v>
      </c>
      <c r="L2585" s="70" t="s">
        <v>606</v>
      </c>
      <c r="M2585" s="71">
        <f t="shared" si="230"/>
        <v>120</v>
      </c>
      <c r="N2585" s="70"/>
      <c r="O2585" s="70">
        <f t="shared" si="231"/>
        <v>0.0013182901776396</v>
      </c>
      <c r="P2585" s="70">
        <v>11024</v>
      </c>
    </row>
    <row r="2586" s="66" customFormat="1" spans="1:16">
      <c r="A2586" s="70">
        <v>2584</v>
      </c>
      <c r="B2586" s="70">
        <v>12000</v>
      </c>
      <c r="C2586" s="70">
        <v>6</v>
      </c>
      <c r="D2586" s="70">
        <f t="shared" si="228"/>
        <v>121286</v>
      </c>
      <c r="E2586" s="70">
        <f t="shared" si="229"/>
        <v>121406</v>
      </c>
      <c r="F2586" s="70"/>
      <c r="G2586" s="70" t="s">
        <v>328</v>
      </c>
      <c r="H2586" s="70" t="s">
        <v>381</v>
      </c>
      <c r="I2586" s="70"/>
      <c r="J2586" s="70" t="s">
        <v>279</v>
      </c>
      <c r="K2586" s="70">
        <v>1</v>
      </c>
      <c r="L2586" s="70" t="s">
        <v>606</v>
      </c>
      <c r="M2586" s="71">
        <f t="shared" si="230"/>
        <v>120</v>
      </c>
      <c r="N2586" s="70"/>
      <c r="O2586" s="70">
        <f t="shared" si="231"/>
        <v>0.0013182901776396</v>
      </c>
      <c r="P2586" s="70">
        <v>11025</v>
      </c>
    </row>
    <row r="2587" s="66" customFormat="1" spans="1:16">
      <c r="A2587" s="70">
        <v>2585</v>
      </c>
      <c r="B2587" s="70">
        <v>12000</v>
      </c>
      <c r="C2587" s="70">
        <v>6</v>
      </c>
      <c r="D2587" s="70">
        <f t="shared" si="228"/>
        <v>121406</v>
      </c>
      <c r="E2587" s="70">
        <f t="shared" si="229"/>
        <v>121526</v>
      </c>
      <c r="F2587" s="70"/>
      <c r="G2587" s="70" t="s">
        <v>330</v>
      </c>
      <c r="H2587" s="70" t="s">
        <v>382</v>
      </c>
      <c r="I2587" s="70"/>
      <c r="J2587" s="70" t="s">
        <v>279</v>
      </c>
      <c r="K2587" s="70">
        <v>1</v>
      </c>
      <c r="L2587" s="70" t="s">
        <v>606</v>
      </c>
      <c r="M2587" s="71">
        <f t="shared" si="230"/>
        <v>120</v>
      </c>
      <c r="N2587" s="70"/>
      <c r="O2587" s="70">
        <f t="shared" si="231"/>
        <v>0.0013182901776396</v>
      </c>
      <c r="P2587" s="70">
        <v>11026</v>
      </c>
    </row>
    <row r="2588" s="66" customFormat="1" spans="1:16">
      <c r="A2588" s="70">
        <v>2586</v>
      </c>
      <c r="B2588" s="70">
        <v>12000</v>
      </c>
      <c r="C2588" s="70">
        <v>6</v>
      </c>
      <c r="D2588" s="70">
        <f t="shared" si="228"/>
        <v>121526</v>
      </c>
      <c r="E2588" s="70">
        <f t="shared" si="229"/>
        <v>121646</v>
      </c>
      <c r="F2588" s="70"/>
      <c r="G2588" s="70" t="s">
        <v>332</v>
      </c>
      <c r="H2588" s="70" t="s">
        <v>383</v>
      </c>
      <c r="I2588" s="70"/>
      <c r="J2588" s="70" t="s">
        <v>279</v>
      </c>
      <c r="K2588" s="70">
        <v>1</v>
      </c>
      <c r="L2588" s="70" t="s">
        <v>606</v>
      </c>
      <c r="M2588" s="71">
        <f t="shared" si="230"/>
        <v>120</v>
      </c>
      <c r="N2588" s="70"/>
      <c r="O2588" s="70">
        <f t="shared" si="231"/>
        <v>0.0013182901776396</v>
      </c>
      <c r="P2588" s="70">
        <v>11027</v>
      </c>
    </row>
    <row r="2589" s="66" customFormat="1" spans="1:16">
      <c r="A2589" s="70">
        <v>2587</v>
      </c>
      <c r="B2589" s="70">
        <v>12000</v>
      </c>
      <c r="C2589" s="70">
        <v>6</v>
      </c>
      <c r="D2589" s="70">
        <f t="shared" si="228"/>
        <v>121646</v>
      </c>
      <c r="E2589" s="70">
        <f t="shared" si="229"/>
        <v>121766</v>
      </c>
      <c r="F2589" s="70"/>
      <c r="G2589" s="70" t="s">
        <v>334</v>
      </c>
      <c r="H2589" s="70" t="s">
        <v>384</v>
      </c>
      <c r="I2589" s="70"/>
      <c r="J2589" s="70" t="s">
        <v>279</v>
      </c>
      <c r="K2589" s="70">
        <v>1</v>
      </c>
      <c r="L2589" s="70" t="s">
        <v>606</v>
      </c>
      <c r="M2589" s="71">
        <f t="shared" si="230"/>
        <v>120</v>
      </c>
      <c r="N2589" s="70"/>
      <c r="O2589" s="70">
        <f t="shared" si="231"/>
        <v>0.0013182901776396</v>
      </c>
      <c r="P2589" s="70">
        <v>11028</v>
      </c>
    </row>
    <row r="2590" s="66" customFormat="1" spans="1:16">
      <c r="A2590" s="70">
        <v>2588</v>
      </c>
      <c r="B2590" s="70">
        <v>12000</v>
      </c>
      <c r="C2590" s="70">
        <v>6</v>
      </c>
      <c r="D2590" s="70">
        <f t="shared" si="228"/>
        <v>121766</v>
      </c>
      <c r="E2590" s="70">
        <f t="shared" si="229"/>
        <v>121886</v>
      </c>
      <c r="F2590" s="70"/>
      <c r="G2590" s="70" t="s">
        <v>336</v>
      </c>
      <c r="H2590" s="70" t="s">
        <v>385</v>
      </c>
      <c r="I2590" s="70"/>
      <c r="J2590" s="70" t="s">
        <v>279</v>
      </c>
      <c r="K2590" s="70">
        <v>1</v>
      </c>
      <c r="L2590" s="70" t="s">
        <v>606</v>
      </c>
      <c r="M2590" s="71">
        <f t="shared" si="230"/>
        <v>120</v>
      </c>
      <c r="N2590" s="70"/>
      <c r="O2590" s="70">
        <f t="shared" si="231"/>
        <v>0.0013182901776396</v>
      </c>
      <c r="P2590" s="70">
        <v>11029</v>
      </c>
    </row>
    <row r="2591" s="66" customFormat="1" spans="1:16">
      <c r="A2591" s="70">
        <v>2589</v>
      </c>
      <c r="B2591" s="70">
        <v>12000</v>
      </c>
      <c r="C2591" s="70">
        <v>6</v>
      </c>
      <c r="D2591" s="70">
        <f t="shared" si="228"/>
        <v>121886</v>
      </c>
      <c r="E2591" s="70">
        <f t="shared" si="229"/>
        <v>122006</v>
      </c>
      <c r="F2591" s="70"/>
      <c r="G2591" s="70" t="s">
        <v>338</v>
      </c>
      <c r="H2591" s="70" t="s">
        <v>386</v>
      </c>
      <c r="I2591" s="70"/>
      <c r="J2591" s="70" t="s">
        <v>279</v>
      </c>
      <c r="K2591" s="70">
        <v>1</v>
      </c>
      <c r="L2591" s="70" t="s">
        <v>606</v>
      </c>
      <c r="M2591" s="71">
        <f t="shared" si="230"/>
        <v>120</v>
      </c>
      <c r="N2591" s="70"/>
      <c r="O2591" s="70">
        <f t="shared" si="231"/>
        <v>0.0013182901776396</v>
      </c>
      <c r="P2591" s="70">
        <v>11030</v>
      </c>
    </row>
    <row r="2592" s="66" customFormat="1" spans="1:16">
      <c r="A2592" s="70">
        <v>2590</v>
      </c>
      <c r="B2592" s="70">
        <v>12000</v>
      </c>
      <c r="C2592" s="70">
        <v>6</v>
      </c>
      <c r="D2592" s="70">
        <f t="shared" si="228"/>
        <v>122006</v>
      </c>
      <c r="E2592" s="70">
        <f t="shared" si="229"/>
        <v>122126</v>
      </c>
      <c r="F2592" s="70"/>
      <c r="G2592" s="70" t="s">
        <v>340</v>
      </c>
      <c r="H2592" s="70" t="s">
        <v>387</v>
      </c>
      <c r="I2592" s="70"/>
      <c r="J2592" s="70" t="s">
        <v>279</v>
      </c>
      <c r="K2592" s="70">
        <v>1</v>
      </c>
      <c r="L2592" s="70" t="s">
        <v>606</v>
      </c>
      <c r="M2592" s="71">
        <f t="shared" si="230"/>
        <v>120</v>
      </c>
      <c r="N2592" s="70"/>
      <c r="O2592" s="70">
        <f t="shared" si="231"/>
        <v>0.0013182901776396</v>
      </c>
      <c r="P2592" s="70">
        <v>11031</v>
      </c>
    </row>
    <row r="2593" s="66" customFormat="1" spans="1:20">
      <c r="A2593" s="70">
        <v>2591</v>
      </c>
      <c r="B2593" s="70">
        <v>12000</v>
      </c>
      <c r="C2593" s="70">
        <v>6</v>
      </c>
      <c r="D2593" s="70">
        <f t="shared" si="228"/>
        <v>122126</v>
      </c>
      <c r="E2593" s="70">
        <f t="shared" si="229"/>
        <v>122246</v>
      </c>
      <c r="F2593" s="70"/>
      <c r="G2593" s="70" t="s">
        <v>342</v>
      </c>
      <c r="H2593" s="70" t="s">
        <v>388</v>
      </c>
      <c r="I2593" s="70"/>
      <c r="J2593" s="70" t="s">
        <v>279</v>
      </c>
      <c r="K2593" s="70">
        <v>1</v>
      </c>
      <c r="L2593" s="70" t="s">
        <v>606</v>
      </c>
      <c r="M2593" s="71">
        <f t="shared" si="230"/>
        <v>120</v>
      </c>
      <c r="N2593" s="70"/>
      <c r="O2593" s="70">
        <f t="shared" si="231"/>
        <v>0.0013182901776396</v>
      </c>
      <c r="P2593" s="70">
        <v>11032</v>
      </c>
    </row>
    <row r="2594" s="66" customFormat="1" spans="1:20">
      <c r="A2594" s="70">
        <v>2592</v>
      </c>
      <c r="B2594" s="70">
        <v>12000</v>
      </c>
      <c r="C2594" s="70">
        <v>6</v>
      </c>
      <c r="D2594" s="70">
        <f t="shared" si="228"/>
        <v>122246</v>
      </c>
      <c r="E2594" s="70">
        <f t="shared" si="229"/>
        <v>122366</v>
      </c>
      <c r="F2594" s="70"/>
      <c r="G2594" s="70" t="s">
        <v>344</v>
      </c>
      <c r="H2594" s="70" t="s">
        <v>389</v>
      </c>
      <c r="I2594" s="70"/>
      <c r="J2594" s="70" t="s">
        <v>279</v>
      </c>
      <c r="K2594" s="70">
        <v>1</v>
      </c>
      <c r="L2594" s="70" t="s">
        <v>606</v>
      </c>
      <c r="M2594" s="71">
        <f t="shared" si="230"/>
        <v>120</v>
      </c>
      <c r="N2594" s="70"/>
      <c r="O2594" s="70">
        <f t="shared" si="231"/>
        <v>0.0013182901776396</v>
      </c>
      <c r="P2594" s="70">
        <v>11033</v>
      </c>
    </row>
    <row r="2595" s="66" customFormat="1" spans="1:20">
      <c r="A2595" s="70">
        <v>2593</v>
      </c>
      <c r="B2595" s="70">
        <v>12000</v>
      </c>
      <c r="C2595" s="70">
        <v>6</v>
      </c>
      <c r="D2595" s="70">
        <f t="shared" si="228"/>
        <v>122366</v>
      </c>
      <c r="E2595" s="70">
        <f t="shared" si="229"/>
        <v>122486</v>
      </c>
      <c r="F2595" s="70"/>
      <c r="G2595" s="70" t="s">
        <v>346</v>
      </c>
      <c r="H2595" s="70" t="s">
        <v>390</v>
      </c>
      <c r="I2595" s="70"/>
      <c r="J2595" s="70" t="s">
        <v>279</v>
      </c>
      <c r="K2595" s="70">
        <v>1</v>
      </c>
      <c r="L2595" s="70" t="s">
        <v>606</v>
      </c>
      <c r="M2595" s="71">
        <f t="shared" si="230"/>
        <v>120</v>
      </c>
      <c r="N2595" s="70"/>
      <c r="O2595" s="70">
        <f t="shared" si="231"/>
        <v>0.0013182901776396</v>
      </c>
      <c r="P2595" s="70">
        <v>11034</v>
      </c>
    </row>
    <row r="2596" s="66" customFormat="1" spans="1:20">
      <c r="A2596" s="70">
        <v>2594</v>
      </c>
      <c r="B2596" s="70">
        <v>12000</v>
      </c>
      <c r="C2596" s="70">
        <v>6</v>
      </c>
      <c r="D2596" s="70">
        <f t="shared" si="228"/>
        <v>122486</v>
      </c>
      <c r="E2596" s="70">
        <f t="shared" si="229"/>
        <v>122606</v>
      </c>
      <c r="F2596" s="70"/>
      <c r="G2596" s="70" t="s">
        <v>348</v>
      </c>
      <c r="H2596" s="70" t="s">
        <v>391</v>
      </c>
      <c r="I2596" s="70"/>
      <c r="J2596" s="70" t="s">
        <v>279</v>
      </c>
      <c r="K2596" s="70">
        <v>1</v>
      </c>
      <c r="L2596" s="70" t="s">
        <v>606</v>
      </c>
      <c r="M2596" s="71">
        <f t="shared" si="230"/>
        <v>120</v>
      </c>
      <c r="N2596" s="70"/>
      <c r="O2596" s="70">
        <f t="shared" si="231"/>
        <v>0.0013182901776396</v>
      </c>
      <c r="P2596" s="70">
        <v>11035</v>
      </c>
    </row>
    <row r="2597" s="66" customFormat="1" spans="1:20">
      <c r="A2597" s="70">
        <v>2595</v>
      </c>
      <c r="B2597" s="70">
        <v>12000</v>
      </c>
      <c r="C2597" s="70">
        <v>6</v>
      </c>
      <c r="D2597" s="70">
        <f t="shared" si="228"/>
        <v>122606</v>
      </c>
      <c r="E2597" s="70">
        <f t="shared" si="229"/>
        <v>122726</v>
      </c>
      <c r="F2597" s="70"/>
      <c r="G2597" s="70" t="s">
        <v>350</v>
      </c>
      <c r="H2597" s="70" t="s">
        <v>392</v>
      </c>
      <c r="I2597" s="70"/>
      <c r="J2597" s="70" t="s">
        <v>279</v>
      </c>
      <c r="K2597" s="70">
        <v>1</v>
      </c>
      <c r="L2597" s="70" t="s">
        <v>606</v>
      </c>
      <c r="M2597" s="71">
        <f t="shared" si="230"/>
        <v>120</v>
      </c>
      <c r="N2597" s="70"/>
      <c r="O2597" s="70">
        <f t="shared" si="231"/>
        <v>0.0013182901776396</v>
      </c>
      <c r="P2597" s="70">
        <v>11036</v>
      </c>
    </row>
    <row r="2598" s="66" customFormat="1" spans="1:20">
      <c r="A2598" s="70">
        <v>2596</v>
      </c>
      <c r="B2598" s="70">
        <v>12000</v>
      </c>
      <c r="C2598" s="70">
        <v>6</v>
      </c>
      <c r="D2598" s="70">
        <f t="shared" si="228"/>
        <v>122726</v>
      </c>
      <c r="E2598" s="70">
        <f t="shared" si="229"/>
        <v>122846</v>
      </c>
      <c r="F2598" s="70"/>
      <c r="G2598" s="70" t="s">
        <v>352</v>
      </c>
      <c r="H2598" s="70" t="s">
        <v>393</v>
      </c>
      <c r="I2598" s="70"/>
      <c r="J2598" s="70" t="s">
        <v>279</v>
      </c>
      <c r="K2598" s="70">
        <v>1</v>
      </c>
      <c r="L2598" s="70" t="s">
        <v>606</v>
      </c>
      <c r="M2598" s="71">
        <f t="shared" si="230"/>
        <v>120</v>
      </c>
      <c r="N2598" s="70"/>
      <c r="O2598" s="70">
        <f t="shared" si="231"/>
        <v>0.0013182901776396</v>
      </c>
      <c r="P2598" s="70">
        <v>11037</v>
      </c>
    </row>
    <row r="2599" s="66" customFormat="1" spans="1:20">
      <c r="A2599" s="70">
        <v>2597</v>
      </c>
      <c r="B2599" s="70">
        <v>12000</v>
      </c>
      <c r="C2599" s="70">
        <v>6</v>
      </c>
      <c r="D2599" s="70">
        <f t="shared" si="228"/>
        <v>122846</v>
      </c>
      <c r="E2599" s="70">
        <f t="shared" si="229"/>
        <v>122966</v>
      </c>
      <c r="F2599" s="70"/>
      <c r="G2599" s="70" t="s">
        <v>354</v>
      </c>
      <c r="H2599" s="70" t="s">
        <v>394</v>
      </c>
      <c r="I2599" s="70"/>
      <c r="J2599" s="70" t="s">
        <v>279</v>
      </c>
      <c r="K2599" s="70">
        <v>1</v>
      </c>
      <c r="L2599" s="70" t="s">
        <v>606</v>
      </c>
      <c r="M2599" s="71">
        <f t="shared" si="230"/>
        <v>120</v>
      </c>
      <c r="N2599" s="70"/>
      <c r="O2599" s="70">
        <f t="shared" si="231"/>
        <v>0.0013182901776396</v>
      </c>
      <c r="P2599" s="70">
        <v>11038</v>
      </c>
    </row>
    <row r="2600" s="66" customFormat="1" spans="1:20">
      <c r="A2600" s="70">
        <v>2598</v>
      </c>
      <c r="B2600" s="70">
        <v>12000</v>
      </c>
      <c r="C2600" s="70">
        <v>6</v>
      </c>
      <c r="D2600" s="70">
        <f t="shared" ref="D2600:D2635" si="232">E2599</f>
        <v>122966</v>
      </c>
      <c r="E2600" s="70">
        <f t="shared" ref="E2600:E2635" si="233">D2600+M2600</f>
        <v>123086</v>
      </c>
      <c r="F2600" s="70"/>
      <c r="G2600" s="70" t="s">
        <v>346</v>
      </c>
      <c r="H2600" s="70" t="s">
        <v>395</v>
      </c>
      <c r="I2600" s="70"/>
      <c r="J2600" s="70" t="s">
        <v>279</v>
      </c>
      <c r="K2600" s="70">
        <v>1</v>
      </c>
      <c r="L2600" s="70" t="s">
        <v>606</v>
      </c>
      <c r="M2600" s="71">
        <f t="shared" si="230"/>
        <v>120</v>
      </c>
      <c r="N2600" s="70"/>
      <c r="O2600" s="70">
        <f t="shared" si="231"/>
        <v>0.0013182901776396</v>
      </c>
      <c r="P2600" s="70">
        <v>11034</v>
      </c>
    </row>
    <row r="2601" s="66" customFormat="1" spans="1:20">
      <c r="A2601" s="70">
        <v>2599</v>
      </c>
      <c r="B2601" s="70">
        <v>12000</v>
      </c>
      <c r="C2601" s="70">
        <v>6</v>
      </c>
      <c r="D2601" s="70">
        <f t="shared" si="232"/>
        <v>123086</v>
      </c>
      <c r="E2601" s="70">
        <f t="shared" si="233"/>
        <v>123206</v>
      </c>
      <c r="F2601" s="70"/>
      <c r="G2601" s="70" t="s">
        <v>348</v>
      </c>
      <c r="H2601" s="70" t="s">
        <v>396</v>
      </c>
      <c r="I2601" s="70"/>
      <c r="J2601" s="70" t="s">
        <v>279</v>
      </c>
      <c r="K2601" s="70">
        <v>1</v>
      </c>
      <c r="L2601" s="70" t="s">
        <v>606</v>
      </c>
      <c r="M2601" s="71">
        <f t="shared" si="230"/>
        <v>120</v>
      </c>
      <c r="N2601" s="70"/>
      <c r="O2601" s="70">
        <f t="shared" si="231"/>
        <v>0.0013182901776396</v>
      </c>
      <c r="P2601" s="70">
        <v>11035</v>
      </c>
    </row>
    <row r="2602" s="66" customFormat="1" spans="1:20">
      <c r="A2602" s="70">
        <v>2600</v>
      </c>
      <c r="B2602" s="70">
        <v>12000</v>
      </c>
      <c r="C2602" s="70">
        <v>6</v>
      </c>
      <c r="D2602" s="70">
        <f t="shared" si="232"/>
        <v>123206</v>
      </c>
      <c r="E2602" s="70">
        <f t="shared" si="233"/>
        <v>123326</v>
      </c>
      <c r="F2602" s="70"/>
      <c r="G2602" s="70" t="s">
        <v>350</v>
      </c>
      <c r="H2602" s="70" t="s">
        <v>397</v>
      </c>
      <c r="I2602" s="70"/>
      <c r="J2602" s="70" t="s">
        <v>279</v>
      </c>
      <c r="K2602" s="70">
        <v>1</v>
      </c>
      <c r="L2602" s="70" t="s">
        <v>606</v>
      </c>
      <c r="M2602" s="71">
        <f t="shared" si="230"/>
        <v>120</v>
      </c>
      <c r="N2602" s="70"/>
      <c r="O2602" s="70">
        <f t="shared" si="231"/>
        <v>0.0013182901776396</v>
      </c>
      <c r="P2602" s="70">
        <v>11036</v>
      </c>
    </row>
    <row r="2603" s="66" customFormat="1" spans="1:20">
      <c r="A2603" s="70">
        <v>2601</v>
      </c>
      <c r="B2603" s="70">
        <v>12000</v>
      </c>
      <c r="C2603" s="70">
        <v>6</v>
      </c>
      <c r="D2603" s="70">
        <f t="shared" si="232"/>
        <v>123326</v>
      </c>
      <c r="E2603" s="70">
        <f t="shared" si="233"/>
        <v>123446</v>
      </c>
      <c r="F2603" s="70"/>
      <c r="G2603" s="70" t="s">
        <v>352</v>
      </c>
      <c r="H2603" s="70" t="s">
        <v>398</v>
      </c>
      <c r="I2603" s="70"/>
      <c r="J2603" s="70" t="s">
        <v>279</v>
      </c>
      <c r="K2603" s="70">
        <v>1</v>
      </c>
      <c r="L2603" s="70" t="s">
        <v>606</v>
      </c>
      <c r="M2603" s="71">
        <f t="shared" si="230"/>
        <v>120</v>
      </c>
      <c r="N2603" s="70"/>
      <c r="O2603" s="70">
        <f t="shared" si="231"/>
        <v>0.0013182901776396</v>
      </c>
      <c r="P2603" s="70">
        <v>11037</v>
      </c>
    </row>
    <row r="2604" s="66" customFormat="1" spans="1:20">
      <c r="A2604" s="70">
        <v>2602</v>
      </c>
      <c r="B2604" s="70">
        <v>12000</v>
      </c>
      <c r="C2604" s="70">
        <v>6</v>
      </c>
      <c r="D2604" s="70">
        <f t="shared" si="232"/>
        <v>123446</v>
      </c>
      <c r="E2604" s="70">
        <f t="shared" si="233"/>
        <v>123566</v>
      </c>
      <c r="F2604" s="70"/>
      <c r="G2604" s="70" t="s">
        <v>354</v>
      </c>
      <c r="H2604" s="70" t="s">
        <v>399</v>
      </c>
      <c r="I2604" s="70"/>
      <c r="J2604" s="70" t="s">
        <v>279</v>
      </c>
      <c r="K2604" s="70">
        <v>1</v>
      </c>
      <c r="L2604" s="70" t="s">
        <v>606</v>
      </c>
      <c r="M2604" s="71">
        <f t="shared" si="230"/>
        <v>120</v>
      </c>
      <c r="N2604" s="70"/>
      <c r="O2604" s="70">
        <f t="shared" si="231"/>
        <v>0.0013182901776396</v>
      </c>
      <c r="P2604" s="70">
        <v>11038</v>
      </c>
    </row>
    <row r="2605" spans="1:20">
      <c r="A2605" s="70">
        <v>2603</v>
      </c>
      <c r="B2605" s="70">
        <v>12000</v>
      </c>
      <c r="C2605" s="70">
        <v>6</v>
      </c>
      <c r="D2605" s="70">
        <f t="shared" si="232"/>
        <v>123566</v>
      </c>
      <c r="E2605" s="70">
        <f t="shared" si="233"/>
        <v>123686</v>
      </c>
      <c r="F2605" s="70"/>
      <c r="G2605" s="70">
        <f>VLOOKUP(H2605&amp;I2605,Sheet2!$J:$K,2,0)</f>
        <v>98020701</v>
      </c>
      <c r="H2605" s="70" t="s">
        <v>400</v>
      </c>
      <c r="I2605" s="70"/>
      <c r="J2605" s="70" t="s">
        <v>279</v>
      </c>
      <c r="K2605" s="70">
        <v>1</v>
      </c>
      <c r="L2605" s="70" t="s">
        <v>606</v>
      </c>
      <c r="M2605" s="71">
        <f t="shared" ref="M2605:M2635" si="234">ROUNDDOWN(VLOOKUP(J2605,$S$2059:$V$2065,4,0)*1000,0)</f>
        <v>120</v>
      </c>
      <c r="N2605" s="70"/>
      <c r="O2605" s="70">
        <f t="shared" si="231"/>
        <v>0.0013182901776396</v>
      </c>
      <c r="P2605" s="70">
        <v>11039</v>
      </c>
      <c r="R2605">
        <v>4992</v>
      </c>
      <c r="S2605">
        <f>39+44</f>
        <v>83</v>
      </c>
      <c r="T2605">
        <f>R2605/S2605</f>
        <v>60.144578313253</v>
      </c>
    </row>
    <row r="2606" spans="1:20">
      <c r="A2606" s="70">
        <v>2604</v>
      </c>
      <c r="B2606" s="70">
        <v>12000</v>
      </c>
      <c r="C2606" s="70">
        <v>6</v>
      </c>
      <c r="D2606" s="70">
        <f t="shared" si="232"/>
        <v>123686</v>
      </c>
      <c r="E2606" s="70">
        <f t="shared" si="233"/>
        <v>123806</v>
      </c>
      <c r="F2606" s="70"/>
      <c r="G2606" s="70">
        <f>VLOOKUP(H2606&amp;I2606,Sheet2!$J:$K,2,0)</f>
        <v>98020702</v>
      </c>
      <c r="H2606" s="70" t="s">
        <v>401</v>
      </c>
      <c r="I2606" s="70"/>
      <c r="J2606" s="70" t="s">
        <v>279</v>
      </c>
      <c r="K2606" s="70">
        <v>1</v>
      </c>
      <c r="L2606" s="70" t="s">
        <v>606</v>
      </c>
      <c r="M2606" s="71">
        <f t="shared" si="234"/>
        <v>120</v>
      </c>
      <c r="N2606" s="70"/>
      <c r="O2606" s="70">
        <f t="shared" si="231"/>
        <v>0.0013182901776396</v>
      </c>
      <c r="P2606" s="70">
        <v>11040</v>
      </c>
    </row>
    <row r="2607" spans="1:20">
      <c r="A2607" s="70">
        <v>2605</v>
      </c>
      <c r="B2607" s="70">
        <v>12000</v>
      </c>
      <c r="C2607" s="70">
        <v>6</v>
      </c>
      <c r="D2607" s="70">
        <f t="shared" si="232"/>
        <v>123806</v>
      </c>
      <c r="E2607" s="70">
        <f t="shared" si="233"/>
        <v>123926</v>
      </c>
      <c r="F2607" s="70"/>
      <c r="G2607" s="70">
        <f>VLOOKUP(H2607&amp;I2607,Sheet2!$J:$K,2,0)</f>
        <v>98050101</v>
      </c>
      <c r="H2607" s="70" t="s">
        <v>402</v>
      </c>
      <c r="I2607" s="70"/>
      <c r="J2607" s="70" t="s">
        <v>279</v>
      </c>
      <c r="K2607" s="70">
        <v>1</v>
      </c>
      <c r="L2607" s="70" t="s">
        <v>606</v>
      </c>
      <c r="M2607" s="71">
        <f t="shared" si="234"/>
        <v>120</v>
      </c>
      <c r="N2607" s="70"/>
      <c r="O2607" s="70">
        <f t="shared" si="231"/>
        <v>0.0013182901776396</v>
      </c>
      <c r="P2607" s="70">
        <v>11041</v>
      </c>
    </row>
    <row r="2608" spans="1:20">
      <c r="A2608" s="70">
        <v>2606</v>
      </c>
      <c r="B2608" s="70">
        <v>12000</v>
      </c>
      <c r="C2608" s="70">
        <v>6</v>
      </c>
      <c r="D2608" s="70">
        <f t="shared" si="232"/>
        <v>123926</v>
      </c>
      <c r="E2608" s="70">
        <f t="shared" si="233"/>
        <v>124046</v>
      </c>
      <c r="F2608" s="70"/>
      <c r="G2608" s="70">
        <f>VLOOKUP(H2608&amp;I2608,Sheet2!$J:$K,2,0)</f>
        <v>98050102</v>
      </c>
      <c r="H2608" s="70" t="s">
        <v>403</v>
      </c>
      <c r="I2608" s="70"/>
      <c r="J2608" s="70" t="s">
        <v>279</v>
      </c>
      <c r="K2608" s="70">
        <v>1</v>
      </c>
      <c r="L2608" s="70" t="s">
        <v>606</v>
      </c>
      <c r="M2608" s="71">
        <f t="shared" si="234"/>
        <v>120</v>
      </c>
      <c r="N2608" s="70"/>
      <c r="O2608" s="70">
        <f t="shared" si="231"/>
        <v>0.0013182901776396</v>
      </c>
      <c r="P2608" s="70">
        <v>11042</v>
      </c>
    </row>
    <row r="2609" spans="1:16">
      <c r="A2609" s="70">
        <v>2607</v>
      </c>
      <c r="B2609" s="70">
        <v>12000</v>
      </c>
      <c r="C2609" s="70">
        <v>6</v>
      </c>
      <c r="D2609" s="70">
        <f t="shared" si="232"/>
        <v>124046</v>
      </c>
      <c r="E2609" s="70">
        <f t="shared" si="233"/>
        <v>124166</v>
      </c>
      <c r="F2609" s="70"/>
      <c r="G2609" s="70">
        <f>VLOOKUP(H2609&amp;I2609,Sheet2!$J:$K,2,0)</f>
        <v>98050103</v>
      </c>
      <c r="H2609" s="70" t="s">
        <v>404</v>
      </c>
      <c r="I2609" s="70"/>
      <c r="J2609" s="70" t="s">
        <v>279</v>
      </c>
      <c r="K2609" s="70">
        <v>1</v>
      </c>
      <c r="L2609" s="70" t="s">
        <v>606</v>
      </c>
      <c r="M2609" s="71">
        <f t="shared" si="234"/>
        <v>120</v>
      </c>
      <c r="N2609" s="70"/>
      <c r="O2609" s="70">
        <f t="shared" si="231"/>
        <v>0.0013182901776396</v>
      </c>
      <c r="P2609" s="70">
        <v>11043</v>
      </c>
    </row>
    <row r="2610" spans="1:16">
      <c r="A2610" s="70">
        <v>2608</v>
      </c>
      <c r="B2610" s="70">
        <v>12000</v>
      </c>
      <c r="C2610" s="70">
        <v>6</v>
      </c>
      <c r="D2610" s="70">
        <f t="shared" si="232"/>
        <v>124166</v>
      </c>
      <c r="E2610" s="70">
        <f t="shared" si="233"/>
        <v>124286</v>
      </c>
      <c r="F2610" s="70"/>
      <c r="G2610" s="70">
        <f>VLOOKUP(H2610&amp;I2610,Sheet2!$J:$K,2,0)</f>
        <v>98050104</v>
      </c>
      <c r="H2610" s="70" t="s">
        <v>405</v>
      </c>
      <c r="I2610" s="70"/>
      <c r="J2610" s="70" t="s">
        <v>279</v>
      </c>
      <c r="K2610" s="70">
        <v>1</v>
      </c>
      <c r="L2610" s="70" t="s">
        <v>606</v>
      </c>
      <c r="M2610" s="71">
        <f t="shared" si="234"/>
        <v>120</v>
      </c>
      <c r="N2610" s="70"/>
      <c r="O2610" s="70">
        <f t="shared" si="231"/>
        <v>0.0013182901776396</v>
      </c>
      <c r="P2610" s="70">
        <v>11044</v>
      </c>
    </row>
    <row r="2611" spans="1:16">
      <c r="A2611" s="70">
        <v>2609</v>
      </c>
      <c r="B2611" s="70">
        <v>12000</v>
      </c>
      <c r="C2611" s="70">
        <v>6</v>
      </c>
      <c r="D2611" s="70">
        <f t="shared" si="232"/>
        <v>124286</v>
      </c>
      <c r="E2611" s="70">
        <f t="shared" si="233"/>
        <v>124406</v>
      </c>
      <c r="F2611" s="70"/>
      <c r="G2611" s="70">
        <f>VLOOKUP(H2611&amp;I2611,Sheet2!$J:$K,2,0)</f>
        <v>98050105</v>
      </c>
      <c r="H2611" s="70" t="s">
        <v>406</v>
      </c>
      <c r="I2611" s="70"/>
      <c r="J2611" s="70" t="s">
        <v>279</v>
      </c>
      <c r="K2611" s="70">
        <v>1</v>
      </c>
      <c r="L2611" s="70" t="s">
        <v>606</v>
      </c>
      <c r="M2611" s="71">
        <f t="shared" si="234"/>
        <v>120</v>
      </c>
      <c r="N2611" s="70"/>
      <c r="O2611" s="70">
        <f t="shared" si="231"/>
        <v>0.0013182901776396</v>
      </c>
      <c r="P2611" s="70">
        <v>11045</v>
      </c>
    </row>
    <row r="2612" spans="1:16">
      <c r="A2612" s="70">
        <v>2610</v>
      </c>
      <c r="B2612" s="70">
        <v>12000</v>
      </c>
      <c r="C2612" s="70">
        <v>6</v>
      </c>
      <c r="D2612" s="70">
        <f t="shared" si="232"/>
        <v>124406</v>
      </c>
      <c r="E2612" s="70">
        <f t="shared" si="233"/>
        <v>124526</v>
      </c>
      <c r="F2612" s="70"/>
      <c r="G2612" s="70">
        <f>VLOOKUP(H2612&amp;I2612,Sheet2!$J:$K,2,0)</f>
        <v>98060201</v>
      </c>
      <c r="H2612" s="70" t="s">
        <v>407</v>
      </c>
      <c r="I2612" s="70"/>
      <c r="J2612" s="70" t="s">
        <v>279</v>
      </c>
      <c r="K2612" s="70">
        <v>1</v>
      </c>
      <c r="L2612" s="70" t="s">
        <v>606</v>
      </c>
      <c r="M2612" s="71">
        <f t="shared" si="234"/>
        <v>120</v>
      </c>
      <c r="N2612" s="70"/>
      <c r="O2612" s="70">
        <f t="shared" si="231"/>
        <v>0.0013182901776396</v>
      </c>
      <c r="P2612" s="70">
        <v>11046</v>
      </c>
    </row>
    <row r="2613" spans="1:16">
      <c r="A2613" s="70">
        <v>2611</v>
      </c>
      <c r="B2613" s="70">
        <v>12000</v>
      </c>
      <c r="C2613" s="70">
        <v>6</v>
      </c>
      <c r="D2613" s="70">
        <f t="shared" si="232"/>
        <v>124526</v>
      </c>
      <c r="E2613" s="70">
        <f t="shared" si="233"/>
        <v>124646</v>
      </c>
      <c r="F2613" s="70"/>
      <c r="G2613" s="70">
        <f>VLOOKUP(H2613&amp;I2613,Sheet2!$J:$K,2,0)</f>
        <v>98060202</v>
      </c>
      <c r="H2613" s="70" t="s">
        <v>408</v>
      </c>
      <c r="I2613" s="70"/>
      <c r="J2613" s="70" t="s">
        <v>279</v>
      </c>
      <c r="K2613" s="70">
        <v>1</v>
      </c>
      <c r="L2613" s="70" t="s">
        <v>606</v>
      </c>
      <c r="M2613" s="71">
        <f t="shared" si="234"/>
        <v>120</v>
      </c>
      <c r="N2613" s="70"/>
      <c r="O2613" s="70">
        <f t="shared" si="231"/>
        <v>0.0013182901776396</v>
      </c>
      <c r="P2613" s="70">
        <v>11047</v>
      </c>
    </row>
    <row r="2614" spans="1:16">
      <c r="A2614" s="70">
        <v>2612</v>
      </c>
      <c r="B2614" s="70">
        <v>12000</v>
      </c>
      <c r="C2614" s="70">
        <v>6</v>
      </c>
      <c r="D2614" s="70">
        <f t="shared" si="232"/>
        <v>124646</v>
      </c>
      <c r="E2614" s="70">
        <f t="shared" si="233"/>
        <v>124766</v>
      </c>
      <c r="F2614" s="70"/>
      <c r="G2614" s="70">
        <f>VLOOKUP(H2614&amp;I2614,Sheet2!$J:$K,2,0)</f>
        <v>98010301</v>
      </c>
      <c r="H2614" s="70" t="s">
        <v>409</v>
      </c>
      <c r="I2614" s="70"/>
      <c r="J2614" s="70" t="s">
        <v>279</v>
      </c>
      <c r="K2614" s="70">
        <v>1</v>
      </c>
      <c r="L2614" s="70" t="s">
        <v>606</v>
      </c>
      <c r="M2614" s="71">
        <f t="shared" si="234"/>
        <v>120</v>
      </c>
      <c r="N2614" s="70"/>
      <c r="O2614" s="70">
        <f t="shared" si="231"/>
        <v>0.0013182901776396</v>
      </c>
      <c r="P2614" s="70">
        <v>11048</v>
      </c>
    </row>
    <row r="2615" spans="1:16">
      <c r="A2615" s="70">
        <v>2613</v>
      </c>
      <c r="B2615" s="70">
        <v>12000</v>
      </c>
      <c r="C2615" s="70">
        <v>6</v>
      </c>
      <c r="D2615" s="70">
        <f t="shared" si="232"/>
        <v>124766</v>
      </c>
      <c r="E2615" s="70">
        <f t="shared" si="233"/>
        <v>124886</v>
      </c>
      <c r="F2615" s="70"/>
      <c r="G2615" s="70">
        <f>VLOOKUP(H2615&amp;I2615,Sheet2!$J:$K,2,0)</f>
        <v>98010306</v>
      </c>
      <c r="H2615" s="70" t="s">
        <v>410</v>
      </c>
      <c r="I2615" s="70"/>
      <c r="J2615" s="70" t="s">
        <v>279</v>
      </c>
      <c r="K2615" s="70">
        <v>1</v>
      </c>
      <c r="L2615" s="70" t="s">
        <v>606</v>
      </c>
      <c r="M2615" s="71">
        <f t="shared" si="234"/>
        <v>120</v>
      </c>
      <c r="N2615" s="70"/>
      <c r="O2615" s="70">
        <f t="shared" si="231"/>
        <v>0.0013182901776396</v>
      </c>
      <c r="P2615" s="70">
        <v>11049</v>
      </c>
    </row>
    <row r="2616" spans="1:16">
      <c r="A2616" s="70">
        <v>2614</v>
      </c>
      <c r="B2616" s="70">
        <v>12000</v>
      </c>
      <c r="C2616" s="70">
        <v>6</v>
      </c>
      <c r="D2616" s="70">
        <f t="shared" si="232"/>
        <v>124886</v>
      </c>
      <c r="E2616" s="70">
        <f t="shared" si="233"/>
        <v>125006</v>
      </c>
      <c r="F2616" s="70"/>
      <c r="G2616" s="70">
        <f>VLOOKUP(H2616&amp;I2616,Sheet2!$J:$K,2,0)</f>
        <v>98010401</v>
      </c>
      <c r="H2616" s="70" t="s">
        <v>411</v>
      </c>
      <c r="I2616" s="70"/>
      <c r="J2616" s="70" t="s">
        <v>279</v>
      </c>
      <c r="K2616" s="70">
        <v>1</v>
      </c>
      <c r="L2616" s="70" t="s">
        <v>606</v>
      </c>
      <c r="M2616" s="71">
        <f t="shared" si="234"/>
        <v>120</v>
      </c>
      <c r="N2616" s="70"/>
      <c r="O2616" s="70">
        <f t="shared" si="231"/>
        <v>0.0013182901776396</v>
      </c>
      <c r="P2616" s="70">
        <v>11050</v>
      </c>
    </row>
    <row r="2617" spans="1:16">
      <c r="A2617" s="70">
        <v>2615</v>
      </c>
      <c r="B2617" s="70">
        <v>12000</v>
      </c>
      <c r="C2617" s="70">
        <v>6</v>
      </c>
      <c r="D2617" s="70">
        <f t="shared" si="232"/>
        <v>125006</v>
      </c>
      <c r="E2617" s="70">
        <f t="shared" si="233"/>
        <v>125126</v>
      </c>
      <c r="F2617" s="70"/>
      <c r="G2617" s="70">
        <f>VLOOKUP(H2617&amp;I2617,Sheet2!$J:$K,2,0)</f>
        <v>98010402</v>
      </c>
      <c r="H2617" s="70" t="s">
        <v>412</v>
      </c>
      <c r="I2617" s="70"/>
      <c r="J2617" s="70" t="s">
        <v>279</v>
      </c>
      <c r="K2617" s="70">
        <v>1</v>
      </c>
      <c r="L2617" s="70" t="s">
        <v>606</v>
      </c>
      <c r="M2617" s="71">
        <f t="shared" si="234"/>
        <v>120</v>
      </c>
      <c r="N2617" s="70"/>
      <c r="O2617" s="70">
        <f t="shared" si="231"/>
        <v>0.0013182901776396</v>
      </c>
      <c r="P2617" s="70">
        <v>11051</v>
      </c>
    </row>
    <row r="2618" spans="1:16">
      <c r="A2618" s="70">
        <v>2616</v>
      </c>
      <c r="B2618" s="70">
        <v>12000</v>
      </c>
      <c r="C2618" s="70">
        <v>6</v>
      </c>
      <c r="D2618" s="70">
        <f t="shared" si="232"/>
        <v>125126</v>
      </c>
      <c r="E2618" s="70">
        <f t="shared" si="233"/>
        <v>125246</v>
      </c>
      <c r="F2618" s="70"/>
      <c r="G2618" s="70">
        <f>VLOOKUP(H2618&amp;I2618,Sheet2!$J:$K,2,0)</f>
        <v>98130101</v>
      </c>
      <c r="H2618" s="70" t="s">
        <v>413</v>
      </c>
      <c r="I2618" s="70"/>
      <c r="J2618" s="70" t="s">
        <v>279</v>
      </c>
      <c r="K2618" s="70">
        <v>1</v>
      </c>
      <c r="L2618" s="70" t="s">
        <v>606</v>
      </c>
      <c r="M2618" s="71">
        <f t="shared" si="234"/>
        <v>120</v>
      </c>
      <c r="N2618" s="70"/>
      <c r="O2618" s="70">
        <f t="shared" si="231"/>
        <v>0.0013182901776396</v>
      </c>
      <c r="P2618" s="70">
        <v>11052</v>
      </c>
    </row>
    <row r="2619" spans="1:16">
      <c r="A2619" s="70">
        <v>2617</v>
      </c>
      <c r="B2619" s="70">
        <v>12000</v>
      </c>
      <c r="C2619" s="70">
        <v>6</v>
      </c>
      <c r="D2619" s="70">
        <f t="shared" si="232"/>
        <v>125246</v>
      </c>
      <c r="E2619" s="70">
        <f t="shared" si="233"/>
        <v>125366</v>
      </c>
      <c r="F2619" s="70"/>
      <c r="G2619" s="70">
        <f>VLOOKUP(H2619&amp;I2619,Sheet2!$J:$K,2,0)</f>
        <v>98130102</v>
      </c>
      <c r="H2619" s="70" t="s">
        <v>414</v>
      </c>
      <c r="I2619" s="70"/>
      <c r="J2619" s="70" t="s">
        <v>279</v>
      </c>
      <c r="K2619" s="70">
        <v>1</v>
      </c>
      <c r="L2619" s="70" t="s">
        <v>606</v>
      </c>
      <c r="M2619" s="71">
        <f t="shared" si="234"/>
        <v>120</v>
      </c>
      <c r="N2619" s="70"/>
      <c r="O2619" s="70">
        <f t="shared" si="231"/>
        <v>0.0013182901776396</v>
      </c>
      <c r="P2619" s="70">
        <v>11053</v>
      </c>
    </row>
    <row r="2620" spans="1:16">
      <c r="A2620" s="70">
        <v>2618</v>
      </c>
      <c r="B2620" s="70">
        <v>12000</v>
      </c>
      <c r="C2620" s="70">
        <v>6</v>
      </c>
      <c r="D2620" s="70">
        <f t="shared" si="232"/>
        <v>125366</v>
      </c>
      <c r="E2620" s="70">
        <f t="shared" si="233"/>
        <v>125486</v>
      </c>
      <c r="F2620" s="70"/>
      <c r="G2620" s="70">
        <f>VLOOKUP(H2620&amp;I2620,Sheet2!$J:$K,2,0)</f>
        <v>98130103</v>
      </c>
      <c r="H2620" s="70" t="s">
        <v>415</v>
      </c>
      <c r="I2620" s="70"/>
      <c r="J2620" s="70" t="s">
        <v>279</v>
      </c>
      <c r="K2620" s="70">
        <v>1</v>
      </c>
      <c r="L2620" s="70" t="s">
        <v>606</v>
      </c>
      <c r="M2620" s="71">
        <f t="shared" si="234"/>
        <v>120</v>
      </c>
      <c r="N2620" s="70"/>
      <c r="O2620" s="70">
        <f t="shared" si="231"/>
        <v>0.0013182901776396</v>
      </c>
      <c r="P2620" s="70">
        <v>11054</v>
      </c>
    </row>
    <row r="2621" spans="1:16">
      <c r="A2621" s="70">
        <v>2619</v>
      </c>
      <c r="B2621" s="70">
        <v>12000</v>
      </c>
      <c r="C2621" s="70">
        <v>6</v>
      </c>
      <c r="D2621" s="70">
        <f t="shared" si="232"/>
        <v>125486</v>
      </c>
      <c r="E2621" s="70">
        <f t="shared" si="233"/>
        <v>125606</v>
      </c>
      <c r="F2621" s="70"/>
      <c r="G2621" s="70">
        <f>VLOOKUP(H2621&amp;I2621,Sheet2!$J:$K,2,0)</f>
        <v>98130201</v>
      </c>
      <c r="H2621" s="70" t="s">
        <v>416</v>
      </c>
      <c r="I2621" s="70"/>
      <c r="J2621" s="70" t="s">
        <v>279</v>
      </c>
      <c r="K2621" s="70">
        <v>1</v>
      </c>
      <c r="L2621" s="70" t="s">
        <v>606</v>
      </c>
      <c r="M2621" s="71">
        <f t="shared" si="234"/>
        <v>120</v>
      </c>
      <c r="N2621" s="70"/>
      <c r="O2621" s="70">
        <f t="shared" si="231"/>
        <v>0.0013182901776396</v>
      </c>
      <c r="P2621" s="70">
        <v>11055</v>
      </c>
    </row>
    <row r="2622" spans="1:16">
      <c r="A2622" s="70">
        <v>2620</v>
      </c>
      <c r="B2622" s="70">
        <v>12000</v>
      </c>
      <c r="C2622" s="70">
        <v>6</v>
      </c>
      <c r="D2622" s="70">
        <f t="shared" si="232"/>
        <v>125606</v>
      </c>
      <c r="E2622" s="70">
        <f t="shared" si="233"/>
        <v>125726</v>
      </c>
      <c r="F2622" s="70"/>
      <c r="G2622" s="70">
        <f>VLOOKUP(H2622&amp;I2622,Sheet2!$J:$K,2,0)</f>
        <v>98130202</v>
      </c>
      <c r="H2622" s="70" t="s">
        <v>417</v>
      </c>
      <c r="I2622" s="70"/>
      <c r="J2622" s="70" t="s">
        <v>279</v>
      </c>
      <c r="K2622" s="70">
        <v>1</v>
      </c>
      <c r="L2622" s="70" t="s">
        <v>606</v>
      </c>
      <c r="M2622" s="71">
        <f t="shared" si="234"/>
        <v>120</v>
      </c>
      <c r="N2622" s="70"/>
      <c r="O2622" s="70">
        <f t="shared" si="231"/>
        <v>0.0013182901776396</v>
      </c>
      <c r="P2622" s="70">
        <v>11056</v>
      </c>
    </row>
    <row r="2623" spans="1:16">
      <c r="A2623" s="70">
        <v>2621</v>
      </c>
      <c r="B2623" s="70">
        <v>12000</v>
      </c>
      <c r="C2623" s="70">
        <v>6</v>
      </c>
      <c r="D2623" s="70">
        <f t="shared" si="232"/>
        <v>125726</v>
      </c>
      <c r="E2623" s="70">
        <f t="shared" si="233"/>
        <v>125846</v>
      </c>
      <c r="F2623" s="70"/>
      <c r="G2623" s="70">
        <f>VLOOKUP(H2623&amp;I2623,Sheet2!$J:$K,2,0)</f>
        <v>98150101</v>
      </c>
      <c r="H2623" s="70" t="s">
        <v>418</v>
      </c>
      <c r="I2623" s="70"/>
      <c r="J2623" s="70" t="s">
        <v>279</v>
      </c>
      <c r="K2623" s="70">
        <v>1</v>
      </c>
      <c r="L2623" s="70" t="s">
        <v>606</v>
      </c>
      <c r="M2623" s="71">
        <f t="shared" si="234"/>
        <v>120</v>
      </c>
      <c r="N2623" s="70"/>
      <c r="O2623" s="70">
        <f t="shared" si="231"/>
        <v>0.0013182901776396</v>
      </c>
      <c r="P2623" s="70">
        <v>11057</v>
      </c>
    </row>
    <row r="2624" spans="1:16">
      <c r="A2624" s="70">
        <v>2622</v>
      </c>
      <c r="B2624" s="70">
        <v>12000</v>
      </c>
      <c r="C2624" s="70">
        <v>6</v>
      </c>
      <c r="D2624" s="70">
        <f t="shared" si="232"/>
        <v>125846</v>
      </c>
      <c r="E2624" s="70">
        <f t="shared" si="233"/>
        <v>125966</v>
      </c>
      <c r="F2624" s="70"/>
      <c r="G2624" s="70">
        <f>VLOOKUP(H2624&amp;I2624,Sheet2!$J:$K,2,0)</f>
        <v>98150102</v>
      </c>
      <c r="H2624" s="70" t="s">
        <v>419</v>
      </c>
      <c r="I2624" s="70"/>
      <c r="J2624" s="70" t="s">
        <v>279</v>
      </c>
      <c r="K2624" s="70">
        <v>1</v>
      </c>
      <c r="L2624" s="70" t="s">
        <v>606</v>
      </c>
      <c r="M2624" s="71">
        <f t="shared" si="234"/>
        <v>120</v>
      </c>
      <c r="N2624" s="70"/>
      <c r="O2624" s="70">
        <f t="shared" si="231"/>
        <v>0.0013182901776396</v>
      </c>
      <c r="P2624" s="70">
        <v>11058</v>
      </c>
    </row>
    <row r="2625" spans="1:16">
      <c r="A2625" s="70">
        <v>2623</v>
      </c>
      <c r="B2625" s="70">
        <v>12000</v>
      </c>
      <c r="C2625" s="70">
        <v>6</v>
      </c>
      <c r="D2625" s="70">
        <f t="shared" si="232"/>
        <v>125966</v>
      </c>
      <c r="E2625" s="70">
        <f t="shared" si="233"/>
        <v>126086</v>
      </c>
      <c r="F2625" s="70"/>
      <c r="G2625" s="70">
        <f>VLOOKUP(H2625&amp;I2625,Sheet2!$J:$K,2,0)</f>
        <v>98150103</v>
      </c>
      <c r="H2625" s="70" t="s">
        <v>420</v>
      </c>
      <c r="I2625" s="70"/>
      <c r="J2625" s="70" t="s">
        <v>279</v>
      </c>
      <c r="K2625" s="70">
        <v>1</v>
      </c>
      <c r="L2625" s="70" t="s">
        <v>606</v>
      </c>
      <c r="M2625" s="71">
        <f t="shared" si="234"/>
        <v>120</v>
      </c>
      <c r="N2625" s="70"/>
      <c r="O2625" s="70">
        <f t="shared" ref="O2625:O2635" si="235">(E2625-D2625)/$E$438</f>
        <v>0.0013182901776396</v>
      </c>
      <c r="P2625" s="70">
        <v>11059</v>
      </c>
    </row>
    <row r="2626" spans="1:16">
      <c r="A2626" s="70">
        <v>2624</v>
      </c>
      <c r="B2626" s="70">
        <v>12000</v>
      </c>
      <c r="C2626" s="70">
        <v>6</v>
      </c>
      <c r="D2626" s="70">
        <f t="shared" si="232"/>
        <v>126086</v>
      </c>
      <c r="E2626" s="70">
        <f t="shared" si="233"/>
        <v>126206</v>
      </c>
      <c r="F2626" s="70"/>
      <c r="G2626" s="70">
        <f>VLOOKUP(H2626&amp;I2626,Sheet2!$J:$K,2,0)</f>
        <v>98100301</v>
      </c>
      <c r="H2626" s="70" t="s">
        <v>421</v>
      </c>
      <c r="I2626" s="70"/>
      <c r="J2626" s="70" t="s">
        <v>279</v>
      </c>
      <c r="K2626" s="70">
        <v>1</v>
      </c>
      <c r="L2626" s="70" t="s">
        <v>606</v>
      </c>
      <c r="M2626" s="71">
        <f t="shared" si="234"/>
        <v>120</v>
      </c>
      <c r="N2626" s="70"/>
      <c r="O2626" s="70">
        <f t="shared" si="235"/>
        <v>0.0013182901776396</v>
      </c>
      <c r="P2626" s="70">
        <v>11060</v>
      </c>
    </row>
    <row r="2627" spans="1:16">
      <c r="A2627" s="70">
        <v>2625</v>
      </c>
      <c r="B2627" s="70">
        <v>12000</v>
      </c>
      <c r="C2627" s="70">
        <v>6</v>
      </c>
      <c r="D2627" s="70">
        <f t="shared" si="232"/>
        <v>126206</v>
      </c>
      <c r="E2627" s="70">
        <f t="shared" si="233"/>
        <v>126326</v>
      </c>
      <c r="F2627" s="70"/>
      <c r="G2627" s="70" t="str">
        <f>VLOOKUP(H2627&amp;I2627,Sheet2!$J:$K,2,0)</f>
        <v>98100302</v>
      </c>
      <c r="H2627" s="70" t="s">
        <v>422</v>
      </c>
      <c r="I2627" s="70"/>
      <c r="J2627" s="70" t="s">
        <v>279</v>
      </c>
      <c r="K2627" s="70">
        <v>1</v>
      </c>
      <c r="L2627" s="70" t="s">
        <v>606</v>
      </c>
      <c r="M2627" s="71">
        <f t="shared" si="234"/>
        <v>120</v>
      </c>
      <c r="N2627" s="70"/>
      <c r="O2627" s="70">
        <f t="shared" si="235"/>
        <v>0.0013182901776396</v>
      </c>
      <c r="P2627" s="70">
        <v>11061</v>
      </c>
    </row>
    <row r="2628" spans="1:16">
      <c r="A2628" s="70">
        <v>2626</v>
      </c>
      <c r="B2628" s="70">
        <v>12000</v>
      </c>
      <c r="C2628" s="70">
        <v>6</v>
      </c>
      <c r="D2628" s="70">
        <f t="shared" si="232"/>
        <v>126326</v>
      </c>
      <c r="E2628" s="70">
        <f t="shared" si="233"/>
        <v>126446</v>
      </c>
      <c r="F2628" s="70"/>
      <c r="G2628" s="70">
        <f>VLOOKUP(H2628&amp;I2628,Sheet2!$J:$K,2,0)</f>
        <v>98100401</v>
      </c>
      <c r="H2628" s="70" t="s">
        <v>423</v>
      </c>
      <c r="I2628" s="70"/>
      <c r="J2628" s="70" t="s">
        <v>279</v>
      </c>
      <c r="K2628" s="70">
        <v>1</v>
      </c>
      <c r="L2628" s="70" t="s">
        <v>606</v>
      </c>
      <c r="M2628" s="71">
        <f t="shared" si="234"/>
        <v>120</v>
      </c>
      <c r="N2628" s="70"/>
      <c r="O2628" s="70">
        <f t="shared" si="235"/>
        <v>0.0013182901776396</v>
      </c>
      <c r="P2628" s="70">
        <v>11062</v>
      </c>
    </row>
    <row r="2629" spans="1:16">
      <c r="A2629" s="70">
        <v>2627</v>
      </c>
      <c r="B2629" s="70">
        <v>12000</v>
      </c>
      <c r="C2629" s="70">
        <v>6</v>
      </c>
      <c r="D2629" s="70">
        <f t="shared" si="232"/>
        <v>126446</v>
      </c>
      <c r="E2629" s="70">
        <f t="shared" si="233"/>
        <v>126566</v>
      </c>
      <c r="F2629" s="70"/>
      <c r="G2629" s="70" t="str">
        <f>VLOOKUP(H2629&amp;I2629,Sheet2!$J:$K,2,0)</f>
        <v>98100402</v>
      </c>
      <c r="H2629" s="70" t="s">
        <v>424</v>
      </c>
      <c r="I2629" s="70"/>
      <c r="J2629" s="70" t="s">
        <v>279</v>
      </c>
      <c r="K2629" s="70">
        <v>1</v>
      </c>
      <c r="L2629" s="70" t="s">
        <v>606</v>
      </c>
      <c r="M2629" s="71">
        <f t="shared" si="234"/>
        <v>120</v>
      </c>
      <c r="N2629" s="70"/>
      <c r="O2629" s="70">
        <f t="shared" si="235"/>
        <v>0.0013182901776396</v>
      </c>
      <c r="P2629" s="70">
        <v>11063</v>
      </c>
    </row>
    <row r="2630" spans="1:16">
      <c r="A2630" s="70">
        <v>2628</v>
      </c>
      <c r="B2630" s="70">
        <v>12000</v>
      </c>
      <c r="C2630" s="70">
        <v>6</v>
      </c>
      <c r="D2630" s="70">
        <f t="shared" si="232"/>
        <v>126566</v>
      </c>
      <c r="E2630" s="70">
        <f t="shared" si="233"/>
        <v>126686</v>
      </c>
      <c r="F2630" s="70"/>
      <c r="G2630" s="70">
        <f>VLOOKUP(H2630&amp;I2630,Sheet2!$J:$K,2,0)</f>
        <v>98040401</v>
      </c>
      <c r="H2630" s="70" t="s">
        <v>425</v>
      </c>
      <c r="I2630" s="70"/>
      <c r="J2630" s="70" t="s">
        <v>279</v>
      </c>
      <c r="K2630" s="70">
        <v>1</v>
      </c>
      <c r="L2630" s="70" t="s">
        <v>606</v>
      </c>
      <c r="M2630" s="71">
        <f t="shared" si="234"/>
        <v>120</v>
      </c>
      <c r="N2630" s="70"/>
      <c r="O2630" s="70">
        <f t="shared" si="235"/>
        <v>0.0013182901776396</v>
      </c>
      <c r="P2630" s="70">
        <v>11064</v>
      </c>
    </row>
    <row r="2631" spans="1:16">
      <c r="A2631" s="70">
        <v>2629</v>
      </c>
      <c r="B2631" s="70">
        <v>12000</v>
      </c>
      <c r="C2631" s="70">
        <v>6</v>
      </c>
      <c r="D2631" s="70">
        <f t="shared" si="232"/>
        <v>126686</v>
      </c>
      <c r="E2631" s="70">
        <f t="shared" si="233"/>
        <v>126806</v>
      </c>
      <c r="F2631" s="70"/>
      <c r="G2631" s="70">
        <f>VLOOKUP(H2631&amp;I2631,Sheet2!$J:$K,2,0)</f>
        <v>98040402</v>
      </c>
      <c r="H2631" s="70" t="s">
        <v>426</v>
      </c>
      <c r="I2631" s="70"/>
      <c r="J2631" s="70" t="s">
        <v>279</v>
      </c>
      <c r="K2631" s="70">
        <v>1</v>
      </c>
      <c r="L2631" s="70" t="s">
        <v>606</v>
      </c>
      <c r="M2631" s="71">
        <f t="shared" si="234"/>
        <v>120</v>
      </c>
      <c r="N2631" s="70"/>
      <c r="O2631" s="70">
        <f t="shared" si="235"/>
        <v>0.0013182901776396</v>
      </c>
      <c r="P2631" s="70">
        <v>11065</v>
      </c>
    </row>
    <row r="2632" spans="1:16">
      <c r="A2632" s="70">
        <v>2630</v>
      </c>
      <c r="B2632" s="70">
        <v>12000</v>
      </c>
      <c r="C2632" s="70">
        <v>6</v>
      </c>
      <c r="D2632" s="70">
        <f t="shared" si="232"/>
        <v>126806</v>
      </c>
      <c r="E2632" s="70">
        <f t="shared" si="233"/>
        <v>126926</v>
      </c>
      <c r="F2632" s="70"/>
      <c r="G2632" s="70">
        <f>VLOOKUP(H2632&amp;I2632,Sheet2!$J:$K,2,0)</f>
        <v>98040403</v>
      </c>
      <c r="H2632" s="70" t="s">
        <v>427</v>
      </c>
      <c r="I2632" s="70"/>
      <c r="J2632" s="70" t="s">
        <v>279</v>
      </c>
      <c r="K2632" s="70">
        <v>1</v>
      </c>
      <c r="L2632" s="70" t="s">
        <v>606</v>
      </c>
      <c r="M2632" s="71">
        <f t="shared" si="234"/>
        <v>120</v>
      </c>
      <c r="N2632" s="70"/>
      <c r="O2632" s="70">
        <f t="shared" si="235"/>
        <v>0.0013182901776396</v>
      </c>
      <c r="P2632" s="70">
        <v>11066</v>
      </c>
    </row>
    <row r="2633" spans="1:16">
      <c r="A2633" s="70">
        <v>2631</v>
      </c>
      <c r="B2633" s="70">
        <v>12000</v>
      </c>
      <c r="C2633" s="70">
        <v>6</v>
      </c>
      <c r="D2633" s="70">
        <f t="shared" si="232"/>
        <v>126926</v>
      </c>
      <c r="E2633" s="70">
        <f t="shared" si="233"/>
        <v>127046</v>
      </c>
      <c r="F2633" s="70"/>
      <c r="G2633" s="70">
        <f>VLOOKUP(H2633&amp;I2633,Sheet2!$J:$K,2,0)</f>
        <v>98030201</v>
      </c>
      <c r="H2633" s="70" t="s">
        <v>428</v>
      </c>
      <c r="I2633" s="70"/>
      <c r="J2633" s="70" t="s">
        <v>279</v>
      </c>
      <c r="K2633" s="70">
        <v>1</v>
      </c>
      <c r="L2633" s="70" t="s">
        <v>606</v>
      </c>
      <c r="M2633" s="71">
        <f t="shared" si="234"/>
        <v>120</v>
      </c>
      <c r="N2633" s="70"/>
      <c r="O2633" s="70">
        <f t="shared" si="235"/>
        <v>0.0013182901776396</v>
      </c>
      <c r="P2633" s="70">
        <v>11067</v>
      </c>
    </row>
    <row r="2634" spans="1:16">
      <c r="A2634" s="70">
        <v>2632</v>
      </c>
      <c r="B2634" s="70">
        <v>12000</v>
      </c>
      <c r="C2634" s="70">
        <v>6</v>
      </c>
      <c r="D2634" s="70">
        <f t="shared" si="232"/>
        <v>127046</v>
      </c>
      <c r="E2634" s="70">
        <f t="shared" si="233"/>
        <v>127166</v>
      </c>
      <c r="F2634" s="70"/>
      <c r="G2634" s="70">
        <f>VLOOKUP(H2634&amp;I2634,Sheet2!$J:$K,2,0)</f>
        <v>98030202</v>
      </c>
      <c r="H2634" s="70" t="s">
        <v>429</v>
      </c>
      <c r="I2634" s="70"/>
      <c r="J2634" s="70" t="s">
        <v>279</v>
      </c>
      <c r="K2634" s="70">
        <v>1</v>
      </c>
      <c r="L2634" s="70" t="s">
        <v>606</v>
      </c>
      <c r="M2634" s="71">
        <f t="shared" si="234"/>
        <v>120</v>
      </c>
      <c r="N2634" s="70"/>
      <c r="O2634" s="70">
        <f t="shared" si="235"/>
        <v>0.0013182901776396</v>
      </c>
      <c r="P2634" s="70">
        <v>11068</v>
      </c>
    </row>
    <row r="2635" spans="1:16">
      <c r="A2635" s="70">
        <v>2633</v>
      </c>
      <c r="B2635" s="70">
        <v>12000</v>
      </c>
      <c r="C2635" s="70">
        <v>6</v>
      </c>
      <c r="D2635" s="70">
        <f t="shared" si="232"/>
        <v>127166</v>
      </c>
      <c r="E2635" s="70">
        <f t="shared" si="233"/>
        <v>127286</v>
      </c>
      <c r="F2635" s="70"/>
      <c r="G2635" s="70">
        <f>VLOOKUP(H2635&amp;I2635,Sheet2!$J:$K,2,0)</f>
        <v>98030203</v>
      </c>
      <c r="H2635" s="70" t="s">
        <v>430</v>
      </c>
      <c r="I2635" s="70"/>
      <c r="J2635" s="70" t="s">
        <v>279</v>
      </c>
      <c r="K2635" s="70">
        <v>1</v>
      </c>
      <c r="L2635" s="70" t="s">
        <v>606</v>
      </c>
      <c r="M2635" s="71">
        <f t="shared" si="234"/>
        <v>120</v>
      </c>
      <c r="N2635" s="70"/>
      <c r="O2635" s="70">
        <f t="shared" si="235"/>
        <v>0.0013182901776396</v>
      </c>
      <c r="P2635" s="70">
        <v>11069</v>
      </c>
    </row>
    <row r="2636" spans="1:16">
      <c r="A2636" s="67">
        <v>2634</v>
      </c>
      <c r="B2636" s="70">
        <v>13000</v>
      </c>
      <c r="C2636" s="67">
        <v>1</v>
      </c>
      <c r="D2636" s="70">
        <v>0</v>
      </c>
      <c r="E2636" s="70">
        <v>52</v>
      </c>
      <c r="G2636" s="68">
        <v>101010</v>
      </c>
      <c r="H2636" s="67" t="s">
        <v>612</v>
      </c>
    </row>
    <row r="2637" spans="1:16">
      <c r="A2637" s="67">
        <v>2635</v>
      </c>
      <c r="B2637" s="70">
        <v>13000</v>
      </c>
      <c r="C2637" s="67">
        <v>1</v>
      </c>
      <c r="D2637" s="70">
        <f>E2636</f>
        <v>52</v>
      </c>
      <c r="E2637" s="70">
        <f t="shared" ref="E2637" si="236">D2637+$E$3</f>
        <v>104</v>
      </c>
      <c r="G2637" s="68">
        <v>102010</v>
      </c>
      <c r="H2637" s="67" t="s">
        <v>613</v>
      </c>
    </row>
    <row r="2638" spans="1:16">
      <c r="A2638" s="67">
        <v>2636</v>
      </c>
      <c r="B2638" s="70">
        <v>13000</v>
      </c>
      <c r="C2638" s="67">
        <v>1</v>
      </c>
      <c r="D2638" s="70">
        <f t="shared" ref="D2638:D2701" si="237">E2637</f>
        <v>104</v>
      </c>
      <c r="E2638" s="70">
        <f t="shared" ref="E2638:E2701" si="238">D2638+$E$3</f>
        <v>156</v>
      </c>
      <c r="G2638" s="68">
        <v>102110</v>
      </c>
      <c r="H2638" s="67" t="s">
        <v>614</v>
      </c>
    </row>
    <row r="2639" spans="1:16">
      <c r="A2639" s="67">
        <v>2637</v>
      </c>
      <c r="B2639" s="70">
        <v>13000</v>
      </c>
      <c r="C2639" s="67">
        <v>1</v>
      </c>
      <c r="D2639" s="70">
        <f t="shared" si="237"/>
        <v>156</v>
      </c>
      <c r="E2639" s="70">
        <f t="shared" si="238"/>
        <v>208</v>
      </c>
      <c r="G2639" s="68">
        <v>103010</v>
      </c>
      <c r="H2639" s="67" t="s">
        <v>615</v>
      </c>
    </row>
    <row r="2640" spans="1:16">
      <c r="A2640" s="67">
        <v>2638</v>
      </c>
      <c r="B2640" s="70">
        <v>13000</v>
      </c>
      <c r="C2640" s="67">
        <v>1</v>
      </c>
      <c r="D2640" s="70">
        <f t="shared" si="237"/>
        <v>208</v>
      </c>
      <c r="E2640" s="70">
        <f t="shared" si="238"/>
        <v>260</v>
      </c>
      <c r="G2640" s="68">
        <v>104010</v>
      </c>
      <c r="H2640" s="67" t="s">
        <v>616</v>
      </c>
    </row>
    <row r="2641" spans="1:8">
      <c r="A2641" s="67">
        <v>2639</v>
      </c>
      <c r="B2641" s="70">
        <v>13000</v>
      </c>
      <c r="C2641" s="67">
        <v>1</v>
      </c>
      <c r="D2641" s="70">
        <f t="shared" si="237"/>
        <v>260</v>
      </c>
      <c r="E2641" s="70">
        <f t="shared" si="238"/>
        <v>312</v>
      </c>
      <c r="G2641" s="68">
        <v>104110</v>
      </c>
      <c r="H2641" s="67" t="s">
        <v>617</v>
      </c>
    </row>
    <row r="2642" spans="1:8">
      <c r="A2642" s="67">
        <v>2640</v>
      </c>
      <c r="B2642" s="70">
        <v>13000</v>
      </c>
      <c r="C2642" s="67">
        <v>1</v>
      </c>
      <c r="D2642" s="70">
        <f t="shared" si="237"/>
        <v>312</v>
      </c>
      <c r="E2642" s="70">
        <f t="shared" si="238"/>
        <v>364</v>
      </c>
      <c r="G2642" s="68">
        <v>105010</v>
      </c>
      <c r="H2642" s="67" t="s">
        <v>618</v>
      </c>
    </row>
    <row r="2643" spans="1:8">
      <c r="A2643" s="67">
        <v>2641</v>
      </c>
      <c r="B2643" s="70">
        <v>13000</v>
      </c>
      <c r="C2643" s="67">
        <v>1</v>
      </c>
      <c r="D2643" s="70">
        <f t="shared" si="237"/>
        <v>364</v>
      </c>
      <c r="E2643" s="70">
        <f t="shared" si="238"/>
        <v>416</v>
      </c>
      <c r="G2643" s="68">
        <v>106010</v>
      </c>
      <c r="H2643" s="67" t="s">
        <v>619</v>
      </c>
    </row>
    <row r="2644" spans="1:8">
      <c r="A2644" s="67">
        <v>2642</v>
      </c>
      <c r="B2644" s="70">
        <v>13000</v>
      </c>
      <c r="C2644" s="67">
        <v>1</v>
      </c>
      <c r="D2644" s="70">
        <f t="shared" si="237"/>
        <v>416</v>
      </c>
      <c r="E2644" s="70">
        <f t="shared" si="238"/>
        <v>468</v>
      </c>
      <c r="G2644" s="68">
        <v>109010</v>
      </c>
      <c r="H2644" s="67" t="s">
        <v>620</v>
      </c>
    </row>
    <row r="2645" spans="1:8">
      <c r="A2645" s="67">
        <v>2643</v>
      </c>
      <c r="B2645" s="70">
        <v>13000</v>
      </c>
      <c r="C2645" s="67">
        <v>1</v>
      </c>
      <c r="D2645" s="70">
        <f t="shared" si="237"/>
        <v>468</v>
      </c>
      <c r="E2645" s="70">
        <f t="shared" si="238"/>
        <v>520</v>
      </c>
      <c r="G2645" s="68">
        <v>110010</v>
      </c>
      <c r="H2645" s="67" t="s">
        <v>621</v>
      </c>
    </row>
    <row r="2646" spans="1:8">
      <c r="A2646" s="67">
        <v>2644</v>
      </c>
      <c r="B2646" s="70">
        <v>13000</v>
      </c>
      <c r="C2646" s="67">
        <v>1</v>
      </c>
      <c r="D2646" s="70">
        <f t="shared" si="237"/>
        <v>520</v>
      </c>
      <c r="E2646" s="70">
        <f t="shared" si="238"/>
        <v>572</v>
      </c>
      <c r="G2646" s="68">
        <v>111010</v>
      </c>
      <c r="H2646" s="67" t="s">
        <v>622</v>
      </c>
    </row>
    <row r="2647" spans="1:8">
      <c r="A2647" s="67">
        <v>2645</v>
      </c>
      <c r="B2647" s="70">
        <v>13000</v>
      </c>
      <c r="C2647" s="67">
        <v>1</v>
      </c>
      <c r="D2647" s="70">
        <f t="shared" si="237"/>
        <v>572</v>
      </c>
      <c r="E2647" s="70">
        <f t="shared" si="238"/>
        <v>624</v>
      </c>
      <c r="G2647" s="68">
        <v>112010</v>
      </c>
      <c r="H2647" s="67" t="s">
        <v>623</v>
      </c>
    </row>
    <row r="2648" spans="1:8">
      <c r="A2648" s="67">
        <v>2646</v>
      </c>
      <c r="B2648" s="70">
        <v>13000</v>
      </c>
      <c r="C2648" s="67">
        <v>1</v>
      </c>
      <c r="D2648" s="70">
        <f t="shared" si="237"/>
        <v>624</v>
      </c>
      <c r="E2648" s="70">
        <f t="shared" si="238"/>
        <v>676</v>
      </c>
      <c r="G2648" s="68">
        <v>113010</v>
      </c>
      <c r="H2648" s="67" t="s">
        <v>624</v>
      </c>
    </row>
    <row r="2649" spans="1:8">
      <c r="A2649" s="67">
        <v>2647</v>
      </c>
      <c r="B2649" s="70">
        <v>13000</v>
      </c>
      <c r="C2649" s="67">
        <v>1</v>
      </c>
      <c r="D2649" s="70">
        <f t="shared" si="237"/>
        <v>676</v>
      </c>
      <c r="E2649" s="70">
        <f t="shared" si="238"/>
        <v>728</v>
      </c>
      <c r="G2649" s="68">
        <v>114010</v>
      </c>
      <c r="H2649" s="67" t="s">
        <v>625</v>
      </c>
    </row>
    <row r="2650" spans="1:8">
      <c r="A2650" s="67">
        <v>2648</v>
      </c>
      <c r="B2650" s="70">
        <v>13000</v>
      </c>
      <c r="C2650" s="67">
        <v>1</v>
      </c>
      <c r="D2650" s="70">
        <f t="shared" si="237"/>
        <v>728</v>
      </c>
      <c r="E2650" s="70">
        <f t="shared" si="238"/>
        <v>780</v>
      </c>
      <c r="G2650" s="68">
        <v>115010</v>
      </c>
      <c r="H2650" s="67" t="s">
        <v>626</v>
      </c>
    </row>
    <row r="2651" spans="1:8">
      <c r="A2651" s="67">
        <v>2649</v>
      </c>
      <c r="B2651" s="70">
        <v>13000</v>
      </c>
      <c r="C2651" s="67">
        <v>1</v>
      </c>
      <c r="D2651" s="70">
        <f t="shared" si="237"/>
        <v>780</v>
      </c>
      <c r="E2651" s="70">
        <f t="shared" si="238"/>
        <v>832</v>
      </c>
      <c r="G2651" s="68">
        <v>200010</v>
      </c>
      <c r="H2651" s="67" t="s">
        <v>627</v>
      </c>
    </row>
    <row r="2652" spans="1:8">
      <c r="A2652" s="67">
        <v>2650</v>
      </c>
      <c r="B2652" s="70">
        <v>13000</v>
      </c>
      <c r="C2652" s="67">
        <v>1</v>
      </c>
      <c r="D2652" s="70">
        <f t="shared" si="237"/>
        <v>832</v>
      </c>
      <c r="E2652" s="70">
        <f t="shared" si="238"/>
        <v>884</v>
      </c>
      <c r="G2652" s="68">
        <v>300010</v>
      </c>
      <c r="H2652" s="67" t="s">
        <v>628</v>
      </c>
    </row>
    <row r="2653" spans="1:8">
      <c r="A2653" s="67">
        <v>2651</v>
      </c>
      <c r="B2653" s="70">
        <v>13000</v>
      </c>
      <c r="C2653" s="67">
        <v>1</v>
      </c>
      <c r="D2653" s="70">
        <f t="shared" si="237"/>
        <v>884</v>
      </c>
      <c r="E2653" s="70">
        <f t="shared" si="238"/>
        <v>936</v>
      </c>
      <c r="G2653" s="68">
        <v>400010</v>
      </c>
      <c r="H2653" s="67" t="s">
        <v>629</v>
      </c>
    </row>
    <row r="2654" spans="1:8">
      <c r="A2654" s="67">
        <v>2652</v>
      </c>
      <c r="B2654" s="70">
        <v>13000</v>
      </c>
      <c r="C2654" s="67">
        <v>1</v>
      </c>
      <c r="D2654" s="70">
        <f t="shared" si="237"/>
        <v>936</v>
      </c>
      <c r="E2654" s="70">
        <f t="shared" si="238"/>
        <v>988</v>
      </c>
      <c r="G2654" s="68">
        <v>500010</v>
      </c>
      <c r="H2654" s="67" t="s">
        <v>630</v>
      </c>
    </row>
    <row r="2655" spans="1:8">
      <c r="A2655" s="67">
        <v>2653</v>
      </c>
      <c r="B2655" s="70">
        <v>13000</v>
      </c>
      <c r="C2655" s="67">
        <v>1</v>
      </c>
      <c r="D2655" s="70">
        <f t="shared" si="237"/>
        <v>988</v>
      </c>
      <c r="E2655" s="70">
        <f t="shared" si="238"/>
        <v>1040</v>
      </c>
      <c r="G2655" s="68">
        <v>600010</v>
      </c>
      <c r="H2655" s="67" t="s">
        <v>631</v>
      </c>
    </row>
    <row r="2656" spans="1:8">
      <c r="A2656" s="67">
        <v>2654</v>
      </c>
      <c r="B2656" s="70">
        <v>13000</v>
      </c>
      <c r="C2656" s="67">
        <v>1</v>
      </c>
      <c r="D2656" s="70">
        <f t="shared" si="237"/>
        <v>1040</v>
      </c>
      <c r="E2656" s="70">
        <f t="shared" si="238"/>
        <v>1092</v>
      </c>
      <c r="G2656" s="68">
        <v>700010</v>
      </c>
      <c r="H2656" s="67" t="s">
        <v>632</v>
      </c>
    </row>
    <row r="2657" spans="1:8">
      <c r="A2657" s="67">
        <v>2655</v>
      </c>
      <c r="B2657" s="70">
        <v>13000</v>
      </c>
      <c r="C2657" s="67">
        <v>1</v>
      </c>
      <c r="D2657" s="70">
        <f t="shared" si="237"/>
        <v>1092</v>
      </c>
      <c r="E2657" s="70">
        <f t="shared" si="238"/>
        <v>1144</v>
      </c>
      <c r="G2657" s="68">
        <v>800010</v>
      </c>
      <c r="H2657" s="67" t="s">
        <v>633</v>
      </c>
    </row>
    <row r="2658" spans="1:8">
      <c r="A2658" s="67">
        <v>2656</v>
      </c>
      <c r="B2658" s="67">
        <f>B2636</f>
        <v>13000</v>
      </c>
      <c r="C2658" s="67">
        <f>C2636+1</f>
        <v>2</v>
      </c>
      <c r="D2658" s="70">
        <f t="shared" si="237"/>
        <v>1144</v>
      </c>
      <c r="E2658" s="70">
        <f t="shared" si="238"/>
        <v>1196</v>
      </c>
      <c r="G2658" s="68">
        <f>G2636</f>
        <v>101010</v>
      </c>
      <c r="H2658" s="67" t="str">
        <f>H2636</f>
        <v>虚玄</v>
      </c>
    </row>
    <row r="2659" spans="1:8">
      <c r="A2659" s="67">
        <v>2657</v>
      </c>
      <c r="B2659" s="67">
        <f t="shared" ref="B2659:B2722" si="239">B2637</f>
        <v>13000</v>
      </c>
      <c r="C2659" s="67">
        <f t="shared" ref="C2659:C2722" si="240">C2637+1</f>
        <v>2</v>
      </c>
      <c r="D2659" s="70">
        <f t="shared" si="237"/>
        <v>1196</v>
      </c>
      <c r="E2659" s="70">
        <f t="shared" si="238"/>
        <v>1248</v>
      </c>
      <c r="G2659" s="68">
        <f t="shared" ref="G2659:H2722" si="241">G2637</f>
        <v>102010</v>
      </c>
      <c r="H2659" s="67" t="str">
        <f t="shared" si="241"/>
        <v>尘光</v>
      </c>
    </row>
    <row r="2660" spans="1:8">
      <c r="A2660" s="67">
        <v>2658</v>
      </c>
      <c r="B2660" s="67">
        <f t="shared" si="239"/>
        <v>13000</v>
      </c>
      <c r="C2660" s="67">
        <f t="shared" si="240"/>
        <v>2</v>
      </c>
      <c r="D2660" s="70">
        <f t="shared" si="237"/>
        <v>1248</v>
      </c>
      <c r="E2660" s="70">
        <f t="shared" si="238"/>
        <v>1300</v>
      </c>
      <c r="G2660" s="68">
        <f t="shared" si="241"/>
        <v>102110</v>
      </c>
      <c r="H2660" s="67" t="str">
        <f t="shared" si="241"/>
        <v>不惧</v>
      </c>
    </row>
    <row r="2661" spans="1:8">
      <c r="A2661" s="67">
        <v>2659</v>
      </c>
      <c r="B2661" s="67">
        <f t="shared" si="239"/>
        <v>13000</v>
      </c>
      <c r="C2661" s="67">
        <f t="shared" si="240"/>
        <v>2</v>
      </c>
      <c r="D2661" s="70">
        <f t="shared" si="237"/>
        <v>1300</v>
      </c>
      <c r="E2661" s="70">
        <f t="shared" si="238"/>
        <v>1352</v>
      </c>
      <c r="G2661" s="68">
        <f t="shared" si="241"/>
        <v>103010</v>
      </c>
      <c r="H2661" s="67" t="str">
        <f t="shared" si="241"/>
        <v>圣人无名</v>
      </c>
    </row>
    <row r="2662" spans="1:8">
      <c r="A2662" s="67">
        <v>2660</v>
      </c>
      <c r="B2662" s="67">
        <f t="shared" si="239"/>
        <v>13000</v>
      </c>
      <c r="C2662" s="67">
        <f t="shared" si="240"/>
        <v>2</v>
      </c>
      <c r="D2662" s="70">
        <f t="shared" si="237"/>
        <v>1352</v>
      </c>
      <c r="E2662" s="70">
        <f t="shared" si="238"/>
        <v>1404</v>
      </c>
      <c r="G2662" s="68">
        <f t="shared" si="241"/>
        <v>104010</v>
      </c>
      <c r="H2662" s="67" t="str">
        <f t="shared" si="241"/>
        <v>迷悟</v>
      </c>
    </row>
    <row r="2663" spans="1:8">
      <c r="A2663" s="67">
        <v>2661</v>
      </c>
      <c r="B2663" s="67">
        <f t="shared" si="239"/>
        <v>13000</v>
      </c>
      <c r="C2663" s="67">
        <f t="shared" si="240"/>
        <v>2</v>
      </c>
      <c r="D2663" s="70">
        <f t="shared" si="237"/>
        <v>1404</v>
      </c>
      <c r="E2663" s="70">
        <f t="shared" si="238"/>
        <v>1456</v>
      </c>
      <c r="G2663" s="68">
        <f t="shared" si="241"/>
        <v>104110</v>
      </c>
      <c r="H2663" s="67" t="str">
        <f t="shared" si="241"/>
        <v>镇</v>
      </c>
    </row>
    <row r="2664" spans="1:8">
      <c r="A2664" s="67">
        <v>2662</v>
      </c>
      <c r="B2664" s="67">
        <f t="shared" si="239"/>
        <v>13000</v>
      </c>
      <c r="C2664" s="67">
        <f t="shared" si="240"/>
        <v>2</v>
      </c>
      <c r="D2664" s="70">
        <f t="shared" si="237"/>
        <v>1456</v>
      </c>
      <c r="E2664" s="70">
        <f t="shared" si="238"/>
        <v>1508</v>
      </c>
      <c r="G2664" s="68">
        <f t="shared" si="241"/>
        <v>105010</v>
      </c>
      <c r="H2664" s="67" t="str">
        <f t="shared" si="241"/>
        <v>展颜</v>
      </c>
    </row>
    <row r="2665" spans="1:8">
      <c r="A2665" s="67">
        <v>2663</v>
      </c>
      <c r="B2665" s="67">
        <f t="shared" si="239"/>
        <v>13000</v>
      </c>
      <c r="C2665" s="67">
        <f t="shared" si="240"/>
        <v>2</v>
      </c>
      <c r="D2665" s="70">
        <f t="shared" si="237"/>
        <v>1508</v>
      </c>
      <c r="E2665" s="70">
        <f t="shared" si="238"/>
        <v>1560</v>
      </c>
      <c r="G2665" s="68">
        <f t="shared" si="241"/>
        <v>106010</v>
      </c>
      <c r="H2665" s="67" t="str">
        <f t="shared" si="241"/>
        <v>楚人赋</v>
      </c>
    </row>
    <row r="2666" spans="1:8">
      <c r="A2666" s="67">
        <v>2664</v>
      </c>
      <c r="B2666" s="67">
        <f t="shared" si="239"/>
        <v>13000</v>
      </c>
      <c r="C2666" s="67">
        <f t="shared" si="240"/>
        <v>2</v>
      </c>
      <c r="D2666" s="70">
        <f t="shared" si="237"/>
        <v>1560</v>
      </c>
      <c r="E2666" s="70">
        <f t="shared" si="238"/>
        <v>1612</v>
      </c>
      <c r="G2666" s="68">
        <f t="shared" si="241"/>
        <v>109010</v>
      </c>
      <c r="H2666" s="67" t="str">
        <f t="shared" si="241"/>
        <v>捭阖</v>
      </c>
    </row>
    <row r="2667" spans="1:8">
      <c r="A2667" s="67">
        <v>2665</v>
      </c>
      <c r="B2667" s="67">
        <f t="shared" si="239"/>
        <v>13000</v>
      </c>
      <c r="C2667" s="67">
        <f t="shared" si="240"/>
        <v>2</v>
      </c>
      <c r="D2667" s="70">
        <f t="shared" si="237"/>
        <v>1612</v>
      </c>
      <c r="E2667" s="70">
        <f t="shared" si="238"/>
        <v>1664</v>
      </c>
      <c r="G2667" s="68">
        <f t="shared" si="241"/>
        <v>110010</v>
      </c>
      <c r="H2667" s="67" t="str">
        <f t="shared" si="241"/>
        <v>至心</v>
      </c>
    </row>
    <row r="2668" spans="1:8">
      <c r="A2668" s="67">
        <v>2666</v>
      </c>
      <c r="B2668" s="67">
        <f t="shared" si="239"/>
        <v>13000</v>
      </c>
      <c r="C2668" s="67">
        <f t="shared" si="240"/>
        <v>2</v>
      </c>
      <c r="D2668" s="70">
        <f t="shared" si="237"/>
        <v>1664</v>
      </c>
      <c r="E2668" s="70">
        <f t="shared" si="238"/>
        <v>1716</v>
      </c>
      <c r="G2668" s="68">
        <f t="shared" si="241"/>
        <v>111010</v>
      </c>
      <c r="H2668" s="67" t="str">
        <f t="shared" si="241"/>
        <v>碎幻</v>
      </c>
    </row>
    <row r="2669" spans="1:8">
      <c r="A2669" s="67">
        <v>2667</v>
      </c>
      <c r="B2669" s="67">
        <f t="shared" si="239"/>
        <v>13000</v>
      </c>
      <c r="C2669" s="67">
        <f t="shared" si="240"/>
        <v>2</v>
      </c>
      <c r="D2669" s="70">
        <f t="shared" si="237"/>
        <v>1716</v>
      </c>
      <c r="E2669" s="70">
        <f t="shared" si="238"/>
        <v>1768</v>
      </c>
      <c r="G2669" s="68">
        <f t="shared" si="241"/>
        <v>112010</v>
      </c>
      <c r="H2669" s="67" t="str">
        <f t="shared" si="241"/>
        <v>青冥羽</v>
      </c>
    </row>
    <row r="2670" spans="1:8">
      <c r="A2670" s="67">
        <v>2668</v>
      </c>
      <c r="B2670" s="67">
        <f t="shared" si="239"/>
        <v>13000</v>
      </c>
      <c r="C2670" s="67">
        <f t="shared" si="240"/>
        <v>2</v>
      </c>
      <c r="D2670" s="70">
        <f t="shared" si="237"/>
        <v>1768</v>
      </c>
      <c r="E2670" s="70">
        <f t="shared" si="238"/>
        <v>1820</v>
      </c>
      <c r="G2670" s="68">
        <f t="shared" si="241"/>
        <v>113010</v>
      </c>
      <c r="H2670" s="67" t="str">
        <f t="shared" si="241"/>
        <v>龙蛇</v>
      </c>
    </row>
    <row r="2671" spans="1:8">
      <c r="A2671" s="67">
        <v>2669</v>
      </c>
      <c r="B2671" s="67">
        <f t="shared" si="239"/>
        <v>13000</v>
      </c>
      <c r="C2671" s="67">
        <f t="shared" si="240"/>
        <v>2</v>
      </c>
      <c r="D2671" s="70">
        <f t="shared" si="237"/>
        <v>1820</v>
      </c>
      <c r="E2671" s="70">
        <f t="shared" si="238"/>
        <v>1872</v>
      </c>
      <c r="G2671" s="68">
        <f t="shared" si="241"/>
        <v>114010</v>
      </c>
      <c r="H2671" s="67" t="str">
        <f t="shared" si="241"/>
        <v>墨家原型</v>
      </c>
    </row>
    <row r="2672" spans="1:8">
      <c r="A2672" s="67">
        <v>2670</v>
      </c>
      <c r="B2672" s="67">
        <f t="shared" si="239"/>
        <v>13000</v>
      </c>
      <c r="C2672" s="67">
        <f t="shared" si="240"/>
        <v>2</v>
      </c>
      <c r="D2672" s="70">
        <f t="shared" si="237"/>
        <v>1872</v>
      </c>
      <c r="E2672" s="70">
        <f t="shared" si="238"/>
        <v>1924</v>
      </c>
      <c r="G2672" s="68">
        <f t="shared" si="241"/>
        <v>115010</v>
      </c>
      <c r="H2672" s="67" t="str">
        <f t="shared" si="241"/>
        <v>双影依身</v>
      </c>
    </row>
    <row r="2673" spans="1:8">
      <c r="A2673" s="67">
        <v>2671</v>
      </c>
      <c r="B2673" s="67">
        <f t="shared" si="239"/>
        <v>13000</v>
      </c>
      <c r="C2673" s="67">
        <f t="shared" si="240"/>
        <v>2</v>
      </c>
      <c r="D2673" s="70">
        <f t="shared" si="237"/>
        <v>1924</v>
      </c>
      <c r="E2673" s="70">
        <f t="shared" si="238"/>
        <v>1976</v>
      </c>
      <c r="G2673" s="68">
        <f t="shared" si="241"/>
        <v>200010</v>
      </c>
      <c r="H2673" s="67" t="str">
        <f t="shared" si="241"/>
        <v>天衢</v>
      </c>
    </row>
    <row r="2674" spans="1:8">
      <c r="A2674" s="67">
        <v>2672</v>
      </c>
      <c r="B2674" s="67">
        <f t="shared" si="239"/>
        <v>13000</v>
      </c>
      <c r="C2674" s="67">
        <f t="shared" si="240"/>
        <v>2</v>
      </c>
      <c r="D2674" s="70">
        <f t="shared" si="237"/>
        <v>1976</v>
      </c>
      <c r="E2674" s="70">
        <f t="shared" si="238"/>
        <v>2028</v>
      </c>
      <c r="G2674" s="68">
        <f t="shared" si="241"/>
        <v>300010</v>
      </c>
      <c r="H2674" s="67" t="str">
        <f t="shared" si="241"/>
        <v>归一</v>
      </c>
    </row>
    <row r="2675" spans="1:8">
      <c r="A2675" s="67">
        <v>2673</v>
      </c>
      <c r="B2675" s="67">
        <f t="shared" si="239"/>
        <v>13000</v>
      </c>
      <c r="C2675" s="67">
        <f t="shared" si="240"/>
        <v>2</v>
      </c>
      <c r="D2675" s="70">
        <f t="shared" si="237"/>
        <v>2028</v>
      </c>
      <c r="E2675" s="70">
        <f t="shared" si="238"/>
        <v>2080</v>
      </c>
      <c r="G2675" s="68">
        <f t="shared" si="241"/>
        <v>400010</v>
      </c>
      <c r="H2675" s="67" t="str">
        <f t="shared" si="241"/>
        <v>孤鹜</v>
      </c>
    </row>
    <row r="2676" spans="1:8">
      <c r="A2676" s="67">
        <v>2674</v>
      </c>
      <c r="B2676" s="67">
        <f t="shared" si="239"/>
        <v>13000</v>
      </c>
      <c r="C2676" s="67">
        <f t="shared" si="240"/>
        <v>2</v>
      </c>
      <c r="D2676" s="70">
        <f t="shared" si="237"/>
        <v>2080</v>
      </c>
      <c r="E2676" s="70">
        <f t="shared" si="238"/>
        <v>2132</v>
      </c>
      <c r="G2676" s="68">
        <f t="shared" si="241"/>
        <v>500010</v>
      </c>
      <c r="H2676" s="67" t="str">
        <f t="shared" si="241"/>
        <v>缚海</v>
      </c>
    </row>
    <row r="2677" spans="1:8">
      <c r="A2677" s="67">
        <v>2675</v>
      </c>
      <c r="B2677" s="67">
        <f t="shared" si="239"/>
        <v>13000</v>
      </c>
      <c r="C2677" s="67">
        <f t="shared" si="240"/>
        <v>2</v>
      </c>
      <c r="D2677" s="70">
        <f t="shared" si="237"/>
        <v>2132</v>
      </c>
      <c r="E2677" s="70">
        <f t="shared" si="238"/>
        <v>2184</v>
      </c>
      <c r="G2677" s="68">
        <f t="shared" si="241"/>
        <v>600010</v>
      </c>
      <c r="H2677" s="67" t="str">
        <f t="shared" si="241"/>
        <v>星髓</v>
      </c>
    </row>
    <row r="2678" spans="1:8">
      <c r="A2678" s="67">
        <v>2676</v>
      </c>
      <c r="B2678" s="67">
        <f t="shared" si="239"/>
        <v>13000</v>
      </c>
      <c r="C2678" s="67">
        <f t="shared" si="240"/>
        <v>2</v>
      </c>
      <c r="D2678" s="70">
        <f t="shared" si="237"/>
        <v>2184</v>
      </c>
      <c r="E2678" s="70">
        <f t="shared" si="238"/>
        <v>2236</v>
      </c>
      <c r="G2678" s="68">
        <f t="shared" si="241"/>
        <v>700010</v>
      </c>
      <c r="H2678" s="67" t="str">
        <f t="shared" si="241"/>
        <v>昆吾玉册</v>
      </c>
    </row>
    <row r="2679" spans="1:8">
      <c r="A2679" s="67">
        <v>2677</v>
      </c>
      <c r="B2679" s="67">
        <f t="shared" si="239"/>
        <v>13000</v>
      </c>
      <c r="C2679" s="67">
        <f t="shared" si="240"/>
        <v>2</v>
      </c>
      <c r="D2679" s="70">
        <f t="shared" si="237"/>
        <v>2236</v>
      </c>
      <c r="E2679" s="70">
        <f t="shared" si="238"/>
        <v>2288</v>
      </c>
      <c r="G2679" s="68">
        <f t="shared" si="241"/>
        <v>800010</v>
      </c>
      <c r="H2679" s="67" t="str">
        <f t="shared" si="241"/>
        <v>方天水镜</v>
      </c>
    </row>
    <row r="2680" spans="1:8">
      <c r="A2680" s="67">
        <v>2678</v>
      </c>
      <c r="B2680" s="67">
        <f t="shared" si="239"/>
        <v>13000</v>
      </c>
      <c r="C2680" s="67">
        <f t="shared" si="240"/>
        <v>3</v>
      </c>
      <c r="D2680" s="70">
        <f t="shared" si="237"/>
        <v>2288</v>
      </c>
      <c r="E2680" s="70">
        <f t="shared" si="238"/>
        <v>2340</v>
      </c>
      <c r="G2680" s="68">
        <f t="shared" si="241"/>
        <v>101010</v>
      </c>
      <c r="H2680" s="67" t="str">
        <f t="shared" si="241"/>
        <v>虚玄</v>
      </c>
    </row>
    <row r="2681" spans="1:8">
      <c r="A2681" s="67">
        <v>2679</v>
      </c>
      <c r="B2681" s="67">
        <f t="shared" si="239"/>
        <v>13000</v>
      </c>
      <c r="C2681" s="67">
        <f t="shared" si="240"/>
        <v>3</v>
      </c>
      <c r="D2681" s="70">
        <f t="shared" si="237"/>
        <v>2340</v>
      </c>
      <c r="E2681" s="70">
        <f t="shared" si="238"/>
        <v>2392</v>
      </c>
      <c r="G2681" s="68">
        <f t="shared" si="241"/>
        <v>102010</v>
      </c>
      <c r="H2681" s="67" t="str">
        <f t="shared" si="241"/>
        <v>尘光</v>
      </c>
    </row>
    <row r="2682" spans="1:8">
      <c r="A2682" s="67">
        <v>2680</v>
      </c>
      <c r="B2682" s="67">
        <f t="shared" si="239"/>
        <v>13000</v>
      </c>
      <c r="C2682" s="67">
        <f t="shared" si="240"/>
        <v>3</v>
      </c>
      <c r="D2682" s="70">
        <f t="shared" si="237"/>
        <v>2392</v>
      </c>
      <c r="E2682" s="70">
        <f t="shared" si="238"/>
        <v>2444</v>
      </c>
      <c r="G2682" s="68">
        <f t="shared" si="241"/>
        <v>102110</v>
      </c>
      <c r="H2682" s="67" t="str">
        <f t="shared" si="241"/>
        <v>不惧</v>
      </c>
    </row>
    <row r="2683" spans="1:8">
      <c r="A2683" s="67">
        <v>2681</v>
      </c>
      <c r="B2683" s="67">
        <f t="shared" si="239"/>
        <v>13000</v>
      </c>
      <c r="C2683" s="67">
        <f t="shared" si="240"/>
        <v>3</v>
      </c>
      <c r="D2683" s="70">
        <f t="shared" si="237"/>
        <v>2444</v>
      </c>
      <c r="E2683" s="70">
        <f t="shared" si="238"/>
        <v>2496</v>
      </c>
      <c r="G2683" s="68">
        <f t="shared" si="241"/>
        <v>103010</v>
      </c>
      <c r="H2683" s="67" t="str">
        <f t="shared" si="241"/>
        <v>圣人无名</v>
      </c>
    </row>
    <row r="2684" spans="1:8">
      <c r="A2684" s="67">
        <v>2682</v>
      </c>
      <c r="B2684" s="67">
        <f t="shared" si="239"/>
        <v>13000</v>
      </c>
      <c r="C2684" s="67">
        <f t="shared" si="240"/>
        <v>3</v>
      </c>
      <c r="D2684" s="70">
        <f t="shared" si="237"/>
        <v>2496</v>
      </c>
      <c r="E2684" s="70">
        <f t="shared" si="238"/>
        <v>2548</v>
      </c>
      <c r="G2684" s="68">
        <f t="shared" si="241"/>
        <v>104010</v>
      </c>
      <c r="H2684" s="67" t="str">
        <f t="shared" si="241"/>
        <v>迷悟</v>
      </c>
    </row>
    <row r="2685" spans="1:8">
      <c r="A2685" s="67">
        <v>2683</v>
      </c>
      <c r="B2685" s="67">
        <f t="shared" si="239"/>
        <v>13000</v>
      </c>
      <c r="C2685" s="67">
        <f t="shared" si="240"/>
        <v>3</v>
      </c>
      <c r="D2685" s="70">
        <f t="shared" si="237"/>
        <v>2548</v>
      </c>
      <c r="E2685" s="70">
        <f t="shared" si="238"/>
        <v>2600</v>
      </c>
      <c r="G2685" s="68">
        <f t="shared" si="241"/>
        <v>104110</v>
      </c>
      <c r="H2685" s="67" t="str">
        <f t="shared" si="241"/>
        <v>镇</v>
      </c>
    </row>
    <row r="2686" spans="1:8">
      <c r="A2686" s="67">
        <v>2684</v>
      </c>
      <c r="B2686" s="67">
        <f t="shared" si="239"/>
        <v>13000</v>
      </c>
      <c r="C2686" s="67">
        <f t="shared" si="240"/>
        <v>3</v>
      </c>
      <c r="D2686" s="70">
        <f t="shared" si="237"/>
        <v>2600</v>
      </c>
      <c r="E2686" s="70">
        <f t="shared" si="238"/>
        <v>2652</v>
      </c>
      <c r="G2686" s="68">
        <f t="shared" si="241"/>
        <v>105010</v>
      </c>
      <c r="H2686" s="67" t="str">
        <f t="shared" si="241"/>
        <v>展颜</v>
      </c>
    </row>
    <row r="2687" spans="1:8">
      <c r="A2687" s="67">
        <v>2685</v>
      </c>
      <c r="B2687" s="67">
        <f t="shared" si="239"/>
        <v>13000</v>
      </c>
      <c r="C2687" s="67">
        <f t="shared" si="240"/>
        <v>3</v>
      </c>
      <c r="D2687" s="70">
        <f t="shared" si="237"/>
        <v>2652</v>
      </c>
      <c r="E2687" s="70">
        <f t="shared" si="238"/>
        <v>2704</v>
      </c>
      <c r="G2687" s="68">
        <f t="shared" si="241"/>
        <v>106010</v>
      </c>
      <c r="H2687" s="67" t="str">
        <f t="shared" si="241"/>
        <v>楚人赋</v>
      </c>
    </row>
    <row r="2688" spans="1:8">
      <c r="A2688" s="67">
        <v>2686</v>
      </c>
      <c r="B2688" s="67">
        <f t="shared" si="239"/>
        <v>13000</v>
      </c>
      <c r="C2688" s="67">
        <f t="shared" si="240"/>
        <v>3</v>
      </c>
      <c r="D2688" s="70">
        <f t="shared" si="237"/>
        <v>2704</v>
      </c>
      <c r="E2688" s="70">
        <f t="shared" si="238"/>
        <v>2756</v>
      </c>
      <c r="G2688" s="68">
        <f t="shared" si="241"/>
        <v>109010</v>
      </c>
      <c r="H2688" s="67" t="str">
        <f t="shared" si="241"/>
        <v>捭阖</v>
      </c>
    </row>
    <row r="2689" spans="1:8">
      <c r="A2689" s="67">
        <v>2687</v>
      </c>
      <c r="B2689" s="67">
        <f t="shared" si="239"/>
        <v>13000</v>
      </c>
      <c r="C2689" s="67">
        <f t="shared" si="240"/>
        <v>3</v>
      </c>
      <c r="D2689" s="70">
        <f t="shared" si="237"/>
        <v>2756</v>
      </c>
      <c r="E2689" s="70">
        <f t="shared" si="238"/>
        <v>2808</v>
      </c>
      <c r="G2689" s="68">
        <f t="shared" si="241"/>
        <v>110010</v>
      </c>
      <c r="H2689" s="67" t="str">
        <f t="shared" si="241"/>
        <v>至心</v>
      </c>
    </row>
    <row r="2690" spans="1:8">
      <c r="A2690" s="67">
        <v>2688</v>
      </c>
      <c r="B2690" s="67">
        <f t="shared" si="239"/>
        <v>13000</v>
      </c>
      <c r="C2690" s="67">
        <f t="shared" si="240"/>
        <v>3</v>
      </c>
      <c r="D2690" s="70">
        <f t="shared" si="237"/>
        <v>2808</v>
      </c>
      <c r="E2690" s="70">
        <f t="shared" si="238"/>
        <v>2860</v>
      </c>
      <c r="G2690" s="68">
        <f t="shared" si="241"/>
        <v>111010</v>
      </c>
      <c r="H2690" s="67" t="str">
        <f t="shared" si="241"/>
        <v>碎幻</v>
      </c>
    </row>
    <row r="2691" spans="1:8">
      <c r="A2691" s="67">
        <v>2689</v>
      </c>
      <c r="B2691" s="67">
        <f t="shared" si="239"/>
        <v>13000</v>
      </c>
      <c r="C2691" s="67">
        <f t="shared" si="240"/>
        <v>3</v>
      </c>
      <c r="D2691" s="70">
        <f t="shared" si="237"/>
        <v>2860</v>
      </c>
      <c r="E2691" s="70">
        <f t="shared" si="238"/>
        <v>2912</v>
      </c>
      <c r="G2691" s="68">
        <f t="shared" si="241"/>
        <v>112010</v>
      </c>
      <c r="H2691" s="67" t="str">
        <f t="shared" si="241"/>
        <v>青冥羽</v>
      </c>
    </row>
    <row r="2692" spans="1:8">
      <c r="A2692" s="67">
        <v>2690</v>
      </c>
      <c r="B2692" s="67">
        <f t="shared" si="239"/>
        <v>13000</v>
      </c>
      <c r="C2692" s="67">
        <f t="shared" si="240"/>
        <v>3</v>
      </c>
      <c r="D2692" s="70">
        <f t="shared" si="237"/>
        <v>2912</v>
      </c>
      <c r="E2692" s="70">
        <f t="shared" si="238"/>
        <v>2964</v>
      </c>
      <c r="G2692" s="68">
        <f t="shared" si="241"/>
        <v>113010</v>
      </c>
      <c r="H2692" s="67" t="str">
        <f t="shared" si="241"/>
        <v>龙蛇</v>
      </c>
    </row>
    <row r="2693" spans="1:8">
      <c r="A2693" s="67">
        <v>2691</v>
      </c>
      <c r="B2693" s="67">
        <f t="shared" si="239"/>
        <v>13000</v>
      </c>
      <c r="C2693" s="67">
        <f t="shared" si="240"/>
        <v>3</v>
      </c>
      <c r="D2693" s="70">
        <f t="shared" si="237"/>
        <v>2964</v>
      </c>
      <c r="E2693" s="70">
        <f t="shared" si="238"/>
        <v>3016</v>
      </c>
      <c r="G2693" s="68">
        <f t="shared" si="241"/>
        <v>114010</v>
      </c>
      <c r="H2693" s="67" t="str">
        <f t="shared" si="241"/>
        <v>墨家原型</v>
      </c>
    </row>
    <row r="2694" spans="1:8">
      <c r="A2694" s="67">
        <v>2692</v>
      </c>
      <c r="B2694" s="67">
        <f t="shared" si="239"/>
        <v>13000</v>
      </c>
      <c r="C2694" s="67">
        <f t="shared" si="240"/>
        <v>3</v>
      </c>
      <c r="D2694" s="70">
        <f t="shared" si="237"/>
        <v>3016</v>
      </c>
      <c r="E2694" s="70">
        <f t="shared" si="238"/>
        <v>3068</v>
      </c>
      <c r="G2694" s="68">
        <f t="shared" si="241"/>
        <v>115010</v>
      </c>
      <c r="H2694" s="67" t="str">
        <f t="shared" si="241"/>
        <v>双影依身</v>
      </c>
    </row>
    <row r="2695" spans="1:8">
      <c r="A2695" s="67">
        <v>2693</v>
      </c>
      <c r="B2695" s="67">
        <f t="shared" si="239"/>
        <v>13000</v>
      </c>
      <c r="C2695" s="67">
        <f t="shared" si="240"/>
        <v>3</v>
      </c>
      <c r="D2695" s="70">
        <f t="shared" si="237"/>
        <v>3068</v>
      </c>
      <c r="E2695" s="70">
        <f t="shared" si="238"/>
        <v>3120</v>
      </c>
      <c r="G2695" s="68">
        <f t="shared" si="241"/>
        <v>200010</v>
      </c>
      <c r="H2695" s="67" t="str">
        <f t="shared" si="241"/>
        <v>天衢</v>
      </c>
    </row>
    <row r="2696" spans="1:8">
      <c r="A2696" s="67">
        <v>2694</v>
      </c>
      <c r="B2696" s="67">
        <f t="shared" si="239"/>
        <v>13000</v>
      </c>
      <c r="C2696" s="67">
        <f t="shared" si="240"/>
        <v>3</v>
      </c>
      <c r="D2696" s="70">
        <f t="shared" si="237"/>
        <v>3120</v>
      </c>
      <c r="E2696" s="70">
        <f t="shared" si="238"/>
        <v>3172</v>
      </c>
      <c r="G2696" s="68">
        <f t="shared" si="241"/>
        <v>300010</v>
      </c>
      <c r="H2696" s="67" t="str">
        <f t="shared" si="241"/>
        <v>归一</v>
      </c>
    </row>
    <row r="2697" spans="1:8">
      <c r="A2697" s="67">
        <v>2695</v>
      </c>
      <c r="B2697" s="67">
        <f t="shared" si="239"/>
        <v>13000</v>
      </c>
      <c r="C2697" s="67">
        <f t="shared" si="240"/>
        <v>3</v>
      </c>
      <c r="D2697" s="70">
        <f t="shared" si="237"/>
        <v>3172</v>
      </c>
      <c r="E2697" s="70">
        <f t="shared" si="238"/>
        <v>3224</v>
      </c>
      <c r="G2697" s="68">
        <f t="shared" si="241"/>
        <v>400010</v>
      </c>
      <c r="H2697" s="67" t="str">
        <f t="shared" si="241"/>
        <v>孤鹜</v>
      </c>
    </row>
    <row r="2698" spans="1:8">
      <c r="A2698" s="67">
        <v>2696</v>
      </c>
      <c r="B2698" s="67">
        <f t="shared" si="239"/>
        <v>13000</v>
      </c>
      <c r="C2698" s="67">
        <f t="shared" si="240"/>
        <v>3</v>
      </c>
      <c r="D2698" s="70">
        <f t="shared" si="237"/>
        <v>3224</v>
      </c>
      <c r="E2698" s="70">
        <f t="shared" si="238"/>
        <v>3276</v>
      </c>
      <c r="G2698" s="68">
        <f t="shared" si="241"/>
        <v>500010</v>
      </c>
      <c r="H2698" s="67" t="str">
        <f t="shared" si="241"/>
        <v>缚海</v>
      </c>
    </row>
    <row r="2699" spans="1:8">
      <c r="A2699" s="67">
        <v>2697</v>
      </c>
      <c r="B2699" s="67">
        <f t="shared" si="239"/>
        <v>13000</v>
      </c>
      <c r="C2699" s="67">
        <f t="shared" si="240"/>
        <v>3</v>
      </c>
      <c r="D2699" s="70">
        <f t="shared" si="237"/>
        <v>3276</v>
      </c>
      <c r="E2699" s="70">
        <f t="shared" si="238"/>
        <v>3328</v>
      </c>
      <c r="G2699" s="68">
        <f t="shared" si="241"/>
        <v>600010</v>
      </c>
      <c r="H2699" s="67" t="str">
        <f t="shared" si="241"/>
        <v>星髓</v>
      </c>
    </row>
    <row r="2700" spans="1:8">
      <c r="A2700" s="67">
        <v>2698</v>
      </c>
      <c r="B2700" s="67">
        <f t="shared" si="239"/>
        <v>13000</v>
      </c>
      <c r="C2700" s="67">
        <f t="shared" si="240"/>
        <v>3</v>
      </c>
      <c r="D2700" s="70">
        <f t="shared" si="237"/>
        <v>3328</v>
      </c>
      <c r="E2700" s="70">
        <f t="shared" si="238"/>
        <v>3380</v>
      </c>
      <c r="G2700" s="68">
        <f t="shared" si="241"/>
        <v>700010</v>
      </c>
      <c r="H2700" s="67" t="str">
        <f t="shared" si="241"/>
        <v>昆吾玉册</v>
      </c>
    </row>
    <row r="2701" spans="1:8">
      <c r="A2701" s="67">
        <v>2699</v>
      </c>
      <c r="B2701" s="67">
        <f t="shared" si="239"/>
        <v>13000</v>
      </c>
      <c r="C2701" s="67">
        <f t="shared" si="240"/>
        <v>3</v>
      </c>
      <c r="D2701" s="70">
        <f t="shared" si="237"/>
        <v>3380</v>
      </c>
      <c r="E2701" s="70">
        <f t="shared" si="238"/>
        <v>3432</v>
      </c>
      <c r="G2701" s="68">
        <f t="shared" si="241"/>
        <v>800010</v>
      </c>
      <c r="H2701" s="67" t="str">
        <f t="shared" si="241"/>
        <v>方天水镜</v>
      </c>
    </row>
    <row r="2702" spans="1:8">
      <c r="A2702" s="67">
        <v>2700</v>
      </c>
      <c r="B2702" s="67">
        <f t="shared" si="239"/>
        <v>13000</v>
      </c>
      <c r="C2702" s="67">
        <f t="shared" si="240"/>
        <v>4</v>
      </c>
      <c r="D2702" s="70">
        <f t="shared" ref="D2702:D2765" si="242">E2701</f>
        <v>3432</v>
      </c>
      <c r="E2702" s="70">
        <f t="shared" ref="E2702:E2765" si="243">D2702+$E$3</f>
        <v>3484</v>
      </c>
      <c r="G2702" s="68">
        <f t="shared" si="241"/>
        <v>101010</v>
      </c>
      <c r="H2702" s="67" t="str">
        <f t="shared" si="241"/>
        <v>虚玄</v>
      </c>
    </row>
    <row r="2703" spans="1:8">
      <c r="A2703" s="67">
        <v>2701</v>
      </c>
      <c r="B2703" s="67">
        <f t="shared" si="239"/>
        <v>13000</v>
      </c>
      <c r="C2703" s="67">
        <f t="shared" si="240"/>
        <v>4</v>
      </c>
      <c r="D2703" s="70">
        <f t="shared" si="242"/>
        <v>3484</v>
      </c>
      <c r="E2703" s="70">
        <f t="shared" si="243"/>
        <v>3536</v>
      </c>
      <c r="G2703" s="68">
        <f t="shared" si="241"/>
        <v>102010</v>
      </c>
      <c r="H2703" s="67" t="str">
        <f t="shared" si="241"/>
        <v>尘光</v>
      </c>
    </row>
    <row r="2704" spans="1:8">
      <c r="A2704" s="67">
        <v>2702</v>
      </c>
      <c r="B2704" s="67">
        <f t="shared" si="239"/>
        <v>13000</v>
      </c>
      <c r="C2704" s="67">
        <f t="shared" si="240"/>
        <v>4</v>
      </c>
      <c r="D2704" s="70">
        <f t="shared" si="242"/>
        <v>3536</v>
      </c>
      <c r="E2704" s="70">
        <f t="shared" si="243"/>
        <v>3588</v>
      </c>
      <c r="G2704" s="68">
        <f t="shared" si="241"/>
        <v>102110</v>
      </c>
      <c r="H2704" s="67" t="str">
        <f t="shared" si="241"/>
        <v>不惧</v>
      </c>
    </row>
    <row r="2705" spans="1:8">
      <c r="A2705" s="67">
        <v>2703</v>
      </c>
      <c r="B2705" s="67">
        <f t="shared" si="239"/>
        <v>13000</v>
      </c>
      <c r="C2705" s="67">
        <f t="shared" si="240"/>
        <v>4</v>
      </c>
      <c r="D2705" s="70">
        <f t="shared" si="242"/>
        <v>3588</v>
      </c>
      <c r="E2705" s="70">
        <f t="shared" si="243"/>
        <v>3640</v>
      </c>
      <c r="G2705" s="68">
        <f t="shared" si="241"/>
        <v>103010</v>
      </c>
      <c r="H2705" s="67" t="str">
        <f t="shared" si="241"/>
        <v>圣人无名</v>
      </c>
    </row>
    <row r="2706" spans="1:8">
      <c r="A2706" s="67">
        <v>2704</v>
      </c>
      <c r="B2706" s="67">
        <f t="shared" si="239"/>
        <v>13000</v>
      </c>
      <c r="C2706" s="67">
        <f t="shared" si="240"/>
        <v>4</v>
      </c>
      <c r="D2706" s="70">
        <f t="shared" si="242"/>
        <v>3640</v>
      </c>
      <c r="E2706" s="70">
        <f t="shared" si="243"/>
        <v>3692</v>
      </c>
      <c r="G2706" s="68">
        <f t="shared" si="241"/>
        <v>104010</v>
      </c>
      <c r="H2706" s="67" t="str">
        <f t="shared" si="241"/>
        <v>迷悟</v>
      </c>
    </row>
    <row r="2707" spans="1:8">
      <c r="A2707" s="67">
        <v>2705</v>
      </c>
      <c r="B2707" s="67">
        <f t="shared" si="239"/>
        <v>13000</v>
      </c>
      <c r="C2707" s="67">
        <f t="shared" si="240"/>
        <v>4</v>
      </c>
      <c r="D2707" s="70">
        <f t="shared" si="242"/>
        <v>3692</v>
      </c>
      <c r="E2707" s="70">
        <f t="shared" si="243"/>
        <v>3744</v>
      </c>
      <c r="G2707" s="68">
        <f t="shared" si="241"/>
        <v>104110</v>
      </c>
      <c r="H2707" s="67" t="str">
        <f t="shared" si="241"/>
        <v>镇</v>
      </c>
    </row>
    <row r="2708" spans="1:8">
      <c r="A2708" s="67">
        <v>2706</v>
      </c>
      <c r="B2708" s="67">
        <f t="shared" si="239"/>
        <v>13000</v>
      </c>
      <c r="C2708" s="67">
        <f t="shared" si="240"/>
        <v>4</v>
      </c>
      <c r="D2708" s="70">
        <f t="shared" si="242"/>
        <v>3744</v>
      </c>
      <c r="E2708" s="70">
        <f t="shared" si="243"/>
        <v>3796</v>
      </c>
      <c r="G2708" s="68">
        <f t="shared" si="241"/>
        <v>105010</v>
      </c>
      <c r="H2708" s="67" t="str">
        <f t="shared" si="241"/>
        <v>展颜</v>
      </c>
    </row>
    <row r="2709" spans="1:8">
      <c r="A2709" s="67">
        <v>2707</v>
      </c>
      <c r="B2709" s="67">
        <f t="shared" si="239"/>
        <v>13000</v>
      </c>
      <c r="C2709" s="67">
        <f t="shared" si="240"/>
        <v>4</v>
      </c>
      <c r="D2709" s="70">
        <f t="shared" si="242"/>
        <v>3796</v>
      </c>
      <c r="E2709" s="70">
        <f t="shared" si="243"/>
        <v>3848</v>
      </c>
      <c r="G2709" s="68">
        <f t="shared" si="241"/>
        <v>106010</v>
      </c>
      <c r="H2709" s="67" t="str">
        <f t="shared" si="241"/>
        <v>楚人赋</v>
      </c>
    </row>
    <row r="2710" spans="1:8">
      <c r="A2710" s="67">
        <v>2708</v>
      </c>
      <c r="B2710" s="67">
        <f t="shared" si="239"/>
        <v>13000</v>
      </c>
      <c r="C2710" s="67">
        <f t="shared" si="240"/>
        <v>4</v>
      </c>
      <c r="D2710" s="70">
        <f t="shared" si="242"/>
        <v>3848</v>
      </c>
      <c r="E2710" s="70">
        <f t="shared" si="243"/>
        <v>3900</v>
      </c>
      <c r="G2710" s="68">
        <f t="shared" si="241"/>
        <v>109010</v>
      </c>
      <c r="H2710" s="67" t="str">
        <f t="shared" si="241"/>
        <v>捭阖</v>
      </c>
    </row>
    <row r="2711" spans="1:8">
      <c r="A2711" s="67">
        <v>2709</v>
      </c>
      <c r="B2711" s="67">
        <f t="shared" si="239"/>
        <v>13000</v>
      </c>
      <c r="C2711" s="67">
        <f t="shared" si="240"/>
        <v>4</v>
      </c>
      <c r="D2711" s="70">
        <f t="shared" si="242"/>
        <v>3900</v>
      </c>
      <c r="E2711" s="70">
        <f t="shared" si="243"/>
        <v>3952</v>
      </c>
      <c r="G2711" s="68">
        <f t="shared" si="241"/>
        <v>110010</v>
      </c>
      <c r="H2711" s="67" t="str">
        <f t="shared" si="241"/>
        <v>至心</v>
      </c>
    </row>
    <row r="2712" spans="1:8">
      <c r="A2712" s="67">
        <v>2710</v>
      </c>
      <c r="B2712" s="67">
        <f t="shared" si="239"/>
        <v>13000</v>
      </c>
      <c r="C2712" s="67">
        <f t="shared" si="240"/>
        <v>4</v>
      </c>
      <c r="D2712" s="70">
        <f t="shared" si="242"/>
        <v>3952</v>
      </c>
      <c r="E2712" s="70">
        <f t="shared" si="243"/>
        <v>4004</v>
      </c>
      <c r="G2712" s="68">
        <f t="shared" si="241"/>
        <v>111010</v>
      </c>
      <c r="H2712" s="67" t="str">
        <f t="shared" si="241"/>
        <v>碎幻</v>
      </c>
    </row>
    <row r="2713" spans="1:8">
      <c r="A2713" s="67">
        <v>2711</v>
      </c>
      <c r="B2713" s="67">
        <f t="shared" si="239"/>
        <v>13000</v>
      </c>
      <c r="C2713" s="67">
        <f t="shared" si="240"/>
        <v>4</v>
      </c>
      <c r="D2713" s="70">
        <f t="shared" si="242"/>
        <v>4004</v>
      </c>
      <c r="E2713" s="70">
        <f t="shared" si="243"/>
        <v>4056</v>
      </c>
      <c r="G2713" s="68">
        <f t="shared" si="241"/>
        <v>112010</v>
      </c>
      <c r="H2713" s="67" t="str">
        <f t="shared" si="241"/>
        <v>青冥羽</v>
      </c>
    </row>
    <row r="2714" spans="1:8">
      <c r="A2714" s="67">
        <v>2712</v>
      </c>
      <c r="B2714" s="67">
        <f t="shared" si="239"/>
        <v>13000</v>
      </c>
      <c r="C2714" s="67">
        <f t="shared" si="240"/>
        <v>4</v>
      </c>
      <c r="D2714" s="70">
        <f t="shared" si="242"/>
        <v>4056</v>
      </c>
      <c r="E2714" s="70">
        <f t="shared" si="243"/>
        <v>4108</v>
      </c>
      <c r="G2714" s="68">
        <f t="shared" si="241"/>
        <v>113010</v>
      </c>
      <c r="H2714" s="67" t="str">
        <f t="shared" si="241"/>
        <v>龙蛇</v>
      </c>
    </row>
    <row r="2715" spans="1:8">
      <c r="A2715" s="67">
        <v>2713</v>
      </c>
      <c r="B2715" s="67">
        <f t="shared" si="239"/>
        <v>13000</v>
      </c>
      <c r="C2715" s="67">
        <f t="shared" si="240"/>
        <v>4</v>
      </c>
      <c r="D2715" s="70">
        <f t="shared" si="242"/>
        <v>4108</v>
      </c>
      <c r="E2715" s="70">
        <f t="shared" si="243"/>
        <v>4160</v>
      </c>
      <c r="G2715" s="68">
        <f t="shared" si="241"/>
        <v>114010</v>
      </c>
      <c r="H2715" s="67" t="str">
        <f t="shared" si="241"/>
        <v>墨家原型</v>
      </c>
    </row>
    <row r="2716" spans="1:8">
      <c r="A2716" s="67">
        <v>2714</v>
      </c>
      <c r="B2716" s="67">
        <f t="shared" si="239"/>
        <v>13000</v>
      </c>
      <c r="C2716" s="67">
        <f t="shared" si="240"/>
        <v>4</v>
      </c>
      <c r="D2716" s="70">
        <f t="shared" si="242"/>
        <v>4160</v>
      </c>
      <c r="E2716" s="70">
        <f t="shared" si="243"/>
        <v>4212</v>
      </c>
      <c r="G2716" s="68">
        <f t="shared" si="241"/>
        <v>115010</v>
      </c>
      <c r="H2716" s="67" t="str">
        <f t="shared" si="241"/>
        <v>双影依身</v>
      </c>
    </row>
    <row r="2717" spans="1:8">
      <c r="A2717" s="67">
        <v>2715</v>
      </c>
      <c r="B2717" s="67">
        <f t="shared" si="239"/>
        <v>13000</v>
      </c>
      <c r="C2717" s="67">
        <f t="shared" si="240"/>
        <v>4</v>
      </c>
      <c r="D2717" s="70">
        <f t="shared" si="242"/>
        <v>4212</v>
      </c>
      <c r="E2717" s="70">
        <f t="shared" si="243"/>
        <v>4264</v>
      </c>
      <c r="G2717" s="68">
        <f t="shared" si="241"/>
        <v>200010</v>
      </c>
      <c r="H2717" s="67" t="str">
        <f t="shared" si="241"/>
        <v>天衢</v>
      </c>
    </row>
    <row r="2718" spans="1:8">
      <c r="A2718" s="67">
        <v>2716</v>
      </c>
      <c r="B2718" s="67">
        <f t="shared" si="239"/>
        <v>13000</v>
      </c>
      <c r="C2718" s="67">
        <f t="shared" si="240"/>
        <v>4</v>
      </c>
      <c r="D2718" s="70">
        <f t="shared" si="242"/>
        <v>4264</v>
      </c>
      <c r="E2718" s="70">
        <f t="shared" si="243"/>
        <v>4316</v>
      </c>
      <c r="G2718" s="68">
        <f t="shared" si="241"/>
        <v>300010</v>
      </c>
      <c r="H2718" s="67" t="str">
        <f t="shared" si="241"/>
        <v>归一</v>
      </c>
    </row>
    <row r="2719" spans="1:8">
      <c r="A2719" s="67">
        <v>2717</v>
      </c>
      <c r="B2719" s="67">
        <f t="shared" si="239"/>
        <v>13000</v>
      </c>
      <c r="C2719" s="67">
        <f t="shared" si="240"/>
        <v>4</v>
      </c>
      <c r="D2719" s="70">
        <f t="shared" si="242"/>
        <v>4316</v>
      </c>
      <c r="E2719" s="70">
        <f t="shared" si="243"/>
        <v>4368</v>
      </c>
      <c r="G2719" s="68">
        <f t="shared" si="241"/>
        <v>400010</v>
      </c>
      <c r="H2719" s="67" t="str">
        <f t="shared" si="241"/>
        <v>孤鹜</v>
      </c>
    </row>
    <row r="2720" spans="1:8">
      <c r="A2720" s="67">
        <v>2718</v>
      </c>
      <c r="B2720" s="67">
        <f t="shared" si="239"/>
        <v>13000</v>
      </c>
      <c r="C2720" s="67">
        <f t="shared" si="240"/>
        <v>4</v>
      </c>
      <c r="D2720" s="70">
        <f t="shared" si="242"/>
        <v>4368</v>
      </c>
      <c r="E2720" s="70">
        <f t="shared" si="243"/>
        <v>4420</v>
      </c>
      <c r="G2720" s="68">
        <f t="shared" si="241"/>
        <v>500010</v>
      </c>
      <c r="H2720" s="67" t="str">
        <f t="shared" si="241"/>
        <v>缚海</v>
      </c>
    </row>
    <row r="2721" spans="1:8">
      <c r="A2721" s="67">
        <v>2719</v>
      </c>
      <c r="B2721" s="67">
        <f t="shared" si="239"/>
        <v>13000</v>
      </c>
      <c r="C2721" s="67">
        <f t="shared" si="240"/>
        <v>4</v>
      </c>
      <c r="D2721" s="70">
        <f t="shared" si="242"/>
        <v>4420</v>
      </c>
      <c r="E2721" s="70">
        <f t="shared" si="243"/>
        <v>4472</v>
      </c>
      <c r="G2721" s="68">
        <f t="shared" si="241"/>
        <v>600010</v>
      </c>
      <c r="H2721" s="67" t="str">
        <f t="shared" si="241"/>
        <v>星髓</v>
      </c>
    </row>
    <row r="2722" spans="1:8">
      <c r="A2722" s="67">
        <v>2720</v>
      </c>
      <c r="B2722" s="67">
        <f t="shared" si="239"/>
        <v>13000</v>
      </c>
      <c r="C2722" s="67">
        <f t="shared" si="240"/>
        <v>4</v>
      </c>
      <c r="D2722" s="70">
        <f t="shared" si="242"/>
        <v>4472</v>
      </c>
      <c r="E2722" s="70">
        <f t="shared" si="243"/>
        <v>4524</v>
      </c>
      <c r="G2722" s="68">
        <f t="shared" si="241"/>
        <v>700010</v>
      </c>
      <c r="H2722" s="67" t="str">
        <f t="shared" si="241"/>
        <v>昆吾玉册</v>
      </c>
    </row>
    <row r="2723" spans="1:8">
      <c r="A2723" s="67">
        <v>2721</v>
      </c>
      <c r="B2723" s="67">
        <f t="shared" ref="B2723:B2786" si="244">B2701</f>
        <v>13000</v>
      </c>
      <c r="C2723" s="67">
        <f t="shared" ref="C2723:C2786" si="245">C2701+1</f>
        <v>4</v>
      </c>
      <c r="D2723" s="70">
        <f t="shared" si="242"/>
        <v>4524</v>
      </c>
      <c r="E2723" s="70">
        <f t="shared" si="243"/>
        <v>4576</v>
      </c>
      <c r="G2723" s="68">
        <f t="shared" ref="G2723:H2786" si="246">G2701</f>
        <v>800010</v>
      </c>
      <c r="H2723" s="67" t="str">
        <f t="shared" si="246"/>
        <v>方天水镜</v>
      </c>
    </row>
    <row r="2724" spans="1:8">
      <c r="A2724" s="67">
        <v>2722</v>
      </c>
      <c r="B2724" s="67">
        <f t="shared" si="244"/>
        <v>13000</v>
      </c>
      <c r="C2724" s="67">
        <f t="shared" si="245"/>
        <v>5</v>
      </c>
      <c r="D2724" s="70">
        <f t="shared" si="242"/>
        <v>4576</v>
      </c>
      <c r="E2724" s="70">
        <f t="shared" si="243"/>
        <v>4628</v>
      </c>
      <c r="G2724" s="68">
        <f t="shared" si="246"/>
        <v>101010</v>
      </c>
      <c r="H2724" s="67" t="str">
        <f t="shared" si="246"/>
        <v>虚玄</v>
      </c>
    </row>
    <row r="2725" spans="1:8">
      <c r="A2725" s="67">
        <v>2723</v>
      </c>
      <c r="B2725" s="67">
        <f t="shared" si="244"/>
        <v>13000</v>
      </c>
      <c r="C2725" s="67">
        <f t="shared" si="245"/>
        <v>5</v>
      </c>
      <c r="D2725" s="70">
        <f t="shared" si="242"/>
        <v>4628</v>
      </c>
      <c r="E2725" s="70">
        <f t="shared" si="243"/>
        <v>4680</v>
      </c>
      <c r="G2725" s="68">
        <f t="shared" si="246"/>
        <v>102010</v>
      </c>
      <c r="H2725" s="67" t="str">
        <f t="shared" si="246"/>
        <v>尘光</v>
      </c>
    </row>
    <row r="2726" spans="1:8">
      <c r="A2726" s="67">
        <v>2724</v>
      </c>
      <c r="B2726" s="67">
        <f t="shared" si="244"/>
        <v>13000</v>
      </c>
      <c r="C2726" s="67">
        <f t="shared" si="245"/>
        <v>5</v>
      </c>
      <c r="D2726" s="70">
        <f t="shared" si="242"/>
        <v>4680</v>
      </c>
      <c r="E2726" s="70">
        <f t="shared" si="243"/>
        <v>4732</v>
      </c>
      <c r="G2726" s="68">
        <f t="shared" si="246"/>
        <v>102110</v>
      </c>
      <c r="H2726" s="67" t="str">
        <f t="shared" si="246"/>
        <v>不惧</v>
      </c>
    </row>
    <row r="2727" spans="1:8">
      <c r="A2727" s="67">
        <v>2725</v>
      </c>
      <c r="B2727" s="67">
        <f t="shared" si="244"/>
        <v>13000</v>
      </c>
      <c r="C2727" s="67">
        <f t="shared" si="245"/>
        <v>5</v>
      </c>
      <c r="D2727" s="70">
        <f t="shared" si="242"/>
        <v>4732</v>
      </c>
      <c r="E2727" s="70">
        <f t="shared" si="243"/>
        <v>4784</v>
      </c>
      <c r="G2727" s="68">
        <f t="shared" si="246"/>
        <v>103010</v>
      </c>
      <c r="H2727" s="67" t="str">
        <f t="shared" si="246"/>
        <v>圣人无名</v>
      </c>
    </row>
    <row r="2728" spans="1:8">
      <c r="A2728" s="67">
        <v>2726</v>
      </c>
      <c r="B2728" s="67">
        <f t="shared" si="244"/>
        <v>13000</v>
      </c>
      <c r="C2728" s="67">
        <f t="shared" si="245"/>
        <v>5</v>
      </c>
      <c r="D2728" s="70">
        <f t="shared" si="242"/>
        <v>4784</v>
      </c>
      <c r="E2728" s="70">
        <f t="shared" si="243"/>
        <v>4836</v>
      </c>
      <c r="G2728" s="68">
        <f t="shared" si="246"/>
        <v>104010</v>
      </c>
      <c r="H2728" s="67" t="str">
        <f t="shared" si="246"/>
        <v>迷悟</v>
      </c>
    </row>
    <row r="2729" spans="1:8">
      <c r="A2729" s="67">
        <v>2727</v>
      </c>
      <c r="B2729" s="67">
        <f t="shared" si="244"/>
        <v>13000</v>
      </c>
      <c r="C2729" s="67">
        <f t="shared" si="245"/>
        <v>5</v>
      </c>
      <c r="D2729" s="70">
        <f t="shared" si="242"/>
        <v>4836</v>
      </c>
      <c r="E2729" s="70">
        <f t="shared" si="243"/>
        <v>4888</v>
      </c>
      <c r="G2729" s="68">
        <f t="shared" si="246"/>
        <v>104110</v>
      </c>
      <c r="H2729" s="67" t="str">
        <f t="shared" si="246"/>
        <v>镇</v>
      </c>
    </row>
    <row r="2730" spans="1:8">
      <c r="A2730" s="67">
        <v>2728</v>
      </c>
      <c r="B2730" s="67">
        <f t="shared" si="244"/>
        <v>13000</v>
      </c>
      <c r="C2730" s="67">
        <f t="shared" si="245"/>
        <v>5</v>
      </c>
      <c r="D2730" s="70">
        <f t="shared" si="242"/>
        <v>4888</v>
      </c>
      <c r="E2730" s="70">
        <f t="shared" si="243"/>
        <v>4940</v>
      </c>
      <c r="G2730" s="68">
        <f t="shared" si="246"/>
        <v>105010</v>
      </c>
      <c r="H2730" s="67" t="str">
        <f t="shared" si="246"/>
        <v>展颜</v>
      </c>
    </row>
    <row r="2731" spans="1:8">
      <c r="A2731" s="67">
        <v>2729</v>
      </c>
      <c r="B2731" s="67">
        <f t="shared" si="244"/>
        <v>13000</v>
      </c>
      <c r="C2731" s="67">
        <f t="shared" si="245"/>
        <v>5</v>
      </c>
      <c r="D2731" s="70">
        <f t="shared" si="242"/>
        <v>4940</v>
      </c>
      <c r="E2731" s="70">
        <f t="shared" si="243"/>
        <v>4992</v>
      </c>
      <c r="G2731" s="68">
        <f t="shared" si="246"/>
        <v>106010</v>
      </c>
      <c r="H2731" s="67" t="str">
        <f t="shared" si="246"/>
        <v>楚人赋</v>
      </c>
    </row>
    <row r="2732" spans="1:8">
      <c r="A2732" s="67">
        <v>2730</v>
      </c>
      <c r="B2732" s="67">
        <f t="shared" si="244"/>
        <v>13000</v>
      </c>
      <c r="C2732" s="67">
        <f t="shared" si="245"/>
        <v>5</v>
      </c>
      <c r="D2732" s="70">
        <f t="shared" si="242"/>
        <v>4992</v>
      </c>
      <c r="E2732" s="70">
        <f t="shared" si="243"/>
        <v>5044</v>
      </c>
      <c r="G2732" s="68">
        <f t="shared" si="246"/>
        <v>109010</v>
      </c>
      <c r="H2732" s="67" t="str">
        <f t="shared" si="246"/>
        <v>捭阖</v>
      </c>
    </row>
    <row r="2733" spans="1:8">
      <c r="A2733" s="67">
        <v>2731</v>
      </c>
      <c r="B2733" s="67">
        <f t="shared" si="244"/>
        <v>13000</v>
      </c>
      <c r="C2733" s="67">
        <f t="shared" si="245"/>
        <v>5</v>
      </c>
      <c r="D2733" s="70">
        <f t="shared" si="242"/>
        <v>5044</v>
      </c>
      <c r="E2733" s="70">
        <f t="shared" si="243"/>
        <v>5096</v>
      </c>
      <c r="G2733" s="68">
        <f t="shared" si="246"/>
        <v>110010</v>
      </c>
      <c r="H2733" s="67" t="str">
        <f t="shared" si="246"/>
        <v>至心</v>
      </c>
    </row>
    <row r="2734" spans="1:8">
      <c r="A2734" s="67">
        <v>2732</v>
      </c>
      <c r="B2734" s="67">
        <f t="shared" si="244"/>
        <v>13000</v>
      </c>
      <c r="C2734" s="67">
        <f t="shared" si="245"/>
        <v>5</v>
      </c>
      <c r="D2734" s="70">
        <f t="shared" si="242"/>
        <v>5096</v>
      </c>
      <c r="E2734" s="70">
        <f t="shared" si="243"/>
        <v>5148</v>
      </c>
      <c r="G2734" s="68">
        <f t="shared" si="246"/>
        <v>111010</v>
      </c>
      <c r="H2734" s="67" t="str">
        <f t="shared" si="246"/>
        <v>碎幻</v>
      </c>
    </row>
    <row r="2735" spans="1:8">
      <c r="A2735" s="67">
        <v>2733</v>
      </c>
      <c r="B2735" s="67">
        <f t="shared" si="244"/>
        <v>13000</v>
      </c>
      <c r="C2735" s="67">
        <f t="shared" si="245"/>
        <v>5</v>
      </c>
      <c r="D2735" s="70">
        <f t="shared" si="242"/>
        <v>5148</v>
      </c>
      <c r="E2735" s="70">
        <f t="shared" si="243"/>
        <v>5200</v>
      </c>
      <c r="G2735" s="68">
        <f t="shared" si="246"/>
        <v>112010</v>
      </c>
      <c r="H2735" s="67" t="str">
        <f t="shared" si="246"/>
        <v>青冥羽</v>
      </c>
    </row>
    <row r="2736" spans="1:8">
      <c r="A2736" s="67">
        <v>2734</v>
      </c>
      <c r="B2736" s="67">
        <f t="shared" si="244"/>
        <v>13000</v>
      </c>
      <c r="C2736" s="67">
        <f t="shared" si="245"/>
        <v>5</v>
      </c>
      <c r="D2736" s="70">
        <f t="shared" si="242"/>
        <v>5200</v>
      </c>
      <c r="E2736" s="70">
        <f t="shared" si="243"/>
        <v>5252</v>
      </c>
      <c r="G2736" s="68">
        <f t="shared" si="246"/>
        <v>113010</v>
      </c>
      <c r="H2736" s="67" t="str">
        <f t="shared" si="246"/>
        <v>龙蛇</v>
      </c>
    </row>
    <row r="2737" spans="1:8">
      <c r="A2737" s="67">
        <v>2735</v>
      </c>
      <c r="B2737" s="67">
        <f t="shared" si="244"/>
        <v>13000</v>
      </c>
      <c r="C2737" s="67">
        <f t="shared" si="245"/>
        <v>5</v>
      </c>
      <c r="D2737" s="70">
        <f t="shared" si="242"/>
        <v>5252</v>
      </c>
      <c r="E2737" s="70">
        <f t="shared" si="243"/>
        <v>5304</v>
      </c>
      <c r="G2737" s="68">
        <f t="shared" si="246"/>
        <v>114010</v>
      </c>
      <c r="H2737" s="67" t="str">
        <f t="shared" si="246"/>
        <v>墨家原型</v>
      </c>
    </row>
    <row r="2738" spans="1:8">
      <c r="A2738" s="67">
        <v>2736</v>
      </c>
      <c r="B2738" s="67">
        <f t="shared" si="244"/>
        <v>13000</v>
      </c>
      <c r="C2738" s="67">
        <f t="shared" si="245"/>
        <v>5</v>
      </c>
      <c r="D2738" s="70">
        <f t="shared" si="242"/>
        <v>5304</v>
      </c>
      <c r="E2738" s="70">
        <f t="shared" si="243"/>
        <v>5356</v>
      </c>
      <c r="G2738" s="68">
        <f t="shared" si="246"/>
        <v>115010</v>
      </c>
      <c r="H2738" s="67" t="str">
        <f t="shared" si="246"/>
        <v>双影依身</v>
      </c>
    </row>
    <row r="2739" spans="1:8">
      <c r="A2739" s="67">
        <v>2737</v>
      </c>
      <c r="B2739" s="67">
        <f t="shared" si="244"/>
        <v>13000</v>
      </c>
      <c r="C2739" s="67">
        <f t="shared" si="245"/>
        <v>5</v>
      </c>
      <c r="D2739" s="70">
        <f t="shared" si="242"/>
        <v>5356</v>
      </c>
      <c r="E2739" s="70">
        <f t="shared" si="243"/>
        <v>5408</v>
      </c>
      <c r="G2739" s="68">
        <f t="shared" si="246"/>
        <v>200010</v>
      </c>
      <c r="H2739" s="67" t="str">
        <f t="shared" si="246"/>
        <v>天衢</v>
      </c>
    </row>
    <row r="2740" spans="1:8">
      <c r="A2740" s="67">
        <v>2738</v>
      </c>
      <c r="B2740" s="67">
        <f t="shared" si="244"/>
        <v>13000</v>
      </c>
      <c r="C2740" s="67">
        <f t="shared" si="245"/>
        <v>5</v>
      </c>
      <c r="D2740" s="70">
        <f t="shared" si="242"/>
        <v>5408</v>
      </c>
      <c r="E2740" s="70">
        <f t="shared" si="243"/>
        <v>5460</v>
      </c>
      <c r="G2740" s="68">
        <f t="shared" si="246"/>
        <v>300010</v>
      </c>
      <c r="H2740" s="67" t="str">
        <f t="shared" si="246"/>
        <v>归一</v>
      </c>
    </row>
    <row r="2741" spans="1:8">
      <c r="A2741" s="67">
        <v>2739</v>
      </c>
      <c r="B2741" s="67">
        <f t="shared" si="244"/>
        <v>13000</v>
      </c>
      <c r="C2741" s="67">
        <f t="shared" si="245"/>
        <v>5</v>
      </c>
      <c r="D2741" s="70">
        <f t="shared" si="242"/>
        <v>5460</v>
      </c>
      <c r="E2741" s="70">
        <f t="shared" si="243"/>
        <v>5512</v>
      </c>
      <c r="G2741" s="68">
        <f t="shared" si="246"/>
        <v>400010</v>
      </c>
      <c r="H2741" s="67" t="str">
        <f t="shared" si="246"/>
        <v>孤鹜</v>
      </c>
    </row>
    <row r="2742" spans="1:8">
      <c r="A2742" s="67">
        <v>2740</v>
      </c>
      <c r="B2742" s="67">
        <f t="shared" si="244"/>
        <v>13000</v>
      </c>
      <c r="C2742" s="67">
        <f t="shared" si="245"/>
        <v>5</v>
      </c>
      <c r="D2742" s="70">
        <f t="shared" si="242"/>
        <v>5512</v>
      </c>
      <c r="E2742" s="70">
        <f t="shared" si="243"/>
        <v>5564</v>
      </c>
      <c r="G2742" s="68">
        <f t="shared" si="246"/>
        <v>500010</v>
      </c>
      <c r="H2742" s="67" t="str">
        <f t="shared" si="246"/>
        <v>缚海</v>
      </c>
    </row>
    <row r="2743" spans="1:8">
      <c r="A2743" s="67">
        <v>2741</v>
      </c>
      <c r="B2743" s="67">
        <f t="shared" si="244"/>
        <v>13000</v>
      </c>
      <c r="C2743" s="67">
        <f t="shared" si="245"/>
        <v>5</v>
      </c>
      <c r="D2743" s="70">
        <f t="shared" si="242"/>
        <v>5564</v>
      </c>
      <c r="E2743" s="70">
        <f t="shared" si="243"/>
        <v>5616</v>
      </c>
      <c r="G2743" s="68">
        <f t="shared" si="246"/>
        <v>600010</v>
      </c>
      <c r="H2743" s="67" t="str">
        <f t="shared" si="246"/>
        <v>星髓</v>
      </c>
    </row>
    <row r="2744" spans="1:8">
      <c r="A2744" s="67">
        <v>2742</v>
      </c>
      <c r="B2744" s="67">
        <f t="shared" si="244"/>
        <v>13000</v>
      </c>
      <c r="C2744" s="67">
        <f t="shared" si="245"/>
        <v>5</v>
      </c>
      <c r="D2744" s="70">
        <f t="shared" si="242"/>
        <v>5616</v>
      </c>
      <c r="E2744" s="70">
        <f t="shared" si="243"/>
        <v>5668</v>
      </c>
      <c r="G2744" s="68">
        <f t="shared" si="246"/>
        <v>700010</v>
      </c>
      <c r="H2744" s="67" t="str">
        <f t="shared" si="246"/>
        <v>昆吾玉册</v>
      </c>
    </row>
    <row r="2745" spans="1:8">
      <c r="A2745" s="67">
        <v>2743</v>
      </c>
      <c r="B2745" s="67">
        <f t="shared" si="244"/>
        <v>13000</v>
      </c>
      <c r="C2745" s="67">
        <f t="shared" si="245"/>
        <v>5</v>
      </c>
      <c r="D2745" s="70">
        <f t="shared" si="242"/>
        <v>5668</v>
      </c>
      <c r="E2745" s="70">
        <f t="shared" si="243"/>
        <v>5720</v>
      </c>
      <c r="G2745" s="68">
        <f t="shared" si="246"/>
        <v>800010</v>
      </c>
      <c r="H2745" s="67" t="str">
        <f t="shared" si="246"/>
        <v>方天水镜</v>
      </c>
    </row>
    <row r="2746" spans="1:8">
      <c r="A2746" s="67">
        <v>2744</v>
      </c>
      <c r="B2746" s="67">
        <f t="shared" si="244"/>
        <v>13000</v>
      </c>
      <c r="C2746" s="67">
        <f t="shared" si="245"/>
        <v>6</v>
      </c>
      <c r="D2746" s="70">
        <f t="shared" si="242"/>
        <v>5720</v>
      </c>
      <c r="E2746" s="70">
        <f t="shared" si="243"/>
        <v>5772</v>
      </c>
      <c r="G2746" s="68">
        <f t="shared" si="246"/>
        <v>101010</v>
      </c>
      <c r="H2746" s="67" t="str">
        <f t="shared" si="246"/>
        <v>虚玄</v>
      </c>
    </row>
    <row r="2747" spans="1:8">
      <c r="A2747" s="67">
        <v>2745</v>
      </c>
      <c r="B2747" s="67">
        <f t="shared" si="244"/>
        <v>13000</v>
      </c>
      <c r="C2747" s="67">
        <f t="shared" si="245"/>
        <v>6</v>
      </c>
      <c r="D2747" s="70">
        <f t="shared" si="242"/>
        <v>5772</v>
      </c>
      <c r="E2747" s="70">
        <f t="shared" si="243"/>
        <v>5824</v>
      </c>
      <c r="G2747" s="68">
        <f t="shared" si="246"/>
        <v>102010</v>
      </c>
      <c r="H2747" s="67" t="str">
        <f t="shared" si="246"/>
        <v>尘光</v>
      </c>
    </row>
    <row r="2748" spans="1:8">
      <c r="A2748" s="67">
        <v>2746</v>
      </c>
      <c r="B2748" s="67">
        <f t="shared" si="244"/>
        <v>13000</v>
      </c>
      <c r="C2748" s="67">
        <f t="shared" si="245"/>
        <v>6</v>
      </c>
      <c r="D2748" s="70">
        <f t="shared" si="242"/>
        <v>5824</v>
      </c>
      <c r="E2748" s="70">
        <f t="shared" si="243"/>
        <v>5876</v>
      </c>
      <c r="G2748" s="68">
        <f t="shared" si="246"/>
        <v>102110</v>
      </c>
      <c r="H2748" s="67" t="str">
        <f t="shared" si="246"/>
        <v>不惧</v>
      </c>
    </row>
    <row r="2749" spans="1:8">
      <c r="A2749" s="67">
        <v>2747</v>
      </c>
      <c r="B2749" s="67">
        <f t="shared" si="244"/>
        <v>13000</v>
      </c>
      <c r="C2749" s="67">
        <f t="shared" si="245"/>
        <v>6</v>
      </c>
      <c r="D2749" s="70">
        <f t="shared" si="242"/>
        <v>5876</v>
      </c>
      <c r="E2749" s="70">
        <f t="shared" si="243"/>
        <v>5928</v>
      </c>
      <c r="G2749" s="68">
        <f t="shared" si="246"/>
        <v>103010</v>
      </c>
      <c r="H2749" s="67" t="str">
        <f t="shared" si="246"/>
        <v>圣人无名</v>
      </c>
    </row>
    <row r="2750" spans="1:8">
      <c r="A2750" s="67">
        <v>2748</v>
      </c>
      <c r="B2750" s="67">
        <f t="shared" si="244"/>
        <v>13000</v>
      </c>
      <c r="C2750" s="67">
        <f t="shared" si="245"/>
        <v>6</v>
      </c>
      <c r="D2750" s="70">
        <f t="shared" si="242"/>
        <v>5928</v>
      </c>
      <c r="E2750" s="70">
        <f t="shared" si="243"/>
        <v>5980</v>
      </c>
      <c r="G2750" s="68">
        <f t="shared" si="246"/>
        <v>104010</v>
      </c>
      <c r="H2750" s="67" t="str">
        <f t="shared" si="246"/>
        <v>迷悟</v>
      </c>
    </row>
    <row r="2751" spans="1:8">
      <c r="A2751" s="67">
        <v>2749</v>
      </c>
      <c r="B2751" s="67">
        <f t="shared" si="244"/>
        <v>13000</v>
      </c>
      <c r="C2751" s="67">
        <f t="shared" si="245"/>
        <v>6</v>
      </c>
      <c r="D2751" s="70">
        <f t="shared" si="242"/>
        <v>5980</v>
      </c>
      <c r="E2751" s="70">
        <f t="shared" si="243"/>
        <v>6032</v>
      </c>
      <c r="G2751" s="68">
        <f t="shared" si="246"/>
        <v>104110</v>
      </c>
      <c r="H2751" s="67" t="str">
        <f t="shared" si="246"/>
        <v>镇</v>
      </c>
    </row>
    <row r="2752" spans="1:8">
      <c r="A2752" s="67">
        <v>2750</v>
      </c>
      <c r="B2752" s="67">
        <f t="shared" si="244"/>
        <v>13000</v>
      </c>
      <c r="C2752" s="67">
        <f t="shared" si="245"/>
        <v>6</v>
      </c>
      <c r="D2752" s="70">
        <f t="shared" si="242"/>
        <v>6032</v>
      </c>
      <c r="E2752" s="70">
        <f t="shared" si="243"/>
        <v>6084</v>
      </c>
      <c r="G2752" s="68">
        <f t="shared" si="246"/>
        <v>105010</v>
      </c>
      <c r="H2752" s="67" t="str">
        <f t="shared" si="246"/>
        <v>展颜</v>
      </c>
    </row>
    <row r="2753" spans="1:8">
      <c r="A2753" s="67">
        <v>2751</v>
      </c>
      <c r="B2753" s="67">
        <f t="shared" si="244"/>
        <v>13000</v>
      </c>
      <c r="C2753" s="67">
        <f t="shared" si="245"/>
        <v>6</v>
      </c>
      <c r="D2753" s="70">
        <f t="shared" si="242"/>
        <v>6084</v>
      </c>
      <c r="E2753" s="70">
        <f t="shared" si="243"/>
        <v>6136</v>
      </c>
      <c r="G2753" s="68">
        <f t="shared" si="246"/>
        <v>106010</v>
      </c>
      <c r="H2753" s="67" t="str">
        <f t="shared" si="246"/>
        <v>楚人赋</v>
      </c>
    </row>
    <row r="2754" spans="1:8">
      <c r="A2754" s="67">
        <v>2752</v>
      </c>
      <c r="B2754" s="67">
        <f t="shared" si="244"/>
        <v>13000</v>
      </c>
      <c r="C2754" s="67">
        <f t="shared" si="245"/>
        <v>6</v>
      </c>
      <c r="D2754" s="70">
        <f t="shared" si="242"/>
        <v>6136</v>
      </c>
      <c r="E2754" s="70">
        <f t="shared" si="243"/>
        <v>6188</v>
      </c>
      <c r="G2754" s="68">
        <f t="shared" si="246"/>
        <v>109010</v>
      </c>
      <c r="H2754" s="67" t="str">
        <f t="shared" si="246"/>
        <v>捭阖</v>
      </c>
    </row>
    <row r="2755" spans="1:8">
      <c r="A2755" s="67">
        <v>2753</v>
      </c>
      <c r="B2755" s="67">
        <f t="shared" si="244"/>
        <v>13000</v>
      </c>
      <c r="C2755" s="67">
        <f t="shared" si="245"/>
        <v>6</v>
      </c>
      <c r="D2755" s="70">
        <f t="shared" si="242"/>
        <v>6188</v>
      </c>
      <c r="E2755" s="70">
        <f t="shared" si="243"/>
        <v>6240</v>
      </c>
      <c r="G2755" s="68">
        <f t="shared" si="246"/>
        <v>110010</v>
      </c>
      <c r="H2755" s="67" t="str">
        <f t="shared" si="246"/>
        <v>至心</v>
      </c>
    </row>
    <row r="2756" spans="1:8">
      <c r="A2756" s="67">
        <v>2754</v>
      </c>
      <c r="B2756" s="67">
        <f t="shared" si="244"/>
        <v>13000</v>
      </c>
      <c r="C2756" s="67">
        <f t="shared" si="245"/>
        <v>6</v>
      </c>
      <c r="D2756" s="70">
        <f t="shared" si="242"/>
        <v>6240</v>
      </c>
      <c r="E2756" s="70">
        <f t="shared" si="243"/>
        <v>6292</v>
      </c>
      <c r="G2756" s="68">
        <f t="shared" si="246"/>
        <v>111010</v>
      </c>
      <c r="H2756" s="67" t="str">
        <f t="shared" si="246"/>
        <v>碎幻</v>
      </c>
    </row>
    <row r="2757" spans="1:8">
      <c r="A2757" s="67">
        <v>2755</v>
      </c>
      <c r="B2757" s="67">
        <f t="shared" si="244"/>
        <v>13000</v>
      </c>
      <c r="C2757" s="67">
        <f t="shared" si="245"/>
        <v>6</v>
      </c>
      <c r="D2757" s="70">
        <f t="shared" si="242"/>
        <v>6292</v>
      </c>
      <c r="E2757" s="70">
        <f t="shared" si="243"/>
        <v>6344</v>
      </c>
      <c r="G2757" s="68">
        <f t="shared" si="246"/>
        <v>112010</v>
      </c>
      <c r="H2757" s="67" t="str">
        <f t="shared" si="246"/>
        <v>青冥羽</v>
      </c>
    </row>
    <row r="2758" spans="1:8">
      <c r="A2758" s="67">
        <v>2756</v>
      </c>
      <c r="B2758" s="67">
        <f t="shared" si="244"/>
        <v>13000</v>
      </c>
      <c r="C2758" s="67">
        <f t="shared" si="245"/>
        <v>6</v>
      </c>
      <c r="D2758" s="70">
        <f t="shared" si="242"/>
        <v>6344</v>
      </c>
      <c r="E2758" s="70">
        <f t="shared" si="243"/>
        <v>6396</v>
      </c>
      <c r="G2758" s="68">
        <f t="shared" si="246"/>
        <v>113010</v>
      </c>
      <c r="H2758" s="67" t="str">
        <f t="shared" si="246"/>
        <v>龙蛇</v>
      </c>
    </row>
    <row r="2759" spans="1:8">
      <c r="A2759" s="67">
        <v>2757</v>
      </c>
      <c r="B2759" s="67">
        <f t="shared" si="244"/>
        <v>13000</v>
      </c>
      <c r="C2759" s="67">
        <f t="shared" si="245"/>
        <v>6</v>
      </c>
      <c r="D2759" s="70">
        <f t="shared" si="242"/>
        <v>6396</v>
      </c>
      <c r="E2759" s="70">
        <f t="shared" si="243"/>
        <v>6448</v>
      </c>
      <c r="G2759" s="68">
        <f t="shared" si="246"/>
        <v>114010</v>
      </c>
      <c r="H2759" s="67" t="str">
        <f t="shared" si="246"/>
        <v>墨家原型</v>
      </c>
    </row>
    <row r="2760" spans="1:8">
      <c r="A2760" s="67">
        <v>2758</v>
      </c>
      <c r="B2760" s="67">
        <f t="shared" si="244"/>
        <v>13000</v>
      </c>
      <c r="C2760" s="67">
        <f t="shared" si="245"/>
        <v>6</v>
      </c>
      <c r="D2760" s="70">
        <f t="shared" si="242"/>
        <v>6448</v>
      </c>
      <c r="E2760" s="70">
        <f t="shared" si="243"/>
        <v>6500</v>
      </c>
      <c r="G2760" s="68">
        <f t="shared" si="246"/>
        <v>115010</v>
      </c>
      <c r="H2760" s="67" t="str">
        <f t="shared" si="246"/>
        <v>双影依身</v>
      </c>
    </row>
    <row r="2761" spans="1:8">
      <c r="A2761" s="67">
        <v>2759</v>
      </c>
      <c r="B2761" s="67">
        <f t="shared" si="244"/>
        <v>13000</v>
      </c>
      <c r="C2761" s="67">
        <f t="shared" si="245"/>
        <v>6</v>
      </c>
      <c r="D2761" s="70">
        <f t="shared" si="242"/>
        <v>6500</v>
      </c>
      <c r="E2761" s="70">
        <f t="shared" si="243"/>
        <v>6552</v>
      </c>
      <c r="G2761" s="68">
        <f t="shared" si="246"/>
        <v>200010</v>
      </c>
      <c r="H2761" s="67" t="str">
        <f t="shared" si="246"/>
        <v>天衢</v>
      </c>
    </row>
    <row r="2762" spans="1:8">
      <c r="A2762" s="67">
        <v>2760</v>
      </c>
      <c r="B2762" s="67">
        <f t="shared" si="244"/>
        <v>13000</v>
      </c>
      <c r="C2762" s="67">
        <f t="shared" si="245"/>
        <v>6</v>
      </c>
      <c r="D2762" s="70">
        <f t="shared" si="242"/>
        <v>6552</v>
      </c>
      <c r="E2762" s="70">
        <f t="shared" si="243"/>
        <v>6604</v>
      </c>
      <c r="G2762" s="68">
        <f t="shared" si="246"/>
        <v>300010</v>
      </c>
      <c r="H2762" s="67" t="str">
        <f t="shared" si="246"/>
        <v>归一</v>
      </c>
    </row>
    <row r="2763" spans="1:8">
      <c r="A2763" s="67">
        <v>2761</v>
      </c>
      <c r="B2763" s="67">
        <f t="shared" si="244"/>
        <v>13000</v>
      </c>
      <c r="C2763" s="67">
        <f t="shared" si="245"/>
        <v>6</v>
      </c>
      <c r="D2763" s="70">
        <f t="shared" si="242"/>
        <v>6604</v>
      </c>
      <c r="E2763" s="70">
        <f t="shared" si="243"/>
        <v>6656</v>
      </c>
      <c r="G2763" s="68">
        <f t="shared" si="246"/>
        <v>400010</v>
      </c>
      <c r="H2763" s="67" t="str">
        <f t="shared" si="246"/>
        <v>孤鹜</v>
      </c>
    </row>
    <row r="2764" spans="1:8">
      <c r="A2764" s="67">
        <v>2762</v>
      </c>
      <c r="B2764" s="67">
        <f t="shared" si="244"/>
        <v>13000</v>
      </c>
      <c r="C2764" s="67">
        <f t="shared" si="245"/>
        <v>6</v>
      </c>
      <c r="D2764" s="70">
        <f t="shared" si="242"/>
        <v>6656</v>
      </c>
      <c r="E2764" s="70">
        <f t="shared" si="243"/>
        <v>6708</v>
      </c>
      <c r="G2764" s="68">
        <f t="shared" si="246"/>
        <v>500010</v>
      </c>
      <c r="H2764" s="67" t="str">
        <f t="shared" si="246"/>
        <v>缚海</v>
      </c>
    </row>
    <row r="2765" spans="1:8">
      <c r="A2765" s="67">
        <v>2763</v>
      </c>
      <c r="B2765" s="67">
        <f t="shared" si="244"/>
        <v>13000</v>
      </c>
      <c r="C2765" s="67">
        <f t="shared" si="245"/>
        <v>6</v>
      </c>
      <c r="D2765" s="70">
        <f t="shared" si="242"/>
        <v>6708</v>
      </c>
      <c r="E2765" s="70">
        <f t="shared" si="243"/>
        <v>6760</v>
      </c>
      <c r="G2765" s="68">
        <f t="shared" si="246"/>
        <v>600010</v>
      </c>
      <c r="H2765" s="67" t="str">
        <f t="shared" si="246"/>
        <v>星髓</v>
      </c>
    </row>
    <row r="2766" spans="1:8">
      <c r="A2766" s="67">
        <v>2764</v>
      </c>
      <c r="B2766" s="67">
        <f t="shared" si="244"/>
        <v>13000</v>
      </c>
      <c r="C2766" s="67">
        <f t="shared" si="245"/>
        <v>6</v>
      </c>
      <c r="D2766" s="70">
        <f t="shared" ref="D2766:D2789" si="247">E2765</f>
        <v>6760</v>
      </c>
      <c r="E2766" s="70">
        <f t="shared" ref="E2766:E2789" si="248">D2766+$E$3</f>
        <v>6812</v>
      </c>
      <c r="G2766" s="68">
        <f t="shared" si="246"/>
        <v>700010</v>
      </c>
      <c r="H2766" s="67" t="str">
        <f t="shared" si="246"/>
        <v>昆吾玉册</v>
      </c>
    </row>
    <row r="2767" spans="1:8">
      <c r="A2767" s="67">
        <v>2765</v>
      </c>
      <c r="B2767" s="67">
        <f t="shared" si="244"/>
        <v>13000</v>
      </c>
      <c r="C2767" s="67">
        <f t="shared" si="245"/>
        <v>6</v>
      </c>
      <c r="D2767" s="70">
        <f t="shared" si="247"/>
        <v>6812</v>
      </c>
      <c r="E2767" s="70">
        <f t="shared" si="248"/>
        <v>6864</v>
      </c>
      <c r="G2767" s="68">
        <f t="shared" si="246"/>
        <v>800010</v>
      </c>
      <c r="H2767" s="67" t="str">
        <f t="shared" si="246"/>
        <v>方天水镜</v>
      </c>
    </row>
    <row r="2768" spans="1:8">
      <c r="A2768" s="67">
        <v>2766</v>
      </c>
      <c r="B2768" s="67">
        <f t="shared" si="244"/>
        <v>13000</v>
      </c>
      <c r="C2768" s="67">
        <f t="shared" si="245"/>
        <v>7</v>
      </c>
      <c r="D2768" s="70">
        <f t="shared" si="247"/>
        <v>6864</v>
      </c>
      <c r="E2768" s="70">
        <f t="shared" si="248"/>
        <v>6916</v>
      </c>
      <c r="G2768" s="68">
        <f t="shared" si="246"/>
        <v>101010</v>
      </c>
      <c r="H2768" s="67" t="str">
        <f t="shared" si="246"/>
        <v>虚玄</v>
      </c>
    </row>
    <row r="2769" spans="1:8">
      <c r="A2769" s="67">
        <v>2767</v>
      </c>
      <c r="B2769" s="67">
        <f t="shared" si="244"/>
        <v>13000</v>
      </c>
      <c r="C2769" s="67">
        <f t="shared" si="245"/>
        <v>7</v>
      </c>
      <c r="D2769" s="70">
        <f t="shared" si="247"/>
        <v>6916</v>
      </c>
      <c r="E2769" s="70">
        <f t="shared" si="248"/>
        <v>6968</v>
      </c>
      <c r="G2769" s="68">
        <f t="shared" si="246"/>
        <v>102010</v>
      </c>
      <c r="H2769" s="67" t="str">
        <f t="shared" si="246"/>
        <v>尘光</v>
      </c>
    </row>
    <row r="2770" spans="1:8">
      <c r="A2770" s="67">
        <v>2768</v>
      </c>
      <c r="B2770" s="67">
        <f t="shared" si="244"/>
        <v>13000</v>
      </c>
      <c r="C2770" s="67">
        <f t="shared" si="245"/>
        <v>7</v>
      </c>
      <c r="D2770" s="70">
        <f t="shared" si="247"/>
        <v>6968</v>
      </c>
      <c r="E2770" s="70">
        <f t="shared" si="248"/>
        <v>7020</v>
      </c>
      <c r="G2770" s="68">
        <f t="shared" si="246"/>
        <v>102110</v>
      </c>
      <c r="H2770" s="67" t="str">
        <f t="shared" si="246"/>
        <v>不惧</v>
      </c>
    </row>
    <row r="2771" spans="1:8">
      <c r="A2771" s="67">
        <v>2769</v>
      </c>
      <c r="B2771" s="67">
        <f t="shared" si="244"/>
        <v>13000</v>
      </c>
      <c r="C2771" s="67">
        <f t="shared" si="245"/>
        <v>7</v>
      </c>
      <c r="D2771" s="70">
        <f t="shared" si="247"/>
        <v>7020</v>
      </c>
      <c r="E2771" s="70">
        <f t="shared" si="248"/>
        <v>7072</v>
      </c>
      <c r="G2771" s="68">
        <f t="shared" si="246"/>
        <v>103010</v>
      </c>
      <c r="H2771" s="67" t="str">
        <f t="shared" si="246"/>
        <v>圣人无名</v>
      </c>
    </row>
    <row r="2772" spans="1:8">
      <c r="A2772" s="67">
        <v>2770</v>
      </c>
      <c r="B2772" s="67">
        <f t="shared" si="244"/>
        <v>13000</v>
      </c>
      <c r="C2772" s="67">
        <f t="shared" si="245"/>
        <v>7</v>
      </c>
      <c r="D2772" s="70">
        <f t="shared" si="247"/>
        <v>7072</v>
      </c>
      <c r="E2772" s="70">
        <f t="shared" si="248"/>
        <v>7124</v>
      </c>
      <c r="G2772" s="68">
        <f t="shared" si="246"/>
        <v>104010</v>
      </c>
      <c r="H2772" s="67" t="str">
        <f t="shared" si="246"/>
        <v>迷悟</v>
      </c>
    </row>
    <row r="2773" spans="1:8">
      <c r="A2773" s="67">
        <v>2771</v>
      </c>
      <c r="B2773" s="67">
        <f t="shared" si="244"/>
        <v>13000</v>
      </c>
      <c r="C2773" s="67">
        <f t="shared" si="245"/>
        <v>7</v>
      </c>
      <c r="D2773" s="70">
        <f t="shared" si="247"/>
        <v>7124</v>
      </c>
      <c r="E2773" s="70">
        <f t="shared" si="248"/>
        <v>7176</v>
      </c>
      <c r="G2773" s="68">
        <f t="shared" si="246"/>
        <v>104110</v>
      </c>
      <c r="H2773" s="67" t="str">
        <f t="shared" si="246"/>
        <v>镇</v>
      </c>
    </row>
    <row r="2774" spans="1:8">
      <c r="A2774" s="67">
        <v>2772</v>
      </c>
      <c r="B2774" s="67">
        <f t="shared" si="244"/>
        <v>13000</v>
      </c>
      <c r="C2774" s="67">
        <f t="shared" si="245"/>
        <v>7</v>
      </c>
      <c r="D2774" s="70">
        <f t="shared" si="247"/>
        <v>7176</v>
      </c>
      <c r="E2774" s="70">
        <f t="shared" si="248"/>
        <v>7228</v>
      </c>
      <c r="G2774" s="68">
        <f t="shared" si="246"/>
        <v>105010</v>
      </c>
      <c r="H2774" s="67" t="str">
        <f t="shared" si="246"/>
        <v>展颜</v>
      </c>
    </row>
    <row r="2775" spans="1:8">
      <c r="A2775" s="67">
        <v>2773</v>
      </c>
      <c r="B2775" s="67">
        <f t="shared" si="244"/>
        <v>13000</v>
      </c>
      <c r="C2775" s="67">
        <f t="shared" si="245"/>
        <v>7</v>
      </c>
      <c r="D2775" s="70">
        <f t="shared" si="247"/>
        <v>7228</v>
      </c>
      <c r="E2775" s="70">
        <f t="shared" si="248"/>
        <v>7280</v>
      </c>
      <c r="G2775" s="68">
        <f t="shared" si="246"/>
        <v>106010</v>
      </c>
      <c r="H2775" s="67" t="str">
        <f t="shared" si="246"/>
        <v>楚人赋</v>
      </c>
    </row>
    <row r="2776" spans="1:8">
      <c r="A2776" s="67">
        <v>2774</v>
      </c>
      <c r="B2776" s="67">
        <f t="shared" si="244"/>
        <v>13000</v>
      </c>
      <c r="C2776" s="67">
        <f t="shared" si="245"/>
        <v>7</v>
      </c>
      <c r="D2776" s="70">
        <f t="shared" si="247"/>
        <v>7280</v>
      </c>
      <c r="E2776" s="70">
        <f t="shared" si="248"/>
        <v>7332</v>
      </c>
      <c r="G2776" s="68">
        <f t="shared" si="246"/>
        <v>109010</v>
      </c>
      <c r="H2776" s="67" t="str">
        <f t="shared" si="246"/>
        <v>捭阖</v>
      </c>
    </row>
    <row r="2777" spans="1:8">
      <c r="A2777" s="67">
        <v>2775</v>
      </c>
      <c r="B2777" s="67">
        <f t="shared" si="244"/>
        <v>13000</v>
      </c>
      <c r="C2777" s="67">
        <f t="shared" si="245"/>
        <v>7</v>
      </c>
      <c r="D2777" s="70">
        <f t="shared" si="247"/>
        <v>7332</v>
      </c>
      <c r="E2777" s="70">
        <f t="shared" si="248"/>
        <v>7384</v>
      </c>
      <c r="G2777" s="68">
        <f t="shared" si="246"/>
        <v>110010</v>
      </c>
      <c r="H2777" s="67" t="str">
        <f t="shared" si="246"/>
        <v>至心</v>
      </c>
    </row>
    <row r="2778" spans="1:8">
      <c r="A2778" s="67">
        <v>2776</v>
      </c>
      <c r="B2778" s="67">
        <f t="shared" si="244"/>
        <v>13000</v>
      </c>
      <c r="C2778" s="67">
        <f t="shared" si="245"/>
        <v>7</v>
      </c>
      <c r="D2778" s="70">
        <f t="shared" si="247"/>
        <v>7384</v>
      </c>
      <c r="E2778" s="70">
        <f t="shared" si="248"/>
        <v>7436</v>
      </c>
      <c r="G2778" s="68">
        <f t="shared" si="246"/>
        <v>111010</v>
      </c>
      <c r="H2778" s="67" t="str">
        <f t="shared" si="246"/>
        <v>碎幻</v>
      </c>
    </row>
    <row r="2779" spans="1:8">
      <c r="A2779" s="67">
        <v>2777</v>
      </c>
      <c r="B2779" s="67">
        <f t="shared" si="244"/>
        <v>13000</v>
      </c>
      <c r="C2779" s="67">
        <f t="shared" si="245"/>
        <v>7</v>
      </c>
      <c r="D2779" s="70">
        <f t="shared" si="247"/>
        <v>7436</v>
      </c>
      <c r="E2779" s="70">
        <f t="shared" si="248"/>
        <v>7488</v>
      </c>
      <c r="G2779" s="68">
        <f t="shared" si="246"/>
        <v>112010</v>
      </c>
      <c r="H2779" s="67" t="str">
        <f t="shared" si="246"/>
        <v>青冥羽</v>
      </c>
    </row>
    <row r="2780" spans="1:8">
      <c r="A2780" s="67">
        <v>2778</v>
      </c>
      <c r="B2780" s="67">
        <f t="shared" si="244"/>
        <v>13000</v>
      </c>
      <c r="C2780" s="67">
        <f t="shared" si="245"/>
        <v>7</v>
      </c>
      <c r="D2780" s="70">
        <f t="shared" si="247"/>
        <v>7488</v>
      </c>
      <c r="E2780" s="70">
        <f t="shared" si="248"/>
        <v>7540</v>
      </c>
      <c r="G2780" s="68">
        <f t="shared" si="246"/>
        <v>113010</v>
      </c>
      <c r="H2780" s="67" t="str">
        <f t="shared" si="246"/>
        <v>龙蛇</v>
      </c>
    </row>
    <row r="2781" spans="1:8">
      <c r="A2781" s="67">
        <v>2779</v>
      </c>
      <c r="B2781" s="67">
        <f t="shared" si="244"/>
        <v>13000</v>
      </c>
      <c r="C2781" s="67">
        <f t="shared" si="245"/>
        <v>7</v>
      </c>
      <c r="D2781" s="70">
        <f t="shared" si="247"/>
        <v>7540</v>
      </c>
      <c r="E2781" s="70">
        <f t="shared" si="248"/>
        <v>7592</v>
      </c>
      <c r="G2781" s="68">
        <f t="shared" si="246"/>
        <v>114010</v>
      </c>
      <c r="H2781" s="67" t="str">
        <f t="shared" si="246"/>
        <v>墨家原型</v>
      </c>
    </row>
    <row r="2782" spans="1:8">
      <c r="A2782" s="67">
        <v>2780</v>
      </c>
      <c r="B2782" s="67">
        <f t="shared" si="244"/>
        <v>13000</v>
      </c>
      <c r="C2782" s="67">
        <f t="shared" si="245"/>
        <v>7</v>
      </c>
      <c r="D2782" s="70">
        <f t="shared" si="247"/>
        <v>7592</v>
      </c>
      <c r="E2782" s="70">
        <f t="shared" si="248"/>
        <v>7644</v>
      </c>
      <c r="G2782" s="68">
        <f t="shared" si="246"/>
        <v>115010</v>
      </c>
      <c r="H2782" s="67" t="str">
        <f t="shared" si="246"/>
        <v>双影依身</v>
      </c>
    </row>
    <row r="2783" spans="1:8">
      <c r="A2783" s="67">
        <v>2781</v>
      </c>
      <c r="B2783" s="67">
        <f t="shared" si="244"/>
        <v>13000</v>
      </c>
      <c r="C2783" s="67">
        <f t="shared" si="245"/>
        <v>7</v>
      </c>
      <c r="D2783" s="70">
        <f t="shared" si="247"/>
        <v>7644</v>
      </c>
      <c r="E2783" s="70">
        <f t="shared" si="248"/>
        <v>7696</v>
      </c>
      <c r="G2783" s="68">
        <f t="shared" si="246"/>
        <v>200010</v>
      </c>
      <c r="H2783" s="67" t="str">
        <f t="shared" si="246"/>
        <v>天衢</v>
      </c>
    </row>
    <row r="2784" spans="1:8">
      <c r="A2784" s="67">
        <v>2782</v>
      </c>
      <c r="B2784" s="67">
        <f t="shared" si="244"/>
        <v>13000</v>
      </c>
      <c r="C2784" s="67">
        <f t="shared" si="245"/>
        <v>7</v>
      </c>
      <c r="D2784" s="70">
        <f t="shared" si="247"/>
        <v>7696</v>
      </c>
      <c r="E2784" s="70">
        <f t="shared" si="248"/>
        <v>7748</v>
      </c>
      <c r="G2784" s="68">
        <f t="shared" si="246"/>
        <v>300010</v>
      </c>
      <c r="H2784" s="67" t="str">
        <f t="shared" si="246"/>
        <v>归一</v>
      </c>
    </row>
    <row r="2785" spans="1:8">
      <c r="A2785" s="67">
        <v>2783</v>
      </c>
      <c r="B2785" s="67">
        <f t="shared" si="244"/>
        <v>13000</v>
      </c>
      <c r="C2785" s="67">
        <f t="shared" si="245"/>
        <v>7</v>
      </c>
      <c r="D2785" s="70">
        <f t="shared" si="247"/>
        <v>7748</v>
      </c>
      <c r="E2785" s="70">
        <f t="shared" si="248"/>
        <v>7800</v>
      </c>
      <c r="G2785" s="68">
        <f t="shared" si="246"/>
        <v>400010</v>
      </c>
      <c r="H2785" s="67" t="str">
        <f t="shared" si="246"/>
        <v>孤鹜</v>
      </c>
    </row>
    <row r="2786" spans="1:8">
      <c r="A2786" s="67">
        <v>2784</v>
      </c>
      <c r="B2786" s="67">
        <f t="shared" si="244"/>
        <v>13000</v>
      </c>
      <c r="C2786" s="67">
        <f t="shared" si="245"/>
        <v>7</v>
      </c>
      <c r="D2786" s="70">
        <f t="shared" si="247"/>
        <v>7800</v>
      </c>
      <c r="E2786" s="70">
        <f t="shared" si="248"/>
        <v>7852</v>
      </c>
      <c r="G2786" s="68">
        <f t="shared" si="246"/>
        <v>500010</v>
      </c>
      <c r="H2786" s="67" t="str">
        <f t="shared" si="246"/>
        <v>缚海</v>
      </c>
    </row>
    <row r="2787" spans="1:8">
      <c r="A2787" s="67">
        <v>2785</v>
      </c>
      <c r="B2787" s="67">
        <f t="shared" ref="B2787:B2789" si="249">B2765</f>
        <v>13000</v>
      </c>
      <c r="C2787" s="67">
        <f t="shared" ref="C2787:C2789" si="250">C2765+1</f>
        <v>7</v>
      </c>
      <c r="D2787" s="70">
        <f t="shared" si="247"/>
        <v>7852</v>
      </c>
      <c r="E2787" s="70">
        <f t="shared" si="248"/>
        <v>7904</v>
      </c>
      <c r="G2787" s="68">
        <f t="shared" ref="G2787:H2789" si="251">G2765</f>
        <v>600010</v>
      </c>
      <c r="H2787" s="67" t="str">
        <f t="shared" si="251"/>
        <v>星髓</v>
      </c>
    </row>
    <row r="2788" spans="1:8">
      <c r="A2788" s="67">
        <v>2786</v>
      </c>
      <c r="B2788" s="67">
        <f t="shared" si="249"/>
        <v>13000</v>
      </c>
      <c r="C2788" s="67">
        <f t="shared" si="250"/>
        <v>7</v>
      </c>
      <c r="D2788" s="70">
        <f t="shared" si="247"/>
        <v>7904</v>
      </c>
      <c r="E2788" s="70">
        <f t="shared" si="248"/>
        <v>7956</v>
      </c>
      <c r="G2788" s="68">
        <f t="shared" si="251"/>
        <v>700010</v>
      </c>
      <c r="H2788" s="67" t="str">
        <f t="shared" si="251"/>
        <v>昆吾玉册</v>
      </c>
    </row>
    <row r="2789" spans="1:8">
      <c r="A2789" s="67">
        <v>2787</v>
      </c>
      <c r="B2789" s="67">
        <f t="shared" si="249"/>
        <v>13000</v>
      </c>
      <c r="C2789" s="67">
        <f t="shared" si="250"/>
        <v>7</v>
      </c>
      <c r="D2789" s="70">
        <f t="shared" si="247"/>
        <v>7956</v>
      </c>
      <c r="E2789" s="70">
        <f t="shared" si="248"/>
        <v>8008</v>
      </c>
      <c r="G2789" s="68">
        <f t="shared" si="251"/>
        <v>800010</v>
      </c>
      <c r="H2789" s="67" t="str">
        <f t="shared" si="251"/>
        <v>方天水镜</v>
      </c>
    </row>
  </sheetData>
  <autoFilter xmlns:etc="http://www.wps.cn/officeDocument/2017/etCustomData" ref="A1:P2789" etc:filterBottomFollowUsedRange="0">
    <extLst/>
  </autoFilter>
  <conditionalFormatting sqref="G2636:G1048576 G1:G2">
    <cfRule type="duplicateValues" dxfId="0" priority="67"/>
  </conditionalFormatting>
  <pageMargins left="0.7" right="0.7" top="0.75" bottom="0.75" header="0.3" footer="0.3"/>
  <pageSetup paperSize="9" orientation="portrait"/>
  <headerFooter/>
  <ignoredErrors>
    <ignoredError sqref="G401:G438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V73"/>
  <sheetViews>
    <sheetView topLeftCell="B10" workbookViewId="0">
      <selection activeCell="M37" sqref="M37"/>
    </sheetView>
  </sheetViews>
  <sheetFormatPr defaultColWidth="9" defaultRowHeight="14"/>
  <cols>
    <col min="7" max="7" width="14.1083333333333" customWidth="1"/>
    <col min="12" max="12" width="14.3333333333333" customWidth="1"/>
    <col min="14" max="14" width="14.5583333333333" customWidth="1"/>
  </cols>
  <sheetData>
    <row r="2" spans="7:22">
      <c r="G2" s="31" t="s">
        <v>76</v>
      </c>
      <c r="H2" t="str">
        <f>";"&amp;VLOOKUP(G2,掉落基础配置!$L:$P,5,0)&amp;",1"</f>
        <v>;10100,1</v>
      </c>
    </row>
    <row r="3" spans="7:22">
      <c r="G3" s="32" t="s">
        <v>94</v>
      </c>
      <c r="H3" t="str">
        <f>";"&amp;VLOOKUP(G3,掉落基础配置!$L:$P,5,0)&amp;",1"</f>
        <v>;10200,1</v>
      </c>
    </row>
    <row r="4" spans="7:22">
      <c r="G4" s="33" t="s">
        <v>111</v>
      </c>
      <c r="H4" t="str">
        <f>";"&amp;VLOOKUP(G4,掉落基础配置!$L:$P,5,0)&amp;",1"</f>
        <v>;10300,1</v>
      </c>
    </row>
    <row r="5" spans="7:22">
      <c r="G5" s="34" t="s">
        <v>129</v>
      </c>
      <c r="H5" t="str">
        <f>";"&amp;VLOOKUP(G5,掉落基础配置!$L:$P,5,0)&amp;",1"</f>
        <v>;10400,1</v>
      </c>
    </row>
    <row r="6" spans="7:22">
      <c r="G6" s="35" t="s">
        <v>131</v>
      </c>
      <c r="H6" t="str">
        <f>";"&amp;VLOOKUP(G6,掉落基础配置!$L:$P,5,0)&amp;",1"</f>
        <v>;10500,1</v>
      </c>
    </row>
    <row r="7" spans="7:22">
      <c r="G7" s="36" t="s">
        <v>153</v>
      </c>
      <c r="H7" t="str">
        <f>";"&amp;VLOOKUP(G7,掉落基础配置!$L:$P,5,0)&amp;",1"</f>
        <v>;10600,1</v>
      </c>
    </row>
    <row r="8" spans="7:22">
      <c r="G8" s="32" t="s">
        <v>174</v>
      </c>
      <c r="H8" t="str">
        <f>";"&amp;VLOOKUP(G8,掉落基础配置!$L:$P,5,0)&amp;",1"</f>
        <v>;10700,1</v>
      </c>
    </row>
    <row r="9" spans="7:22">
      <c r="G9" s="37" t="s">
        <v>175</v>
      </c>
      <c r="H9" t="str">
        <f>";"&amp;VLOOKUP(G9,掉落基础配置!$L:$P,5,0)&amp;",1"</f>
        <v>;10800,1</v>
      </c>
    </row>
    <row r="10" spans="7:22">
      <c r="G10" s="38" t="s">
        <v>177</v>
      </c>
      <c r="H10" t="str">
        <f>";"&amp;VLOOKUP(G10,掉落基础配置!$L:$P,5,0)&amp;",1"</f>
        <v>;10900,1</v>
      </c>
    </row>
    <row r="11" spans="7:22">
      <c r="N11" s="39" t="s">
        <v>634</v>
      </c>
      <c r="O11" s="40">
        <v>143</v>
      </c>
      <c r="P11" s="40"/>
      <c r="Q11" s="41">
        <v>149</v>
      </c>
      <c r="R11" t="s">
        <v>635</v>
      </c>
      <c r="T11" t="str">
        <f>VLOOKUP(Q11,[3]monster_team!$A:$T,20,0)</f>
        <v>11000,1</v>
      </c>
      <c r="V11" t="s">
        <v>636</v>
      </c>
    </row>
    <row r="12" spans="7:22">
      <c r="N12" s="39" t="s">
        <v>637</v>
      </c>
      <c r="O12" s="39">
        <v>341</v>
      </c>
      <c r="P12" s="39"/>
      <c r="Q12" s="42">
        <v>347</v>
      </c>
      <c r="R12" t="s">
        <v>638</v>
      </c>
      <c r="T12" t="str">
        <f>VLOOKUP(Q12,[3]monster_team!$A:$T,20,0)</f>
        <v>11100,1</v>
      </c>
      <c r="V12" t="s">
        <v>639</v>
      </c>
    </row>
    <row r="13" spans="7:22">
      <c r="N13" s="39" t="s">
        <v>640</v>
      </c>
      <c r="O13" s="39">
        <v>348</v>
      </c>
      <c r="P13" s="39"/>
      <c r="Q13" s="42">
        <v>354</v>
      </c>
      <c r="R13" t="s">
        <v>641</v>
      </c>
      <c r="T13" t="str">
        <f>VLOOKUP(Q13,[3]monster_team!$A:$T,20,0)</f>
        <v>11200,1</v>
      </c>
      <c r="V13" t="s">
        <v>642</v>
      </c>
    </row>
    <row r="14" spans="7:22">
      <c r="N14" s="39" t="s">
        <v>643</v>
      </c>
      <c r="O14" s="40">
        <v>176</v>
      </c>
      <c r="P14" s="40"/>
      <c r="Q14" s="43">
        <v>183</v>
      </c>
      <c r="R14" t="s">
        <v>644</v>
      </c>
      <c r="T14" t="str">
        <f>VLOOKUP(Q14,[3]monster_team!$A:$T,20,0)</f>
        <v>11000,1</v>
      </c>
      <c r="V14" t="s">
        <v>645</v>
      </c>
    </row>
    <row r="15" spans="7:22">
      <c r="N15" s="39" t="s">
        <v>646</v>
      </c>
      <c r="O15" s="39">
        <v>355</v>
      </c>
      <c r="P15" s="39"/>
      <c r="Q15" s="44">
        <v>363</v>
      </c>
      <c r="R15" t="s">
        <v>647</v>
      </c>
      <c r="T15" t="str">
        <f>VLOOKUP(Q15,[3]monster_team!$A:$T,20,0)</f>
        <v>11100,1</v>
      </c>
      <c r="V15" t="s">
        <v>648</v>
      </c>
    </row>
    <row r="16" spans="7:22">
      <c r="N16" s="39" t="s">
        <v>649</v>
      </c>
      <c r="O16" s="39">
        <v>364</v>
      </c>
      <c r="P16" s="39"/>
      <c r="Q16" s="44">
        <v>372</v>
      </c>
      <c r="R16" t="s">
        <v>650</v>
      </c>
      <c r="T16" t="str">
        <f>VLOOKUP(Q16,[3]monster_team!$A:$T,20,0)</f>
        <v>11200,1</v>
      </c>
      <c r="V16" t="s">
        <v>651</v>
      </c>
    </row>
    <row r="17" spans="3:22">
      <c r="N17" s="39" t="s">
        <v>652</v>
      </c>
      <c r="O17" s="40">
        <v>213</v>
      </c>
      <c r="P17" s="40"/>
      <c r="Q17" s="45">
        <v>219</v>
      </c>
      <c r="R17" t="s">
        <v>653</v>
      </c>
      <c r="T17" t="str">
        <f>VLOOKUP(Q17,[3]monster_team!$A:$T,20,0)</f>
        <v>11000,1</v>
      </c>
      <c r="V17" t="s">
        <v>654</v>
      </c>
    </row>
    <row r="18" spans="3:22">
      <c r="G18" s="41">
        <v>149</v>
      </c>
      <c r="H18" t="s">
        <v>636</v>
      </c>
      <c r="N18" s="39" t="s">
        <v>655</v>
      </c>
      <c r="O18" s="39">
        <v>373</v>
      </c>
      <c r="P18" s="39"/>
      <c r="Q18" s="46">
        <v>380</v>
      </c>
      <c r="R18" t="s">
        <v>656</v>
      </c>
      <c r="T18" t="str">
        <f>VLOOKUP(Q18,[3]monster_team!$A:$T,20,0)</f>
        <v>11100,1</v>
      </c>
      <c r="V18" t="s">
        <v>657</v>
      </c>
    </row>
    <row r="19" spans="3:22">
      <c r="G19" s="42">
        <v>347</v>
      </c>
      <c r="H19" t="s">
        <v>639</v>
      </c>
      <c r="N19" s="39" t="s">
        <v>658</v>
      </c>
      <c r="O19" s="39">
        <v>381</v>
      </c>
      <c r="P19" s="39"/>
      <c r="Q19" s="46">
        <v>388</v>
      </c>
      <c r="R19" t="s">
        <v>659</v>
      </c>
      <c r="T19" t="str">
        <f>VLOOKUP(Q19,[3]monster_team!$A:$T,20,0)</f>
        <v>11200,1</v>
      </c>
      <c r="V19" t="s">
        <v>660</v>
      </c>
    </row>
    <row r="20" spans="3:22">
      <c r="G20" s="42">
        <v>354</v>
      </c>
      <c r="H20" t="s">
        <v>642</v>
      </c>
      <c r="N20" s="39"/>
      <c r="O20" s="40"/>
      <c r="P20" s="40"/>
      <c r="Q20" s="40"/>
    </row>
    <row r="21" spans="3:22">
      <c r="G21" s="43">
        <v>183</v>
      </c>
      <c r="H21" t="s">
        <v>645</v>
      </c>
      <c r="K21" s="47">
        <f>M21/60</f>
        <v>0.25</v>
      </c>
      <c r="L21" s="47">
        <f t="shared" ref="L21" si="0">K21*10</f>
        <v>2.5</v>
      </c>
      <c r="M21" s="47">
        <v>15</v>
      </c>
      <c r="N21" s="47"/>
    </row>
    <row r="22" spans="3:22">
      <c r="G22" s="44">
        <v>363</v>
      </c>
      <c r="H22" t="s">
        <v>648</v>
      </c>
    </row>
    <row r="23" spans="3:22">
      <c r="G23" s="44">
        <v>372</v>
      </c>
      <c r="H23" t="s">
        <v>651</v>
      </c>
    </row>
    <row r="24" spans="3:22">
      <c r="G24" s="45">
        <v>219</v>
      </c>
      <c r="H24" t="s">
        <v>654</v>
      </c>
      <c r="L24" s="37" t="s">
        <v>661</v>
      </c>
      <c r="M24" s="48">
        <v>60</v>
      </c>
      <c r="N24" s="37" t="s">
        <v>662</v>
      </c>
      <c r="O24" s="48"/>
      <c r="P24" s="48"/>
      <c r="Q24" s="48">
        <v>15</v>
      </c>
      <c r="R24" s="48">
        <f>SUM(Q24:Q31)</f>
        <v>100</v>
      </c>
    </row>
    <row r="25" spans="3:22">
      <c r="G25" s="46">
        <v>380</v>
      </c>
      <c r="H25" t="s">
        <v>657</v>
      </c>
      <c r="L25" s="48"/>
      <c r="M25" s="48"/>
      <c r="N25" s="48"/>
      <c r="O25" s="48"/>
      <c r="P25" s="48"/>
      <c r="Q25" s="48"/>
      <c r="R25" s="48"/>
    </row>
    <row r="26" spans="3:22">
      <c r="G26" s="46">
        <v>388</v>
      </c>
      <c r="H26" t="s">
        <v>660</v>
      </c>
      <c r="L26" s="48"/>
      <c r="M26" s="48"/>
      <c r="N26" s="48"/>
      <c r="O26" s="48"/>
      <c r="P26" s="48"/>
      <c r="Q26" s="48"/>
      <c r="R26" s="48"/>
    </row>
    <row r="27" spans="3:22">
      <c r="L27" s="48"/>
      <c r="M27" s="48"/>
      <c r="N27" s="48" t="s">
        <v>663</v>
      </c>
      <c r="O27" s="48"/>
      <c r="P27" s="48"/>
      <c r="Q27" s="48">
        <v>15</v>
      </c>
      <c r="R27" s="48"/>
    </row>
    <row r="28" spans="3:22">
      <c r="L28" s="48"/>
      <c r="M28" s="48"/>
      <c r="N28" s="48"/>
      <c r="O28" s="48"/>
      <c r="P28" s="48"/>
      <c r="Q28" s="48"/>
      <c r="R28" s="48"/>
    </row>
    <row r="29" spans="3:22">
      <c r="L29" s="48"/>
      <c r="M29" s="48">
        <v>8</v>
      </c>
      <c r="N29" s="48" t="s">
        <v>664</v>
      </c>
      <c r="O29" s="48"/>
      <c r="P29" s="48"/>
      <c r="Q29" s="48">
        <v>35</v>
      </c>
      <c r="R29" s="48"/>
    </row>
    <row r="30" spans="3:22">
      <c r="L30" s="48"/>
      <c r="M30" s="48"/>
      <c r="N30" s="48" t="s">
        <v>665</v>
      </c>
      <c r="O30" s="48"/>
      <c r="P30" s="48"/>
      <c r="Q30" s="48">
        <v>25</v>
      </c>
      <c r="R30" s="48"/>
    </row>
    <row r="31" ht="15.5" spans="3:22">
      <c r="C31" s="49">
        <v>95410101</v>
      </c>
      <c r="D31" s="50" t="s">
        <v>243</v>
      </c>
      <c r="E31" s="51" t="s">
        <v>666</v>
      </c>
      <c r="L31" s="48"/>
      <c r="M31" s="48"/>
      <c r="N31" s="52" t="s">
        <v>279</v>
      </c>
      <c r="O31" s="48"/>
      <c r="P31" s="48"/>
      <c r="Q31" s="48">
        <v>10</v>
      </c>
      <c r="R31" s="48"/>
      <c r="T31" s="53">
        <v>100101</v>
      </c>
      <c r="U31" s="54" t="s">
        <v>243</v>
      </c>
      <c r="V31" t="str">
        <f>VLOOKUP(U31,$D$31:$E$60,2,0)</f>
        <v>太和</v>
      </c>
    </row>
    <row r="32" ht="15.5" spans="3:22">
      <c r="C32" s="55">
        <v>95410102</v>
      </c>
      <c r="D32" s="50" t="s">
        <v>667</v>
      </c>
      <c r="E32" s="51" t="s">
        <v>666</v>
      </c>
      <c r="L32" s="47" t="s">
        <v>668</v>
      </c>
      <c r="M32" s="47">
        <v>8</v>
      </c>
      <c r="N32" s="47" t="s">
        <v>235</v>
      </c>
      <c r="O32" s="47">
        <f>Q32/M32</f>
        <v>4.375</v>
      </c>
      <c r="P32" s="47">
        <f>O32*10</f>
        <v>43.75</v>
      </c>
      <c r="Q32" s="47">
        <v>35</v>
      </c>
      <c r="R32" s="47">
        <f>SUM(Q32:Q37)</f>
        <v>100</v>
      </c>
      <c r="T32" s="53">
        <v>100102</v>
      </c>
      <c r="U32" s="54" t="s">
        <v>667</v>
      </c>
      <c r="V32" t="str">
        <f t="shared" ref="V32:V73" si="1">VLOOKUP(U32,$D$31:$E$60,2,0)</f>
        <v>太和</v>
      </c>
    </row>
    <row r="33" ht="15.5" spans="3:22">
      <c r="C33" s="49">
        <v>95410107</v>
      </c>
      <c r="D33" s="50" t="s">
        <v>246</v>
      </c>
      <c r="E33" s="51" t="s">
        <v>666</v>
      </c>
      <c r="L33" s="47"/>
      <c r="M33" s="47">
        <v>21</v>
      </c>
      <c r="N33" s="56" t="s">
        <v>244</v>
      </c>
      <c r="O33" s="47">
        <f t="shared" ref="O33:O37" si="2">Q33/M33</f>
        <v>0.476190476190476</v>
      </c>
      <c r="P33" s="47">
        <f t="shared" ref="P33:P37" si="3">O33*10</f>
        <v>4.76190476190476</v>
      </c>
      <c r="Q33" s="47">
        <v>10</v>
      </c>
      <c r="R33" s="47"/>
      <c r="T33" s="53">
        <v>100103</v>
      </c>
      <c r="U33" s="54" t="s">
        <v>245</v>
      </c>
      <c r="V33" t="e">
        <f t="shared" si="1"/>
        <v>#N/A</v>
      </c>
    </row>
    <row r="34" ht="15.5" spans="3:22">
      <c r="C34" s="55">
        <v>95410108</v>
      </c>
      <c r="D34" s="50" t="s">
        <v>247</v>
      </c>
      <c r="E34" s="51" t="s">
        <v>666</v>
      </c>
      <c r="L34" s="47"/>
      <c r="M34" s="47">
        <v>60</v>
      </c>
      <c r="N34" s="56" t="s">
        <v>200</v>
      </c>
      <c r="O34" s="47">
        <f t="shared" si="2"/>
        <v>0.25</v>
      </c>
      <c r="P34" s="47">
        <f t="shared" si="3"/>
        <v>2.5</v>
      </c>
      <c r="Q34" s="47">
        <v>15</v>
      </c>
      <c r="R34" s="47"/>
      <c r="T34" s="53">
        <v>100104</v>
      </c>
      <c r="U34" s="54" t="s">
        <v>669</v>
      </c>
      <c r="V34" t="str">
        <f t="shared" si="1"/>
        <v>五圣</v>
      </c>
    </row>
    <row r="35" ht="15.5" spans="3:22">
      <c r="C35" s="55">
        <v>95410124</v>
      </c>
      <c r="D35" s="57" t="s">
        <v>670</v>
      </c>
      <c r="E35" s="51" t="s">
        <v>666</v>
      </c>
      <c r="L35" s="47"/>
      <c r="M35" s="47"/>
      <c r="N35" s="47"/>
      <c r="O35" s="47"/>
      <c r="P35" s="47"/>
      <c r="Q35" s="47"/>
      <c r="R35" s="47"/>
      <c r="T35" s="53">
        <v>100105</v>
      </c>
      <c r="U35" s="54" t="s">
        <v>671</v>
      </c>
      <c r="V35" t="e">
        <f t="shared" si="1"/>
        <v>#N/A</v>
      </c>
    </row>
    <row r="36" ht="15.5" spans="3:22">
      <c r="C36" s="55"/>
      <c r="D36" s="50"/>
      <c r="E36" s="51"/>
      <c r="L36" s="47"/>
      <c r="M36" s="47">
        <v>11</v>
      </c>
      <c r="N36" s="47" t="s">
        <v>266</v>
      </c>
      <c r="O36" s="47">
        <f t="shared" si="2"/>
        <v>3.18181818181818</v>
      </c>
      <c r="P36" s="47">
        <f t="shared" si="3"/>
        <v>31.8181818181818</v>
      </c>
      <c r="Q36" s="47">
        <v>35</v>
      </c>
      <c r="R36" s="47"/>
      <c r="T36" s="53">
        <v>100106</v>
      </c>
      <c r="U36" s="54" t="s">
        <v>672</v>
      </c>
      <c r="V36" t="str">
        <f t="shared" si="1"/>
        <v>海阁</v>
      </c>
    </row>
    <row r="37" ht="15.5" spans="3:22">
      <c r="C37" s="55"/>
      <c r="D37" s="58"/>
      <c r="E37" s="51"/>
      <c r="L37" s="47"/>
      <c r="M37" s="47">
        <v>83</v>
      </c>
      <c r="N37" s="59" t="s">
        <v>279</v>
      </c>
      <c r="O37" s="47">
        <f t="shared" si="2"/>
        <v>0.0602409638554217</v>
      </c>
      <c r="P37" s="47">
        <f t="shared" si="3"/>
        <v>0.602409638554217</v>
      </c>
      <c r="Q37" s="47">
        <v>5</v>
      </c>
      <c r="R37" s="47"/>
      <c r="T37" s="53">
        <v>100107</v>
      </c>
      <c r="U37" s="54" t="s">
        <v>246</v>
      </c>
      <c r="V37" t="str">
        <f t="shared" si="1"/>
        <v>太和</v>
      </c>
    </row>
    <row r="38" ht="15.5" spans="3:22">
      <c r="C38" s="55"/>
      <c r="D38" s="58"/>
      <c r="E38" s="51"/>
      <c r="L38" s="60" t="s">
        <v>673</v>
      </c>
      <c r="M38" s="60"/>
      <c r="N38" s="60"/>
      <c r="O38" s="60"/>
      <c r="P38" s="60"/>
      <c r="Q38" s="60"/>
      <c r="R38" s="60"/>
      <c r="T38" s="53">
        <v>100108</v>
      </c>
      <c r="U38" s="54" t="s">
        <v>247</v>
      </c>
      <c r="V38" t="str">
        <f t="shared" si="1"/>
        <v>太和</v>
      </c>
    </row>
    <row r="39" ht="15.5" spans="3:22">
      <c r="C39" s="55"/>
      <c r="D39" s="58"/>
      <c r="E39" s="51"/>
      <c r="L39" s="60"/>
      <c r="M39" s="60"/>
      <c r="N39" s="60" t="s">
        <v>674</v>
      </c>
      <c r="O39" s="60"/>
      <c r="P39" s="60"/>
      <c r="Q39" s="60">
        <v>50</v>
      </c>
      <c r="R39" s="60"/>
      <c r="T39" s="53">
        <v>100109</v>
      </c>
      <c r="U39" s="54" t="s">
        <v>675</v>
      </c>
      <c r="V39" t="e">
        <f t="shared" si="1"/>
        <v>#N/A</v>
      </c>
    </row>
    <row r="40" ht="15.5" spans="3:22">
      <c r="C40" s="55"/>
      <c r="D40" s="58"/>
      <c r="E40" s="51"/>
      <c r="L40" s="60"/>
      <c r="M40" s="60"/>
      <c r="N40" s="60" t="s">
        <v>676</v>
      </c>
      <c r="O40" s="60"/>
      <c r="P40" s="60"/>
      <c r="Q40" s="60">
        <v>50</v>
      </c>
      <c r="R40" s="60"/>
      <c r="T40" s="53">
        <v>100110</v>
      </c>
      <c r="U40" s="54" t="s">
        <v>677</v>
      </c>
      <c r="V40" t="e">
        <f t="shared" si="1"/>
        <v>#N/A</v>
      </c>
    </row>
    <row r="41" ht="15.5" spans="3:22">
      <c r="C41" s="55">
        <v>95410101</v>
      </c>
      <c r="D41" s="50" t="s">
        <v>243</v>
      </c>
      <c r="E41" s="61" t="s">
        <v>678</v>
      </c>
      <c r="T41" s="53">
        <v>100111</v>
      </c>
      <c r="U41" s="54" t="s">
        <v>679</v>
      </c>
      <c r="V41" t="str">
        <f t="shared" si="1"/>
        <v>海阁</v>
      </c>
    </row>
    <row r="42" ht="15.5" spans="3:22">
      <c r="C42" s="55">
        <v>95410106</v>
      </c>
      <c r="D42" s="50" t="s">
        <v>672</v>
      </c>
      <c r="E42" s="61" t="s">
        <v>678</v>
      </c>
      <c r="L42" s="48" t="s">
        <v>680</v>
      </c>
      <c r="M42" s="48">
        <v>60</v>
      </c>
      <c r="N42" s="37" t="s">
        <v>200</v>
      </c>
      <c r="O42" s="48"/>
      <c r="P42" s="48"/>
      <c r="Q42" s="48">
        <v>15</v>
      </c>
      <c r="R42" s="48">
        <f>SUM(Q42:Q51)</f>
        <v>100</v>
      </c>
      <c r="T42" s="53">
        <v>100112</v>
      </c>
      <c r="U42" s="54" t="s">
        <v>681</v>
      </c>
      <c r="V42" t="str">
        <f t="shared" si="1"/>
        <v>五圣</v>
      </c>
    </row>
    <row r="43" ht="15.5" spans="3:22">
      <c r="C43" s="55">
        <v>95410108</v>
      </c>
      <c r="D43" s="50" t="s">
        <v>247</v>
      </c>
      <c r="E43" s="61" t="s">
        <v>678</v>
      </c>
      <c r="L43" s="48"/>
      <c r="M43" s="48"/>
      <c r="N43" s="48"/>
      <c r="O43" s="48"/>
      <c r="P43" s="48"/>
      <c r="Q43" s="48"/>
      <c r="R43" s="48"/>
      <c r="T43" s="53">
        <v>100113</v>
      </c>
      <c r="U43" s="54" t="s">
        <v>248</v>
      </c>
      <c r="V43" t="str">
        <f t="shared" si="1"/>
        <v>海阁</v>
      </c>
    </row>
    <row r="44" ht="15.5" spans="3:22">
      <c r="C44" s="55">
        <v>95410111</v>
      </c>
      <c r="D44" s="50" t="s">
        <v>679</v>
      </c>
      <c r="E44" s="61" t="s">
        <v>678</v>
      </c>
      <c r="L44" s="48"/>
      <c r="M44" s="48"/>
      <c r="N44" s="48"/>
      <c r="O44" s="48"/>
      <c r="P44" s="48"/>
      <c r="Q44" s="48"/>
      <c r="R44" s="48"/>
      <c r="T44" s="53">
        <v>100114</v>
      </c>
      <c r="U44" s="54" t="s">
        <v>249</v>
      </c>
      <c r="V44" t="str">
        <f t="shared" si="1"/>
        <v>五圣</v>
      </c>
    </row>
    <row r="45" ht="15.5" spans="3:22">
      <c r="C45" s="55">
        <v>95410113</v>
      </c>
      <c r="D45" s="50" t="s">
        <v>248</v>
      </c>
      <c r="E45" s="61" t="s">
        <v>678</v>
      </c>
      <c r="L45" s="48"/>
      <c r="M45" s="48"/>
      <c r="N45" s="48" t="s">
        <v>663</v>
      </c>
      <c r="O45" s="48"/>
      <c r="P45" s="48"/>
      <c r="Q45" s="48">
        <v>10</v>
      </c>
      <c r="R45" s="48"/>
      <c r="T45" s="53">
        <v>100116</v>
      </c>
      <c r="U45" s="54" t="s">
        <v>250</v>
      </c>
      <c r="V45" t="e">
        <f t="shared" si="1"/>
        <v>#N/A</v>
      </c>
    </row>
    <row r="46" ht="15.5" spans="3:22">
      <c r="C46" s="55"/>
      <c r="D46" s="50"/>
      <c r="E46" s="61"/>
      <c r="L46" s="48"/>
      <c r="M46" s="48"/>
      <c r="N46" s="48"/>
      <c r="O46" s="48"/>
      <c r="P46" s="48"/>
      <c r="Q46" s="48"/>
      <c r="R46" s="48"/>
      <c r="T46" s="53">
        <v>100117</v>
      </c>
      <c r="U46" s="54" t="s">
        <v>682</v>
      </c>
      <c r="V46" t="e">
        <f t="shared" si="1"/>
        <v>#N/A</v>
      </c>
    </row>
    <row r="47" ht="15.5" spans="3:22">
      <c r="C47" s="55"/>
      <c r="D47" s="62"/>
      <c r="E47" s="61"/>
      <c r="L47" s="48"/>
      <c r="M47" s="48">
        <v>8</v>
      </c>
      <c r="N47" s="48" t="s">
        <v>235</v>
      </c>
      <c r="O47" s="48"/>
      <c r="P47" s="48"/>
      <c r="Q47" s="48">
        <v>20</v>
      </c>
      <c r="R47" s="48"/>
      <c r="T47" s="53">
        <v>100120</v>
      </c>
      <c r="U47" s="54" t="s">
        <v>251</v>
      </c>
      <c r="V47" t="e">
        <f t="shared" si="1"/>
        <v>#N/A</v>
      </c>
    </row>
    <row r="48" ht="15.5" spans="3:22">
      <c r="C48" s="55"/>
      <c r="D48" s="62"/>
      <c r="E48" s="61"/>
      <c r="L48" s="48"/>
      <c r="M48" s="48"/>
      <c r="N48" s="63" t="s">
        <v>266</v>
      </c>
      <c r="O48" s="63"/>
      <c r="P48" s="63"/>
      <c r="Q48" s="63">
        <v>25</v>
      </c>
      <c r="R48" s="48"/>
      <c r="T48" s="53">
        <v>100121</v>
      </c>
      <c r="U48" s="54" t="s">
        <v>683</v>
      </c>
      <c r="V48" t="e">
        <f t="shared" si="1"/>
        <v>#N/A</v>
      </c>
    </row>
    <row r="49" ht="15.5" spans="3:22">
      <c r="C49" s="55"/>
      <c r="D49" s="62"/>
      <c r="E49" s="61"/>
      <c r="L49" s="48"/>
      <c r="M49" s="48"/>
      <c r="N49" s="63" t="s">
        <v>684</v>
      </c>
      <c r="O49" s="63"/>
      <c r="P49" s="63"/>
      <c r="Q49" s="63">
        <v>10</v>
      </c>
      <c r="R49" s="48"/>
      <c r="T49" s="53">
        <v>100125</v>
      </c>
      <c r="U49" s="54" t="s">
        <v>252</v>
      </c>
      <c r="V49" t="e">
        <f t="shared" si="1"/>
        <v>#N/A</v>
      </c>
    </row>
    <row r="50" ht="15.5" spans="3:22">
      <c r="C50" s="55"/>
      <c r="D50" s="62"/>
      <c r="E50" s="61"/>
      <c r="L50" s="48"/>
      <c r="M50" s="48"/>
      <c r="N50" s="63" t="s">
        <v>665</v>
      </c>
      <c r="O50" s="63"/>
      <c r="P50" s="63"/>
      <c r="Q50" s="63">
        <v>10</v>
      </c>
      <c r="R50" s="48"/>
      <c r="T50" s="53">
        <v>100126</v>
      </c>
      <c r="U50" s="54" t="s">
        <v>253</v>
      </c>
      <c r="V50" t="e">
        <f t="shared" si="1"/>
        <v>#N/A</v>
      </c>
    </row>
    <row r="51" ht="15.5" spans="3:22">
      <c r="C51" s="55">
        <v>95410104</v>
      </c>
      <c r="D51" s="50" t="s">
        <v>669</v>
      </c>
      <c r="E51" s="51" t="s">
        <v>685</v>
      </c>
      <c r="L51" s="48"/>
      <c r="M51" s="48"/>
      <c r="N51" s="63" t="s">
        <v>279</v>
      </c>
      <c r="O51" s="48"/>
      <c r="P51" s="48"/>
      <c r="Q51" s="63">
        <v>10</v>
      </c>
      <c r="R51" s="48"/>
      <c r="T51" s="53">
        <v>100127</v>
      </c>
      <c r="U51" s="54" t="s">
        <v>254</v>
      </c>
      <c r="V51" t="e">
        <f t="shared" si="1"/>
        <v>#N/A</v>
      </c>
    </row>
    <row r="52" ht="15.5" spans="3:22">
      <c r="C52" s="55">
        <v>95410106</v>
      </c>
      <c r="D52" s="50" t="s">
        <v>672</v>
      </c>
      <c r="E52" s="51" t="s">
        <v>685</v>
      </c>
      <c r="T52" s="64">
        <v>100128</v>
      </c>
      <c r="U52" s="65" t="s">
        <v>686</v>
      </c>
      <c r="V52" t="e">
        <f t="shared" si="1"/>
        <v>#N/A</v>
      </c>
    </row>
    <row r="53" ht="15.5" spans="3:22">
      <c r="C53" s="55">
        <v>95410106</v>
      </c>
      <c r="D53" s="50" t="s">
        <v>672</v>
      </c>
      <c r="E53" s="51" t="s">
        <v>685</v>
      </c>
      <c r="T53" s="53">
        <v>100129</v>
      </c>
      <c r="U53" s="54" t="s">
        <v>687</v>
      </c>
      <c r="V53" t="e">
        <f t="shared" si="1"/>
        <v>#N/A</v>
      </c>
    </row>
    <row r="54" ht="15.5" spans="3:22">
      <c r="C54" s="55">
        <v>95410112</v>
      </c>
      <c r="D54" s="50" t="s">
        <v>681</v>
      </c>
      <c r="E54" s="51" t="s">
        <v>685</v>
      </c>
      <c r="T54" s="53">
        <v>100131</v>
      </c>
      <c r="U54" s="54" t="s">
        <v>688</v>
      </c>
      <c r="V54" t="e">
        <f t="shared" si="1"/>
        <v>#N/A</v>
      </c>
    </row>
    <row r="55" ht="15.5" spans="3:22">
      <c r="C55" s="55">
        <v>95410114</v>
      </c>
      <c r="D55" s="50" t="s">
        <v>249</v>
      </c>
      <c r="E55" s="51" t="s">
        <v>685</v>
      </c>
      <c r="T55" s="53">
        <v>100132</v>
      </c>
      <c r="U55" s="54" t="s">
        <v>255</v>
      </c>
      <c r="V55" t="e">
        <f t="shared" si="1"/>
        <v>#N/A</v>
      </c>
    </row>
    <row r="56" ht="15.5" spans="3:22">
      <c r="C56" s="55"/>
      <c r="D56" s="50"/>
      <c r="E56" s="51"/>
      <c r="T56" s="53">
        <v>100133</v>
      </c>
      <c r="U56" s="54" t="s">
        <v>256</v>
      </c>
      <c r="V56" t="e">
        <f t="shared" si="1"/>
        <v>#N/A</v>
      </c>
    </row>
    <row r="57" ht="15.5" spans="3:22">
      <c r="C57" s="55"/>
      <c r="D57" s="57"/>
      <c r="E57" s="51"/>
      <c r="T57" s="53">
        <v>100134</v>
      </c>
      <c r="U57" s="54" t="s">
        <v>257</v>
      </c>
      <c r="V57" t="e">
        <f t="shared" si="1"/>
        <v>#N/A</v>
      </c>
    </row>
    <row r="58" ht="15.5" spans="3:22">
      <c r="C58" s="55"/>
      <c r="D58" s="57"/>
      <c r="E58" s="51"/>
      <c r="T58" s="53">
        <v>100135</v>
      </c>
      <c r="U58" s="54" t="s">
        <v>258</v>
      </c>
      <c r="V58" t="e">
        <f t="shared" si="1"/>
        <v>#N/A</v>
      </c>
    </row>
    <row r="59" ht="15.5" spans="3:22">
      <c r="C59" s="55"/>
      <c r="D59" s="57"/>
      <c r="E59" s="51"/>
      <c r="T59" s="53">
        <v>100136</v>
      </c>
      <c r="U59" s="54" t="s">
        <v>259</v>
      </c>
      <c r="V59" t="e">
        <f t="shared" si="1"/>
        <v>#N/A</v>
      </c>
    </row>
    <row r="60" ht="15.5" spans="3:22">
      <c r="C60" s="55"/>
      <c r="D60" s="57"/>
      <c r="E60" s="51"/>
      <c r="T60" s="53">
        <v>100137</v>
      </c>
      <c r="U60" s="54" t="s">
        <v>260</v>
      </c>
      <c r="V60" t="e">
        <f t="shared" si="1"/>
        <v>#N/A</v>
      </c>
    </row>
    <row r="61" spans="3:22">
      <c r="T61" s="53">
        <v>100138</v>
      </c>
      <c r="U61" s="54" t="s">
        <v>261</v>
      </c>
      <c r="V61" t="e">
        <f t="shared" si="1"/>
        <v>#N/A</v>
      </c>
    </row>
    <row r="62" spans="3:22">
      <c r="T62" s="53">
        <v>100139</v>
      </c>
      <c r="U62" s="54" t="s">
        <v>264</v>
      </c>
      <c r="V62" t="e">
        <f t="shared" si="1"/>
        <v>#N/A</v>
      </c>
    </row>
    <row r="63" spans="3:22">
      <c r="T63" s="53">
        <v>100141</v>
      </c>
      <c r="U63" s="54" t="s">
        <v>689</v>
      </c>
      <c r="V63" t="e">
        <f t="shared" si="1"/>
        <v>#N/A</v>
      </c>
    </row>
    <row r="64" spans="3:22">
      <c r="T64" s="53">
        <v>100142</v>
      </c>
      <c r="U64" s="54" t="s">
        <v>690</v>
      </c>
      <c r="V64" t="e">
        <f t="shared" si="1"/>
        <v>#N/A</v>
      </c>
    </row>
    <row r="65" spans="20:22">
      <c r="T65" s="53">
        <v>100143</v>
      </c>
      <c r="U65" s="54" t="s">
        <v>691</v>
      </c>
      <c r="V65" t="e">
        <f t="shared" si="1"/>
        <v>#N/A</v>
      </c>
    </row>
    <row r="66" spans="20:22">
      <c r="T66" s="53">
        <v>100144</v>
      </c>
      <c r="U66" s="54" t="s">
        <v>262</v>
      </c>
      <c r="V66" t="e">
        <f t="shared" si="1"/>
        <v>#N/A</v>
      </c>
    </row>
    <row r="67" spans="20:22">
      <c r="T67" s="53">
        <v>100148</v>
      </c>
      <c r="U67" s="54" t="s">
        <v>263</v>
      </c>
      <c r="V67" t="e">
        <f t="shared" si="1"/>
        <v>#N/A</v>
      </c>
    </row>
    <row r="68" spans="20:22">
      <c r="T68" s="53">
        <v>100134</v>
      </c>
      <c r="U68" s="54" t="s">
        <v>257</v>
      </c>
      <c r="V68" t="e">
        <f t="shared" si="1"/>
        <v>#N/A</v>
      </c>
    </row>
    <row r="69" spans="20:22">
      <c r="T69" s="53">
        <v>100135</v>
      </c>
      <c r="U69" s="54" t="s">
        <v>258</v>
      </c>
      <c r="V69" t="e">
        <f t="shared" si="1"/>
        <v>#N/A</v>
      </c>
    </row>
    <row r="70" spans="20:22">
      <c r="T70" s="53">
        <v>100136</v>
      </c>
      <c r="U70" s="54" t="s">
        <v>259</v>
      </c>
      <c r="V70" t="e">
        <f t="shared" si="1"/>
        <v>#N/A</v>
      </c>
    </row>
    <row r="71" spans="20:22">
      <c r="T71" s="53">
        <v>100137</v>
      </c>
      <c r="U71" s="54" t="s">
        <v>260</v>
      </c>
      <c r="V71" t="e">
        <f t="shared" si="1"/>
        <v>#N/A</v>
      </c>
    </row>
    <row r="72" spans="20:22">
      <c r="T72" s="53">
        <v>100138</v>
      </c>
      <c r="U72" s="54" t="s">
        <v>261</v>
      </c>
      <c r="V72" t="e">
        <f t="shared" si="1"/>
        <v>#N/A</v>
      </c>
    </row>
    <row r="73" spans="20:22">
      <c r="T73" s="53">
        <v>100139</v>
      </c>
      <c r="U73" s="54" t="s">
        <v>264</v>
      </c>
      <c r="V73" t="e">
        <f t="shared" si="1"/>
        <v>#N/A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869"/>
  <sheetViews>
    <sheetView topLeftCell="A692" workbookViewId="0">
      <selection activeCell="G697" sqref="G697"/>
    </sheetView>
  </sheetViews>
  <sheetFormatPr defaultColWidth="9" defaultRowHeight="14"/>
  <cols>
    <col min="2" max="2" width="14.775" customWidth="1"/>
    <col min="10" max="10" width="20.2166666666667" customWidth="1"/>
    <col min="11" max="11" width="12.775" customWidth="1"/>
  </cols>
  <sheetData>
    <row r="1" ht="15" spans="1:18">
      <c r="J1" s="1" t="s">
        <v>692</v>
      </c>
      <c r="K1" s="2" t="s">
        <v>10</v>
      </c>
    </row>
    <row r="2" ht="15" hidden="1" spans="1:18">
      <c r="A2">
        <v>100101</v>
      </c>
      <c r="B2" t="s">
        <v>243</v>
      </c>
      <c r="C2" t="s">
        <v>666</v>
      </c>
      <c r="J2" s="3" t="s">
        <v>198</v>
      </c>
      <c r="K2" s="4">
        <v>95101011</v>
      </c>
      <c r="N2" s="5" t="s">
        <v>278</v>
      </c>
      <c r="O2">
        <v>1</v>
      </c>
      <c r="Q2" s="6" t="s">
        <v>356</v>
      </c>
      <c r="R2">
        <f>VLOOKUP(Q2,$N:$O,2,0)</f>
        <v>1</v>
      </c>
    </row>
    <row r="3" ht="15" hidden="1" spans="1:18">
      <c r="A3">
        <v>100102</v>
      </c>
      <c r="B3" t="s">
        <v>667</v>
      </c>
      <c r="C3" t="s">
        <v>666</v>
      </c>
      <c r="J3" s="3" t="s">
        <v>198</v>
      </c>
      <c r="K3" s="4">
        <v>95101012</v>
      </c>
      <c r="N3" s="5" t="s">
        <v>281</v>
      </c>
      <c r="O3">
        <v>1</v>
      </c>
      <c r="Q3" s="7" t="s">
        <v>357</v>
      </c>
      <c r="R3">
        <f>VLOOKUP(Q3,$N:$O,2,0)</f>
        <v>1</v>
      </c>
    </row>
    <row r="4" ht="15" hidden="1" spans="1:18">
      <c r="A4">
        <v>100101</v>
      </c>
      <c r="B4" t="s">
        <v>243</v>
      </c>
      <c r="C4" t="e">
        <v>#N/A</v>
      </c>
      <c r="J4" s="3" t="s">
        <v>198</v>
      </c>
      <c r="K4" s="4">
        <v>95101013</v>
      </c>
      <c r="N4" s="5" t="s">
        <v>283</v>
      </c>
      <c r="O4">
        <v>1</v>
      </c>
      <c r="Q4" s="7" t="s">
        <v>358</v>
      </c>
      <c r="R4">
        <f t="shared" ref="R4:R67" si="0">VLOOKUP(Q4,$N:$O,2,0)</f>
        <v>1</v>
      </c>
    </row>
    <row r="5" ht="15" hidden="1" spans="1:18">
      <c r="A5">
        <v>100102</v>
      </c>
      <c r="B5" t="s">
        <v>667</v>
      </c>
      <c r="C5" t="s">
        <v>685</v>
      </c>
      <c r="J5" s="3" t="s">
        <v>198</v>
      </c>
      <c r="K5" s="4">
        <v>95101014</v>
      </c>
      <c r="N5" s="5" t="s">
        <v>285</v>
      </c>
      <c r="O5">
        <v>1</v>
      </c>
      <c r="Q5" s="7" t="s">
        <v>278</v>
      </c>
      <c r="R5">
        <f t="shared" si="0"/>
        <v>1</v>
      </c>
    </row>
    <row r="6" ht="15" hidden="1" spans="1:18">
      <c r="A6">
        <v>100103</v>
      </c>
      <c r="B6" t="s">
        <v>245</v>
      </c>
      <c r="C6" t="e">
        <v>#N/A</v>
      </c>
      <c r="J6" s="3" t="s">
        <v>198</v>
      </c>
      <c r="K6" s="4">
        <v>95101015</v>
      </c>
      <c r="N6" s="5" t="s">
        <v>287</v>
      </c>
      <c r="O6">
        <v>1</v>
      </c>
      <c r="Q6" s="7" t="s">
        <v>281</v>
      </c>
      <c r="R6">
        <f t="shared" si="0"/>
        <v>1</v>
      </c>
    </row>
    <row r="7" ht="15" hidden="1" spans="1:18">
      <c r="A7">
        <v>100104</v>
      </c>
      <c r="B7" t="s">
        <v>669</v>
      </c>
      <c r="C7" t="s">
        <v>678</v>
      </c>
      <c r="J7" s="3" t="str">
        <f t="shared" ref="J7:J8" si="1">J6</f>
        <v>千锻拳势</v>
      </c>
      <c r="K7" s="8">
        <f>K6+1</f>
        <v>95101016</v>
      </c>
      <c r="N7" s="5" t="s">
        <v>289</v>
      </c>
      <c r="O7">
        <v>1</v>
      </c>
      <c r="Q7" s="9" t="s">
        <v>283</v>
      </c>
      <c r="R7">
        <f t="shared" si="0"/>
        <v>1</v>
      </c>
    </row>
    <row r="8" ht="15" hidden="1" spans="1:18">
      <c r="A8">
        <v>100105</v>
      </c>
      <c r="B8" t="s">
        <v>671</v>
      </c>
      <c r="C8" t="s">
        <v>666</v>
      </c>
      <c r="J8" s="3" t="str">
        <f t="shared" si="1"/>
        <v>千锻拳势</v>
      </c>
      <c r="K8" s="8">
        <f>K7+1</f>
        <v>95101017</v>
      </c>
      <c r="N8" s="5" t="s">
        <v>291</v>
      </c>
      <c r="O8">
        <v>1</v>
      </c>
      <c r="Q8" s="7" t="s">
        <v>285</v>
      </c>
      <c r="R8">
        <f t="shared" si="0"/>
        <v>1</v>
      </c>
    </row>
    <row r="9" ht="15" hidden="1" spans="1:18">
      <c r="A9">
        <v>100106</v>
      </c>
      <c r="B9" t="s">
        <v>672</v>
      </c>
      <c r="C9" t="s">
        <v>666</v>
      </c>
      <c r="J9" s="10" t="str">
        <f>J6&amp;"（上册）"</f>
        <v>千锻拳势（上册）</v>
      </c>
      <c r="K9" s="11">
        <f>K8+1</f>
        <v>95101018</v>
      </c>
      <c r="N9" s="5" t="s">
        <v>293</v>
      </c>
      <c r="O9">
        <v>1</v>
      </c>
      <c r="Q9" s="12" t="s">
        <v>287</v>
      </c>
      <c r="R9">
        <f t="shared" si="0"/>
        <v>1</v>
      </c>
    </row>
    <row r="10" ht="15" hidden="1" spans="1:18">
      <c r="A10">
        <v>100107</v>
      </c>
      <c r="B10" t="s">
        <v>246</v>
      </c>
      <c r="C10" t="e">
        <v>#N/A</v>
      </c>
      <c r="J10" s="10" t="str">
        <f>J6&amp;"（下册）"</f>
        <v>千锻拳势（下册）</v>
      </c>
      <c r="K10" s="11">
        <f t="shared" ref="K10:K11" si="2">K9+1</f>
        <v>95101019</v>
      </c>
      <c r="N10" s="5" t="s">
        <v>295</v>
      </c>
      <c r="O10">
        <v>1</v>
      </c>
      <c r="Q10" s="6" t="s">
        <v>289</v>
      </c>
      <c r="R10">
        <f t="shared" si="0"/>
        <v>1</v>
      </c>
    </row>
    <row r="11" ht="15" hidden="1" spans="1:18">
      <c r="A11">
        <v>100108</v>
      </c>
      <c r="B11" t="s">
        <v>247</v>
      </c>
      <c r="C11" t="e">
        <v>#N/A</v>
      </c>
      <c r="J11" s="10" t="str">
        <f>J6&amp;"（全本）"</f>
        <v>千锻拳势（全本）</v>
      </c>
      <c r="K11" s="11">
        <f t="shared" si="2"/>
        <v>95101020</v>
      </c>
      <c r="N11" s="5" t="s">
        <v>297</v>
      </c>
      <c r="O11">
        <v>1</v>
      </c>
      <c r="Q11" s="7" t="s">
        <v>291</v>
      </c>
      <c r="R11">
        <f t="shared" si="0"/>
        <v>1</v>
      </c>
    </row>
    <row r="12" ht="15" hidden="1" spans="1:18">
      <c r="A12">
        <v>100109</v>
      </c>
      <c r="B12" t="s">
        <v>675</v>
      </c>
      <c r="C12" t="s">
        <v>678</v>
      </c>
      <c r="J12" s="3" t="s">
        <v>201</v>
      </c>
      <c r="K12" s="4">
        <v>95101021</v>
      </c>
      <c r="N12" s="5" t="s">
        <v>299</v>
      </c>
      <c r="O12">
        <v>1</v>
      </c>
      <c r="Q12" s="7" t="s">
        <v>293</v>
      </c>
      <c r="R12">
        <f t="shared" si="0"/>
        <v>1</v>
      </c>
    </row>
    <row r="13" ht="15" hidden="1" spans="1:18">
      <c r="A13">
        <v>100110</v>
      </c>
      <c r="B13" t="s">
        <v>677</v>
      </c>
      <c r="C13" t="s">
        <v>685</v>
      </c>
      <c r="J13" s="3" t="s">
        <v>201</v>
      </c>
      <c r="K13" s="4">
        <v>95101022</v>
      </c>
      <c r="N13" s="5" t="s">
        <v>301</v>
      </c>
      <c r="O13">
        <v>1</v>
      </c>
      <c r="Q13" s="7" t="s">
        <v>295</v>
      </c>
      <c r="R13">
        <f t="shared" si="0"/>
        <v>1</v>
      </c>
    </row>
    <row r="14" ht="15" spans="1:18">
      <c r="A14">
        <v>100111</v>
      </c>
      <c r="B14" t="s">
        <v>679</v>
      </c>
      <c r="C14" t="s">
        <v>666</v>
      </c>
      <c r="J14" s="3" t="s">
        <v>201</v>
      </c>
      <c r="K14" s="4">
        <v>95101023</v>
      </c>
      <c r="N14" s="5" t="s">
        <v>303</v>
      </c>
      <c r="O14">
        <v>1</v>
      </c>
      <c r="Q14" s="13" t="s">
        <v>400</v>
      </c>
      <c r="R14" t="e">
        <f t="shared" si="0"/>
        <v>#N/A</v>
      </c>
    </row>
    <row r="15" ht="15" spans="1:18">
      <c r="A15">
        <v>100112</v>
      </c>
      <c r="B15" t="s">
        <v>681</v>
      </c>
      <c r="C15" t="s">
        <v>666</v>
      </c>
      <c r="J15" s="3" t="s">
        <v>201</v>
      </c>
      <c r="K15" s="4">
        <v>95101024</v>
      </c>
      <c r="N15" s="5" t="s">
        <v>305</v>
      </c>
      <c r="O15">
        <v>1</v>
      </c>
      <c r="Q15" s="13" t="s">
        <v>401</v>
      </c>
      <c r="R15" t="e">
        <f t="shared" si="0"/>
        <v>#N/A</v>
      </c>
    </row>
    <row r="16" ht="15" spans="1:18">
      <c r="A16">
        <v>100113</v>
      </c>
      <c r="B16" t="s">
        <v>248</v>
      </c>
      <c r="C16" t="e">
        <v>#N/A</v>
      </c>
      <c r="J16" s="3" t="s">
        <v>201</v>
      </c>
      <c r="K16" s="4">
        <v>95101025</v>
      </c>
      <c r="N16" s="5" t="s">
        <v>307</v>
      </c>
      <c r="O16">
        <v>1</v>
      </c>
      <c r="Q16" s="7" t="s">
        <v>402</v>
      </c>
      <c r="R16" t="e">
        <f t="shared" si="0"/>
        <v>#N/A</v>
      </c>
    </row>
    <row r="17" ht="15" spans="1:18">
      <c r="A17">
        <v>100114</v>
      </c>
      <c r="B17" t="s">
        <v>249</v>
      </c>
      <c r="C17" t="e">
        <v>#N/A</v>
      </c>
      <c r="J17" s="3" t="str">
        <f t="shared" ref="J17:J18" si="3">J16</f>
        <v>伏阳开碑拳</v>
      </c>
      <c r="K17" s="8">
        <f>K16+1</f>
        <v>95101026</v>
      </c>
      <c r="N17" s="5" t="s">
        <v>309</v>
      </c>
      <c r="O17">
        <v>1</v>
      </c>
      <c r="Q17" s="7" t="s">
        <v>403</v>
      </c>
      <c r="R17" t="e">
        <f t="shared" si="0"/>
        <v>#N/A</v>
      </c>
    </row>
    <row r="18" ht="15" spans="1:18">
      <c r="A18">
        <v>100116</v>
      </c>
      <c r="B18" t="s">
        <v>250</v>
      </c>
      <c r="C18" t="e">
        <v>#N/A</v>
      </c>
      <c r="J18" s="3" t="str">
        <f t="shared" si="3"/>
        <v>伏阳开碑拳</v>
      </c>
      <c r="K18" s="8">
        <f>K17+1</f>
        <v>95101027</v>
      </c>
      <c r="N18" s="5" t="s">
        <v>311</v>
      </c>
      <c r="O18">
        <v>1</v>
      </c>
      <c r="Q18" s="7" t="s">
        <v>404</v>
      </c>
      <c r="R18" t="e">
        <f t="shared" si="0"/>
        <v>#N/A</v>
      </c>
    </row>
    <row r="19" ht="15" spans="1:18">
      <c r="A19">
        <v>100117</v>
      </c>
      <c r="B19" t="s">
        <v>682</v>
      </c>
      <c r="C19" t="s">
        <v>666</v>
      </c>
      <c r="J19" s="10" t="str">
        <f>J16&amp;"（上册）"</f>
        <v>伏阳开碑拳（上册）</v>
      </c>
      <c r="K19" s="11">
        <f>K18+1</f>
        <v>95101028</v>
      </c>
      <c r="N19" s="5" t="s">
        <v>313</v>
      </c>
      <c r="O19">
        <v>1</v>
      </c>
      <c r="Q19" s="6" t="s">
        <v>405</v>
      </c>
      <c r="R19" t="e">
        <f t="shared" si="0"/>
        <v>#N/A</v>
      </c>
    </row>
    <row r="20" ht="15" spans="1:18">
      <c r="A20">
        <v>100120</v>
      </c>
      <c r="B20" t="s">
        <v>251</v>
      </c>
      <c r="C20" t="e">
        <v>#N/A</v>
      </c>
      <c r="J20" s="10" t="str">
        <f>J16&amp;"（下册）"</f>
        <v>伏阳开碑拳（下册）</v>
      </c>
      <c r="K20" s="11">
        <f t="shared" ref="K20:K21" si="4">K19+1</f>
        <v>95101029</v>
      </c>
      <c r="N20" s="5" t="s">
        <v>315</v>
      </c>
      <c r="O20">
        <v>1</v>
      </c>
      <c r="Q20" s="7" t="s">
        <v>406</v>
      </c>
      <c r="R20" t="e">
        <f t="shared" si="0"/>
        <v>#N/A</v>
      </c>
    </row>
    <row r="21" ht="15" hidden="1" spans="1:18">
      <c r="A21">
        <v>100121</v>
      </c>
      <c r="B21" t="s">
        <v>683</v>
      </c>
      <c r="C21" t="s">
        <v>678</v>
      </c>
      <c r="J21" s="10" t="str">
        <f>J16&amp;"（全本）"</f>
        <v>伏阳开碑拳（全本）</v>
      </c>
      <c r="K21" s="11">
        <f t="shared" si="4"/>
        <v>95101030</v>
      </c>
      <c r="N21" s="5" t="s">
        <v>317</v>
      </c>
      <c r="O21">
        <v>1</v>
      </c>
      <c r="Q21" s="7" t="s">
        <v>359</v>
      </c>
      <c r="R21">
        <f t="shared" si="0"/>
        <v>1</v>
      </c>
    </row>
    <row r="22" ht="15" hidden="1" spans="1:18">
      <c r="A22">
        <v>100125</v>
      </c>
      <c r="B22" t="s">
        <v>252</v>
      </c>
      <c r="C22" t="e">
        <v>#N/A</v>
      </c>
      <c r="J22" s="3" t="s">
        <v>693</v>
      </c>
      <c r="K22" s="4">
        <v>95101031</v>
      </c>
      <c r="N22" s="5" t="s">
        <v>319</v>
      </c>
      <c r="O22">
        <v>1</v>
      </c>
      <c r="Q22" s="7" t="s">
        <v>360</v>
      </c>
      <c r="R22">
        <f t="shared" si="0"/>
        <v>1</v>
      </c>
    </row>
    <row r="23" ht="15" hidden="1" spans="1:18">
      <c r="A23">
        <v>100126</v>
      </c>
      <c r="B23" t="s">
        <v>253</v>
      </c>
      <c r="C23" t="e">
        <v>#N/A</v>
      </c>
      <c r="J23" s="3" t="s">
        <v>693</v>
      </c>
      <c r="K23" s="4">
        <v>95101032</v>
      </c>
      <c r="N23" s="5" t="s">
        <v>321</v>
      </c>
      <c r="O23">
        <v>1</v>
      </c>
      <c r="Q23" s="7" t="s">
        <v>361</v>
      </c>
      <c r="R23">
        <f t="shared" si="0"/>
        <v>1</v>
      </c>
    </row>
    <row r="24" ht="15" hidden="1" spans="1:18">
      <c r="A24">
        <v>100127</v>
      </c>
      <c r="B24" t="s">
        <v>254</v>
      </c>
      <c r="C24" t="e">
        <v>#N/A</v>
      </c>
      <c r="J24" s="3" t="s">
        <v>693</v>
      </c>
      <c r="K24" s="4">
        <v>95101033</v>
      </c>
      <c r="N24" s="5" t="s">
        <v>323</v>
      </c>
      <c r="O24">
        <v>1</v>
      </c>
      <c r="Q24" s="7" t="s">
        <v>362</v>
      </c>
      <c r="R24">
        <f t="shared" si="0"/>
        <v>1</v>
      </c>
    </row>
    <row r="25" ht="15" hidden="1" spans="1:18">
      <c r="A25">
        <v>100129</v>
      </c>
      <c r="B25" t="s">
        <v>687</v>
      </c>
      <c r="C25" t="s">
        <v>685</v>
      </c>
      <c r="J25" s="3" t="s">
        <v>693</v>
      </c>
      <c r="K25" s="4">
        <v>95101034</v>
      </c>
      <c r="N25" s="5" t="s">
        <v>325</v>
      </c>
      <c r="O25">
        <v>1</v>
      </c>
      <c r="Q25" s="7" t="s">
        <v>363</v>
      </c>
      <c r="R25">
        <f t="shared" si="0"/>
        <v>1</v>
      </c>
    </row>
    <row r="26" ht="15" hidden="1" spans="1:18">
      <c r="A26">
        <v>100131</v>
      </c>
      <c r="B26" t="s">
        <v>688</v>
      </c>
      <c r="C26" t="s">
        <v>666</v>
      </c>
      <c r="J26" s="3" t="s">
        <v>693</v>
      </c>
      <c r="K26" s="4">
        <v>95101035</v>
      </c>
      <c r="N26" s="5" t="s">
        <v>327</v>
      </c>
      <c r="O26">
        <v>1</v>
      </c>
      <c r="Q26" s="12" t="s">
        <v>364</v>
      </c>
      <c r="R26">
        <f t="shared" si="0"/>
        <v>1</v>
      </c>
    </row>
    <row r="27" ht="15" hidden="1" spans="1:18">
      <c r="A27">
        <v>100132</v>
      </c>
      <c r="B27" t="s">
        <v>255</v>
      </c>
      <c r="C27" t="e">
        <v>#N/A</v>
      </c>
      <c r="J27" s="3" t="str">
        <f t="shared" ref="J27:J28" si="5">J26</f>
        <v>太极拳</v>
      </c>
      <c r="K27" s="8">
        <f>K26+1</f>
        <v>95101036</v>
      </c>
      <c r="N27" s="5" t="s">
        <v>329</v>
      </c>
      <c r="O27">
        <v>1</v>
      </c>
      <c r="Q27" s="6" t="s">
        <v>365</v>
      </c>
      <c r="R27">
        <f t="shared" si="0"/>
        <v>1</v>
      </c>
    </row>
    <row r="28" ht="15" hidden="1" spans="1:18">
      <c r="A28">
        <v>100133</v>
      </c>
      <c r="B28" t="s">
        <v>256</v>
      </c>
      <c r="C28" t="e">
        <v>#N/A</v>
      </c>
      <c r="J28" s="3" t="str">
        <f t="shared" si="5"/>
        <v>太极拳</v>
      </c>
      <c r="K28" s="8">
        <f>K27+1</f>
        <v>95101037</v>
      </c>
      <c r="N28" s="5" t="s">
        <v>331</v>
      </c>
      <c r="O28">
        <v>1</v>
      </c>
      <c r="Q28" s="7" t="s">
        <v>366</v>
      </c>
      <c r="R28">
        <f t="shared" si="0"/>
        <v>1</v>
      </c>
    </row>
    <row r="29" ht="15" hidden="1" spans="1:18">
      <c r="A29">
        <v>100134</v>
      </c>
      <c r="B29" t="s">
        <v>257</v>
      </c>
      <c r="C29" t="e">
        <v>#N/A</v>
      </c>
      <c r="J29" s="10" t="str">
        <f>J26&amp;"（上册）"</f>
        <v>太极拳（上册）</v>
      </c>
      <c r="K29" s="11">
        <f>K28+1</f>
        <v>95101038</v>
      </c>
      <c r="N29" s="5" t="s">
        <v>333</v>
      </c>
      <c r="O29">
        <v>1</v>
      </c>
      <c r="Q29" s="7" t="s">
        <v>367</v>
      </c>
      <c r="R29">
        <f t="shared" si="0"/>
        <v>1</v>
      </c>
    </row>
    <row r="30" ht="15" spans="1:18">
      <c r="A30">
        <v>100135</v>
      </c>
      <c r="B30" t="s">
        <v>258</v>
      </c>
      <c r="C30" t="e">
        <v>#N/A</v>
      </c>
      <c r="J30" s="10" t="str">
        <f>J26&amp;"（下册）"</f>
        <v>太极拳（下册）</v>
      </c>
      <c r="K30" s="11">
        <f t="shared" ref="K30:K31" si="6">K29+1</f>
        <v>95101039</v>
      </c>
      <c r="N30" s="5" t="s">
        <v>335</v>
      </c>
      <c r="O30">
        <v>1</v>
      </c>
      <c r="Q30" s="14" t="s">
        <v>407</v>
      </c>
      <c r="R30" t="e">
        <f t="shared" si="0"/>
        <v>#N/A</v>
      </c>
    </row>
    <row r="31" ht="15" spans="1:18">
      <c r="A31">
        <v>100136</v>
      </c>
      <c r="B31" t="s">
        <v>259</v>
      </c>
      <c r="C31" t="e">
        <v>#N/A</v>
      </c>
      <c r="J31" s="10" t="str">
        <f>J26&amp;"（全本）"</f>
        <v>太极拳（全本）</v>
      </c>
      <c r="K31" s="11">
        <f t="shared" si="6"/>
        <v>95101040</v>
      </c>
      <c r="N31" s="5" t="s">
        <v>337</v>
      </c>
      <c r="O31">
        <v>1</v>
      </c>
      <c r="Q31" s="14" t="s">
        <v>408</v>
      </c>
      <c r="R31" t="e">
        <f t="shared" si="0"/>
        <v>#N/A</v>
      </c>
    </row>
    <row r="32" ht="15" spans="1:18">
      <c r="A32">
        <v>100137</v>
      </c>
      <c r="B32" t="s">
        <v>260</v>
      </c>
      <c r="C32" t="e">
        <v>#N/A</v>
      </c>
      <c r="J32" s="3" t="s">
        <v>202</v>
      </c>
      <c r="K32" s="4">
        <v>95102011</v>
      </c>
      <c r="N32" s="5" t="s">
        <v>339</v>
      </c>
      <c r="O32">
        <v>1</v>
      </c>
      <c r="Q32" s="7" t="s">
        <v>409</v>
      </c>
      <c r="R32" t="e">
        <f t="shared" si="0"/>
        <v>#N/A</v>
      </c>
    </row>
    <row r="33" ht="15" hidden="1" spans="1:18">
      <c r="A33">
        <v>100138</v>
      </c>
      <c r="B33" t="s">
        <v>261</v>
      </c>
      <c r="C33" t="e">
        <v>#N/A</v>
      </c>
      <c r="J33" s="3" t="s">
        <v>202</v>
      </c>
      <c r="K33" s="4">
        <v>95102012</v>
      </c>
      <c r="N33" s="5" t="s">
        <v>341</v>
      </c>
      <c r="O33">
        <v>1</v>
      </c>
      <c r="Q33" s="9" t="s">
        <v>297</v>
      </c>
      <c r="R33">
        <f t="shared" si="0"/>
        <v>1</v>
      </c>
    </row>
    <row r="34" ht="15" hidden="1" spans="1:18">
      <c r="A34">
        <v>100139</v>
      </c>
      <c r="B34" t="s">
        <v>264</v>
      </c>
      <c r="C34" t="s">
        <v>666</v>
      </c>
      <c r="J34" s="3" t="s">
        <v>202</v>
      </c>
      <c r="K34" s="4">
        <v>95102013</v>
      </c>
      <c r="N34" s="5" t="s">
        <v>343</v>
      </c>
      <c r="O34">
        <v>1</v>
      </c>
      <c r="Q34" s="7" t="s">
        <v>299</v>
      </c>
      <c r="R34">
        <f t="shared" si="0"/>
        <v>1</v>
      </c>
    </row>
    <row r="35" ht="15" hidden="1" spans="1:18">
      <c r="A35">
        <v>100141</v>
      </c>
      <c r="B35" t="s">
        <v>689</v>
      </c>
      <c r="C35" t="s">
        <v>678</v>
      </c>
      <c r="J35" s="3" t="s">
        <v>202</v>
      </c>
      <c r="K35" s="4">
        <v>95102014</v>
      </c>
      <c r="N35" s="5" t="s">
        <v>345</v>
      </c>
      <c r="O35">
        <v>1</v>
      </c>
      <c r="Q35" s="7" t="s">
        <v>301</v>
      </c>
      <c r="R35">
        <f t="shared" si="0"/>
        <v>1</v>
      </c>
    </row>
    <row r="36" ht="15" spans="1:18">
      <c r="A36">
        <v>100142</v>
      </c>
      <c r="B36" t="s">
        <v>690</v>
      </c>
      <c r="C36" t="s">
        <v>685</v>
      </c>
      <c r="J36" s="3" t="s">
        <v>202</v>
      </c>
      <c r="K36" s="4">
        <v>95102015</v>
      </c>
      <c r="N36" s="5" t="s">
        <v>347</v>
      </c>
      <c r="O36">
        <v>1</v>
      </c>
      <c r="Q36" s="12" t="s">
        <v>410</v>
      </c>
      <c r="R36" t="e">
        <f t="shared" si="0"/>
        <v>#N/A</v>
      </c>
    </row>
    <row r="37" ht="15" hidden="1" spans="1:18">
      <c r="A37">
        <v>100143</v>
      </c>
      <c r="B37" t="s">
        <v>691</v>
      </c>
      <c r="C37" t="s">
        <v>666</v>
      </c>
      <c r="J37" s="3" t="str">
        <f t="shared" ref="J37:J38" si="7">J36</f>
        <v>凌鸿剑势</v>
      </c>
      <c r="K37" s="8">
        <f>K36+1</f>
        <v>95102016</v>
      </c>
      <c r="N37" s="5" t="s">
        <v>349</v>
      </c>
      <c r="O37">
        <v>1</v>
      </c>
      <c r="Q37" s="6" t="s">
        <v>303</v>
      </c>
      <c r="R37">
        <f t="shared" si="0"/>
        <v>1</v>
      </c>
    </row>
    <row r="38" ht="15" hidden="1" spans="1:18">
      <c r="A38">
        <v>100144</v>
      </c>
      <c r="B38" t="s">
        <v>262</v>
      </c>
      <c r="C38" t="e">
        <v>#N/A</v>
      </c>
      <c r="J38" s="3" t="str">
        <f t="shared" si="7"/>
        <v>凌鸿剑势</v>
      </c>
      <c r="K38" s="8">
        <f>K37+1</f>
        <v>95102017</v>
      </c>
      <c r="N38" s="5" t="s">
        <v>351</v>
      </c>
      <c r="O38">
        <v>1</v>
      </c>
      <c r="Q38" s="7" t="s">
        <v>305</v>
      </c>
      <c r="R38">
        <f t="shared" si="0"/>
        <v>1</v>
      </c>
    </row>
    <row r="39" ht="15" hidden="1" spans="1:18">
      <c r="A39">
        <v>100148</v>
      </c>
      <c r="B39" t="s">
        <v>263</v>
      </c>
      <c r="C39" t="e">
        <v>#N/A</v>
      </c>
      <c r="J39" s="10" t="str">
        <f>J36&amp;"（上册）"</f>
        <v>凌鸿剑势（上册）</v>
      </c>
      <c r="K39" s="11">
        <f>K38+1</f>
        <v>95102018</v>
      </c>
      <c r="N39" s="5" t="s">
        <v>353</v>
      </c>
      <c r="O39">
        <v>1</v>
      </c>
      <c r="Q39" s="7" t="s">
        <v>307</v>
      </c>
      <c r="R39">
        <f t="shared" si="0"/>
        <v>1</v>
      </c>
    </row>
    <row r="40" ht="15" hidden="1" spans="1:18">
      <c r="A40">
        <v>100134</v>
      </c>
      <c r="B40" t="s">
        <v>257</v>
      </c>
      <c r="C40" t="e">
        <v>#N/A</v>
      </c>
      <c r="J40" s="10" t="str">
        <f>J36&amp;"（下册）"</f>
        <v>凌鸿剑势（下册）</v>
      </c>
      <c r="K40" s="11">
        <f t="shared" ref="K40:K41" si="8">K39+1</f>
        <v>95102019</v>
      </c>
      <c r="N40" s="5" t="s">
        <v>355</v>
      </c>
      <c r="O40">
        <v>1</v>
      </c>
      <c r="Q40" s="7" t="s">
        <v>309</v>
      </c>
      <c r="R40">
        <f t="shared" si="0"/>
        <v>1</v>
      </c>
    </row>
    <row r="41" ht="15" hidden="1" spans="1:18">
      <c r="A41">
        <v>100135</v>
      </c>
      <c r="B41" t="s">
        <v>258</v>
      </c>
      <c r="C41" t="e">
        <v>#N/A</v>
      </c>
      <c r="J41" s="10" t="str">
        <f>J36&amp;"（全本）"</f>
        <v>凌鸿剑势（全本）</v>
      </c>
      <c r="K41" s="11">
        <f t="shared" si="8"/>
        <v>95102020</v>
      </c>
      <c r="N41" s="5" t="s">
        <v>356</v>
      </c>
      <c r="O41">
        <v>1</v>
      </c>
      <c r="Q41" s="12" t="s">
        <v>368</v>
      </c>
      <c r="R41">
        <f t="shared" si="0"/>
        <v>1</v>
      </c>
    </row>
    <row r="42" ht="15" spans="1:18">
      <c r="A42">
        <v>100136</v>
      </c>
      <c r="B42" t="s">
        <v>259</v>
      </c>
      <c r="C42" t="e">
        <v>#N/A</v>
      </c>
      <c r="J42" s="3" t="s">
        <v>203</v>
      </c>
      <c r="K42" s="4">
        <v>95102021</v>
      </c>
      <c r="N42" s="5" t="s">
        <v>357</v>
      </c>
      <c r="O42">
        <v>1</v>
      </c>
      <c r="Q42" s="15" t="s">
        <v>411</v>
      </c>
      <c r="R42" t="e">
        <f t="shared" si="0"/>
        <v>#N/A</v>
      </c>
    </row>
    <row r="43" ht="15" spans="1:18">
      <c r="A43">
        <v>100137</v>
      </c>
      <c r="B43" t="s">
        <v>260</v>
      </c>
      <c r="C43" t="e">
        <v>#N/A</v>
      </c>
      <c r="J43" s="3" t="s">
        <v>203</v>
      </c>
      <c r="K43" s="4">
        <v>95102022</v>
      </c>
      <c r="N43" s="5" t="s">
        <v>358</v>
      </c>
      <c r="O43">
        <v>1</v>
      </c>
      <c r="Q43" s="15" t="s">
        <v>412</v>
      </c>
      <c r="R43" t="e">
        <f t="shared" si="0"/>
        <v>#N/A</v>
      </c>
    </row>
    <row r="44" ht="15" hidden="1" spans="1:18">
      <c r="A44">
        <v>100138</v>
      </c>
      <c r="B44" t="s">
        <v>261</v>
      </c>
      <c r="J44" s="3" t="s">
        <v>203</v>
      </c>
      <c r="K44" s="4">
        <v>95102023</v>
      </c>
      <c r="N44" s="5" t="s">
        <v>359</v>
      </c>
      <c r="O44">
        <v>1</v>
      </c>
      <c r="Q44" s="7" t="s">
        <v>311</v>
      </c>
      <c r="R44">
        <f t="shared" si="0"/>
        <v>1</v>
      </c>
    </row>
    <row r="45" ht="15" hidden="1" spans="1:18">
      <c r="A45">
        <v>100139</v>
      </c>
      <c r="B45" t="s">
        <v>264</v>
      </c>
      <c r="J45" s="3" t="s">
        <v>203</v>
      </c>
      <c r="K45" s="4">
        <v>95102024</v>
      </c>
      <c r="N45" s="5" t="s">
        <v>360</v>
      </c>
      <c r="O45">
        <v>1</v>
      </c>
      <c r="Q45" s="7" t="s">
        <v>313</v>
      </c>
      <c r="R45">
        <f t="shared" si="0"/>
        <v>1</v>
      </c>
    </row>
    <row r="46" ht="15" hidden="1" spans="1:18">
      <c r="J46" s="3" t="s">
        <v>203</v>
      </c>
      <c r="K46" s="4">
        <v>95102025</v>
      </c>
      <c r="N46" s="5" t="s">
        <v>361</v>
      </c>
      <c r="O46">
        <v>1</v>
      </c>
      <c r="Q46" s="12" t="s">
        <v>315</v>
      </c>
      <c r="R46">
        <f t="shared" si="0"/>
        <v>1</v>
      </c>
    </row>
    <row r="47" ht="15" hidden="1" spans="1:18">
      <c r="J47" s="3" t="str">
        <f t="shared" ref="J47:J48" si="9">J46</f>
        <v>清风剑法</v>
      </c>
      <c r="K47" s="8">
        <f>K46+1</f>
        <v>95102026</v>
      </c>
      <c r="N47" s="5" t="s">
        <v>362</v>
      </c>
      <c r="O47">
        <v>1</v>
      </c>
      <c r="Q47" s="16" t="s">
        <v>317</v>
      </c>
      <c r="R47">
        <f t="shared" si="0"/>
        <v>1</v>
      </c>
    </row>
    <row r="48" ht="15" hidden="1" spans="1:18">
      <c r="J48" s="3" t="str">
        <f t="shared" si="9"/>
        <v>清风剑法</v>
      </c>
      <c r="K48" s="8">
        <f>K47+1</f>
        <v>95102027</v>
      </c>
      <c r="N48" s="5" t="s">
        <v>363</v>
      </c>
      <c r="O48">
        <v>1</v>
      </c>
      <c r="Q48" s="16" t="s">
        <v>319</v>
      </c>
      <c r="R48">
        <f t="shared" si="0"/>
        <v>1</v>
      </c>
    </row>
    <row r="49" ht="15" hidden="1" spans="10:18">
      <c r="J49" s="10" t="str">
        <f>J46&amp;"（上册）"</f>
        <v>清风剑法（上册）</v>
      </c>
      <c r="K49" s="11">
        <f>K48+1</f>
        <v>95102028</v>
      </c>
      <c r="N49" s="5" t="s">
        <v>364</v>
      </c>
      <c r="O49">
        <v>1</v>
      </c>
      <c r="Q49" s="16" t="s">
        <v>369</v>
      </c>
      <c r="R49">
        <f t="shared" si="0"/>
        <v>1</v>
      </c>
    </row>
    <row r="50" ht="15" hidden="1" spans="10:18">
      <c r="J50" s="10" t="str">
        <f>J46&amp;"（下册）"</f>
        <v>清风剑法（下册）</v>
      </c>
      <c r="K50" s="11">
        <f t="shared" ref="K50:K51" si="10">K49+1</f>
        <v>95102029</v>
      </c>
      <c r="N50" s="5" t="s">
        <v>365</v>
      </c>
      <c r="O50">
        <v>1</v>
      </c>
      <c r="Q50" s="16" t="s">
        <v>323</v>
      </c>
      <c r="R50">
        <f t="shared" si="0"/>
        <v>1</v>
      </c>
    </row>
    <row r="51" ht="15" hidden="1" spans="10:18">
      <c r="J51" s="10" t="str">
        <f>J46&amp;"（全本）"</f>
        <v>清风剑法（全本）</v>
      </c>
      <c r="K51" s="11">
        <f t="shared" si="10"/>
        <v>95102030</v>
      </c>
      <c r="N51" s="5" t="s">
        <v>366</v>
      </c>
      <c r="O51">
        <v>1</v>
      </c>
      <c r="Q51" s="16" t="s">
        <v>325</v>
      </c>
      <c r="R51">
        <f t="shared" si="0"/>
        <v>1</v>
      </c>
    </row>
    <row r="52" ht="15" hidden="1" spans="10:18">
      <c r="J52" s="3" t="s">
        <v>694</v>
      </c>
      <c r="K52" s="4">
        <v>95102031</v>
      </c>
      <c r="N52" s="5" t="s">
        <v>367</v>
      </c>
      <c r="O52">
        <v>1</v>
      </c>
      <c r="Q52" s="16" t="s">
        <v>327</v>
      </c>
      <c r="R52">
        <f t="shared" si="0"/>
        <v>1</v>
      </c>
    </row>
    <row r="53" ht="15" hidden="1" spans="10:18">
      <c r="J53" s="3" t="s">
        <v>694</v>
      </c>
      <c r="K53" s="4">
        <v>95102032</v>
      </c>
      <c r="N53" s="5" t="s">
        <v>368</v>
      </c>
      <c r="O53">
        <v>1</v>
      </c>
      <c r="Q53" s="16" t="s">
        <v>329</v>
      </c>
      <c r="R53">
        <f t="shared" si="0"/>
        <v>1</v>
      </c>
    </row>
    <row r="54" ht="15" hidden="1" spans="10:18">
      <c r="J54" s="3" t="s">
        <v>694</v>
      </c>
      <c r="K54" s="4">
        <v>95102033</v>
      </c>
      <c r="N54" s="5" t="s">
        <v>369</v>
      </c>
      <c r="O54">
        <v>1</v>
      </c>
      <c r="Q54" s="16" t="s">
        <v>331</v>
      </c>
      <c r="R54">
        <f t="shared" si="0"/>
        <v>1</v>
      </c>
    </row>
    <row r="55" ht="15" hidden="1" spans="10:18">
      <c r="J55" s="3" t="s">
        <v>694</v>
      </c>
      <c r="K55" s="4">
        <v>95102034</v>
      </c>
      <c r="N55" s="5" t="s">
        <v>370</v>
      </c>
      <c r="O55">
        <v>1</v>
      </c>
      <c r="Q55" s="16" t="s">
        <v>333</v>
      </c>
      <c r="R55">
        <f t="shared" si="0"/>
        <v>1</v>
      </c>
    </row>
    <row r="56" ht="15" hidden="1" spans="10:18">
      <c r="J56" s="3" t="s">
        <v>694</v>
      </c>
      <c r="K56" s="4">
        <v>95102035</v>
      </c>
      <c r="N56" s="5" t="s">
        <v>371</v>
      </c>
      <c r="O56">
        <v>1</v>
      </c>
      <c r="Q56" s="16" t="s">
        <v>335</v>
      </c>
      <c r="R56">
        <f t="shared" si="0"/>
        <v>1</v>
      </c>
    </row>
    <row r="57" ht="15" hidden="1" spans="10:18">
      <c r="J57" s="3" t="str">
        <f t="shared" ref="J57:J58" si="11">J56</f>
        <v>沧海观澜刀法</v>
      </c>
      <c r="K57" s="8">
        <f>K56+1</f>
        <v>95102036</v>
      </c>
      <c r="N57" s="5" t="s">
        <v>372</v>
      </c>
      <c r="O57">
        <v>1</v>
      </c>
      <c r="Q57" s="16" t="s">
        <v>370</v>
      </c>
      <c r="R57">
        <f t="shared" si="0"/>
        <v>1</v>
      </c>
    </row>
    <row r="58" ht="15" hidden="1" spans="10:18">
      <c r="J58" s="3" t="str">
        <f t="shared" si="11"/>
        <v>沧海观澜刀法</v>
      </c>
      <c r="K58" s="8">
        <f>K57+1</f>
        <v>95102037</v>
      </c>
      <c r="N58" s="5" t="s">
        <v>373</v>
      </c>
      <c r="O58">
        <v>1</v>
      </c>
      <c r="Q58" s="16" t="s">
        <v>337</v>
      </c>
      <c r="R58">
        <f t="shared" si="0"/>
        <v>1</v>
      </c>
    </row>
    <row r="59" ht="15" hidden="1" spans="10:18">
      <c r="J59" s="10" t="str">
        <f>J56&amp;"（上册）"</f>
        <v>沧海观澜刀法（上册）</v>
      </c>
      <c r="K59" s="11">
        <f>K58+1</f>
        <v>95102038</v>
      </c>
      <c r="N59" s="5" t="s">
        <v>374</v>
      </c>
      <c r="O59">
        <v>1</v>
      </c>
      <c r="Q59" s="16" t="s">
        <v>339</v>
      </c>
      <c r="R59">
        <f t="shared" si="0"/>
        <v>1</v>
      </c>
    </row>
    <row r="60" ht="15" hidden="1" spans="10:18">
      <c r="J60" s="10" t="str">
        <f>J56&amp;"（下册）"</f>
        <v>沧海观澜刀法（下册）</v>
      </c>
      <c r="K60" s="11">
        <f t="shared" ref="K60:K61" si="12">K59+1</f>
        <v>95102039</v>
      </c>
      <c r="N60" s="5" t="s">
        <v>375</v>
      </c>
      <c r="O60">
        <v>1</v>
      </c>
      <c r="Q60" s="16" t="s">
        <v>371</v>
      </c>
      <c r="R60">
        <f t="shared" si="0"/>
        <v>1</v>
      </c>
    </row>
    <row r="61" ht="15" hidden="1" spans="10:18">
      <c r="J61" s="10" t="str">
        <f>J56&amp;"（全本）"</f>
        <v>沧海观澜刀法（全本）</v>
      </c>
      <c r="K61" s="11">
        <f t="shared" si="12"/>
        <v>95102040</v>
      </c>
      <c r="N61" s="5" t="s">
        <v>376</v>
      </c>
      <c r="O61">
        <v>1</v>
      </c>
      <c r="Q61" s="16" t="s">
        <v>372</v>
      </c>
      <c r="R61">
        <f t="shared" si="0"/>
        <v>1</v>
      </c>
    </row>
    <row r="62" ht="15" hidden="1" spans="10:18">
      <c r="J62" s="3" t="s">
        <v>695</v>
      </c>
      <c r="K62" s="4">
        <v>95102051</v>
      </c>
      <c r="N62" s="5" t="s">
        <v>377</v>
      </c>
      <c r="O62">
        <v>1</v>
      </c>
      <c r="Q62" s="16" t="s">
        <v>373</v>
      </c>
      <c r="R62">
        <f t="shared" si="0"/>
        <v>1</v>
      </c>
    </row>
    <row r="63" ht="15" hidden="1" spans="10:18">
      <c r="J63" s="3" t="s">
        <v>695</v>
      </c>
      <c r="K63" s="4">
        <v>95102052</v>
      </c>
      <c r="N63" s="5" t="s">
        <v>378</v>
      </c>
      <c r="O63">
        <v>1</v>
      </c>
      <c r="Q63" s="16" t="s">
        <v>374</v>
      </c>
      <c r="R63">
        <f t="shared" si="0"/>
        <v>1</v>
      </c>
    </row>
    <row r="64" ht="15" hidden="1" spans="10:18">
      <c r="J64" s="3" t="s">
        <v>695</v>
      </c>
      <c r="K64" s="4">
        <v>95102053</v>
      </c>
      <c r="N64" s="5" t="s">
        <v>379</v>
      </c>
      <c r="O64">
        <v>1</v>
      </c>
      <c r="Q64" s="16" t="s">
        <v>375</v>
      </c>
      <c r="R64">
        <f t="shared" si="0"/>
        <v>1</v>
      </c>
    </row>
    <row r="65" ht="15" hidden="1" spans="10:18">
      <c r="J65" s="3" t="s">
        <v>695</v>
      </c>
      <c r="K65" s="4">
        <v>95102054</v>
      </c>
      <c r="N65" s="5" t="s">
        <v>380</v>
      </c>
      <c r="O65">
        <v>1</v>
      </c>
      <c r="Q65" s="16" t="s">
        <v>376</v>
      </c>
      <c r="R65">
        <f t="shared" si="0"/>
        <v>1</v>
      </c>
    </row>
    <row r="66" ht="15" hidden="1" spans="10:18">
      <c r="J66" s="3" t="s">
        <v>695</v>
      </c>
      <c r="K66" s="4">
        <v>95102055</v>
      </c>
      <c r="N66" s="5" t="s">
        <v>381</v>
      </c>
      <c r="O66">
        <v>1</v>
      </c>
      <c r="Q66" s="16" t="s">
        <v>341</v>
      </c>
      <c r="R66">
        <f t="shared" si="0"/>
        <v>1</v>
      </c>
    </row>
    <row r="67" ht="15" hidden="1" spans="10:18">
      <c r="J67" s="3" t="str">
        <f t="shared" ref="J67:J68" si="13">J66</f>
        <v>两仪剑法</v>
      </c>
      <c r="K67" s="8">
        <f>K66+1</f>
        <v>95102056</v>
      </c>
      <c r="N67" s="5" t="s">
        <v>382</v>
      </c>
      <c r="O67">
        <v>1</v>
      </c>
      <c r="Q67" s="16" t="s">
        <v>377</v>
      </c>
      <c r="R67">
        <f t="shared" si="0"/>
        <v>1</v>
      </c>
    </row>
    <row r="68" ht="15" hidden="1" spans="10:18">
      <c r="J68" s="3" t="str">
        <f t="shared" si="13"/>
        <v>两仪剑法</v>
      </c>
      <c r="K68" s="8">
        <f>K67+1</f>
        <v>95102057</v>
      </c>
      <c r="N68" s="5" t="s">
        <v>383</v>
      </c>
      <c r="O68">
        <v>1</v>
      </c>
      <c r="Q68" s="16" t="s">
        <v>343</v>
      </c>
      <c r="R68">
        <f t="shared" ref="R68:R115" si="14">VLOOKUP(Q68,$N:$O,2,0)</f>
        <v>1</v>
      </c>
    </row>
    <row r="69" ht="15" hidden="1" spans="10:18">
      <c r="J69" s="10" t="str">
        <f>J66&amp;"（上册）"</f>
        <v>两仪剑法（上册）</v>
      </c>
      <c r="K69" s="11">
        <f>K68+1</f>
        <v>95102058</v>
      </c>
      <c r="N69" s="5" t="s">
        <v>384</v>
      </c>
      <c r="O69">
        <v>1</v>
      </c>
      <c r="Q69" s="16" t="s">
        <v>345</v>
      </c>
      <c r="R69">
        <f t="shared" si="14"/>
        <v>1</v>
      </c>
    </row>
    <row r="70" ht="15" hidden="1" spans="10:18">
      <c r="J70" s="10" t="str">
        <f>J66&amp;"（下册）"</f>
        <v>两仪剑法（下册）</v>
      </c>
      <c r="K70" s="11">
        <f t="shared" ref="K70:K71" si="15">K69+1</f>
        <v>95102059</v>
      </c>
      <c r="N70" s="5" t="s">
        <v>385</v>
      </c>
      <c r="O70">
        <v>1</v>
      </c>
      <c r="Q70" s="16" t="s">
        <v>378</v>
      </c>
      <c r="R70">
        <f t="shared" si="14"/>
        <v>1</v>
      </c>
    </row>
    <row r="71" ht="15" hidden="1" spans="10:18">
      <c r="J71" s="10" t="str">
        <f>J66&amp;"（全本）"</f>
        <v>两仪剑法（全本）</v>
      </c>
      <c r="K71" s="11">
        <f t="shared" si="15"/>
        <v>95102060</v>
      </c>
      <c r="N71" s="5" t="s">
        <v>386</v>
      </c>
      <c r="O71">
        <v>1</v>
      </c>
      <c r="Q71" s="16" t="s">
        <v>379</v>
      </c>
      <c r="R71">
        <f t="shared" si="14"/>
        <v>1</v>
      </c>
    </row>
    <row r="72" ht="15" hidden="1" spans="10:18">
      <c r="J72" s="3" t="s">
        <v>696</v>
      </c>
      <c r="K72" s="4">
        <v>95102061</v>
      </c>
      <c r="N72" s="5" t="s">
        <v>387</v>
      </c>
      <c r="O72">
        <v>1</v>
      </c>
      <c r="Q72" s="16" t="s">
        <v>347</v>
      </c>
      <c r="R72">
        <f t="shared" si="14"/>
        <v>1</v>
      </c>
    </row>
    <row r="73" ht="15" hidden="1" spans="10:18">
      <c r="J73" s="3" t="s">
        <v>696</v>
      </c>
      <c r="K73" s="4">
        <v>95102062</v>
      </c>
      <c r="N73" s="5" t="s">
        <v>388</v>
      </c>
      <c r="O73">
        <v>1</v>
      </c>
      <c r="Q73" s="16" t="s">
        <v>349</v>
      </c>
      <c r="R73">
        <f t="shared" si="14"/>
        <v>1</v>
      </c>
    </row>
    <row r="74" ht="15" hidden="1" spans="10:18">
      <c r="J74" s="3" t="s">
        <v>696</v>
      </c>
      <c r="K74" s="4">
        <v>95102063</v>
      </c>
      <c r="N74" s="5" t="s">
        <v>389</v>
      </c>
      <c r="O74">
        <v>1</v>
      </c>
      <c r="Q74" s="16" t="s">
        <v>351</v>
      </c>
      <c r="R74">
        <f t="shared" si="14"/>
        <v>1</v>
      </c>
    </row>
    <row r="75" ht="15" hidden="1" spans="10:18">
      <c r="J75" s="3" t="s">
        <v>696</v>
      </c>
      <c r="K75" s="4">
        <v>95102064</v>
      </c>
      <c r="N75" s="5" t="s">
        <v>390</v>
      </c>
      <c r="O75">
        <v>1</v>
      </c>
      <c r="Q75" s="16" t="s">
        <v>353</v>
      </c>
      <c r="R75">
        <f t="shared" si="14"/>
        <v>1</v>
      </c>
    </row>
    <row r="76" ht="15" hidden="1" spans="10:18">
      <c r="J76" s="3" t="s">
        <v>696</v>
      </c>
      <c r="K76" s="4">
        <v>95102065</v>
      </c>
      <c r="N76" s="5" t="s">
        <v>391</v>
      </c>
      <c r="O76">
        <v>1</v>
      </c>
      <c r="Q76" s="16" t="s">
        <v>355</v>
      </c>
      <c r="R76">
        <f t="shared" si="14"/>
        <v>1</v>
      </c>
    </row>
    <row r="77" ht="15" spans="10:18">
      <c r="J77" s="10" t="s">
        <v>696</v>
      </c>
      <c r="K77" s="17">
        <f>K76+1</f>
        <v>95102066</v>
      </c>
      <c r="N77" s="5" t="s">
        <v>392</v>
      </c>
      <c r="O77">
        <v>1</v>
      </c>
      <c r="Q77" s="16" t="s">
        <v>413</v>
      </c>
      <c r="R77" t="e">
        <f t="shared" si="14"/>
        <v>#N/A</v>
      </c>
    </row>
    <row r="78" ht="15" spans="10:18">
      <c r="J78" s="3" t="str">
        <f>J77</f>
        <v>浮萍剑诀</v>
      </c>
      <c r="K78" s="8">
        <f>K77+1</f>
        <v>95102067</v>
      </c>
      <c r="N78" s="5" t="s">
        <v>393</v>
      </c>
      <c r="O78">
        <v>1</v>
      </c>
      <c r="Q78" s="16" t="s">
        <v>414</v>
      </c>
      <c r="R78" t="e">
        <f t="shared" si="14"/>
        <v>#N/A</v>
      </c>
    </row>
    <row r="79" ht="15" spans="10:18">
      <c r="J79" s="10" t="str">
        <f>J76&amp;"（上册）"</f>
        <v>浮萍剑诀（上册）</v>
      </c>
      <c r="K79" s="11">
        <f>K78+1</f>
        <v>95102068</v>
      </c>
      <c r="N79" s="5" t="s">
        <v>394</v>
      </c>
      <c r="O79">
        <v>1</v>
      </c>
      <c r="Q79" s="16" t="s">
        <v>415</v>
      </c>
      <c r="R79" t="e">
        <f t="shared" si="14"/>
        <v>#N/A</v>
      </c>
    </row>
    <row r="80" ht="15" spans="10:18">
      <c r="J80" s="10" t="str">
        <f>J76&amp;"（下册）"</f>
        <v>浮萍剑诀（下册）</v>
      </c>
      <c r="K80" s="11">
        <f t="shared" ref="K80:K81" si="16">K79+1</f>
        <v>95102069</v>
      </c>
      <c r="N80" s="5" t="s">
        <v>395</v>
      </c>
      <c r="O80">
        <v>1</v>
      </c>
      <c r="Q80" s="16" t="s">
        <v>416</v>
      </c>
      <c r="R80" t="e">
        <f t="shared" si="14"/>
        <v>#N/A</v>
      </c>
    </row>
    <row r="81" ht="15" spans="10:18">
      <c r="J81" s="10" t="str">
        <f>J76&amp;"（全本）"</f>
        <v>浮萍剑诀（全本）</v>
      </c>
      <c r="K81" s="11">
        <f t="shared" si="16"/>
        <v>95102070</v>
      </c>
      <c r="N81" s="5" t="s">
        <v>396</v>
      </c>
      <c r="O81">
        <v>1</v>
      </c>
      <c r="Q81" s="16" t="s">
        <v>417</v>
      </c>
      <c r="R81" t="e">
        <f t="shared" si="14"/>
        <v>#N/A</v>
      </c>
    </row>
    <row r="82" ht="15" spans="10:18">
      <c r="J82" s="3" t="s">
        <v>204</v>
      </c>
      <c r="K82" s="4">
        <v>95103011</v>
      </c>
      <c r="N82" s="5" t="s">
        <v>397</v>
      </c>
      <c r="O82">
        <v>1</v>
      </c>
      <c r="Q82" s="16" t="s">
        <v>418</v>
      </c>
      <c r="R82" t="e">
        <f t="shared" si="14"/>
        <v>#N/A</v>
      </c>
    </row>
    <row r="83" ht="15" spans="10:18">
      <c r="J83" s="3" t="s">
        <v>204</v>
      </c>
      <c r="K83" s="4">
        <v>95103012</v>
      </c>
      <c r="N83" s="5" t="s">
        <v>398</v>
      </c>
      <c r="O83">
        <v>1</v>
      </c>
      <c r="Q83" s="16" t="s">
        <v>419</v>
      </c>
      <c r="R83" t="e">
        <f t="shared" si="14"/>
        <v>#N/A</v>
      </c>
    </row>
    <row r="84" ht="15" spans="10:18">
      <c r="J84" s="3" t="s">
        <v>204</v>
      </c>
      <c r="K84" s="4">
        <v>95103013</v>
      </c>
      <c r="N84" s="5" t="s">
        <v>399</v>
      </c>
      <c r="O84">
        <v>1</v>
      </c>
      <c r="Q84" s="16" t="s">
        <v>420</v>
      </c>
      <c r="R84" t="e">
        <f t="shared" si="14"/>
        <v>#N/A</v>
      </c>
    </row>
    <row r="85" ht="15" hidden="1" spans="10:18">
      <c r="J85" s="3" t="s">
        <v>204</v>
      </c>
      <c r="K85" s="4">
        <v>95103014</v>
      </c>
      <c r="Q85" s="16" t="s">
        <v>380</v>
      </c>
      <c r="R85">
        <f t="shared" si="14"/>
        <v>1</v>
      </c>
    </row>
    <row r="86" ht="15" hidden="1" spans="10:18">
      <c r="J86" s="3" t="s">
        <v>204</v>
      </c>
      <c r="K86" s="4">
        <v>95103015</v>
      </c>
      <c r="Q86" s="16" t="s">
        <v>381</v>
      </c>
      <c r="R86">
        <f t="shared" si="14"/>
        <v>1</v>
      </c>
    </row>
    <row r="87" ht="15" hidden="1" spans="10:18">
      <c r="J87" s="3" t="str">
        <f t="shared" ref="J87:J88" si="17">J86</f>
        <v>斩铁无锋卷</v>
      </c>
      <c r="K87" s="8">
        <f>K86+1</f>
        <v>95103016</v>
      </c>
      <c r="Q87" s="16" t="s">
        <v>382</v>
      </c>
      <c r="R87">
        <f t="shared" si="14"/>
        <v>1</v>
      </c>
    </row>
    <row r="88" ht="15" hidden="1" spans="10:18">
      <c r="J88" s="3" t="str">
        <f t="shared" si="17"/>
        <v>斩铁无锋卷</v>
      </c>
      <c r="K88" s="8">
        <f>K87+1</f>
        <v>95103017</v>
      </c>
      <c r="Q88" s="16" t="s">
        <v>383</v>
      </c>
      <c r="R88">
        <f t="shared" si="14"/>
        <v>1</v>
      </c>
    </row>
    <row r="89" ht="15" hidden="1" spans="10:18">
      <c r="J89" s="10" t="str">
        <f>J86&amp;"（上册）"</f>
        <v>斩铁无锋卷（上册）</v>
      </c>
      <c r="K89" s="11">
        <f>K88+1</f>
        <v>95103018</v>
      </c>
      <c r="Q89" s="16" t="s">
        <v>384</v>
      </c>
      <c r="R89">
        <f t="shared" si="14"/>
        <v>1</v>
      </c>
    </row>
    <row r="90" ht="15" hidden="1" spans="10:18">
      <c r="J90" s="10" t="str">
        <f>J86&amp;"（下册）"</f>
        <v>斩铁无锋卷（下册）</v>
      </c>
      <c r="K90" s="11">
        <f t="shared" ref="K90:K91" si="18">K89+1</f>
        <v>95103019</v>
      </c>
      <c r="Q90" s="16" t="s">
        <v>385</v>
      </c>
      <c r="R90">
        <f t="shared" si="14"/>
        <v>1</v>
      </c>
    </row>
    <row r="91" ht="15" hidden="1" spans="10:18">
      <c r="J91" s="10" t="str">
        <f>J86&amp;"（全本）"</f>
        <v>斩铁无锋卷（全本）</v>
      </c>
      <c r="K91" s="11">
        <f t="shared" si="18"/>
        <v>95103020</v>
      </c>
      <c r="Q91" s="16" t="s">
        <v>386</v>
      </c>
      <c r="R91">
        <f t="shared" si="14"/>
        <v>1</v>
      </c>
    </row>
    <row r="92" ht="15" hidden="1" spans="10:18">
      <c r="J92" s="3" t="s">
        <v>205</v>
      </c>
      <c r="K92" s="4">
        <v>95104011</v>
      </c>
      <c r="Q92" s="16" t="s">
        <v>387</v>
      </c>
      <c r="R92">
        <f t="shared" si="14"/>
        <v>1</v>
      </c>
    </row>
    <row r="93" ht="15" hidden="1" spans="10:18">
      <c r="J93" s="3" t="s">
        <v>205</v>
      </c>
      <c r="K93" s="4">
        <v>95104012</v>
      </c>
      <c r="Q93" s="16" t="s">
        <v>388</v>
      </c>
      <c r="R93">
        <f t="shared" si="14"/>
        <v>1</v>
      </c>
    </row>
    <row r="94" ht="15" spans="10:18">
      <c r="J94" s="3" t="s">
        <v>205</v>
      </c>
      <c r="K94" s="4">
        <v>95104013</v>
      </c>
      <c r="Q94" s="18" t="s">
        <v>421</v>
      </c>
      <c r="R94" t="e">
        <f t="shared" si="14"/>
        <v>#N/A</v>
      </c>
    </row>
    <row r="95" ht="15" spans="10:18">
      <c r="J95" s="3" t="s">
        <v>205</v>
      </c>
      <c r="K95" s="4">
        <v>95104014</v>
      </c>
      <c r="Q95" s="19" t="s">
        <v>422</v>
      </c>
      <c r="R95" t="e">
        <f t="shared" si="14"/>
        <v>#N/A</v>
      </c>
    </row>
    <row r="96" ht="15" spans="10:18">
      <c r="J96" s="3" t="s">
        <v>205</v>
      </c>
      <c r="K96" s="4">
        <v>95104015</v>
      </c>
      <c r="Q96" s="18" t="s">
        <v>423</v>
      </c>
      <c r="R96" t="e">
        <f t="shared" si="14"/>
        <v>#N/A</v>
      </c>
    </row>
    <row r="97" ht="15" spans="10:18">
      <c r="J97" s="3" t="str">
        <f t="shared" ref="J97:J98" si="19">J96</f>
        <v>北顾枪法</v>
      </c>
      <c r="K97" s="8">
        <f>K96+1</f>
        <v>95104016</v>
      </c>
      <c r="Q97" s="19" t="s">
        <v>424</v>
      </c>
      <c r="R97" t="e">
        <f t="shared" si="14"/>
        <v>#N/A</v>
      </c>
    </row>
    <row r="98" ht="15" hidden="1" spans="10:18">
      <c r="J98" s="3" t="str">
        <f t="shared" si="19"/>
        <v>北顾枪法</v>
      </c>
      <c r="K98" s="8">
        <f>K97+1</f>
        <v>95104017</v>
      </c>
      <c r="Q98" s="16" t="s">
        <v>389</v>
      </c>
      <c r="R98">
        <f t="shared" si="14"/>
        <v>1</v>
      </c>
    </row>
    <row r="99" ht="15" hidden="1" spans="10:18">
      <c r="J99" s="10" t="str">
        <f>J96&amp;"（上册）"</f>
        <v>北顾枪法（上册）</v>
      </c>
      <c r="K99" s="11">
        <f>K98+1</f>
        <v>95104018</v>
      </c>
      <c r="Q99" s="16" t="s">
        <v>390</v>
      </c>
      <c r="R99">
        <f t="shared" si="14"/>
        <v>1</v>
      </c>
    </row>
    <row r="100" ht="15" hidden="1" spans="10:18">
      <c r="J100" s="10" t="str">
        <f>J96&amp;"（下册）"</f>
        <v>北顾枪法（下册）</v>
      </c>
      <c r="K100" s="11">
        <f t="shared" ref="K100:K101" si="20">K99+1</f>
        <v>95104019</v>
      </c>
      <c r="Q100" s="16" t="s">
        <v>391</v>
      </c>
      <c r="R100">
        <f t="shared" si="14"/>
        <v>1</v>
      </c>
    </row>
    <row r="101" ht="15" hidden="1" spans="10:18">
      <c r="J101" s="10" t="str">
        <f>J96&amp;"（全本）"</f>
        <v>北顾枪法（全本）</v>
      </c>
      <c r="K101" s="11">
        <f t="shared" si="20"/>
        <v>95104020</v>
      </c>
      <c r="Q101" s="16" t="s">
        <v>392</v>
      </c>
      <c r="R101">
        <f t="shared" si="14"/>
        <v>1</v>
      </c>
    </row>
    <row r="102" ht="15" hidden="1" spans="10:18">
      <c r="J102" s="3" t="s">
        <v>206</v>
      </c>
      <c r="K102" s="4">
        <v>95104021</v>
      </c>
      <c r="Q102" s="16" t="s">
        <v>355</v>
      </c>
      <c r="R102">
        <f t="shared" si="14"/>
        <v>1</v>
      </c>
    </row>
    <row r="103" ht="15.5" hidden="1" spans="10:18">
      <c r="J103" s="3" t="s">
        <v>206</v>
      </c>
      <c r="K103" s="4">
        <v>95104022</v>
      </c>
      <c r="Q103" s="20" t="s">
        <v>393</v>
      </c>
      <c r="R103">
        <f t="shared" si="14"/>
        <v>1</v>
      </c>
    </row>
    <row r="104" ht="15.5" hidden="1" spans="10:18">
      <c r="J104" s="3" t="s">
        <v>206</v>
      </c>
      <c r="K104" s="4">
        <v>95104023</v>
      </c>
      <c r="Q104" s="20" t="s">
        <v>394</v>
      </c>
      <c r="R104">
        <f t="shared" si="14"/>
        <v>1</v>
      </c>
    </row>
    <row r="105" ht="15.5" hidden="1" spans="10:18">
      <c r="J105" s="3" t="s">
        <v>206</v>
      </c>
      <c r="K105" s="4">
        <v>95104024</v>
      </c>
      <c r="Q105" s="20" t="s">
        <v>395</v>
      </c>
      <c r="R105">
        <f t="shared" si="14"/>
        <v>1</v>
      </c>
    </row>
    <row r="106" ht="15.5" hidden="1" spans="10:18">
      <c r="J106" s="3" t="s">
        <v>206</v>
      </c>
      <c r="K106" s="4">
        <v>95104025</v>
      </c>
      <c r="Q106" s="20" t="s">
        <v>396</v>
      </c>
      <c r="R106">
        <f t="shared" si="14"/>
        <v>1</v>
      </c>
    </row>
    <row r="107" ht="15.5" spans="10:18">
      <c r="J107" s="3" t="str">
        <f t="shared" ref="J107:J108" si="21">J106</f>
        <v>玄黄入阵旌</v>
      </c>
      <c r="K107" s="8">
        <f>K106+1</f>
        <v>95104026</v>
      </c>
      <c r="Q107" s="20" t="s">
        <v>425</v>
      </c>
      <c r="R107" t="e">
        <f t="shared" si="14"/>
        <v>#N/A</v>
      </c>
    </row>
    <row r="108" ht="15.5" spans="10:18">
      <c r="J108" s="3" t="str">
        <f t="shared" si="21"/>
        <v>玄黄入阵旌</v>
      </c>
      <c r="K108" s="8">
        <f>K107+1</f>
        <v>95104027</v>
      </c>
      <c r="Q108" s="20" t="s">
        <v>426</v>
      </c>
      <c r="R108" t="e">
        <f t="shared" si="14"/>
        <v>#N/A</v>
      </c>
    </row>
    <row r="109" ht="15.5" spans="10:18">
      <c r="J109" s="10" t="str">
        <f>J106&amp;"（上册）"</f>
        <v>玄黄入阵旌（上册）</v>
      </c>
      <c r="K109" s="11">
        <f>K108+1</f>
        <v>95104028</v>
      </c>
      <c r="Q109" s="20" t="s">
        <v>427</v>
      </c>
      <c r="R109" t="e">
        <f t="shared" si="14"/>
        <v>#N/A</v>
      </c>
    </row>
    <row r="110" ht="15.5" hidden="1" spans="10:18">
      <c r="J110" s="10" t="str">
        <f>J106&amp;"（下册）"</f>
        <v>玄黄入阵旌（下册）</v>
      </c>
      <c r="K110" s="11">
        <f t="shared" ref="K110:K111" si="22">K109+1</f>
        <v>95104029</v>
      </c>
      <c r="Q110" s="20" t="s">
        <v>397</v>
      </c>
      <c r="R110">
        <f t="shared" si="14"/>
        <v>1</v>
      </c>
    </row>
    <row r="111" ht="15.5" hidden="1" spans="10:18">
      <c r="J111" s="10" t="str">
        <f>J106&amp;"（全本）"</f>
        <v>玄黄入阵旌（全本）</v>
      </c>
      <c r="K111" s="11">
        <f t="shared" si="22"/>
        <v>95104030</v>
      </c>
      <c r="Q111" s="20" t="s">
        <v>398</v>
      </c>
      <c r="R111">
        <f t="shared" si="14"/>
        <v>1</v>
      </c>
    </row>
    <row r="112" ht="15.5" hidden="1" spans="10:18">
      <c r="J112" s="3" t="s">
        <v>207</v>
      </c>
      <c r="K112" s="4">
        <v>95104031</v>
      </c>
      <c r="Q112" s="20" t="s">
        <v>399</v>
      </c>
      <c r="R112">
        <f t="shared" si="14"/>
        <v>1</v>
      </c>
    </row>
    <row r="113" ht="15.5" spans="10:18">
      <c r="J113" s="3" t="s">
        <v>207</v>
      </c>
      <c r="K113" s="4">
        <v>95104032</v>
      </c>
      <c r="Q113" s="20" t="s">
        <v>428</v>
      </c>
      <c r="R113" t="e">
        <f t="shared" si="14"/>
        <v>#N/A</v>
      </c>
    </row>
    <row r="114" ht="15.5" spans="10:18">
      <c r="J114" s="3" t="s">
        <v>207</v>
      </c>
      <c r="K114" s="4">
        <v>95104033</v>
      </c>
      <c r="Q114" s="20" t="s">
        <v>429</v>
      </c>
      <c r="R114" t="e">
        <f t="shared" si="14"/>
        <v>#N/A</v>
      </c>
    </row>
    <row r="115" ht="15.5" spans="10:18">
      <c r="J115" s="3" t="s">
        <v>207</v>
      </c>
      <c r="K115" s="4">
        <v>95104034</v>
      </c>
      <c r="Q115" s="20" t="s">
        <v>430</v>
      </c>
      <c r="R115" t="e">
        <f t="shared" si="14"/>
        <v>#N/A</v>
      </c>
    </row>
    <row r="116" ht="15" spans="10:18">
      <c r="J116" s="3" t="s">
        <v>207</v>
      </c>
      <c r="K116" s="4">
        <v>95104035</v>
      </c>
    </row>
    <row r="117" ht="15" spans="10:18">
      <c r="J117" s="3" t="str">
        <f t="shared" ref="J117:J118" si="23">J116</f>
        <v>众相菩提杖</v>
      </c>
      <c r="K117" s="8">
        <f>K116+1</f>
        <v>95104036</v>
      </c>
    </row>
    <row r="118" ht="15" spans="10:18">
      <c r="J118" s="3" t="str">
        <f t="shared" si="23"/>
        <v>众相菩提杖</v>
      </c>
      <c r="K118" s="8">
        <f>K117+1</f>
        <v>95104037</v>
      </c>
    </row>
    <row r="119" ht="15" spans="10:18">
      <c r="J119" s="10" t="str">
        <f>J116&amp;"（上册）"</f>
        <v>众相菩提杖（上册）</v>
      </c>
      <c r="K119" s="11">
        <f>K118+1</f>
        <v>95104038</v>
      </c>
    </row>
    <row r="120" ht="15" spans="10:18">
      <c r="J120" s="10" t="str">
        <f>J116&amp;"（下册）"</f>
        <v>众相菩提杖（下册）</v>
      </c>
      <c r="K120" s="11">
        <f t="shared" ref="K120:K121" si="24">K119+1</f>
        <v>95104039</v>
      </c>
    </row>
    <row r="121" ht="15" spans="10:18">
      <c r="J121" s="10" t="str">
        <f>J116&amp;"（全本）"</f>
        <v>众相菩提杖（全本）</v>
      </c>
      <c r="K121" s="11">
        <f t="shared" si="24"/>
        <v>95104040</v>
      </c>
    </row>
    <row r="122" ht="15" spans="10:18">
      <c r="J122" s="3" t="s">
        <v>697</v>
      </c>
      <c r="K122" s="4">
        <v>95105011</v>
      </c>
    </row>
    <row r="123" ht="15" spans="10:18">
      <c r="J123" s="3" t="s">
        <v>697</v>
      </c>
      <c r="K123" s="4">
        <v>95105012</v>
      </c>
    </row>
    <row r="124" ht="15" spans="10:18">
      <c r="J124" s="3" t="s">
        <v>697</v>
      </c>
      <c r="K124" s="4">
        <v>95105013</v>
      </c>
    </row>
    <row r="125" ht="15" spans="10:18">
      <c r="J125" s="3" t="s">
        <v>697</v>
      </c>
      <c r="K125" s="4">
        <v>95105014</v>
      </c>
    </row>
    <row r="126" ht="15" spans="10:18">
      <c r="J126" s="3" t="s">
        <v>697</v>
      </c>
      <c r="K126" s="4">
        <v>95105015</v>
      </c>
    </row>
    <row r="127" ht="15" spans="10:18">
      <c r="J127" s="3" t="str">
        <f t="shared" ref="J127:J128" si="25">J126</f>
        <v>悲遮扇法</v>
      </c>
      <c r="K127" s="8">
        <f>K126+1</f>
        <v>95105016</v>
      </c>
    </row>
    <row r="128" ht="15" spans="10:18">
      <c r="J128" s="3" t="str">
        <f t="shared" si="25"/>
        <v>悲遮扇法</v>
      </c>
      <c r="K128" s="8">
        <f>K127+1</f>
        <v>95105017</v>
      </c>
    </row>
    <row r="129" ht="15" spans="10:11">
      <c r="J129" s="10" t="str">
        <f>J126&amp;"（上册）"</f>
        <v>悲遮扇法（上册）</v>
      </c>
      <c r="K129" s="11">
        <f>K128+1</f>
        <v>95105018</v>
      </c>
    </row>
    <row r="130" ht="15" spans="10:11">
      <c r="J130" s="10" t="str">
        <f>J126&amp;"（下册）"</f>
        <v>悲遮扇法（下册）</v>
      </c>
      <c r="K130" s="11">
        <f t="shared" ref="K130:K131" si="26">K129+1</f>
        <v>95105019</v>
      </c>
    </row>
    <row r="131" ht="15" spans="10:11">
      <c r="J131" s="10" t="str">
        <f>J126&amp;"（全本）"</f>
        <v>悲遮扇法（全本）</v>
      </c>
      <c r="K131" s="11">
        <f t="shared" si="26"/>
        <v>95105020</v>
      </c>
    </row>
    <row r="132" ht="15" spans="10:11">
      <c r="J132" s="3" t="s">
        <v>214</v>
      </c>
      <c r="K132" s="4">
        <v>95105021</v>
      </c>
    </row>
    <row r="133" ht="15" spans="10:11">
      <c r="J133" s="3" t="s">
        <v>214</v>
      </c>
      <c r="K133" s="4">
        <v>95105022</v>
      </c>
    </row>
    <row r="134" ht="15" spans="10:11">
      <c r="J134" s="3" t="s">
        <v>214</v>
      </c>
      <c r="K134" s="4">
        <v>95105023</v>
      </c>
    </row>
    <row r="135" ht="15" spans="10:11">
      <c r="J135" s="3" t="s">
        <v>214</v>
      </c>
      <c r="K135" s="4">
        <v>95105024</v>
      </c>
    </row>
    <row r="136" ht="15" spans="10:11">
      <c r="J136" s="3" t="s">
        <v>214</v>
      </c>
      <c r="K136" s="4">
        <v>95105025</v>
      </c>
    </row>
    <row r="137" ht="15" spans="10:11">
      <c r="J137" s="3" t="s">
        <v>214</v>
      </c>
      <c r="K137" s="4">
        <v>95105026</v>
      </c>
    </row>
    <row r="138" ht="15" spans="10:11">
      <c r="J138" s="3" t="s">
        <v>214</v>
      </c>
      <c r="K138" s="4">
        <v>95105027</v>
      </c>
    </row>
    <row r="139" ht="15" spans="10:11">
      <c r="J139" s="10" t="str">
        <f>J136&amp;"（上册）"</f>
        <v>小周天扇法（上册）</v>
      </c>
      <c r="K139" s="11">
        <f>K138+1</f>
        <v>95105028</v>
      </c>
    </row>
    <row r="140" ht="15" spans="10:11">
      <c r="J140" s="10" t="str">
        <f>J136&amp;"（下册）"</f>
        <v>小周天扇法（下册）</v>
      </c>
      <c r="K140" s="11">
        <f t="shared" ref="K140:K141" si="27">K139+1</f>
        <v>95105029</v>
      </c>
    </row>
    <row r="141" ht="15" spans="10:11">
      <c r="J141" s="10" t="str">
        <f>J136&amp;"（全本）"</f>
        <v>小周天扇法（全本）</v>
      </c>
      <c r="K141" s="11">
        <f t="shared" si="27"/>
        <v>95105030</v>
      </c>
    </row>
    <row r="142" ht="15" spans="10:11">
      <c r="J142" s="3" t="s">
        <v>208</v>
      </c>
      <c r="K142" s="4">
        <v>95106011</v>
      </c>
    </row>
    <row r="143" ht="15" spans="10:11">
      <c r="J143" s="3" t="s">
        <v>208</v>
      </c>
      <c r="K143" s="4">
        <v>95106012</v>
      </c>
    </row>
    <row r="144" ht="15" spans="10:11">
      <c r="J144" s="3" t="s">
        <v>208</v>
      </c>
      <c r="K144" s="4">
        <v>95106013</v>
      </c>
    </row>
    <row r="145" ht="15" spans="10:11">
      <c r="J145" s="3" t="s">
        <v>208</v>
      </c>
      <c r="K145" s="4">
        <v>95106014</v>
      </c>
    </row>
    <row r="146" ht="15" spans="10:11">
      <c r="J146" s="3" t="s">
        <v>208</v>
      </c>
      <c r="K146" s="4">
        <v>95106015</v>
      </c>
    </row>
    <row r="147" ht="15" spans="10:11">
      <c r="J147" s="3" t="str">
        <f t="shared" ref="J147:J148" si="28">J146</f>
        <v>暴雨梨花刀</v>
      </c>
      <c r="K147" s="8">
        <f>K146+1</f>
        <v>95106016</v>
      </c>
    </row>
    <row r="148" ht="15" spans="10:11">
      <c r="J148" s="3" t="str">
        <f t="shared" si="28"/>
        <v>暴雨梨花刀</v>
      </c>
      <c r="K148" s="8">
        <f>K147+1</f>
        <v>95106017</v>
      </c>
    </row>
    <row r="149" ht="15" spans="10:11">
      <c r="J149" s="10" t="str">
        <f>J146&amp;"（上册）"</f>
        <v>暴雨梨花刀（上册）</v>
      </c>
      <c r="K149" s="11">
        <f>K148+1</f>
        <v>95106018</v>
      </c>
    </row>
    <row r="150" ht="15" spans="10:11">
      <c r="J150" s="10" t="str">
        <f>J146&amp;"（下册）"</f>
        <v>暴雨梨花刀（下册）</v>
      </c>
      <c r="K150" s="11">
        <f t="shared" ref="K150:K151" si="29">K149+1</f>
        <v>95106019</v>
      </c>
    </row>
    <row r="151" ht="15" spans="10:11">
      <c r="J151" s="10" t="str">
        <f>J146&amp;"（全本）"</f>
        <v>暴雨梨花刀（全本）</v>
      </c>
      <c r="K151" s="11">
        <f t="shared" si="29"/>
        <v>95106020</v>
      </c>
    </row>
    <row r="152" ht="15" spans="10:11">
      <c r="J152" s="3" t="s">
        <v>209</v>
      </c>
      <c r="K152" s="4">
        <v>95109011</v>
      </c>
    </row>
    <row r="153" ht="15" spans="10:11">
      <c r="J153" s="3" t="s">
        <v>209</v>
      </c>
      <c r="K153" s="4">
        <v>95109012</v>
      </c>
    </row>
    <row r="154" ht="15" spans="10:11">
      <c r="J154" s="3" t="s">
        <v>209</v>
      </c>
      <c r="K154" s="4">
        <v>95109013</v>
      </c>
    </row>
    <row r="155" ht="15" spans="10:11">
      <c r="J155" s="3" t="s">
        <v>209</v>
      </c>
      <c r="K155" s="4">
        <v>95109014</v>
      </c>
    </row>
    <row r="156" ht="15" spans="10:11">
      <c r="J156" s="3" t="s">
        <v>209</v>
      </c>
      <c r="K156" s="4">
        <v>95109015</v>
      </c>
    </row>
    <row r="157" ht="15" spans="10:11">
      <c r="J157" s="3" t="str">
        <f>J156</f>
        <v>醉饮降龙无双式</v>
      </c>
      <c r="K157" s="8">
        <f>K156+1</f>
        <v>95109016</v>
      </c>
    </row>
    <row r="158" ht="15" spans="10:11">
      <c r="J158" s="3" t="str">
        <f>J157</f>
        <v>醉饮降龙无双式</v>
      </c>
      <c r="K158" s="8">
        <f>K157+1</f>
        <v>95109017</v>
      </c>
    </row>
    <row r="159" ht="15" spans="10:11">
      <c r="J159" s="10" t="str">
        <f>J156&amp;"（上册）"</f>
        <v>醉饮降龙无双式（上册）</v>
      </c>
      <c r="K159" s="11">
        <f>K158+1</f>
        <v>95109018</v>
      </c>
    </row>
    <row r="160" ht="15" spans="10:11">
      <c r="J160" s="10" t="str">
        <f>J156&amp;"（下册）"</f>
        <v>醉饮降龙无双式（下册）</v>
      </c>
      <c r="K160" s="11">
        <f t="shared" ref="K160:K161" si="30">K159+1</f>
        <v>95109019</v>
      </c>
    </row>
    <row r="161" ht="15" spans="10:11">
      <c r="J161" s="10" t="str">
        <f>J156&amp;"（全本）"</f>
        <v>醉饮降龙无双式（全本）</v>
      </c>
      <c r="K161" s="11">
        <f t="shared" si="30"/>
        <v>95109020</v>
      </c>
    </row>
    <row r="162" ht="15" spans="10:11">
      <c r="J162" s="3" t="s">
        <v>215</v>
      </c>
      <c r="K162" s="4">
        <v>95109021</v>
      </c>
    </row>
    <row r="163" ht="15" spans="10:11">
      <c r="J163" s="3" t="s">
        <v>215</v>
      </c>
      <c r="K163" s="4">
        <v>95109022</v>
      </c>
    </row>
    <row r="164" ht="15" spans="10:11">
      <c r="J164" s="3" t="s">
        <v>215</v>
      </c>
      <c r="K164" s="4">
        <v>95109023</v>
      </c>
    </row>
    <row r="165" ht="15" spans="10:11">
      <c r="J165" s="3" t="s">
        <v>215</v>
      </c>
      <c r="K165" s="4">
        <v>95109024</v>
      </c>
    </row>
    <row r="166" ht="15" spans="10:11">
      <c r="J166" s="3" t="s">
        <v>215</v>
      </c>
      <c r="K166" s="4">
        <v>95109025</v>
      </c>
    </row>
    <row r="167" ht="15" spans="10:11">
      <c r="J167" s="3" t="s">
        <v>215</v>
      </c>
      <c r="K167" s="4">
        <v>95109026</v>
      </c>
    </row>
    <row r="168" ht="15" spans="10:11">
      <c r="J168" s="3" t="s">
        <v>215</v>
      </c>
      <c r="K168" s="4">
        <v>95109027</v>
      </c>
    </row>
    <row r="169" ht="15" spans="10:11">
      <c r="J169" s="10" t="str">
        <f>J166&amp;"（上册）"</f>
        <v>踪影孤鸿（上册）</v>
      </c>
      <c r="K169" s="11">
        <f>K168+1</f>
        <v>95109028</v>
      </c>
    </row>
    <row r="170" ht="15" spans="10:11">
      <c r="J170" s="10" t="str">
        <f>J166&amp;"（下册）"</f>
        <v>踪影孤鸿（下册）</v>
      </c>
      <c r="K170" s="11">
        <f t="shared" ref="K170:K171" si="31">K169+1</f>
        <v>95109029</v>
      </c>
    </row>
    <row r="171" ht="15" spans="10:11">
      <c r="J171" s="10" t="str">
        <f>J166&amp;"（全本）"</f>
        <v>踪影孤鸿（全本）</v>
      </c>
      <c r="K171" s="11">
        <f t="shared" si="31"/>
        <v>95109030</v>
      </c>
    </row>
    <row r="172" ht="15" spans="10:11">
      <c r="J172" s="3" t="s">
        <v>210</v>
      </c>
      <c r="K172" s="4">
        <v>95110011</v>
      </c>
    </row>
    <row r="173" ht="15" spans="10:11">
      <c r="J173" s="3" t="s">
        <v>210</v>
      </c>
      <c r="K173" s="4">
        <v>95110012</v>
      </c>
    </row>
    <row r="174" ht="15" spans="10:11">
      <c r="J174" s="3" t="s">
        <v>210</v>
      </c>
      <c r="K174" s="4">
        <v>95110013</v>
      </c>
    </row>
    <row r="175" ht="15" spans="10:11">
      <c r="J175" s="3" t="s">
        <v>210</v>
      </c>
      <c r="K175" s="4">
        <v>95110014</v>
      </c>
    </row>
    <row r="176" ht="15" spans="10:11">
      <c r="J176" s="3" t="s">
        <v>210</v>
      </c>
      <c r="K176" s="4">
        <v>95110015</v>
      </c>
    </row>
    <row r="177" ht="15" spans="10:11">
      <c r="J177" s="3" t="str">
        <f t="shared" ref="J177:J178" si="32">J176</f>
        <v>无心流·拔刀术</v>
      </c>
      <c r="K177" s="8">
        <f>K176+1</f>
        <v>95110016</v>
      </c>
    </row>
    <row r="178" ht="15" spans="10:11">
      <c r="J178" s="3" t="str">
        <f t="shared" si="32"/>
        <v>无心流·拔刀术</v>
      </c>
      <c r="K178" s="8">
        <f>K177+1</f>
        <v>95110017</v>
      </c>
    </row>
    <row r="179" ht="15" spans="10:11">
      <c r="J179" s="10" t="str">
        <f>J176&amp;"（上册）"</f>
        <v>无心流·拔刀术（上册）</v>
      </c>
      <c r="K179" s="11">
        <f>K178+1</f>
        <v>95110018</v>
      </c>
    </row>
    <row r="180" ht="15" spans="10:11">
      <c r="J180" s="10" t="str">
        <f>J176&amp;"（下册）"</f>
        <v>无心流·拔刀术（下册）</v>
      </c>
      <c r="K180" s="11">
        <f t="shared" ref="K180:K181" si="33">K179+1</f>
        <v>95110019</v>
      </c>
    </row>
    <row r="181" ht="15" spans="10:11">
      <c r="J181" s="10" t="str">
        <f>J176&amp;"（全本）"</f>
        <v>无心流·拔刀术（全本）</v>
      </c>
      <c r="K181" s="11">
        <f t="shared" si="33"/>
        <v>95110020</v>
      </c>
    </row>
    <row r="182" ht="15" spans="10:11">
      <c r="J182" s="3" t="s">
        <v>216</v>
      </c>
      <c r="K182" s="4">
        <v>95110021</v>
      </c>
    </row>
    <row r="183" ht="15" spans="10:11">
      <c r="J183" s="3" t="s">
        <v>216</v>
      </c>
      <c r="K183" s="4">
        <v>95110022</v>
      </c>
    </row>
    <row r="184" ht="15" spans="10:11">
      <c r="J184" s="3" t="s">
        <v>216</v>
      </c>
      <c r="K184" s="4">
        <v>95110023</v>
      </c>
    </row>
    <row r="185" ht="15" spans="10:11">
      <c r="J185" s="3" t="s">
        <v>216</v>
      </c>
      <c r="K185" s="4">
        <v>95110024</v>
      </c>
    </row>
    <row r="186" ht="15" spans="10:11">
      <c r="J186" s="3" t="s">
        <v>216</v>
      </c>
      <c r="K186" s="4">
        <v>95110025</v>
      </c>
    </row>
    <row r="187" ht="15" spans="10:11">
      <c r="J187" s="3" t="s">
        <v>216</v>
      </c>
      <c r="K187" s="4">
        <v>95110026</v>
      </c>
    </row>
    <row r="188" ht="15" spans="10:11">
      <c r="J188" s="3" t="s">
        <v>216</v>
      </c>
      <c r="K188" s="4">
        <v>95110027</v>
      </c>
    </row>
    <row r="189" ht="15" spans="10:11">
      <c r="J189" s="10" t="str">
        <f>J186&amp;"（上册）"</f>
        <v>密剑·山中石响（上册）</v>
      </c>
      <c r="K189" s="11">
        <f>K188+1</f>
        <v>95110028</v>
      </c>
    </row>
    <row r="190" ht="15" spans="10:11">
      <c r="J190" s="10" t="str">
        <f>J186&amp;"（下册）"</f>
        <v>密剑·山中石响（下册）</v>
      </c>
      <c r="K190" s="11">
        <f t="shared" ref="K190:K191" si="34">K189+1</f>
        <v>95110029</v>
      </c>
    </row>
    <row r="191" ht="15" spans="10:11">
      <c r="J191" s="10" t="str">
        <f>J186&amp;"（全本）"</f>
        <v>密剑·山中石响（全本）</v>
      </c>
      <c r="K191" s="11">
        <f t="shared" si="34"/>
        <v>95110030</v>
      </c>
    </row>
    <row r="192" ht="15" spans="10:11">
      <c r="J192" s="3" t="s">
        <v>211</v>
      </c>
      <c r="K192" s="4">
        <v>95111011</v>
      </c>
    </row>
    <row r="193" ht="15" spans="10:11">
      <c r="J193" s="3" t="s">
        <v>211</v>
      </c>
      <c r="K193" s="4">
        <v>95111012</v>
      </c>
    </row>
    <row r="194" ht="15" spans="10:11">
      <c r="J194" s="3" t="s">
        <v>211</v>
      </c>
      <c r="K194" s="4">
        <v>95111013</v>
      </c>
    </row>
    <row r="195" ht="15" spans="10:11">
      <c r="J195" s="3" t="s">
        <v>211</v>
      </c>
      <c r="K195" s="4">
        <v>95111014</v>
      </c>
    </row>
    <row r="196" ht="15" spans="10:11">
      <c r="J196" s="3" t="s">
        <v>211</v>
      </c>
      <c r="K196" s="4">
        <v>95111015</v>
      </c>
    </row>
    <row r="197" ht="15" spans="10:11">
      <c r="J197" s="3" t="str">
        <f t="shared" ref="J197:J198" si="35">J196</f>
        <v>流缶金绳镖</v>
      </c>
      <c r="K197" s="8">
        <f>K196+1</f>
        <v>95111016</v>
      </c>
    </row>
    <row r="198" ht="15" spans="10:11">
      <c r="J198" s="3" t="str">
        <f t="shared" si="35"/>
        <v>流缶金绳镖</v>
      </c>
      <c r="K198" s="8">
        <f>K197+1</f>
        <v>95111017</v>
      </c>
    </row>
    <row r="199" ht="15" spans="10:11">
      <c r="J199" s="10" t="str">
        <f>J196&amp;"（上册）"</f>
        <v>流缶金绳镖（上册）</v>
      </c>
      <c r="K199" s="11">
        <f>K198+1</f>
        <v>95111018</v>
      </c>
    </row>
    <row r="200" ht="15" spans="10:11">
      <c r="J200" s="10" t="str">
        <f>J196&amp;"（下册）"</f>
        <v>流缶金绳镖（下册）</v>
      </c>
      <c r="K200" s="11">
        <f t="shared" ref="K200:K201" si="36">K199+1</f>
        <v>95111019</v>
      </c>
    </row>
    <row r="201" ht="15" spans="10:11">
      <c r="J201" s="10" t="str">
        <f>J196&amp;"（全本）"</f>
        <v>流缶金绳镖（全本）</v>
      </c>
      <c r="K201" s="11">
        <f t="shared" si="36"/>
        <v>95111020</v>
      </c>
    </row>
    <row r="202" ht="15" spans="10:11">
      <c r="J202" s="3" t="s">
        <v>212</v>
      </c>
      <c r="K202" s="4">
        <v>95120011</v>
      </c>
    </row>
    <row r="203" ht="15" spans="10:11">
      <c r="J203" s="3" t="s">
        <v>212</v>
      </c>
      <c r="K203" s="4">
        <v>95120012</v>
      </c>
    </row>
    <row r="204" ht="15" spans="10:11">
      <c r="J204" s="3" t="s">
        <v>212</v>
      </c>
      <c r="K204" s="4">
        <v>95120013</v>
      </c>
    </row>
    <row r="205" ht="15" spans="10:11">
      <c r="J205" s="3" t="s">
        <v>212</v>
      </c>
      <c r="K205" s="4">
        <v>95120014</v>
      </c>
    </row>
    <row r="206" ht="15" spans="10:11">
      <c r="J206" s="3" t="s">
        <v>212</v>
      </c>
      <c r="K206" s="4">
        <v>95120015</v>
      </c>
    </row>
    <row r="207" ht="15" spans="10:11">
      <c r="J207" s="3" t="str">
        <f t="shared" ref="J207:J208" si="37">J206</f>
        <v>锋狩控弦决</v>
      </c>
      <c r="K207" s="8">
        <f>K206+1</f>
        <v>95120016</v>
      </c>
    </row>
    <row r="208" ht="15" spans="10:11">
      <c r="J208" s="3" t="str">
        <f t="shared" si="37"/>
        <v>锋狩控弦决</v>
      </c>
      <c r="K208" s="8">
        <f>K207+1</f>
        <v>95120017</v>
      </c>
    </row>
    <row r="209" ht="15" spans="10:11">
      <c r="J209" s="10" t="str">
        <f>J206&amp;"（上册）"</f>
        <v>锋狩控弦决（上册）</v>
      </c>
      <c r="K209" s="11">
        <f>K208+1</f>
        <v>95120018</v>
      </c>
    </row>
    <row r="210" ht="15" spans="10:11">
      <c r="J210" s="10" t="str">
        <f>J206&amp;"（下册）"</f>
        <v>锋狩控弦决（下册）</v>
      </c>
      <c r="K210" s="11">
        <f t="shared" ref="K210:K211" si="38">K209+1</f>
        <v>95120019</v>
      </c>
    </row>
    <row r="211" ht="15" spans="10:11">
      <c r="J211" s="10" t="str">
        <f>J206&amp;"（全本）"</f>
        <v>锋狩控弦决（全本）</v>
      </c>
      <c r="K211" s="11">
        <f t="shared" si="38"/>
        <v>95120020</v>
      </c>
    </row>
    <row r="212" ht="15" spans="10:11">
      <c r="J212" s="3" t="s">
        <v>698</v>
      </c>
      <c r="K212" s="4">
        <v>95130011</v>
      </c>
    </row>
    <row r="213" ht="15" spans="10:11">
      <c r="J213" s="3" t="s">
        <v>698</v>
      </c>
      <c r="K213" s="4">
        <v>95130012</v>
      </c>
    </row>
    <row r="214" ht="15" spans="10:11">
      <c r="J214" s="3" t="s">
        <v>698</v>
      </c>
      <c r="K214" s="4">
        <v>95130013</v>
      </c>
    </row>
    <row r="215" ht="15" spans="10:11">
      <c r="J215" s="3" t="s">
        <v>698</v>
      </c>
      <c r="K215" s="4">
        <v>95130014</v>
      </c>
    </row>
    <row r="216" ht="15" spans="10:11">
      <c r="J216" s="3" t="s">
        <v>698</v>
      </c>
      <c r="K216" s="4">
        <v>95130015</v>
      </c>
    </row>
    <row r="217" ht="15" spans="10:11">
      <c r="J217" s="3" t="s">
        <v>698</v>
      </c>
      <c r="K217" s="4">
        <v>95130016</v>
      </c>
    </row>
    <row r="218" ht="15" spans="10:11">
      <c r="J218" s="3" t="s">
        <v>698</v>
      </c>
      <c r="K218" s="4">
        <v>95130017</v>
      </c>
    </row>
    <row r="219" ht="15" spans="10:11">
      <c r="J219" s="10" t="s">
        <v>699</v>
      </c>
      <c r="K219" s="11">
        <v>95130018</v>
      </c>
    </row>
    <row r="220" ht="15" spans="10:11">
      <c r="J220" s="10" t="s">
        <v>700</v>
      </c>
      <c r="K220" s="11">
        <v>95130019</v>
      </c>
    </row>
    <row r="221" ht="15" spans="10:11">
      <c r="J221" s="10" t="s">
        <v>701</v>
      </c>
      <c r="K221" s="11">
        <v>95130020</v>
      </c>
    </row>
    <row r="222" ht="15" spans="10:11">
      <c r="J222" s="3" t="s">
        <v>213</v>
      </c>
      <c r="K222" s="4">
        <v>95140011</v>
      </c>
    </row>
    <row r="223" ht="15" spans="10:11">
      <c r="J223" s="3" t="s">
        <v>213</v>
      </c>
      <c r="K223" s="4">
        <v>95140012</v>
      </c>
    </row>
    <row r="224" ht="15" spans="10:11">
      <c r="J224" s="3" t="s">
        <v>213</v>
      </c>
      <c r="K224" s="4">
        <v>95140013</v>
      </c>
    </row>
    <row r="225" ht="15" spans="10:11">
      <c r="J225" s="3" t="s">
        <v>213</v>
      </c>
      <c r="K225" s="4">
        <v>95140014</v>
      </c>
    </row>
    <row r="226" ht="15" spans="10:11">
      <c r="J226" s="3" t="s">
        <v>213</v>
      </c>
      <c r="K226" s="4">
        <v>95140015</v>
      </c>
    </row>
    <row r="227" ht="15" spans="10:11">
      <c r="J227" s="3" t="str">
        <f t="shared" ref="J227:J228" si="39">J226</f>
        <v>西域火器·珠</v>
      </c>
      <c r="K227" s="8">
        <f>K226+1</f>
        <v>95140016</v>
      </c>
    </row>
    <row r="228" ht="15" spans="10:11">
      <c r="J228" s="3" t="str">
        <f t="shared" si="39"/>
        <v>西域火器·珠</v>
      </c>
      <c r="K228" s="8">
        <f>K227+1</f>
        <v>95140017</v>
      </c>
    </row>
    <row r="229" ht="15" spans="10:11">
      <c r="J229" s="10" t="str">
        <f>J226&amp;"（上册）"</f>
        <v>西域火器·珠（上册）</v>
      </c>
      <c r="K229" s="11">
        <f>K228+1</f>
        <v>95140018</v>
      </c>
    </row>
    <row r="230" ht="15" spans="10:11">
      <c r="J230" s="10" t="str">
        <f>J226&amp;"（下册）"</f>
        <v>西域火器·珠（下册）</v>
      </c>
      <c r="K230" s="11">
        <f t="shared" ref="K230:K231" si="40">K229+1</f>
        <v>95140019</v>
      </c>
    </row>
    <row r="231" ht="15" spans="10:11">
      <c r="J231" s="10" t="str">
        <f>J226&amp;"（全本）"</f>
        <v>西域火器·珠（全本）</v>
      </c>
      <c r="K231" s="11">
        <f t="shared" si="40"/>
        <v>95140020</v>
      </c>
    </row>
    <row r="232" ht="15" spans="10:11">
      <c r="J232" s="3" t="s">
        <v>702</v>
      </c>
      <c r="K232" s="4">
        <v>95150011</v>
      </c>
    </row>
    <row r="233" ht="15" spans="10:11">
      <c r="J233" s="3" t="s">
        <v>702</v>
      </c>
      <c r="K233" s="4">
        <v>95150012</v>
      </c>
    </row>
    <row r="234" ht="15" spans="10:11">
      <c r="J234" s="3" t="s">
        <v>702</v>
      </c>
      <c r="K234" s="4">
        <v>95150013</v>
      </c>
    </row>
    <row r="235" ht="15" spans="10:11">
      <c r="J235" s="3" t="s">
        <v>702</v>
      </c>
      <c r="K235" s="4">
        <v>95150014</v>
      </c>
    </row>
    <row r="236" ht="15" spans="10:11">
      <c r="J236" s="3" t="s">
        <v>702</v>
      </c>
      <c r="K236" s="4">
        <v>95150015</v>
      </c>
    </row>
    <row r="237" ht="15" spans="10:11">
      <c r="J237" s="3" t="str">
        <f t="shared" ref="J237:J238" si="41">J236</f>
        <v>七情缠蛊匕</v>
      </c>
      <c r="K237" s="8">
        <f>K236+1</f>
        <v>95150016</v>
      </c>
    </row>
    <row r="238" ht="15" spans="10:11">
      <c r="J238" s="3" t="str">
        <f t="shared" si="41"/>
        <v>七情缠蛊匕</v>
      </c>
      <c r="K238" s="8">
        <f>K237+1</f>
        <v>95150017</v>
      </c>
    </row>
    <row r="239" ht="15" spans="10:11">
      <c r="J239" s="10" t="str">
        <f>J236&amp;"（上册）"</f>
        <v>七情缠蛊匕（上册）</v>
      </c>
      <c r="K239" s="11">
        <f>K238+1</f>
        <v>95150018</v>
      </c>
    </row>
    <row r="240" ht="15" spans="10:11">
      <c r="J240" s="10" t="str">
        <f>J236&amp;"（下册）"</f>
        <v>七情缠蛊匕（下册）</v>
      </c>
      <c r="K240" s="11">
        <f t="shared" ref="K240:K241" si="42">K239+1</f>
        <v>95150019</v>
      </c>
    </row>
    <row r="241" ht="15" spans="10:11">
      <c r="J241" s="10" t="str">
        <f>J236&amp;"（全本）"</f>
        <v>七情缠蛊匕（全本）</v>
      </c>
      <c r="K241" s="11">
        <f t="shared" si="42"/>
        <v>95150020</v>
      </c>
    </row>
    <row r="242" ht="15" spans="10:11">
      <c r="J242" s="3" t="s">
        <v>217</v>
      </c>
      <c r="K242" s="4">
        <v>95150021</v>
      </c>
    </row>
    <row r="243" ht="15" spans="10:11">
      <c r="J243" s="3" t="s">
        <v>217</v>
      </c>
      <c r="K243" s="4">
        <v>95150022</v>
      </c>
    </row>
    <row r="244" ht="15" spans="10:11">
      <c r="J244" s="3" t="s">
        <v>217</v>
      </c>
      <c r="K244" s="4">
        <v>95150023</v>
      </c>
    </row>
    <row r="245" ht="15" spans="10:11">
      <c r="J245" s="3" t="s">
        <v>217</v>
      </c>
      <c r="K245" s="4">
        <v>95150024</v>
      </c>
    </row>
    <row r="246" ht="15" spans="10:11">
      <c r="J246" s="3" t="s">
        <v>217</v>
      </c>
      <c r="K246" s="4">
        <v>95150025</v>
      </c>
    </row>
    <row r="247" ht="15" spans="10:11">
      <c r="J247" s="3" t="s">
        <v>217</v>
      </c>
      <c r="K247" s="4">
        <v>95150026</v>
      </c>
    </row>
    <row r="248" ht="15" spans="10:11">
      <c r="J248" s="3" t="s">
        <v>217</v>
      </c>
      <c r="K248" s="4">
        <v>95150027</v>
      </c>
    </row>
    <row r="249" ht="15" spans="10:11">
      <c r="J249" s="10" t="str">
        <f>J246&amp;"（上册）"</f>
        <v>月残经（上册）</v>
      </c>
      <c r="K249" s="11">
        <f>K248+1</f>
        <v>95150028</v>
      </c>
    </row>
    <row r="250" ht="15" spans="10:11">
      <c r="J250" s="10" t="str">
        <f>J246&amp;"（下册）"</f>
        <v>月残经（下册）</v>
      </c>
      <c r="K250" s="11">
        <f t="shared" ref="K250:K251" si="43">K249+1</f>
        <v>95150029</v>
      </c>
    </row>
    <row r="251" ht="15" spans="10:11">
      <c r="J251" s="10" t="str">
        <f>J246&amp;"（全本）"</f>
        <v>月残经（全本）</v>
      </c>
      <c r="K251" s="11">
        <f t="shared" si="43"/>
        <v>95150030</v>
      </c>
    </row>
    <row r="252" ht="15" spans="10:11">
      <c r="J252" s="3" t="s">
        <v>703</v>
      </c>
      <c r="K252" s="4">
        <v>95201011</v>
      </c>
    </row>
    <row r="253" ht="15" spans="10:11">
      <c r="J253" s="3" t="s">
        <v>703</v>
      </c>
      <c r="K253" s="4">
        <v>95201012</v>
      </c>
    </row>
    <row r="254" ht="15" spans="10:11">
      <c r="J254" s="3" t="s">
        <v>703</v>
      </c>
      <c r="K254" s="4">
        <v>95201013</v>
      </c>
    </row>
    <row r="255" ht="15" spans="10:11">
      <c r="J255" s="3" t="s">
        <v>703</v>
      </c>
      <c r="K255" s="4">
        <v>95201014</v>
      </c>
    </row>
    <row r="256" ht="15" spans="10:11">
      <c r="J256" s="3" t="s">
        <v>703</v>
      </c>
      <c r="K256" s="4">
        <v>95201015</v>
      </c>
    </row>
    <row r="257" ht="15" spans="10:11">
      <c r="J257" s="3" t="str">
        <f t="shared" ref="J257:J258" si="44">J256</f>
        <v>天涯月明章</v>
      </c>
      <c r="K257" s="8">
        <f>K256+1</f>
        <v>95201016</v>
      </c>
    </row>
    <row r="258" ht="15" spans="10:11">
      <c r="J258" s="3" t="str">
        <f t="shared" si="44"/>
        <v>天涯月明章</v>
      </c>
      <c r="K258" s="8">
        <f>K257+1</f>
        <v>95201017</v>
      </c>
    </row>
    <row r="259" ht="15" spans="10:11">
      <c r="J259" s="10" t="str">
        <f>J256&amp;"（上册）"</f>
        <v>天涯月明章（上册）</v>
      </c>
      <c r="K259" s="11">
        <f>K258+1</f>
        <v>95201018</v>
      </c>
    </row>
    <row r="260" ht="15" spans="10:11">
      <c r="J260" s="10" t="str">
        <f>J256&amp;"（下册）"</f>
        <v>天涯月明章（下册）</v>
      </c>
      <c r="K260" s="11">
        <f t="shared" ref="K260:K261" si="45">K259+1</f>
        <v>95201019</v>
      </c>
    </row>
    <row r="261" ht="15" spans="10:11">
      <c r="J261" s="10" t="str">
        <f>J256&amp;"（全本）"</f>
        <v>天涯月明章（全本）</v>
      </c>
      <c r="K261" s="11">
        <f t="shared" si="45"/>
        <v>95201020</v>
      </c>
    </row>
    <row r="262" ht="15" spans="10:11">
      <c r="J262" s="3" t="s">
        <v>704</v>
      </c>
      <c r="K262" s="4">
        <v>95201021</v>
      </c>
    </row>
    <row r="263" ht="15" spans="10:11">
      <c r="J263" s="3" t="s">
        <v>704</v>
      </c>
      <c r="K263" s="4">
        <v>95201022</v>
      </c>
    </row>
    <row r="264" ht="15" spans="10:11">
      <c r="J264" s="3" t="s">
        <v>704</v>
      </c>
      <c r="K264" s="4">
        <v>95201023</v>
      </c>
    </row>
    <row r="265" ht="15" spans="10:11">
      <c r="J265" s="3" t="s">
        <v>704</v>
      </c>
      <c r="K265" s="4">
        <v>95201024</v>
      </c>
    </row>
    <row r="266" ht="15" spans="10:11">
      <c r="J266" s="3" t="s">
        <v>704</v>
      </c>
      <c r="K266" s="4">
        <v>95201025</v>
      </c>
    </row>
    <row r="267" ht="15" spans="10:11">
      <c r="J267" s="3" t="str">
        <f t="shared" ref="J267:J268" si="46">J266</f>
        <v>嗤魔祭血真经</v>
      </c>
      <c r="K267" s="8">
        <f>K266+1</f>
        <v>95201026</v>
      </c>
    </row>
    <row r="268" ht="15" spans="10:11">
      <c r="J268" s="3" t="str">
        <f t="shared" si="46"/>
        <v>嗤魔祭血真经</v>
      </c>
      <c r="K268" s="8">
        <f>K267+1</f>
        <v>95201027</v>
      </c>
    </row>
    <row r="269" ht="15" spans="10:11">
      <c r="J269" s="10" t="str">
        <f>J266&amp;"（上册）"</f>
        <v>嗤魔祭血真经（上册）</v>
      </c>
      <c r="K269" s="11">
        <f>K268+1</f>
        <v>95201028</v>
      </c>
    </row>
    <row r="270" ht="15" spans="10:11">
      <c r="J270" s="10" t="str">
        <f>J266&amp;"（下册）"</f>
        <v>嗤魔祭血真经（下册）</v>
      </c>
      <c r="K270" s="11">
        <f t="shared" ref="K270:K271" si="47">K269+1</f>
        <v>95201029</v>
      </c>
    </row>
    <row r="271" ht="15" spans="10:11">
      <c r="J271" s="10" t="str">
        <f>J266&amp;"（全本）"</f>
        <v>嗤魔祭血真经（全本）</v>
      </c>
      <c r="K271" s="11">
        <f t="shared" si="47"/>
        <v>95201030</v>
      </c>
    </row>
    <row r="272" ht="15" spans="10:11">
      <c r="J272" s="3" t="s">
        <v>218</v>
      </c>
      <c r="K272" s="4">
        <v>95201031</v>
      </c>
    </row>
    <row r="273" ht="15" spans="10:11">
      <c r="J273" s="3" t="s">
        <v>218</v>
      </c>
      <c r="K273" s="4">
        <v>95201032</v>
      </c>
    </row>
    <row r="274" ht="15" spans="10:11">
      <c r="J274" s="3" t="s">
        <v>218</v>
      </c>
      <c r="K274" s="4">
        <v>95201033</v>
      </c>
    </row>
    <row r="275" ht="15" spans="10:11">
      <c r="J275" s="3" t="s">
        <v>218</v>
      </c>
      <c r="K275" s="4">
        <v>95201034</v>
      </c>
    </row>
    <row r="276" ht="15" spans="10:11">
      <c r="J276" s="3" t="s">
        <v>218</v>
      </c>
      <c r="K276" s="4">
        <v>95201035</v>
      </c>
    </row>
    <row r="277" ht="15" spans="10:11">
      <c r="J277" s="3" t="str">
        <f t="shared" ref="J277:J278" si="48">J276</f>
        <v>连珏天璧法</v>
      </c>
      <c r="K277" s="8">
        <f>K276+1</f>
        <v>95201036</v>
      </c>
    </row>
    <row r="278" ht="15" spans="10:11">
      <c r="J278" s="3" t="str">
        <f t="shared" si="48"/>
        <v>连珏天璧法</v>
      </c>
      <c r="K278" s="8">
        <f>K277+1</f>
        <v>95201037</v>
      </c>
    </row>
    <row r="279" ht="15" spans="10:11">
      <c r="J279" s="10" t="str">
        <f>J276&amp;"（上册）"</f>
        <v>连珏天璧法（上册）</v>
      </c>
      <c r="K279" s="11">
        <f>K278+1</f>
        <v>95201038</v>
      </c>
    </row>
    <row r="280" ht="15" spans="10:11">
      <c r="J280" s="10" t="str">
        <f>J276&amp;"（下册）"</f>
        <v>连珏天璧法（下册）</v>
      </c>
      <c r="K280" s="11">
        <f t="shared" ref="K280:K281" si="49">K279+1</f>
        <v>95201039</v>
      </c>
    </row>
    <row r="281" ht="15" spans="10:11">
      <c r="J281" s="10" t="str">
        <f>J276&amp;"（全本）"</f>
        <v>连珏天璧法（全本）</v>
      </c>
      <c r="K281" s="11">
        <f t="shared" si="49"/>
        <v>95201040</v>
      </c>
    </row>
    <row r="282" ht="15" spans="10:11">
      <c r="J282" s="3" t="s">
        <v>705</v>
      </c>
      <c r="K282" s="4">
        <v>95201041</v>
      </c>
    </row>
    <row r="283" ht="15" spans="10:11">
      <c r="J283" s="3" t="s">
        <v>705</v>
      </c>
      <c r="K283" s="4">
        <v>95201042</v>
      </c>
    </row>
    <row r="284" ht="15" spans="10:11">
      <c r="J284" s="3" t="s">
        <v>705</v>
      </c>
      <c r="K284" s="4">
        <v>95201043</v>
      </c>
    </row>
    <row r="285" ht="15" spans="10:11">
      <c r="J285" s="3" t="s">
        <v>705</v>
      </c>
      <c r="K285" s="4">
        <v>95201044</v>
      </c>
    </row>
    <row r="286" ht="15" spans="10:11">
      <c r="J286" s="3" t="s">
        <v>705</v>
      </c>
      <c r="K286" s="4">
        <v>95201045</v>
      </c>
    </row>
    <row r="287" ht="15" spans="10:11">
      <c r="J287" s="3" t="str">
        <f t="shared" ref="J287:J288" si="50">J286</f>
        <v>玄黎蛊瘴</v>
      </c>
      <c r="K287" s="8">
        <f>K286+1</f>
        <v>95201046</v>
      </c>
    </row>
    <row r="288" ht="15" spans="10:11">
      <c r="J288" s="3" t="str">
        <f t="shared" si="50"/>
        <v>玄黎蛊瘴</v>
      </c>
      <c r="K288" s="8">
        <f>K287+1</f>
        <v>95201047</v>
      </c>
    </row>
    <row r="289" ht="15" spans="10:11">
      <c r="J289" s="10" t="str">
        <f>J286&amp;"（上册）"</f>
        <v>玄黎蛊瘴（上册）</v>
      </c>
      <c r="K289" s="11">
        <f>K288+1</f>
        <v>95201048</v>
      </c>
    </row>
    <row r="290" ht="15" spans="10:11">
      <c r="J290" s="10" t="str">
        <f>J286&amp;"（下册）"</f>
        <v>玄黎蛊瘴（下册）</v>
      </c>
      <c r="K290" s="11">
        <f t="shared" ref="K290:K291" si="51">K289+1</f>
        <v>95201049</v>
      </c>
    </row>
    <row r="291" ht="15" spans="10:11">
      <c r="J291" s="10" t="str">
        <f>J286&amp;"（全本）"</f>
        <v>玄黎蛊瘴（全本）</v>
      </c>
      <c r="K291" s="11">
        <f t="shared" si="51"/>
        <v>95201050</v>
      </c>
    </row>
    <row r="292" ht="15" spans="10:11">
      <c r="J292" s="3" t="s">
        <v>706</v>
      </c>
      <c r="K292" s="4">
        <v>95201051</v>
      </c>
    </row>
    <row r="293" ht="15" spans="10:11">
      <c r="J293" s="3" t="s">
        <v>706</v>
      </c>
      <c r="K293" s="4">
        <v>95201052</v>
      </c>
    </row>
    <row r="294" ht="15" spans="10:11">
      <c r="J294" s="3" t="s">
        <v>706</v>
      </c>
      <c r="K294" s="4">
        <v>95201053</v>
      </c>
    </row>
    <row r="295" ht="15" spans="10:11">
      <c r="J295" s="3" t="s">
        <v>706</v>
      </c>
      <c r="K295" s="4">
        <v>95201054</v>
      </c>
    </row>
    <row r="296" ht="15" spans="10:11">
      <c r="J296" s="3" t="s">
        <v>706</v>
      </c>
      <c r="K296" s="4">
        <v>95201055</v>
      </c>
    </row>
    <row r="297" ht="15" spans="10:11">
      <c r="J297" s="10" t="str">
        <f t="shared" ref="J297:J298" si="52">J296</f>
        <v>三昧阿修罗道</v>
      </c>
      <c r="K297" s="11">
        <f>K296+1</f>
        <v>95201056</v>
      </c>
    </row>
    <row r="298" ht="15" spans="10:11">
      <c r="J298" s="3" t="str">
        <f t="shared" si="52"/>
        <v>三昧阿修罗道</v>
      </c>
      <c r="K298" s="8">
        <f>K297+1</f>
        <v>95201057</v>
      </c>
    </row>
    <row r="299" ht="15" spans="10:11">
      <c r="J299" s="10" t="str">
        <f>J296&amp;"（上册）"</f>
        <v>三昧阿修罗道（上册）</v>
      </c>
      <c r="K299" s="11">
        <f>K298+1</f>
        <v>95201058</v>
      </c>
    </row>
    <row r="300" ht="15" spans="10:11">
      <c r="J300" s="10" t="str">
        <f>J296&amp;"（下册）"</f>
        <v>三昧阿修罗道（下册）</v>
      </c>
      <c r="K300" s="11">
        <f t="shared" ref="K300:K301" si="53">K299+1</f>
        <v>95201059</v>
      </c>
    </row>
    <row r="301" ht="15" spans="10:11">
      <c r="J301" s="10" t="str">
        <f>J296&amp;"（全本）"</f>
        <v>三昧阿修罗道（全本）</v>
      </c>
      <c r="K301" s="11">
        <f t="shared" si="53"/>
        <v>95201060</v>
      </c>
    </row>
    <row r="302" ht="15" spans="10:11">
      <c r="J302" s="3" t="s">
        <v>707</v>
      </c>
      <c r="K302" s="4">
        <v>95201061</v>
      </c>
    </row>
    <row r="303" ht="15" spans="10:11">
      <c r="J303" s="3" t="s">
        <v>707</v>
      </c>
      <c r="K303" s="4">
        <v>95201062</v>
      </c>
    </row>
    <row r="304" ht="15" spans="10:11">
      <c r="J304" s="3" t="s">
        <v>707</v>
      </c>
      <c r="K304" s="4">
        <v>95201063</v>
      </c>
    </row>
    <row r="305" ht="15" spans="10:11">
      <c r="J305" s="3" t="s">
        <v>707</v>
      </c>
      <c r="K305" s="4">
        <v>95201064</v>
      </c>
    </row>
    <row r="306" ht="15" spans="10:11">
      <c r="J306" s="3" t="s">
        <v>707</v>
      </c>
      <c r="K306" s="4">
        <v>95201065</v>
      </c>
    </row>
    <row r="307" ht="15" spans="10:11">
      <c r="J307" s="3" t="str">
        <f t="shared" ref="J307:J308" si="54">J306</f>
        <v>太素灵枢篇</v>
      </c>
      <c r="K307" s="8">
        <f>K306+1</f>
        <v>95201066</v>
      </c>
    </row>
    <row r="308" ht="15" spans="10:11">
      <c r="J308" s="3" t="str">
        <f t="shared" si="54"/>
        <v>太素灵枢篇</v>
      </c>
      <c r="K308" s="8">
        <f>K307+1</f>
        <v>95201067</v>
      </c>
    </row>
    <row r="309" ht="15" spans="10:11">
      <c r="J309" s="10" t="str">
        <f>J306&amp;"（上册）"</f>
        <v>太素灵枢篇（上册）</v>
      </c>
      <c r="K309" s="11">
        <f>K308+1</f>
        <v>95201068</v>
      </c>
    </row>
    <row r="310" ht="15" spans="10:11">
      <c r="J310" s="10" t="str">
        <f>J306&amp;"（下册）"</f>
        <v>太素灵枢篇（下册）</v>
      </c>
      <c r="K310" s="11">
        <f t="shared" ref="K310:K311" si="55">K309+1</f>
        <v>95201069</v>
      </c>
    </row>
    <row r="311" ht="15" spans="10:11">
      <c r="J311" s="10" t="str">
        <f>J306&amp;"（全本）"</f>
        <v>太素灵枢篇（全本）</v>
      </c>
      <c r="K311" s="11">
        <f t="shared" si="55"/>
        <v>95201070</v>
      </c>
    </row>
    <row r="312" ht="15" spans="10:11">
      <c r="J312" s="3" t="s">
        <v>708</v>
      </c>
      <c r="K312" s="4">
        <v>95201071</v>
      </c>
    </row>
    <row r="313" ht="15" spans="10:11">
      <c r="J313" s="3" t="s">
        <v>708</v>
      </c>
      <c r="K313" s="4">
        <v>95201072</v>
      </c>
    </row>
    <row r="314" ht="15" spans="10:11">
      <c r="J314" s="3" t="s">
        <v>708</v>
      </c>
      <c r="K314" s="4">
        <v>95201073</v>
      </c>
    </row>
    <row r="315" ht="15" spans="10:11">
      <c r="J315" s="3" t="s">
        <v>708</v>
      </c>
      <c r="K315" s="4">
        <v>95201074</v>
      </c>
    </row>
    <row r="316" ht="15" spans="10:11">
      <c r="J316" s="3" t="s">
        <v>708</v>
      </c>
      <c r="K316" s="4">
        <v>95201075</v>
      </c>
    </row>
    <row r="317" ht="15" spans="10:11">
      <c r="J317" s="3" t="str">
        <f t="shared" ref="J317:J318" si="56">J316</f>
        <v>太玄混元经</v>
      </c>
      <c r="K317" s="8">
        <f>K316+1</f>
        <v>95201076</v>
      </c>
    </row>
    <row r="318" ht="15" spans="10:11">
      <c r="J318" s="3" t="str">
        <f t="shared" si="56"/>
        <v>太玄混元经</v>
      </c>
      <c r="K318" s="8">
        <f>K317+1</f>
        <v>95201077</v>
      </c>
    </row>
    <row r="319" ht="15" spans="10:11">
      <c r="J319" s="10" t="str">
        <f>J316&amp;"（上册）"</f>
        <v>太玄混元经（上册）</v>
      </c>
      <c r="K319" s="11">
        <f>K318+1</f>
        <v>95201078</v>
      </c>
    </row>
    <row r="320" ht="15" spans="10:11">
      <c r="J320" s="10" t="str">
        <f>J316&amp;"（下册）"</f>
        <v>太玄混元经（下册）</v>
      </c>
      <c r="K320" s="11">
        <f t="shared" ref="K320:K321" si="57">K319+1</f>
        <v>95201079</v>
      </c>
    </row>
    <row r="321" ht="15" spans="10:11">
      <c r="J321" s="10" t="str">
        <f>J316&amp;"（全本）"</f>
        <v>太玄混元经（全本）</v>
      </c>
      <c r="K321" s="11">
        <f t="shared" si="57"/>
        <v>95201080</v>
      </c>
    </row>
    <row r="322" ht="15" spans="10:11">
      <c r="J322" s="3" t="s">
        <v>709</v>
      </c>
      <c r="K322" s="4">
        <v>95201081</v>
      </c>
    </row>
    <row r="323" ht="15" spans="10:11">
      <c r="J323" s="3" t="s">
        <v>709</v>
      </c>
      <c r="K323" s="4">
        <v>95201082</v>
      </c>
    </row>
    <row r="324" ht="15" spans="10:11">
      <c r="J324" s="3" t="s">
        <v>709</v>
      </c>
      <c r="K324" s="4">
        <v>95201083</v>
      </c>
    </row>
    <row r="325" ht="15" spans="10:11">
      <c r="J325" s="3" t="s">
        <v>709</v>
      </c>
      <c r="K325" s="4">
        <v>95201084</v>
      </c>
    </row>
    <row r="326" ht="15" spans="10:11">
      <c r="J326" s="3" t="s">
        <v>709</v>
      </c>
      <c r="K326" s="4">
        <v>95201085</v>
      </c>
    </row>
    <row r="327" ht="15" spans="10:11">
      <c r="J327" s="10" t="str">
        <f t="shared" ref="J327:J328" si="58">J326</f>
        <v>悟玄参契</v>
      </c>
      <c r="K327" s="11">
        <f>K326+1</f>
        <v>95201086</v>
      </c>
    </row>
    <row r="328" ht="15" spans="10:11">
      <c r="J328" s="3" t="str">
        <f t="shared" si="58"/>
        <v>悟玄参契</v>
      </c>
      <c r="K328" s="8">
        <f>K327+1</f>
        <v>95201087</v>
      </c>
    </row>
    <row r="329" ht="15" spans="10:11">
      <c r="J329" s="10" t="str">
        <f>J326&amp;"（上册）"</f>
        <v>悟玄参契（上册）</v>
      </c>
      <c r="K329" s="11">
        <f>K328+1</f>
        <v>95201088</v>
      </c>
    </row>
    <row r="330" ht="15" spans="10:11">
      <c r="J330" s="10" t="str">
        <f>J326&amp;"（下册）"</f>
        <v>悟玄参契（下册）</v>
      </c>
      <c r="K330" s="11">
        <f t="shared" ref="K330:K331" si="59">K329+1</f>
        <v>95201089</v>
      </c>
    </row>
    <row r="331" ht="15" spans="10:11">
      <c r="J331" s="10" t="str">
        <f>J326&amp;"（全本）"</f>
        <v>悟玄参契（全本）</v>
      </c>
      <c r="K331" s="11">
        <f t="shared" si="59"/>
        <v>95201090</v>
      </c>
    </row>
    <row r="332" ht="15" spans="10:11">
      <c r="J332" s="3" t="s">
        <v>710</v>
      </c>
      <c r="K332" s="4">
        <v>95201091</v>
      </c>
    </row>
    <row r="333" ht="15" spans="10:11">
      <c r="J333" s="3" t="s">
        <v>710</v>
      </c>
      <c r="K333" s="4">
        <v>95201092</v>
      </c>
    </row>
    <row r="334" ht="15" spans="10:11">
      <c r="J334" s="3" t="s">
        <v>710</v>
      </c>
      <c r="K334" s="4">
        <v>95201093</v>
      </c>
    </row>
    <row r="335" ht="15" spans="10:11">
      <c r="J335" s="3" t="s">
        <v>710</v>
      </c>
      <c r="K335" s="4">
        <v>95201094</v>
      </c>
    </row>
    <row r="336" ht="15" spans="10:11">
      <c r="J336" s="3" t="s">
        <v>710</v>
      </c>
      <c r="K336" s="4">
        <v>95201095</v>
      </c>
    </row>
    <row r="337" ht="15" spans="10:11">
      <c r="J337" s="10" t="str">
        <f t="shared" ref="J337:J338" si="60">J336</f>
        <v>吸星噬寰图</v>
      </c>
      <c r="K337" s="11">
        <f>K336+1</f>
        <v>95201096</v>
      </c>
    </row>
    <row r="338" ht="15" spans="10:11">
      <c r="J338" s="3" t="str">
        <f t="shared" si="60"/>
        <v>吸星噬寰图</v>
      </c>
      <c r="K338" s="8">
        <f>K337+1</f>
        <v>95201097</v>
      </c>
    </row>
    <row r="339" ht="15" spans="10:11">
      <c r="J339" s="10" t="str">
        <f>J336&amp;"（上册）"</f>
        <v>吸星噬寰图（上册）</v>
      </c>
      <c r="K339" s="11">
        <f>K338+1</f>
        <v>95201098</v>
      </c>
    </row>
    <row r="340" ht="15" spans="10:11">
      <c r="J340" s="10" t="str">
        <f>J336&amp;"（下册）"</f>
        <v>吸星噬寰图（下册）</v>
      </c>
      <c r="K340" s="11">
        <f t="shared" ref="K340:K341" si="61">K339+1</f>
        <v>95201099</v>
      </c>
    </row>
    <row r="341" ht="15" spans="10:11">
      <c r="J341" s="10" t="str">
        <f>J336&amp;"（全本）"</f>
        <v>吸星噬寰图（全本）</v>
      </c>
      <c r="K341" s="11">
        <f t="shared" si="61"/>
        <v>95201100</v>
      </c>
    </row>
    <row r="342" ht="15" spans="10:11">
      <c r="J342" s="3" t="s">
        <v>711</v>
      </c>
      <c r="K342" s="4">
        <v>95201101</v>
      </c>
    </row>
    <row r="343" ht="15" spans="10:11">
      <c r="J343" s="3" t="s">
        <v>711</v>
      </c>
      <c r="K343" s="4">
        <v>95201102</v>
      </c>
    </row>
    <row r="344" ht="15" spans="10:11">
      <c r="J344" s="3" t="s">
        <v>711</v>
      </c>
      <c r="K344" s="4">
        <v>95201103</v>
      </c>
    </row>
    <row r="345" ht="15" spans="10:11">
      <c r="J345" s="3" t="s">
        <v>711</v>
      </c>
      <c r="K345" s="4">
        <v>95201104</v>
      </c>
    </row>
    <row r="346" ht="15" spans="10:11">
      <c r="J346" s="3" t="s">
        <v>711</v>
      </c>
      <c r="K346" s="4">
        <v>95201105</v>
      </c>
    </row>
    <row r="347" ht="15" spans="10:11">
      <c r="J347" s="3" t="str">
        <f t="shared" ref="J347:J348" si="62">J346</f>
        <v>湘竹葬兰书</v>
      </c>
      <c r="K347" s="8">
        <f>K346+1</f>
        <v>95201106</v>
      </c>
    </row>
    <row r="348" ht="15" spans="10:11">
      <c r="J348" s="3" t="str">
        <f t="shared" si="62"/>
        <v>湘竹葬兰书</v>
      </c>
      <c r="K348" s="8">
        <f>K347+1</f>
        <v>95201107</v>
      </c>
    </row>
    <row r="349" ht="15" spans="10:11">
      <c r="J349" s="10" t="str">
        <f>J346&amp;"（上册）"</f>
        <v>湘竹葬兰书（上册）</v>
      </c>
      <c r="K349" s="11">
        <f>K348+1</f>
        <v>95201108</v>
      </c>
    </row>
    <row r="350" ht="15" spans="10:11">
      <c r="J350" s="10" t="str">
        <f>J346&amp;"（下册）"</f>
        <v>湘竹葬兰书（下册）</v>
      </c>
      <c r="K350" s="11">
        <f t="shared" ref="K350:K351" si="63">K349+1</f>
        <v>95201109</v>
      </c>
    </row>
    <row r="351" ht="15" spans="10:11">
      <c r="J351" s="10" t="str">
        <f>J346&amp;"（全本）"</f>
        <v>湘竹葬兰书（全本）</v>
      </c>
      <c r="K351" s="11">
        <f t="shared" si="63"/>
        <v>95201110</v>
      </c>
    </row>
    <row r="352" ht="15" spans="10:11">
      <c r="J352" s="3" t="s">
        <v>219</v>
      </c>
      <c r="K352" s="4">
        <v>95201111</v>
      </c>
    </row>
    <row r="353" ht="15" spans="10:11">
      <c r="J353" s="3" t="s">
        <v>219</v>
      </c>
      <c r="K353" s="4">
        <v>95201112</v>
      </c>
    </row>
    <row r="354" ht="15" spans="10:11">
      <c r="J354" s="3" t="s">
        <v>219</v>
      </c>
      <c r="K354" s="4">
        <v>95201113</v>
      </c>
    </row>
    <row r="355" ht="15" spans="10:11">
      <c r="J355" s="3" t="s">
        <v>219</v>
      </c>
      <c r="K355" s="4">
        <v>95201114</v>
      </c>
    </row>
    <row r="356" ht="15" spans="10:11">
      <c r="J356" s="3" t="s">
        <v>219</v>
      </c>
      <c r="K356" s="4">
        <v>95201115</v>
      </c>
    </row>
    <row r="357" ht="15" spans="10:11">
      <c r="J357" s="3" t="str">
        <f t="shared" ref="J357:J358" si="64">J356</f>
        <v>昭霞别册</v>
      </c>
      <c r="K357" s="8">
        <f>K356+1</f>
        <v>95201116</v>
      </c>
    </row>
    <row r="358" ht="15" spans="10:11">
      <c r="J358" s="3" t="str">
        <f t="shared" si="64"/>
        <v>昭霞别册</v>
      </c>
      <c r="K358" s="8">
        <f>K357+1</f>
        <v>95201117</v>
      </c>
    </row>
    <row r="359" ht="15" spans="10:11">
      <c r="J359" s="10" t="str">
        <f>J356&amp;"（上册）"</f>
        <v>昭霞别册（上册）</v>
      </c>
      <c r="K359" s="11">
        <f>K358+1</f>
        <v>95201118</v>
      </c>
    </row>
    <row r="360" ht="15" spans="10:11">
      <c r="J360" s="10" t="str">
        <f>J356&amp;"（下册）"</f>
        <v>昭霞别册（下册）</v>
      </c>
      <c r="K360" s="11">
        <f t="shared" ref="K360:K361" si="65">K359+1</f>
        <v>95201119</v>
      </c>
    </row>
    <row r="361" ht="15" spans="10:11">
      <c r="J361" s="10" t="str">
        <f>J356&amp;"（全本）"</f>
        <v>昭霞别册（全本）</v>
      </c>
      <c r="K361" s="11">
        <f t="shared" si="65"/>
        <v>95201120</v>
      </c>
    </row>
    <row r="362" ht="15" spans="10:11">
      <c r="J362" s="3" t="s">
        <v>712</v>
      </c>
      <c r="K362" s="4">
        <v>95201121</v>
      </c>
    </row>
    <row r="363" ht="15" spans="10:11">
      <c r="J363" s="3" t="s">
        <v>712</v>
      </c>
      <c r="K363" s="4">
        <v>95201122</v>
      </c>
    </row>
    <row r="364" ht="15" spans="10:11">
      <c r="J364" s="3" t="s">
        <v>712</v>
      </c>
      <c r="K364" s="4">
        <v>95201123</v>
      </c>
    </row>
    <row r="365" ht="15" spans="10:11">
      <c r="J365" s="3" t="s">
        <v>712</v>
      </c>
      <c r="K365" s="4">
        <v>95201124</v>
      </c>
    </row>
    <row r="366" ht="15" spans="10:11">
      <c r="J366" s="3" t="s">
        <v>712</v>
      </c>
      <c r="K366" s="4">
        <v>95201125</v>
      </c>
    </row>
    <row r="367" ht="15" spans="10:11">
      <c r="J367" s="10" t="str">
        <f t="shared" ref="J367:J368" si="66">J366</f>
        <v>禅音狮子吼</v>
      </c>
      <c r="K367" s="11">
        <f>K366+1</f>
        <v>95201126</v>
      </c>
    </row>
    <row r="368" ht="15" spans="10:11">
      <c r="J368" s="3" t="str">
        <f t="shared" si="66"/>
        <v>禅音狮子吼</v>
      </c>
      <c r="K368" s="8">
        <f>K367+1</f>
        <v>95201127</v>
      </c>
    </row>
    <row r="369" ht="15" spans="10:11">
      <c r="J369" s="10" t="str">
        <f>J366&amp;"（上册）"</f>
        <v>禅音狮子吼（上册）</v>
      </c>
      <c r="K369" s="11">
        <f>K368+1</f>
        <v>95201128</v>
      </c>
    </row>
    <row r="370" ht="15" spans="10:11">
      <c r="J370" s="10" t="str">
        <f>J366&amp;"（下册）"</f>
        <v>禅音狮子吼（下册）</v>
      </c>
      <c r="K370" s="11">
        <f t="shared" ref="K370:K371" si="67">K369+1</f>
        <v>95201129</v>
      </c>
    </row>
    <row r="371" ht="15" spans="10:11">
      <c r="J371" s="10" t="str">
        <f>J366&amp;"（全本）"</f>
        <v>禅音狮子吼（全本）</v>
      </c>
      <c r="K371" s="11">
        <f t="shared" si="67"/>
        <v>95201130</v>
      </c>
    </row>
    <row r="372" ht="15" spans="10:11">
      <c r="J372" s="3" t="s">
        <v>713</v>
      </c>
      <c r="K372" s="4">
        <v>95201131</v>
      </c>
    </row>
    <row r="373" ht="15" spans="10:11">
      <c r="J373" s="3" t="s">
        <v>713</v>
      </c>
      <c r="K373" s="4">
        <v>95201132</v>
      </c>
    </row>
    <row r="374" ht="15" spans="10:11">
      <c r="J374" s="3" t="s">
        <v>713</v>
      </c>
      <c r="K374" s="4">
        <v>95201133</v>
      </c>
    </row>
    <row r="375" ht="15" spans="10:11">
      <c r="J375" s="3" t="s">
        <v>713</v>
      </c>
      <c r="K375" s="4">
        <v>95201134</v>
      </c>
    </row>
    <row r="376" ht="15" spans="10:11">
      <c r="J376" s="3" t="s">
        <v>713</v>
      </c>
      <c r="K376" s="4">
        <v>95201135</v>
      </c>
    </row>
    <row r="377" ht="15" spans="10:11">
      <c r="J377" s="10" t="str">
        <f t="shared" ref="J377:J378" si="68">J376</f>
        <v>金钟护体罩</v>
      </c>
      <c r="K377" s="11">
        <f>K376+1</f>
        <v>95201136</v>
      </c>
    </row>
    <row r="378" ht="15" spans="10:11">
      <c r="J378" s="3" t="str">
        <f t="shared" si="68"/>
        <v>金钟护体罩</v>
      </c>
      <c r="K378" s="8">
        <f>K377+1</f>
        <v>95201137</v>
      </c>
    </row>
    <row r="379" ht="15" spans="10:11">
      <c r="J379" s="10" t="str">
        <f>J376&amp;"（上册）"</f>
        <v>金钟护体罩（上册）</v>
      </c>
      <c r="K379" s="11">
        <f>K378+1</f>
        <v>95201138</v>
      </c>
    </row>
    <row r="380" ht="15" spans="10:11">
      <c r="J380" s="10" t="str">
        <f>J376&amp;"（下册）"</f>
        <v>金钟护体罩（下册）</v>
      </c>
      <c r="K380" s="11">
        <f t="shared" ref="K380:K381" si="69">K379+1</f>
        <v>95201139</v>
      </c>
    </row>
    <row r="381" ht="15" spans="10:11">
      <c r="J381" s="10" t="str">
        <f>J376&amp;"（全本）"</f>
        <v>金钟护体罩（全本）</v>
      </c>
      <c r="K381" s="11">
        <f t="shared" si="69"/>
        <v>95201140</v>
      </c>
    </row>
    <row r="382" ht="15" spans="10:11">
      <c r="J382" s="3" t="s">
        <v>714</v>
      </c>
      <c r="K382" s="4">
        <v>95201141</v>
      </c>
    </row>
    <row r="383" ht="15" spans="10:11">
      <c r="J383" s="3" t="s">
        <v>714</v>
      </c>
      <c r="K383" s="4">
        <v>95201142</v>
      </c>
    </row>
    <row r="384" ht="15" spans="10:11">
      <c r="J384" s="3" t="s">
        <v>714</v>
      </c>
      <c r="K384" s="4">
        <v>95201143</v>
      </c>
    </row>
    <row r="385" ht="15" spans="10:11">
      <c r="J385" s="3" t="s">
        <v>714</v>
      </c>
      <c r="K385" s="4">
        <v>95201144</v>
      </c>
    </row>
    <row r="386" ht="15" spans="10:11">
      <c r="J386" s="3" t="s">
        <v>714</v>
      </c>
      <c r="K386" s="4">
        <v>95201145</v>
      </c>
    </row>
    <row r="387" ht="15" spans="10:11">
      <c r="J387" s="3" t="str">
        <f t="shared" ref="J387:J388" si="70">J386</f>
        <v>太虚无极劲</v>
      </c>
      <c r="K387" s="8">
        <f>K386+1</f>
        <v>95201146</v>
      </c>
    </row>
    <row r="388" ht="15" spans="10:11">
      <c r="J388" s="3" t="str">
        <f t="shared" si="70"/>
        <v>太虚无极劲</v>
      </c>
      <c r="K388" s="8">
        <f>K387+1</f>
        <v>95201147</v>
      </c>
    </row>
    <row r="389" ht="15" spans="10:11">
      <c r="J389" s="10" t="str">
        <f>J386&amp;"（上册）"</f>
        <v>太虚无极劲（上册）</v>
      </c>
      <c r="K389" s="11">
        <f>K388+1</f>
        <v>95201148</v>
      </c>
    </row>
    <row r="390" ht="15" spans="10:11">
      <c r="J390" s="10" t="str">
        <f>J386&amp;"（下册）"</f>
        <v>太虚无极劲（下册）</v>
      </c>
      <c r="K390" s="11">
        <f t="shared" ref="K390:K391" si="71">K389+1</f>
        <v>95201149</v>
      </c>
    </row>
    <row r="391" ht="15" spans="10:11">
      <c r="J391" s="10" t="str">
        <f>J386&amp;"（全本）"</f>
        <v>太虚无极劲（全本）</v>
      </c>
      <c r="K391" s="11">
        <f t="shared" si="71"/>
        <v>95201150</v>
      </c>
    </row>
    <row r="392" ht="15" spans="10:11">
      <c r="J392" s="3" t="s">
        <v>220</v>
      </c>
      <c r="K392" s="4">
        <v>95201151</v>
      </c>
    </row>
    <row r="393" ht="15" spans="10:11">
      <c r="J393" s="3" t="s">
        <v>220</v>
      </c>
      <c r="K393" s="4">
        <v>95201152</v>
      </c>
    </row>
    <row r="394" ht="15" spans="10:11">
      <c r="J394" s="3" t="s">
        <v>220</v>
      </c>
      <c r="K394" s="4">
        <v>95201153</v>
      </c>
    </row>
    <row r="395" ht="15" spans="10:11">
      <c r="J395" s="3" t="s">
        <v>220</v>
      </c>
      <c r="K395" s="4">
        <v>95201154</v>
      </c>
    </row>
    <row r="396" ht="15" spans="10:11">
      <c r="J396" s="3" t="s">
        <v>220</v>
      </c>
      <c r="K396" s="4">
        <v>95201155</v>
      </c>
    </row>
    <row r="397" ht="15" spans="10:11">
      <c r="J397" s="3" t="str">
        <f t="shared" ref="J397:J398" si="72">J396</f>
        <v>霸王卸甲</v>
      </c>
      <c r="K397" s="8">
        <f>K396+1</f>
        <v>95201156</v>
      </c>
    </row>
    <row r="398" ht="15" spans="10:11">
      <c r="J398" s="3" t="str">
        <f t="shared" si="72"/>
        <v>霸王卸甲</v>
      </c>
      <c r="K398" s="8">
        <f>K397+1</f>
        <v>95201157</v>
      </c>
    </row>
    <row r="399" ht="15" spans="10:11">
      <c r="J399" s="10" t="str">
        <f>J396&amp;"（上册）"</f>
        <v>霸王卸甲（上册）</v>
      </c>
      <c r="K399" s="11">
        <f>K398+1</f>
        <v>95201158</v>
      </c>
    </row>
    <row r="400" ht="15" spans="10:11">
      <c r="J400" s="10" t="str">
        <f>J396&amp;"（下册）"</f>
        <v>霸王卸甲（下册）</v>
      </c>
      <c r="K400" s="11">
        <f t="shared" ref="K400:K401" si="73">K399+1</f>
        <v>95201159</v>
      </c>
    </row>
    <row r="401" ht="15" spans="10:11">
      <c r="J401" s="10" t="str">
        <f>J396&amp;"（全本）"</f>
        <v>霸王卸甲（全本）</v>
      </c>
      <c r="K401" s="11">
        <f t="shared" si="73"/>
        <v>95201160</v>
      </c>
    </row>
    <row r="402" ht="15" spans="10:11">
      <c r="J402" s="3" t="s">
        <v>221</v>
      </c>
      <c r="K402" s="4">
        <v>95201161</v>
      </c>
    </row>
    <row r="403" ht="15" spans="10:11">
      <c r="J403" s="3" t="s">
        <v>221</v>
      </c>
      <c r="K403" s="4">
        <v>95201162</v>
      </c>
    </row>
    <row r="404" ht="15" spans="10:11">
      <c r="J404" s="3" t="s">
        <v>221</v>
      </c>
      <c r="K404" s="4">
        <v>95201163</v>
      </c>
    </row>
    <row r="405" ht="15" spans="10:11">
      <c r="J405" s="3" t="s">
        <v>221</v>
      </c>
      <c r="K405" s="4">
        <v>95201164</v>
      </c>
    </row>
    <row r="406" ht="15" spans="10:11">
      <c r="J406" s="3" t="s">
        <v>221</v>
      </c>
      <c r="K406" s="4">
        <v>95201165</v>
      </c>
    </row>
    <row r="407" ht="15" spans="10:11">
      <c r="J407" s="3" t="str">
        <f t="shared" ref="J407:J408" si="74">J406</f>
        <v>青囊宝钞</v>
      </c>
      <c r="K407" s="8">
        <f>K406+1</f>
        <v>95201166</v>
      </c>
    </row>
    <row r="408" ht="15" spans="10:11">
      <c r="J408" s="3" t="str">
        <f t="shared" si="74"/>
        <v>青囊宝钞</v>
      </c>
      <c r="K408" s="8">
        <f>K407+1</f>
        <v>95201167</v>
      </c>
    </row>
    <row r="409" ht="15" spans="10:11">
      <c r="J409" s="10" t="str">
        <f>J406&amp;"（上册）"</f>
        <v>青囊宝钞（上册）</v>
      </c>
      <c r="K409" s="11">
        <f>K408+1</f>
        <v>95201168</v>
      </c>
    </row>
    <row r="410" ht="15" spans="10:11">
      <c r="J410" s="10" t="str">
        <f>J406&amp;"（下册）"</f>
        <v>青囊宝钞（下册）</v>
      </c>
      <c r="K410" s="11">
        <f t="shared" ref="K410:K411" si="75">K409+1</f>
        <v>95201169</v>
      </c>
    </row>
    <row r="411" ht="15" spans="10:11">
      <c r="J411" s="10" t="str">
        <f>J406&amp;"（全本）"</f>
        <v>青囊宝钞（全本）</v>
      </c>
      <c r="K411" s="11">
        <f t="shared" si="75"/>
        <v>95201170</v>
      </c>
    </row>
    <row r="412" ht="15" spans="10:11">
      <c r="J412" s="3" t="s">
        <v>715</v>
      </c>
      <c r="K412" s="4">
        <v>95201171</v>
      </c>
    </row>
    <row r="413" ht="15" spans="10:11">
      <c r="J413" s="3" t="s">
        <v>715</v>
      </c>
      <c r="K413" s="4">
        <v>95201172</v>
      </c>
    </row>
    <row r="414" ht="15" spans="10:11">
      <c r="J414" s="3" t="s">
        <v>715</v>
      </c>
      <c r="K414" s="4">
        <v>95201173</v>
      </c>
    </row>
    <row r="415" ht="15" spans="10:11">
      <c r="J415" s="3" t="s">
        <v>715</v>
      </c>
      <c r="K415" s="4">
        <v>95201174</v>
      </c>
    </row>
    <row r="416" ht="15" spans="10:11">
      <c r="J416" s="3" t="s">
        <v>715</v>
      </c>
      <c r="K416" s="4">
        <v>95201175</v>
      </c>
    </row>
    <row r="417" ht="15" spans="10:11">
      <c r="J417" s="3" t="str">
        <f t="shared" ref="J417:J418" si="76">J416</f>
        <v>饮情蛊</v>
      </c>
      <c r="K417" s="8">
        <f>K416+1</f>
        <v>95201176</v>
      </c>
    </row>
    <row r="418" ht="15" spans="10:11">
      <c r="J418" s="3" t="str">
        <f t="shared" si="76"/>
        <v>饮情蛊</v>
      </c>
      <c r="K418" s="8">
        <f>K417+1</f>
        <v>95201177</v>
      </c>
    </row>
    <row r="419" ht="15" spans="10:11">
      <c r="J419" s="10" t="str">
        <f>J416&amp;"（上册）"</f>
        <v>饮情蛊（上册）</v>
      </c>
      <c r="K419" s="11">
        <f>K418+1</f>
        <v>95201178</v>
      </c>
    </row>
    <row r="420" ht="15" spans="10:11">
      <c r="J420" s="10" t="str">
        <f>J416&amp;"（下册）"</f>
        <v>饮情蛊（下册）</v>
      </c>
      <c r="K420" s="11">
        <f t="shared" ref="K420:K421" si="77">K419+1</f>
        <v>95201179</v>
      </c>
    </row>
    <row r="421" ht="15" spans="10:11">
      <c r="J421" s="10" t="str">
        <f>J416&amp;"（全本）"</f>
        <v>饮情蛊（全本）</v>
      </c>
      <c r="K421" s="11">
        <f t="shared" si="77"/>
        <v>95201180</v>
      </c>
    </row>
    <row r="422" ht="15" spans="10:11">
      <c r="J422" s="3" t="s">
        <v>227</v>
      </c>
      <c r="K422" s="4">
        <v>95201181</v>
      </c>
    </row>
    <row r="423" ht="15" spans="10:11">
      <c r="J423" s="3" t="s">
        <v>227</v>
      </c>
      <c r="K423" s="4">
        <v>95201182</v>
      </c>
    </row>
    <row r="424" ht="15" spans="10:11">
      <c r="J424" s="3" t="s">
        <v>227</v>
      </c>
      <c r="K424" s="4">
        <v>95201183</v>
      </c>
    </row>
    <row r="425" ht="15" spans="10:11">
      <c r="J425" s="3" t="s">
        <v>227</v>
      </c>
      <c r="K425" s="4">
        <v>95201184</v>
      </c>
    </row>
    <row r="426" ht="15" spans="10:11">
      <c r="J426" s="3" t="s">
        <v>227</v>
      </c>
      <c r="K426" s="4">
        <v>95201185</v>
      </c>
    </row>
    <row r="427" ht="15" spans="10:11">
      <c r="J427" s="3" t="s">
        <v>227</v>
      </c>
      <c r="K427" s="8">
        <v>95201186</v>
      </c>
    </row>
    <row r="428" ht="15" spans="10:11">
      <c r="J428" s="3" t="s">
        <v>227</v>
      </c>
      <c r="K428" s="8">
        <v>95201187</v>
      </c>
    </row>
    <row r="429" ht="15" spans="10:11">
      <c r="J429" s="10" t="s">
        <v>511</v>
      </c>
      <c r="K429" s="11">
        <v>95201188</v>
      </c>
    </row>
    <row r="430" ht="15" spans="10:11">
      <c r="J430" s="10" t="s">
        <v>541</v>
      </c>
      <c r="K430" s="11">
        <v>95201189</v>
      </c>
    </row>
    <row r="431" ht="15" spans="10:11">
      <c r="J431" s="10" t="s">
        <v>716</v>
      </c>
      <c r="K431" s="11">
        <v>95201190</v>
      </c>
    </row>
    <row r="432" ht="15" spans="10:11">
      <c r="J432" s="3" t="s">
        <v>717</v>
      </c>
      <c r="K432" s="4">
        <v>95301011</v>
      </c>
    </row>
    <row r="433" ht="15" spans="10:11">
      <c r="J433" s="3" t="s">
        <v>717</v>
      </c>
      <c r="K433" s="4">
        <v>95301012</v>
      </c>
    </row>
    <row r="434" ht="15" spans="10:11">
      <c r="J434" s="3" t="s">
        <v>717</v>
      </c>
      <c r="K434" s="4">
        <v>95301013</v>
      </c>
    </row>
    <row r="435" ht="15" spans="10:11">
      <c r="J435" s="3" t="s">
        <v>717</v>
      </c>
      <c r="K435" s="4">
        <v>95301014</v>
      </c>
    </row>
    <row r="436" ht="15" spans="10:11">
      <c r="J436" s="3" t="s">
        <v>717</v>
      </c>
      <c r="K436" s="4">
        <v>95301015</v>
      </c>
    </row>
    <row r="437" ht="15" spans="10:11">
      <c r="J437" s="3" t="str">
        <f t="shared" ref="J437:J438" si="78">J436</f>
        <v>步海阁</v>
      </c>
      <c r="K437" s="8">
        <f>K436+1</f>
        <v>95301016</v>
      </c>
    </row>
    <row r="438" ht="15" spans="10:11">
      <c r="J438" s="3" t="str">
        <f t="shared" si="78"/>
        <v>步海阁</v>
      </c>
      <c r="K438" s="8">
        <f>K437+1</f>
        <v>95301017</v>
      </c>
    </row>
    <row r="439" ht="15" spans="10:11">
      <c r="J439" s="10" t="str">
        <f>J436&amp;"（上册）"</f>
        <v>步海阁（上册）</v>
      </c>
      <c r="K439" s="11">
        <f>K438+1</f>
        <v>95301018</v>
      </c>
    </row>
    <row r="440" ht="15" spans="10:11">
      <c r="J440" s="10" t="str">
        <f>J436&amp;"（下册）"</f>
        <v>步海阁（下册）</v>
      </c>
      <c r="K440" s="11">
        <f t="shared" ref="K440:K441" si="79">K439+1</f>
        <v>95301019</v>
      </c>
    </row>
    <row r="441" ht="15" spans="10:11">
      <c r="J441" s="10" t="str">
        <f>J436&amp;"（全本）"</f>
        <v>步海阁（全本）</v>
      </c>
      <c r="K441" s="11">
        <f t="shared" si="79"/>
        <v>95301020</v>
      </c>
    </row>
    <row r="442" ht="15" spans="10:11">
      <c r="J442" s="3" t="s">
        <v>222</v>
      </c>
      <c r="K442" s="4">
        <v>95301021</v>
      </c>
    </row>
    <row r="443" ht="15" spans="10:11">
      <c r="J443" s="3" t="s">
        <v>222</v>
      </c>
      <c r="K443" s="4">
        <v>95301022</v>
      </c>
    </row>
    <row r="444" ht="15" spans="10:11">
      <c r="J444" s="3" t="s">
        <v>222</v>
      </c>
      <c r="K444" s="4">
        <v>95301023</v>
      </c>
    </row>
    <row r="445" ht="15" spans="10:11">
      <c r="J445" s="3" t="s">
        <v>222</v>
      </c>
      <c r="K445" s="4">
        <v>95301024</v>
      </c>
    </row>
    <row r="446" ht="15" spans="10:11">
      <c r="J446" s="3" t="s">
        <v>222</v>
      </c>
      <c r="K446" s="4">
        <v>95301025</v>
      </c>
    </row>
    <row r="447" ht="15" spans="10:11">
      <c r="J447" s="3" t="str">
        <f t="shared" ref="J447:J448" si="80">J446</f>
        <v>赶蝉游身环</v>
      </c>
      <c r="K447" s="8">
        <f>K446+1</f>
        <v>95301026</v>
      </c>
    </row>
    <row r="448" ht="15" spans="10:11">
      <c r="J448" s="3" t="str">
        <f t="shared" si="80"/>
        <v>赶蝉游身环</v>
      </c>
      <c r="K448" s="8">
        <f>K447+1</f>
        <v>95301027</v>
      </c>
    </row>
    <row r="449" ht="15" spans="10:11">
      <c r="J449" s="10" t="str">
        <f>J446&amp;"（上册）"</f>
        <v>赶蝉游身环（上册）</v>
      </c>
      <c r="K449" s="11">
        <f>K448+1</f>
        <v>95301028</v>
      </c>
    </row>
    <row r="450" ht="15" spans="10:11">
      <c r="J450" s="10" t="str">
        <f>J446&amp;"（下册）"</f>
        <v>赶蝉游身环（下册）</v>
      </c>
      <c r="K450" s="11">
        <f t="shared" ref="K450:K451" si="81">K449+1</f>
        <v>95301029</v>
      </c>
    </row>
    <row r="451" ht="15" spans="10:11">
      <c r="J451" s="10" t="str">
        <f>J446&amp;"（全本）"</f>
        <v>赶蝉游身环（全本）</v>
      </c>
      <c r="K451" s="11">
        <f t="shared" si="81"/>
        <v>95301030</v>
      </c>
    </row>
    <row r="452" ht="15" spans="10:11">
      <c r="J452" s="3" t="s">
        <v>223</v>
      </c>
      <c r="K452" s="4">
        <v>95301041</v>
      </c>
    </row>
    <row r="453" ht="15" spans="10:11">
      <c r="J453" s="3" t="s">
        <v>223</v>
      </c>
      <c r="K453" s="4">
        <v>95301042</v>
      </c>
    </row>
    <row r="454" ht="15" spans="10:11">
      <c r="J454" s="3" t="s">
        <v>223</v>
      </c>
      <c r="K454" s="4">
        <v>95301043</v>
      </c>
    </row>
    <row r="455" ht="15" spans="10:11">
      <c r="J455" s="3" t="s">
        <v>223</v>
      </c>
      <c r="K455" s="4">
        <v>95301044</v>
      </c>
    </row>
    <row r="456" ht="15" spans="10:11">
      <c r="J456" s="3" t="s">
        <v>223</v>
      </c>
      <c r="K456" s="4">
        <v>95301045</v>
      </c>
    </row>
    <row r="457" ht="15" spans="10:11">
      <c r="J457" s="3" t="str">
        <f t="shared" ref="J457:J458" si="82">J456</f>
        <v>洛神踏雪步</v>
      </c>
      <c r="K457" s="8">
        <f>K456+1</f>
        <v>95301046</v>
      </c>
    </row>
    <row r="458" ht="15" spans="10:11">
      <c r="J458" s="3" t="str">
        <f t="shared" si="82"/>
        <v>洛神踏雪步</v>
      </c>
      <c r="K458" s="8">
        <f>K457+1</f>
        <v>95301047</v>
      </c>
    </row>
    <row r="459" ht="15" spans="10:11">
      <c r="J459" s="10" t="str">
        <f>J456&amp;"（上册）"</f>
        <v>洛神踏雪步（上册）</v>
      </c>
      <c r="K459" s="11">
        <f>K458+1</f>
        <v>95301048</v>
      </c>
    </row>
    <row r="460" ht="15" spans="10:11">
      <c r="J460" s="10" t="str">
        <f>J456&amp;"（下册）"</f>
        <v>洛神踏雪步（下册）</v>
      </c>
      <c r="K460" s="11">
        <f t="shared" ref="K460:K461" si="83">K459+1</f>
        <v>95301049</v>
      </c>
    </row>
    <row r="461" ht="15" spans="10:11">
      <c r="J461" s="10" t="str">
        <f>J456&amp;"（全本）"</f>
        <v>洛神踏雪步（全本）</v>
      </c>
      <c r="K461" s="11">
        <f t="shared" si="83"/>
        <v>95301050</v>
      </c>
    </row>
    <row r="462" ht="15" spans="10:11">
      <c r="J462" s="3" t="s">
        <v>224</v>
      </c>
      <c r="K462" s="4">
        <v>95301051</v>
      </c>
    </row>
    <row r="463" ht="15" spans="10:11">
      <c r="J463" s="3" t="s">
        <v>224</v>
      </c>
      <c r="K463" s="4">
        <v>95301052</v>
      </c>
    </row>
    <row r="464" ht="15" spans="10:11">
      <c r="J464" s="3" t="s">
        <v>224</v>
      </c>
      <c r="K464" s="4">
        <v>95301053</v>
      </c>
    </row>
    <row r="465" ht="15" spans="10:11">
      <c r="J465" s="3" t="s">
        <v>224</v>
      </c>
      <c r="K465" s="4">
        <v>95301054</v>
      </c>
    </row>
    <row r="466" ht="15" spans="10:11">
      <c r="J466" s="3" t="s">
        <v>224</v>
      </c>
      <c r="K466" s="4">
        <v>95301055</v>
      </c>
    </row>
    <row r="467" ht="15" spans="10:11">
      <c r="J467" s="3" t="str">
        <f t="shared" ref="J467:J468" si="84">J466</f>
        <v>晴梅花步</v>
      </c>
      <c r="K467" s="8">
        <f>K466+1</f>
        <v>95301056</v>
      </c>
    </row>
    <row r="468" ht="15" spans="10:11">
      <c r="J468" s="3" t="str">
        <f t="shared" si="84"/>
        <v>晴梅花步</v>
      </c>
      <c r="K468" s="8">
        <f>K467+1</f>
        <v>95301057</v>
      </c>
    </row>
    <row r="469" ht="15" spans="10:11">
      <c r="J469" s="10" t="str">
        <f>J466&amp;"（上册）"</f>
        <v>晴梅花步（上册）</v>
      </c>
      <c r="K469" s="11">
        <f>K468+1</f>
        <v>95301058</v>
      </c>
    </row>
    <row r="470" ht="15" spans="10:11">
      <c r="J470" s="10" t="str">
        <f>J466&amp;"（下册）"</f>
        <v>晴梅花步（下册）</v>
      </c>
      <c r="K470" s="11">
        <f t="shared" ref="K470:K471" si="85">K469+1</f>
        <v>95301059</v>
      </c>
    </row>
    <row r="471" ht="15" spans="10:11">
      <c r="J471" s="10" t="str">
        <f>J466&amp;"（全本）"</f>
        <v>晴梅花步（全本）</v>
      </c>
      <c r="K471" s="11">
        <f t="shared" si="85"/>
        <v>95301060</v>
      </c>
    </row>
    <row r="472" ht="15" spans="10:11">
      <c r="J472" s="3" t="s">
        <v>718</v>
      </c>
      <c r="K472" s="4">
        <v>95301061</v>
      </c>
    </row>
    <row r="473" ht="15" spans="10:11">
      <c r="J473" s="3" t="s">
        <v>718</v>
      </c>
      <c r="K473" s="4">
        <v>95301062</v>
      </c>
    </row>
    <row r="474" ht="15" spans="10:11">
      <c r="J474" s="3" t="s">
        <v>718</v>
      </c>
      <c r="K474" s="4">
        <v>95301063</v>
      </c>
    </row>
    <row r="475" ht="15" spans="10:11">
      <c r="J475" s="3" t="s">
        <v>718</v>
      </c>
      <c r="K475" s="4">
        <v>95301064</v>
      </c>
    </row>
    <row r="476" ht="15" spans="10:11">
      <c r="J476" s="3" t="s">
        <v>718</v>
      </c>
      <c r="K476" s="4">
        <v>95301065</v>
      </c>
    </row>
    <row r="477" ht="15" spans="10:11">
      <c r="J477" s="3" t="str">
        <f t="shared" ref="J477:J478" si="86">J476</f>
        <v>犰狳穿滚术</v>
      </c>
      <c r="K477" s="8">
        <f>K476+1</f>
        <v>95301066</v>
      </c>
    </row>
    <row r="478" ht="15" spans="10:11">
      <c r="J478" s="3" t="str">
        <f t="shared" si="86"/>
        <v>犰狳穿滚术</v>
      </c>
      <c r="K478" s="8">
        <f>K477+1</f>
        <v>95301067</v>
      </c>
    </row>
    <row r="479" ht="15" spans="10:11">
      <c r="J479" s="10" t="str">
        <f>J476&amp;"（上册）"</f>
        <v>犰狳穿滚术（上册）</v>
      </c>
      <c r="K479" s="11">
        <f>K478+1</f>
        <v>95301068</v>
      </c>
    </row>
    <row r="480" ht="15" spans="10:11">
      <c r="J480" s="10" t="str">
        <f>J476&amp;"（下册）"</f>
        <v>犰狳穿滚术（下册）</v>
      </c>
      <c r="K480" s="11">
        <f t="shared" ref="K480:K481" si="87">K479+1</f>
        <v>95301069</v>
      </c>
    </row>
    <row r="481" ht="15" spans="10:11">
      <c r="J481" s="10" t="str">
        <f>J476&amp;"（全本）"</f>
        <v>犰狳穿滚术（全本）</v>
      </c>
      <c r="K481" s="11">
        <f t="shared" si="87"/>
        <v>95301070</v>
      </c>
    </row>
    <row r="482" ht="15" spans="10:11">
      <c r="J482" s="3" t="s">
        <v>719</v>
      </c>
      <c r="K482" s="4">
        <v>95301071</v>
      </c>
    </row>
    <row r="483" ht="15" spans="10:11">
      <c r="J483" s="3" t="s">
        <v>719</v>
      </c>
      <c r="K483" s="4">
        <v>95301072</v>
      </c>
    </row>
    <row r="484" ht="15" spans="10:11">
      <c r="J484" s="3" t="s">
        <v>719</v>
      </c>
      <c r="K484" s="4">
        <v>95301073</v>
      </c>
    </row>
    <row r="485" ht="15" spans="10:11">
      <c r="J485" s="3" t="s">
        <v>719</v>
      </c>
      <c r="K485" s="4">
        <v>95301074</v>
      </c>
    </row>
    <row r="486" ht="15" spans="10:11">
      <c r="J486" s="3" t="s">
        <v>719</v>
      </c>
      <c r="K486" s="4">
        <v>95301075</v>
      </c>
    </row>
    <row r="487" ht="15" spans="10:11">
      <c r="J487" s="3" t="str">
        <f t="shared" ref="J487:J488" si="88">J486</f>
        <v>梯云纵</v>
      </c>
      <c r="K487" s="8">
        <f>K486+1</f>
        <v>95301076</v>
      </c>
    </row>
    <row r="488" ht="15" spans="10:11">
      <c r="J488" s="3" t="str">
        <f t="shared" si="88"/>
        <v>梯云纵</v>
      </c>
      <c r="K488" s="8">
        <f>K487+1</f>
        <v>95301077</v>
      </c>
    </row>
    <row r="489" ht="15" spans="10:11">
      <c r="J489" s="10" t="str">
        <f>J486&amp;"（上册）"</f>
        <v>梯云纵（上册）</v>
      </c>
      <c r="K489" s="11">
        <f>K488+1</f>
        <v>95301078</v>
      </c>
    </row>
    <row r="490" ht="15" spans="10:11">
      <c r="J490" s="10" t="str">
        <f>J486&amp;"（下册）"</f>
        <v>梯云纵（下册）</v>
      </c>
      <c r="K490" s="11">
        <f t="shared" ref="K490:K491" si="89">K489+1</f>
        <v>95301079</v>
      </c>
    </row>
    <row r="491" ht="15" spans="10:11">
      <c r="J491" s="10" t="str">
        <f>J486&amp;"（全本）"</f>
        <v>梯云纵（全本）</v>
      </c>
      <c r="K491" s="11">
        <f t="shared" si="89"/>
        <v>95301080</v>
      </c>
    </row>
    <row r="492" ht="15" spans="10:11">
      <c r="J492" s="3" t="s">
        <v>720</v>
      </c>
      <c r="K492" s="4">
        <v>95301081</v>
      </c>
    </row>
    <row r="493" ht="15" spans="10:11">
      <c r="J493" s="3" t="s">
        <v>720</v>
      </c>
      <c r="K493" s="4">
        <v>95301082</v>
      </c>
    </row>
    <row r="494" ht="15" spans="10:11">
      <c r="J494" s="3" t="s">
        <v>720</v>
      </c>
      <c r="K494" s="4">
        <v>95301083</v>
      </c>
    </row>
    <row r="495" ht="15" spans="10:11">
      <c r="J495" s="3" t="s">
        <v>720</v>
      </c>
      <c r="K495" s="4">
        <v>95301084</v>
      </c>
    </row>
    <row r="496" ht="15" spans="10:11">
      <c r="J496" s="3" t="s">
        <v>720</v>
      </c>
      <c r="K496" s="4">
        <v>95301085</v>
      </c>
    </row>
    <row r="497" ht="15" spans="10:11">
      <c r="J497" s="3" t="str">
        <f t="shared" ref="J497:J498" si="90">J496</f>
        <v>魍魉诡步</v>
      </c>
      <c r="K497" s="8">
        <f>K496+1</f>
        <v>95301086</v>
      </c>
    </row>
    <row r="498" ht="15" spans="10:11">
      <c r="J498" s="3" t="str">
        <f t="shared" si="90"/>
        <v>魍魉诡步</v>
      </c>
      <c r="K498" s="8">
        <f>K497+1</f>
        <v>95301087</v>
      </c>
    </row>
    <row r="499" ht="15" spans="10:11">
      <c r="J499" s="10" t="str">
        <f>J496&amp;"（上册）"</f>
        <v>魍魉诡步（上册）</v>
      </c>
      <c r="K499" s="11">
        <f>K498+1</f>
        <v>95301088</v>
      </c>
    </row>
    <row r="500" ht="15" spans="10:11">
      <c r="J500" s="10" t="str">
        <f>J496&amp;"（下册）"</f>
        <v>魍魉诡步（下册）</v>
      </c>
      <c r="K500" s="11">
        <f t="shared" ref="K500:K501" si="91">K499+1</f>
        <v>95301089</v>
      </c>
    </row>
    <row r="501" ht="15" spans="10:11">
      <c r="J501" s="10" t="str">
        <f>J496&amp;"（全本）"</f>
        <v>魍魉诡步（全本）</v>
      </c>
      <c r="K501" s="11">
        <f t="shared" si="91"/>
        <v>95301090</v>
      </c>
    </row>
    <row r="502" ht="15" spans="10:11">
      <c r="J502" s="3" t="s">
        <v>226</v>
      </c>
      <c r="K502" s="4">
        <v>95301091</v>
      </c>
    </row>
    <row r="503" ht="15" spans="10:11">
      <c r="J503" s="3" t="s">
        <v>226</v>
      </c>
      <c r="K503" s="4">
        <v>95301092</v>
      </c>
    </row>
    <row r="504" ht="15" spans="10:11">
      <c r="J504" s="3" t="s">
        <v>226</v>
      </c>
      <c r="K504" s="4">
        <v>95301093</v>
      </c>
    </row>
    <row r="505" ht="15" spans="10:11">
      <c r="J505" s="3" t="s">
        <v>226</v>
      </c>
      <c r="K505" s="4">
        <v>95301094</v>
      </c>
    </row>
    <row r="506" ht="15" spans="10:11">
      <c r="J506" s="3" t="s">
        <v>226</v>
      </c>
      <c r="K506" s="4">
        <v>95301095</v>
      </c>
    </row>
    <row r="507" ht="15" spans="10:11">
      <c r="J507" s="3" t="str">
        <f t="shared" ref="J507:J508" si="92">J506</f>
        <v>燕纵步</v>
      </c>
      <c r="K507" s="8">
        <f>K506+1</f>
        <v>95301096</v>
      </c>
    </row>
    <row r="508" ht="15" spans="10:11">
      <c r="J508" s="3" t="str">
        <f t="shared" si="92"/>
        <v>燕纵步</v>
      </c>
      <c r="K508" s="8">
        <f>K507+1</f>
        <v>95301097</v>
      </c>
    </row>
    <row r="509" ht="15" spans="10:11">
      <c r="J509" s="10" t="str">
        <f>J506&amp;"（上册）"</f>
        <v>燕纵步（上册）</v>
      </c>
      <c r="K509" s="11">
        <f>K508+1</f>
        <v>95301098</v>
      </c>
    </row>
    <row r="510" ht="15" spans="10:11">
      <c r="J510" s="10" t="str">
        <f>J506&amp;"（下册）"</f>
        <v>燕纵步（下册）</v>
      </c>
      <c r="K510" s="11">
        <f t="shared" ref="K510:K511" si="93">K509+1</f>
        <v>95301099</v>
      </c>
    </row>
    <row r="511" ht="15" spans="10:11">
      <c r="J511" s="10" t="str">
        <f>J506&amp;"（全本）"</f>
        <v>燕纵步（全本）</v>
      </c>
      <c r="K511" s="11">
        <f t="shared" si="93"/>
        <v>95301100</v>
      </c>
    </row>
    <row r="512" ht="15" spans="10:11">
      <c r="J512" s="3" t="s">
        <v>721</v>
      </c>
      <c r="K512" s="4">
        <v>95301101</v>
      </c>
    </row>
    <row r="513" ht="15" spans="10:11">
      <c r="J513" s="3" t="s">
        <v>721</v>
      </c>
      <c r="K513" s="4">
        <v>95301102</v>
      </c>
    </row>
    <row r="514" ht="15" spans="10:11">
      <c r="J514" s="3" t="s">
        <v>721</v>
      </c>
      <c r="K514" s="4">
        <v>95301103</v>
      </c>
    </row>
    <row r="515" ht="15" spans="10:11">
      <c r="J515" s="3" t="s">
        <v>721</v>
      </c>
      <c r="K515" s="4">
        <v>95301104</v>
      </c>
    </row>
    <row r="516" ht="15" spans="10:11">
      <c r="J516" s="3" t="s">
        <v>721</v>
      </c>
      <c r="K516" s="4">
        <v>95301105</v>
      </c>
    </row>
    <row r="517" ht="15" spans="10:11">
      <c r="J517" s="3" t="str">
        <f t="shared" ref="J517:J518" si="94">J516</f>
        <v>长亭远寄</v>
      </c>
      <c r="K517" s="8">
        <f>K516+1</f>
        <v>95301106</v>
      </c>
    </row>
    <row r="518" ht="15" spans="10:11">
      <c r="J518" s="3" t="str">
        <f t="shared" si="94"/>
        <v>长亭远寄</v>
      </c>
      <c r="K518" s="8">
        <f>K517+1</f>
        <v>95301107</v>
      </c>
    </row>
    <row r="519" ht="15" spans="10:11">
      <c r="J519" s="10" t="str">
        <f>J516&amp;"（上册）"</f>
        <v>长亭远寄（上册）</v>
      </c>
      <c r="K519" s="11">
        <f>K518+1</f>
        <v>95301108</v>
      </c>
    </row>
    <row r="520" ht="15" spans="10:11">
      <c r="J520" s="10" t="str">
        <f>J516&amp;"（下册）"</f>
        <v>长亭远寄（下册）</v>
      </c>
      <c r="K520" s="11">
        <f t="shared" ref="K520:K521" si="95">K519+1</f>
        <v>95301109</v>
      </c>
    </row>
    <row r="521" ht="15" spans="10:11">
      <c r="J521" s="10" t="str">
        <f>J516&amp;"（全本）"</f>
        <v>长亭远寄（全本）</v>
      </c>
      <c r="K521" s="11">
        <f t="shared" si="95"/>
        <v>95301110</v>
      </c>
    </row>
    <row r="522" ht="15" spans="10:11">
      <c r="J522" s="3" t="s">
        <v>722</v>
      </c>
      <c r="K522" s="4">
        <v>95301111</v>
      </c>
    </row>
    <row r="523" ht="15" spans="10:11">
      <c r="J523" s="3" t="s">
        <v>722</v>
      </c>
      <c r="K523" s="4">
        <v>95301112</v>
      </c>
    </row>
    <row r="524" ht="15" spans="10:11">
      <c r="J524" s="3" t="s">
        <v>722</v>
      </c>
      <c r="K524" s="4">
        <v>95301113</v>
      </c>
    </row>
    <row r="525" ht="15" spans="10:11">
      <c r="J525" s="3" t="s">
        <v>722</v>
      </c>
      <c r="K525" s="4">
        <v>95301114</v>
      </c>
    </row>
    <row r="526" ht="15" spans="10:11">
      <c r="J526" s="3" t="s">
        <v>722</v>
      </c>
      <c r="K526" s="4">
        <v>95301115</v>
      </c>
    </row>
    <row r="527" ht="15" spans="10:11">
      <c r="J527" s="10" t="str">
        <f t="shared" ref="J527:J528" si="96">J526</f>
        <v>凌波微步</v>
      </c>
      <c r="K527" s="11">
        <f>K526+1</f>
        <v>95301116</v>
      </c>
    </row>
    <row r="528" ht="15" spans="10:11">
      <c r="J528" s="3" t="str">
        <f t="shared" si="96"/>
        <v>凌波微步</v>
      </c>
      <c r="K528" s="8">
        <f>K527+1</f>
        <v>95301117</v>
      </c>
    </row>
    <row r="529" ht="15" spans="10:11">
      <c r="J529" s="10" t="str">
        <f>J526&amp;"（上册）"</f>
        <v>凌波微步（上册）</v>
      </c>
      <c r="K529" s="11">
        <f>K528+1</f>
        <v>95301118</v>
      </c>
    </row>
    <row r="530" ht="15" spans="10:11">
      <c r="J530" s="10" t="str">
        <f>J526&amp;"（下册）"</f>
        <v>凌波微步（下册）</v>
      </c>
      <c r="K530" s="11">
        <f t="shared" ref="K530:K531" si="97">K529+1</f>
        <v>95301119</v>
      </c>
    </row>
    <row r="531" ht="15" spans="10:11">
      <c r="J531" s="10" t="str">
        <f>J526&amp;"（全本）"</f>
        <v>凌波微步（全本）</v>
      </c>
      <c r="K531" s="11">
        <f t="shared" si="97"/>
        <v>95301120</v>
      </c>
    </row>
    <row r="532" ht="15" spans="10:11">
      <c r="J532" s="3" t="s">
        <v>723</v>
      </c>
      <c r="K532" s="4">
        <v>95301121</v>
      </c>
    </row>
    <row r="533" ht="15" spans="10:11">
      <c r="J533" s="3" t="s">
        <v>723</v>
      </c>
      <c r="K533" s="4">
        <v>95301122</v>
      </c>
    </row>
    <row r="534" ht="15" spans="10:11">
      <c r="J534" s="3" t="s">
        <v>723</v>
      </c>
      <c r="K534" s="4">
        <v>95301123</v>
      </c>
    </row>
    <row r="535" ht="15" spans="10:11">
      <c r="J535" s="3" t="s">
        <v>723</v>
      </c>
      <c r="K535" s="4">
        <v>95301124</v>
      </c>
    </row>
    <row r="536" ht="15" spans="10:11">
      <c r="J536" s="3" t="s">
        <v>723</v>
      </c>
      <c r="K536" s="4">
        <v>95301125</v>
      </c>
    </row>
    <row r="537" ht="15" spans="10:11">
      <c r="J537" s="3" t="str">
        <f t="shared" ref="J537:J538" si="98">J536</f>
        <v>巫蟒堕月</v>
      </c>
      <c r="K537" s="8">
        <f>K536+1</f>
        <v>95301126</v>
      </c>
    </row>
    <row r="538" ht="15" spans="10:11">
      <c r="J538" s="3" t="str">
        <f t="shared" si="98"/>
        <v>巫蟒堕月</v>
      </c>
      <c r="K538" s="8">
        <f>K537+1</f>
        <v>95301127</v>
      </c>
    </row>
    <row r="539" ht="15" spans="10:11">
      <c r="J539" s="10" t="str">
        <f>J536&amp;"（上册）"</f>
        <v>巫蟒堕月（上册）</v>
      </c>
      <c r="K539" s="11">
        <f>K538+1</f>
        <v>95301128</v>
      </c>
    </row>
    <row r="540" ht="15" spans="10:11">
      <c r="J540" s="10" t="str">
        <f>J536&amp;"（下册）"</f>
        <v>巫蟒堕月（下册）</v>
      </c>
      <c r="K540" s="11">
        <f t="shared" ref="K540:K541" si="99">K539+1</f>
        <v>95301129</v>
      </c>
    </row>
    <row r="541" ht="15" spans="10:11">
      <c r="J541" s="10" t="str">
        <f>J536&amp;"（全本）"</f>
        <v>巫蟒堕月（全本）</v>
      </c>
      <c r="K541" s="11">
        <f t="shared" si="99"/>
        <v>95301130</v>
      </c>
    </row>
    <row r="542" ht="15" spans="10:11">
      <c r="J542" s="3" t="s">
        <v>225</v>
      </c>
      <c r="K542" s="4">
        <v>95301131</v>
      </c>
    </row>
    <row r="543" ht="15" spans="10:11">
      <c r="J543" s="3" t="s">
        <v>225</v>
      </c>
      <c r="K543" s="4">
        <v>95301132</v>
      </c>
    </row>
    <row r="544" ht="15" spans="10:11">
      <c r="J544" s="3" t="s">
        <v>225</v>
      </c>
      <c r="K544" s="4">
        <v>95301133</v>
      </c>
    </row>
    <row r="545" ht="15" spans="10:11">
      <c r="J545" s="3" t="s">
        <v>225</v>
      </c>
      <c r="K545" s="4">
        <v>95301134</v>
      </c>
    </row>
    <row r="546" ht="15" spans="10:11">
      <c r="J546" s="3" t="s">
        <v>225</v>
      </c>
      <c r="K546" s="4">
        <v>95301135</v>
      </c>
    </row>
    <row r="547" ht="15" spans="10:11">
      <c r="J547" s="3" t="str">
        <f t="shared" ref="J547:J548" si="100">J546</f>
        <v>紫乌啸凤图</v>
      </c>
      <c r="K547" s="8">
        <f>K546+1</f>
        <v>95301136</v>
      </c>
    </row>
    <row r="548" ht="15" spans="10:11">
      <c r="J548" s="3" t="str">
        <f t="shared" si="100"/>
        <v>紫乌啸凤图</v>
      </c>
      <c r="K548" s="8">
        <f>K547+1</f>
        <v>95301137</v>
      </c>
    </row>
    <row r="549" ht="15" spans="10:11">
      <c r="J549" s="10" t="str">
        <f>J546&amp;"（上册）"</f>
        <v>紫乌啸凤图（上册）</v>
      </c>
      <c r="K549" s="11">
        <f>K548+1</f>
        <v>95301138</v>
      </c>
    </row>
    <row r="550" ht="15" spans="10:11">
      <c r="J550" s="10" t="str">
        <f>J546&amp;"（下册）"</f>
        <v>紫乌啸凤图（下册）</v>
      </c>
      <c r="K550" s="11">
        <f t="shared" ref="K550:K551" si="101">K549+1</f>
        <v>95301139</v>
      </c>
    </row>
    <row r="551" ht="15" spans="10:11">
      <c r="J551" s="10" t="str">
        <f>J546&amp;"（全本）"</f>
        <v>紫乌啸凤图（全本）</v>
      </c>
      <c r="K551" s="11">
        <f t="shared" si="101"/>
        <v>95301140</v>
      </c>
    </row>
    <row r="552" ht="15" spans="10:11">
      <c r="J552" s="3" t="s">
        <v>228</v>
      </c>
      <c r="K552" s="4">
        <v>95301141</v>
      </c>
    </row>
    <row r="553" ht="15" spans="10:11">
      <c r="J553" s="3" t="s">
        <v>228</v>
      </c>
      <c r="K553" s="4">
        <v>95301142</v>
      </c>
    </row>
    <row r="554" ht="15" spans="10:11">
      <c r="J554" s="3" t="s">
        <v>228</v>
      </c>
      <c r="K554" s="4">
        <v>95301143</v>
      </c>
    </row>
    <row r="555" ht="15" spans="10:11">
      <c r="J555" s="3" t="s">
        <v>228</v>
      </c>
      <c r="K555" s="4">
        <v>95301144</v>
      </c>
    </row>
    <row r="556" ht="15" spans="10:11">
      <c r="J556" s="3" t="s">
        <v>228</v>
      </c>
      <c r="K556" s="4">
        <v>95301145</v>
      </c>
    </row>
    <row r="557" ht="15" spans="10:11">
      <c r="J557" s="3" t="str">
        <f t="shared" ref="J557:J558" si="102">J556</f>
        <v>撼山步</v>
      </c>
      <c r="K557" s="8">
        <f>K556+1</f>
        <v>95301146</v>
      </c>
    </row>
    <row r="558" ht="15" spans="10:11">
      <c r="J558" s="3" t="str">
        <f t="shared" si="102"/>
        <v>撼山步</v>
      </c>
      <c r="K558" s="8">
        <f>K557+1</f>
        <v>95301147</v>
      </c>
    </row>
    <row r="559" ht="15" spans="10:11">
      <c r="J559" s="10" t="str">
        <f>J556&amp;"（上册）"</f>
        <v>撼山步（上册）</v>
      </c>
      <c r="K559" s="11">
        <f>K558+1</f>
        <v>95301148</v>
      </c>
    </row>
    <row r="560" ht="15" spans="10:11">
      <c r="J560" s="10" t="str">
        <f>J556&amp;"（下册）"</f>
        <v>撼山步（下册）</v>
      </c>
      <c r="K560" s="11">
        <f t="shared" ref="K560:K561" si="103">K559+1</f>
        <v>95301149</v>
      </c>
    </row>
    <row r="561" ht="15" spans="10:11">
      <c r="J561" s="10" t="str">
        <f>J556&amp;"（全本）"</f>
        <v>撼山步（全本）</v>
      </c>
      <c r="K561" s="11">
        <f t="shared" si="103"/>
        <v>95301150</v>
      </c>
    </row>
    <row r="562" ht="15" spans="10:11">
      <c r="J562" s="3" t="s">
        <v>229</v>
      </c>
      <c r="K562" s="4">
        <v>95301151</v>
      </c>
    </row>
    <row r="563" ht="15" spans="10:11">
      <c r="J563" s="3" t="s">
        <v>229</v>
      </c>
      <c r="K563" s="4">
        <v>95301152</v>
      </c>
    </row>
    <row r="564" ht="15" spans="10:11">
      <c r="J564" s="3" t="s">
        <v>229</v>
      </c>
      <c r="K564" s="4">
        <v>95301153</v>
      </c>
    </row>
    <row r="565" ht="15" spans="10:11">
      <c r="J565" s="3" t="s">
        <v>229</v>
      </c>
      <c r="K565" s="4">
        <v>95301154</v>
      </c>
    </row>
    <row r="566" ht="15" spans="10:11">
      <c r="J566" s="3" t="s">
        <v>229</v>
      </c>
      <c r="K566" s="4">
        <v>95301155</v>
      </c>
    </row>
    <row r="567" ht="15" spans="10:11">
      <c r="J567" s="3" t="s">
        <v>229</v>
      </c>
      <c r="K567" s="8">
        <v>95301156</v>
      </c>
    </row>
    <row r="568" ht="15" spans="10:11">
      <c r="J568" s="3" t="s">
        <v>229</v>
      </c>
      <c r="K568" s="8">
        <v>95301157</v>
      </c>
    </row>
    <row r="569" ht="15" spans="10:11">
      <c r="J569" s="10" t="s">
        <v>517</v>
      </c>
      <c r="K569" s="11">
        <v>95301158</v>
      </c>
    </row>
    <row r="570" ht="15" spans="10:11">
      <c r="J570" s="10" t="s">
        <v>547</v>
      </c>
      <c r="K570" s="11">
        <v>95301159</v>
      </c>
    </row>
    <row r="571" ht="15" spans="10:11">
      <c r="J571" s="10" t="s">
        <v>724</v>
      </c>
      <c r="K571" s="11">
        <v>95301160</v>
      </c>
    </row>
    <row r="572" ht="15" spans="10:11">
      <c r="J572" s="21" t="s">
        <v>432</v>
      </c>
      <c r="K572" s="4">
        <v>95501002</v>
      </c>
    </row>
    <row r="573" ht="15" spans="10:11">
      <c r="J573" s="21" t="s">
        <v>437</v>
      </c>
      <c r="K573" s="4">
        <v>95501011</v>
      </c>
    </row>
    <row r="574" ht="15" spans="10:11">
      <c r="J574" s="21" t="s">
        <v>438</v>
      </c>
      <c r="K574" s="4">
        <v>95502002</v>
      </c>
    </row>
    <row r="575" ht="15" spans="10:11">
      <c r="J575" s="21" t="s">
        <v>439</v>
      </c>
      <c r="K575" s="4">
        <v>95502011</v>
      </c>
    </row>
    <row r="576" ht="15" spans="10:11">
      <c r="J576" s="3" t="s">
        <v>445</v>
      </c>
      <c r="K576" s="4">
        <v>95503002</v>
      </c>
    </row>
    <row r="577" ht="15" spans="10:11">
      <c r="J577" s="21" t="s">
        <v>446</v>
      </c>
      <c r="K577" s="4">
        <v>95503011</v>
      </c>
    </row>
    <row r="578" ht="15" spans="10:11">
      <c r="J578" s="21" t="s">
        <v>447</v>
      </c>
      <c r="K578" s="4">
        <v>95504002</v>
      </c>
    </row>
    <row r="579" ht="15" spans="10:11">
      <c r="J579" s="21" t="s">
        <v>448</v>
      </c>
      <c r="K579" s="4">
        <v>95504011</v>
      </c>
    </row>
    <row r="580" ht="15" spans="10:11">
      <c r="J580" s="21" t="s">
        <v>449</v>
      </c>
      <c r="K580" s="4">
        <v>95505002</v>
      </c>
    </row>
    <row r="581" ht="15" spans="10:11">
      <c r="J581" s="21" t="s">
        <v>450</v>
      </c>
      <c r="K581" s="4">
        <v>95505011</v>
      </c>
    </row>
    <row r="582" ht="15" spans="10:11">
      <c r="J582" s="21" t="s">
        <v>451</v>
      </c>
      <c r="K582" s="4">
        <v>95506002</v>
      </c>
    </row>
    <row r="583" ht="15" spans="10:11">
      <c r="J583" s="21" t="s">
        <v>452</v>
      </c>
      <c r="K583" s="4">
        <v>95506011</v>
      </c>
    </row>
    <row r="584" ht="15" spans="10:11">
      <c r="J584" s="21" t="s">
        <v>453</v>
      </c>
      <c r="K584" s="4">
        <v>95509002</v>
      </c>
    </row>
    <row r="585" ht="15" spans="10:11">
      <c r="J585" s="21" t="s">
        <v>454</v>
      </c>
      <c r="K585" s="4">
        <v>95509011</v>
      </c>
    </row>
    <row r="586" ht="15" spans="10:11">
      <c r="J586" s="21" t="s">
        <v>455</v>
      </c>
      <c r="K586" s="4">
        <v>95510002</v>
      </c>
    </row>
    <row r="587" ht="15" spans="10:11">
      <c r="J587" s="21" t="s">
        <v>456</v>
      </c>
      <c r="K587" s="4">
        <v>95510011</v>
      </c>
    </row>
    <row r="588" ht="15" spans="10:11">
      <c r="J588" s="21" t="s">
        <v>457</v>
      </c>
      <c r="K588" s="4">
        <v>95511002</v>
      </c>
    </row>
    <row r="589" ht="15" spans="10:11">
      <c r="J589" s="21" t="s">
        <v>458</v>
      </c>
      <c r="K589" s="4">
        <v>95511011</v>
      </c>
    </row>
    <row r="590" ht="15" spans="10:11">
      <c r="J590" s="21" t="s">
        <v>459</v>
      </c>
      <c r="K590" s="4">
        <v>95512002</v>
      </c>
    </row>
    <row r="591" ht="15" spans="10:11">
      <c r="J591" s="21" t="s">
        <v>460</v>
      </c>
      <c r="K591" s="4">
        <v>95512011</v>
      </c>
    </row>
    <row r="592" ht="15" spans="10:11">
      <c r="J592" s="21" t="s">
        <v>725</v>
      </c>
      <c r="K592" s="4">
        <v>95513002</v>
      </c>
    </row>
    <row r="593" ht="15" spans="10:11">
      <c r="J593" s="21" t="s">
        <v>726</v>
      </c>
      <c r="K593" s="4">
        <v>95513011</v>
      </c>
    </row>
    <row r="594" ht="15" spans="10:11">
      <c r="J594" s="21" t="s">
        <v>461</v>
      </c>
      <c r="K594" s="4">
        <v>95514002</v>
      </c>
    </row>
    <row r="595" ht="15" spans="10:11">
      <c r="J595" s="21" t="s">
        <v>462</v>
      </c>
      <c r="K595" s="4">
        <v>95514011</v>
      </c>
    </row>
    <row r="596" ht="15" spans="10:11">
      <c r="J596" s="21" t="s">
        <v>463</v>
      </c>
      <c r="K596" s="4">
        <v>95515002</v>
      </c>
    </row>
    <row r="597" ht="15" spans="10:11">
      <c r="J597" s="21" t="s">
        <v>464</v>
      </c>
      <c r="K597" s="4">
        <v>95515011</v>
      </c>
    </row>
    <row r="598" ht="15" spans="10:11">
      <c r="J598" s="21" t="s">
        <v>465</v>
      </c>
      <c r="K598" s="4">
        <v>95901001</v>
      </c>
    </row>
    <row r="599" ht="15" spans="10:11">
      <c r="J599" s="22" t="s">
        <v>466</v>
      </c>
      <c r="K599" s="4">
        <v>95901002</v>
      </c>
    </row>
    <row r="600" ht="15" spans="10:11">
      <c r="J600" s="22" t="s">
        <v>467</v>
      </c>
      <c r="K600" s="4">
        <v>95902001</v>
      </c>
    </row>
    <row r="601" ht="15" spans="10:11">
      <c r="J601" s="23" t="s">
        <v>468</v>
      </c>
      <c r="K601" s="4">
        <v>95902002</v>
      </c>
    </row>
    <row r="602" ht="15" spans="10:11">
      <c r="J602" s="23" t="s">
        <v>469</v>
      </c>
      <c r="K602" s="4">
        <v>95903001</v>
      </c>
    </row>
    <row r="603" ht="15" spans="10:11">
      <c r="J603" s="22" t="s">
        <v>470</v>
      </c>
      <c r="K603" s="4">
        <v>95903002</v>
      </c>
    </row>
    <row r="604" ht="15" spans="10:11">
      <c r="J604" s="22" t="s">
        <v>471</v>
      </c>
      <c r="K604" s="4">
        <v>95904002</v>
      </c>
    </row>
    <row r="605" ht="15" spans="10:11">
      <c r="J605" s="22" t="s">
        <v>472</v>
      </c>
      <c r="K605" s="4">
        <v>95904001</v>
      </c>
    </row>
    <row r="606" ht="15" spans="10:11">
      <c r="J606" s="22" t="s">
        <v>473</v>
      </c>
      <c r="K606" s="4">
        <v>95905002</v>
      </c>
    </row>
    <row r="607" ht="15" spans="10:11">
      <c r="J607" s="3" t="s">
        <v>474</v>
      </c>
      <c r="K607" s="4">
        <v>95905001</v>
      </c>
    </row>
    <row r="608" ht="15" spans="10:11">
      <c r="J608" s="3" t="s">
        <v>475</v>
      </c>
      <c r="K608" s="4">
        <v>95906001</v>
      </c>
    </row>
    <row r="609" ht="15" spans="10:11">
      <c r="J609" s="3" t="s">
        <v>476</v>
      </c>
      <c r="K609" s="4">
        <v>95906002</v>
      </c>
    </row>
    <row r="610" ht="15" spans="10:11">
      <c r="J610" s="3" t="s">
        <v>477</v>
      </c>
      <c r="K610" s="4">
        <v>95909001</v>
      </c>
    </row>
    <row r="611" ht="15" spans="10:11">
      <c r="J611" s="3" t="s">
        <v>478</v>
      </c>
      <c r="K611" s="4">
        <v>95909002</v>
      </c>
    </row>
    <row r="612" ht="15" spans="10:11">
      <c r="J612" s="3" t="s">
        <v>479</v>
      </c>
      <c r="K612" s="4">
        <v>95910001</v>
      </c>
    </row>
    <row r="613" ht="15" spans="10:11">
      <c r="J613" s="4" t="s">
        <v>480</v>
      </c>
      <c r="K613" s="4">
        <v>95910002</v>
      </c>
    </row>
    <row r="614" ht="15" spans="10:11">
      <c r="J614" s="3" t="s">
        <v>481</v>
      </c>
      <c r="K614" s="4">
        <v>95911001</v>
      </c>
    </row>
    <row r="615" ht="15" spans="10:11">
      <c r="J615" s="4" t="s">
        <v>482</v>
      </c>
      <c r="K615" s="4">
        <v>95911002</v>
      </c>
    </row>
    <row r="616" ht="15" spans="10:11">
      <c r="J616" s="3" t="s">
        <v>483</v>
      </c>
      <c r="K616" s="4">
        <v>95912001</v>
      </c>
    </row>
    <row r="617" ht="15" spans="10:11">
      <c r="J617" s="4" t="s">
        <v>484</v>
      </c>
      <c r="K617" s="4">
        <v>95912002</v>
      </c>
    </row>
    <row r="618" ht="15" spans="10:11">
      <c r="J618" s="3" t="s">
        <v>727</v>
      </c>
      <c r="K618" s="4">
        <v>95913001</v>
      </c>
    </row>
    <row r="619" ht="15" spans="10:11">
      <c r="J619" s="4" t="s">
        <v>728</v>
      </c>
      <c r="K619" s="4">
        <v>95913002</v>
      </c>
    </row>
    <row r="620" ht="15" spans="10:11">
      <c r="J620" s="3" t="s">
        <v>486</v>
      </c>
      <c r="K620" s="4">
        <v>95914001</v>
      </c>
    </row>
    <row r="621" ht="15" spans="10:11">
      <c r="J621" s="4" t="s">
        <v>729</v>
      </c>
      <c r="K621" s="4">
        <v>95914002</v>
      </c>
    </row>
    <row r="622" ht="15" spans="10:11">
      <c r="J622" s="3" t="s">
        <v>487</v>
      </c>
      <c r="K622" s="4">
        <v>95915001</v>
      </c>
    </row>
    <row r="623" ht="15" spans="10:11">
      <c r="J623" s="4" t="s">
        <v>488</v>
      </c>
      <c r="K623" s="4">
        <v>95915002</v>
      </c>
    </row>
    <row r="697" ht="15" spans="10:11">
      <c r="J697" s="16" t="s">
        <v>243</v>
      </c>
      <c r="K697" s="24">
        <v>95410101</v>
      </c>
    </row>
    <row r="698" ht="15" spans="10:11">
      <c r="J698" s="16" t="s">
        <v>667</v>
      </c>
      <c r="K698" s="25">
        <v>95410102</v>
      </c>
    </row>
    <row r="699" ht="15" spans="10:11">
      <c r="J699" s="16" t="s">
        <v>245</v>
      </c>
      <c r="K699" s="24">
        <v>95410103</v>
      </c>
    </row>
    <row r="700" ht="15" spans="10:11">
      <c r="J700" s="16" t="s">
        <v>669</v>
      </c>
      <c r="K700" s="25">
        <v>95410104</v>
      </c>
    </row>
    <row r="701" ht="15" spans="10:11">
      <c r="J701" s="16" t="s">
        <v>671</v>
      </c>
      <c r="K701" s="24">
        <v>95410105</v>
      </c>
    </row>
    <row r="702" ht="15" spans="10:11">
      <c r="J702" s="16" t="s">
        <v>672</v>
      </c>
      <c r="K702" s="25">
        <v>95410106</v>
      </c>
    </row>
    <row r="703" ht="15" spans="10:11">
      <c r="J703" s="16" t="s">
        <v>246</v>
      </c>
      <c r="K703" s="24">
        <v>95410107</v>
      </c>
    </row>
    <row r="704" ht="15" spans="10:11">
      <c r="J704" s="16" t="s">
        <v>247</v>
      </c>
      <c r="K704" s="25">
        <v>95410108</v>
      </c>
    </row>
    <row r="705" ht="15" spans="10:11">
      <c r="J705" s="16" t="s">
        <v>675</v>
      </c>
      <c r="K705" s="24">
        <v>95410109</v>
      </c>
    </row>
    <row r="706" ht="15" spans="10:11">
      <c r="J706" s="16" t="s">
        <v>677</v>
      </c>
      <c r="K706" s="25">
        <v>95410110</v>
      </c>
    </row>
    <row r="707" ht="15" spans="10:11">
      <c r="J707" s="16" t="s">
        <v>679</v>
      </c>
      <c r="K707" s="24">
        <v>95410111</v>
      </c>
    </row>
    <row r="708" ht="15" spans="10:11">
      <c r="J708" s="16" t="s">
        <v>681</v>
      </c>
      <c r="K708" s="25">
        <v>95410112</v>
      </c>
    </row>
    <row r="709" ht="15" spans="10:11">
      <c r="J709" s="16" t="s">
        <v>248</v>
      </c>
      <c r="K709" s="24">
        <v>95410113</v>
      </c>
    </row>
    <row r="710" ht="15" spans="10:11">
      <c r="J710" s="16" t="s">
        <v>249</v>
      </c>
      <c r="K710" s="25">
        <v>95410114</v>
      </c>
    </row>
    <row r="711" ht="15" spans="10:11">
      <c r="J711" s="16" t="s">
        <v>730</v>
      </c>
      <c r="K711" s="24">
        <v>95410115</v>
      </c>
    </row>
    <row r="712" ht="15" spans="10:11">
      <c r="J712" s="16" t="s">
        <v>250</v>
      </c>
      <c r="K712" s="25">
        <v>95410116</v>
      </c>
    </row>
    <row r="713" ht="15" spans="10:11">
      <c r="J713" s="16" t="s">
        <v>682</v>
      </c>
      <c r="K713" s="24">
        <v>95410117</v>
      </c>
    </row>
    <row r="714" ht="15" spans="10:11">
      <c r="J714" s="16" t="s">
        <v>731</v>
      </c>
      <c r="K714" s="25">
        <v>95410118</v>
      </c>
    </row>
    <row r="715" ht="15" spans="10:11">
      <c r="J715" s="16" t="s">
        <v>732</v>
      </c>
      <c r="K715" s="24">
        <v>95410119</v>
      </c>
    </row>
    <row r="716" ht="15" spans="10:11">
      <c r="J716" s="16" t="s">
        <v>251</v>
      </c>
      <c r="K716" s="25">
        <v>95410120</v>
      </c>
    </row>
    <row r="717" ht="15" spans="10:11">
      <c r="J717" s="16" t="s">
        <v>683</v>
      </c>
      <c r="K717" s="24">
        <v>95410121</v>
      </c>
    </row>
    <row r="718" ht="15" spans="10:11">
      <c r="J718" s="16" t="s">
        <v>733</v>
      </c>
      <c r="K718" s="25">
        <v>95410122</v>
      </c>
    </row>
    <row r="719" ht="15" spans="10:11">
      <c r="J719" s="16" t="s">
        <v>734</v>
      </c>
      <c r="K719" s="24">
        <v>95410123</v>
      </c>
    </row>
    <row r="720" ht="15" spans="10:11">
      <c r="J720" s="16" t="s">
        <v>670</v>
      </c>
      <c r="K720" s="25">
        <v>95410124</v>
      </c>
    </row>
    <row r="721" ht="15" spans="10:11">
      <c r="J721" s="16" t="s">
        <v>252</v>
      </c>
      <c r="K721" s="24">
        <v>95410125</v>
      </c>
    </row>
    <row r="722" ht="15" spans="10:11">
      <c r="J722" s="16" t="s">
        <v>253</v>
      </c>
      <c r="K722" s="25">
        <v>95410126</v>
      </c>
    </row>
    <row r="723" ht="15" spans="10:11">
      <c r="J723" s="16" t="s">
        <v>254</v>
      </c>
      <c r="K723" s="24">
        <v>95410127</v>
      </c>
    </row>
    <row r="724" ht="15" spans="10:11">
      <c r="J724" s="16" t="s">
        <v>686</v>
      </c>
      <c r="K724" s="25">
        <v>95410128</v>
      </c>
    </row>
    <row r="725" ht="15" spans="10:11">
      <c r="J725" s="16" t="s">
        <v>687</v>
      </c>
      <c r="K725" s="24">
        <v>95410129</v>
      </c>
    </row>
    <row r="726" ht="15" spans="10:11">
      <c r="J726" s="16" t="s">
        <v>735</v>
      </c>
      <c r="K726" s="25">
        <v>95410130</v>
      </c>
    </row>
    <row r="727" ht="15" spans="10:11">
      <c r="J727" s="16" t="s">
        <v>688</v>
      </c>
      <c r="K727" s="24">
        <v>95410131</v>
      </c>
    </row>
    <row r="728" ht="15" spans="10:11">
      <c r="J728" s="16" t="s">
        <v>255</v>
      </c>
      <c r="K728" s="25">
        <v>95410132</v>
      </c>
    </row>
    <row r="729" ht="15" spans="10:11">
      <c r="J729" s="16" t="s">
        <v>256</v>
      </c>
      <c r="K729" s="24">
        <v>95410133</v>
      </c>
    </row>
    <row r="730" ht="15" spans="10:11">
      <c r="J730" s="16" t="s">
        <v>257</v>
      </c>
      <c r="K730" s="25">
        <v>95410134</v>
      </c>
    </row>
    <row r="731" ht="15" spans="10:11">
      <c r="J731" s="16" t="s">
        <v>258</v>
      </c>
      <c r="K731" s="24">
        <v>95410135</v>
      </c>
    </row>
    <row r="732" ht="15" spans="10:11">
      <c r="J732" s="16" t="s">
        <v>259</v>
      </c>
      <c r="K732" s="25">
        <v>95410136</v>
      </c>
    </row>
    <row r="733" ht="15" spans="10:11">
      <c r="J733" s="16" t="s">
        <v>260</v>
      </c>
      <c r="K733" s="24">
        <v>95410137</v>
      </c>
    </row>
    <row r="734" ht="15" spans="10:11">
      <c r="J734" s="16" t="s">
        <v>261</v>
      </c>
      <c r="K734" s="25">
        <v>95410138</v>
      </c>
    </row>
    <row r="735" ht="15" spans="10:11">
      <c r="J735" s="16" t="s">
        <v>264</v>
      </c>
      <c r="K735" s="24">
        <v>95410139</v>
      </c>
    </row>
    <row r="736" ht="15" spans="10:11">
      <c r="J736" s="16" t="s">
        <v>736</v>
      </c>
      <c r="K736" s="25">
        <v>95410140</v>
      </c>
    </row>
    <row r="737" ht="15" spans="10:11">
      <c r="J737" s="16" t="s">
        <v>689</v>
      </c>
      <c r="K737" s="24">
        <v>95410141</v>
      </c>
    </row>
    <row r="738" ht="15" spans="10:11">
      <c r="J738" s="16" t="s">
        <v>690</v>
      </c>
      <c r="K738" s="25">
        <v>95410142</v>
      </c>
    </row>
    <row r="739" ht="15" spans="10:11">
      <c r="J739" s="16" t="s">
        <v>691</v>
      </c>
      <c r="K739" s="24">
        <v>95410143</v>
      </c>
    </row>
    <row r="740" ht="15" spans="10:11">
      <c r="J740" s="16" t="s">
        <v>262</v>
      </c>
      <c r="K740" s="25">
        <v>95410144</v>
      </c>
    </row>
    <row r="741" ht="15" spans="10:11">
      <c r="J741" s="16" t="s">
        <v>737</v>
      </c>
      <c r="K741" s="24">
        <v>95410145</v>
      </c>
    </row>
    <row r="742" ht="15" spans="10:11">
      <c r="J742" s="16" t="s">
        <v>738</v>
      </c>
      <c r="K742" s="25">
        <v>95410146</v>
      </c>
    </row>
    <row r="743" ht="15" spans="10:11">
      <c r="J743" s="16" t="s">
        <v>739</v>
      </c>
      <c r="K743" s="24">
        <v>95410147</v>
      </c>
    </row>
    <row r="744" ht="15" spans="10:11">
      <c r="J744" s="16" t="s">
        <v>263</v>
      </c>
      <c r="K744" s="25">
        <v>95410148</v>
      </c>
    </row>
    <row r="745" ht="15" spans="10:11">
      <c r="J745" s="16" t="s">
        <v>740</v>
      </c>
      <c r="K745" s="24">
        <v>95410149</v>
      </c>
    </row>
    <row r="746" ht="15" spans="10:11">
      <c r="J746" s="16" t="s">
        <v>741</v>
      </c>
      <c r="K746" s="25">
        <v>95410150</v>
      </c>
    </row>
    <row r="747" ht="15" spans="10:11">
      <c r="J747" s="10" t="s">
        <v>742</v>
      </c>
      <c r="K747" s="11">
        <v>95130028</v>
      </c>
    </row>
    <row r="748" ht="15" spans="10:11">
      <c r="J748" s="10" t="s">
        <v>743</v>
      </c>
      <c r="K748" s="11">
        <v>95130029</v>
      </c>
    </row>
    <row r="749" ht="15" spans="10:11">
      <c r="J749" s="10" t="s">
        <v>744</v>
      </c>
      <c r="K749" s="11">
        <v>95130030</v>
      </c>
    </row>
    <row r="750" ht="15" spans="10:11">
      <c r="J750" s="10" t="s">
        <v>745</v>
      </c>
      <c r="K750" s="11">
        <v>95110048</v>
      </c>
    </row>
    <row r="751" ht="15" spans="10:11">
      <c r="J751" s="10" t="s">
        <v>746</v>
      </c>
      <c r="K751" s="11">
        <v>95110049</v>
      </c>
    </row>
    <row r="752" ht="15" spans="10:11">
      <c r="J752" s="10" t="s">
        <v>747</v>
      </c>
      <c r="K752" s="11">
        <v>95110050</v>
      </c>
    </row>
    <row r="753" ht="15" spans="9:11">
      <c r="J753" s="10" t="s">
        <v>748</v>
      </c>
      <c r="K753" s="11">
        <v>95110038</v>
      </c>
    </row>
    <row r="754" ht="15" spans="9:11">
      <c r="J754" s="10" t="s">
        <v>749</v>
      </c>
      <c r="K754" s="11">
        <v>95110039</v>
      </c>
    </row>
    <row r="755" ht="15" spans="9:11">
      <c r="J755" s="10" t="s">
        <v>750</v>
      </c>
      <c r="K755" s="11">
        <v>95110040</v>
      </c>
    </row>
    <row r="756" ht="15" spans="9:11">
      <c r="I756" s="26">
        <v>98020201</v>
      </c>
      <c r="J756" s="6" t="s">
        <v>356</v>
      </c>
      <c r="K756" s="26">
        <v>98020201</v>
      </c>
    </row>
    <row r="757" ht="15" spans="9:11">
      <c r="I757" s="26">
        <v>98020202</v>
      </c>
      <c r="J757" s="7" t="s">
        <v>357</v>
      </c>
      <c r="K757" s="26">
        <v>98020202</v>
      </c>
    </row>
    <row r="758" ht="15" spans="9:11">
      <c r="I758" s="26">
        <v>98020203</v>
      </c>
      <c r="J758" s="7" t="s">
        <v>358</v>
      </c>
      <c r="K758" s="26">
        <v>98020203</v>
      </c>
    </row>
    <row r="759" ht="15" spans="9:11">
      <c r="I759" s="26">
        <v>98020204</v>
      </c>
      <c r="J759" s="7" t="s">
        <v>278</v>
      </c>
      <c r="K759" s="26">
        <v>98020204</v>
      </c>
    </row>
    <row r="760" ht="15" spans="9:11">
      <c r="I760" s="26">
        <v>98020301</v>
      </c>
      <c r="J760" s="7" t="s">
        <v>281</v>
      </c>
      <c r="K760" s="26">
        <v>98020301</v>
      </c>
    </row>
    <row r="761" ht="15" spans="9:11">
      <c r="I761" s="27">
        <v>98020302</v>
      </c>
      <c r="J761" s="9" t="s">
        <v>283</v>
      </c>
      <c r="K761" s="27">
        <v>98020302</v>
      </c>
    </row>
    <row r="762" ht="15" spans="9:11">
      <c r="I762" s="26">
        <v>98020303</v>
      </c>
      <c r="J762" s="7" t="s">
        <v>285</v>
      </c>
      <c r="K762" s="26">
        <v>98020303</v>
      </c>
    </row>
    <row r="763" ht="15" spans="9:11">
      <c r="I763" s="26">
        <v>98020304</v>
      </c>
      <c r="J763" s="12" t="s">
        <v>287</v>
      </c>
      <c r="K763" s="26">
        <v>98020304</v>
      </c>
    </row>
    <row r="764" ht="15" spans="9:11">
      <c r="I764" s="26">
        <v>98020401</v>
      </c>
      <c r="J764" s="6" t="s">
        <v>289</v>
      </c>
      <c r="K764" s="26">
        <v>98020401</v>
      </c>
    </row>
    <row r="765" ht="15" spans="9:11">
      <c r="I765" s="26">
        <v>98020402</v>
      </c>
      <c r="J765" s="7" t="s">
        <v>291</v>
      </c>
      <c r="K765" s="26">
        <v>98020402</v>
      </c>
    </row>
    <row r="766" ht="15" spans="9:11">
      <c r="I766" s="26">
        <v>98020403</v>
      </c>
      <c r="J766" s="7" t="s">
        <v>293</v>
      </c>
      <c r="K766" s="26">
        <v>98020403</v>
      </c>
    </row>
    <row r="767" ht="15" spans="9:11">
      <c r="I767" s="26">
        <v>98020404</v>
      </c>
      <c r="J767" s="7" t="s">
        <v>295</v>
      </c>
      <c r="K767" s="26">
        <v>98020404</v>
      </c>
    </row>
    <row r="768" spans="9:11">
      <c r="I768" s="14">
        <v>98020701</v>
      </c>
      <c r="J768" s="13" t="s">
        <v>400</v>
      </c>
      <c r="K768" s="14">
        <v>98020701</v>
      </c>
    </row>
    <row r="769" spans="9:11">
      <c r="I769" s="14">
        <v>98020702</v>
      </c>
      <c r="J769" s="13" t="s">
        <v>401</v>
      </c>
      <c r="K769" s="14">
        <v>98020702</v>
      </c>
    </row>
    <row r="770" ht="15" spans="9:11">
      <c r="I770" s="26">
        <v>98050101</v>
      </c>
      <c r="J770" s="7" t="s">
        <v>402</v>
      </c>
      <c r="K770" s="26">
        <v>98050101</v>
      </c>
    </row>
    <row r="771" ht="15" spans="9:11">
      <c r="I771" s="26">
        <v>98050102</v>
      </c>
      <c r="J771" s="7" t="s">
        <v>403</v>
      </c>
      <c r="K771" s="26">
        <v>98050102</v>
      </c>
    </row>
    <row r="772" ht="15" spans="9:11">
      <c r="I772" s="26">
        <v>98050103</v>
      </c>
      <c r="J772" s="7" t="s">
        <v>404</v>
      </c>
      <c r="K772" s="26">
        <v>98050103</v>
      </c>
    </row>
    <row r="773" ht="15" spans="9:11">
      <c r="I773" s="26">
        <v>98050104</v>
      </c>
      <c r="J773" s="6" t="s">
        <v>405</v>
      </c>
      <c r="K773" s="26">
        <v>98050104</v>
      </c>
    </row>
    <row r="774" ht="15" spans="9:11">
      <c r="I774" s="26">
        <v>98050105</v>
      </c>
      <c r="J774" s="7" t="s">
        <v>406</v>
      </c>
      <c r="K774" s="26">
        <v>98050105</v>
      </c>
    </row>
    <row r="775" ht="15" spans="9:11">
      <c r="I775" s="26">
        <v>98040101</v>
      </c>
      <c r="J775" s="7" t="s">
        <v>359</v>
      </c>
      <c r="K775" s="26">
        <v>98040101</v>
      </c>
    </row>
    <row r="776" ht="15" spans="9:11">
      <c r="I776" s="26">
        <v>98040102</v>
      </c>
      <c r="J776" s="7" t="s">
        <v>360</v>
      </c>
      <c r="K776" s="26">
        <v>98040102</v>
      </c>
    </row>
    <row r="777" ht="15" spans="9:11">
      <c r="I777" s="26">
        <v>98040103</v>
      </c>
      <c r="J777" s="7" t="s">
        <v>361</v>
      </c>
      <c r="K777" s="26">
        <v>98040103</v>
      </c>
    </row>
    <row r="778" ht="15" spans="9:11">
      <c r="I778" s="26">
        <v>98040104</v>
      </c>
      <c r="J778" s="7" t="s">
        <v>362</v>
      </c>
      <c r="K778" s="26">
        <v>98040104</v>
      </c>
    </row>
    <row r="779" ht="15" spans="9:11">
      <c r="I779" s="26">
        <v>98060101</v>
      </c>
      <c r="J779" s="7" t="s">
        <v>363</v>
      </c>
      <c r="K779" s="26">
        <v>98060101</v>
      </c>
    </row>
    <row r="780" ht="15" spans="9:11">
      <c r="I780" s="26">
        <v>98060102</v>
      </c>
      <c r="J780" s="12" t="s">
        <v>364</v>
      </c>
      <c r="K780" s="26">
        <v>98060102</v>
      </c>
    </row>
    <row r="781" ht="15" spans="9:11">
      <c r="I781" s="26">
        <v>98060103</v>
      </c>
      <c r="J781" s="6" t="s">
        <v>365</v>
      </c>
      <c r="K781" s="26">
        <v>98060103</v>
      </c>
    </row>
    <row r="782" ht="15" spans="9:11">
      <c r="I782" s="26">
        <v>98060104</v>
      </c>
      <c r="J782" s="7" t="s">
        <v>366</v>
      </c>
      <c r="K782" s="26">
        <v>98060104</v>
      </c>
    </row>
    <row r="783" ht="15" spans="9:11">
      <c r="I783" s="26">
        <v>98060105</v>
      </c>
      <c r="J783" s="7" t="s">
        <v>367</v>
      </c>
      <c r="K783" s="26">
        <v>98060105</v>
      </c>
    </row>
    <row r="784" spans="9:11">
      <c r="I784" s="14">
        <v>98060201</v>
      </c>
      <c r="J784" s="14" t="s">
        <v>407</v>
      </c>
      <c r="K784" s="14">
        <v>98060201</v>
      </c>
    </row>
    <row r="785" spans="9:11">
      <c r="I785" s="14">
        <v>98060202</v>
      </c>
      <c r="J785" s="14" t="s">
        <v>408</v>
      </c>
      <c r="K785" s="14">
        <v>98060202</v>
      </c>
    </row>
    <row r="786" ht="15" spans="9:11">
      <c r="I786" s="26">
        <v>98010301</v>
      </c>
      <c r="J786" s="7" t="s">
        <v>409</v>
      </c>
      <c r="K786" s="26">
        <v>98010301</v>
      </c>
    </row>
    <row r="787" ht="15" spans="9:11">
      <c r="I787" s="27">
        <v>98010302</v>
      </c>
      <c r="J787" s="9" t="s">
        <v>297</v>
      </c>
      <c r="K787" s="27">
        <v>98010302</v>
      </c>
    </row>
    <row r="788" ht="15" spans="9:11">
      <c r="I788" s="26">
        <v>98010303</v>
      </c>
      <c r="J788" s="7" t="s">
        <v>299</v>
      </c>
      <c r="K788" s="26">
        <v>98010303</v>
      </c>
    </row>
    <row r="789" ht="15" spans="9:11">
      <c r="I789" s="26">
        <v>98010304</v>
      </c>
      <c r="J789" s="7" t="s">
        <v>301</v>
      </c>
      <c r="K789" s="26">
        <v>98010304</v>
      </c>
    </row>
    <row r="790" ht="15" spans="9:11">
      <c r="I790" s="26">
        <v>98010306</v>
      </c>
      <c r="J790" s="12" t="s">
        <v>410</v>
      </c>
      <c r="K790" s="26">
        <v>98010306</v>
      </c>
    </row>
    <row r="791" ht="15" spans="9:11">
      <c r="I791" s="26">
        <v>98010201</v>
      </c>
      <c r="J791" s="6" t="s">
        <v>303</v>
      </c>
      <c r="K791" s="26">
        <v>98010201</v>
      </c>
    </row>
    <row r="792" ht="15" spans="9:11">
      <c r="I792" s="26">
        <v>98010202</v>
      </c>
      <c r="J792" s="7" t="s">
        <v>305</v>
      </c>
      <c r="K792" s="26">
        <v>98010202</v>
      </c>
    </row>
    <row r="793" ht="15" spans="9:11">
      <c r="I793" s="26">
        <v>98010203</v>
      </c>
      <c r="J793" s="7" t="s">
        <v>307</v>
      </c>
      <c r="K793" s="26">
        <v>98010203</v>
      </c>
    </row>
    <row r="794" ht="15" spans="9:11">
      <c r="I794" s="26">
        <v>98010204</v>
      </c>
      <c r="J794" s="7" t="s">
        <v>309</v>
      </c>
      <c r="K794" s="26">
        <v>98010204</v>
      </c>
    </row>
    <row r="795" ht="15" spans="9:11">
      <c r="I795" s="26">
        <v>98010205</v>
      </c>
      <c r="J795" s="12" t="s">
        <v>368</v>
      </c>
      <c r="K795" s="26">
        <v>98010205</v>
      </c>
    </row>
    <row r="796" spans="9:11">
      <c r="I796" s="14">
        <v>98010401</v>
      </c>
      <c r="J796" s="15" t="s">
        <v>411</v>
      </c>
      <c r="K796" s="14">
        <v>98010401</v>
      </c>
    </row>
    <row r="797" spans="9:11">
      <c r="I797" s="14">
        <v>98010402</v>
      </c>
      <c r="J797" s="15" t="s">
        <v>412</v>
      </c>
      <c r="K797" s="14">
        <v>98010402</v>
      </c>
    </row>
    <row r="798" ht="15" spans="9:11">
      <c r="I798" s="26">
        <v>98020501</v>
      </c>
      <c r="J798" s="7" t="s">
        <v>311</v>
      </c>
      <c r="K798" s="26">
        <v>98020501</v>
      </c>
    </row>
    <row r="799" ht="15" spans="9:11">
      <c r="I799" s="26">
        <v>98020502</v>
      </c>
      <c r="J799" s="7" t="s">
        <v>313</v>
      </c>
      <c r="K799" s="26">
        <v>98020502</v>
      </c>
    </row>
    <row r="800" ht="15" spans="9:11">
      <c r="I800" s="26">
        <v>98020503</v>
      </c>
      <c r="J800" s="12" t="s">
        <v>315</v>
      </c>
      <c r="K800" s="26">
        <v>98020503</v>
      </c>
    </row>
    <row r="801" ht="15" spans="9:11">
      <c r="I801" s="24">
        <v>98020504</v>
      </c>
      <c r="J801" s="16" t="s">
        <v>317</v>
      </c>
      <c r="K801" s="24">
        <v>98020504</v>
      </c>
    </row>
    <row r="802" ht="15" spans="9:11">
      <c r="I802" s="25">
        <v>98020505</v>
      </c>
      <c r="J802" s="16" t="s">
        <v>319</v>
      </c>
      <c r="K802" s="25">
        <v>98020505</v>
      </c>
    </row>
    <row r="803" ht="15" spans="9:11">
      <c r="I803" s="24">
        <v>98020506</v>
      </c>
      <c r="J803" s="16" t="s">
        <v>369</v>
      </c>
      <c r="K803" s="24">
        <v>98020506</v>
      </c>
    </row>
    <row r="804" ht="15" spans="9:11">
      <c r="I804" s="25">
        <v>98010101</v>
      </c>
      <c r="J804" s="16" t="s">
        <v>323</v>
      </c>
      <c r="K804" s="25">
        <v>98010101</v>
      </c>
    </row>
    <row r="805" ht="15" spans="9:11">
      <c r="I805" s="24">
        <v>98010102</v>
      </c>
      <c r="J805" s="16" t="s">
        <v>325</v>
      </c>
      <c r="K805" s="24">
        <v>98010102</v>
      </c>
    </row>
    <row r="806" ht="15" spans="9:11">
      <c r="I806" s="25">
        <v>98010103</v>
      </c>
      <c r="J806" s="16" t="s">
        <v>327</v>
      </c>
      <c r="K806" s="25">
        <v>98010103</v>
      </c>
    </row>
    <row r="807" ht="15" spans="9:11">
      <c r="I807" s="24">
        <v>98100101</v>
      </c>
      <c r="J807" s="16" t="s">
        <v>329</v>
      </c>
      <c r="K807" s="24">
        <v>98100101</v>
      </c>
    </row>
    <row r="808" ht="15" spans="9:11">
      <c r="I808" s="25">
        <v>98100102</v>
      </c>
      <c r="J808" s="16" t="s">
        <v>331</v>
      </c>
      <c r="K808" s="25">
        <v>98100102</v>
      </c>
    </row>
    <row r="809" ht="15" spans="9:11">
      <c r="I809" s="24">
        <v>98100103</v>
      </c>
      <c r="J809" s="16" t="s">
        <v>333</v>
      </c>
      <c r="K809" s="24">
        <v>98100103</v>
      </c>
    </row>
    <row r="810" ht="15" spans="9:11">
      <c r="I810" s="25">
        <v>98100104</v>
      </c>
      <c r="J810" s="16" t="s">
        <v>335</v>
      </c>
      <c r="K810" s="25">
        <v>98100104</v>
      </c>
    </row>
    <row r="811" ht="15" spans="9:11">
      <c r="I811" s="24">
        <v>98040201</v>
      </c>
      <c r="J811" s="16" t="s">
        <v>370</v>
      </c>
      <c r="K811" s="24">
        <v>98040201</v>
      </c>
    </row>
    <row r="812" ht="15" spans="9:11">
      <c r="I812" s="25">
        <v>98040202</v>
      </c>
      <c r="J812" s="16" t="s">
        <v>337</v>
      </c>
      <c r="K812" s="25">
        <v>98040202</v>
      </c>
    </row>
    <row r="813" ht="15" spans="9:11">
      <c r="I813" s="24">
        <v>98040203</v>
      </c>
      <c r="J813" s="16" t="s">
        <v>339</v>
      </c>
      <c r="K813" s="24">
        <v>98040203</v>
      </c>
    </row>
    <row r="814" ht="15" spans="9:11">
      <c r="I814" s="25">
        <v>98040204</v>
      </c>
      <c r="J814" s="16" t="s">
        <v>371</v>
      </c>
      <c r="K814" s="25">
        <v>98040204</v>
      </c>
    </row>
    <row r="815" ht="15" spans="9:11">
      <c r="I815" s="24">
        <v>98030101</v>
      </c>
      <c r="J815" s="16" t="s">
        <v>372</v>
      </c>
      <c r="K815" s="24">
        <v>98030101</v>
      </c>
    </row>
    <row r="816" ht="15" spans="9:11">
      <c r="I816" s="25">
        <v>98030102</v>
      </c>
      <c r="J816" s="16" t="s">
        <v>373</v>
      </c>
      <c r="K816" s="25">
        <v>98030102</v>
      </c>
    </row>
    <row r="817" ht="15" spans="9:11">
      <c r="I817" s="24">
        <v>98030103</v>
      </c>
      <c r="J817" s="16" t="s">
        <v>374</v>
      </c>
      <c r="K817" s="24">
        <v>98030103</v>
      </c>
    </row>
    <row r="818" ht="15" spans="9:11">
      <c r="I818" s="25">
        <v>98030104</v>
      </c>
      <c r="J818" s="16" t="s">
        <v>375</v>
      </c>
      <c r="K818" s="25">
        <v>98030104</v>
      </c>
    </row>
    <row r="819" ht="15" spans="9:11">
      <c r="I819" s="24">
        <v>98030105</v>
      </c>
      <c r="J819" s="16" t="s">
        <v>376</v>
      </c>
      <c r="K819" s="24">
        <v>98030105</v>
      </c>
    </row>
    <row r="820" ht="15" spans="9:11">
      <c r="I820" s="25">
        <v>98040301</v>
      </c>
      <c r="J820" s="16" t="s">
        <v>341</v>
      </c>
      <c r="K820" s="25">
        <v>98040301</v>
      </c>
    </row>
    <row r="821" ht="15" spans="9:11">
      <c r="I821" s="24">
        <v>98040302</v>
      </c>
      <c r="J821" s="16" t="s">
        <v>377</v>
      </c>
      <c r="K821" s="24">
        <v>98040302</v>
      </c>
    </row>
    <row r="822" ht="15" spans="9:11">
      <c r="I822" s="25">
        <v>98040303</v>
      </c>
      <c r="J822" s="16" t="s">
        <v>343</v>
      </c>
      <c r="K822" s="25">
        <v>98040303</v>
      </c>
    </row>
    <row r="823" ht="15" spans="9:11">
      <c r="I823" s="24">
        <v>98040304</v>
      </c>
      <c r="J823" s="16" t="s">
        <v>345</v>
      </c>
      <c r="K823" s="24">
        <v>98040304</v>
      </c>
    </row>
    <row r="824" ht="15" spans="9:11">
      <c r="I824" s="25">
        <v>98040305</v>
      </c>
      <c r="J824" s="16" t="s">
        <v>378</v>
      </c>
      <c r="K824" s="25">
        <v>98040305</v>
      </c>
    </row>
    <row r="825" ht="15" spans="9:11">
      <c r="I825" s="24">
        <v>98040306</v>
      </c>
      <c r="J825" s="16" t="s">
        <v>379</v>
      </c>
      <c r="K825" s="24">
        <v>98040306</v>
      </c>
    </row>
    <row r="826" ht="15" spans="9:11">
      <c r="I826" s="25">
        <v>98090101</v>
      </c>
      <c r="J826" s="16" t="s">
        <v>347</v>
      </c>
      <c r="K826" s="25">
        <v>98090101</v>
      </c>
    </row>
    <row r="827" ht="15" spans="9:11">
      <c r="I827" s="24">
        <v>98090102</v>
      </c>
      <c r="J827" s="16" t="s">
        <v>349</v>
      </c>
      <c r="K827" s="24">
        <v>98090102</v>
      </c>
    </row>
    <row r="828" ht="15" spans="9:11">
      <c r="I828" s="25">
        <v>98090103</v>
      </c>
      <c r="J828" s="16" t="s">
        <v>351</v>
      </c>
      <c r="K828" s="25">
        <v>98090103</v>
      </c>
    </row>
    <row r="829" ht="15" spans="9:11">
      <c r="I829" s="24">
        <v>98090104</v>
      </c>
      <c r="J829" s="16" t="s">
        <v>353</v>
      </c>
      <c r="K829" s="24">
        <v>98090104</v>
      </c>
    </row>
    <row r="830" ht="15" spans="9:11">
      <c r="I830" s="25">
        <v>98090105</v>
      </c>
      <c r="J830" s="16" t="s">
        <v>355</v>
      </c>
      <c r="K830" s="25">
        <v>98090105</v>
      </c>
    </row>
    <row r="831" ht="15" spans="9:11">
      <c r="I831" s="24">
        <v>98130101</v>
      </c>
      <c r="J831" s="16" t="s">
        <v>413</v>
      </c>
      <c r="K831" s="24">
        <v>98130101</v>
      </c>
    </row>
    <row r="832" ht="15" spans="9:11">
      <c r="I832" s="25">
        <v>98130102</v>
      </c>
      <c r="J832" s="16" t="s">
        <v>414</v>
      </c>
      <c r="K832" s="25">
        <v>98130102</v>
      </c>
    </row>
    <row r="833" ht="15" spans="9:11">
      <c r="I833" s="24">
        <v>98130103</v>
      </c>
      <c r="J833" s="16" t="s">
        <v>415</v>
      </c>
      <c r="K833" s="24">
        <v>98130103</v>
      </c>
    </row>
    <row r="834" ht="15" spans="9:11">
      <c r="I834" s="25">
        <v>98130201</v>
      </c>
      <c r="J834" s="16" t="s">
        <v>416</v>
      </c>
      <c r="K834" s="25">
        <v>98130201</v>
      </c>
    </row>
    <row r="835" ht="15" spans="9:11">
      <c r="I835" s="24">
        <v>98130202</v>
      </c>
      <c r="J835" s="16" t="s">
        <v>417</v>
      </c>
      <c r="K835" s="24">
        <v>98130202</v>
      </c>
    </row>
    <row r="836" ht="15" spans="9:11">
      <c r="I836" s="25">
        <v>98150101</v>
      </c>
      <c r="J836" s="16" t="s">
        <v>418</v>
      </c>
      <c r="K836" s="25">
        <v>98150101</v>
      </c>
    </row>
    <row r="837" ht="15" spans="9:11">
      <c r="I837" s="24">
        <v>98150102</v>
      </c>
      <c r="J837" s="16" t="s">
        <v>419</v>
      </c>
      <c r="K837" s="24">
        <v>98150102</v>
      </c>
    </row>
    <row r="838" ht="15" spans="9:11">
      <c r="I838" s="25">
        <v>98150103</v>
      </c>
      <c r="J838" s="16" t="s">
        <v>420</v>
      </c>
      <c r="K838" s="25">
        <v>98150103</v>
      </c>
    </row>
    <row r="839" ht="15" spans="9:11">
      <c r="I839" s="24">
        <v>98120101</v>
      </c>
      <c r="J839" s="16" t="s">
        <v>380</v>
      </c>
      <c r="K839" s="24">
        <v>98120101</v>
      </c>
    </row>
    <row r="840" ht="15" spans="9:11">
      <c r="I840" s="25">
        <v>98120102</v>
      </c>
      <c r="J840" s="16" t="s">
        <v>381</v>
      </c>
      <c r="K840" s="25">
        <v>98120102</v>
      </c>
    </row>
    <row r="841" ht="15" spans="9:11">
      <c r="I841" s="24">
        <v>98120103</v>
      </c>
      <c r="J841" s="16" t="s">
        <v>382</v>
      </c>
      <c r="K841" s="24">
        <v>98120103</v>
      </c>
    </row>
    <row r="842" ht="15" spans="9:11">
      <c r="I842" s="25">
        <v>98110101</v>
      </c>
      <c r="J842" s="16" t="s">
        <v>383</v>
      </c>
      <c r="K842" s="25">
        <v>98110101</v>
      </c>
    </row>
    <row r="843" ht="15" spans="9:11">
      <c r="I843" s="24">
        <v>98110102</v>
      </c>
      <c r="J843" s="16" t="s">
        <v>384</v>
      </c>
      <c r="K843" s="24">
        <v>98110102</v>
      </c>
    </row>
    <row r="844" ht="15" spans="9:11">
      <c r="I844" s="25">
        <v>98110103</v>
      </c>
      <c r="J844" s="16" t="s">
        <v>385</v>
      </c>
      <c r="K844" s="25">
        <v>98110103</v>
      </c>
    </row>
    <row r="845" ht="15" spans="9:11">
      <c r="I845" s="24">
        <v>98100201</v>
      </c>
      <c r="J845" s="16" t="s">
        <v>386</v>
      </c>
      <c r="K845" s="24">
        <v>98100201</v>
      </c>
    </row>
    <row r="846" ht="15" spans="9:11">
      <c r="I846" s="25">
        <v>98100202</v>
      </c>
      <c r="J846" s="16" t="s">
        <v>387</v>
      </c>
      <c r="K846" s="25">
        <v>98100202</v>
      </c>
    </row>
    <row r="847" ht="15" spans="9:11">
      <c r="I847" s="24">
        <v>98010305</v>
      </c>
      <c r="J847" s="16" t="s">
        <v>388</v>
      </c>
      <c r="K847" s="24">
        <v>98010305</v>
      </c>
    </row>
    <row r="848" spans="9:11">
      <c r="I848" s="28">
        <v>98100301</v>
      </c>
      <c r="J848" s="18" t="s">
        <v>421</v>
      </c>
      <c r="K848" s="28">
        <v>98100301</v>
      </c>
    </row>
    <row r="849" spans="9:11">
      <c r="I849" s="29" t="s">
        <v>751</v>
      </c>
      <c r="J849" s="19" t="s">
        <v>422</v>
      </c>
      <c r="K849" s="29" t="s">
        <v>751</v>
      </c>
    </row>
    <row r="850" spans="9:11">
      <c r="I850" s="28">
        <v>98100401</v>
      </c>
      <c r="J850" s="18" t="s">
        <v>423</v>
      </c>
      <c r="K850" s="28">
        <v>98100401</v>
      </c>
    </row>
    <row r="851" spans="9:11">
      <c r="I851" s="29" t="s">
        <v>752</v>
      </c>
      <c r="J851" s="19" t="s">
        <v>424</v>
      </c>
      <c r="K851" s="29" t="s">
        <v>752</v>
      </c>
    </row>
    <row r="852" ht="15" spans="9:11">
      <c r="I852" s="25">
        <v>98140101</v>
      </c>
      <c r="J852" s="16" t="s">
        <v>389</v>
      </c>
      <c r="K852" s="25">
        <v>98140101</v>
      </c>
    </row>
    <row r="853" ht="15" spans="9:11">
      <c r="I853" s="24">
        <v>98140102</v>
      </c>
      <c r="J853" s="16" t="s">
        <v>390</v>
      </c>
      <c r="K853" s="24">
        <v>98140102</v>
      </c>
    </row>
    <row r="854" ht="15" spans="9:11">
      <c r="I854" s="25">
        <v>98140103</v>
      </c>
      <c r="J854" s="16" t="s">
        <v>391</v>
      </c>
      <c r="K854" s="25">
        <v>98140103</v>
      </c>
    </row>
    <row r="855" ht="15" spans="9:11">
      <c r="I855" s="24">
        <v>98050106</v>
      </c>
      <c r="J855" s="16" t="s">
        <v>392</v>
      </c>
      <c r="K855" s="24">
        <v>98050106</v>
      </c>
    </row>
    <row r="856" ht="15" spans="9:11">
      <c r="I856" s="25">
        <v>98050201</v>
      </c>
      <c r="J856" s="16" t="s">
        <v>355</v>
      </c>
      <c r="K856" s="25">
        <v>98050201</v>
      </c>
    </row>
    <row r="857" ht="15.5" spans="9:11">
      <c r="I857" s="30">
        <v>98050202</v>
      </c>
      <c r="J857" s="20" t="s">
        <v>393</v>
      </c>
      <c r="K857" s="30">
        <v>98050202</v>
      </c>
    </row>
    <row r="858" ht="15.5" spans="9:11">
      <c r="I858" s="30">
        <v>98010307</v>
      </c>
      <c r="J858" s="20" t="s">
        <v>394</v>
      </c>
      <c r="K858" s="30">
        <v>98010307</v>
      </c>
    </row>
    <row r="859" ht="15.5" spans="9:11">
      <c r="I859" s="30">
        <v>98150201</v>
      </c>
      <c r="J859" s="20" t="s">
        <v>395</v>
      </c>
      <c r="K859" s="30">
        <v>98150201</v>
      </c>
    </row>
    <row r="860" ht="15.5" spans="9:11">
      <c r="I860" s="30">
        <v>98150202</v>
      </c>
      <c r="J860" s="20" t="s">
        <v>396</v>
      </c>
      <c r="K860" s="30">
        <v>98150202</v>
      </c>
    </row>
    <row r="861" ht="15.5" spans="9:11">
      <c r="I861" s="30">
        <v>98040401</v>
      </c>
      <c r="J861" s="20" t="s">
        <v>425</v>
      </c>
      <c r="K861" s="30">
        <v>98040401</v>
      </c>
    </row>
    <row r="862" ht="15.5" spans="9:11">
      <c r="I862" s="30">
        <v>98040402</v>
      </c>
      <c r="J862" s="20" t="s">
        <v>426</v>
      </c>
      <c r="K862" s="30">
        <v>98040402</v>
      </c>
    </row>
    <row r="863" ht="15.5" spans="9:11">
      <c r="I863" s="30">
        <v>98040403</v>
      </c>
      <c r="J863" s="20" t="s">
        <v>427</v>
      </c>
      <c r="K863" s="30">
        <v>98040403</v>
      </c>
    </row>
    <row r="864" ht="15.5" spans="9:11">
      <c r="I864" s="30">
        <v>98050107</v>
      </c>
      <c r="J864" s="20" t="s">
        <v>397</v>
      </c>
      <c r="K864" s="30">
        <v>98050107</v>
      </c>
    </row>
    <row r="865" ht="15.5" spans="9:11">
      <c r="I865" s="30">
        <v>98090201</v>
      </c>
      <c r="J865" s="20" t="s">
        <v>398</v>
      </c>
      <c r="K865" s="30">
        <v>98090201</v>
      </c>
    </row>
    <row r="866" ht="15.5" spans="9:11">
      <c r="I866" s="30">
        <v>98090202</v>
      </c>
      <c r="J866" s="20" t="s">
        <v>399</v>
      </c>
      <c r="K866" s="30">
        <v>98090202</v>
      </c>
    </row>
    <row r="867" ht="15.5" spans="9:11">
      <c r="I867" s="30">
        <v>98030201</v>
      </c>
      <c r="J867" s="20" t="s">
        <v>428</v>
      </c>
      <c r="K867" s="30">
        <v>98030201</v>
      </c>
    </row>
    <row r="868" ht="15.5" spans="9:11">
      <c r="I868" s="30">
        <v>98030202</v>
      </c>
      <c r="J868" s="20" t="s">
        <v>429</v>
      </c>
      <c r="K868" s="30">
        <v>98030202</v>
      </c>
    </row>
    <row r="869" ht="15.5" spans="9:11">
      <c r="I869" s="30">
        <v>98030203</v>
      </c>
      <c r="J869" s="20" t="s">
        <v>430</v>
      </c>
      <c r="K869" s="30">
        <v>98030203</v>
      </c>
    </row>
  </sheetData>
  <autoFilter xmlns:etc="http://www.wps.cn/officeDocument/2017/etCustomData" ref="Q1:R757" etc:filterBottomFollowUsedRange="0">
    <filterColumn colId="1">
      <customFilters>
        <customFilter operator="equal" val=""/>
        <customFilter operator="equal" val="#N/A"/>
      </customFilters>
    </filterColumn>
    <extLst/>
  </autoFilter>
  <conditionalFormatting sqref="Q94">
    <cfRule type="duplicateValues" dxfId="1" priority="14"/>
  </conditionalFormatting>
  <conditionalFormatting sqref="Q96">
    <cfRule type="duplicateValues" dxfId="1" priority="13"/>
  </conditionalFormatting>
  <conditionalFormatting sqref="J848">
    <cfRule type="duplicateValues" dxfId="1" priority="12"/>
  </conditionalFormatting>
  <conditionalFormatting sqref="J850">
    <cfRule type="duplicateValues" dxfId="1" priority="11"/>
  </conditionalFormatting>
  <conditionalFormatting sqref="I756:I869">
    <cfRule type="duplicateValues" dxfId="1" priority="6"/>
  </conditionalFormatting>
  <conditionalFormatting sqref="I768:I769">
    <cfRule type="duplicateValues" dxfId="1" priority="10"/>
  </conditionalFormatting>
  <conditionalFormatting sqref="I784:I785">
    <cfRule type="duplicateValues" dxfId="1" priority="9"/>
  </conditionalFormatting>
  <conditionalFormatting sqref="I796:I797">
    <cfRule type="duplicateValues" dxfId="1" priority="8"/>
  </conditionalFormatting>
  <conditionalFormatting sqref="I848:I851">
    <cfRule type="duplicateValues" dxfId="1" priority="7"/>
  </conditionalFormatting>
  <conditionalFormatting sqref="K747:K749">
    <cfRule type="duplicateValues" dxfId="1" priority="19"/>
  </conditionalFormatting>
  <conditionalFormatting sqref="K750:K752">
    <cfRule type="duplicateValues" dxfId="1" priority="16"/>
  </conditionalFormatting>
  <conditionalFormatting sqref="K753:K755">
    <cfRule type="duplicateValues" dxfId="1" priority="15"/>
  </conditionalFormatting>
  <conditionalFormatting sqref="K756:K869">
    <cfRule type="duplicateValues" dxfId="1" priority="1"/>
  </conditionalFormatting>
  <conditionalFormatting sqref="K768:K769">
    <cfRule type="duplicateValues" dxfId="1" priority="5"/>
  </conditionalFormatting>
  <conditionalFormatting sqref="K784:K785">
    <cfRule type="duplicateValues" dxfId="1" priority="4"/>
  </conditionalFormatting>
  <conditionalFormatting sqref="K796:K797">
    <cfRule type="duplicateValues" dxfId="1" priority="3"/>
  </conditionalFormatting>
  <conditionalFormatting sqref="K848:K851">
    <cfRule type="duplicateValues" dxfId="1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掉落基础配置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奕轩 张</dc:creator>
  <cp:lastModifiedBy>3080</cp:lastModifiedBy>
  <dcterms:created xsi:type="dcterms:W3CDTF">2024-04-22T08:50:00Z</dcterms:created>
  <dcterms:modified xsi:type="dcterms:W3CDTF">2026-01-30T07:57:19Z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8D0312E86B9C4CFF9844498FCB69B136_12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